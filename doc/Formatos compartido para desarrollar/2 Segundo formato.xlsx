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filterPrivacy="1" defaultThemeVersion="124226"/>
  <xr:revisionPtr revIDLastSave="0" documentId="8_{3AAFEE53-FD3D-4117-8703-93DC7602465F}" xr6:coauthVersionLast="45" xr6:coauthVersionMax="45" xr10:uidLastSave="{00000000-0000-0000-0000-000000000000}"/>
  <bookViews>
    <workbookView xWindow="-60" yWindow="-60" windowWidth="28920" windowHeight="15720" activeTab="5" xr2:uid="{00000000-000D-0000-FFFF-FFFF00000000}"/>
  </bookViews>
  <sheets>
    <sheet name="2018" sheetId="1" r:id="rId1"/>
    <sheet name="2019" sheetId="5" r:id="rId2"/>
    <sheet name="2020" sheetId="6" r:id="rId3"/>
    <sheet name="2021" sheetId="7" r:id="rId4"/>
    <sheet name="ENERO 2020" sheetId="10" r:id="rId5"/>
    <sheet name="FEBRERO 2020" sheetId="11" r:id="rId6"/>
    <sheet name="MARZO 2020" sheetId="12" r:id="rId7"/>
    <sheet name="ABRIL 2020" sheetId="1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28" i="16" l="1"/>
  <c r="I127" i="16"/>
  <c r="T126" i="16"/>
  <c r="I126" i="16"/>
  <c r="T125" i="16"/>
  <c r="I125" i="16"/>
  <c r="F125" i="16"/>
  <c r="T124" i="16"/>
  <c r="I124" i="16"/>
  <c r="F124" i="16"/>
  <c r="L124" i="16" s="1"/>
  <c r="D116" i="16"/>
  <c r="N116" i="16"/>
  <c r="AD116" i="16"/>
  <c r="AG116" i="16"/>
  <c r="D115" i="16"/>
  <c r="T123" i="16"/>
  <c r="I123" i="16"/>
  <c r="T122" i="16"/>
  <c r="I122" i="16"/>
  <c r="M117" i="16"/>
  <c r="L117" i="16"/>
  <c r="K117" i="16"/>
  <c r="AG115" i="16"/>
  <c r="AD115" i="16"/>
  <c r="N115" i="16"/>
  <c r="AG114" i="16"/>
  <c r="AD114" i="16"/>
  <c r="N114" i="16"/>
  <c r="D114" i="16"/>
  <c r="AG113" i="16"/>
  <c r="AD113" i="16"/>
  <c r="N113" i="16"/>
  <c r="D113" i="16"/>
  <c r="AG112" i="16"/>
  <c r="AD112" i="16"/>
  <c r="N112" i="16"/>
  <c r="D112" i="16"/>
  <c r="AG111" i="16"/>
  <c r="AD111" i="16"/>
  <c r="N111" i="16"/>
  <c r="D111" i="16"/>
  <c r="AG110" i="16"/>
  <c r="AD110" i="16"/>
  <c r="N110" i="16"/>
  <c r="D110" i="16"/>
  <c r="AG109" i="16"/>
  <c r="AD109" i="16"/>
  <c r="N109" i="16"/>
  <c r="D109" i="16"/>
  <c r="AG108" i="16"/>
  <c r="AD108" i="16"/>
  <c r="N108" i="16"/>
  <c r="D108" i="16"/>
  <c r="AG107" i="16"/>
  <c r="AD107" i="16"/>
  <c r="V107" i="16"/>
  <c r="N107" i="16"/>
  <c r="D107" i="16"/>
  <c r="AG106" i="16"/>
  <c r="AD106" i="16"/>
  <c r="V106" i="16"/>
  <c r="N106" i="16"/>
  <c r="D106" i="16"/>
  <c r="AG105" i="16"/>
  <c r="AD105" i="16"/>
  <c r="V105" i="16"/>
  <c r="N105" i="16"/>
  <c r="D105" i="16"/>
  <c r="AG104" i="16"/>
  <c r="AD104" i="16"/>
  <c r="V104" i="16"/>
  <c r="N104" i="16"/>
  <c r="D104" i="16"/>
  <c r="AG103" i="16"/>
  <c r="AD103" i="16"/>
  <c r="V103" i="16"/>
  <c r="N103" i="16"/>
  <c r="D103" i="16"/>
  <c r="AG102" i="16"/>
  <c r="AD102" i="16"/>
  <c r="V102" i="16"/>
  <c r="N102" i="16"/>
  <c r="D102" i="16"/>
  <c r="AG101" i="16"/>
  <c r="AD101" i="16"/>
  <c r="V101" i="16"/>
  <c r="N101" i="16"/>
  <c r="D101" i="16"/>
  <c r="AG100" i="16"/>
  <c r="AD100" i="16"/>
  <c r="V100" i="16"/>
  <c r="N100" i="16"/>
  <c r="D100" i="16"/>
  <c r="AG99" i="16"/>
  <c r="AD99" i="16"/>
  <c r="V99" i="16"/>
  <c r="N99" i="16"/>
  <c r="D99" i="16"/>
  <c r="AG98" i="16"/>
  <c r="AD98" i="16"/>
  <c r="V98" i="16"/>
  <c r="N98" i="16"/>
  <c r="D98" i="16"/>
  <c r="AG97" i="16"/>
  <c r="AD97" i="16"/>
  <c r="V97" i="16"/>
  <c r="N97" i="16"/>
  <c r="D97" i="16"/>
  <c r="AG96" i="16"/>
  <c r="AD96" i="16"/>
  <c r="V96" i="16"/>
  <c r="N96" i="16"/>
  <c r="D96" i="16"/>
  <c r="AG95" i="16"/>
  <c r="AD95" i="16"/>
  <c r="V95" i="16"/>
  <c r="N95" i="16"/>
  <c r="D95" i="16"/>
  <c r="AG94" i="16"/>
  <c r="AD94" i="16"/>
  <c r="V94" i="16"/>
  <c r="N94" i="16"/>
  <c r="D94" i="16"/>
  <c r="AG93" i="16"/>
  <c r="AD93" i="16"/>
  <c r="V93" i="16"/>
  <c r="N93" i="16"/>
  <c r="D93" i="16"/>
  <c r="AG92" i="16"/>
  <c r="AD92" i="16"/>
  <c r="V92" i="16"/>
  <c r="N92" i="16"/>
  <c r="D92" i="16"/>
  <c r="AG91" i="16"/>
  <c r="AD91" i="16"/>
  <c r="V91" i="16"/>
  <c r="N91" i="16"/>
  <c r="D91" i="16"/>
  <c r="AG90" i="16"/>
  <c r="AD90" i="16"/>
  <c r="V90" i="16"/>
  <c r="N90" i="16"/>
  <c r="D90" i="16"/>
  <c r="AG89" i="16"/>
  <c r="AD89" i="16"/>
  <c r="V89" i="16"/>
  <c r="N89" i="16"/>
  <c r="D89" i="16"/>
  <c r="AG88" i="16"/>
  <c r="AD88" i="16"/>
  <c r="V88" i="16"/>
  <c r="N88" i="16"/>
  <c r="D88" i="16"/>
  <c r="AG87" i="16"/>
  <c r="AD87" i="16"/>
  <c r="V87" i="16"/>
  <c r="N87" i="16"/>
  <c r="D87" i="16"/>
  <c r="AG86" i="16"/>
  <c r="AD86" i="16"/>
  <c r="V86" i="16"/>
  <c r="N86" i="16"/>
  <c r="D86" i="16"/>
  <c r="AG85" i="16"/>
  <c r="AD85" i="16"/>
  <c r="V85" i="16"/>
  <c r="N85" i="16"/>
  <c r="D85" i="16"/>
  <c r="AG84" i="16"/>
  <c r="AD84" i="16"/>
  <c r="V84" i="16"/>
  <c r="N84" i="16"/>
  <c r="D84" i="16"/>
  <c r="AG83" i="16"/>
  <c r="AD83" i="16"/>
  <c r="V83" i="16"/>
  <c r="N83" i="16"/>
  <c r="D83" i="16"/>
  <c r="AG82" i="16"/>
  <c r="AD82" i="16"/>
  <c r="V82" i="16"/>
  <c r="N82" i="16"/>
  <c r="D82" i="16"/>
  <c r="AG81" i="16"/>
  <c r="AD81" i="16"/>
  <c r="V81" i="16"/>
  <c r="N81" i="16"/>
  <c r="D81" i="16"/>
  <c r="AG80" i="16"/>
  <c r="AD80" i="16"/>
  <c r="V80" i="16"/>
  <c r="N80" i="16"/>
  <c r="D80" i="16"/>
  <c r="AG79" i="16"/>
  <c r="AD79" i="16"/>
  <c r="V79" i="16"/>
  <c r="N79" i="16"/>
  <c r="D79" i="16"/>
  <c r="AG78" i="16"/>
  <c r="AD78" i="16"/>
  <c r="V78" i="16"/>
  <c r="N78" i="16"/>
  <c r="D78" i="16"/>
  <c r="AG77" i="16"/>
  <c r="AD77" i="16"/>
  <c r="V77" i="16"/>
  <c r="N77" i="16"/>
  <c r="D77" i="16"/>
  <c r="AG76" i="16"/>
  <c r="AD76" i="16"/>
  <c r="V76" i="16"/>
  <c r="N76" i="16"/>
  <c r="D76" i="16"/>
  <c r="AG75" i="16"/>
  <c r="AD75" i="16"/>
  <c r="V75" i="16"/>
  <c r="N75" i="16"/>
  <c r="D75" i="16"/>
  <c r="AG74" i="16"/>
  <c r="AD74" i="16"/>
  <c r="V74" i="16"/>
  <c r="N74" i="16"/>
  <c r="D74" i="16"/>
  <c r="AG73" i="16"/>
  <c r="AD73" i="16"/>
  <c r="V73" i="16"/>
  <c r="N73" i="16"/>
  <c r="D73" i="16"/>
  <c r="AG72" i="16"/>
  <c r="AD72" i="16"/>
  <c r="V72" i="16"/>
  <c r="N72" i="16"/>
  <c r="D72" i="16"/>
  <c r="AG71" i="16"/>
  <c r="AD71" i="16"/>
  <c r="V71" i="16"/>
  <c r="N71" i="16"/>
  <c r="D71" i="16"/>
  <c r="AG70" i="16"/>
  <c r="AD70" i="16"/>
  <c r="V70" i="16"/>
  <c r="N70" i="16"/>
  <c r="D70" i="16"/>
  <c r="AG69" i="16"/>
  <c r="AD69" i="16"/>
  <c r="V69" i="16"/>
  <c r="N69" i="16"/>
  <c r="D69" i="16"/>
  <c r="AG68" i="16"/>
  <c r="AD68" i="16"/>
  <c r="V68" i="16"/>
  <c r="N68" i="16"/>
  <c r="D68" i="16"/>
  <c r="AG67" i="16"/>
  <c r="AD67" i="16"/>
  <c r="V67" i="16"/>
  <c r="N67" i="16"/>
  <c r="D67" i="16"/>
  <c r="AG66" i="16"/>
  <c r="AD66" i="16"/>
  <c r="V66" i="16"/>
  <c r="N66" i="16"/>
  <c r="D66" i="16"/>
  <c r="AG65" i="16"/>
  <c r="AD65" i="16"/>
  <c r="V65" i="16"/>
  <c r="N65" i="16"/>
  <c r="D65" i="16"/>
  <c r="AG64" i="16"/>
  <c r="AD64" i="16"/>
  <c r="V64" i="16"/>
  <c r="N64" i="16"/>
  <c r="D64" i="16"/>
  <c r="AG63" i="16"/>
  <c r="AD63" i="16"/>
  <c r="V63" i="16"/>
  <c r="N63" i="16"/>
  <c r="D63" i="16"/>
  <c r="AG62" i="16"/>
  <c r="AD62" i="16"/>
  <c r="V62" i="16"/>
  <c r="N62" i="16"/>
  <c r="D62" i="16"/>
  <c r="AG61" i="16"/>
  <c r="AD61" i="16"/>
  <c r="V61" i="16"/>
  <c r="N61" i="16"/>
  <c r="D61" i="16"/>
  <c r="AG60" i="16"/>
  <c r="AD60" i="16"/>
  <c r="V60" i="16"/>
  <c r="N60" i="16"/>
  <c r="D60" i="16"/>
  <c r="AG59" i="16"/>
  <c r="AD59" i="16"/>
  <c r="V59" i="16"/>
  <c r="N59" i="16"/>
  <c r="D59" i="16"/>
  <c r="AG58" i="16"/>
  <c r="AD58" i="16"/>
  <c r="V58" i="16"/>
  <c r="N58" i="16"/>
  <c r="D58" i="16"/>
  <c r="AG57" i="16"/>
  <c r="AD57" i="16"/>
  <c r="V57" i="16"/>
  <c r="N57" i="16"/>
  <c r="D57" i="16"/>
  <c r="AG56" i="16"/>
  <c r="AD56" i="16"/>
  <c r="V56" i="16"/>
  <c r="N56" i="16"/>
  <c r="D56" i="16"/>
  <c r="AG55" i="16"/>
  <c r="AD55" i="16"/>
  <c r="V55" i="16"/>
  <c r="N55" i="16"/>
  <c r="D55" i="16"/>
  <c r="AG54" i="16"/>
  <c r="AD54" i="16"/>
  <c r="V54" i="16"/>
  <c r="N54" i="16"/>
  <c r="D54" i="16"/>
  <c r="AG53" i="16"/>
  <c r="AD53" i="16"/>
  <c r="V53" i="16"/>
  <c r="N53" i="16"/>
  <c r="D53" i="16"/>
  <c r="AG52" i="16"/>
  <c r="AD52" i="16"/>
  <c r="V52" i="16"/>
  <c r="N52" i="16"/>
  <c r="D52" i="16"/>
  <c r="AG51" i="16"/>
  <c r="AD51" i="16"/>
  <c r="V51" i="16"/>
  <c r="N51" i="16"/>
  <c r="D51" i="16"/>
  <c r="AG50" i="16"/>
  <c r="AD50" i="16"/>
  <c r="V50" i="16"/>
  <c r="N50" i="16"/>
  <c r="D50" i="16"/>
  <c r="AG49" i="16"/>
  <c r="AD49" i="16"/>
  <c r="V49" i="16"/>
  <c r="N49" i="16"/>
  <c r="D49" i="16"/>
  <c r="AG48" i="16"/>
  <c r="AD48" i="16"/>
  <c r="V48" i="16"/>
  <c r="N48" i="16"/>
  <c r="D48" i="16"/>
  <c r="AG47" i="16"/>
  <c r="AD47" i="16"/>
  <c r="V47" i="16"/>
  <c r="N47" i="16"/>
  <c r="D47" i="16"/>
  <c r="AG46" i="16"/>
  <c r="AD46" i="16"/>
  <c r="V46" i="16"/>
  <c r="N46" i="16"/>
  <c r="D46" i="16"/>
  <c r="AG45" i="16"/>
  <c r="AD45" i="16"/>
  <c r="V45" i="16"/>
  <c r="N45" i="16"/>
  <c r="D45" i="16"/>
  <c r="AG44" i="16"/>
  <c r="AD44" i="16"/>
  <c r="V44" i="16"/>
  <c r="N44" i="16"/>
  <c r="D44" i="16"/>
  <c r="V43" i="16"/>
  <c r="N43" i="16"/>
  <c r="D43" i="16"/>
  <c r="V42" i="16"/>
  <c r="N42" i="16"/>
  <c r="D42" i="16"/>
  <c r="V41" i="16"/>
  <c r="N41" i="16"/>
  <c r="D41" i="16"/>
  <c r="V40" i="16"/>
  <c r="N40" i="16"/>
  <c r="D40" i="16"/>
  <c r="V39" i="16"/>
  <c r="N39" i="16"/>
  <c r="D39" i="16"/>
  <c r="V38" i="16"/>
  <c r="N38" i="16"/>
  <c r="D38" i="16"/>
  <c r="V37" i="16"/>
  <c r="N37" i="16"/>
  <c r="D37" i="16"/>
  <c r="V36" i="16"/>
  <c r="N36" i="16"/>
  <c r="D36" i="16"/>
  <c r="V35" i="16"/>
  <c r="N35" i="16"/>
  <c r="D35" i="16"/>
  <c r="V34" i="16"/>
  <c r="N34" i="16"/>
  <c r="D34" i="16"/>
  <c r="V33" i="16"/>
  <c r="N33" i="16"/>
  <c r="D33" i="16"/>
  <c r="V32" i="16"/>
  <c r="N32" i="16"/>
  <c r="D32" i="16"/>
  <c r="V31" i="16"/>
  <c r="N31" i="16"/>
  <c r="D31" i="16"/>
  <c r="V30" i="16"/>
  <c r="N30" i="16"/>
  <c r="D30" i="16"/>
  <c r="V29" i="16"/>
  <c r="N29" i="16"/>
  <c r="D29" i="16"/>
  <c r="V28" i="16"/>
  <c r="N28" i="16"/>
  <c r="D28" i="16"/>
  <c r="V27" i="16"/>
  <c r="N27" i="16"/>
  <c r="D27" i="16"/>
  <c r="V26" i="16"/>
  <c r="N26" i="16"/>
  <c r="D26" i="16"/>
  <c r="V25" i="16"/>
  <c r="N25" i="16"/>
  <c r="D25" i="16"/>
  <c r="V24" i="16"/>
  <c r="N24" i="16"/>
  <c r="D24" i="16"/>
  <c r="V23" i="16"/>
  <c r="N23" i="16"/>
  <c r="D23" i="16"/>
  <c r="V22" i="16"/>
  <c r="N22" i="16"/>
  <c r="D22" i="16"/>
  <c r="V21" i="16"/>
  <c r="N21" i="16"/>
  <c r="D21" i="16"/>
  <c r="V20" i="16"/>
  <c r="N20" i="16"/>
  <c r="D20" i="16"/>
  <c r="V19" i="16"/>
  <c r="N19" i="16"/>
  <c r="D19" i="16"/>
  <c r="V18" i="16"/>
  <c r="N18" i="16"/>
  <c r="D18" i="16"/>
  <c r="V17" i="16"/>
  <c r="N17" i="16"/>
  <c r="D17" i="16"/>
  <c r="V16" i="16"/>
  <c r="N16" i="16"/>
  <c r="D16" i="16"/>
  <c r="V15" i="16"/>
  <c r="N15" i="16"/>
  <c r="D15" i="16"/>
  <c r="V14" i="16"/>
  <c r="N14" i="16"/>
  <c r="D14" i="16"/>
  <c r="V13" i="16"/>
  <c r="N13" i="16"/>
  <c r="D13" i="16"/>
  <c r="V12" i="16"/>
  <c r="N12" i="16"/>
  <c r="D12" i="16"/>
  <c r="V11" i="16"/>
  <c r="N11" i="16"/>
  <c r="D11" i="16"/>
  <c r="V10" i="16"/>
  <c r="N10" i="16"/>
  <c r="D10" i="16"/>
  <c r="V9" i="16"/>
  <c r="N9" i="16"/>
  <c r="D9" i="16"/>
  <c r="V8" i="16"/>
  <c r="N8" i="16"/>
  <c r="D8" i="16"/>
  <c r="V7" i="16"/>
  <c r="N7" i="16"/>
  <c r="D7" i="16"/>
  <c r="AJ6" i="16"/>
  <c r="AJ7" i="16" s="1"/>
  <c r="AJ8" i="16" s="1"/>
  <c r="AJ9" i="16" s="1"/>
  <c r="AJ10" i="16" s="1"/>
  <c r="AJ11" i="16" s="1"/>
  <c r="AJ12" i="16" s="1"/>
  <c r="AJ13" i="16" s="1"/>
  <c r="AJ14" i="16" s="1"/>
  <c r="AJ15" i="16" s="1"/>
  <c r="AJ16" i="16" s="1"/>
  <c r="AJ17" i="16" s="1"/>
  <c r="AJ18" i="16" s="1"/>
  <c r="AJ19" i="16" s="1"/>
  <c r="AJ20" i="16" s="1"/>
  <c r="AJ21" i="16" s="1"/>
  <c r="AJ22" i="16" s="1"/>
  <c r="AJ23" i="16" s="1"/>
  <c r="AJ24" i="16" s="1"/>
  <c r="AJ25" i="16" s="1"/>
  <c r="AJ26" i="16" s="1"/>
  <c r="AJ27" i="16" s="1"/>
  <c r="AJ28" i="16" s="1"/>
  <c r="AJ29" i="16" s="1"/>
  <c r="AJ30" i="16" s="1"/>
  <c r="AJ31" i="16" s="1"/>
  <c r="AJ32" i="16" s="1"/>
  <c r="AJ33" i="16" s="1"/>
  <c r="AJ34" i="16" s="1"/>
  <c r="AJ35" i="16" s="1"/>
  <c r="AJ36" i="16" s="1"/>
  <c r="AJ37" i="16" s="1"/>
  <c r="AJ38" i="16" s="1"/>
  <c r="AJ39" i="16" s="1"/>
  <c r="AJ40" i="16" s="1"/>
  <c r="AJ41" i="16" s="1"/>
  <c r="AJ42" i="16" s="1"/>
  <c r="AJ43" i="16" s="1"/>
  <c r="AJ44" i="16" s="1"/>
  <c r="AJ45" i="16" s="1"/>
  <c r="AJ46" i="16" s="1"/>
  <c r="AJ47" i="16" s="1"/>
  <c r="AJ48" i="16" s="1"/>
  <c r="AJ49" i="16" s="1"/>
  <c r="AJ50" i="16" s="1"/>
  <c r="AJ51" i="16" s="1"/>
  <c r="AJ52" i="16" s="1"/>
  <c r="AJ53" i="16" s="1"/>
  <c r="AJ54" i="16" s="1"/>
  <c r="AJ55" i="16" s="1"/>
  <c r="AJ56" i="16" s="1"/>
  <c r="AJ57" i="16" s="1"/>
  <c r="AJ58" i="16" s="1"/>
  <c r="AJ59" i="16" s="1"/>
  <c r="AJ60" i="16" s="1"/>
  <c r="AJ61" i="16" s="1"/>
  <c r="AJ62" i="16" s="1"/>
  <c r="AJ63" i="16" s="1"/>
  <c r="AJ64" i="16" s="1"/>
  <c r="AJ65" i="16" s="1"/>
  <c r="AJ66" i="16" s="1"/>
  <c r="AJ67" i="16" s="1"/>
  <c r="AJ68" i="16" s="1"/>
  <c r="AJ69" i="16" s="1"/>
  <c r="AJ70" i="16" s="1"/>
  <c r="AJ71" i="16" s="1"/>
  <c r="AJ72" i="16" s="1"/>
  <c r="AJ73" i="16" s="1"/>
  <c r="AJ74" i="16" s="1"/>
  <c r="AJ75" i="16" s="1"/>
  <c r="AJ76" i="16" s="1"/>
  <c r="AJ77" i="16" s="1"/>
  <c r="AJ78" i="16" s="1"/>
  <c r="AJ79" i="16" s="1"/>
  <c r="AJ80" i="16" s="1"/>
  <c r="AJ81" i="16" s="1"/>
  <c r="AJ82" i="16" s="1"/>
  <c r="AJ83" i="16" s="1"/>
  <c r="AJ84" i="16" s="1"/>
  <c r="AJ85" i="16" s="1"/>
  <c r="AJ86" i="16" s="1"/>
  <c r="AJ87" i="16" s="1"/>
  <c r="AJ88" i="16" s="1"/>
  <c r="AJ89" i="16" s="1"/>
  <c r="AJ90" i="16" s="1"/>
  <c r="AJ91" i="16" s="1"/>
  <c r="AJ92" i="16" s="1"/>
  <c r="AJ93" i="16" s="1"/>
  <c r="AJ94" i="16" s="1"/>
  <c r="AJ95" i="16" s="1"/>
  <c r="AJ96" i="16" s="1"/>
  <c r="AJ97" i="16" s="1"/>
  <c r="AJ98" i="16" s="1"/>
  <c r="AJ99" i="16" s="1"/>
  <c r="AJ100" i="16" s="1"/>
  <c r="AJ101" i="16" s="1"/>
  <c r="AJ102" i="16" s="1"/>
  <c r="AJ103" i="16" s="1"/>
  <c r="AJ104" i="16" s="1"/>
  <c r="AJ105" i="16" s="1"/>
  <c r="AJ106" i="16" s="1"/>
  <c r="AJ107" i="16" s="1"/>
  <c r="AJ108" i="16" s="1"/>
  <c r="AJ109" i="16" s="1"/>
  <c r="AJ110" i="16" s="1"/>
  <c r="AJ111" i="16" s="1"/>
  <c r="AJ112" i="16" s="1"/>
  <c r="AJ113" i="16" s="1"/>
  <c r="AJ114" i="16" s="1"/>
  <c r="AJ115" i="16" s="1"/>
  <c r="AJ116" i="16" s="1"/>
  <c r="AG6" i="16"/>
  <c r="AG7" i="16" s="1"/>
  <c r="AG8" i="16" s="1"/>
  <c r="AG9" i="16" s="1"/>
  <c r="AG10" i="16" s="1"/>
  <c r="AG11" i="16" s="1"/>
  <c r="AG12" i="16" s="1"/>
  <c r="AG13" i="16" s="1"/>
  <c r="AG14" i="16" s="1"/>
  <c r="AG15" i="16" s="1"/>
  <c r="AG16" i="16" s="1"/>
  <c r="AG17" i="16" s="1"/>
  <c r="AG18" i="16" s="1"/>
  <c r="AG19" i="16" s="1"/>
  <c r="AG20" i="16" s="1"/>
  <c r="AG21" i="16" s="1"/>
  <c r="AG22" i="16" s="1"/>
  <c r="AG23" i="16" s="1"/>
  <c r="AG24" i="16" s="1"/>
  <c r="AG25" i="16" s="1"/>
  <c r="AG26" i="16" s="1"/>
  <c r="AG27" i="16" s="1"/>
  <c r="AG28" i="16" s="1"/>
  <c r="AG29" i="16" s="1"/>
  <c r="AG30" i="16" s="1"/>
  <c r="AG31" i="16" s="1"/>
  <c r="AG32" i="16" s="1"/>
  <c r="AG33" i="16" s="1"/>
  <c r="AG34" i="16" s="1"/>
  <c r="AG35" i="16" s="1"/>
  <c r="AG36" i="16" s="1"/>
  <c r="AG37" i="16" s="1"/>
  <c r="AG38" i="16" s="1"/>
  <c r="AG39" i="16" s="1"/>
  <c r="AG40" i="16" s="1"/>
  <c r="AG41" i="16" s="1"/>
  <c r="AG42" i="16" s="1"/>
  <c r="AG43" i="16" s="1"/>
  <c r="AD6" i="16"/>
  <c r="AD7" i="16" s="1"/>
  <c r="AD8" i="16" s="1"/>
  <c r="AD9" i="16" s="1"/>
  <c r="AD10" i="16" s="1"/>
  <c r="AD11" i="16" s="1"/>
  <c r="AD12" i="16" s="1"/>
  <c r="AD13" i="16" s="1"/>
  <c r="AD14" i="16" s="1"/>
  <c r="AD15" i="16" s="1"/>
  <c r="AD16" i="16" s="1"/>
  <c r="AD17" i="16" s="1"/>
  <c r="AD18" i="16" s="1"/>
  <c r="AD19" i="16" s="1"/>
  <c r="AD20" i="16" s="1"/>
  <c r="AD21" i="16" s="1"/>
  <c r="AD22" i="16" s="1"/>
  <c r="AD23" i="16" s="1"/>
  <c r="AD24" i="16" s="1"/>
  <c r="AD25" i="16" s="1"/>
  <c r="AD26" i="16" s="1"/>
  <c r="AD27" i="16" s="1"/>
  <c r="AD28" i="16" s="1"/>
  <c r="AD29" i="16" s="1"/>
  <c r="AD30" i="16" s="1"/>
  <c r="AD31" i="16" s="1"/>
  <c r="AD32" i="16" s="1"/>
  <c r="AD33" i="16" s="1"/>
  <c r="AD34" i="16" s="1"/>
  <c r="AD35" i="16" s="1"/>
  <c r="AD36" i="16" s="1"/>
  <c r="AD37" i="16" s="1"/>
  <c r="AD38" i="16" s="1"/>
  <c r="AD39" i="16" s="1"/>
  <c r="AD40" i="16" s="1"/>
  <c r="AD41" i="16" s="1"/>
  <c r="AD42" i="16" s="1"/>
  <c r="AD43" i="16" s="1"/>
  <c r="AA6" i="16"/>
  <c r="AA7" i="16" s="1"/>
  <c r="AA8" i="16" s="1"/>
  <c r="AA9" i="16" s="1"/>
  <c r="AA10" i="16" s="1"/>
  <c r="AA11" i="16" s="1"/>
  <c r="AA12" i="16" s="1"/>
  <c r="AA13" i="16" s="1"/>
  <c r="AA14" i="16" s="1"/>
  <c r="AA15" i="16" s="1"/>
  <c r="AA16" i="16" s="1"/>
  <c r="AA17" i="16" s="1"/>
  <c r="AA18" i="16" s="1"/>
  <c r="AA19" i="16" s="1"/>
  <c r="AA20" i="16" s="1"/>
  <c r="AA21" i="16" s="1"/>
  <c r="AA22" i="16" s="1"/>
  <c r="AA23" i="16" s="1"/>
  <c r="AA24" i="16" s="1"/>
  <c r="AA25" i="16" s="1"/>
  <c r="AA26" i="16" s="1"/>
  <c r="AA27" i="16" s="1"/>
  <c r="AA28" i="16" s="1"/>
  <c r="AA29" i="16" s="1"/>
  <c r="AA30" i="16" s="1"/>
  <c r="AA31" i="16" s="1"/>
  <c r="AA32" i="16" s="1"/>
  <c r="AA33" i="16" s="1"/>
  <c r="AA34" i="16" s="1"/>
  <c r="AA35" i="16" s="1"/>
  <c r="AA36" i="16" s="1"/>
  <c r="AA37" i="16" s="1"/>
  <c r="AA38" i="16" s="1"/>
  <c r="AA39" i="16" s="1"/>
  <c r="AA40" i="16" s="1"/>
  <c r="AA41" i="16" s="1"/>
  <c r="AA42" i="16" s="1"/>
  <c r="X6" i="16"/>
  <c r="V6" i="16"/>
  <c r="P6" i="16"/>
  <c r="D102" i="10"/>
  <c r="AG108" i="12"/>
  <c r="AG109" i="12"/>
  <c r="AG110" i="12"/>
  <c r="AG111" i="12"/>
  <c r="AG112" i="12"/>
  <c r="AG113" i="12"/>
  <c r="AG114" i="12"/>
  <c r="AG115" i="12"/>
  <c r="AD108" i="12"/>
  <c r="AD109" i="12"/>
  <c r="AD110" i="12"/>
  <c r="AD111" i="12"/>
  <c r="AD112" i="12"/>
  <c r="AD113" i="12"/>
  <c r="AD114" i="12"/>
  <c r="AD115" i="12"/>
  <c r="N118" i="16" l="1"/>
  <c r="P7" i="16"/>
  <c r="P8" i="16" s="1"/>
  <c r="P9" i="16" s="1"/>
  <c r="P10" i="16" s="1"/>
  <c r="P11" i="16" s="1"/>
  <c r="P12" i="16" s="1"/>
  <c r="P13" i="16" s="1"/>
  <c r="P14" i="16" s="1"/>
  <c r="P15" i="16" s="1"/>
  <c r="P16" i="16" s="1"/>
  <c r="P17" i="16" s="1"/>
  <c r="P18" i="16" s="1"/>
  <c r="P19" i="16" s="1"/>
  <c r="P20" i="16" s="1"/>
  <c r="P21" i="16" s="1"/>
  <c r="P22" i="16" s="1"/>
  <c r="P23" i="16" s="1"/>
  <c r="P24" i="16" s="1"/>
  <c r="P25" i="16" s="1"/>
  <c r="P26" i="16" s="1"/>
  <c r="P27" i="16" s="1"/>
  <c r="P28" i="16" s="1"/>
  <c r="P29" i="16" s="1"/>
  <c r="P30" i="16" s="1"/>
  <c r="P31" i="16" s="1"/>
  <c r="P32" i="16" s="1"/>
  <c r="P33" i="16" s="1"/>
  <c r="P34" i="16" s="1"/>
  <c r="P35" i="16" s="1"/>
  <c r="P36" i="16" s="1"/>
  <c r="P37" i="16" s="1"/>
  <c r="P38" i="16" s="1"/>
  <c r="P39" i="16" s="1"/>
  <c r="P40" i="16" s="1"/>
  <c r="P41" i="16" s="1"/>
  <c r="P42" i="16" s="1"/>
  <c r="P43" i="16" s="1"/>
  <c r="P44" i="16" s="1"/>
  <c r="P45" i="16" s="1"/>
  <c r="P46" i="16" s="1"/>
  <c r="P47" i="16" s="1"/>
  <c r="P48" i="16" s="1"/>
  <c r="P49" i="16" s="1"/>
  <c r="P50" i="16" s="1"/>
  <c r="P51" i="16" s="1"/>
  <c r="P52" i="16" s="1"/>
  <c r="P53" i="16" s="1"/>
  <c r="P54" i="16" s="1"/>
  <c r="P55" i="16" s="1"/>
  <c r="P56" i="16" s="1"/>
  <c r="P57" i="16" s="1"/>
  <c r="P58" i="16" s="1"/>
  <c r="P59" i="16" s="1"/>
  <c r="P60" i="16" s="1"/>
  <c r="P61" i="16" s="1"/>
  <c r="P62" i="16" s="1"/>
  <c r="P63" i="16" s="1"/>
  <c r="P64" i="16" s="1"/>
  <c r="P65" i="16" s="1"/>
  <c r="P66" i="16" s="1"/>
  <c r="P67" i="16" s="1"/>
  <c r="P68" i="16" s="1"/>
  <c r="P69" i="16" s="1"/>
  <c r="P70" i="16" s="1"/>
  <c r="P71" i="16" s="1"/>
  <c r="P72" i="16" s="1"/>
  <c r="P73" i="16" s="1"/>
  <c r="P74" i="16" s="1"/>
  <c r="P75" i="16" s="1"/>
  <c r="P76" i="16" s="1"/>
  <c r="P77" i="16" s="1"/>
  <c r="P78" i="16" s="1"/>
  <c r="P79" i="16" s="1"/>
  <c r="P80" i="16" s="1"/>
  <c r="P81" i="16" s="1"/>
  <c r="P82" i="16" s="1"/>
  <c r="P83" i="16" s="1"/>
  <c r="P84" i="16" s="1"/>
  <c r="P85" i="16" s="1"/>
  <c r="P86" i="16" s="1"/>
  <c r="P87" i="16" s="1"/>
  <c r="P88" i="16" s="1"/>
  <c r="P89" i="16" s="1"/>
  <c r="P90" i="16" s="1"/>
  <c r="P91" i="16" s="1"/>
  <c r="P92" i="16" s="1"/>
  <c r="P93" i="16" s="1"/>
  <c r="P94" i="16" s="1"/>
  <c r="P95" i="16" s="1"/>
  <c r="P96" i="16" s="1"/>
  <c r="P97" i="16" s="1"/>
  <c r="P98" i="16" s="1"/>
  <c r="P99" i="16" s="1"/>
  <c r="P100" i="16" s="1"/>
  <c r="P101" i="16" s="1"/>
  <c r="P102" i="16" s="1"/>
  <c r="P103" i="16" s="1"/>
  <c r="P104" i="16" s="1"/>
  <c r="P105" i="16" s="1"/>
  <c r="P106" i="16" s="1"/>
  <c r="P107" i="16" s="1"/>
  <c r="E122" i="16"/>
  <c r="J122" i="16" s="1"/>
  <c r="X7" i="16"/>
  <c r="X8" i="16" s="1"/>
  <c r="X9" i="16" s="1"/>
  <c r="X10" i="16" s="1"/>
  <c r="X11" i="16" s="1"/>
  <c r="X12" i="16" s="1"/>
  <c r="X13" i="16" s="1"/>
  <c r="X14" i="16" s="1"/>
  <c r="X15" i="16" s="1"/>
  <c r="X16" i="16" s="1"/>
  <c r="X17" i="16" s="1"/>
  <c r="X18" i="16" s="1"/>
  <c r="X19" i="16" s="1"/>
  <c r="X20" i="16" s="1"/>
  <c r="X21" i="16" s="1"/>
  <c r="X22" i="16" s="1"/>
  <c r="X23" i="16" s="1"/>
  <c r="X24" i="16" s="1"/>
  <c r="X25" i="16" s="1"/>
  <c r="X26" i="16" s="1"/>
  <c r="X27" i="16" s="1"/>
  <c r="X28" i="16" s="1"/>
  <c r="X29" i="16" s="1"/>
  <c r="X30" i="16" s="1"/>
  <c r="X31" i="16" s="1"/>
  <c r="X32" i="16" s="1"/>
  <c r="X33" i="16" s="1"/>
  <c r="X34" i="16" s="1"/>
  <c r="X35" i="16" s="1"/>
  <c r="X36" i="16" s="1"/>
  <c r="X37" i="16" s="1"/>
  <c r="X38" i="16" s="1"/>
  <c r="X39" i="16" s="1"/>
  <c r="X40" i="16" s="1"/>
  <c r="X41" i="16" s="1"/>
  <c r="X42" i="16" s="1"/>
  <c r="X43" i="16" s="1"/>
  <c r="X44" i="16" s="1"/>
  <c r="X45" i="16" s="1"/>
  <c r="X46" i="16" s="1"/>
  <c r="X47" i="16" s="1"/>
  <c r="X48" i="16" s="1"/>
  <c r="X49" i="16" s="1"/>
  <c r="X50" i="16" s="1"/>
  <c r="X51" i="16" s="1"/>
  <c r="X52" i="16" s="1"/>
  <c r="X53" i="16" s="1"/>
  <c r="X54" i="16" s="1"/>
  <c r="X55" i="16" s="1"/>
  <c r="X56" i="16" s="1"/>
  <c r="X57" i="16" s="1"/>
  <c r="X58" i="16" s="1"/>
  <c r="X59" i="16" s="1"/>
  <c r="X60" i="16" s="1"/>
  <c r="X61" i="16" s="1"/>
  <c r="X62" i="16" s="1"/>
  <c r="X63" i="16" s="1"/>
  <c r="X64" i="16" s="1"/>
  <c r="X65" i="16" s="1"/>
  <c r="X66" i="16" s="1"/>
  <c r="X67" i="16" s="1"/>
  <c r="X68" i="16" s="1"/>
  <c r="X69" i="16" s="1"/>
  <c r="X70" i="16" s="1"/>
  <c r="X71" i="16" s="1"/>
  <c r="X72" i="16" s="1"/>
  <c r="X73" i="16" s="1"/>
  <c r="X74" i="16" s="1"/>
  <c r="X75" i="16" s="1"/>
  <c r="X76" i="16" s="1"/>
  <c r="X77" i="16" s="1"/>
  <c r="X78" i="16" s="1"/>
  <c r="X79" i="16" s="1"/>
  <c r="X80" i="16" s="1"/>
  <c r="X81" i="16" s="1"/>
  <c r="X82" i="16" s="1"/>
  <c r="X83" i="16" s="1"/>
  <c r="X84" i="16" s="1"/>
  <c r="X85" i="16" s="1"/>
  <c r="X86" i="16" s="1"/>
  <c r="X87" i="16" s="1"/>
  <c r="X88" i="16" s="1"/>
  <c r="X89" i="16" s="1"/>
  <c r="X90" i="16" s="1"/>
  <c r="X91" i="16" s="1"/>
  <c r="X92" i="16" s="1"/>
  <c r="X93" i="16" s="1"/>
  <c r="X94" i="16" s="1"/>
  <c r="X95" i="16" s="1"/>
  <c r="X96" i="16" s="1"/>
  <c r="X97" i="16" s="1"/>
  <c r="X98" i="16" s="1"/>
  <c r="X99" i="16" s="1"/>
  <c r="X100" i="16" s="1"/>
  <c r="X101" i="16" s="1"/>
  <c r="X102" i="16" s="1"/>
  <c r="X103" i="16" s="1"/>
  <c r="X104" i="16" s="1"/>
  <c r="X105" i="16" s="1"/>
  <c r="X106" i="16" s="1"/>
  <c r="X107" i="16" s="1"/>
  <c r="T130" i="16"/>
  <c r="E125" i="16"/>
  <c r="E126" i="16"/>
  <c r="E124" i="16"/>
  <c r="AA43" i="16"/>
  <c r="AA45" i="16" s="1"/>
  <c r="AA47" i="16" s="1"/>
  <c r="AA49" i="16" s="1"/>
  <c r="AA51" i="16" s="1"/>
  <c r="AA53" i="16" s="1"/>
  <c r="AA55" i="16" s="1"/>
  <c r="AA57" i="16" s="1"/>
  <c r="AA59" i="16" s="1"/>
  <c r="AA61" i="16" s="1"/>
  <c r="AA63" i="16" s="1"/>
  <c r="AA65" i="16" s="1"/>
  <c r="AA67" i="16" s="1"/>
  <c r="AA69" i="16" s="1"/>
  <c r="AA71" i="16" s="1"/>
  <c r="AA73" i="16" s="1"/>
  <c r="AA75" i="16" s="1"/>
  <c r="AA77" i="16" s="1"/>
  <c r="AA79" i="16" s="1"/>
  <c r="AA81" i="16" s="1"/>
  <c r="AA83" i="16" s="1"/>
  <c r="AA85" i="16" s="1"/>
  <c r="AA87" i="16" s="1"/>
  <c r="AA89" i="16" s="1"/>
  <c r="AA91" i="16" s="1"/>
  <c r="AA93" i="16" s="1"/>
  <c r="AA95" i="16" s="1"/>
  <c r="AA97" i="16" s="1"/>
  <c r="AA99" i="16" s="1"/>
  <c r="AA101" i="16" s="1"/>
  <c r="AA103" i="16" s="1"/>
  <c r="AA105" i="16" s="1"/>
  <c r="AA107" i="16" s="1"/>
  <c r="AA109" i="16" s="1"/>
  <c r="AA111" i="16" s="1"/>
  <c r="AA113" i="16" s="1"/>
  <c r="AA44" i="16"/>
  <c r="AA46" i="16" s="1"/>
  <c r="AA48" i="16" s="1"/>
  <c r="AA50" i="16" s="1"/>
  <c r="AA52" i="16" s="1"/>
  <c r="AA54" i="16" s="1"/>
  <c r="AA56" i="16" s="1"/>
  <c r="AA58" i="16" s="1"/>
  <c r="AA60" i="16" s="1"/>
  <c r="AA62" i="16" s="1"/>
  <c r="AA64" i="16" s="1"/>
  <c r="AA66" i="16" s="1"/>
  <c r="AA68" i="16" s="1"/>
  <c r="AA70" i="16" s="1"/>
  <c r="AA72" i="16" s="1"/>
  <c r="AA74" i="16" s="1"/>
  <c r="AA76" i="16" s="1"/>
  <c r="AA78" i="16" s="1"/>
  <c r="AA80" i="16" s="1"/>
  <c r="AA82" i="16" s="1"/>
  <c r="AA84" i="16" s="1"/>
  <c r="AA86" i="16" s="1"/>
  <c r="AA88" i="16" s="1"/>
  <c r="AA90" i="16" s="1"/>
  <c r="AA92" i="16" s="1"/>
  <c r="AA94" i="16" s="1"/>
  <c r="AA96" i="16" s="1"/>
  <c r="AA98" i="16" s="1"/>
  <c r="AA100" i="16" s="1"/>
  <c r="AA102" i="16" s="1"/>
  <c r="AA104" i="16" s="1"/>
  <c r="AA106" i="16" s="1"/>
  <c r="AA108" i="16" s="1"/>
  <c r="AA110" i="16" s="1"/>
  <c r="AA112" i="16" s="1"/>
  <c r="AA114" i="16" s="1"/>
  <c r="AA116" i="16" s="1"/>
  <c r="M122" i="16"/>
  <c r="E127" i="16"/>
  <c r="D117" i="16"/>
  <c r="M124" i="16"/>
  <c r="N124" i="16" s="1"/>
  <c r="E128" i="16"/>
  <c r="M128" i="16" s="1"/>
  <c r="N128" i="16" s="1"/>
  <c r="E123" i="16"/>
  <c r="U122" i="16" s="1"/>
  <c r="I130" i="16"/>
  <c r="L125" i="16"/>
  <c r="F130" i="16"/>
  <c r="I122" i="12"/>
  <c r="I123" i="12"/>
  <c r="I124" i="12"/>
  <c r="I125" i="12"/>
  <c r="I126" i="12"/>
  <c r="I127" i="12"/>
  <c r="I121" i="12"/>
  <c r="T125" i="12"/>
  <c r="T124" i="12"/>
  <c r="T123" i="12"/>
  <c r="T122" i="12"/>
  <c r="T121" i="12"/>
  <c r="S121" i="11"/>
  <c r="S124" i="11"/>
  <c r="S125" i="11"/>
  <c r="S123" i="11"/>
  <c r="S122" i="11"/>
  <c r="U124" i="16" l="1"/>
  <c r="X124" i="16" s="1"/>
  <c r="W124" i="16"/>
  <c r="Y124" i="16" s="1"/>
  <c r="M127" i="16"/>
  <c r="N127" i="16" s="1"/>
  <c r="W126" i="16"/>
  <c r="Y126" i="16" s="1"/>
  <c r="U125" i="16"/>
  <c r="X125" i="16" s="1"/>
  <c r="W125" i="16"/>
  <c r="Y125" i="16" s="1"/>
  <c r="U123" i="16"/>
  <c r="X123" i="16" s="1"/>
  <c r="W123" i="16"/>
  <c r="Y123" i="16" s="1"/>
  <c r="AA115" i="16"/>
  <c r="G125" i="16"/>
  <c r="G124" i="16"/>
  <c r="G130" i="16" s="1"/>
  <c r="J126" i="16"/>
  <c r="J125" i="16"/>
  <c r="O124" i="16"/>
  <c r="M126" i="16"/>
  <c r="N126" i="16" s="1"/>
  <c r="J124" i="16"/>
  <c r="X122" i="16"/>
  <c r="M123" i="16"/>
  <c r="N123" i="16" s="1"/>
  <c r="J123" i="16"/>
  <c r="W122" i="16"/>
  <c r="Y122" i="16" s="1"/>
  <c r="U126" i="16"/>
  <c r="N122" i="16"/>
  <c r="M125" i="16"/>
  <c r="N125" i="16" s="1"/>
  <c r="O125" i="16"/>
  <c r="E130" i="16"/>
  <c r="J128" i="16"/>
  <c r="J127" i="16"/>
  <c r="T129" i="12"/>
  <c r="S129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9" i="11"/>
  <c r="D10" i="11"/>
  <c r="D11" i="11"/>
  <c r="D12" i="11"/>
  <c r="D13" i="11"/>
  <c r="D14" i="11"/>
  <c r="D15" i="11"/>
  <c r="D16" i="11"/>
  <c r="D7" i="11"/>
  <c r="D8" i="11"/>
  <c r="D17" i="11"/>
  <c r="D113" i="10"/>
  <c r="D114" i="10"/>
  <c r="D115" i="10"/>
  <c r="D109" i="10"/>
  <c r="D110" i="10"/>
  <c r="D111" i="10"/>
  <c r="D103" i="10"/>
  <c r="D104" i="10"/>
  <c r="D105" i="10"/>
  <c r="D106" i="10"/>
  <c r="D107" i="10"/>
  <c r="D108" i="10"/>
  <c r="D112" i="10"/>
  <c r="D11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49" i="10"/>
  <c r="D50" i="10"/>
  <c r="D51" i="10"/>
  <c r="D52" i="10"/>
  <c r="D53" i="10"/>
  <c r="D54" i="10"/>
  <c r="D55" i="10"/>
  <c r="D56" i="10"/>
  <c r="D57" i="10"/>
  <c r="D40" i="10"/>
  <c r="D41" i="10"/>
  <c r="D42" i="10"/>
  <c r="D43" i="10"/>
  <c r="D44" i="10"/>
  <c r="D45" i="10"/>
  <c r="D46" i="10"/>
  <c r="D47" i="10"/>
  <c r="D38" i="10"/>
  <c r="D39" i="10"/>
  <c r="D48" i="10"/>
  <c r="D58" i="10"/>
  <c r="D76" i="10"/>
  <c r="D101" i="10"/>
  <c r="D28" i="10"/>
  <c r="D29" i="10"/>
  <c r="D30" i="10"/>
  <c r="D31" i="10"/>
  <c r="D32" i="10"/>
  <c r="D33" i="10"/>
  <c r="D34" i="10"/>
  <c r="D35" i="10"/>
  <c r="D36" i="10"/>
  <c r="D27" i="10"/>
  <c r="D37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14" i="10"/>
  <c r="I127" i="10"/>
  <c r="I128" i="10"/>
  <c r="I123" i="10"/>
  <c r="I124" i="10"/>
  <c r="I125" i="10"/>
  <c r="I126" i="10"/>
  <c r="I122" i="10"/>
  <c r="T126" i="10"/>
  <c r="T125" i="10"/>
  <c r="T124" i="10"/>
  <c r="T123" i="10"/>
  <c r="T122" i="10"/>
  <c r="D11" i="10"/>
  <c r="D12" i="10"/>
  <c r="D13" i="10"/>
  <c r="D8" i="10"/>
  <c r="D9" i="10"/>
  <c r="D10" i="10"/>
  <c r="E124" i="10" l="1"/>
  <c r="E122" i="10"/>
  <c r="U130" i="16"/>
  <c r="X126" i="16"/>
  <c r="O130" i="16"/>
  <c r="N130" i="16"/>
  <c r="M130" i="16"/>
  <c r="E123" i="10"/>
  <c r="N108" i="12"/>
  <c r="N109" i="12"/>
  <c r="N110" i="12"/>
  <c r="N111" i="12"/>
  <c r="N112" i="12"/>
  <c r="N113" i="12"/>
  <c r="N114" i="12"/>
  <c r="N115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I122" i="11"/>
  <c r="I123" i="11"/>
  <c r="I124" i="11"/>
  <c r="I125" i="11"/>
  <c r="I126" i="11"/>
  <c r="I127" i="11"/>
  <c r="I121" i="11"/>
  <c r="F124" i="12"/>
  <c r="F123" i="12"/>
  <c r="F123" i="11"/>
  <c r="F124" i="11"/>
  <c r="L123" i="12" l="1"/>
  <c r="M123" i="12" s="1"/>
  <c r="N123" i="12" s="1"/>
  <c r="F129" i="12"/>
  <c r="L124" i="12"/>
  <c r="M124" i="12" s="1"/>
  <c r="N124" i="12" s="1"/>
  <c r="I129" i="12"/>
  <c r="I129" i="11"/>
  <c r="I130" i="10"/>
  <c r="F125" i="10" l="1"/>
  <c r="L125" i="10" s="1"/>
  <c r="F124" i="10"/>
  <c r="L124" i="10" l="1"/>
  <c r="M124" i="10" s="1"/>
  <c r="N124" i="10" s="1"/>
  <c r="G124" i="10"/>
  <c r="T130" i="10"/>
  <c r="M125" i="10"/>
  <c r="N125" i="10" s="1"/>
  <c r="D91" i="12" l="1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90" i="12"/>
  <c r="D217" i="6"/>
  <c r="M116" i="12"/>
  <c r="L116" i="12"/>
  <c r="K116" i="12"/>
  <c r="AG107" i="12"/>
  <c r="AD107" i="12"/>
  <c r="V107" i="12"/>
  <c r="AG106" i="12"/>
  <c r="AD106" i="12"/>
  <c r="V106" i="12"/>
  <c r="AG105" i="12"/>
  <c r="AD105" i="12"/>
  <c r="V105" i="12"/>
  <c r="AG104" i="12"/>
  <c r="AD104" i="12"/>
  <c r="V104" i="12"/>
  <c r="AG103" i="12"/>
  <c r="AD103" i="12"/>
  <c r="V103" i="12"/>
  <c r="AG102" i="12"/>
  <c r="AD102" i="12"/>
  <c r="V102" i="12"/>
  <c r="AG101" i="12"/>
  <c r="AD101" i="12"/>
  <c r="V101" i="12"/>
  <c r="AG100" i="12"/>
  <c r="AD100" i="12"/>
  <c r="V100" i="12"/>
  <c r="AG99" i="12"/>
  <c r="AD99" i="12"/>
  <c r="V99" i="12"/>
  <c r="AG98" i="12"/>
  <c r="AD98" i="12"/>
  <c r="V98" i="12"/>
  <c r="AG97" i="12"/>
  <c r="AD97" i="12"/>
  <c r="V97" i="12"/>
  <c r="AG96" i="12"/>
  <c r="AD96" i="12"/>
  <c r="V96" i="12"/>
  <c r="AG95" i="12"/>
  <c r="AD95" i="12"/>
  <c r="V95" i="12"/>
  <c r="AG94" i="12"/>
  <c r="AD94" i="12"/>
  <c r="V94" i="12"/>
  <c r="AG93" i="12"/>
  <c r="AD93" i="12"/>
  <c r="V93" i="12"/>
  <c r="AG92" i="12"/>
  <c r="AD92" i="12"/>
  <c r="V92" i="12"/>
  <c r="AG91" i="12"/>
  <c r="AD91" i="12"/>
  <c r="V91" i="12"/>
  <c r="AG90" i="12"/>
  <c r="AD90" i="12"/>
  <c r="V90" i="12"/>
  <c r="AG89" i="12"/>
  <c r="AD89" i="12"/>
  <c r="V89" i="12"/>
  <c r="D89" i="12"/>
  <c r="AG88" i="12"/>
  <c r="AD88" i="12"/>
  <c r="V88" i="12"/>
  <c r="D88" i="12"/>
  <c r="AG87" i="12"/>
  <c r="AD87" i="12"/>
  <c r="V87" i="12"/>
  <c r="D87" i="12"/>
  <c r="AG86" i="12"/>
  <c r="AD86" i="12"/>
  <c r="V86" i="12"/>
  <c r="D86" i="12"/>
  <c r="AG85" i="12"/>
  <c r="AD85" i="12"/>
  <c r="V85" i="12"/>
  <c r="D85" i="12"/>
  <c r="AG84" i="12"/>
  <c r="AD84" i="12"/>
  <c r="V84" i="12"/>
  <c r="N84" i="12"/>
  <c r="D84" i="12"/>
  <c r="AG83" i="12"/>
  <c r="AD83" i="12"/>
  <c r="V83" i="12"/>
  <c r="N83" i="12"/>
  <c r="D83" i="12"/>
  <c r="AG82" i="12"/>
  <c r="AD82" i="12"/>
  <c r="V82" i="12"/>
  <c r="N82" i="12"/>
  <c r="D82" i="12"/>
  <c r="AG81" i="12"/>
  <c r="AD81" i="12"/>
  <c r="V81" i="12"/>
  <c r="N81" i="12"/>
  <c r="D81" i="12"/>
  <c r="AG80" i="12"/>
  <c r="AD80" i="12"/>
  <c r="V80" i="12"/>
  <c r="N80" i="12"/>
  <c r="D80" i="12"/>
  <c r="AG79" i="12"/>
  <c r="AD79" i="12"/>
  <c r="V79" i="12"/>
  <c r="N79" i="12"/>
  <c r="D79" i="12"/>
  <c r="AG78" i="12"/>
  <c r="AD78" i="12"/>
  <c r="V78" i="12"/>
  <c r="N78" i="12"/>
  <c r="D78" i="12"/>
  <c r="AG77" i="12"/>
  <c r="AD77" i="12"/>
  <c r="V77" i="12"/>
  <c r="N77" i="12"/>
  <c r="D77" i="12"/>
  <c r="AG76" i="12"/>
  <c r="AD76" i="12"/>
  <c r="V76" i="12"/>
  <c r="N76" i="12"/>
  <c r="D76" i="12"/>
  <c r="AG75" i="12"/>
  <c r="AD75" i="12"/>
  <c r="V75" i="12"/>
  <c r="N75" i="12"/>
  <c r="D75" i="12"/>
  <c r="AG74" i="12"/>
  <c r="AD74" i="12"/>
  <c r="V74" i="12"/>
  <c r="N74" i="12"/>
  <c r="D74" i="12"/>
  <c r="AG73" i="12"/>
  <c r="AD73" i="12"/>
  <c r="V73" i="12"/>
  <c r="N73" i="12"/>
  <c r="D73" i="12"/>
  <c r="AG72" i="12"/>
  <c r="AD72" i="12"/>
  <c r="V72" i="12"/>
  <c r="N72" i="12"/>
  <c r="D72" i="12"/>
  <c r="AG71" i="12"/>
  <c r="AD71" i="12"/>
  <c r="V71" i="12"/>
  <c r="N71" i="12"/>
  <c r="D71" i="12"/>
  <c r="AG70" i="12"/>
  <c r="AD70" i="12"/>
  <c r="V70" i="12"/>
  <c r="N70" i="12"/>
  <c r="D70" i="12"/>
  <c r="AG69" i="12"/>
  <c r="AD69" i="12"/>
  <c r="V69" i="12"/>
  <c r="N69" i="12"/>
  <c r="D69" i="12"/>
  <c r="AG68" i="12"/>
  <c r="AD68" i="12"/>
  <c r="V68" i="12"/>
  <c r="N68" i="12"/>
  <c r="D68" i="12"/>
  <c r="AG67" i="12"/>
  <c r="AD67" i="12"/>
  <c r="V67" i="12"/>
  <c r="N67" i="12"/>
  <c r="D67" i="12"/>
  <c r="AG66" i="12"/>
  <c r="AD66" i="12"/>
  <c r="V66" i="12"/>
  <c r="N66" i="12"/>
  <c r="D66" i="12"/>
  <c r="AG65" i="12"/>
  <c r="AD65" i="12"/>
  <c r="V65" i="12"/>
  <c r="N65" i="12"/>
  <c r="D65" i="12"/>
  <c r="AG64" i="12"/>
  <c r="AD64" i="12"/>
  <c r="V64" i="12"/>
  <c r="N64" i="12"/>
  <c r="D64" i="12"/>
  <c r="AG63" i="12"/>
  <c r="AD63" i="12"/>
  <c r="V63" i="12"/>
  <c r="N63" i="12"/>
  <c r="D63" i="12"/>
  <c r="AG62" i="12"/>
  <c r="AD62" i="12"/>
  <c r="V62" i="12"/>
  <c r="N62" i="12"/>
  <c r="D62" i="12"/>
  <c r="AG61" i="12"/>
  <c r="AD61" i="12"/>
  <c r="V61" i="12"/>
  <c r="N61" i="12"/>
  <c r="D61" i="12"/>
  <c r="AG60" i="12"/>
  <c r="AD60" i="12"/>
  <c r="V60" i="12"/>
  <c r="N60" i="12"/>
  <c r="D60" i="12"/>
  <c r="AG59" i="12"/>
  <c r="AD59" i="12"/>
  <c r="V59" i="12"/>
  <c r="N59" i="12"/>
  <c r="D59" i="12"/>
  <c r="AG58" i="12"/>
  <c r="AD58" i="12"/>
  <c r="V58" i="12"/>
  <c r="N58" i="12"/>
  <c r="D58" i="12"/>
  <c r="AG57" i="12"/>
  <c r="AD57" i="12"/>
  <c r="V57" i="12"/>
  <c r="N57" i="12"/>
  <c r="D57" i="12"/>
  <c r="AG56" i="12"/>
  <c r="AD56" i="12"/>
  <c r="V56" i="12"/>
  <c r="N56" i="12"/>
  <c r="D56" i="12"/>
  <c r="AG55" i="12"/>
  <c r="AD55" i="12"/>
  <c r="V55" i="12"/>
  <c r="N55" i="12"/>
  <c r="D55" i="12"/>
  <c r="AG54" i="12"/>
  <c r="AD54" i="12"/>
  <c r="V54" i="12"/>
  <c r="N54" i="12"/>
  <c r="D54" i="12"/>
  <c r="AG53" i="12"/>
  <c r="AD53" i="12"/>
  <c r="V53" i="12"/>
  <c r="N53" i="12"/>
  <c r="D53" i="12"/>
  <c r="AG52" i="12"/>
  <c r="AD52" i="12"/>
  <c r="V52" i="12"/>
  <c r="N52" i="12"/>
  <c r="D52" i="12"/>
  <c r="AG51" i="12"/>
  <c r="AD51" i="12"/>
  <c r="V51" i="12"/>
  <c r="N51" i="12"/>
  <c r="D51" i="12"/>
  <c r="AG50" i="12"/>
  <c r="AD50" i="12"/>
  <c r="V50" i="12"/>
  <c r="N50" i="12"/>
  <c r="D50" i="12"/>
  <c r="AG49" i="12"/>
  <c r="AD49" i="12"/>
  <c r="V49" i="12"/>
  <c r="N49" i="12"/>
  <c r="D49" i="12"/>
  <c r="AG48" i="12"/>
  <c r="AD48" i="12"/>
  <c r="V48" i="12"/>
  <c r="N48" i="12"/>
  <c r="D48" i="12"/>
  <c r="AG47" i="12"/>
  <c r="AD47" i="12"/>
  <c r="V47" i="12"/>
  <c r="N47" i="12"/>
  <c r="D47" i="12"/>
  <c r="AG46" i="12"/>
  <c r="AD46" i="12"/>
  <c r="V46" i="12"/>
  <c r="N46" i="12"/>
  <c r="D46" i="12"/>
  <c r="AG45" i="12"/>
  <c r="AD45" i="12"/>
  <c r="V45" i="12"/>
  <c r="N45" i="12"/>
  <c r="D45" i="12"/>
  <c r="AG44" i="12"/>
  <c r="AD44" i="12"/>
  <c r="V44" i="12"/>
  <c r="N44" i="12"/>
  <c r="D44" i="12"/>
  <c r="V43" i="12"/>
  <c r="N43" i="12"/>
  <c r="D43" i="12"/>
  <c r="V42" i="12"/>
  <c r="N42" i="12"/>
  <c r="D42" i="12"/>
  <c r="V41" i="12"/>
  <c r="N41" i="12"/>
  <c r="D41" i="12"/>
  <c r="V40" i="12"/>
  <c r="N40" i="12"/>
  <c r="D40" i="12"/>
  <c r="V39" i="12"/>
  <c r="N39" i="12"/>
  <c r="D39" i="12"/>
  <c r="V38" i="12"/>
  <c r="N38" i="12"/>
  <c r="D38" i="12"/>
  <c r="V37" i="12"/>
  <c r="N37" i="12"/>
  <c r="D37" i="12"/>
  <c r="V36" i="12"/>
  <c r="N36" i="12"/>
  <c r="D36" i="12"/>
  <c r="V35" i="12"/>
  <c r="N35" i="12"/>
  <c r="D35" i="12"/>
  <c r="V34" i="12"/>
  <c r="N34" i="12"/>
  <c r="D34" i="12"/>
  <c r="V33" i="12"/>
  <c r="N33" i="12"/>
  <c r="D33" i="12"/>
  <c r="V32" i="12"/>
  <c r="N32" i="12"/>
  <c r="D32" i="12"/>
  <c r="V31" i="12"/>
  <c r="N31" i="12"/>
  <c r="D31" i="12"/>
  <c r="V30" i="12"/>
  <c r="N30" i="12"/>
  <c r="D30" i="12"/>
  <c r="V29" i="12"/>
  <c r="N29" i="12"/>
  <c r="D29" i="12"/>
  <c r="V28" i="12"/>
  <c r="N28" i="12"/>
  <c r="D28" i="12"/>
  <c r="V27" i="12"/>
  <c r="N27" i="12"/>
  <c r="D27" i="12"/>
  <c r="V26" i="12"/>
  <c r="N26" i="12"/>
  <c r="D26" i="12"/>
  <c r="V25" i="12"/>
  <c r="N25" i="12"/>
  <c r="D25" i="12"/>
  <c r="V24" i="12"/>
  <c r="N24" i="12"/>
  <c r="D24" i="12"/>
  <c r="V23" i="12"/>
  <c r="N23" i="12"/>
  <c r="D23" i="12"/>
  <c r="V22" i="12"/>
  <c r="N22" i="12"/>
  <c r="D22" i="12"/>
  <c r="V21" i="12"/>
  <c r="N21" i="12"/>
  <c r="D21" i="12"/>
  <c r="V20" i="12"/>
  <c r="N20" i="12"/>
  <c r="D20" i="12"/>
  <c r="V19" i="12"/>
  <c r="N19" i="12"/>
  <c r="D19" i="12"/>
  <c r="V18" i="12"/>
  <c r="N18" i="12"/>
  <c r="D18" i="12"/>
  <c r="V17" i="12"/>
  <c r="N17" i="12"/>
  <c r="D17" i="12"/>
  <c r="V16" i="12"/>
  <c r="N16" i="12"/>
  <c r="D16" i="12"/>
  <c r="V15" i="12"/>
  <c r="N15" i="12"/>
  <c r="D15" i="12"/>
  <c r="V14" i="12"/>
  <c r="N14" i="12"/>
  <c r="D14" i="12"/>
  <c r="V13" i="12"/>
  <c r="N13" i="12"/>
  <c r="D13" i="12"/>
  <c r="V12" i="12"/>
  <c r="N12" i="12"/>
  <c r="D12" i="12"/>
  <c r="V11" i="12"/>
  <c r="N11" i="12"/>
  <c r="D11" i="12"/>
  <c r="V10" i="12"/>
  <c r="N10" i="12"/>
  <c r="D10" i="12"/>
  <c r="V9" i="12"/>
  <c r="N9" i="12"/>
  <c r="D9" i="12"/>
  <c r="V8" i="12"/>
  <c r="N8" i="12"/>
  <c r="D8" i="12"/>
  <c r="V7" i="12"/>
  <c r="N7" i="12"/>
  <c r="D7" i="12"/>
  <c r="AJ6" i="12"/>
  <c r="AJ7" i="12" s="1"/>
  <c r="AJ8" i="12" s="1"/>
  <c r="AJ9" i="12" s="1"/>
  <c r="AJ10" i="12" s="1"/>
  <c r="AJ11" i="12" s="1"/>
  <c r="AJ12" i="12" s="1"/>
  <c r="AJ13" i="12" s="1"/>
  <c r="AJ14" i="12" s="1"/>
  <c r="AJ15" i="12" s="1"/>
  <c r="AJ16" i="12" s="1"/>
  <c r="AJ17" i="12" s="1"/>
  <c r="AJ18" i="12" s="1"/>
  <c r="AJ19" i="12" s="1"/>
  <c r="AJ20" i="12" s="1"/>
  <c r="AJ21" i="12" s="1"/>
  <c r="AJ22" i="12" s="1"/>
  <c r="AJ23" i="12" s="1"/>
  <c r="AJ24" i="12" s="1"/>
  <c r="AJ25" i="12" s="1"/>
  <c r="AJ26" i="12" s="1"/>
  <c r="AJ27" i="12" s="1"/>
  <c r="AJ28" i="12" s="1"/>
  <c r="AJ29" i="12" s="1"/>
  <c r="AJ30" i="12" s="1"/>
  <c r="AJ31" i="12" s="1"/>
  <c r="AJ32" i="12" s="1"/>
  <c r="AJ33" i="12" s="1"/>
  <c r="AJ34" i="12" s="1"/>
  <c r="AJ35" i="12" s="1"/>
  <c r="AJ36" i="12" s="1"/>
  <c r="AJ37" i="12" s="1"/>
  <c r="AJ38" i="12" s="1"/>
  <c r="AJ39" i="12" s="1"/>
  <c r="AJ40" i="12" s="1"/>
  <c r="AJ41" i="12" s="1"/>
  <c r="AJ42" i="12" s="1"/>
  <c r="AJ43" i="12" s="1"/>
  <c r="AJ44" i="12" s="1"/>
  <c r="AJ45" i="12" s="1"/>
  <c r="AJ46" i="12" s="1"/>
  <c r="AJ47" i="12" s="1"/>
  <c r="AJ48" i="12" s="1"/>
  <c r="AJ49" i="12" s="1"/>
  <c r="AJ50" i="12" s="1"/>
  <c r="AJ51" i="12" s="1"/>
  <c r="AJ52" i="12" s="1"/>
  <c r="AJ53" i="12" s="1"/>
  <c r="AJ54" i="12" s="1"/>
  <c r="AJ55" i="12" s="1"/>
  <c r="AJ56" i="12" s="1"/>
  <c r="AJ57" i="12" s="1"/>
  <c r="AJ58" i="12" s="1"/>
  <c r="AJ59" i="12" s="1"/>
  <c r="AJ60" i="12" s="1"/>
  <c r="AJ61" i="12" s="1"/>
  <c r="AJ62" i="12" s="1"/>
  <c r="AJ63" i="12" s="1"/>
  <c r="AJ64" i="12" s="1"/>
  <c r="AJ65" i="12" s="1"/>
  <c r="AJ66" i="12" s="1"/>
  <c r="AJ67" i="12" s="1"/>
  <c r="AJ68" i="12" s="1"/>
  <c r="AJ69" i="12" s="1"/>
  <c r="AJ70" i="12" s="1"/>
  <c r="AJ71" i="12" s="1"/>
  <c r="AJ72" i="12" s="1"/>
  <c r="AJ73" i="12" s="1"/>
  <c r="AJ74" i="12" s="1"/>
  <c r="AJ75" i="12" s="1"/>
  <c r="AJ76" i="12" s="1"/>
  <c r="AJ77" i="12" s="1"/>
  <c r="AJ78" i="12" s="1"/>
  <c r="AJ79" i="12" s="1"/>
  <c r="AJ80" i="12" s="1"/>
  <c r="AJ81" i="12" s="1"/>
  <c r="AJ82" i="12" s="1"/>
  <c r="AJ83" i="12" s="1"/>
  <c r="AJ84" i="12" s="1"/>
  <c r="AJ85" i="12" s="1"/>
  <c r="AJ86" i="12" s="1"/>
  <c r="AJ87" i="12" s="1"/>
  <c r="AJ88" i="12" s="1"/>
  <c r="AJ89" i="12" s="1"/>
  <c r="AJ90" i="12" s="1"/>
  <c r="AJ91" i="12" s="1"/>
  <c r="AJ92" i="12" s="1"/>
  <c r="AJ93" i="12" s="1"/>
  <c r="AJ94" i="12" s="1"/>
  <c r="AJ95" i="12" s="1"/>
  <c r="AJ96" i="12" s="1"/>
  <c r="AJ97" i="12" s="1"/>
  <c r="AJ98" i="12" s="1"/>
  <c r="AJ99" i="12" s="1"/>
  <c r="AJ100" i="12" s="1"/>
  <c r="AJ101" i="12" s="1"/>
  <c r="AJ102" i="12" s="1"/>
  <c r="AJ103" i="12" s="1"/>
  <c r="AJ104" i="12" s="1"/>
  <c r="AJ105" i="12" s="1"/>
  <c r="AJ106" i="12" s="1"/>
  <c r="AJ107" i="12" s="1"/>
  <c r="AJ108" i="12" s="1"/>
  <c r="AJ109" i="12" s="1"/>
  <c r="AJ110" i="12" s="1"/>
  <c r="AJ111" i="12" s="1"/>
  <c r="AJ112" i="12" s="1"/>
  <c r="AJ113" i="12" s="1"/>
  <c r="AJ114" i="12" s="1"/>
  <c r="AJ115" i="12" s="1"/>
  <c r="AG6" i="12"/>
  <c r="AG7" i="12" s="1"/>
  <c r="AG8" i="12" s="1"/>
  <c r="AG9" i="12" s="1"/>
  <c r="AG10" i="12" s="1"/>
  <c r="AG11" i="12" s="1"/>
  <c r="AG12" i="12" s="1"/>
  <c r="AG13" i="12" s="1"/>
  <c r="AG14" i="12" s="1"/>
  <c r="AG15" i="12" s="1"/>
  <c r="AG16" i="12" s="1"/>
  <c r="AG17" i="12" s="1"/>
  <c r="AG18" i="12" s="1"/>
  <c r="AG19" i="12" s="1"/>
  <c r="AG20" i="12" s="1"/>
  <c r="AG21" i="12" s="1"/>
  <c r="AG22" i="12" s="1"/>
  <c r="AG23" i="12" s="1"/>
  <c r="AG24" i="12" s="1"/>
  <c r="AG25" i="12" s="1"/>
  <c r="AG26" i="12" s="1"/>
  <c r="AG27" i="12" s="1"/>
  <c r="AG28" i="12" s="1"/>
  <c r="AG29" i="12" s="1"/>
  <c r="AG30" i="12" s="1"/>
  <c r="AG31" i="12" s="1"/>
  <c r="AG32" i="12" s="1"/>
  <c r="AG33" i="12" s="1"/>
  <c r="AG34" i="12" s="1"/>
  <c r="AG35" i="12" s="1"/>
  <c r="AG36" i="12" s="1"/>
  <c r="AG37" i="12" s="1"/>
  <c r="AG38" i="12" s="1"/>
  <c r="AG39" i="12" s="1"/>
  <c r="AG40" i="12" s="1"/>
  <c r="AG41" i="12" s="1"/>
  <c r="AG42" i="12" s="1"/>
  <c r="AG43" i="12" s="1"/>
  <c r="AD6" i="12"/>
  <c r="AD7" i="12" s="1"/>
  <c r="AD8" i="12" s="1"/>
  <c r="AD9" i="12" s="1"/>
  <c r="AD10" i="12" s="1"/>
  <c r="AD11" i="12" s="1"/>
  <c r="AD12" i="12" s="1"/>
  <c r="AD13" i="12" s="1"/>
  <c r="AD14" i="12" s="1"/>
  <c r="AD15" i="12" s="1"/>
  <c r="AD16" i="12" s="1"/>
  <c r="AD17" i="12" s="1"/>
  <c r="AD18" i="12" s="1"/>
  <c r="AD19" i="12" s="1"/>
  <c r="AD20" i="12" s="1"/>
  <c r="AD21" i="12" s="1"/>
  <c r="AD22" i="12" s="1"/>
  <c r="AD23" i="12" s="1"/>
  <c r="AD24" i="12" s="1"/>
  <c r="AD25" i="12" s="1"/>
  <c r="AD26" i="12" s="1"/>
  <c r="AD27" i="12" s="1"/>
  <c r="AD28" i="12" s="1"/>
  <c r="AD29" i="12" s="1"/>
  <c r="AD30" i="12" s="1"/>
  <c r="AD31" i="12" s="1"/>
  <c r="AD32" i="12" s="1"/>
  <c r="AD33" i="12" s="1"/>
  <c r="AD34" i="12" s="1"/>
  <c r="AD35" i="12" s="1"/>
  <c r="AD36" i="12" s="1"/>
  <c r="AD37" i="12" s="1"/>
  <c r="AD38" i="12" s="1"/>
  <c r="AD39" i="12" s="1"/>
  <c r="AD40" i="12" s="1"/>
  <c r="AD41" i="12" s="1"/>
  <c r="AD42" i="12" s="1"/>
  <c r="AD43" i="12" s="1"/>
  <c r="AA6" i="12"/>
  <c r="AA7" i="12" s="1"/>
  <c r="AA8" i="12" s="1"/>
  <c r="AA9" i="12" s="1"/>
  <c r="AA10" i="12" s="1"/>
  <c r="AA11" i="12" s="1"/>
  <c r="AA12" i="12" s="1"/>
  <c r="AA13" i="12" s="1"/>
  <c r="AA14" i="12" s="1"/>
  <c r="AA15" i="12" s="1"/>
  <c r="AA16" i="12" s="1"/>
  <c r="AA17" i="12" s="1"/>
  <c r="AA18" i="12" s="1"/>
  <c r="AA19" i="12" s="1"/>
  <c r="AA20" i="12" s="1"/>
  <c r="AA21" i="12" s="1"/>
  <c r="AA22" i="12" s="1"/>
  <c r="AA23" i="12" s="1"/>
  <c r="AA24" i="12" s="1"/>
  <c r="AA25" i="12" s="1"/>
  <c r="AA26" i="12" s="1"/>
  <c r="AA27" i="12" s="1"/>
  <c r="AA28" i="12" s="1"/>
  <c r="AA29" i="12" s="1"/>
  <c r="AA30" i="12" s="1"/>
  <c r="AA31" i="12" s="1"/>
  <c r="AA32" i="12" s="1"/>
  <c r="AA33" i="12" s="1"/>
  <c r="AA34" i="12" s="1"/>
  <c r="AA35" i="12" s="1"/>
  <c r="AA36" i="12" s="1"/>
  <c r="AA37" i="12" s="1"/>
  <c r="AA38" i="12" s="1"/>
  <c r="AA39" i="12" s="1"/>
  <c r="AA40" i="12" s="1"/>
  <c r="AA41" i="12" s="1"/>
  <c r="AA42" i="12" s="1"/>
  <c r="X6" i="12"/>
  <c r="V6" i="12"/>
  <c r="P6" i="12"/>
  <c r="E123" i="12" l="1"/>
  <c r="G123" i="12" s="1"/>
  <c r="E127" i="12"/>
  <c r="M127" i="12" s="1"/>
  <c r="N127" i="12" s="1"/>
  <c r="X7" i="12"/>
  <c r="X8" i="12" s="1"/>
  <c r="X9" i="12" s="1"/>
  <c r="X10" i="12" s="1"/>
  <c r="X11" i="12" s="1"/>
  <c r="X12" i="12" s="1"/>
  <c r="X13" i="12" s="1"/>
  <c r="X14" i="12" s="1"/>
  <c r="X15" i="12" s="1"/>
  <c r="X16" i="12" s="1"/>
  <c r="X17" i="12" s="1"/>
  <c r="X18" i="12" s="1"/>
  <c r="X19" i="12" s="1"/>
  <c r="X20" i="12" s="1"/>
  <c r="X21" i="12" s="1"/>
  <c r="X22" i="12" s="1"/>
  <c r="X23" i="12" s="1"/>
  <c r="X24" i="12" s="1"/>
  <c r="X25" i="12" s="1"/>
  <c r="X26" i="12" s="1"/>
  <c r="X27" i="12" s="1"/>
  <c r="X28" i="12" s="1"/>
  <c r="X29" i="12" s="1"/>
  <c r="X30" i="12" s="1"/>
  <c r="X31" i="12" s="1"/>
  <c r="X32" i="12" s="1"/>
  <c r="X33" i="12" s="1"/>
  <c r="X34" i="12" s="1"/>
  <c r="X35" i="12" s="1"/>
  <c r="X36" i="12" s="1"/>
  <c r="X37" i="12" s="1"/>
  <c r="X38" i="12" s="1"/>
  <c r="X39" i="12" s="1"/>
  <c r="X40" i="12" s="1"/>
  <c r="X41" i="12" s="1"/>
  <c r="X42" i="12" s="1"/>
  <c r="X43" i="12" s="1"/>
  <c r="X44" i="12" s="1"/>
  <c r="X45" i="12" s="1"/>
  <c r="X46" i="12" s="1"/>
  <c r="X47" i="12" s="1"/>
  <c r="X48" i="12" s="1"/>
  <c r="X49" i="12" s="1"/>
  <c r="X50" i="12" s="1"/>
  <c r="X51" i="12" s="1"/>
  <c r="X52" i="12" s="1"/>
  <c r="X53" i="12" s="1"/>
  <c r="X54" i="12" s="1"/>
  <c r="X55" i="12" s="1"/>
  <c r="X56" i="12" s="1"/>
  <c r="X57" i="12" s="1"/>
  <c r="X58" i="12" s="1"/>
  <c r="X59" i="12" s="1"/>
  <c r="X60" i="12" s="1"/>
  <c r="X61" i="12" s="1"/>
  <c r="X62" i="12" s="1"/>
  <c r="X63" i="12" s="1"/>
  <c r="X64" i="12" s="1"/>
  <c r="X65" i="12" s="1"/>
  <c r="X66" i="12" s="1"/>
  <c r="X67" i="12" s="1"/>
  <c r="X68" i="12" s="1"/>
  <c r="X69" i="12" s="1"/>
  <c r="X70" i="12" s="1"/>
  <c r="X71" i="12" s="1"/>
  <c r="X72" i="12" s="1"/>
  <c r="X73" i="12" s="1"/>
  <c r="X74" i="12" s="1"/>
  <c r="X75" i="12" s="1"/>
  <c r="X76" i="12" s="1"/>
  <c r="X77" i="12" s="1"/>
  <c r="X78" i="12" s="1"/>
  <c r="X79" i="12" s="1"/>
  <c r="X80" i="12" s="1"/>
  <c r="X81" i="12" s="1"/>
  <c r="X82" i="12" s="1"/>
  <c r="X83" i="12" s="1"/>
  <c r="X84" i="12" s="1"/>
  <c r="X85" i="12" s="1"/>
  <c r="X86" i="12" s="1"/>
  <c r="X87" i="12" s="1"/>
  <c r="X88" i="12" s="1"/>
  <c r="X89" i="12" s="1"/>
  <c r="X90" i="12" s="1"/>
  <c r="X91" i="12" s="1"/>
  <c r="X92" i="12" s="1"/>
  <c r="X93" i="12" s="1"/>
  <c r="X94" i="12" s="1"/>
  <c r="X95" i="12" s="1"/>
  <c r="X96" i="12" s="1"/>
  <c r="X97" i="12" s="1"/>
  <c r="X98" i="12" s="1"/>
  <c r="X99" i="12" s="1"/>
  <c r="X100" i="12" s="1"/>
  <c r="X101" i="12" s="1"/>
  <c r="X102" i="12" s="1"/>
  <c r="X103" i="12" s="1"/>
  <c r="X104" i="12" s="1"/>
  <c r="X105" i="12" s="1"/>
  <c r="X106" i="12" s="1"/>
  <c r="X107" i="12" s="1"/>
  <c r="E125" i="12"/>
  <c r="U124" i="12" s="1"/>
  <c r="E122" i="12"/>
  <c r="M122" i="12" s="1"/>
  <c r="N122" i="12" s="1"/>
  <c r="E124" i="12"/>
  <c r="E126" i="12"/>
  <c r="U125" i="12" s="1"/>
  <c r="O123" i="12"/>
  <c r="E121" i="12"/>
  <c r="P7" i="12"/>
  <c r="P8" i="12" s="1"/>
  <c r="P9" i="12" s="1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P42" i="12" s="1"/>
  <c r="P43" i="12" s="1"/>
  <c r="P44" i="12" s="1"/>
  <c r="P45" i="12" s="1"/>
  <c r="P46" i="12" s="1"/>
  <c r="P47" i="12" s="1"/>
  <c r="P48" i="12" s="1"/>
  <c r="P49" i="12" s="1"/>
  <c r="P50" i="12" s="1"/>
  <c r="P51" i="12" s="1"/>
  <c r="P52" i="12" s="1"/>
  <c r="P53" i="12" s="1"/>
  <c r="P54" i="12" s="1"/>
  <c r="P55" i="12" s="1"/>
  <c r="P56" i="12" s="1"/>
  <c r="P57" i="12" s="1"/>
  <c r="P58" i="12" s="1"/>
  <c r="P59" i="12" s="1"/>
  <c r="P60" i="12" s="1"/>
  <c r="P61" i="12" s="1"/>
  <c r="P62" i="12" s="1"/>
  <c r="P63" i="12" s="1"/>
  <c r="P64" i="12" s="1"/>
  <c r="P65" i="12" s="1"/>
  <c r="P66" i="12" s="1"/>
  <c r="P67" i="12" s="1"/>
  <c r="P68" i="12" s="1"/>
  <c r="P69" i="12" s="1"/>
  <c r="P70" i="12" s="1"/>
  <c r="P71" i="12" s="1"/>
  <c r="P72" i="12" s="1"/>
  <c r="P73" i="12" s="1"/>
  <c r="P74" i="12" s="1"/>
  <c r="P75" i="12" s="1"/>
  <c r="P76" i="12" s="1"/>
  <c r="P77" i="12" s="1"/>
  <c r="P78" i="12" s="1"/>
  <c r="P79" i="12" s="1"/>
  <c r="P80" i="12" s="1"/>
  <c r="P81" i="12" s="1"/>
  <c r="P82" i="12" s="1"/>
  <c r="P83" i="12" s="1"/>
  <c r="P84" i="12" s="1"/>
  <c r="P85" i="12" s="1"/>
  <c r="P86" i="12" s="1"/>
  <c r="P87" i="12" s="1"/>
  <c r="P88" i="12" s="1"/>
  <c r="P89" i="12" s="1"/>
  <c r="P90" i="12" s="1"/>
  <c r="P91" i="12" s="1"/>
  <c r="P92" i="12" s="1"/>
  <c r="P93" i="12" s="1"/>
  <c r="P94" i="12" s="1"/>
  <c r="P95" i="12" s="1"/>
  <c r="P96" i="12" s="1"/>
  <c r="P97" i="12" s="1"/>
  <c r="P98" i="12" s="1"/>
  <c r="P99" i="12" s="1"/>
  <c r="P100" i="12" s="1"/>
  <c r="P101" i="12" s="1"/>
  <c r="P102" i="12" s="1"/>
  <c r="P103" i="12" s="1"/>
  <c r="P104" i="12" s="1"/>
  <c r="P105" i="12" s="1"/>
  <c r="P106" i="12" s="1"/>
  <c r="P107" i="12" s="1"/>
  <c r="N117" i="12"/>
  <c r="AA44" i="12"/>
  <c r="AA46" i="12" s="1"/>
  <c r="AA48" i="12" s="1"/>
  <c r="AA50" i="12" s="1"/>
  <c r="AA52" i="12" s="1"/>
  <c r="AA54" i="12" s="1"/>
  <c r="AA56" i="12" s="1"/>
  <c r="AA58" i="12" s="1"/>
  <c r="AA60" i="12" s="1"/>
  <c r="AA62" i="12" s="1"/>
  <c r="AA64" i="12" s="1"/>
  <c r="AA66" i="12" s="1"/>
  <c r="AA68" i="12" s="1"/>
  <c r="AA70" i="12" s="1"/>
  <c r="AA72" i="12" s="1"/>
  <c r="AA74" i="12" s="1"/>
  <c r="AA76" i="12" s="1"/>
  <c r="AA78" i="12" s="1"/>
  <c r="AA80" i="12" s="1"/>
  <c r="AA82" i="12" s="1"/>
  <c r="AA84" i="12" s="1"/>
  <c r="AA86" i="12" s="1"/>
  <c r="AA88" i="12" s="1"/>
  <c r="AA90" i="12" s="1"/>
  <c r="AA92" i="12" s="1"/>
  <c r="AA94" i="12" s="1"/>
  <c r="AA96" i="12" s="1"/>
  <c r="AA98" i="12" s="1"/>
  <c r="AA100" i="12" s="1"/>
  <c r="AA102" i="12" s="1"/>
  <c r="AA104" i="12" s="1"/>
  <c r="AA106" i="12" s="1"/>
  <c r="AA108" i="12" s="1"/>
  <c r="AA110" i="12" s="1"/>
  <c r="AA112" i="12" s="1"/>
  <c r="AA114" i="12" s="1"/>
  <c r="AA43" i="12"/>
  <c r="AA45" i="12" s="1"/>
  <c r="AA47" i="12" s="1"/>
  <c r="AA49" i="12" s="1"/>
  <c r="AA51" i="12" s="1"/>
  <c r="AA53" i="12" s="1"/>
  <c r="AA55" i="12" s="1"/>
  <c r="AA57" i="12" s="1"/>
  <c r="AA59" i="12" s="1"/>
  <c r="AA61" i="12" s="1"/>
  <c r="AA63" i="12" s="1"/>
  <c r="AA65" i="12" s="1"/>
  <c r="AA67" i="12" s="1"/>
  <c r="AA69" i="12" s="1"/>
  <c r="AA71" i="12" s="1"/>
  <c r="AA73" i="12" s="1"/>
  <c r="AA75" i="12" s="1"/>
  <c r="AA77" i="12" s="1"/>
  <c r="AA79" i="12" s="1"/>
  <c r="AA81" i="12" s="1"/>
  <c r="AA83" i="12" s="1"/>
  <c r="AA85" i="12" s="1"/>
  <c r="AA87" i="12" s="1"/>
  <c r="AA89" i="12" s="1"/>
  <c r="AA91" i="12" s="1"/>
  <c r="AA93" i="12" s="1"/>
  <c r="AA95" i="12" s="1"/>
  <c r="AA97" i="12" s="1"/>
  <c r="AA99" i="12" s="1"/>
  <c r="AA101" i="12" s="1"/>
  <c r="AA103" i="12" s="1"/>
  <c r="AA105" i="12" s="1"/>
  <c r="AA107" i="12" s="1"/>
  <c r="AA109" i="12" s="1"/>
  <c r="AA111" i="12" s="1"/>
  <c r="AA113" i="12" s="1"/>
  <c r="AA115" i="12" s="1"/>
  <c r="D116" i="12"/>
  <c r="U122" i="12" l="1"/>
  <c r="U123" i="12"/>
  <c r="J124" i="12"/>
  <c r="G124" i="12"/>
  <c r="G129" i="12" s="1"/>
  <c r="J127" i="12"/>
  <c r="J122" i="12"/>
  <c r="O124" i="12"/>
  <c r="O129" i="12" s="1"/>
  <c r="U121" i="12"/>
  <c r="W121" i="12"/>
  <c r="Y121" i="12" s="1"/>
  <c r="J123" i="12"/>
  <c r="M126" i="12"/>
  <c r="N126" i="12" s="1"/>
  <c r="J126" i="12"/>
  <c r="M121" i="12"/>
  <c r="E129" i="12"/>
  <c r="J121" i="12"/>
  <c r="M125" i="12"/>
  <c r="N125" i="12" s="1"/>
  <c r="J125" i="12"/>
  <c r="N115" i="10"/>
  <c r="X115" i="10"/>
  <c r="AD115" i="10"/>
  <c r="AG115" i="10"/>
  <c r="N106" i="11"/>
  <c r="N104" i="11"/>
  <c r="N102" i="11"/>
  <c r="N100" i="11"/>
  <c r="N98" i="11"/>
  <c r="N96" i="11"/>
  <c r="N94" i="11"/>
  <c r="N92" i="11"/>
  <c r="N90" i="11"/>
  <c r="N88" i="11"/>
  <c r="N86" i="11"/>
  <c r="N84" i="11"/>
  <c r="N82" i="11"/>
  <c r="N80" i="11"/>
  <c r="N78" i="11"/>
  <c r="N76" i="11"/>
  <c r="N74" i="11"/>
  <c r="N72" i="11"/>
  <c r="N70" i="11"/>
  <c r="N68" i="11"/>
  <c r="N66" i="11"/>
  <c r="N64" i="11"/>
  <c r="N62" i="11"/>
  <c r="N60" i="11"/>
  <c r="N58" i="11"/>
  <c r="N56" i="11"/>
  <c r="N54" i="11"/>
  <c r="N52" i="11"/>
  <c r="N50" i="11"/>
  <c r="N48" i="11"/>
  <c r="N46" i="11"/>
  <c r="N44" i="11"/>
  <c r="N43" i="11"/>
  <c r="N42" i="11"/>
  <c r="N39" i="11"/>
  <c r="N38" i="11"/>
  <c r="N34" i="11"/>
  <c r="N31" i="11"/>
  <c r="N30" i="11"/>
  <c r="N27" i="11"/>
  <c r="N26" i="11"/>
  <c r="N22" i="11"/>
  <c r="N19" i="11"/>
  <c r="N18" i="11"/>
  <c r="N15" i="11"/>
  <c r="N14" i="11"/>
  <c r="N10" i="11"/>
  <c r="P6" i="11"/>
  <c r="V6" i="11"/>
  <c r="X6" i="11"/>
  <c r="AA6" i="11"/>
  <c r="AA7" i="11" s="1"/>
  <c r="AA8" i="11" s="1"/>
  <c r="AA9" i="11" s="1"/>
  <c r="AA10" i="11" s="1"/>
  <c r="AA11" i="11" s="1"/>
  <c r="AA12" i="11" s="1"/>
  <c r="AA13" i="11" s="1"/>
  <c r="AA14" i="11" s="1"/>
  <c r="AA15" i="11" s="1"/>
  <c r="AA16" i="11" s="1"/>
  <c r="AA17" i="11" s="1"/>
  <c r="AA18" i="11" s="1"/>
  <c r="AA19" i="11" s="1"/>
  <c r="AA20" i="11" s="1"/>
  <c r="AA21" i="11" s="1"/>
  <c r="AA22" i="11" s="1"/>
  <c r="AA23" i="11" s="1"/>
  <c r="AA24" i="11" s="1"/>
  <c r="AA25" i="11" s="1"/>
  <c r="AA26" i="11" s="1"/>
  <c r="AA27" i="11" s="1"/>
  <c r="AA28" i="11" s="1"/>
  <c r="AA29" i="11" s="1"/>
  <c r="AA30" i="11" s="1"/>
  <c r="AA31" i="11" s="1"/>
  <c r="AA32" i="11" s="1"/>
  <c r="AA33" i="11" s="1"/>
  <c r="AA34" i="11" s="1"/>
  <c r="AA35" i="11" s="1"/>
  <c r="AA36" i="11" s="1"/>
  <c r="AA37" i="11" s="1"/>
  <c r="AA38" i="11" s="1"/>
  <c r="AA39" i="11" s="1"/>
  <c r="AA40" i="11" s="1"/>
  <c r="AA41" i="11" s="1"/>
  <c r="AA42" i="11" s="1"/>
  <c r="AD6" i="11"/>
  <c r="AD7" i="11" s="1"/>
  <c r="AD8" i="11" s="1"/>
  <c r="AD9" i="11" s="1"/>
  <c r="AD10" i="11" s="1"/>
  <c r="AD11" i="11" s="1"/>
  <c r="AD12" i="11" s="1"/>
  <c r="AD13" i="11" s="1"/>
  <c r="AD14" i="11" s="1"/>
  <c r="AD15" i="11" s="1"/>
  <c r="AD16" i="11" s="1"/>
  <c r="AD17" i="11" s="1"/>
  <c r="AD18" i="11" s="1"/>
  <c r="AD19" i="11" s="1"/>
  <c r="AD20" i="11" s="1"/>
  <c r="AD21" i="11" s="1"/>
  <c r="AD22" i="11" s="1"/>
  <c r="AD23" i="11" s="1"/>
  <c r="AD24" i="11" s="1"/>
  <c r="AD25" i="11" s="1"/>
  <c r="AD26" i="11" s="1"/>
  <c r="AD27" i="11" s="1"/>
  <c r="AD28" i="11" s="1"/>
  <c r="AD29" i="11" s="1"/>
  <c r="AD30" i="11" s="1"/>
  <c r="AD31" i="11" s="1"/>
  <c r="AD32" i="11" s="1"/>
  <c r="AD33" i="11" s="1"/>
  <c r="AD34" i="11" s="1"/>
  <c r="AD35" i="11" s="1"/>
  <c r="AD36" i="11" s="1"/>
  <c r="AD37" i="11" s="1"/>
  <c r="AD38" i="11" s="1"/>
  <c r="AD39" i="11" s="1"/>
  <c r="AD40" i="11" s="1"/>
  <c r="AD41" i="11" s="1"/>
  <c r="AD42" i="11" s="1"/>
  <c r="AD43" i="11" s="1"/>
  <c r="AG6" i="11"/>
  <c r="AG7" i="11" s="1"/>
  <c r="AG8" i="11" s="1"/>
  <c r="AG9" i="11" s="1"/>
  <c r="AG10" i="11" s="1"/>
  <c r="AG11" i="11" s="1"/>
  <c r="AG12" i="11" s="1"/>
  <c r="AG13" i="11" s="1"/>
  <c r="AG14" i="11" s="1"/>
  <c r="AG15" i="11" s="1"/>
  <c r="AG16" i="11" s="1"/>
  <c r="AG17" i="11" s="1"/>
  <c r="AG18" i="11" s="1"/>
  <c r="AG19" i="11" s="1"/>
  <c r="AG20" i="11" s="1"/>
  <c r="AG21" i="11" s="1"/>
  <c r="AG22" i="11" s="1"/>
  <c r="AG23" i="11" s="1"/>
  <c r="AG24" i="11" s="1"/>
  <c r="AG25" i="11" s="1"/>
  <c r="AG26" i="11" s="1"/>
  <c r="AG27" i="11" s="1"/>
  <c r="AG28" i="11" s="1"/>
  <c r="AG29" i="11" s="1"/>
  <c r="AG30" i="11" s="1"/>
  <c r="AG31" i="11" s="1"/>
  <c r="AG32" i="11" s="1"/>
  <c r="AG33" i="11" s="1"/>
  <c r="AG34" i="11" s="1"/>
  <c r="AG35" i="11" s="1"/>
  <c r="AG36" i="11" s="1"/>
  <c r="AG37" i="11" s="1"/>
  <c r="AG38" i="11" s="1"/>
  <c r="AG39" i="11" s="1"/>
  <c r="AG40" i="11" s="1"/>
  <c r="AG41" i="11" s="1"/>
  <c r="AG42" i="11" s="1"/>
  <c r="AG43" i="11" s="1"/>
  <c r="AJ6" i="11"/>
  <c r="AJ7" i="11" s="1"/>
  <c r="AJ8" i="11" s="1"/>
  <c r="AJ9" i="11" s="1"/>
  <c r="AJ10" i="11" s="1"/>
  <c r="AJ11" i="11" s="1"/>
  <c r="AJ12" i="11" s="1"/>
  <c r="AJ13" i="11" s="1"/>
  <c r="AJ14" i="11" s="1"/>
  <c r="AJ15" i="11" s="1"/>
  <c r="AJ16" i="11" s="1"/>
  <c r="AJ17" i="11" s="1"/>
  <c r="AJ18" i="11" s="1"/>
  <c r="AJ19" i="11" s="1"/>
  <c r="AJ20" i="11" s="1"/>
  <c r="AJ21" i="11" s="1"/>
  <c r="AJ22" i="11" s="1"/>
  <c r="AJ23" i="11" s="1"/>
  <c r="AJ24" i="11" s="1"/>
  <c r="AJ25" i="11" s="1"/>
  <c r="AJ26" i="11" s="1"/>
  <c r="AJ27" i="11" s="1"/>
  <c r="AJ28" i="11" s="1"/>
  <c r="AJ29" i="11" s="1"/>
  <c r="AJ30" i="11" s="1"/>
  <c r="AJ31" i="11" s="1"/>
  <c r="AJ32" i="11" s="1"/>
  <c r="AJ33" i="11" s="1"/>
  <c r="AJ34" i="11" s="1"/>
  <c r="AJ35" i="11" s="1"/>
  <c r="AJ36" i="11" s="1"/>
  <c r="AJ37" i="11" s="1"/>
  <c r="AJ38" i="11" s="1"/>
  <c r="AJ39" i="11" s="1"/>
  <c r="N7" i="11"/>
  <c r="V7" i="11"/>
  <c r="L116" i="11"/>
  <c r="K116" i="11"/>
  <c r="AG107" i="11"/>
  <c r="AD107" i="11"/>
  <c r="V107" i="11"/>
  <c r="N107" i="11"/>
  <c r="AG106" i="11"/>
  <c r="AD106" i="11"/>
  <c r="V106" i="11"/>
  <c r="AG105" i="11"/>
  <c r="AD105" i="11"/>
  <c r="V105" i="11"/>
  <c r="N105" i="11"/>
  <c r="AG104" i="11"/>
  <c r="AD104" i="11"/>
  <c r="V104" i="11"/>
  <c r="AG103" i="11"/>
  <c r="AD103" i="11"/>
  <c r="V103" i="11"/>
  <c r="N103" i="11"/>
  <c r="AG102" i="11"/>
  <c r="AD102" i="11"/>
  <c r="V102" i="11"/>
  <c r="AG101" i="11"/>
  <c r="AD101" i="11"/>
  <c r="V101" i="11"/>
  <c r="N101" i="11"/>
  <c r="AG100" i="11"/>
  <c r="AD100" i="11"/>
  <c r="V100" i="11"/>
  <c r="AG99" i="11"/>
  <c r="AD99" i="11"/>
  <c r="V99" i="11"/>
  <c r="N99" i="11"/>
  <c r="AG98" i="11"/>
  <c r="AD98" i="11"/>
  <c r="V98" i="11"/>
  <c r="AG97" i="11"/>
  <c r="AD97" i="11"/>
  <c r="V97" i="11"/>
  <c r="N97" i="11"/>
  <c r="AG96" i="11"/>
  <c r="AD96" i="11"/>
  <c r="V96" i="11"/>
  <c r="AG95" i="11"/>
  <c r="AD95" i="11"/>
  <c r="V95" i="11"/>
  <c r="N95" i="11"/>
  <c r="AG94" i="11"/>
  <c r="AD94" i="11"/>
  <c r="V94" i="11"/>
  <c r="AG93" i="11"/>
  <c r="AD93" i="11"/>
  <c r="V93" i="11"/>
  <c r="N93" i="11"/>
  <c r="AG92" i="11"/>
  <c r="AD92" i="11"/>
  <c r="V92" i="11"/>
  <c r="AG91" i="11"/>
  <c r="AD91" i="11"/>
  <c r="V91" i="11"/>
  <c r="N91" i="11"/>
  <c r="AG90" i="11"/>
  <c r="AD90" i="11"/>
  <c r="V90" i="11"/>
  <c r="AG89" i="11"/>
  <c r="AD89" i="11"/>
  <c r="V89" i="11"/>
  <c r="N89" i="11"/>
  <c r="AG88" i="11"/>
  <c r="AD88" i="11"/>
  <c r="V88" i="11"/>
  <c r="AG87" i="11"/>
  <c r="AD87" i="11"/>
  <c r="V87" i="11"/>
  <c r="N87" i="11"/>
  <c r="AG86" i="11"/>
  <c r="AD86" i="11"/>
  <c r="V86" i="11"/>
  <c r="AG85" i="11"/>
  <c r="AD85" i="11"/>
  <c r="V85" i="11"/>
  <c r="N85" i="11"/>
  <c r="AG84" i="11"/>
  <c r="AD84" i="11"/>
  <c r="V84" i="11"/>
  <c r="AG83" i="11"/>
  <c r="AD83" i="11"/>
  <c r="V83" i="11"/>
  <c r="N83" i="11"/>
  <c r="AG82" i="11"/>
  <c r="AD82" i="11"/>
  <c r="V82" i="11"/>
  <c r="AG81" i="11"/>
  <c r="AD81" i="11"/>
  <c r="V81" i="11"/>
  <c r="N81" i="11"/>
  <c r="AG80" i="11"/>
  <c r="AD80" i="11"/>
  <c r="V80" i="11"/>
  <c r="AG79" i="11"/>
  <c r="AD79" i="11"/>
  <c r="V79" i="11"/>
  <c r="N79" i="11"/>
  <c r="AG78" i="11"/>
  <c r="AD78" i="11"/>
  <c r="V78" i="11"/>
  <c r="AG77" i="11"/>
  <c r="AD77" i="11"/>
  <c r="V77" i="11"/>
  <c r="N77" i="11"/>
  <c r="AG76" i="11"/>
  <c r="AD76" i="11"/>
  <c r="V76" i="11"/>
  <c r="AG75" i="11"/>
  <c r="AD75" i="11"/>
  <c r="V75" i="11"/>
  <c r="N75" i="11"/>
  <c r="AG74" i="11"/>
  <c r="AD74" i="11"/>
  <c r="V74" i="11"/>
  <c r="AG73" i="11"/>
  <c r="AD73" i="11"/>
  <c r="V73" i="11"/>
  <c r="N73" i="11"/>
  <c r="AG72" i="11"/>
  <c r="AD72" i="11"/>
  <c r="V72" i="11"/>
  <c r="AG71" i="11"/>
  <c r="AD71" i="11"/>
  <c r="V71" i="11"/>
  <c r="N71" i="11"/>
  <c r="AG70" i="11"/>
  <c r="AD70" i="11"/>
  <c r="V70" i="11"/>
  <c r="AG69" i="11"/>
  <c r="AD69" i="11"/>
  <c r="V69" i="11"/>
  <c r="N69" i="11"/>
  <c r="AG68" i="11"/>
  <c r="AD68" i="11"/>
  <c r="V68" i="11"/>
  <c r="AG67" i="11"/>
  <c r="AD67" i="11"/>
  <c r="V67" i="11"/>
  <c r="N67" i="11"/>
  <c r="AG66" i="11"/>
  <c r="AD66" i="11"/>
  <c r="V66" i="11"/>
  <c r="AG65" i="11"/>
  <c r="AD65" i="11"/>
  <c r="V65" i="11"/>
  <c r="N65" i="11"/>
  <c r="AG64" i="11"/>
  <c r="AD64" i="11"/>
  <c r="V64" i="11"/>
  <c r="AG63" i="11"/>
  <c r="AD63" i="11"/>
  <c r="V63" i="11"/>
  <c r="N63" i="11"/>
  <c r="AG62" i="11"/>
  <c r="AD62" i="11"/>
  <c r="V62" i="11"/>
  <c r="AG61" i="11"/>
  <c r="AD61" i="11"/>
  <c r="V61" i="11"/>
  <c r="N61" i="11"/>
  <c r="AG60" i="11"/>
  <c r="AD60" i="11"/>
  <c r="V60" i="11"/>
  <c r="AG59" i="11"/>
  <c r="AD59" i="11"/>
  <c r="V59" i="11"/>
  <c r="N59" i="11"/>
  <c r="AG58" i="11"/>
  <c r="AD58" i="11"/>
  <c r="V58" i="11"/>
  <c r="AG57" i="11"/>
  <c r="AD57" i="11"/>
  <c r="V57" i="11"/>
  <c r="N57" i="11"/>
  <c r="AG56" i="11"/>
  <c r="AD56" i="11"/>
  <c r="V56" i="11"/>
  <c r="AG55" i="11"/>
  <c r="AD55" i="11"/>
  <c r="V55" i="11"/>
  <c r="N55" i="11"/>
  <c r="AG54" i="11"/>
  <c r="AD54" i="11"/>
  <c r="V54" i="11"/>
  <c r="AG53" i="11"/>
  <c r="AD53" i="11"/>
  <c r="V53" i="11"/>
  <c r="N53" i="11"/>
  <c r="AG52" i="11"/>
  <c r="AD52" i="11"/>
  <c r="V52" i="11"/>
  <c r="AG51" i="11"/>
  <c r="AD51" i="11"/>
  <c r="V51" i="11"/>
  <c r="N51" i="11"/>
  <c r="AG50" i="11"/>
  <c r="AD50" i="11"/>
  <c r="V50" i="11"/>
  <c r="AG49" i="11"/>
  <c r="AD49" i="11"/>
  <c r="V49" i="11"/>
  <c r="N49" i="11"/>
  <c r="AG48" i="11"/>
  <c r="AD48" i="11"/>
  <c r="V48" i="11"/>
  <c r="AG47" i="11"/>
  <c r="AD47" i="11"/>
  <c r="V47" i="11"/>
  <c r="N47" i="11"/>
  <c r="AG46" i="11"/>
  <c r="AD46" i="11"/>
  <c r="V46" i="11"/>
  <c r="AG45" i="11"/>
  <c r="AD45" i="11"/>
  <c r="V45" i="11"/>
  <c r="N45" i="11"/>
  <c r="AG44" i="11"/>
  <c r="AD44" i="11"/>
  <c r="V44" i="11"/>
  <c r="V43" i="11"/>
  <c r="V42" i="11"/>
  <c r="AJ41" i="11"/>
  <c r="V41" i="11"/>
  <c r="N41" i="11"/>
  <c r="V40" i="11"/>
  <c r="N40" i="11"/>
  <c r="V39" i="11"/>
  <c r="V38" i="11"/>
  <c r="V37" i="11"/>
  <c r="N37" i="11"/>
  <c r="V36" i="11"/>
  <c r="N36" i="11"/>
  <c r="V35" i="11"/>
  <c r="V34" i="11"/>
  <c r="E121" i="11"/>
  <c r="V33" i="11"/>
  <c r="N33" i="11"/>
  <c r="V32" i="11"/>
  <c r="N32" i="11"/>
  <c r="V31" i="11"/>
  <c r="V30" i="11"/>
  <c r="V29" i="11"/>
  <c r="N29" i="11"/>
  <c r="V28" i="11"/>
  <c r="N28" i="11"/>
  <c r="V27" i="11"/>
  <c r="V26" i="11"/>
  <c r="V25" i="11"/>
  <c r="N25" i="11"/>
  <c r="V24" i="11"/>
  <c r="N24" i="11"/>
  <c r="V23" i="11"/>
  <c r="E123" i="11"/>
  <c r="V22" i="11"/>
  <c r="V21" i="11"/>
  <c r="N21" i="11"/>
  <c r="V20" i="11"/>
  <c r="N20" i="11"/>
  <c r="V19" i="11"/>
  <c r="V18" i="11"/>
  <c r="V17" i="11"/>
  <c r="N17" i="11"/>
  <c r="V16" i="11"/>
  <c r="N16" i="11"/>
  <c r="V15" i="11"/>
  <c r="E124" i="11"/>
  <c r="V14" i="11"/>
  <c r="V13" i="11"/>
  <c r="N13" i="11"/>
  <c r="V12" i="11"/>
  <c r="N12" i="11"/>
  <c r="V11" i="11"/>
  <c r="V10" i="11"/>
  <c r="E127" i="11"/>
  <c r="V9" i="11"/>
  <c r="N9" i="11"/>
  <c r="V8" i="11"/>
  <c r="N8" i="11"/>
  <c r="M117" i="10"/>
  <c r="L117" i="10"/>
  <c r="K117" i="10"/>
  <c r="AG116" i="10"/>
  <c r="AD116" i="10"/>
  <c r="V116" i="10"/>
  <c r="N116" i="10"/>
  <c r="AG114" i="10"/>
  <c r="AD114" i="10"/>
  <c r="V114" i="10"/>
  <c r="N114" i="10"/>
  <c r="AG113" i="10"/>
  <c r="AD113" i="10"/>
  <c r="V113" i="10"/>
  <c r="N113" i="10"/>
  <c r="AG112" i="10"/>
  <c r="AD112" i="10"/>
  <c r="V112" i="10"/>
  <c r="N112" i="10"/>
  <c r="AG111" i="10"/>
  <c r="AD111" i="10"/>
  <c r="V111" i="10"/>
  <c r="N111" i="10"/>
  <c r="AG110" i="10"/>
  <c r="AD110" i="10"/>
  <c r="V110" i="10"/>
  <c r="N110" i="10"/>
  <c r="AG109" i="10"/>
  <c r="AD109" i="10"/>
  <c r="V109" i="10"/>
  <c r="N109" i="10"/>
  <c r="AG108" i="10"/>
  <c r="AD108" i="10"/>
  <c r="V108" i="10"/>
  <c r="N108" i="10"/>
  <c r="AG107" i="10"/>
  <c r="AD107" i="10"/>
  <c r="V107" i="10"/>
  <c r="N107" i="10"/>
  <c r="AG106" i="10"/>
  <c r="AD106" i="10"/>
  <c r="V106" i="10"/>
  <c r="N106" i="10"/>
  <c r="AG105" i="10"/>
  <c r="AD105" i="10"/>
  <c r="V105" i="10"/>
  <c r="N105" i="10"/>
  <c r="AG104" i="10"/>
  <c r="AD104" i="10"/>
  <c r="V104" i="10"/>
  <c r="N104" i="10"/>
  <c r="AG103" i="10"/>
  <c r="AD103" i="10"/>
  <c r="V103" i="10"/>
  <c r="N103" i="10"/>
  <c r="AG102" i="10"/>
  <c r="AD102" i="10"/>
  <c r="V102" i="10"/>
  <c r="N102" i="10"/>
  <c r="AG101" i="10"/>
  <c r="AD101" i="10"/>
  <c r="V101" i="10"/>
  <c r="N101" i="10"/>
  <c r="AG100" i="10"/>
  <c r="AD100" i="10"/>
  <c r="V100" i="10"/>
  <c r="N100" i="10"/>
  <c r="AG99" i="10"/>
  <c r="AD99" i="10"/>
  <c r="V99" i="10"/>
  <c r="N99" i="10"/>
  <c r="AG98" i="10"/>
  <c r="AD98" i="10"/>
  <c r="V98" i="10"/>
  <c r="N98" i="10"/>
  <c r="AG97" i="10"/>
  <c r="AD97" i="10"/>
  <c r="V97" i="10"/>
  <c r="N97" i="10"/>
  <c r="AG96" i="10"/>
  <c r="AD96" i="10"/>
  <c r="V96" i="10"/>
  <c r="N96" i="10"/>
  <c r="AG95" i="10"/>
  <c r="AD95" i="10"/>
  <c r="V95" i="10"/>
  <c r="N95" i="10"/>
  <c r="AG94" i="10"/>
  <c r="AD94" i="10"/>
  <c r="V94" i="10"/>
  <c r="N94" i="10"/>
  <c r="AG93" i="10"/>
  <c r="AD93" i="10"/>
  <c r="V93" i="10"/>
  <c r="N93" i="10"/>
  <c r="AG92" i="10"/>
  <c r="AD92" i="10"/>
  <c r="V92" i="10"/>
  <c r="N92" i="10"/>
  <c r="AG91" i="10"/>
  <c r="AD91" i="10"/>
  <c r="V91" i="10"/>
  <c r="N91" i="10"/>
  <c r="AG90" i="10"/>
  <c r="AD90" i="10"/>
  <c r="V90" i="10"/>
  <c r="N90" i="10"/>
  <c r="AG89" i="10"/>
  <c r="AD89" i="10"/>
  <c r="V89" i="10"/>
  <c r="N89" i="10"/>
  <c r="AG88" i="10"/>
  <c r="AD88" i="10"/>
  <c r="V88" i="10"/>
  <c r="N88" i="10"/>
  <c r="AG87" i="10"/>
  <c r="AD87" i="10"/>
  <c r="V87" i="10"/>
  <c r="N87" i="10"/>
  <c r="AG86" i="10"/>
  <c r="AD86" i="10"/>
  <c r="V86" i="10"/>
  <c r="N86" i="10"/>
  <c r="AG85" i="10"/>
  <c r="AD85" i="10"/>
  <c r="V85" i="10"/>
  <c r="N85" i="10"/>
  <c r="AG84" i="10"/>
  <c r="AD84" i="10"/>
  <c r="V84" i="10"/>
  <c r="N84" i="10"/>
  <c r="AG83" i="10"/>
  <c r="AD83" i="10"/>
  <c r="V83" i="10"/>
  <c r="N83" i="10"/>
  <c r="AG82" i="10"/>
  <c r="AD82" i="10"/>
  <c r="V82" i="10"/>
  <c r="N82" i="10"/>
  <c r="AG81" i="10"/>
  <c r="AD81" i="10"/>
  <c r="V81" i="10"/>
  <c r="N81" i="10"/>
  <c r="AG80" i="10"/>
  <c r="AD80" i="10"/>
  <c r="V80" i="10"/>
  <c r="N80" i="10"/>
  <c r="AG79" i="10"/>
  <c r="AD79" i="10"/>
  <c r="V79" i="10"/>
  <c r="N79" i="10"/>
  <c r="AG78" i="10"/>
  <c r="AD78" i="10"/>
  <c r="V78" i="10"/>
  <c r="N78" i="10"/>
  <c r="AG77" i="10"/>
  <c r="AD77" i="10"/>
  <c r="V77" i="10"/>
  <c r="N77" i="10"/>
  <c r="AG76" i="10"/>
  <c r="AD76" i="10"/>
  <c r="V76" i="10"/>
  <c r="N76" i="10"/>
  <c r="AG75" i="10"/>
  <c r="AD75" i="10"/>
  <c r="V75" i="10"/>
  <c r="N75" i="10"/>
  <c r="AG74" i="10"/>
  <c r="AD74" i="10"/>
  <c r="V74" i="10"/>
  <c r="N74" i="10"/>
  <c r="AG73" i="10"/>
  <c r="AD73" i="10"/>
  <c r="V73" i="10"/>
  <c r="N73" i="10"/>
  <c r="AG72" i="10"/>
  <c r="AD72" i="10"/>
  <c r="V72" i="10"/>
  <c r="N72" i="10"/>
  <c r="AG71" i="10"/>
  <c r="AD71" i="10"/>
  <c r="V71" i="10"/>
  <c r="N71" i="10"/>
  <c r="AG70" i="10"/>
  <c r="AD70" i="10"/>
  <c r="V70" i="10"/>
  <c r="N70" i="10"/>
  <c r="AG69" i="10"/>
  <c r="AD69" i="10"/>
  <c r="V69" i="10"/>
  <c r="N69" i="10"/>
  <c r="AG68" i="10"/>
  <c r="AD68" i="10"/>
  <c r="V68" i="10"/>
  <c r="N68" i="10"/>
  <c r="AG67" i="10"/>
  <c r="AD67" i="10"/>
  <c r="V67" i="10"/>
  <c r="N67" i="10"/>
  <c r="AG66" i="10"/>
  <c r="AD66" i="10"/>
  <c r="V66" i="10"/>
  <c r="N66" i="10"/>
  <c r="AG65" i="10"/>
  <c r="AD65" i="10"/>
  <c r="V65" i="10"/>
  <c r="N65" i="10"/>
  <c r="AG64" i="10"/>
  <c r="AD64" i="10"/>
  <c r="V64" i="10"/>
  <c r="N64" i="10"/>
  <c r="AG63" i="10"/>
  <c r="AD63" i="10"/>
  <c r="V63" i="10"/>
  <c r="N63" i="10"/>
  <c r="AG62" i="10"/>
  <c r="AD62" i="10"/>
  <c r="V62" i="10"/>
  <c r="N62" i="10"/>
  <c r="AG61" i="10"/>
  <c r="AD61" i="10"/>
  <c r="V61" i="10"/>
  <c r="N61" i="10"/>
  <c r="AG60" i="10"/>
  <c r="AD60" i="10"/>
  <c r="V60" i="10"/>
  <c r="N60" i="10"/>
  <c r="AG59" i="10"/>
  <c r="AD59" i="10"/>
  <c r="V59" i="10"/>
  <c r="N59" i="10"/>
  <c r="AG58" i="10"/>
  <c r="AD58" i="10"/>
  <c r="V58" i="10"/>
  <c r="N58" i="10"/>
  <c r="AG57" i="10"/>
  <c r="AD57" i="10"/>
  <c r="V57" i="10"/>
  <c r="N57" i="10"/>
  <c r="AG56" i="10"/>
  <c r="AD56" i="10"/>
  <c r="V56" i="10"/>
  <c r="N56" i="10"/>
  <c r="AG55" i="10"/>
  <c r="AD55" i="10"/>
  <c r="V55" i="10"/>
  <c r="N55" i="10"/>
  <c r="AG54" i="10"/>
  <c r="AD54" i="10"/>
  <c r="V54" i="10"/>
  <c r="N54" i="10"/>
  <c r="AG53" i="10"/>
  <c r="AD53" i="10"/>
  <c r="V53" i="10"/>
  <c r="N53" i="10"/>
  <c r="AG52" i="10"/>
  <c r="AD52" i="10"/>
  <c r="V52" i="10"/>
  <c r="N52" i="10"/>
  <c r="AG51" i="10"/>
  <c r="AD51" i="10"/>
  <c r="V51" i="10"/>
  <c r="N51" i="10"/>
  <c r="AG50" i="10"/>
  <c r="AD50" i="10"/>
  <c r="V50" i="10"/>
  <c r="N50" i="10"/>
  <c r="AG49" i="10"/>
  <c r="AD49" i="10"/>
  <c r="V49" i="10"/>
  <c r="N49" i="10"/>
  <c r="AG48" i="10"/>
  <c r="AD48" i="10"/>
  <c r="V48" i="10"/>
  <c r="N48" i="10"/>
  <c r="AG47" i="10"/>
  <c r="AD47" i="10"/>
  <c r="V47" i="10"/>
  <c r="N47" i="10"/>
  <c r="AG46" i="10"/>
  <c r="AD46" i="10"/>
  <c r="V46" i="10"/>
  <c r="N46" i="10"/>
  <c r="AG45" i="10"/>
  <c r="AD45" i="10"/>
  <c r="V45" i="10"/>
  <c r="N45" i="10"/>
  <c r="AG44" i="10"/>
  <c r="AD44" i="10"/>
  <c r="V44" i="10"/>
  <c r="N44" i="10"/>
  <c r="V43" i="10"/>
  <c r="N43" i="10"/>
  <c r="V42" i="10"/>
  <c r="N42" i="10"/>
  <c r="V41" i="10"/>
  <c r="N41" i="10"/>
  <c r="V40" i="10"/>
  <c r="N40" i="10"/>
  <c r="V39" i="10"/>
  <c r="N39" i="10"/>
  <c r="V38" i="10"/>
  <c r="N38" i="10"/>
  <c r="V37" i="10"/>
  <c r="N37" i="10"/>
  <c r="V36" i="10"/>
  <c r="N36" i="10"/>
  <c r="V35" i="10"/>
  <c r="N35" i="10"/>
  <c r="V34" i="10"/>
  <c r="N34" i="10"/>
  <c r="V33" i="10"/>
  <c r="N33" i="10"/>
  <c r="V32" i="10"/>
  <c r="N32" i="10"/>
  <c r="V31" i="10"/>
  <c r="N31" i="10"/>
  <c r="V30" i="10"/>
  <c r="N30" i="10"/>
  <c r="V29" i="10"/>
  <c r="N29" i="10"/>
  <c r="V28" i="10"/>
  <c r="N28" i="10"/>
  <c r="V27" i="10"/>
  <c r="N27" i="10"/>
  <c r="V26" i="10"/>
  <c r="N26" i="10"/>
  <c r="V25" i="10"/>
  <c r="N25" i="10"/>
  <c r="V24" i="10"/>
  <c r="N24" i="10"/>
  <c r="V23" i="10"/>
  <c r="N23" i="10"/>
  <c r="V22" i="10"/>
  <c r="N22" i="10"/>
  <c r="V21" i="10"/>
  <c r="N21" i="10"/>
  <c r="V20" i="10"/>
  <c r="N20" i="10"/>
  <c r="V19" i="10"/>
  <c r="N19" i="10"/>
  <c r="V18" i="10"/>
  <c r="N18" i="10"/>
  <c r="V17" i="10"/>
  <c r="N17" i="10"/>
  <c r="V16" i="10"/>
  <c r="N16" i="10"/>
  <c r="V15" i="10"/>
  <c r="N15" i="10"/>
  <c r="V14" i="10"/>
  <c r="N14" i="10"/>
  <c r="V13" i="10"/>
  <c r="N13" i="10"/>
  <c r="V12" i="10"/>
  <c r="N12" i="10"/>
  <c r="V11" i="10"/>
  <c r="N11" i="10"/>
  <c r="V10" i="10"/>
  <c r="N10" i="10"/>
  <c r="V9" i="10"/>
  <c r="N9" i="10"/>
  <c r="V8" i="10"/>
  <c r="N8" i="10"/>
  <c r="V7" i="10"/>
  <c r="N7" i="10"/>
  <c r="D7" i="10"/>
  <c r="AJ6" i="10"/>
  <c r="AJ7" i="10" s="1"/>
  <c r="AJ8" i="10" s="1"/>
  <c r="AJ9" i="10" s="1"/>
  <c r="AJ10" i="10" s="1"/>
  <c r="AJ11" i="10" s="1"/>
  <c r="AJ12" i="10" s="1"/>
  <c r="AJ13" i="10" s="1"/>
  <c r="AJ14" i="10" s="1"/>
  <c r="AJ15" i="10" s="1"/>
  <c r="AJ16" i="10" s="1"/>
  <c r="AJ17" i="10" s="1"/>
  <c r="AJ18" i="10" s="1"/>
  <c r="AJ19" i="10" s="1"/>
  <c r="AJ20" i="10" s="1"/>
  <c r="AJ21" i="10" s="1"/>
  <c r="AJ22" i="10" s="1"/>
  <c r="AJ23" i="10" s="1"/>
  <c r="AJ24" i="10" s="1"/>
  <c r="AJ25" i="10" s="1"/>
  <c r="AJ26" i="10" s="1"/>
  <c r="AJ27" i="10" s="1"/>
  <c r="AJ28" i="10" s="1"/>
  <c r="AJ29" i="10" s="1"/>
  <c r="AJ30" i="10" s="1"/>
  <c r="AJ31" i="10" s="1"/>
  <c r="AJ32" i="10" s="1"/>
  <c r="AJ33" i="10" s="1"/>
  <c r="AJ34" i="10" s="1"/>
  <c r="AJ35" i="10" s="1"/>
  <c r="AJ36" i="10" s="1"/>
  <c r="AJ37" i="10" s="1"/>
  <c r="AJ38" i="10" s="1"/>
  <c r="AJ39" i="10" s="1"/>
  <c r="AJ40" i="10" s="1"/>
  <c r="AJ41" i="10" s="1"/>
  <c r="AJ42" i="10" s="1"/>
  <c r="AJ43" i="10" s="1"/>
  <c r="AJ44" i="10" s="1"/>
  <c r="AJ45" i="10" s="1"/>
  <c r="AJ46" i="10" s="1"/>
  <c r="AJ47" i="10" s="1"/>
  <c r="AJ48" i="10" s="1"/>
  <c r="AJ49" i="10" s="1"/>
  <c r="AJ50" i="10" s="1"/>
  <c r="AJ51" i="10" s="1"/>
  <c r="AJ52" i="10" s="1"/>
  <c r="AJ53" i="10" s="1"/>
  <c r="AJ54" i="10" s="1"/>
  <c r="AJ55" i="10" s="1"/>
  <c r="AJ56" i="10" s="1"/>
  <c r="AJ57" i="10" s="1"/>
  <c r="AJ58" i="10" s="1"/>
  <c r="AJ59" i="10" s="1"/>
  <c r="AJ60" i="10" s="1"/>
  <c r="AJ61" i="10" s="1"/>
  <c r="AJ62" i="10" s="1"/>
  <c r="AJ63" i="10" s="1"/>
  <c r="AJ64" i="10" s="1"/>
  <c r="AJ65" i="10" s="1"/>
  <c r="AJ66" i="10" s="1"/>
  <c r="AJ67" i="10" s="1"/>
  <c r="AJ68" i="10" s="1"/>
  <c r="AJ69" i="10" s="1"/>
  <c r="AJ70" i="10" s="1"/>
  <c r="AJ71" i="10" s="1"/>
  <c r="AJ72" i="10" s="1"/>
  <c r="AJ73" i="10" s="1"/>
  <c r="AJ74" i="10" s="1"/>
  <c r="AJ75" i="10" s="1"/>
  <c r="AJ76" i="10" s="1"/>
  <c r="AJ77" i="10" s="1"/>
  <c r="AJ78" i="10" s="1"/>
  <c r="AJ79" i="10" s="1"/>
  <c r="AJ80" i="10" s="1"/>
  <c r="AJ81" i="10" s="1"/>
  <c r="AJ82" i="10" s="1"/>
  <c r="AJ83" i="10" s="1"/>
  <c r="AJ84" i="10" s="1"/>
  <c r="AJ85" i="10" s="1"/>
  <c r="AJ86" i="10" s="1"/>
  <c r="AJ87" i="10" s="1"/>
  <c r="AJ88" i="10" s="1"/>
  <c r="AJ89" i="10" s="1"/>
  <c r="AJ90" i="10" s="1"/>
  <c r="AJ91" i="10" s="1"/>
  <c r="AJ92" i="10" s="1"/>
  <c r="AJ93" i="10" s="1"/>
  <c r="AJ94" i="10" s="1"/>
  <c r="AJ95" i="10" s="1"/>
  <c r="AJ96" i="10" s="1"/>
  <c r="AJ97" i="10" s="1"/>
  <c r="AJ98" i="10" s="1"/>
  <c r="AJ99" i="10" s="1"/>
  <c r="AJ100" i="10" s="1"/>
  <c r="AJ101" i="10" s="1"/>
  <c r="AJ102" i="10" s="1"/>
  <c r="AJ103" i="10" s="1"/>
  <c r="AJ104" i="10" s="1"/>
  <c r="AJ105" i="10" s="1"/>
  <c r="AJ106" i="10" s="1"/>
  <c r="AJ107" i="10" s="1"/>
  <c r="AJ108" i="10" s="1"/>
  <c r="AJ109" i="10" s="1"/>
  <c r="AJ110" i="10" s="1"/>
  <c r="AJ111" i="10" s="1"/>
  <c r="AJ112" i="10" s="1"/>
  <c r="AJ113" i="10" s="1"/>
  <c r="AJ114" i="10" s="1"/>
  <c r="AJ115" i="10" s="1"/>
  <c r="AJ116" i="10" s="1"/>
  <c r="AG6" i="10"/>
  <c r="AG7" i="10" s="1"/>
  <c r="AG8" i="10" s="1"/>
  <c r="AG9" i="10" s="1"/>
  <c r="AG10" i="10" s="1"/>
  <c r="AG11" i="10" s="1"/>
  <c r="AG12" i="10" s="1"/>
  <c r="AG13" i="10" s="1"/>
  <c r="AG14" i="10" s="1"/>
  <c r="AG15" i="10" s="1"/>
  <c r="AG16" i="10" s="1"/>
  <c r="AG17" i="10" s="1"/>
  <c r="AG18" i="10" s="1"/>
  <c r="AG19" i="10" s="1"/>
  <c r="AG20" i="10" s="1"/>
  <c r="AG21" i="10" s="1"/>
  <c r="AG22" i="10" s="1"/>
  <c r="AG23" i="10" s="1"/>
  <c r="AG24" i="10" s="1"/>
  <c r="AG25" i="10" s="1"/>
  <c r="AG26" i="10" s="1"/>
  <c r="AG27" i="10" s="1"/>
  <c r="AG28" i="10" s="1"/>
  <c r="AG29" i="10" s="1"/>
  <c r="AG30" i="10" s="1"/>
  <c r="AG31" i="10" s="1"/>
  <c r="AG32" i="10" s="1"/>
  <c r="AG33" i="10" s="1"/>
  <c r="AG34" i="10" s="1"/>
  <c r="AG35" i="10" s="1"/>
  <c r="AG36" i="10" s="1"/>
  <c r="AG37" i="10" s="1"/>
  <c r="AG38" i="10" s="1"/>
  <c r="AG39" i="10" s="1"/>
  <c r="AG40" i="10" s="1"/>
  <c r="AG41" i="10" s="1"/>
  <c r="AG42" i="10" s="1"/>
  <c r="AG43" i="10" s="1"/>
  <c r="AD6" i="10"/>
  <c r="AD7" i="10" s="1"/>
  <c r="AD8" i="10" s="1"/>
  <c r="AD9" i="10" s="1"/>
  <c r="AD10" i="10" s="1"/>
  <c r="AD11" i="10" s="1"/>
  <c r="AD12" i="10" s="1"/>
  <c r="AD13" i="10" s="1"/>
  <c r="AD14" i="10" s="1"/>
  <c r="AD15" i="10" s="1"/>
  <c r="AD16" i="10" s="1"/>
  <c r="AD17" i="10" s="1"/>
  <c r="AD18" i="10" s="1"/>
  <c r="AD19" i="10" s="1"/>
  <c r="AD20" i="10" s="1"/>
  <c r="AD21" i="10" s="1"/>
  <c r="AD22" i="10" s="1"/>
  <c r="AD23" i="10" s="1"/>
  <c r="AD24" i="10" s="1"/>
  <c r="AD25" i="10" s="1"/>
  <c r="AD26" i="10" s="1"/>
  <c r="AD27" i="10" s="1"/>
  <c r="AD28" i="10" s="1"/>
  <c r="AD29" i="10" s="1"/>
  <c r="AD30" i="10" s="1"/>
  <c r="AD31" i="10" s="1"/>
  <c r="AD32" i="10" s="1"/>
  <c r="AD33" i="10" s="1"/>
  <c r="AD34" i="10" s="1"/>
  <c r="AD35" i="10" s="1"/>
  <c r="AD36" i="10" s="1"/>
  <c r="AD37" i="10" s="1"/>
  <c r="AD38" i="10" s="1"/>
  <c r="AD39" i="10" s="1"/>
  <c r="AD40" i="10" s="1"/>
  <c r="AD41" i="10" s="1"/>
  <c r="AD42" i="10" s="1"/>
  <c r="AD43" i="10" s="1"/>
  <c r="AA6" i="10"/>
  <c r="AA7" i="10" s="1"/>
  <c r="AA8" i="10" s="1"/>
  <c r="AA9" i="10" s="1"/>
  <c r="AA10" i="10" s="1"/>
  <c r="AA11" i="10" s="1"/>
  <c r="AA12" i="10" s="1"/>
  <c r="AA13" i="10" s="1"/>
  <c r="AA14" i="10" s="1"/>
  <c r="AA15" i="10" s="1"/>
  <c r="AA16" i="10" s="1"/>
  <c r="AA17" i="10" s="1"/>
  <c r="AA18" i="10" s="1"/>
  <c r="AA19" i="10" s="1"/>
  <c r="AA20" i="10" s="1"/>
  <c r="AA21" i="10" s="1"/>
  <c r="AA22" i="10" s="1"/>
  <c r="AA23" i="10" s="1"/>
  <c r="AA24" i="10" s="1"/>
  <c r="AA25" i="10" s="1"/>
  <c r="AA26" i="10" s="1"/>
  <c r="AA27" i="10" s="1"/>
  <c r="AA28" i="10" s="1"/>
  <c r="AA29" i="10" s="1"/>
  <c r="AA30" i="10" s="1"/>
  <c r="AA31" i="10" s="1"/>
  <c r="AA32" i="10" s="1"/>
  <c r="AA33" i="10" s="1"/>
  <c r="AA34" i="10" s="1"/>
  <c r="AA35" i="10" s="1"/>
  <c r="AA36" i="10" s="1"/>
  <c r="AA37" i="10" s="1"/>
  <c r="AA38" i="10" s="1"/>
  <c r="AA39" i="10" s="1"/>
  <c r="AA40" i="10" s="1"/>
  <c r="AA41" i="10" s="1"/>
  <c r="AA42" i="10" s="1"/>
  <c r="X6" i="10"/>
  <c r="V6" i="10"/>
  <c r="P6" i="10"/>
  <c r="P7" i="10" s="1"/>
  <c r="P8" i="10" s="1"/>
  <c r="T123" i="11" l="1"/>
  <c r="G124" i="11"/>
  <c r="L124" i="11" s="1"/>
  <c r="M124" i="11" s="1"/>
  <c r="N124" i="11" s="1"/>
  <c r="T122" i="11"/>
  <c r="G123" i="11"/>
  <c r="L123" i="11" s="1"/>
  <c r="M123" i="11" s="1"/>
  <c r="N123" i="11" s="1"/>
  <c r="P7" i="11"/>
  <c r="X121" i="12"/>
  <c r="U129" i="12"/>
  <c r="J123" i="10"/>
  <c r="E126" i="11"/>
  <c r="E122" i="11"/>
  <c r="E125" i="11"/>
  <c r="T124" i="11" s="1"/>
  <c r="N121" i="12"/>
  <c r="N129" i="12" s="1"/>
  <c r="M129" i="12"/>
  <c r="J123" i="11"/>
  <c r="J124" i="11"/>
  <c r="M121" i="11"/>
  <c r="J121" i="11"/>
  <c r="M122" i="10"/>
  <c r="J122" i="10"/>
  <c r="U123" i="10"/>
  <c r="O124" i="10"/>
  <c r="J124" i="10"/>
  <c r="X7" i="10"/>
  <c r="X8" i="10" s="1"/>
  <c r="X9" i="10" s="1"/>
  <c r="X10" i="10" s="1"/>
  <c r="X11" i="10" s="1"/>
  <c r="X12" i="10" s="1"/>
  <c r="X13" i="10" s="1"/>
  <c r="X14" i="10" s="1"/>
  <c r="X15" i="10" s="1"/>
  <c r="X16" i="10" s="1"/>
  <c r="X17" i="10" s="1"/>
  <c r="X18" i="10" s="1"/>
  <c r="X19" i="10" s="1"/>
  <c r="X20" i="10" s="1"/>
  <c r="X21" i="10" s="1"/>
  <c r="X22" i="10" s="1"/>
  <c r="X23" i="10" s="1"/>
  <c r="X24" i="10" s="1"/>
  <c r="X25" i="10" s="1"/>
  <c r="X26" i="10" s="1"/>
  <c r="X27" i="10" s="1"/>
  <c r="X28" i="10" s="1"/>
  <c r="X29" i="10" s="1"/>
  <c r="X30" i="10" s="1"/>
  <c r="X31" i="10" s="1"/>
  <c r="X32" i="10" s="1"/>
  <c r="X33" i="10" s="1"/>
  <c r="X34" i="10" s="1"/>
  <c r="X35" i="10" s="1"/>
  <c r="X36" i="10" s="1"/>
  <c r="X37" i="10" s="1"/>
  <c r="X38" i="10" s="1"/>
  <c r="X39" i="10" s="1"/>
  <c r="X40" i="10" s="1"/>
  <c r="X41" i="10" s="1"/>
  <c r="X42" i="10" s="1"/>
  <c r="X43" i="10" s="1"/>
  <c r="X44" i="10" s="1"/>
  <c r="X45" i="10" s="1"/>
  <c r="X46" i="10" s="1"/>
  <c r="X47" i="10" s="1"/>
  <c r="X48" i="10" s="1"/>
  <c r="X49" i="10" s="1"/>
  <c r="X50" i="10" s="1"/>
  <c r="X51" i="10" s="1"/>
  <c r="X52" i="10" s="1"/>
  <c r="X53" i="10" s="1"/>
  <c r="X54" i="10" s="1"/>
  <c r="X55" i="10" s="1"/>
  <c r="X56" i="10" s="1"/>
  <c r="X57" i="10" s="1"/>
  <c r="X58" i="10" s="1"/>
  <c r="X59" i="10" s="1"/>
  <c r="X60" i="10" s="1"/>
  <c r="X61" i="10" s="1"/>
  <c r="X62" i="10" s="1"/>
  <c r="X63" i="10" s="1"/>
  <c r="X64" i="10" s="1"/>
  <c r="X65" i="10" s="1"/>
  <c r="X66" i="10" s="1"/>
  <c r="X67" i="10" s="1"/>
  <c r="X68" i="10" s="1"/>
  <c r="X69" i="10" s="1"/>
  <c r="X70" i="10" s="1"/>
  <c r="X71" i="10" s="1"/>
  <c r="X72" i="10" s="1"/>
  <c r="X73" i="10" s="1"/>
  <c r="X74" i="10" s="1"/>
  <c r="X75" i="10" s="1"/>
  <c r="X76" i="10" s="1"/>
  <c r="X77" i="10" s="1"/>
  <c r="X78" i="10" s="1"/>
  <c r="X79" i="10" s="1"/>
  <c r="X80" i="10" s="1"/>
  <c r="X81" i="10" s="1"/>
  <c r="X82" i="10" s="1"/>
  <c r="X83" i="10" s="1"/>
  <c r="X84" i="10" s="1"/>
  <c r="X85" i="10" s="1"/>
  <c r="X86" i="10" s="1"/>
  <c r="X87" i="10" s="1"/>
  <c r="X88" i="10" s="1"/>
  <c r="X89" i="10" s="1"/>
  <c r="X90" i="10" s="1"/>
  <c r="X91" i="10" s="1"/>
  <c r="X92" i="10" s="1"/>
  <c r="X93" i="10" s="1"/>
  <c r="X94" i="10" s="1"/>
  <c r="X95" i="10" s="1"/>
  <c r="X96" i="10" s="1"/>
  <c r="X97" i="10" s="1"/>
  <c r="X98" i="10" s="1"/>
  <c r="X99" i="10" s="1"/>
  <c r="X100" i="10" s="1"/>
  <c r="X101" i="10" s="1"/>
  <c r="X102" i="10" s="1"/>
  <c r="X103" i="10" s="1"/>
  <c r="X104" i="10" s="1"/>
  <c r="X105" i="10" s="1"/>
  <c r="X106" i="10" s="1"/>
  <c r="X107" i="10" s="1"/>
  <c r="X108" i="10" s="1"/>
  <c r="X109" i="10" s="1"/>
  <c r="X110" i="10" s="1"/>
  <c r="X111" i="10" s="1"/>
  <c r="X112" i="10" s="1"/>
  <c r="X113" i="10" s="1"/>
  <c r="X114" i="10" s="1"/>
  <c r="X116" i="10" s="1"/>
  <c r="E127" i="10"/>
  <c r="E128" i="10"/>
  <c r="E125" i="10"/>
  <c r="G125" i="10" s="1"/>
  <c r="P9" i="10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P37" i="10" s="1"/>
  <c r="P38" i="10" s="1"/>
  <c r="P39" i="10" s="1"/>
  <c r="P40" i="10" s="1"/>
  <c r="P41" i="10" s="1"/>
  <c r="P42" i="10" s="1"/>
  <c r="P43" i="10" s="1"/>
  <c r="P44" i="10" s="1"/>
  <c r="P45" i="10" s="1"/>
  <c r="P46" i="10" s="1"/>
  <c r="P47" i="10" s="1"/>
  <c r="P48" i="10" s="1"/>
  <c r="P49" i="10" s="1"/>
  <c r="P50" i="10" s="1"/>
  <c r="P51" i="10" s="1"/>
  <c r="P52" i="10" s="1"/>
  <c r="P53" i="10" s="1"/>
  <c r="P54" i="10" s="1"/>
  <c r="P55" i="10" s="1"/>
  <c r="P56" i="10" s="1"/>
  <c r="P57" i="10" s="1"/>
  <c r="P58" i="10" s="1"/>
  <c r="P59" i="10" s="1"/>
  <c r="P60" i="10" s="1"/>
  <c r="P61" i="10" s="1"/>
  <c r="P62" i="10" s="1"/>
  <c r="P63" i="10" s="1"/>
  <c r="P64" i="10" s="1"/>
  <c r="P65" i="10" s="1"/>
  <c r="P66" i="10" s="1"/>
  <c r="P67" i="10" s="1"/>
  <c r="P68" i="10" s="1"/>
  <c r="P69" i="10" s="1"/>
  <c r="P70" i="10" s="1"/>
  <c r="P71" i="10" s="1"/>
  <c r="P72" i="10" s="1"/>
  <c r="P73" i="10" s="1"/>
  <c r="P74" i="10" s="1"/>
  <c r="P75" i="10" s="1"/>
  <c r="P76" i="10" s="1"/>
  <c r="P77" i="10" s="1"/>
  <c r="P78" i="10" s="1"/>
  <c r="P79" i="10" s="1"/>
  <c r="P80" i="10" s="1"/>
  <c r="P81" i="10" s="1"/>
  <c r="P82" i="10" s="1"/>
  <c r="P83" i="10" s="1"/>
  <c r="P84" i="10" s="1"/>
  <c r="P85" i="10" s="1"/>
  <c r="P86" i="10" s="1"/>
  <c r="P87" i="10" s="1"/>
  <c r="P88" i="10" s="1"/>
  <c r="P89" i="10" s="1"/>
  <c r="P90" i="10" s="1"/>
  <c r="P91" i="10" s="1"/>
  <c r="P92" i="10" s="1"/>
  <c r="P93" i="10" s="1"/>
  <c r="P94" i="10" s="1"/>
  <c r="P95" i="10" s="1"/>
  <c r="P96" i="10" s="1"/>
  <c r="P97" i="10" s="1"/>
  <c r="P98" i="10" s="1"/>
  <c r="P99" i="10" s="1"/>
  <c r="P100" i="10" s="1"/>
  <c r="P101" i="10" s="1"/>
  <c r="P102" i="10" s="1"/>
  <c r="P103" i="10" s="1"/>
  <c r="P104" i="10" s="1"/>
  <c r="P105" i="10" s="1"/>
  <c r="P106" i="10" s="1"/>
  <c r="P107" i="10" s="1"/>
  <c r="P108" i="10" s="1"/>
  <c r="P109" i="10" s="1"/>
  <c r="P110" i="10" s="1"/>
  <c r="P111" i="10" s="1"/>
  <c r="P112" i="10" s="1"/>
  <c r="P113" i="10" s="1"/>
  <c r="P114" i="10" s="1"/>
  <c r="P115" i="10" s="1"/>
  <c r="P116" i="10" s="1"/>
  <c r="E126" i="10"/>
  <c r="X7" i="11"/>
  <c r="X8" i="11" s="1"/>
  <c r="X9" i="11" s="1"/>
  <c r="X10" i="11" s="1"/>
  <c r="X11" i="11" s="1"/>
  <c r="X12" i="11" s="1"/>
  <c r="X13" i="11" s="1"/>
  <c r="X14" i="11" s="1"/>
  <c r="X15" i="11" s="1"/>
  <c r="X16" i="11" s="1"/>
  <c r="X17" i="11" s="1"/>
  <c r="X18" i="11" s="1"/>
  <c r="X19" i="11" s="1"/>
  <c r="X20" i="11" s="1"/>
  <c r="X21" i="11" s="1"/>
  <c r="X22" i="11" s="1"/>
  <c r="X23" i="11" s="1"/>
  <c r="X24" i="11" s="1"/>
  <c r="X25" i="11" s="1"/>
  <c r="X26" i="11" s="1"/>
  <c r="X27" i="11" s="1"/>
  <c r="X28" i="11" s="1"/>
  <c r="X29" i="11" s="1"/>
  <c r="X30" i="11" s="1"/>
  <c r="X31" i="11" s="1"/>
  <c r="X32" i="11" s="1"/>
  <c r="X33" i="11" s="1"/>
  <c r="X34" i="11" s="1"/>
  <c r="X35" i="11" s="1"/>
  <c r="X36" i="11" s="1"/>
  <c r="X37" i="11" s="1"/>
  <c r="X38" i="11" s="1"/>
  <c r="X39" i="11" s="1"/>
  <c r="X40" i="11" s="1"/>
  <c r="X41" i="11" s="1"/>
  <c r="X42" i="11" s="1"/>
  <c r="X43" i="11" s="1"/>
  <c r="X44" i="11" s="1"/>
  <c r="X45" i="11" s="1"/>
  <c r="X46" i="11" s="1"/>
  <c r="X47" i="11" s="1"/>
  <c r="X48" i="11" s="1"/>
  <c r="X49" i="11" s="1"/>
  <c r="X50" i="11" s="1"/>
  <c r="X51" i="11" s="1"/>
  <c r="X52" i="11" s="1"/>
  <c r="X53" i="11" s="1"/>
  <c r="X54" i="11" s="1"/>
  <c r="X55" i="11" s="1"/>
  <c r="X56" i="11" s="1"/>
  <c r="X57" i="11" s="1"/>
  <c r="X58" i="11" s="1"/>
  <c r="X59" i="11" s="1"/>
  <c r="X60" i="11" s="1"/>
  <c r="X61" i="11" s="1"/>
  <c r="X62" i="11" s="1"/>
  <c r="X63" i="11" s="1"/>
  <c r="X64" i="11" s="1"/>
  <c r="X65" i="11" s="1"/>
  <c r="X66" i="11" s="1"/>
  <c r="X67" i="11" s="1"/>
  <c r="X68" i="11" s="1"/>
  <c r="X69" i="11" s="1"/>
  <c r="X70" i="11" s="1"/>
  <c r="X71" i="11" s="1"/>
  <c r="X72" i="11" s="1"/>
  <c r="X73" i="11" s="1"/>
  <c r="X74" i="11" s="1"/>
  <c r="X75" i="11" s="1"/>
  <c r="X76" i="11" s="1"/>
  <c r="X77" i="11" s="1"/>
  <c r="X78" i="11" s="1"/>
  <c r="X79" i="11" s="1"/>
  <c r="X80" i="11" s="1"/>
  <c r="X81" i="11" s="1"/>
  <c r="X82" i="11" s="1"/>
  <c r="X83" i="11" s="1"/>
  <c r="X84" i="11" s="1"/>
  <c r="X85" i="11" s="1"/>
  <c r="X86" i="11" s="1"/>
  <c r="X87" i="11" s="1"/>
  <c r="X88" i="11" s="1"/>
  <c r="X89" i="11" s="1"/>
  <c r="X90" i="11" s="1"/>
  <c r="X91" i="11" s="1"/>
  <c r="X92" i="11" s="1"/>
  <c r="X93" i="11" s="1"/>
  <c r="X94" i="11" s="1"/>
  <c r="X95" i="11" s="1"/>
  <c r="X96" i="11" s="1"/>
  <c r="X97" i="11" s="1"/>
  <c r="X98" i="11" s="1"/>
  <c r="X99" i="11" s="1"/>
  <c r="X100" i="11" s="1"/>
  <c r="X101" i="11" s="1"/>
  <c r="X102" i="11" s="1"/>
  <c r="X103" i="11" s="1"/>
  <c r="X104" i="11" s="1"/>
  <c r="X105" i="11" s="1"/>
  <c r="X106" i="11" s="1"/>
  <c r="X107" i="11" s="1"/>
  <c r="M118" i="10"/>
  <c r="P8" i="11"/>
  <c r="P9" i="11" s="1"/>
  <c r="P10" i="11" s="1"/>
  <c r="N11" i="11"/>
  <c r="N23" i="11"/>
  <c r="N35" i="11"/>
  <c r="M116" i="11"/>
  <c r="M117" i="11" s="1"/>
  <c r="AA44" i="11"/>
  <c r="AA46" i="11" s="1"/>
  <c r="AA48" i="11" s="1"/>
  <c r="AA50" i="11" s="1"/>
  <c r="AA52" i="11" s="1"/>
  <c r="AA54" i="11" s="1"/>
  <c r="AA56" i="11" s="1"/>
  <c r="AA58" i="11" s="1"/>
  <c r="AA60" i="11" s="1"/>
  <c r="AA62" i="11" s="1"/>
  <c r="AA64" i="11" s="1"/>
  <c r="AA66" i="11" s="1"/>
  <c r="AA68" i="11" s="1"/>
  <c r="AA70" i="11" s="1"/>
  <c r="AA72" i="11" s="1"/>
  <c r="AA74" i="11" s="1"/>
  <c r="AA76" i="11" s="1"/>
  <c r="AA78" i="11" s="1"/>
  <c r="AA80" i="11" s="1"/>
  <c r="AA82" i="11" s="1"/>
  <c r="AA84" i="11" s="1"/>
  <c r="AA86" i="11" s="1"/>
  <c r="AA88" i="11" s="1"/>
  <c r="AA90" i="11" s="1"/>
  <c r="AA92" i="11" s="1"/>
  <c r="AA94" i="11" s="1"/>
  <c r="AA96" i="11" s="1"/>
  <c r="AA98" i="11" s="1"/>
  <c r="AA100" i="11" s="1"/>
  <c r="AA102" i="11" s="1"/>
  <c r="AA104" i="11" s="1"/>
  <c r="AA106" i="11" s="1"/>
  <c r="AA43" i="11"/>
  <c r="AA45" i="11" s="1"/>
  <c r="AA47" i="11" s="1"/>
  <c r="AA49" i="11" s="1"/>
  <c r="AA51" i="11" s="1"/>
  <c r="AA53" i="11" s="1"/>
  <c r="AA55" i="11" s="1"/>
  <c r="AA57" i="11" s="1"/>
  <c r="AA59" i="11" s="1"/>
  <c r="AA61" i="11" s="1"/>
  <c r="AA63" i="11" s="1"/>
  <c r="AA65" i="11" s="1"/>
  <c r="AA67" i="11" s="1"/>
  <c r="AA69" i="11" s="1"/>
  <c r="AA71" i="11" s="1"/>
  <c r="AA73" i="11" s="1"/>
  <c r="AA75" i="11" s="1"/>
  <c r="AA77" i="11" s="1"/>
  <c r="AA79" i="11" s="1"/>
  <c r="AA81" i="11" s="1"/>
  <c r="AA83" i="11" s="1"/>
  <c r="AA85" i="11" s="1"/>
  <c r="AA87" i="11" s="1"/>
  <c r="AA89" i="11" s="1"/>
  <c r="AA91" i="11" s="1"/>
  <c r="AA93" i="11" s="1"/>
  <c r="AA95" i="11" s="1"/>
  <c r="AA97" i="11" s="1"/>
  <c r="AA99" i="11" s="1"/>
  <c r="AA101" i="11" s="1"/>
  <c r="AA103" i="11" s="1"/>
  <c r="AA105" i="11" s="1"/>
  <c r="AA107" i="11" s="1"/>
  <c r="D116" i="11"/>
  <c r="AA44" i="10"/>
  <c r="AA46" i="10" s="1"/>
  <c r="AA48" i="10" s="1"/>
  <c r="AA50" i="10" s="1"/>
  <c r="AA52" i="10" s="1"/>
  <c r="AA54" i="10" s="1"/>
  <c r="AA56" i="10" s="1"/>
  <c r="AA58" i="10" s="1"/>
  <c r="AA60" i="10" s="1"/>
  <c r="AA62" i="10" s="1"/>
  <c r="AA64" i="10" s="1"/>
  <c r="AA66" i="10" s="1"/>
  <c r="AA68" i="10" s="1"/>
  <c r="AA70" i="10" s="1"/>
  <c r="AA72" i="10" s="1"/>
  <c r="AA74" i="10" s="1"/>
  <c r="AA76" i="10" s="1"/>
  <c r="AA78" i="10" s="1"/>
  <c r="AA80" i="10" s="1"/>
  <c r="AA82" i="10" s="1"/>
  <c r="AA84" i="10" s="1"/>
  <c r="AA86" i="10" s="1"/>
  <c r="AA88" i="10" s="1"/>
  <c r="AA90" i="10" s="1"/>
  <c r="AA92" i="10" s="1"/>
  <c r="AA94" i="10" s="1"/>
  <c r="AA96" i="10" s="1"/>
  <c r="AA98" i="10" s="1"/>
  <c r="AA100" i="10" s="1"/>
  <c r="AA102" i="10" s="1"/>
  <c r="AA104" i="10" s="1"/>
  <c r="AA106" i="10" s="1"/>
  <c r="AA108" i="10" s="1"/>
  <c r="AA110" i="10" s="1"/>
  <c r="AA112" i="10" s="1"/>
  <c r="AA43" i="10"/>
  <c r="AA45" i="10" s="1"/>
  <c r="AA47" i="10" s="1"/>
  <c r="AA49" i="10" s="1"/>
  <c r="AA51" i="10" s="1"/>
  <c r="AA53" i="10" s="1"/>
  <c r="AA55" i="10" s="1"/>
  <c r="AA57" i="10" s="1"/>
  <c r="AA59" i="10" s="1"/>
  <c r="AA61" i="10" s="1"/>
  <c r="AA63" i="10" s="1"/>
  <c r="AA65" i="10" s="1"/>
  <c r="AA67" i="10" s="1"/>
  <c r="AA69" i="10" s="1"/>
  <c r="AA71" i="10" s="1"/>
  <c r="AA73" i="10" s="1"/>
  <c r="AA75" i="10" s="1"/>
  <c r="AA77" i="10" s="1"/>
  <c r="AA79" i="10" s="1"/>
  <c r="AA81" i="10" s="1"/>
  <c r="AA83" i="10" s="1"/>
  <c r="AA85" i="10" s="1"/>
  <c r="AA87" i="10" s="1"/>
  <c r="AA89" i="10" s="1"/>
  <c r="AA91" i="10" s="1"/>
  <c r="AA93" i="10" s="1"/>
  <c r="AA95" i="10" s="1"/>
  <c r="AA97" i="10" s="1"/>
  <c r="AA99" i="10" s="1"/>
  <c r="AA101" i="10" s="1"/>
  <c r="AA103" i="10" s="1"/>
  <c r="AA105" i="10" s="1"/>
  <c r="AA107" i="10" s="1"/>
  <c r="AA109" i="10" s="1"/>
  <c r="AA111" i="10" s="1"/>
  <c r="AA113" i="10" s="1"/>
  <c r="D117" i="10"/>
  <c r="O123" i="11" l="1"/>
  <c r="O124" i="11"/>
  <c r="V121" i="11"/>
  <c r="X121" i="11" s="1"/>
  <c r="T121" i="11"/>
  <c r="J126" i="11"/>
  <c r="T125" i="11"/>
  <c r="M126" i="11"/>
  <c r="N126" i="11" s="1"/>
  <c r="U122" i="10"/>
  <c r="X122" i="10" s="1"/>
  <c r="M123" i="10"/>
  <c r="N123" i="10" s="1"/>
  <c r="W122" i="10"/>
  <c r="Y122" i="10" s="1"/>
  <c r="M127" i="11"/>
  <c r="N127" i="11" s="1"/>
  <c r="J127" i="11"/>
  <c r="M122" i="11"/>
  <c r="N122" i="11" s="1"/>
  <c r="J122" i="11"/>
  <c r="E129" i="11"/>
  <c r="O129" i="11"/>
  <c r="N121" i="11"/>
  <c r="M125" i="11"/>
  <c r="N125" i="11" s="1"/>
  <c r="J125" i="11"/>
  <c r="U124" i="10"/>
  <c r="O125" i="10"/>
  <c r="O130" i="10" s="1"/>
  <c r="J125" i="10"/>
  <c r="M127" i="10"/>
  <c r="N127" i="10" s="1"/>
  <c r="J127" i="10"/>
  <c r="U126" i="10"/>
  <c r="M126" i="10"/>
  <c r="N126" i="10" s="1"/>
  <c r="J126" i="10"/>
  <c r="U125" i="10"/>
  <c r="E130" i="10"/>
  <c r="M128" i="10"/>
  <c r="N128" i="10" s="1"/>
  <c r="J128" i="10"/>
  <c r="N122" i="10"/>
  <c r="AA116" i="10"/>
  <c r="AA115" i="10"/>
  <c r="AA114" i="10"/>
  <c r="P11" i="1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52" i="11" s="1"/>
  <c r="P53" i="11" s="1"/>
  <c r="P54" i="11" s="1"/>
  <c r="P55" i="11" s="1"/>
  <c r="P56" i="11" s="1"/>
  <c r="P57" i="11" s="1"/>
  <c r="P58" i="11" s="1"/>
  <c r="P59" i="11" s="1"/>
  <c r="P60" i="11" s="1"/>
  <c r="P61" i="11" s="1"/>
  <c r="P62" i="11" s="1"/>
  <c r="P63" i="11" s="1"/>
  <c r="P64" i="11" s="1"/>
  <c r="P65" i="11" s="1"/>
  <c r="P66" i="11" s="1"/>
  <c r="P67" i="11" s="1"/>
  <c r="P68" i="11" s="1"/>
  <c r="P69" i="11" s="1"/>
  <c r="P70" i="11" s="1"/>
  <c r="P71" i="11" s="1"/>
  <c r="P72" i="11" s="1"/>
  <c r="P73" i="11" s="1"/>
  <c r="P74" i="11" s="1"/>
  <c r="P75" i="11" s="1"/>
  <c r="P76" i="11" s="1"/>
  <c r="P77" i="11" s="1"/>
  <c r="P78" i="11" s="1"/>
  <c r="P79" i="11" s="1"/>
  <c r="P80" i="11" s="1"/>
  <c r="P81" i="11" s="1"/>
  <c r="P82" i="11" s="1"/>
  <c r="P83" i="11" s="1"/>
  <c r="P84" i="11" s="1"/>
  <c r="P85" i="11" s="1"/>
  <c r="P86" i="11" s="1"/>
  <c r="P87" i="11" s="1"/>
  <c r="P88" i="11" s="1"/>
  <c r="P89" i="11" s="1"/>
  <c r="P90" i="11" s="1"/>
  <c r="P91" i="11" s="1"/>
  <c r="P92" i="11" s="1"/>
  <c r="P93" i="11" s="1"/>
  <c r="P94" i="11" s="1"/>
  <c r="P95" i="11" s="1"/>
  <c r="P96" i="11" s="1"/>
  <c r="P97" i="11" s="1"/>
  <c r="P98" i="11" s="1"/>
  <c r="P99" i="11" s="1"/>
  <c r="P100" i="11" s="1"/>
  <c r="P101" i="11" s="1"/>
  <c r="P102" i="11" s="1"/>
  <c r="P103" i="11" s="1"/>
  <c r="P104" i="11" s="1"/>
  <c r="P105" i="11" s="1"/>
  <c r="P106" i="11" s="1"/>
  <c r="P107" i="11" s="1"/>
  <c r="W121" i="11" l="1"/>
  <c r="T129" i="11"/>
  <c r="J130" i="10"/>
  <c r="J129" i="11"/>
  <c r="M129" i="11"/>
  <c r="N129" i="11"/>
  <c r="U130" i="10"/>
  <c r="N130" i="10"/>
  <c r="M130" i="10"/>
  <c r="D6" i="6"/>
  <c r="AC597" i="6" l="1"/>
  <c r="Y597" i="6"/>
  <c r="K597" i="6"/>
  <c r="J597" i="6"/>
  <c r="I597" i="6"/>
  <c r="D597" i="6"/>
  <c r="AC596" i="6"/>
  <c r="Y596" i="6"/>
  <c r="K596" i="6"/>
  <c r="J596" i="6"/>
  <c r="I596" i="6"/>
  <c r="D596" i="6"/>
  <c r="AC595" i="6"/>
  <c r="Y595" i="6"/>
  <c r="K595" i="6"/>
  <c r="J595" i="6"/>
  <c r="I595" i="6"/>
  <c r="D595" i="6"/>
  <c r="AC594" i="6"/>
  <c r="Y594" i="6"/>
  <c r="K594" i="6"/>
  <c r="J594" i="6"/>
  <c r="I594" i="6"/>
  <c r="D594" i="6"/>
  <c r="AC593" i="6"/>
  <c r="Y593" i="6"/>
  <c r="K593" i="6"/>
  <c r="J593" i="6"/>
  <c r="I593" i="6"/>
  <c r="D593" i="6"/>
  <c r="AC592" i="6"/>
  <c r="Y592" i="6"/>
  <c r="K592" i="6"/>
  <c r="J592" i="6"/>
  <c r="I592" i="6"/>
  <c r="D592" i="6"/>
  <c r="AC591" i="6"/>
  <c r="Y591" i="6"/>
  <c r="K591" i="6"/>
  <c r="J591" i="6"/>
  <c r="I591" i="6"/>
  <c r="D591" i="6"/>
  <c r="AC590" i="6"/>
  <c r="Y590" i="6"/>
  <c r="K590" i="6"/>
  <c r="J590" i="6"/>
  <c r="I590" i="6"/>
  <c r="D590" i="6"/>
  <c r="AC589" i="6"/>
  <c r="Y589" i="6"/>
  <c r="K589" i="6"/>
  <c r="J589" i="6"/>
  <c r="I589" i="6"/>
  <c r="D589" i="6"/>
  <c r="AC588" i="6"/>
  <c r="Y588" i="6"/>
  <c r="K588" i="6"/>
  <c r="J588" i="6"/>
  <c r="I588" i="6"/>
  <c r="D588" i="6"/>
  <c r="AC587" i="6"/>
  <c r="Y587" i="6"/>
  <c r="K587" i="6"/>
  <c r="J587" i="6"/>
  <c r="I587" i="6"/>
  <c r="D587" i="6"/>
  <c r="AC586" i="6"/>
  <c r="Y586" i="6"/>
  <c r="K586" i="6"/>
  <c r="J586" i="6"/>
  <c r="I586" i="6"/>
  <c r="D586" i="6"/>
  <c r="AC585" i="6"/>
  <c r="Y585" i="6"/>
  <c r="K585" i="6"/>
  <c r="J585" i="6"/>
  <c r="I585" i="6"/>
  <c r="D585" i="6"/>
  <c r="AC584" i="6"/>
  <c r="Y584" i="6"/>
  <c r="K584" i="6"/>
  <c r="J584" i="6"/>
  <c r="I584" i="6"/>
  <c r="D584" i="6"/>
  <c r="AC583" i="6"/>
  <c r="Y583" i="6"/>
  <c r="K583" i="6"/>
  <c r="J583" i="6"/>
  <c r="I583" i="6"/>
  <c r="D583" i="6"/>
  <c r="AC582" i="6"/>
  <c r="Y582" i="6"/>
  <c r="K582" i="6"/>
  <c r="J582" i="6"/>
  <c r="I582" i="6"/>
  <c r="D582" i="6"/>
  <c r="AC581" i="6"/>
  <c r="Y581" i="6"/>
  <c r="K581" i="6"/>
  <c r="J581" i="6"/>
  <c r="I581" i="6"/>
  <c r="D581" i="6"/>
  <c r="AC580" i="6"/>
  <c r="Y580" i="6"/>
  <c r="K580" i="6"/>
  <c r="J580" i="6"/>
  <c r="I580" i="6"/>
  <c r="D580" i="6"/>
  <c r="AC579" i="6"/>
  <c r="Y579" i="6"/>
  <c r="K579" i="6"/>
  <c r="J579" i="6"/>
  <c r="I579" i="6"/>
  <c r="D579" i="6"/>
  <c r="AC578" i="6"/>
  <c r="Y578" i="6"/>
  <c r="K578" i="6"/>
  <c r="J578" i="6"/>
  <c r="I578" i="6"/>
  <c r="D578" i="6"/>
  <c r="AC577" i="6"/>
  <c r="Y577" i="6"/>
  <c r="K577" i="6"/>
  <c r="J577" i="6"/>
  <c r="I577" i="6"/>
  <c r="D577" i="6"/>
  <c r="AC576" i="6"/>
  <c r="Y576" i="6"/>
  <c r="K576" i="6"/>
  <c r="J576" i="6"/>
  <c r="I576" i="6"/>
  <c r="D576" i="6"/>
  <c r="AC575" i="6"/>
  <c r="Y575" i="6"/>
  <c r="K575" i="6"/>
  <c r="J575" i="6"/>
  <c r="I575" i="6"/>
  <c r="D575" i="6"/>
  <c r="AC574" i="6"/>
  <c r="Y574" i="6"/>
  <c r="K574" i="6"/>
  <c r="J574" i="6"/>
  <c r="I574" i="6"/>
  <c r="D574" i="6"/>
  <c r="AC573" i="6"/>
  <c r="Y573" i="6"/>
  <c r="K573" i="6"/>
  <c r="J573" i="6"/>
  <c r="I573" i="6"/>
  <c r="D573" i="6"/>
  <c r="AC572" i="6"/>
  <c r="Y572" i="6"/>
  <c r="K572" i="6"/>
  <c r="J572" i="6"/>
  <c r="I572" i="6"/>
  <c r="D572" i="6"/>
  <c r="AC571" i="6"/>
  <c r="Y571" i="6"/>
  <c r="K571" i="6"/>
  <c r="J571" i="6"/>
  <c r="I571" i="6"/>
  <c r="D571" i="6"/>
  <c r="AC570" i="6"/>
  <c r="Y570" i="6"/>
  <c r="K570" i="6"/>
  <c r="J570" i="6"/>
  <c r="I570" i="6"/>
  <c r="D570" i="6"/>
  <c r="AC569" i="6"/>
  <c r="Y569" i="6"/>
  <c r="K569" i="6"/>
  <c r="J569" i="6"/>
  <c r="I569" i="6"/>
  <c r="D569" i="6"/>
  <c r="AC568" i="6"/>
  <c r="Y568" i="6"/>
  <c r="K568" i="6"/>
  <c r="J568" i="6"/>
  <c r="I568" i="6"/>
  <c r="D568" i="6"/>
  <c r="AC567" i="6"/>
  <c r="Y567" i="6"/>
  <c r="K567" i="6"/>
  <c r="J567" i="6"/>
  <c r="I567" i="6"/>
  <c r="D567" i="6"/>
  <c r="AC566" i="6"/>
  <c r="Y566" i="6"/>
  <c r="K566" i="6"/>
  <c r="J566" i="6"/>
  <c r="I566" i="6"/>
  <c r="D566" i="6"/>
  <c r="AC565" i="6"/>
  <c r="Y565" i="6"/>
  <c r="K565" i="6"/>
  <c r="J565" i="6"/>
  <c r="I565" i="6"/>
  <c r="D565" i="6"/>
  <c r="AC564" i="6"/>
  <c r="Y564" i="6"/>
  <c r="K564" i="6"/>
  <c r="J564" i="6"/>
  <c r="I564" i="6"/>
  <c r="D564" i="6"/>
  <c r="AC563" i="6"/>
  <c r="Y563" i="6"/>
  <c r="K563" i="6"/>
  <c r="J563" i="6"/>
  <c r="I563" i="6"/>
  <c r="D563" i="6"/>
  <c r="AC562" i="6"/>
  <c r="Y562" i="6"/>
  <c r="K562" i="6"/>
  <c r="J562" i="6"/>
  <c r="I562" i="6"/>
  <c r="D562" i="6"/>
  <c r="AC561" i="6"/>
  <c r="Y561" i="6"/>
  <c r="K561" i="6"/>
  <c r="J561" i="6"/>
  <c r="I561" i="6"/>
  <c r="D561" i="6"/>
  <c r="AC560" i="6"/>
  <c r="Y560" i="6"/>
  <c r="K560" i="6"/>
  <c r="J560" i="6"/>
  <c r="I560" i="6"/>
  <c r="D560" i="6"/>
  <c r="AC559" i="6"/>
  <c r="Y559" i="6"/>
  <c r="K559" i="6"/>
  <c r="J559" i="6"/>
  <c r="I559" i="6"/>
  <c r="D559" i="6"/>
  <c r="AC558" i="6"/>
  <c r="Y558" i="6"/>
  <c r="K558" i="6"/>
  <c r="J558" i="6"/>
  <c r="I558" i="6"/>
  <c r="D558" i="6"/>
  <c r="AC557" i="6"/>
  <c r="Y557" i="6"/>
  <c r="K557" i="6"/>
  <c r="J557" i="6"/>
  <c r="I557" i="6"/>
  <c r="D557" i="6"/>
  <c r="AC556" i="6"/>
  <c r="Y556" i="6"/>
  <c r="K556" i="6"/>
  <c r="J556" i="6"/>
  <c r="I556" i="6"/>
  <c r="D556" i="6"/>
  <c r="AC555" i="6"/>
  <c r="Y555" i="6"/>
  <c r="K555" i="6"/>
  <c r="J555" i="6"/>
  <c r="I555" i="6"/>
  <c r="D555" i="6"/>
  <c r="AC554" i="6"/>
  <c r="Y554" i="6"/>
  <c r="K554" i="6"/>
  <c r="J554" i="6"/>
  <c r="I554" i="6"/>
  <c r="D554" i="6"/>
  <c r="AC553" i="6"/>
  <c r="Y553" i="6"/>
  <c r="K553" i="6"/>
  <c r="J553" i="6"/>
  <c r="I553" i="6"/>
  <c r="D553" i="6"/>
  <c r="AC552" i="6"/>
  <c r="Y552" i="6"/>
  <c r="K552" i="6"/>
  <c r="J552" i="6"/>
  <c r="I552" i="6"/>
  <c r="D552" i="6"/>
  <c r="AC551" i="6"/>
  <c r="Y551" i="6"/>
  <c r="K551" i="6"/>
  <c r="J551" i="6"/>
  <c r="I551" i="6"/>
  <c r="D551" i="6"/>
  <c r="AC550" i="6"/>
  <c r="Y550" i="6"/>
  <c r="K550" i="6"/>
  <c r="J550" i="6"/>
  <c r="I550" i="6"/>
  <c r="D550" i="6"/>
  <c r="AC549" i="6"/>
  <c r="Y549" i="6"/>
  <c r="K549" i="6"/>
  <c r="J549" i="6"/>
  <c r="I549" i="6"/>
  <c r="D549" i="6"/>
  <c r="AC548" i="6"/>
  <c r="Y548" i="6"/>
  <c r="K548" i="6"/>
  <c r="J548" i="6"/>
  <c r="I548" i="6"/>
  <c r="D548" i="6"/>
  <c r="AC547" i="6"/>
  <c r="Y547" i="6"/>
  <c r="K547" i="6"/>
  <c r="J547" i="6"/>
  <c r="I547" i="6"/>
  <c r="D547" i="6"/>
  <c r="AC546" i="6"/>
  <c r="Y546" i="6"/>
  <c r="K546" i="6"/>
  <c r="J546" i="6"/>
  <c r="I546" i="6"/>
  <c r="D546" i="6"/>
  <c r="AC545" i="6"/>
  <c r="Y545" i="6"/>
  <c r="K545" i="6"/>
  <c r="J545" i="6"/>
  <c r="I545" i="6"/>
  <c r="D545" i="6"/>
  <c r="AC544" i="6"/>
  <c r="Y544" i="6"/>
  <c r="K544" i="6"/>
  <c r="J544" i="6"/>
  <c r="I544" i="6"/>
  <c r="D544" i="6"/>
  <c r="AC543" i="6"/>
  <c r="Y543" i="6"/>
  <c r="K543" i="6"/>
  <c r="J543" i="6"/>
  <c r="I543" i="6"/>
  <c r="D543" i="6"/>
  <c r="AC542" i="6"/>
  <c r="Y542" i="6"/>
  <c r="K542" i="6"/>
  <c r="J542" i="6"/>
  <c r="I542" i="6"/>
  <c r="D542" i="6"/>
  <c r="AC541" i="6"/>
  <c r="Y541" i="6"/>
  <c r="K541" i="6"/>
  <c r="J541" i="6"/>
  <c r="I541" i="6"/>
  <c r="D541" i="6"/>
  <c r="AC540" i="6"/>
  <c r="Y540" i="6"/>
  <c r="K540" i="6"/>
  <c r="J540" i="6"/>
  <c r="I540" i="6"/>
  <c r="D540" i="6"/>
  <c r="AC539" i="6"/>
  <c r="Y539" i="6"/>
  <c r="K539" i="6"/>
  <c r="J539" i="6"/>
  <c r="I539" i="6"/>
  <c r="D539" i="6"/>
  <c r="AC538" i="6"/>
  <c r="Y538" i="6"/>
  <c r="K538" i="6"/>
  <c r="J538" i="6"/>
  <c r="I538" i="6"/>
  <c r="D538" i="6"/>
  <c r="AC537" i="6"/>
  <c r="Y537" i="6"/>
  <c r="K537" i="6"/>
  <c r="J537" i="6"/>
  <c r="I537" i="6"/>
  <c r="D537" i="6"/>
  <c r="AC536" i="6"/>
  <c r="Y536" i="6"/>
  <c r="K536" i="6"/>
  <c r="J536" i="6"/>
  <c r="I536" i="6"/>
  <c r="D536" i="6"/>
  <c r="AC535" i="6"/>
  <c r="Y535" i="6"/>
  <c r="K535" i="6"/>
  <c r="J535" i="6"/>
  <c r="I535" i="6"/>
  <c r="D535" i="6"/>
  <c r="AC534" i="6"/>
  <c r="Y534" i="6"/>
  <c r="K534" i="6"/>
  <c r="J534" i="6"/>
  <c r="I534" i="6"/>
  <c r="D534" i="6"/>
  <c r="AC533" i="6"/>
  <c r="Y533" i="6"/>
  <c r="K533" i="6"/>
  <c r="J533" i="6"/>
  <c r="I533" i="6"/>
  <c r="D533" i="6"/>
  <c r="AC532" i="6"/>
  <c r="Y532" i="6"/>
  <c r="K532" i="6"/>
  <c r="J532" i="6"/>
  <c r="I532" i="6"/>
  <c r="D532" i="6"/>
  <c r="AC531" i="6"/>
  <c r="Y531" i="6"/>
  <c r="K531" i="6"/>
  <c r="J531" i="6"/>
  <c r="I531" i="6"/>
  <c r="D531" i="6"/>
  <c r="AC530" i="6"/>
  <c r="Y530" i="6"/>
  <c r="K530" i="6"/>
  <c r="J530" i="6"/>
  <c r="I530" i="6"/>
  <c r="D530" i="6"/>
  <c r="AC529" i="6"/>
  <c r="Y529" i="6"/>
  <c r="K529" i="6"/>
  <c r="J529" i="6"/>
  <c r="I529" i="6"/>
  <c r="D529" i="6"/>
  <c r="AC528" i="6"/>
  <c r="Y528" i="6"/>
  <c r="K528" i="6"/>
  <c r="J528" i="6"/>
  <c r="I528" i="6"/>
  <c r="D528" i="6"/>
  <c r="AC527" i="6"/>
  <c r="Y527" i="6"/>
  <c r="K527" i="6"/>
  <c r="J527" i="6"/>
  <c r="I527" i="6"/>
  <c r="D527" i="6"/>
  <c r="AC526" i="6"/>
  <c r="Y526" i="6"/>
  <c r="K526" i="6"/>
  <c r="J526" i="6"/>
  <c r="I526" i="6"/>
  <c r="D526" i="6"/>
  <c r="AC525" i="6"/>
  <c r="Y525" i="6"/>
  <c r="K525" i="6"/>
  <c r="J525" i="6"/>
  <c r="I525" i="6"/>
  <c r="D525" i="6"/>
  <c r="AC524" i="6"/>
  <c r="Y524" i="6"/>
  <c r="K524" i="6"/>
  <c r="J524" i="6"/>
  <c r="I524" i="6"/>
  <c r="D524" i="6"/>
  <c r="AC523" i="6"/>
  <c r="Y523" i="6"/>
  <c r="K523" i="6"/>
  <c r="J523" i="6"/>
  <c r="I523" i="6"/>
  <c r="D523" i="6"/>
  <c r="AC522" i="6"/>
  <c r="Y522" i="6"/>
  <c r="K522" i="6"/>
  <c r="J522" i="6"/>
  <c r="I522" i="6"/>
  <c r="D522" i="6"/>
  <c r="AC521" i="6"/>
  <c r="Y521" i="6"/>
  <c r="K521" i="6"/>
  <c r="J521" i="6"/>
  <c r="I521" i="6"/>
  <c r="D521" i="6"/>
  <c r="AC520" i="6"/>
  <c r="Y520" i="6"/>
  <c r="K520" i="6"/>
  <c r="J520" i="6"/>
  <c r="I520" i="6"/>
  <c r="D520" i="6"/>
  <c r="AC519" i="6"/>
  <c r="Y519" i="6"/>
  <c r="K519" i="6"/>
  <c r="J519" i="6"/>
  <c r="I519" i="6"/>
  <c r="D519" i="6"/>
  <c r="AC518" i="6"/>
  <c r="Y518" i="6"/>
  <c r="K518" i="6"/>
  <c r="J518" i="6"/>
  <c r="I518" i="6"/>
  <c r="D518" i="6"/>
  <c r="AC517" i="6"/>
  <c r="Y517" i="6"/>
  <c r="K517" i="6"/>
  <c r="J517" i="6"/>
  <c r="I517" i="6"/>
  <c r="D517" i="6"/>
  <c r="AC516" i="6"/>
  <c r="Y516" i="6"/>
  <c r="K516" i="6"/>
  <c r="J516" i="6"/>
  <c r="I516" i="6"/>
  <c r="D516" i="6"/>
  <c r="AC515" i="6"/>
  <c r="Y515" i="6"/>
  <c r="K515" i="6"/>
  <c r="J515" i="6"/>
  <c r="I515" i="6"/>
  <c r="D515" i="6"/>
  <c r="AC514" i="6"/>
  <c r="Y514" i="6"/>
  <c r="K514" i="6"/>
  <c r="J514" i="6"/>
  <c r="I514" i="6"/>
  <c r="D514" i="6"/>
  <c r="AC513" i="6"/>
  <c r="Y513" i="6"/>
  <c r="K513" i="6"/>
  <c r="J513" i="6"/>
  <c r="I513" i="6"/>
  <c r="D513" i="6"/>
  <c r="AC512" i="6"/>
  <c r="Y512" i="6"/>
  <c r="K512" i="6"/>
  <c r="J512" i="6"/>
  <c r="I512" i="6"/>
  <c r="D512" i="6"/>
  <c r="AC511" i="6"/>
  <c r="Y511" i="6"/>
  <c r="K511" i="6"/>
  <c r="J511" i="6"/>
  <c r="I511" i="6"/>
  <c r="D511" i="6"/>
  <c r="AC510" i="6"/>
  <c r="Y510" i="6"/>
  <c r="K510" i="6"/>
  <c r="J510" i="6"/>
  <c r="I510" i="6"/>
  <c r="D510" i="6"/>
  <c r="AC509" i="6"/>
  <c r="Y509" i="6"/>
  <c r="K509" i="6"/>
  <c r="J509" i="6"/>
  <c r="I509" i="6"/>
  <c r="D509" i="6"/>
  <c r="AC508" i="6"/>
  <c r="Y508" i="6"/>
  <c r="K508" i="6"/>
  <c r="J508" i="6"/>
  <c r="I508" i="6"/>
  <c r="D508" i="6"/>
  <c r="AC507" i="6"/>
  <c r="Y507" i="6"/>
  <c r="K507" i="6"/>
  <c r="J507" i="6"/>
  <c r="I507" i="6"/>
  <c r="D507" i="6"/>
  <c r="AC506" i="6"/>
  <c r="Y506" i="6"/>
  <c r="K506" i="6"/>
  <c r="J506" i="6"/>
  <c r="I506" i="6"/>
  <c r="D506" i="6"/>
  <c r="AC505" i="6"/>
  <c r="Y505" i="6"/>
  <c r="K505" i="6"/>
  <c r="J505" i="6"/>
  <c r="I505" i="6"/>
  <c r="D505" i="6"/>
  <c r="AC504" i="6"/>
  <c r="Y504" i="6"/>
  <c r="K504" i="6"/>
  <c r="J504" i="6"/>
  <c r="I504" i="6"/>
  <c r="D504" i="6"/>
  <c r="AC503" i="6"/>
  <c r="Y503" i="6"/>
  <c r="K503" i="6"/>
  <c r="J503" i="6"/>
  <c r="I503" i="6"/>
  <c r="D503" i="6"/>
  <c r="AC502" i="6"/>
  <c r="Y502" i="6"/>
  <c r="K502" i="6"/>
  <c r="J502" i="6"/>
  <c r="I502" i="6"/>
  <c r="D502" i="6"/>
  <c r="AC501" i="6"/>
  <c r="Y501" i="6"/>
  <c r="K501" i="6"/>
  <c r="J501" i="6"/>
  <c r="I501" i="6"/>
  <c r="D501" i="6"/>
  <c r="AC500" i="6"/>
  <c r="Y500" i="6"/>
  <c r="K500" i="6"/>
  <c r="J500" i="6"/>
  <c r="I500" i="6"/>
  <c r="D500" i="6"/>
  <c r="AC499" i="6"/>
  <c r="Y499" i="6"/>
  <c r="K499" i="6"/>
  <c r="J499" i="6"/>
  <c r="I499" i="6"/>
  <c r="D499" i="6"/>
  <c r="AC498" i="6"/>
  <c r="Y498" i="6"/>
  <c r="K498" i="6"/>
  <c r="J498" i="6"/>
  <c r="I498" i="6"/>
  <c r="D498" i="6"/>
  <c r="AC497" i="6"/>
  <c r="Y497" i="6"/>
  <c r="K497" i="6"/>
  <c r="J497" i="6"/>
  <c r="I497" i="6"/>
  <c r="D497" i="6"/>
  <c r="AC496" i="6"/>
  <c r="Y496" i="6"/>
  <c r="K496" i="6"/>
  <c r="J496" i="6"/>
  <c r="I496" i="6"/>
  <c r="D496" i="6"/>
  <c r="AC495" i="6"/>
  <c r="Y495" i="6"/>
  <c r="K495" i="6"/>
  <c r="J495" i="6"/>
  <c r="I495" i="6"/>
  <c r="D495" i="6"/>
  <c r="AC494" i="6"/>
  <c r="Y494" i="6"/>
  <c r="K494" i="6"/>
  <c r="J494" i="6"/>
  <c r="I494" i="6"/>
  <c r="D494" i="6"/>
  <c r="AC493" i="6"/>
  <c r="Y493" i="6"/>
  <c r="K493" i="6"/>
  <c r="J493" i="6"/>
  <c r="I493" i="6"/>
  <c r="D493" i="6"/>
  <c r="AC492" i="6"/>
  <c r="Y492" i="6"/>
  <c r="K492" i="6"/>
  <c r="J492" i="6"/>
  <c r="I492" i="6"/>
  <c r="D492" i="6"/>
  <c r="AC491" i="6"/>
  <c r="Y491" i="6"/>
  <c r="K491" i="6"/>
  <c r="J491" i="6"/>
  <c r="I491" i="6"/>
  <c r="D491" i="6"/>
  <c r="AC490" i="6"/>
  <c r="Y490" i="6"/>
  <c r="K490" i="6"/>
  <c r="J490" i="6"/>
  <c r="I490" i="6"/>
  <c r="D490" i="6"/>
  <c r="AC489" i="6"/>
  <c r="Y489" i="6"/>
  <c r="K489" i="6"/>
  <c r="J489" i="6"/>
  <c r="I489" i="6"/>
  <c r="D489" i="6"/>
  <c r="AC488" i="6"/>
  <c r="Y488" i="6"/>
  <c r="K488" i="6"/>
  <c r="J488" i="6"/>
  <c r="I488" i="6"/>
  <c r="D488" i="6"/>
  <c r="AC487" i="6"/>
  <c r="Y487" i="6"/>
  <c r="K487" i="6"/>
  <c r="J487" i="6"/>
  <c r="I487" i="6"/>
  <c r="D487" i="6"/>
  <c r="AC486" i="6"/>
  <c r="Y486" i="6"/>
  <c r="K486" i="6"/>
  <c r="J486" i="6"/>
  <c r="I486" i="6"/>
  <c r="D486" i="6"/>
  <c r="AC485" i="6"/>
  <c r="Y485" i="6"/>
  <c r="K485" i="6"/>
  <c r="J485" i="6"/>
  <c r="I485" i="6"/>
  <c r="D485" i="6"/>
  <c r="AC484" i="6"/>
  <c r="Y484" i="6"/>
  <c r="K484" i="6"/>
  <c r="J484" i="6"/>
  <c r="I484" i="6"/>
  <c r="D484" i="6"/>
  <c r="AC483" i="6"/>
  <c r="Y483" i="6"/>
  <c r="K483" i="6"/>
  <c r="J483" i="6"/>
  <c r="I483" i="6"/>
  <c r="D483" i="6"/>
  <c r="AC482" i="6"/>
  <c r="Y482" i="6"/>
  <c r="K482" i="6"/>
  <c r="J482" i="6"/>
  <c r="I482" i="6"/>
  <c r="D482" i="6"/>
  <c r="AC481" i="6"/>
  <c r="Y481" i="6"/>
  <c r="K481" i="6"/>
  <c r="J481" i="6"/>
  <c r="I481" i="6"/>
  <c r="D481" i="6"/>
  <c r="AC480" i="6"/>
  <c r="Y480" i="6"/>
  <c r="K480" i="6"/>
  <c r="J480" i="6"/>
  <c r="I480" i="6"/>
  <c r="D480" i="6"/>
  <c r="AC479" i="6"/>
  <c r="Y479" i="6"/>
  <c r="K479" i="6"/>
  <c r="J479" i="6"/>
  <c r="I479" i="6"/>
  <c r="D479" i="6"/>
  <c r="AC478" i="6"/>
  <c r="Y478" i="6"/>
  <c r="K478" i="6"/>
  <c r="J478" i="6"/>
  <c r="I478" i="6"/>
  <c r="D478" i="6"/>
  <c r="AC477" i="6"/>
  <c r="Y477" i="6"/>
  <c r="K477" i="6"/>
  <c r="J477" i="6"/>
  <c r="I477" i="6"/>
  <c r="D477" i="6"/>
  <c r="AC476" i="6"/>
  <c r="Y476" i="6"/>
  <c r="K476" i="6"/>
  <c r="J476" i="6"/>
  <c r="I476" i="6"/>
  <c r="D476" i="6"/>
  <c r="AC475" i="6"/>
  <c r="Y475" i="6"/>
  <c r="K475" i="6"/>
  <c r="J475" i="6"/>
  <c r="I475" i="6"/>
  <c r="D475" i="6"/>
  <c r="AC474" i="6"/>
  <c r="Y474" i="6"/>
  <c r="K474" i="6"/>
  <c r="J474" i="6"/>
  <c r="I474" i="6"/>
  <c r="D474" i="6"/>
  <c r="AC473" i="6"/>
  <c r="Y473" i="6"/>
  <c r="K473" i="6"/>
  <c r="J473" i="6"/>
  <c r="I473" i="6"/>
  <c r="D473" i="6"/>
  <c r="AC472" i="6"/>
  <c r="Y472" i="6"/>
  <c r="K472" i="6"/>
  <c r="J472" i="6"/>
  <c r="I472" i="6"/>
  <c r="D472" i="6"/>
  <c r="AC471" i="6"/>
  <c r="Y471" i="6"/>
  <c r="K471" i="6"/>
  <c r="J471" i="6"/>
  <c r="I471" i="6"/>
  <c r="D471" i="6"/>
  <c r="AC470" i="6"/>
  <c r="Y470" i="6"/>
  <c r="K470" i="6"/>
  <c r="J470" i="6"/>
  <c r="I470" i="6"/>
  <c r="D470" i="6"/>
  <c r="AC469" i="6"/>
  <c r="Y469" i="6"/>
  <c r="K469" i="6"/>
  <c r="J469" i="6"/>
  <c r="I469" i="6"/>
  <c r="D469" i="6"/>
  <c r="AC468" i="6"/>
  <c r="Y468" i="6"/>
  <c r="K468" i="6"/>
  <c r="J468" i="6"/>
  <c r="I468" i="6"/>
  <c r="D468" i="6"/>
  <c r="AC467" i="6"/>
  <c r="Y467" i="6"/>
  <c r="K467" i="6"/>
  <c r="J467" i="6"/>
  <c r="I467" i="6"/>
  <c r="D467" i="6"/>
  <c r="AC466" i="6"/>
  <c r="Y466" i="6"/>
  <c r="K466" i="6"/>
  <c r="J466" i="6"/>
  <c r="I466" i="6"/>
  <c r="D466" i="6"/>
  <c r="AC465" i="6"/>
  <c r="Y465" i="6"/>
  <c r="K465" i="6"/>
  <c r="J465" i="6"/>
  <c r="I465" i="6"/>
  <c r="D465" i="6"/>
  <c r="AC464" i="6"/>
  <c r="Y464" i="6"/>
  <c r="K464" i="6"/>
  <c r="J464" i="6"/>
  <c r="I464" i="6"/>
  <c r="D464" i="6"/>
  <c r="AC463" i="6"/>
  <c r="Y463" i="6"/>
  <c r="K463" i="6"/>
  <c r="J463" i="6"/>
  <c r="I463" i="6"/>
  <c r="D463" i="6"/>
  <c r="AC462" i="6"/>
  <c r="Y462" i="6"/>
  <c r="K462" i="6"/>
  <c r="J462" i="6"/>
  <c r="I462" i="6"/>
  <c r="D462" i="6"/>
  <c r="AC461" i="6"/>
  <c r="Y461" i="6"/>
  <c r="K461" i="6"/>
  <c r="J461" i="6"/>
  <c r="I461" i="6"/>
  <c r="D461" i="6"/>
  <c r="AC460" i="6"/>
  <c r="Y460" i="6"/>
  <c r="K460" i="6"/>
  <c r="J460" i="6"/>
  <c r="I460" i="6"/>
  <c r="D460" i="6"/>
  <c r="AC459" i="6"/>
  <c r="Y459" i="6"/>
  <c r="K459" i="6"/>
  <c r="J459" i="6"/>
  <c r="I459" i="6"/>
  <c r="D459" i="6"/>
  <c r="AC458" i="6"/>
  <c r="Y458" i="6"/>
  <c r="K458" i="6"/>
  <c r="J458" i="6"/>
  <c r="I458" i="6"/>
  <c r="D458" i="6"/>
  <c r="AC457" i="6"/>
  <c r="Y457" i="6"/>
  <c r="K457" i="6"/>
  <c r="J457" i="6"/>
  <c r="I457" i="6"/>
  <c r="D457" i="6"/>
  <c r="AC456" i="6"/>
  <c r="Y456" i="6"/>
  <c r="K456" i="6"/>
  <c r="J456" i="6"/>
  <c r="I456" i="6"/>
  <c r="D456" i="6"/>
  <c r="AC455" i="6"/>
  <c r="Y455" i="6"/>
  <c r="K455" i="6"/>
  <c r="J455" i="6"/>
  <c r="I455" i="6"/>
  <c r="D455" i="6"/>
  <c r="AC454" i="6"/>
  <c r="Y454" i="6"/>
  <c r="K454" i="6"/>
  <c r="J454" i="6"/>
  <c r="I454" i="6"/>
  <c r="D454" i="6"/>
  <c r="AC453" i="6"/>
  <c r="Y453" i="6"/>
  <c r="K453" i="6"/>
  <c r="J453" i="6"/>
  <c r="I453" i="6"/>
  <c r="D453" i="6"/>
  <c r="AC452" i="6"/>
  <c r="Y452" i="6"/>
  <c r="K452" i="6"/>
  <c r="J452" i="6"/>
  <c r="I452" i="6"/>
  <c r="D452" i="6"/>
  <c r="AC451" i="6"/>
  <c r="Y451" i="6"/>
  <c r="K451" i="6"/>
  <c r="J451" i="6"/>
  <c r="I451" i="6"/>
  <c r="D451" i="6"/>
  <c r="AC450" i="6"/>
  <c r="Y450" i="6"/>
  <c r="K450" i="6"/>
  <c r="J450" i="6"/>
  <c r="I450" i="6"/>
  <c r="D450" i="6"/>
  <c r="AC449" i="6"/>
  <c r="Y449" i="6"/>
  <c r="K449" i="6"/>
  <c r="J449" i="6"/>
  <c r="I449" i="6"/>
  <c r="D449" i="6"/>
  <c r="AC448" i="6"/>
  <c r="Y448" i="6"/>
  <c r="K448" i="6"/>
  <c r="J448" i="6"/>
  <c r="I448" i="6"/>
  <c r="D448" i="6"/>
  <c r="AC447" i="6"/>
  <c r="Y447" i="6"/>
  <c r="K447" i="6"/>
  <c r="J447" i="6"/>
  <c r="I447" i="6"/>
  <c r="D447" i="6"/>
  <c r="AC446" i="6"/>
  <c r="Y446" i="6"/>
  <c r="K446" i="6"/>
  <c r="J446" i="6"/>
  <c r="I446" i="6"/>
  <c r="D446" i="6"/>
  <c r="AC445" i="6"/>
  <c r="Y445" i="6"/>
  <c r="K445" i="6"/>
  <c r="J445" i="6"/>
  <c r="I445" i="6"/>
  <c r="D445" i="6"/>
  <c r="AC444" i="6"/>
  <c r="Y444" i="6"/>
  <c r="K444" i="6"/>
  <c r="J444" i="6"/>
  <c r="I444" i="6"/>
  <c r="D444" i="6"/>
  <c r="AC443" i="6"/>
  <c r="Y443" i="6"/>
  <c r="K443" i="6"/>
  <c r="J443" i="6"/>
  <c r="I443" i="6"/>
  <c r="D443" i="6"/>
  <c r="AC442" i="6"/>
  <c r="Y442" i="6"/>
  <c r="K442" i="6"/>
  <c r="J442" i="6"/>
  <c r="I442" i="6"/>
  <c r="D442" i="6"/>
  <c r="AC441" i="6"/>
  <c r="Y441" i="6"/>
  <c r="K441" i="6"/>
  <c r="J441" i="6"/>
  <c r="I441" i="6"/>
  <c r="D441" i="6"/>
  <c r="AC440" i="6"/>
  <c r="Y440" i="6"/>
  <c r="K440" i="6"/>
  <c r="J440" i="6"/>
  <c r="I440" i="6"/>
  <c r="D440" i="6"/>
  <c r="AC439" i="6"/>
  <c r="Y439" i="6"/>
  <c r="K439" i="6"/>
  <c r="J439" i="6"/>
  <c r="I439" i="6"/>
  <c r="D439" i="6"/>
  <c r="AC438" i="6"/>
  <c r="Y438" i="6"/>
  <c r="K438" i="6"/>
  <c r="J438" i="6"/>
  <c r="I438" i="6"/>
  <c r="D438" i="6"/>
  <c r="AC437" i="6"/>
  <c r="Y437" i="6"/>
  <c r="K437" i="6"/>
  <c r="J437" i="6"/>
  <c r="I437" i="6"/>
  <c r="D437" i="6"/>
  <c r="AC436" i="6"/>
  <c r="Y436" i="6"/>
  <c r="K436" i="6"/>
  <c r="J436" i="6"/>
  <c r="I436" i="6"/>
  <c r="D436" i="6"/>
  <c r="AC435" i="6"/>
  <c r="Y435" i="6"/>
  <c r="K435" i="6"/>
  <c r="J435" i="6"/>
  <c r="I435" i="6"/>
  <c r="D435" i="6"/>
  <c r="AC434" i="6"/>
  <c r="Y434" i="6"/>
  <c r="K434" i="6"/>
  <c r="J434" i="6"/>
  <c r="I434" i="6"/>
  <c r="D434" i="6"/>
  <c r="AC433" i="6"/>
  <c r="Y433" i="6"/>
  <c r="K433" i="6"/>
  <c r="J433" i="6"/>
  <c r="I433" i="6"/>
  <c r="D433" i="6"/>
  <c r="AC432" i="6"/>
  <c r="Y432" i="6"/>
  <c r="K432" i="6"/>
  <c r="J432" i="6"/>
  <c r="I432" i="6"/>
  <c r="D432" i="6"/>
  <c r="AC431" i="6"/>
  <c r="Y431" i="6"/>
  <c r="K431" i="6"/>
  <c r="J431" i="6"/>
  <c r="I431" i="6"/>
  <c r="D431" i="6"/>
  <c r="AC430" i="6"/>
  <c r="Y430" i="6"/>
  <c r="K430" i="6"/>
  <c r="J430" i="6"/>
  <c r="I430" i="6"/>
  <c r="D430" i="6"/>
  <c r="AC429" i="6"/>
  <c r="Y429" i="6"/>
  <c r="K429" i="6"/>
  <c r="J429" i="6"/>
  <c r="I429" i="6"/>
  <c r="D429" i="6"/>
  <c r="AC428" i="6"/>
  <c r="Y428" i="6"/>
  <c r="K428" i="6"/>
  <c r="J428" i="6"/>
  <c r="I428" i="6"/>
  <c r="D428" i="6"/>
  <c r="AC427" i="6"/>
  <c r="Y427" i="6"/>
  <c r="K427" i="6"/>
  <c r="J427" i="6"/>
  <c r="I427" i="6"/>
  <c r="D427" i="6"/>
  <c r="AC426" i="6"/>
  <c r="Y426" i="6"/>
  <c r="K426" i="6"/>
  <c r="J426" i="6"/>
  <c r="I426" i="6"/>
  <c r="D426" i="6"/>
  <c r="AC425" i="6"/>
  <c r="Y425" i="6"/>
  <c r="K425" i="6"/>
  <c r="J425" i="6"/>
  <c r="I425" i="6"/>
  <c r="D425" i="6"/>
  <c r="AC424" i="6"/>
  <c r="Y424" i="6"/>
  <c r="K424" i="6"/>
  <c r="J424" i="6"/>
  <c r="I424" i="6"/>
  <c r="D424" i="6"/>
  <c r="AC423" i="6"/>
  <c r="Y423" i="6"/>
  <c r="K423" i="6"/>
  <c r="J423" i="6"/>
  <c r="I423" i="6"/>
  <c r="D423" i="6"/>
  <c r="AC422" i="6"/>
  <c r="Y422" i="6"/>
  <c r="K422" i="6"/>
  <c r="J422" i="6"/>
  <c r="I422" i="6"/>
  <c r="D422" i="6"/>
  <c r="AC421" i="6"/>
  <c r="Y421" i="6"/>
  <c r="K421" i="6"/>
  <c r="J421" i="6"/>
  <c r="I421" i="6"/>
  <c r="D421" i="6"/>
  <c r="AC420" i="6"/>
  <c r="Y420" i="6"/>
  <c r="K420" i="6"/>
  <c r="J420" i="6"/>
  <c r="I420" i="6"/>
  <c r="D420" i="6"/>
  <c r="AC419" i="6"/>
  <c r="Y419" i="6"/>
  <c r="K419" i="6"/>
  <c r="J419" i="6"/>
  <c r="I419" i="6"/>
  <c r="D419" i="6"/>
  <c r="AC418" i="6"/>
  <c r="Y418" i="6"/>
  <c r="K418" i="6"/>
  <c r="J418" i="6"/>
  <c r="I418" i="6"/>
  <c r="D418" i="6"/>
  <c r="AC417" i="6"/>
  <c r="Y417" i="6"/>
  <c r="K417" i="6"/>
  <c r="J417" i="6"/>
  <c r="I417" i="6"/>
  <c r="D417" i="6"/>
  <c r="AC416" i="6"/>
  <c r="Y416" i="6"/>
  <c r="K416" i="6"/>
  <c r="J416" i="6"/>
  <c r="I416" i="6"/>
  <c r="D416" i="6"/>
  <c r="AC415" i="6"/>
  <c r="Y415" i="6"/>
  <c r="K415" i="6"/>
  <c r="J415" i="6"/>
  <c r="I415" i="6"/>
  <c r="D415" i="6"/>
  <c r="AC414" i="6"/>
  <c r="Y414" i="6"/>
  <c r="K414" i="6"/>
  <c r="J414" i="6"/>
  <c r="I414" i="6"/>
  <c r="D414" i="6"/>
  <c r="AC413" i="6"/>
  <c r="Y413" i="6"/>
  <c r="K413" i="6"/>
  <c r="J413" i="6"/>
  <c r="I413" i="6"/>
  <c r="D413" i="6"/>
  <c r="AC412" i="6"/>
  <c r="Y412" i="6"/>
  <c r="K412" i="6"/>
  <c r="J412" i="6"/>
  <c r="I412" i="6"/>
  <c r="D412" i="6"/>
  <c r="AC411" i="6"/>
  <c r="Y411" i="6"/>
  <c r="K411" i="6"/>
  <c r="J411" i="6"/>
  <c r="I411" i="6"/>
  <c r="D411" i="6"/>
  <c r="AC410" i="6"/>
  <c r="Y410" i="6"/>
  <c r="K410" i="6"/>
  <c r="J410" i="6"/>
  <c r="I410" i="6"/>
  <c r="D410" i="6"/>
  <c r="AC409" i="6"/>
  <c r="Y409" i="6"/>
  <c r="K409" i="6"/>
  <c r="J409" i="6"/>
  <c r="I409" i="6"/>
  <c r="D409" i="6"/>
  <c r="AC408" i="6"/>
  <c r="Y408" i="6"/>
  <c r="K408" i="6"/>
  <c r="J408" i="6"/>
  <c r="I408" i="6"/>
  <c r="D408" i="6"/>
  <c r="AC407" i="6"/>
  <c r="Y407" i="6"/>
  <c r="K407" i="6"/>
  <c r="J407" i="6"/>
  <c r="I407" i="6"/>
  <c r="D407" i="6"/>
  <c r="AC406" i="6"/>
  <c r="Y406" i="6"/>
  <c r="K406" i="6"/>
  <c r="J406" i="6"/>
  <c r="I406" i="6"/>
  <c r="D406" i="6"/>
  <c r="AC405" i="6"/>
  <c r="Y405" i="6"/>
  <c r="K405" i="6"/>
  <c r="J405" i="6"/>
  <c r="I405" i="6"/>
  <c r="D405" i="6"/>
  <c r="AC404" i="6"/>
  <c r="Y404" i="6"/>
  <c r="K404" i="6"/>
  <c r="J404" i="6"/>
  <c r="I404" i="6"/>
  <c r="D404" i="6"/>
  <c r="AC403" i="6"/>
  <c r="Y403" i="6"/>
  <c r="K403" i="6"/>
  <c r="J403" i="6"/>
  <c r="I403" i="6"/>
  <c r="D403" i="6"/>
  <c r="AC402" i="6"/>
  <c r="Y402" i="6"/>
  <c r="K402" i="6"/>
  <c r="J402" i="6"/>
  <c r="I402" i="6"/>
  <c r="D402" i="6"/>
  <c r="AC401" i="6"/>
  <c r="Y401" i="6"/>
  <c r="K401" i="6"/>
  <c r="J401" i="6"/>
  <c r="I401" i="6"/>
  <c r="D401" i="6"/>
  <c r="AC400" i="6"/>
  <c r="Y400" i="6"/>
  <c r="K400" i="6"/>
  <c r="J400" i="6"/>
  <c r="I400" i="6"/>
  <c r="D400" i="6"/>
  <c r="AC399" i="6"/>
  <c r="Y399" i="6"/>
  <c r="K399" i="6"/>
  <c r="J399" i="6"/>
  <c r="I399" i="6"/>
  <c r="D399" i="6"/>
  <c r="AC398" i="6"/>
  <c r="Y398" i="6"/>
  <c r="K398" i="6"/>
  <c r="J398" i="6"/>
  <c r="I398" i="6"/>
  <c r="D398" i="6"/>
  <c r="AC397" i="6"/>
  <c r="Y397" i="6"/>
  <c r="K397" i="6"/>
  <c r="J397" i="6"/>
  <c r="I397" i="6"/>
  <c r="D397" i="6"/>
  <c r="AC396" i="6"/>
  <c r="Y396" i="6"/>
  <c r="K396" i="6"/>
  <c r="J396" i="6"/>
  <c r="I396" i="6"/>
  <c r="D396" i="6"/>
  <c r="AC395" i="6"/>
  <c r="Y395" i="6"/>
  <c r="K395" i="6"/>
  <c r="J395" i="6"/>
  <c r="I395" i="6"/>
  <c r="D395" i="6"/>
  <c r="AC394" i="6"/>
  <c r="Y394" i="6"/>
  <c r="K394" i="6"/>
  <c r="J394" i="6"/>
  <c r="I394" i="6"/>
  <c r="D394" i="6"/>
  <c r="AC393" i="6"/>
  <c r="Y393" i="6"/>
  <c r="K393" i="6"/>
  <c r="J393" i="6"/>
  <c r="I393" i="6"/>
  <c r="D393" i="6"/>
  <c r="AC392" i="6"/>
  <c r="Y392" i="6"/>
  <c r="K392" i="6"/>
  <c r="J392" i="6"/>
  <c r="I392" i="6"/>
  <c r="D392" i="6"/>
  <c r="AC391" i="6"/>
  <c r="Y391" i="6"/>
  <c r="K391" i="6"/>
  <c r="J391" i="6"/>
  <c r="I391" i="6"/>
  <c r="D391" i="6"/>
  <c r="AC390" i="6"/>
  <c r="Y390" i="6"/>
  <c r="K390" i="6"/>
  <c r="J390" i="6"/>
  <c r="I390" i="6"/>
  <c r="D390" i="6"/>
  <c r="AC389" i="6"/>
  <c r="Y389" i="6"/>
  <c r="K389" i="6"/>
  <c r="J389" i="6"/>
  <c r="I389" i="6"/>
  <c r="D389" i="6"/>
  <c r="AC388" i="6"/>
  <c r="Y388" i="6"/>
  <c r="K388" i="6"/>
  <c r="J388" i="6"/>
  <c r="I388" i="6"/>
  <c r="D388" i="6"/>
  <c r="AC387" i="6"/>
  <c r="Y387" i="6"/>
  <c r="K387" i="6"/>
  <c r="J387" i="6"/>
  <c r="I387" i="6"/>
  <c r="D387" i="6"/>
  <c r="AC386" i="6"/>
  <c r="Y386" i="6"/>
  <c r="K386" i="6"/>
  <c r="J386" i="6"/>
  <c r="I386" i="6"/>
  <c r="D386" i="6"/>
  <c r="AC385" i="6"/>
  <c r="Y385" i="6"/>
  <c r="K385" i="6"/>
  <c r="J385" i="6"/>
  <c r="I385" i="6"/>
  <c r="D385" i="6"/>
  <c r="AC384" i="6"/>
  <c r="Y384" i="6"/>
  <c r="K384" i="6"/>
  <c r="J384" i="6"/>
  <c r="I384" i="6"/>
  <c r="D384" i="6"/>
  <c r="AC383" i="6"/>
  <c r="Y383" i="6"/>
  <c r="K383" i="6"/>
  <c r="J383" i="6"/>
  <c r="I383" i="6"/>
  <c r="D383" i="6"/>
  <c r="AC382" i="6"/>
  <c r="Y382" i="6"/>
  <c r="K382" i="6"/>
  <c r="J382" i="6"/>
  <c r="I382" i="6"/>
  <c r="D382" i="6"/>
  <c r="AC381" i="6"/>
  <c r="Y381" i="6"/>
  <c r="K381" i="6"/>
  <c r="J381" i="6"/>
  <c r="I381" i="6"/>
  <c r="D381" i="6"/>
  <c r="AC380" i="6"/>
  <c r="Y380" i="6"/>
  <c r="K380" i="6"/>
  <c r="J380" i="6"/>
  <c r="I380" i="6"/>
  <c r="D380" i="6"/>
  <c r="AC379" i="6"/>
  <c r="Y379" i="6"/>
  <c r="K379" i="6"/>
  <c r="J379" i="6"/>
  <c r="I379" i="6"/>
  <c r="D379" i="6"/>
  <c r="AC378" i="6"/>
  <c r="Y378" i="6"/>
  <c r="K378" i="6"/>
  <c r="J378" i="6"/>
  <c r="I378" i="6"/>
  <c r="D378" i="6"/>
  <c r="AC377" i="6"/>
  <c r="Y377" i="6"/>
  <c r="K377" i="6"/>
  <c r="J377" i="6"/>
  <c r="I377" i="6"/>
  <c r="D377" i="6"/>
  <c r="AC376" i="6"/>
  <c r="Y376" i="6"/>
  <c r="K376" i="6"/>
  <c r="J376" i="6"/>
  <c r="I376" i="6"/>
  <c r="D376" i="6"/>
  <c r="AC375" i="6"/>
  <c r="Y375" i="6"/>
  <c r="K375" i="6"/>
  <c r="J375" i="6"/>
  <c r="I375" i="6"/>
  <c r="D375" i="6"/>
  <c r="AC374" i="6"/>
  <c r="Y374" i="6"/>
  <c r="K374" i="6"/>
  <c r="J374" i="6"/>
  <c r="I374" i="6"/>
  <c r="D374" i="6"/>
  <c r="AC373" i="6"/>
  <c r="Y373" i="6"/>
  <c r="K373" i="6"/>
  <c r="J373" i="6"/>
  <c r="I373" i="6"/>
  <c r="D373" i="6"/>
  <c r="AC372" i="6"/>
  <c r="Y372" i="6"/>
  <c r="K372" i="6"/>
  <c r="J372" i="6"/>
  <c r="I372" i="6"/>
  <c r="D372" i="6"/>
  <c r="AC371" i="6"/>
  <c r="Y371" i="6"/>
  <c r="K371" i="6"/>
  <c r="J371" i="6"/>
  <c r="I371" i="6"/>
  <c r="D371" i="6"/>
  <c r="AC370" i="6"/>
  <c r="Y370" i="6"/>
  <c r="K370" i="6"/>
  <c r="J370" i="6"/>
  <c r="I370" i="6"/>
  <c r="D370" i="6"/>
  <c r="AC369" i="6"/>
  <c r="Y369" i="6"/>
  <c r="K369" i="6"/>
  <c r="J369" i="6"/>
  <c r="I369" i="6"/>
  <c r="D369" i="6"/>
  <c r="AC368" i="6"/>
  <c r="Y368" i="6"/>
  <c r="K368" i="6"/>
  <c r="J368" i="6"/>
  <c r="I368" i="6"/>
  <c r="D368" i="6"/>
  <c r="AC367" i="6"/>
  <c r="Y367" i="6"/>
  <c r="K367" i="6"/>
  <c r="J367" i="6"/>
  <c r="I367" i="6"/>
  <c r="D367" i="6"/>
  <c r="AC366" i="6"/>
  <c r="Y366" i="6"/>
  <c r="K366" i="6"/>
  <c r="J366" i="6"/>
  <c r="I366" i="6"/>
  <c r="D366" i="6"/>
  <c r="AC365" i="6"/>
  <c r="Y365" i="6"/>
  <c r="K365" i="6"/>
  <c r="J365" i="6"/>
  <c r="I365" i="6"/>
  <c r="D365" i="6"/>
  <c r="AC364" i="6"/>
  <c r="Y364" i="6"/>
  <c r="K364" i="6"/>
  <c r="J364" i="6"/>
  <c r="I364" i="6"/>
  <c r="D364" i="6"/>
  <c r="AC363" i="6"/>
  <c r="Y363" i="6"/>
  <c r="K363" i="6"/>
  <c r="J363" i="6"/>
  <c r="I363" i="6"/>
  <c r="D363" i="6"/>
  <c r="AC362" i="6"/>
  <c r="Y362" i="6"/>
  <c r="K362" i="6"/>
  <c r="J362" i="6"/>
  <c r="I362" i="6"/>
  <c r="D362" i="6"/>
  <c r="AC361" i="6"/>
  <c r="Y361" i="6"/>
  <c r="K361" i="6"/>
  <c r="J361" i="6"/>
  <c r="I361" i="6"/>
  <c r="D361" i="6"/>
  <c r="AC360" i="6"/>
  <c r="Y360" i="6"/>
  <c r="K360" i="6"/>
  <c r="J360" i="6"/>
  <c r="I360" i="6"/>
  <c r="D360" i="6"/>
  <c r="AC359" i="6"/>
  <c r="Y359" i="6"/>
  <c r="K359" i="6"/>
  <c r="J359" i="6"/>
  <c r="I359" i="6"/>
  <c r="D359" i="6"/>
  <c r="AC358" i="6"/>
  <c r="Y358" i="6"/>
  <c r="K358" i="6"/>
  <c r="J358" i="6"/>
  <c r="I358" i="6"/>
  <c r="D358" i="6"/>
  <c r="AC357" i="6"/>
  <c r="Y357" i="6"/>
  <c r="K357" i="6"/>
  <c r="J357" i="6"/>
  <c r="I357" i="6"/>
  <c r="D357" i="6"/>
  <c r="AC356" i="6"/>
  <c r="Y356" i="6"/>
  <c r="K356" i="6"/>
  <c r="J356" i="6"/>
  <c r="I356" i="6"/>
  <c r="D356" i="6"/>
  <c r="AC355" i="6"/>
  <c r="Y355" i="6"/>
  <c r="K355" i="6"/>
  <c r="J355" i="6"/>
  <c r="I355" i="6"/>
  <c r="D355" i="6"/>
  <c r="AC354" i="6"/>
  <c r="Y354" i="6"/>
  <c r="K354" i="6"/>
  <c r="J354" i="6"/>
  <c r="I354" i="6"/>
  <c r="D354" i="6"/>
  <c r="AC353" i="6"/>
  <c r="Y353" i="6"/>
  <c r="K353" i="6"/>
  <c r="J353" i="6"/>
  <c r="I353" i="6"/>
  <c r="D353" i="6"/>
  <c r="AC352" i="6"/>
  <c r="Y352" i="6"/>
  <c r="K352" i="6"/>
  <c r="J352" i="6"/>
  <c r="I352" i="6"/>
  <c r="D352" i="6"/>
  <c r="AC351" i="6"/>
  <c r="Y351" i="6"/>
  <c r="K351" i="6"/>
  <c r="J351" i="6"/>
  <c r="I351" i="6"/>
  <c r="D351" i="6"/>
  <c r="AC350" i="6"/>
  <c r="Y350" i="6"/>
  <c r="K350" i="6"/>
  <c r="J350" i="6"/>
  <c r="I350" i="6"/>
  <c r="D350" i="6"/>
  <c r="AC349" i="6"/>
  <c r="Y349" i="6"/>
  <c r="K349" i="6"/>
  <c r="J349" i="6"/>
  <c r="I349" i="6"/>
  <c r="D349" i="6"/>
  <c r="AC348" i="6"/>
  <c r="Y348" i="6"/>
  <c r="K348" i="6"/>
  <c r="J348" i="6"/>
  <c r="I348" i="6"/>
  <c r="D348" i="6"/>
  <c r="AC347" i="6"/>
  <c r="Y347" i="6"/>
  <c r="K347" i="6"/>
  <c r="J347" i="6"/>
  <c r="I347" i="6"/>
  <c r="D347" i="6"/>
  <c r="AC346" i="6"/>
  <c r="Y346" i="6"/>
  <c r="K346" i="6"/>
  <c r="J346" i="6"/>
  <c r="I346" i="6"/>
  <c r="D346" i="6"/>
  <c r="AC345" i="6"/>
  <c r="Y345" i="6"/>
  <c r="K345" i="6"/>
  <c r="J345" i="6"/>
  <c r="I345" i="6"/>
  <c r="D345" i="6"/>
  <c r="AC344" i="6"/>
  <c r="Y344" i="6"/>
  <c r="K344" i="6"/>
  <c r="J344" i="6"/>
  <c r="I344" i="6"/>
  <c r="D344" i="6"/>
  <c r="AC343" i="6"/>
  <c r="Y343" i="6"/>
  <c r="K343" i="6"/>
  <c r="J343" i="6"/>
  <c r="I343" i="6"/>
  <c r="D343" i="6"/>
  <c r="AC342" i="6"/>
  <c r="Y342" i="6"/>
  <c r="K342" i="6"/>
  <c r="J342" i="6"/>
  <c r="I342" i="6"/>
  <c r="D342" i="6"/>
  <c r="AC341" i="6"/>
  <c r="Y341" i="6"/>
  <c r="K341" i="6"/>
  <c r="J341" i="6"/>
  <c r="I341" i="6"/>
  <c r="D341" i="6"/>
  <c r="AC340" i="6"/>
  <c r="Y340" i="6"/>
  <c r="K340" i="6"/>
  <c r="J340" i="6"/>
  <c r="I340" i="6"/>
  <c r="D340" i="6"/>
  <c r="AC339" i="6"/>
  <c r="Y339" i="6"/>
  <c r="K339" i="6"/>
  <c r="J339" i="6"/>
  <c r="I339" i="6"/>
  <c r="D339" i="6"/>
  <c r="AC338" i="6"/>
  <c r="Y338" i="6"/>
  <c r="K338" i="6"/>
  <c r="J338" i="6"/>
  <c r="I338" i="6"/>
  <c r="D338" i="6"/>
  <c r="AC337" i="6"/>
  <c r="Y337" i="6"/>
  <c r="K337" i="6"/>
  <c r="J337" i="6"/>
  <c r="I337" i="6"/>
  <c r="D337" i="6"/>
  <c r="AC336" i="6"/>
  <c r="Y336" i="6"/>
  <c r="K336" i="6"/>
  <c r="J336" i="6"/>
  <c r="I336" i="6"/>
  <c r="D336" i="6"/>
  <c r="AC335" i="6"/>
  <c r="Y335" i="6"/>
  <c r="K335" i="6"/>
  <c r="J335" i="6"/>
  <c r="I335" i="6"/>
  <c r="D335" i="6"/>
  <c r="AC334" i="6"/>
  <c r="Y334" i="6"/>
  <c r="K334" i="6"/>
  <c r="J334" i="6"/>
  <c r="I334" i="6"/>
  <c r="D334" i="6"/>
  <c r="AC333" i="6"/>
  <c r="Y333" i="6"/>
  <c r="K333" i="6"/>
  <c r="J333" i="6"/>
  <c r="I333" i="6"/>
  <c r="D333" i="6"/>
  <c r="AC332" i="6"/>
  <c r="Y332" i="6"/>
  <c r="K332" i="6"/>
  <c r="J332" i="6"/>
  <c r="I332" i="6"/>
  <c r="D332" i="6"/>
  <c r="AC331" i="6"/>
  <c r="Y331" i="6"/>
  <c r="K331" i="6"/>
  <c r="J331" i="6"/>
  <c r="I331" i="6"/>
  <c r="D331" i="6"/>
  <c r="AC330" i="6"/>
  <c r="Y330" i="6"/>
  <c r="K330" i="6"/>
  <c r="J330" i="6"/>
  <c r="I330" i="6"/>
  <c r="D330" i="6"/>
  <c r="AC329" i="6"/>
  <c r="Y329" i="6"/>
  <c r="K329" i="6"/>
  <c r="J329" i="6"/>
  <c r="I329" i="6"/>
  <c r="D329" i="6"/>
  <c r="AC328" i="6"/>
  <c r="Y328" i="6"/>
  <c r="K328" i="6"/>
  <c r="J328" i="6"/>
  <c r="I328" i="6"/>
  <c r="D328" i="6"/>
  <c r="AC327" i="6"/>
  <c r="Y327" i="6"/>
  <c r="K327" i="6"/>
  <c r="J327" i="6"/>
  <c r="I327" i="6"/>
  <c r="D327" i="6"/>
  <c r="AC326" i="6"/>
  <c r="Y326" i="6"/>
  <c r="K326" i="6"/>
  <c r="J326" i="6"/>
  <c r="I326" i="6"/>
  <c r="D326" i="6"/>
  <c r="AC325" i="6"/>
  <c r="Y325" i="6"/>
  <c r="K325" i="6"/>
  <c r="J325" i="6"/>
  <c r="I325" i="6"/>
  <c r="D325" i="6"/>
  <c r="AC324" i="6"/>
  <c r="Y324" i="6"/>
  <c r="K324" i="6"/>
  <c r="J324" i="6"/>
  <c r="I324" i="6"/>
  <c r="D324" i="6"/>
  <c r="AC323" i="6"/>
  <c r="Y323" i="6"/>
  <c r="K323" i="6"/>
  <c r="J323" i="6"/>
  <c r="I323" i="6"/>
  <c r="D323" i="6"/>
  <c r="AC322" i="6"/>
  <c r="Y322" i="6"/>
  <c r="K322" i="6"/>
  <c r="J322" i="6"/>
  <c r="I322" i="6"/>
  <c r="D322" i="6"/>
  <c r="AC321" i="6"/>
  <c r="Y321" i="6"/>
  <c r="K321" i="6"/>
  <c r="J321" i="6"/>
  <c r="I321" i="6"/>
  <c r="D321" i="6"/>
  <c r="AC320" i="6"/>
  <c r="Y320" i="6"/>
  <c r="K320" i="6"/>
  <c r="J320" i="6"/>
  <c r="I320" i="6"/>
  <c r="D320" i="6"/>
  <c r="AC319" i="6"/>
  <c r="Y319" i="6"/>
  <c r="K319" i="6"/>
  <c r="J319" i="6"/>
  <c r="I319" i="6"/>
  <c r="D319" i="6"/>
  <c r="AC318" i="6"/>
  <c r="Y318" i="6"/>
  <c r="K318" i="6"/>
  <c r="J318" i="6"/>
  <c r="I318" i="6"/>
  <c r="D318" i="6"/>
  <c r="AC317" i="6"/>
  <c r="Y317" i="6"/>
  <c r="K317" i="6"/>
  <c r="J317" i="6"/>
  <c r="I317" i="6"/>
  <c r="D317" i="6"/>
  <c r="AC316" i="6"/>
  <c r="Y316" i="6"/>
  <c r="K316" i="6"/>
  <c r="J316" i="6"/>
  <c r="I316" i="6"/>
  <c r="D316" i="6"/>
  <c r="AC315" i="6"/>
  <c r="Y315" i="6"/>
  <c r="K315" i="6"/>
  <c r="J315" i="6"/>
  <c r="I315" i="6"/>
  <c r="D315" i="6"/>
  <c r="AC314" i="6"/>
  <c r="Y314" i="6"/>
  <c r="K314" i="6"/>
  <c r="J314" i="6"/>
  <c r="I314" i="6"/>
  <c r="D314" i="6"/>
  <c r="AC313" i="6"/>
  <c r="Y313" i="6"/>
  <c r="K313" i="6"/>
  <c r="J313" i="6"/>
  <c r="I313" i="6"/>
  <c r="D313" i="6"/>
  <c r="AC312" i="6"/>
  <c r="Y312" i="6"/>
  <c r="K312" i="6"/>
  <c r="J312" i="6"/>
  <c r="I312" i="6"/>
  <c r="D312" i="6"/>
  <c r="AC311" i="6"/>
  <c r="Y311" i="6"/>
  <c r="K311" i="6"/>
  <c r="J311" i="6"/>
  <c r="I311" i="6"/>
  <c r="D311" i="6"/>
  <c r="AC310" i="6"/>
  <c r="Y310" i="6"/>
  <c r="K310" i="6"/>
  <c r="J310" i="6"/>
  <c r="I310" i="6"/>
  <c r="D310" i="6"/>
  <c r="AC309" i="6"/>
  <c r="Y309" i="6"/>
  <c r="K309" i="6"/>
  <c r="J309" i="6"/>
  <c r="I309" i="6"/>
  <c r="D309" i="6"/>
  <c r="AC308" i="6"/>
  <c r="Y308" i="6"/>
  <c r="K308" i="6"/>
  <c r="J308" i="6"/>
  <c r="I308" i="6"/>
  <c r="D308" i="6"/>
  <c r="AC307" i="6"/>
  <c r="Y307" i="6"/>
  <c r="K307" i="6"/>
  <c r="J307" i="6"/>
  <c r="I307" i="6"/>
  <c r="D307" i="6"/>
  <c r="AC306" i="6"/>
  <c r="Y306" i="6"/>
  <c r="K306" i="6"/>
  <c r="J306" i="6"/>
  <c r="I306" i="6"/>
  <c r="D306" i="6"/>
  <c r="AC305" i="6"/>
  <c r="Y305" i="6"/>
  <c r="K305" i="6"/>
  <c r="J305" i="6"/>
  <c r="I305" i="6"/>
  <c r="D305" i="6"/>
  <c r="AC304" i="6"/>
  <c r="Y304" i="6"/>
  <c r="K304" i="6"/>
  <c r="J304" i="6"/>
  <c r="I304" i="6"/>
  <c r="D304" i="6"/>
  <c r="AC303" i="6"/>
  <c r="Y303" i="6"/>
  <c r="K303" i="6"/>
  <c r="J303" i="6"/>
  <c r="I303" i="6"/>
  <c r="D303" i="6"/>
  <c r="AC302" i="6"/>
  <c r="Y302" i="6"/>
  <c r="K302" i="6"/>
  <c r="J302" i="6"/>
  <c r="I302" i="6"/>
  <c r="D302" i="6"/>
  <c r="AC301" i="6"/>
  <c r="Y301" i="6"/>
  <c r="K301" i="6"/>
  <c r="J301" i="6"/>
  <c r="I301" i="6"/>
  <c r="D301" i="6"/>
  <c r="AC300" i="6"/>
  <c r="D300" i="6"/>
  <c r="J300" i="6" s="1"/>
  <c r="AC299" i="6"/>
  <c r="D299" i="6"/>
  <c r="J299" i="6" s="1"/>
  <c r="AC298" i="6"/>
  <c r="D298" i="6"/>
  <c r="K298" i="6" s="1"/>
  <c r="AC297" i="6"/>
  <c r="D297" i="6"/>
  <c r="J297" i="6" s="1"/>
  <c r="AC296" i="6"/>
  <c r="D296" i="6"/>
  <c r="K296" i="6" s="1"/>
  <c r="AC295" i="6"/>
  <c r="D295" i="6"/>
  <c r="K295" i="6" s="1"/>
  <c r="AC294" i="6"/>
  <c r="D294" i="6"/>
  <c r="J294" i="6" s="1"/>
  <c r="AC293" i="6"/>
  <c r="D293" i="6"/>
  <c r="I293" i="6" s="1"/>
  <c r="AC292" i="6"/>
  <c r="D292" i="6"/>
  <c r="K292" i="6" s="1"/>
  <c r="AC291" i="6"/>
  <c r="D291" i="6"/>
  <c r="J291" i="6" s="1"/>
  <c r="AC290" i="6"/>
  <c r="D290" i="6"/>
  <c r="K290" i="6" s="1"/>
  <c r="AC289" i="6"/>
  <c r="K289" i="6"/>
  <c r="J289" i="6"/>
  <c r="I289" i="6"/>
  <c r="AC288" i="6"/>
  <c r="K288" i="6"/>
  <c r="J288" i="6"/>
  <c r="I288" i="6"/>
  <c r="AC287" i="6"/>
  <c r="K287" i="6"/>
  <c r="J287" i="6"/>
  <c r="I287" i="6"/>
  <c r="AC286" i="6"/>
  <c r="D286" i="6"/>
  <c r="K286" i="6" s="1"/>
  <c r="AC285" i="6"/>
  <c r="D285" i="6"/>
  <c r="J285" i="6" s="1"/>
  <c r="AC284" i="6"/>
  <c r="D284" i="6"/>
  <c r="K284" i="6" s="1"/>
  <c r="AC283" i="6"/>
  <c r="D283" i="6"/>
  <c r="K283" i="6" s="1"/>
  <c r="AC282" i="6"/>
  <c r="D282" i="6"/>
  <c r="J282" i="6" s="1"/>
  <c r="AC281" i="6"/>
  <c r="D281" i="6"/>
  <c r="I281" i="6" s="1"/>
  <c r="AC280" i="6"/>
  <c r="D280" i="6"/>
  <c r="J280" i="6" s="1"/>
  <c r="AC279" i="6"/>
  <c r="D279" i="6"/>
  <c r="J279" i="6" s="1"/>
  <c r="I290" i="6" l="1"/>
  <c r="K279" i="6"/>
  <c r="J281" i="6"/>
  <c r="K281" i="6"/>
  <c r="K282" i="6"/>
  <c r="J283" i="6"/>
  <c r="I299" i="6"/>
  <c r="K300" i="6"/>
  <c r="I282" i="6"/>
  <c r="I283" i="6"/>
  <c r="I300" i="6"/>
  <c r="J290" i="6"/>
  <c r="K299" i="6"/>
  <c r="K280" i="6"/>
  <c r="J286" i="6"/>
  <c r="I292" i="6"/>
  <c r="I295" i="6"/>
  <c r="K291" i="6"/>
  <c r="J292" i="6"/>
  <c r="J293" i="6"/>
  <c r="K294" i="6"/>
  <c r="J295" i="6"/>
  <c r="I291" i="6"/>
  <c r="I294" i="6"/>
  <c r="I279" i="6"/>
  <c r="I280" i="6"/>
  <c r="K285" i="6"/>
  <c r="I286" i="6"/>
  <c r="K297" i="6"/>
  <c r="I285" i="6"/>
  <c r="I297" i="6"/>
  <c r="I298" i="6"/>
  <c r="J298" i="6"/>
  <c r="I296" i="6"/>
  <c r="J296" i="6"/>
  <c r="K293" i="6"/>
  <c r="I284" i="6"/>
  <c r="J284" i="6"/>
  <c r="D161" i="6"/>
  <c r="I161" i="6" s="1"/>
  <c r="AC161" i="6"/>
  <c r="D162" i="6"/>
  <c r="K162" i="6" s="1"/>
  <c r="AC162" i="6"/>
  <c r="D163" i="6"/>
  <c r="I163" i="6" s="1"/>
  <c r="K163" i="6"/>
  <c r="AC163" i="6"/>
  <c r="D164" i="6"/>
  <c r="I164" i="6" s="1"/>
  <c r="AC164" i="6"/>
  <c r="D165" i="6"/>
  <c r="J165" i="6" s="1"/>
  <c r="AC165" i="6"/>
  <c r="K161" i="6" l="1"/>
  <c r="I165" i="6"/>
  <c r="J163" i="6"/>
  <c r="J162" i="6"/>
  <c r="J161" i="6"/>
  <c r="K165" i="6"/>
  <c r="K164" i="6"/>
  <c r="I162" i="6"/>
  <c r="J164" i="6"/>
  <c r="D47" i="6"/>
  <c r="D278" i="6" l="1"/>
  <c r="D277" i="6"/>
  <c r="D270" i="6"/>
  <c r="D269" i="6"/>
  <c r="D268" i="6"/>
  <c r="D267" i="6"/>
  <c r="D266" i="6"/>
  <c r="D265" i="6"/>
  <c r="D264" i="6"/>
  <c r="D263" i="6"/>
  <c r="D262" i="6"/>
  <c r="D261" i="6"/>
  <c r="D260" i="6"/>
  <c r="D258" i="6"/>
  <c r="D257" i="6"/>
  <c r="D256" i="6"/>
  <c r="D255" i="6"/>
  <c r="D254" i="6"/>
  <c r="I254" i="6" s="1"/>
  <c r="D253" i="6"/>
  <c r="D252" i="6"/>
  <c r="D251" i="6"/>
  <c r="D250" i="6"/>
  <c r="D248" i="6"/>
  <c r="D247" i="6"/>
  <c r="D246" i="6"/>
  <c r="D245" i="6"/>
  <c r="D244" i="6"/>
  <c r="D243" i="6"/>
  <c r="D242" i="6"/>
  <c r="D241" i="6"/>
  <c r="D240" i="6"/>
  <c r="D238" i="6"/>
  <c r="D237" i="6"/>
  <c r="D236" i="6"/>
  <c r="D235" i="6"/>
  <c r="D234" i="6"/>
  <c r="D233" i="6"/>
  <c r="D232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2" i="6"/>
  <c r="D111" i="6"/>
  <c r="D110" i="6"/>
  <c r="D109" i="6"/>
  <c r="D108" i="6"/>
  <c r="D107" i="6"/>
  <c r="D106" i="6"/>
  <c r="D104" i="6"/>
  <c r="D103" i="6"/>
  <c r="D102" i="6"/>
  <c r="D101" i="6"/>
  <c r="D100" i="6"/>
  <c r="D99" i="6"/>
  <c r="D98" i="6"/>
  <c r="D97" i="6"/>
  <c r="D96" i="6"/>
  <c r="D95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J61" i="6" s="1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I277" i="6" l="1"/>
  <c r="J277" i="6"/>
  <c r="K277" i="6"/>
  <c r="J5" i="6"/>
  <c r="D7" i="6" l="1"/>
  <c r="I7" i="6" s="1"/>
  <c r="D8" i="6"/>
  <c r="D9" i="6"/>
  <c r="D10" i="6"/>
  <c r="D11" i="6"/>
  <c r="D12" i="6"/>
  <c r="D13" i="6"/>
  <c r="D14" i="6"/>
  <c r="D15" i="6"/>
  <c r="D16" i="6"/>
  <c r="D17" i="6"/>
  <c r="AC5" i="6"/>
  <c r="K5" i="6"/>
  <c r="K6" i="6" l="1"/>
  <c r="J6" i="6"/>
  <c r="I6" i="6"/>
  <c r="I5" i="6"/>
  <c r="AB1248" i="5"/>
  <c r="C1248" i="5"/>
  <c r="AB1247" i="5" l="1"/>
  <c r="C1247" i="5"/>
  <c r="J1247" i="5" s="1"/>
  <c r="AB1246" i="5"/>
  <c r="C1246" i="5"/>
  <c r="I1246" i="5" s="1"/>
  <c r="AB1245" i="5"/>
  <c r="C1245" i="5"/>
  <c r="I1245" i="5" s="1"/>
  <c r="AB1244" i="5"/>
  <c r="C1244" i="5"/>
  <c r="I1244" i="5" s="1"/>
  <c r="AB1243" i="5"/>
  <c r="C1243" i="5"/>
  <c r="J1243" i="5" s="1"/>
  <c r="AB1242" i="5"/>
  <c r="C1242" i="5"/>
  <c r="I1242" i="5" s="1"/>
  <c r="AB1241" i="5"/>
  <c r="C1241" i="5"/>
  <c r="I1241" i="5" s="1"/>
  <c r="AB1240" i="5"/>
  <c r="J1240" i="5"/>
  <c r="I1240" i="5"/>
  <c r="H1240" i="5"/>
  <c r="AB1239" i="5"/>
  <c r="C1239" i="5"/>
  <c r="H1239" i="5" s="1"/>
  <c r="AB1238" i="5"/>
  <c r="C1238" i="5"/>
  <c r="I1238" i="5" s="1"/>
  <c r="AB1237" i="5"/>
  <c r="C1237" i="5"/>
  <c r="H1237" i="5" s="1"/>
  <c r="AB1236" i="5"/>
  <c r="C1236" i="5"/>
  <c r="I1236" i="5" s="1"/>
  <c r="AB1235" i="5"/>
  <c r="C1235" i="5"/>
  <c r="H1235" i="5" s="1"/>
  <c r="J1238" i="5" l="1"/>
  <c r="J1245" i="5"/>
  <c r="H1236" i="5"/>
  <c r="J1244" i="5"/>
  <c r="I1235" i="5"/>
  <c r="H1241" i="5"/>
  <c r="H1242" i="5"/>
  <c r="I1243" i="5"/>
  <c r="I1247" i="5"/>
  <c r="J1236" i="5"/>
  <c r="H1238" i="5"/>
  <c r="I1239" i="5"/>
  <c r="J1241" i="5"/>
  <c r="J1242" i="5"/>
  <c r="J1246" i="5"/>
  <c r="J1235" i="5"/>
  <c r="I1237" i="5"/>
  <c r="J1239" i="5"/>
  <c r="J1237" i="5"/>
  <c r="C1221" i="5"/>
  <c r="C1223" i="5"/>
  <c r="C1224" i="5"/>
  <c r="C1225" i="5"/>
  <c r="J1222" i="5"/>
  <c r="H1222" i="5"/>
  <c r="I1222" i="5" l="1"/>
  <c r="AB1234" i="5"/>
  <c r="C1234" i="5"/>
  <c r="H1234" i="5" s="1"/>
  <c r="AB1233" i="5"/>
  <c r="C1233" i="5"/>
  <c r="I1233" i="5" s="1"/>
  <c r="AB1232" i="5"/>
  <c r="C1232" i="5"/>
  <c r="J1232" i="5" s="1"/>
  <c r="AB1231" i="5"/>
  <c r="C1231" i="5"/>
  <c r="I1231" i="5" s="1"/>
  <c r="AB1230" i="5"/>
  <c r="C1230" i="5"/>
  <c r="I1230" i="5" s="1"/>
  <c r="AB1229" i="5"/>
  <c r="C1229" i="5"/>
  <c r="I1229" i="5" s="1"/>
  <c r="AB1228" i="5"/>
  <c r="C1228" i="5"/>
  <c r="I1228" i="5" s="1"/>
  <c r="AB1227" i="5"/>
  <c r="C1227" i="5"/>
  <c r="I1227" i="5" s="1"/>
  <c r="AB1226" i="5"/>
  <c r="J1226" i="5"/>
  <c r="C1226" i="5"/>
  <c r="I1226" i="5" s="1"/>
  <c r="AB1225" i="5"/>
  <c r="J1225" i="5"/>
  <c r="I1225" i="5"/>
  <c r="H1225" i="5"/>
  <c r="AB1224" i="5"/>
  <c r="J1224" i="5"/>
  <c r="I1224" i="5"/>
  <c r="H1224" i="5"/>
  <c r="AB1223" i="5"/>
  <c r="J1223" i="5"/>
  <c r="I1223" i="5"/>
  <c r="H1223" i="5"/>
  <c r="AB1222" i="5"/>
  <c r="AB1221" i="5"/>
  <c r="J1221" i="5"/>
  <c r="I1221" i="5"/>
  <c r="H1221" i="5"/>
  <c r="AB1220" i="5"/>
  <c r="H1220" i="5"/>
  <c r="C1220" i="5"/>
  <c r="I1220" i="5" s="1"/>
  <c r="AB1219" i="5"/>
  <c r="C1219" i="5"/>
  <c r="I1219" i="5" s="1"/>
  <c r="AB1218" i="5"/>
  <c r="C1218" i="5"/>
  <c r="H1218" i="5" s="1"/>
  <c r="AB1217" i="5"/>
  <c r="C1217" i="5"/>
  <c r="J1217" i="5" s="1"/>
  <c r="J1228" i="5" l="1"/>
  <c r="J1230" i="5"/>
  <c r="H1219" i="5"/>
  <c r="J1229" i="5"/>
  <c r="J1227" i="5"/>
  <c r="J1231" i="5"/>
  <c r="H1233" i="5"/>
  <c r="I1234" i="5"/>
  <c r="J1233" i="5"/>
  <c r="I1218" i="5"/>
  <c r="J1219" i="5"/>
  <c r="J1220" i="5"/>
  <c r="H1226" i="5"/>
  <c r="H1227" i="5"/>
  <c r="H1228" i="5"/>
  <c r="H1229" i="5"/>
  <c r="H1230" i="5"/>
  <c r="H1231" i="5"/>
  <c r="H1217" i="5"/>
  <c r="J1218" i="5"/>
  <c r="H1232" i="5"/>
  <c r="J1234" i="5"/>
  <c r="I1232" i="5"/>
  <c r="I1217" i="5"/>
  <c r="AB1216" i="5"/>
  <c r="C1216" i="5"/>
  <c r="J1216" i="5" s="1"/>
  <c r="AB1215" i="5"/>
  <c r="C1215" i="5"/>
  <c r="H1215" i="5" s="1"/>
  <c r="AB1214" i="5"/>
  <c r="C1214" i="5"/>
  <c r="J1214" i="5" s="1"/>
  <c r="AB1213" i="5"/>
  <c r="C1213" i="5"/>
  <c r="I1213" i="5" s="1"/>
  <c r="AB1212" i="5"/>
  <c r="C1212" i="5"/>
  <c r="I1212" i="5" s="1"/>
  <c r="H1213" i="5" l="1"/>
  <c r="H1212" i="5"/>
  <c r="J1212" i="5"/>
  <c r="J1213" i="5"/>
  <c r="I1215" i="5"/>
  <c r="H1214" i="5"/>
  <c r="J1215" i="5"/>
  <c r="H1216" i="5"/>
  <c r="I1214" i="5"/>
  <c r="I1216" i="5"/>
  <c r="C1208" i="5"/>
  <c r="C1100" i="5" l="1"/>
  <c r="AB1211" i="5" l="1"/>
  <c r="C1211" i="5"/>
  <c r="H1211" i="5" s="1"/>
  <c r="AB1210" i="5"/>
  <c r="C1210" i="5"/>
  <c r="J1210" i="5" s="1"/>
  <c r="AB1209" i="5"/>
  <c r="C1209" i="5"/>
  <c r="H1209" i="5" s="1"/>
  <c r="AB1208" i="5"/>
  <c r="J1208" i="5"/>
  <c r="I1208" i="5"/>
  <c r="H1208" i="5"/>
  <c r="AB1207" i="5"/>
  <c r="C1207" i="5"/>
  <c r="I1207" i="5" s="1"/>
  <c r="AB1206" i="5"/>
  <c r="C1206" i="5"/>
  <c r="I1206" i="5" s="1"/>
  <c r="AB1205" i="5"/>
  <c r="C1205" i="5"/>
  <c r="I1205" i="5" s="1"/>
  <c r="AB1204" i="5"/>
  <c r="C1204" i="5"/>
  <c r="I1204" i="5" s="1"/>
  <c r="AB1203" i="5"/>
  <c r="C1203" i="5"/>
  <c r="J1203" i="5" s="1"/>
  <c r="AB1202" i="5"/>
  <c r="C1202" i="5"/>
  <c r="H1202" i="5" s="1"/>
  <c r="AB1201" i="5"/>
  <c r="C1201" i="5"/>
  <c r="I1201" i="5" s="1"/>
  <c r="AB1200" i="5"/>
  <c r="C1200" i="5"/>
  <c r="I1200" i="5" s="1"/>
  <c r="AB1199" i="5"/>
  <c r="C1199" i="5"/>
  <c r="I1199" i="5" s="1"/>
  <c r="AB1198" i="5"/>
  <c r="C1198" i="5"/>
  <c r="I1198" i="5" s="1"/>
  <c r="AB1197" i="5"/>
  <c r="C1197" i="5"/>
  <c r="I1197" i="5" s="1"/>
  <c r="AB1196" i="5"/>
  <c r="C1196" i="5"/>
  <c r="I1196" i="5" s="1"/>
  <c r="AB1195" i="5"/>
  <c r="C1195" i="5"/>
  <c r="I1195" i="5" s="1"/>
  <c r="AB1194" i="5"/>
  <c r="C1194" i="5"/>
  <c r="H1194" i="5" s="1"/>
  <c r="AB1193" i="5"/>
  <c r="C1193" i="5"/>
  <c r="I1193" i="5" s="1"/>
  <c r="AB1192" i="5"/>
  <c r="C1192" i="5"/>
  <c r="J1192" i="5" s="1"/>
  <c r="AB1191" i="5"/>
  <c r="C1191" i="5"/>
  <c r="I1191" i="5" s="1"/>
  <c r="AB1190" i="5"/>
  <c r="C1190" i="5"/>
  <c r="J1190" i="5" s="1"/>
  <c r="AB1189" i="5"/>
  <c r="I1189" i="5"/>
  <c r="C1189" i="5"/>
  <c r="H1189" i="5" s="1"/>
  <c r="AB1188" i="5"/>
  <c r="C1188" i="5"/>
  <c r="J1188" i="5" s="1"/>
  <c r="AB1187" i="5"/>
  <c r="C1187" i="5"/>
  <c r="H1187" i="5" s="1"/>
  <c r="AB1186" i="5"/>
  <c r="C1186" i="5"/>
  <c r="J1186" i="5" s="1"/>
  <c r="AB1185" i="5"/>
  <c r="C1185" i="5"/>
  <c r="H1185" i="5" s="1"/>
  <c r="AB1184" i="5"/>
  <c r="C1184" i="5"/>
  <c r="J1184" i="5" s="1"/>
  <c r="AB1183" i="5"/>
  <c r="C1183" i="5"/>
  <c r="H1183" i="5" s="1"/>
  <c r="AB1182" i="5"/>
  <c r="C1182" i="5"/>
  <c r="J1182" i="5" s="1"/>
  <c r="AB1181" i="5"/>
  <c r="C1181" i="5"/>
  <c r="H1181" i="5" s="1"/>
  <c r="AB1180" i="5"/>
  <c r="C1180" i="5"/>
  <c r="J1180" i="5" s="1"/>
  <c r="AB1179" i="5"/>
  <c r="C1179" i="5"/>
  <c r="H1179" i="5" s="1"/>
  <c r="AB1178" i="5"/>
  <c r="C1178" i="5"/>
  <c r="J1178" i="5" s="1"/>
  <c r="AB1177" i="5"/>
  <c r="C1177" i="5"/>
  <c r="H1177" i="5" s="1"/>
  <c r="AB1176" i="5"/>
  <c r="C1176" i="5"/>
  <c r="J1176" i="5" s="1"/>
  <c r="AB1175" i="5"/>
  <c r="C1175" i="5"/>
  <c r="H1175" i="5" s="1"/>
  <c r="AB1174" i="5"/>
  <c r="C1174" i="5"/>
  <c r="J1174" i="5" s="1"/>
  <c r="AB1173" i="5"/>
  <c r="C1173" i="5"/>
  <c r="H1173" i="5" s="1"/>
  <c r="AB1172" i="5"/>
  <c r="C1172" i="5"/>
  <c r="J1172" i="5" s="1"/>
  <c r="AB1171" i="5"/>
  <c r="C1171" i="5"/>
  <c r="H1171" i="5" s="1"/>
  <c r="AB1170" i="5"/>
  <c r="C1170" i="5"/>
  <c r="J1170" i="5" s="1"/>
  <c r="AB1169" i="5"/>
  <c r="C1169" i="5"/>
  <c r="H1169" i="5" s="1"/>
  <c r="AB1168" i="5"/>
  <c r="C1168" i="5"/>
  <c r="J1168" i="5" s="1"/>
  <c r="AB1167" i="5"/>
  <c r="C1167" i="5"/>
  <c r="H1167" i="5" s="1"/>
  <c r="AB1166" i="5"/>
  <c r="C1166" i="5"/>
  <c r="J1166" i="5" s="1"/>
  <c r="AB1165" i="5"/>
  <c r="C1165" i="5"/>
  <c r="H1165" i="5" s="1"/>
  <c r="AB1164" i="5"/>
  <c r="C1164" i="5"/>
  <c r="J1164" i="5" s="1"/>
  <c r="AB1163" i="5"/>
  <c r="C1163" i="5"/>
  <c r="H1163" i="5" s="1"/>
  <c r="AB1162" i="5"/>
  <c r="C1162" i="5"/>
  <c r="I1162" i="5" s="1"/>
  <c r="AB1161" i="5"/>
  <c r="C1161" i="5"/>
  <c r="J1161" i="5" s="1"/>
  <c r="AB1160" i="5"/>
  <c r="C1160" i="5"/>
  <c r="I1160" i="5" s="1"/>
  <c r="AB1159" i="5"/>
  <c r="C1159" i="5"/>
  <c r="H1159" i="5" s="1"/>
  <c r="AB1158" i="5"/>
  <c r="C1158" i="5"/>
  <c r="J1158" i="5" s="1"/>
  <c r="AB1157" i="5"/>
  <c r="C1157" i="5"/>
  <c r="H1157" i="5" s="1"/>
  <c r="AB1156" i="5"/>
  <c r="C1156" i="5"/>
  <c r="J1156" i="5" s="1"/>
  <c r="AB1155" i="5"/>
  <c r="C1155" i="5"/>
  <c r="J1155" i="5" s="1"/>
  <c r="AB1154" i="5"/>
  <c r="C1154" i="5"/>
  <c r="I1154" i="5" s="1"/>
  <c r="AB1153" i="5"/>
  <c r="C1153" i="5"/>
  <c r="I1153" i="5" s="1"/>
  <c r="AB1152" i="5"/>
  <c r="C1152" i="5"/>
  <c r="J1152" i="5" s="1"/>
  <c r="AB1151" i="5"/>
  <c r="C1151" i="5"/>
  <c r="I1151" i="5" s="1"/>
  <c r="AB1150" i="5"/>
  <c r="C1150" i="5"/>
  <c r="J1150" i="5" s="1"/>
  <c r="AB1149" i="5"/>
  <c r="C1149" i="5"/>
  <c r="I1149" i="5" s="1"/>
  <c r="AB1148" i="5"/>
  <c r="C1148" i="5"/>
  <c r="J1148" i="5" s="1"/>
  <c r="AB1147" i="5"/>
  <c r="C1147" i="5"/>
  <c r="J1147" i="5" s="1"/>
  <c r="AB1146" i="5"/>
  <c r="C1146" i="5"/>
  <c r="H1146" i="5" s="1"/>
  <c r="AB1145" i="5"/>
  <c r="C1145" i="5"/>
  <c r="J1145" i="5" s="1"/>
  <c r="AB1144" i="5"/>
  <c r="C1144" i="5"/>
  <c r="H1144" i="5" s="1"/>
  <c r="AB1143" i="5"/>
  <c r="C1143" i="5"/>
  <c r="J1143" i="5" s="1"/>
  <c r="AB1142" i="5"/>
  <c r="C1142" i="5"/>
  <c r="I1142" i="5" s="1"/>
  <c r="AB1141" i="5"/>
  <c r="C1141" i="5"/>
  <c r="I1141" i="5" s="1"/>
  <c r="AB1140" i="5"/>
  <c r="I1140" i="5"/>
  <c r="C1140" i="5"/>
  <c r="H1140" i="5" s="1"/>
  <c r="AB1139" i="5"/>
  <c r="C1139" i="5"/>
  <c r="J1139" i="5" s="1"/>
  <c r="AB1138" i="5"/>
  <c r="C1138" i="5"/>
  <c r="J1138" i="5" s="1"/>
  <c r="AB1137" i="5"/>
  <c r="C1137" i="5"/>
  <c r="H1137" i="5" s="1"/>
  <c r="AB1136" i="5"/>
  <c r="C1136" i="5"/>
  <c r="J1136" i="5" s="1"/>
  <c r="AB1135" i="5"/>
  <c r="C1135" i="5"/>
  <c r="H1135" i="5" s="1"/>
  <c r="AB1134" i="5"/>
  <c r="C1134" i="5"/>
  <c r="H1134" i="5" s="1"/>
  <c r="AB1133" i="5"/>
  <c r="C1133" i="5"/>
  <c r="J1133" i="5" s="1"/>
  <c r="AB1132" i="5"/>
  <c r="J1132" i="5"/>
  <c r="I1132" i="5"/>
  <c r="H1132" i="5"/>
  <c r="AB1131" i="5"/>
  <c r="J1131" i="5"/>
  <c r="I1131" i="5"/>
  <c r="H1131" i="5"/>
  <c r="AB1130" i="5"/>
  <c r="C1130" i="5"/>
  <c r="J1130" i="5" s="1"/>
  <c r="AB1129" i="5"/>
  <c r="C1129" i="5"/>
  <c r="H1129" i="5" s="1"/>
  <c r="AB1128" i="5"/>
  <c r="C1128" i="5"/>
  <c r="J1128" i="5" s="1"/>
  <c r="AB1127" i="5"/>
  <c r="C1127" i="5"/>
  <c r="H1127" i="5" s="1"/>
  <c r="AB1126" i="5"/>
  <c r="C1126" i="5"/>
  <c r="J1126" i="5" s="1"/>
  <c r="AB1125" i="5"/>
  <c r="C1125" i="5"/>
  <c r="H1125" i="5" s="1"/>
  <c r="AB1124" i="5"/>
  <c r="C1124" i="5"/>
  <c r="J1124" i="5" s="1"/>
  <c r="AB1123" i="5"/>
  <c r="C1123" i="5"/>
  <c r="H1123" i="5" s="1"/>
  <c r="AB1122" i="5"/>
  <c r="C1122" i="5"/>
  <c r="J1122" i="5" s="1"/>
  <c r="AB1121" i="5"/>
  <c r="C1121" i="5"/>
  <c r="H1121" i="5" s="1"/>
  <c r="AB1120" i="5"/>
  <c r="C1120" i="5"/>
  <c r="J1120" i="5" s="1"/>
  <c r="AB1119" i="5"/>
  <c r="C1119" i="5"/>
  <c r="H1119" i="5" s="1"/>
  <c r="AB1118" i="5"/>
  <c r="C1118" i="5"/>
  <c r="J1118" i="5" s="1"/>
  <c r="AB1117" i="5"/>
  <c r="C1117" i="5"/>
  <c r="H1117" i="5" s="1"/>
  <c r="AB1116" i="5"/>
  <c r="C1116" i="5"/>
  <c r="J1116" i="5" s="1"/>
  <c r="AB1115" i="5"/>
  <c r="C1115" i="5"/>
  <c r="H1115" i="5" s="1"/>
  <c r="AB1114" i="5"/>
  <c r="C1114" i="5"/>
  <c r="J1114" i="5" s="1"/>
  <c r="AB1113" i="5"/>
  <c r="C1113" i="5"/>
  <c r="H1113" i="5" s="1"/>
  <c r="AB1112" i="5"/>
  <c r="C1112" i="5"/>
  <c r="J1112" i="5" s="1"/>
  <c r="AB1111" i="5"/>
  <c r="C1111" i="5"/>
  <c r="H1111" i="5" s="1"/>
  <c r="AB1110" i="5"/>
  <c r="C1110" i="5"/>
  <c r="J1110" i="5" s="1"/>
  <c r="AB1109" i="5"/>
  <c r="C1109" i="5"/>
  <c r="H1109" i="5" s="1"/>
  <c r="AB1107" i="5"/>
  <c r="C1107" i="5"/>
  <c r="J1107" i="5" s="1"/>
  <c r="AB1106" i="5"/>
  <c r="C1106" i="5"/>
  <c r="I1106" i="5" s="1"/>
  <c r="AB1105" i="5"/>
  <c r="C1105" i="5"/>
  <c r="I1105" i="5" s="1"/>
  <c r="AB1104" i="5"/>
  <c r="C1104" i="5"/>
  <c r="I1104" i="5" s="1"/>
  <c r="AB1103" i="5"/>
  <c r="C1103" i="5"/>
  <c r="I1103" i="5" s="1"/>
  <c r="AB1102" i="5"/>
  <c r="C1102" i="5"/>
  <c r="J1102" i="5" s="1"/>
  <c r="AB1101" i="5"/>
  <c r="C1101" i="5"/>
  <c r="H1101" i="5" s="1"/>
  <c r="AB1100" i="5"/>
  <c r="J1100" i="5"/>
  <c r="I1100" i="5"/>
  <c r="H1100" i="5"/>
  <c r="AB1099" i="5"/>
  <c r="C1099" i="5"/>
  <c r="J1099" i="5" s="1"/>
  <c r="AB1098" i="5"/>
  <c r="C1098" i="5"/>
  <c r="J1098" i="5" s="1"/>
  <c r="AB1097" i="5"/>
  <c r="C1097" i="5"/>
  <c r="I1097" i="5" s="1"/>
  <c r="AB1096" i="5"/>
  <c r="C1096" i="5"/>
  <c r="H1096" i="5" s="1"/>
  <c r="AB1095" i="5"/>
  <c r="C1095" i="5"/>
  <c r="I1095" i="5" s="1"/>
  <c r="AB1094" i="5"/>
  <c r="C1094" i="5"/>
  <c r="J1094" i="5" s="1"/>
  <c r="AB1093" i="5"/>
  <c r="C1093" i="5"/>
  <c r="H1093" i="5" s="1"/>
  <c r="AB1092" i="5"/>
  <c r="C1092" i="5"/>
  <c r="J1092" i="5" s="1"/>
  <c r="AB1091" i="5"/>
  <c r="C1091" i="5"/>
  <c r="H1091" i="5" s="1"/>
  <c r="AB1090" i="5"/>
  <c r="C1090" i="5"/>
  <c r="J1090" i="5" s="1"/>
  <c r="AB1089" i="5"/>
  <c r="C1089" i="5"/>
  <c r="J1089" i="5" s="1"/>
  <c r="AB1088" i="5"/>
  <c r="C1088" i="5"/>
  <c r="H1088" i="5" s="1"/>
  <c r="AB1087" i="5"/>
  <c r="C1087" i="5"/>
  <c r="I1087" i="5" s="1"/>
  <c r="AB1086" i="5"/>
  <c r="C1086" i="5"/>
  <c r="I1086" i="5" s="1"/>
  <c r="AB1085" i="5"/>
  <c r="C1085" i="5"/>
  <c r="I1085" i="5" s="1"/>
  <c r="AB1084" i="5"/>
  <c r="C1084" i="5"/>
  <c r="I1084" i="5" s="1"/>
  <c r="AB1083" i="5"/>
  <c r="C1083" i="5"/>
  <c r="H1083" i="5" s="1"/>
  <c r="AB1082" i="5"/>
  <c r="C1082" i="5"/>
  <c r="J1082" i="5" s="1"/>
  <c r="AB1081" i="5"/>
  <c r="C1081" i="5"/>
  <c r="H1081" i="5" s="1"/>
  <c r="AB1080" i="5"/>
  <c r="C1080" i="5"/>
  <c r="J1080" i="5" s="1"/>
  <c r="AB1079" i="5"/>
  <c r="J1079" i="5"/>
  <c r="I1079" i="5"/>
  <c r="H1079" i="5"/>
  <c r="AB1078" i="5"/>
  <c r="J1078" i="5"/>
  <c r="I1078" i="5"/>
  <c r="H1078" i="5"/>
  <c r="AB1077" i="5"/>
  <c r="C1077" i="5"/>
  <c r="J1077" i="5" s="1"/>
  <c r="AB1076" i="5"/>
  <c r="C1076" i="5"/>
  <c r="H1076" i="5" s="1"/>
  <c r="AB1075" i="5"/>
  <c r="C1075" i="5"/>
  <c r="J1075" i="5" s="1"/>
  <c r="AB1074" i="5"/>
  <c r="C1074" i="5"/>
  <c r="H1074" i="5" s="1"/>
  <c r="AB1073" i="5"/>
  <c r="C1073" i="5"/>
  <c r="J1073" i="5" s="1"/>
  <c r="H1103" i="5" l="1"/>
  <c r="I1173" i="5"/>
  <c r="H1196" i="5"/>
  <c r="I1129" i="5"/>
  <c r="H1151" i="5"/>
  <c r="H1152" i="5"/>
  <c r="H1195" i="5"/>
  <c r="I1146" i="5"/>
  <c r="J1151" i="5"/>
  <c r="I1152" i="5"/>
  <c r="H1200" i="5"/>
  <c r="H1087" i="5"/>
  <c r="J1141" i="5"/>
  <c r="I1185" i="5"/>
  <c r="H1199" i="5"/>
  <c r="H1086" i="5"/>
  <c r="J1097" i="5"/>
  <c r="H1154" i="5"/>
  <c r="H1155" i="5"/>
  <c r="H1164" i="5"/>
  <c r="I1177" i="5"/>
  <c r="H1191" i="5"/>
  <c r="H1192" i="5"/>
  <c r="I1194" i="5"/>
  <c r="H1198" i="5"/>
  <c r="I1202" i="5"/>
  <c r="J1105" i="5"/>
  <c r="I1117" i="5"/>
  <c r="J1153" i="5"/>
  <c r="J1154" i="5"/>
  <c r="I1155" i="5"/>
  <c r="H1162" i="5"/>
  <c r="I1163" i="5"/>
  <c r="I1164" i="5"/>
  <c r="I1167" i="5"/>
  <c r="I1181" i="5"/>
  <c r="J1191" i="5"/>
  <c r="I1192" i="5"/>
  <c r="J1193" i="5"/>
  <c r="H1197" i="5"/>
  <c r="H1201" i="5"/>
  <c r="I1211" i="5"/>
  <c r="I1113" i="5"/>
  <c r="I1137" i="5"/>
  <c r="H1148" i="5"/>
  <c r="H1153" i="5"/>
  <c r="I1081" i="5"/>
  <c r="J1104" i="5"/>
  <c r="I1121" i="5"/>
  <c r="H1141" i="5"/>
  <c r="I1144" i="5"/>
  <c r="I1159" i="5"/>
  <c r="J1162" i="5"/>
  <c r="I1169" i="5"/>
  <c r="J1074" i="5"/>
  <c r="H1085" i="5"/>
  <c r="I1093" i="5"/>
  <c r="J1106" i="5"/>
  <c r="I1125" i="5"/>
  <c r="I1134" i="5"/>
  <c r="I1148" i="5"/>
  <c r="H1149" i="5"/>
  <c r="H1150" i="5"/>
  <c r="H1160" i="5"/>
  <c r="I1171" i="5"/>
  <c r="I1179" i="5"/>
  <c r="I1187" i="5"/>
  <c r="H1190" i="5"/>
  <c r="J1194" i="5"/>
  <c r="J1195" i="5"/>
  <c r="J1196" i="5"/>
  <c r="J1197" i="5"/>
  <c r="J1198" i="5"/>
  <c r="J1199" i="5"/>
  <c r="J1200" i="5"/>
  <c r="J1201" i="5"/>
  <c r="H1204" i="5"/>
  <c r="H1205" i="5"/>
  <c r="H1206" i="5"/>
  <c r="H1207" i="5"/>
  <c r="I1209" i="5"/>
  <c r="I1088" i="5"/>
  <c r="H1097" i="5"/>
  <c r="I1101" i="5"/>
  <c r="H1104" i="5"/>
  <c r="J1149" i="5"/>
  <c r="I1150" i="5"/>
  <c r="J1160" i="5"/>
  <c r="I1190" i="5"/>
  <c r="J1204" i="5"/>
  <c r="J1205" i="5"/>
  <c r="J1206" i="5"/>
  <c r="J1207" i="5"/>
  <c r="I1175" i="5"/>
  <c r="I1183" i="5"/>
  <c r="H1193" i="5"/>
  <c r="J1085" i="5"/>
  <c r="J1086" i="5"/>
  <c r="J1087" i="5"/>
  <c r="H1095" i="5"/>
  <c r="I1096" i="5"/>
  <c r="H1098" i="5"/>
  <c r="H1102" i="5"/>
  <c r="I1111" i="5"/>
  <c r="I1119" i="5"/>
  <c r="I1127" i="5"/>
  <c r="H1133" i="5"/>
  <c r="J1134" i="5"/>
  <c r="I1135" i="5"/>
  <c r="H1139" i="5"/>
  <c r="J1140" i="5"/>
  <c r="H1143" i="5"/>
  <c r="J1144" i="5"/>
  <c r="H1145" i="5"/>
  <c r="J1146" i="5"/>
  <c r="H1147" i="5"/>
  <c r="I1157" i="5"/>
  <c r="J1159" i="5"/>
  <c r="H1161" i="5"/>
  <c r="J1163" i="5"/>
  <c r="H1166" i="5"/>
  <c r="J1167" i="5"/>
  <c r="H1168" i="5"/>
  <c r="J1169" i="5"/>
  <c r="H1170" i="5"/>
  <c r="J1171" i="5"/>
  <c r="H1172" i="5"/>
  <c r="J1173" i="5"/>
  <c r="H1174" i="5"/>
  <c r="J1175" i="5"/>
  <c r="H1176" i="5"/>
  <c r="J1177" i="5"/>
  <c r="H1178" i="5"/>
  <c r="J1179" i="5"/>
  <c r="H1180" i="5"/>
  <c r="J1181" i="5"/>
  <c r="H1182" i="5"/>
  <c r="J1183" i="5"/>
  <c r="H1184" i="5"/>
  <c r="J1185" i="5"/>
  <c r="H1186" i="5"/>
  <c r="J1187" i="5"/>
  <c r="H1188" i="5"/>
  <c r="J1189" i="5"/>
  <c r="J1202" i="5"/>
  <c r="H1203" i="5"/>
  <c r="J1209" i="5"/>
  <c r="H1210" i="5"/>
  <c r="J1211" i="5"/>
  <c r="J1095" i="5"/>
  <c r="I1102" i="5"/>
  <c r="I1133" i="5"/>
  <c r="I1139" i="5"/>
  <c r="I1143" i="5"/>
  <c r="I1145" i="5"/>
  <c r="I1147" i="5"/>
  <c r="J1157" i="5"/>
  <c r="I1161" i="5"/>
  <c r="I1166" i="5"/>
  <c r="I1168" i="5"/>
  <c r="I1170" i="5"/>
  <c r="I1172" i="5"/>
  <c r="I1174" i="5"/>
  <c r="I1176" i="5"/>
  <c r="I1178" i="5"/>
  <c r="I1180" i="5"/>
  <c r="I1182" i="5"/>
  <c r="I1184" i="5"/>
  <c r="I1186" i="5"/>
  <c r="I1188" i="5"/>
  <c r="I1203" i="5"/>
  <c r="I1210" i="5"/>
  <c r="I1076" i="5"/>
  <c r="I1083" i="5"/>
  <c r="I1091" i="5"/>
  <c r="J1103" i="5"/>
  <c r="H1105" i="5"/>
  <c r="H1106" i="5"/>
  <c r="I1115" i="5"/>
  <c r="I1123" i="5"/>
  <c r="I1165" i="5"/>
  <c r="J1165" i="5"/>
  <c r="H1158" i="5"/>
  <c r="I1158" i="5"/>
  <c r="H1156" i="5"/>
  <c r="I1156" i="5"/>
  <c r="H1142" i="5"/>
  <c r="J1142" i="5"/>
  <c r="J1135" i="5"/>
  <c r="H1136" i="5"/>
  <c r="J1137" i="5"/>
  <c r="I1136" i="5"/>
  <c r="H1138" i="5"/>
  <c r="I1138" i="5"/>
  <c r="H1073" i="5"/>
  <c r="J1076" i="5"/>
  <c r="H1077" i="5"/>
  <c r="H1080" i="5"/>
  <c r="J1081" i="5"/>
  <c r="H1082" i="5"/>
  <c r="J1083" i="5"/>
  <c r="H1090" i="5"/>
  <c r="J1091" i="5"/>
  <c r="H1092" i="5"/>
  <c r="J1093" i="5"/>
  <c r="H1094" i="5"/>
  <c r="J1101" i="5"/>
  <c r="I1109" i="5"/>
  <c r="H1110" i="5"/>
  <c r="J1111" i="5"/>
  <c r="H1112" i="5"/>
  <c r="J1113" i="5"/>
  <c r="H1114" i="5"/>
  <c r="J1115" i="5"/>
  <c r="H1116" i="5"/>
  <c r="J1117" i="5"/>
  <c r="H1118" i="5"/>
  <c r="J1119" i="5"/>
  <c r="H1120" i="5"/>
  <c r="J1121" i="5"/>
  <c r="H1122" i="5"/>
  <c r="J1123" i="5"/>
  <c r="H1124" i="5"/>
  <c r="J1125" i="5"/>
  <c r="H1126" i="5"/>
  <c r="J1127" i="5"/>
  <c r="H1128" i="5"/>
  <c r="J1129" i="5"/>
  <c r="H1130" i="5"/>
  <c r="I1073" i="5"/>
  <c r="I1077" i="5"/>
  <c r="I1080" i="5"/>
  <c r="I1082" i="5"/>
  <c r="I1090" i="5"/>
  <c r="I1092" i="5"/>
  <c r="I1094" i="5"/>
  <c r="I1110" i="5"/>
  <c r="I1112" i="5"/>
  <c r="I1114" i="5"/>
  <c r="I1116" i="5"/>
  <c r="I1118" i="5"/>
  <c r="I1120" i="5"/>
  <c r="I1122" i="5"/>
  <c r="I1124" i="5"/>
  <c r="I1126" i="5"/>
  <c r="I1128" i="5"/>
  <c r="I1130" i="5"/>
  <c r="I1074" i="5"/>
  <c r="I1098" i="5"/>
  <c r="H1107" i="5"/>
  <c r="J1109" i="5"/>
  <c r="I1107" i="5"/>
  <c r="H1099" i="5"/>
  <c r="I1099" i="5"/>
  <c r="J1096" i="5"/>
  <c r="J1088" i="5"/>
  <c r="H1089" i="5"/>
  <c r="I1089" i="5"/>
  <c r="J1084" i="5"/>
  <c r="H1084" i="5"/>
  <c r="H1075" i="5"/>
  <c r="I1075" i="5"/>
  <c r="AB1072" i="5"/>
  <c r="C1072" i="5"/>
  <c r="I1072" i="5" s="1"/>
  <c r="AB1071" i="5"/>
  <c r="C1071" i="5"/>
  <c r="J1071" i="5" s="1"/>
  <c r="AB1070" i="5"/>
  <c r="C1070" i="5"/>
  <c r="H1070" i="5" s="1"/>
  <c r="AB1069" i="5"/>
  <c r="C1069" i="5"/>
  <c r="J1069" i="5" s="1"/>
  <c r="AB1068" i="5"/>
  <c r="C1068" i="5"/>
  <c r="I1068" i="5" s="1"/>
  <c r="AB1067" i="5"/>
  <c r="C1067" i="5"/>
  <c r="J1067" i="5" s="1"/>
  <c r="AB1066" i="5"/>
  <c r="C1066" i="5"/>
  <c r="I1066" i="5" s="1"/>
  <c r="AB1065" i="5"/>
  <c r="C1065" i="5"/>
  <c r="J1065" i="5" s="1"/>
  <c r="AB1064" i="5"/>
  <c r="C1064" i="5"/>
  <c r="I1064" i="5" s="1"/>
  <c r="AB1063" i="5"/>
  <c r="C1063" i="5"/>
  <c r="J1063" i="5" s="1"/>
  <c r="AB1062" i="5"/>
  <c r="C1062" i="5"/>
  <c r="I1062" i="5" s="1"/>
  <c r="AB1061" i="5"/>
  <c r="C1061" i="5"/>
  <c r="J1061" i="5" s="1"/>
  <c r="AB1060" i="5"/>
  <c r="C1060" i="5"/>
  <c r="I1060" i="5" s="1"/>
  <c r="AB1059" i="5"/>
  <c r="C1059" i="5"/>
  <c r="J1059" i="5" s="1"/>
  <c r="AB1058" i="5"/>
  <c r="C1058" i="5"/>
  <c r="I1058" i="5" s="1"/>
  <c r="AB1057" i="5"/>
  <c r="C1057" i="5"/>
  <c r="J1057" i="5" s="1"/>
  <c r="AB1056" i="5"/>
  <c r="J1056" i="5"/>
  <c r="I1056" i="5"/>
  <c r="H1056" i="5"/>
  <c r="AB1055" i="5"/>
  <c r="C1055" i="5"/>
  <c r="I1055" i="5" s="1"/>
  <c r="AB1054" i="5"/>
  <c r="C1054" i="5"/>
  <c r="J1054" i="5" s="1"/>
  <c r="AB1053" i="5"/>
  <c r="C1053" i="5"/>
  <c r="I1053" i="5" s="1"/>
  <c r="AB1052" i="5"/>
  <c r="C1052" i="5"/>
  <c r="J1052" i="5" s="1"/>
  <c r="AB1051" i="5"/>
  <c r="C1051" i="5"/>
  <c r="I1051" i="5" s="1"/>
  <c r="AB1050" i="5"/>
  <c r="C1050" i="5"/>
  <c r="J1050" i="5" s="1"/>
  <c r="AB1049" i="5"/>
  <c r="C1049" i="5"/>
  <c r="J1049" i="5" s="1"/>
  <c r="AB1048" i="5"/>
  <c r="J1048" i="5"/>
  <c r="I1048" i="5"/>
  <c r="H1048" i="5"/>
  <c r="AB1047" i="5"/>
  <c r="C1047" i="5"/>
  <c r="I1047" i="5" s="1"/>
  <c r="AB1046" i="5"/>
  <c r="C1046" i="5"/>
  <c r="J1046" i="5" s="1"/>
  <c r="AB1045" i="5"/>
  <c r="C1045" i="5"/>
  <c r="H1045" i="5" s="1"/>
  <c r="AB1044" i="5"/>
  <c r="C1044" i="5"/>
  <c r="I1044" i="5" s="1"/>
  <c r="AB1043" i="5"/>
  <c r="C1043" i="5"/>
  <c r="J1043" i="5" s="1"/>
  <c r="AB1042" i="5"/>
  <c r="C1042" i="5"/>
  <c r="I1042" i="5" s="1"/>
  <c r="AB1041" i="5"/>
  <c r="C1041" i="5"/>
  <c r="J1041" i="5" s="1"/>
  <c r="AB1040" i="5"/>
  <c r="I1040" i="5"/>
  <c r="C1040" i="5"/>
  <c r="H1040" i="5" s="1"/>
  <c r="AB1039" i="5"/>
  <c r="C1039" i="5"/>
  <c r="J1039" i="5" s="1"/>
  <c r="AB1038" i="5"/>
  <c r="C1038" i="5"/>
  <c r="H1038" i="5" s="1"/>
  <c r="AB1037" i="5"/>
  <c r="C1037" i="5"/>
  <c r="J1037" i="5" s="1"/>
  <c r="AB1036" i="5"/>
  <c r="C1036" i="5"/>
  <c r="J1036" i="5" s="1"/>
  <c r="AB1035" i="5"/>
  <c r="C1035" i="5"/>
  <c r="J1035" i="5" s="1"/>
  <c r="AB1034" i="5"/>
  <c r="C1034" i="5"/>
  <c r="H1034" i="5" s="1"/>
  <c r="AB1033" i="5"/>
  <c r="C1033" i="5"/>
  <c r="J1033" i="5" s="1"/>
  <c r="AB1032" i="5"/>
  <c r="C1032" i="5"/>
  <c r="H1032" i="5" s="1"/>
  <c r="AB1031" i="5"/>
  <c r="C1031" i="5"/>
  <c r="J1031" i="5" s="1"/>
  <c r="AB1030" i="5"/>
  <c r="C1030" i="5"/>
  <c r="H1030" i="5" s="1"/>
  <c r="AB1029" i="5"/>
  <c r="C1029" i="5"/>
  <c r="H1029" i="5" s="1"/>
  <c r="AB1028" i="5"/>
  <c r="C1028" i="5"/>
  <c r="J1028" i="5" s="1"/>
  <c r="AB1027" i="5"/>
  <c r="C1027" i="5"/>
  <c r="H1027" i="5" s="1"/>
  <c r="AB1026" i="5"/>
  <c r="C1026" i="5"/>
  <c r="J1026" i="5" s="1"/>
  <c r="AB1025" i="5"/>
  <c r="C1025" i="5"/>
  <c r="J1025" i="5" s="1"/>
  <c r="AB1024" i="5"/>
  <c r="C1024" i="5"/>
  <c r="J1024" i="5" s="1"/>
  <c r="AB1023" i="5"/>
  <c r="C1023" i="5"/>
  <c r="I1023" i="5" s="1"/>
  <c r="AB1022" i="5"/>
  <c r="C1022" i="5"/>
  <c r="J1022" i="5" s="1"/>
  <c r="AB1021" i="5"/>
  <c r="C1021" i="5"/>
  <c r="H1021" i="5" s="1"/>
  <c r="I1054" i="5" l="1"/>
  <c r="H1046" i="5"/>
  <c r="I1038" i="5"/>
  <c r="J1066" i="5"/>
  <c r="J1042" i="5"/>
  <c r="H1052" i="5"/>
  <c r="J1062" i="5"/>
  <c r="H1069" i="5"/>
  <c r="J1034" i="5"/>
  <c r="I1045" i="5"/>
  <c r="H1058" i="5"/>
  <c r="H1061" i="5"/>
  <c r="I1067" i="5"/>
  <c r="H1072" i="5"/>
  <c r="I1027" i="5"/>
  <c r="J1058" i="5"/>
  <c r="J1072" i="5"/>
  <c r="H1024" i="5"/>
  <c r="J1038" i="5"/>
  <c r="H1041" i="5"/>
  <c r="J1047" i="5"/>
  <c r="J1053" i="5"/>
  <c r="H1065" i="5"/>
  <c r="I1021" i="5"/>
  <c r="I1032" i="5"/>
  <c r="H1036" i="5"/>
  <c r="H1043" i="5"/>
  <c r="J1044" i="5"/>
  <c r="J1045" i="5"/>
  <c r="I1046" i="5"/>
  <c r="H1050" i="5"/>
  <c r="J1051" i="5"/>
  <c r="I1052" i="5"/>
  <c r="H1063" i="5"/>
  <c r="J1064" i="5"/>
  <c r="I1065" i="5"/>
  <c r="J1021" i="5"/>
  <c r="J1032" i="5"/>
  <c r="I1036" i="5"/>
  <c r="I1043" i="5"/>
  <c r="I1050" i="5"/>
  <c r="I1063" i="5"/>
  <c r="J1023" i="5"/>
  <c r="I1024" i="5"/>
  <c r="I1034" i="5"/>
  <c r="J1040" i="5"/>
  <c r="I1041" i="5"/>
  <c r="H1054" i="5"/>
  <c r="J1055" i="5"/>
  <c r="J1060" i="5"/>
  <c r="I1061" i="5"/>
  <c r="H1067" i="5"/>
  <c r="J1068" i="5"/>
  <c r="I1069" i="5"/>
  <c r="H1022" i="5"/>
  <c r="H1026" i="5"/>
  <c r="J1027" i="5"/>
  <c r="H1028" i="5"/>
  <c r="H1031" i="5"/>
  <c r="H1033" i="5"/>
  <c r="H1035" i="5"/>
  <c r="H1037" i="5"/>
  <c r="H1039" i="5"/>
  <c r="H1057" i="5"/>
  <c r="H1059" i="5"/>
  <c r="H1071" i="5"/>
  <c r="I1022" i="5"/>
  <c r="H1023" i="5"/>
  <c r="I1026" i="5"/>
  <c r="I1028" i="5"/>
  <c r="I1031" i="5"/>
  <c r="I1033" i="5"/>
  <c r="I1035" i="5"/>
  <c r="I1037" i="5"/>
  <c r="I1039" i="5"/>
  <c r="H1042" i="5"/>
  <c r="H1044" i="5"/>
  <c r="H1047" i="5"/>
  <c r="H1051" i="5"/>
  <c r="H1053" i="5"/>
  <c r="H1055" i="5"/>
  <c r="I1057" i="5"/>
  <c r="I1059" i="5"/>
  <c r="H1060" i="5"/>
  <c r="H1062" i="5"/>
  <c r="H1064" i="5"/>
  <c r="H1066" i="5"/>
  <c r="H1068" i="5"/>
  <c r="I1071" i="5"/>
  <c r="I1070" i="5"/>
  <c r="J1070" i="5"/>
  <c r="H1049" i="5"/>
  <c r="I1049" i="5"/>
  <c r="J1029" i="5"/>
  <c r="I1029" i="5"/>
  <c r="I1030" i="5"/>
  <c r="J1030" i="5"/>
  <c r="H1025" i="5"/>
  <c r="I1025" i="5"/>
  <c r="C900" i="5"/>
  <c r="J888" i="5" l="1"/>
  <c r="I888" i="5"/>
  <c r="C885" i="5" l="1"/>
  <c r="C884" i="5"/>
  <c r="H884" i="5" l="1"/>
  <c r="J884" i="5"/>
  <c r="I884" i="5"/>
  <c r="I885" i="5"/>
  <c r="H885" i="5"/>
  <c r="J885" i="5"/>
  <c r="AB595" i="7"/>
  <c r="X595" i="7"/>
  <c r="S595" i="7"/>
  <c r="L595" i="7"/>
  <c r="AB594" i="7"/>
  <c r="X594" i="7"/>
  <c r="S594" i="7"/>
  <c r="L594" i="7"/>
  <c r="J594" i="7"/>
  <c r="I594" i="7"/>
  <c r="H594" i="7"/>
  <c r="AB593" i="7"/>
  <c r="X593" i="7"/>
  <c r="S593" i="7"/>
  <c r="L593" i="7"/>
  <c r="J593" i="7"/>
  <c r="I593" i="7"/>
  <c r="H593" i="7"/>
  <c r="AB592" i="7"/>
  <c r="X592" i="7"/>
  <c r="S592" i="7"/>
  <c r="L592" i="7"/>
  <c r="J592" i="7"/>
  <c r="I592" i="7"/>
  <c r="H592" i="7"/>
  <c r="AB591" i="7"/>
  <c r="X591" i="7"/>
  <c r="S591" i="7"/>
  <c r="L591" i="7"/>
  <c r="J591" i="7"/>
  <c r="I591" i="7"/>
  <c r="H591" i="7"/>
  <c r="AB590" i="7"/>
  <c r="X590" i="7"/>
  <c r="S590" i="7"/>
  <c r="L590" i="7"/>
  <c r="J590" i="7"/>
  <c r="I590" i="7"/>
  <c r="H590" i="7"/>
  <c r="AB589" i="7"/>
  <c r="X589" i="7"/>
  <c r="S589" i="7"/>
  <c r="L589" i="7"/>
  <c r="J589" i="7"/>
  <c r="I589" i="7"/>
  <c r="H589" i="7"/>
  <c r="AB588" i="7"/>
  <c r="X588" i="7"/>
  <c r="S588" i="7"/>
  <c r="L588" i="7"/>
  <c r="J588" i="7"/>
  <c r="I588" i="7"/>
  <c r="H588" i="7"/>
  <c r="AB587" i="7"/>
  <c r="X587" i="7"/>
  <c r="S587" i="7"/>
  <c r="L587" i="7"/>
  <c r="J587" i="7"/>
  <c r="I587" i="7"/>
  <c r="H587" i="7"/>
  <c r="AB586" i="7"/>
  <c r="X586" i="7"/>
  <c r="S586" i="7"/>
  <c r="L586" i="7"/>
  <c r="J586" i="7"/>
  <c r="I586" i="7"/>
  <c r="H586" i="7"/>
  <c r="AB585" i="7"/>
  <c r="X585" i="7"/>
  <c r="S585" i="7"/>
  <c r="L585" i="7"/>
  <c r="J585" i="7"/>
  <c r="I585" i="7"/>
  <c r="H585" i="7"/>
  <c r="AB584" i="7"/>
  <c r="X584" i="7"/>
  <c r="S584" i="7"/>
  <c r="L584" i="7"/>
  <c r="J584" i="7"/>
  <c r="I584" i="7"/>
  <c r="H584" i="7"/>
  <c r="AB583" i="7"/>
  <c r="X583" i="7"/>
  <c r="S583" i="7"/>
  <c r="L583" i="7"/>
  <c r="J583" i="7"/>
  <c r="I583" i="7"/>
  <c r="H583" i="7"/>
  <c r="AB582" i="7"/>
  <c r="X582" i="7"/>
  <c r="S582" i="7"/>
  <c r="L582" i="7"/>
  <c r="J582" i="7"/>
  <c r="I582" i="7"/>
  <c r="H582" i="7"/>
  <c r="AB581" i="7"/>
  <c r="X581" i="7"/>
  <c r="S581" i="7"/>
  <c r="L581" i="7"/>
  <c r="J581" i="7"/>
  <c r="I581" i="7"/>
  <c r="H581" i="7"/>
  <c r="AB580" i="7"/>
  <c r="X580" i="7"/>
  <c r="S580" i="7"/>
  <c r="L580" i="7"/>
  <c r="J580" i="7"/>
  <c r="I580" i="7"/>
  <c r="H580" i="7"/>
  <c r="AB579" i="7"/>
  <c r="X579" i="7"/>
  <c r="S579" i="7"/>
  <c r="L579" i="7"/>
  <c r="J579" i="7"/>
  <c r="I579" i="7"/>
  <c r="H579" i="7"/>
  <c r="AB578" i="7"/>
  <c r="X578" i="7"/>
  <c r="S578" i="7"/>
  <c r="L578" i="7"/>
  <c r="J578" i="7"/>
  <c r="I578" i="7"/>
  <c r="H578" i="7"/>
  <c r="AB577" i="7"/>
  <c r="X577" i="7"/>
  <c r="S577" i="7"/>
  <c r="L577" i="7"/>
  <c r="J577" i="7"/>
  <c r="I577" i="7"/>
  <c r="H577" i="7"/>
  <c r="AB576" i="7"/>
  <c r="X576" i="7"/>
  <c r="S576" i="7"/>
  <c r="L576" i="7"/>
  <c r="J576" i="7"/>
  <c r="I576" i="7"/>
  <c r="H576" i="7"/>
  <c r="AB575" i="7"/>
  <c r="X575" i="7"/>
  <c r="S575" i="7"/>
  <c r="L575" i="7"/>
  <c r="J575" i="7"/>
  <c r="I575" i="7"/>
  <c r="H575" i="7"/>
  <c r="AB574" i="7"/>
  <c r="X574" i="7"/>
  <c r="S574" i="7"/>
  <c r="L574" i="7"/>
  <c r="J574" i="7"/>
  <c r="I574" i="7"/>
  <c r="H574" i="7"/>
  <c r="AB573" i="7"/>
  <c r="X573" i="7"/>
  <c r="S573" i="7"/>
  <c r="L573" i="7"/>
  <c r="J573" i="7"/>
  <c r="I573" i="7"/>
  <c r="H573" i="7"/>
  <c r="AB572" i="7"/>
  <c r="X572" i="7"/>
  <c r="S572" i="7"/>
  <c r="L572" i="7"/>
  <c r="J572" i="7"/>
  <c r="I572" i="7"/>
  <c r="H572" i="7"/>
  <c r="AB571" i="7"/>
  <c r="X571" i="7"/>
  <c r="S571" i="7"/>
  <c r="L571" i="7"/>
  <c r="J571" i="7"/>
  <c r="I571" i="7"/>
  <c r="H571" i="7"/>
  <c r="AB570" i="7"/>
  <c r="X570" i="7"/>
  <c r="S570" i="7"/>
  <c r="L570" i="7"/>
  <c r="J570" i="7"/>
  <c r="I570" i="7"/>
  <c r="H570" i="7"/>
  <c r="AB569" i="7"/>
  <c r="X569" i="7"/>
  <c r="S569" i="7"/>
  <c r="L569" i="7"/>
  <c r="J569" i="7"/>
  <c r="I569" i="7"/>
  <c r="H569" i="7"/>
  <c r="AB568" i="7"/>
  <c r="X568" i="7"/>
  <c r="S568" i="7"/>
  <c r="L568" i="7"/>
  <c r="J568" i="7"/>
  <c r="I568" i="7"/>
  <c r="H568" i="7"/>
  <c r="AB567" i="7"/>
  <c r="X567" i="7"/>
  <c r="S567" i="7"/>
  <c r="L567" i="7"/>
  <c r="J567" i="7"/>
  <c r="I567" i="7"/>
  <c r="H567" i="7"/>
  <c r="AB566" i="7"/>
  <c r="X566" i="7"/>
  <c r="S566" i="7"/>
  <c r="L566" i="7"/>
  <c r="J566" i="7"/>
  <c r="I566" i="7"/>
  <c r="H566" i="7"/>
  <c r="AB565" i="7"/>
  <c r="X565" i="7"/>
  <c r="S565" i="7"/>
  <c r="L565" i="7"/>
  <c r="J565" i="7"/>
  <c r="I565" i="7"/>
  <c r="H565" i="7"/>
  <c r="AB564" i="7"/>
  <c r="X564" i="7"/>
  <c r="S564" i="7"/>
  <c r="L564" i="7"/>
  <c r="J564" i="7"/>
  <c r="I564" i="7"/>
  <c r="H564" i="7"/>
  <c r="AB563" i="7"/>
  <c r="X563" i="7"/>
  <c r="S563" i="7"/>
  <c r="L563" i="7"/>
  <c r="J563" i="7"/>
  <c r="I563" i="7"/>
  <c r="H563" i="7"/>
  <c r="AB562" i="7"/>
  <c r="X562" i="7"/>
  <c r="S562" i="7"/>
  <c r="L562" i="7"/>
  <c r="J562" i="7"/>
  <c r="I562" i="7"/>
  <c r="H562" i="7"/>
  <c r="AB561" i="7"/>
  <c r="X561" i="7"/>
  <c r="S561" i="7"/>
  <c r="L561" i="7"/>
  <c r="J561" i="7"/>
  <c r="I561" i="7"/>
  <c r="H561" i="7"/>
  <c r="AB560" i="7"/>
  <c r="X560" i="7"/>
  <c r="S560" i="7"/>
  <c r="L560" i="7"/>
  <c r="J560" i="7"/>
  <c r="I560" i="7"/>
  <c r="H560" i="7"/>
  <c r="AB559" i="7"/>
  <c r="X559" i="7"/>
  <c r="S559" i="7"/>
  <c r="L559" i="7"/>
  <c r="J559" i="7"/>
  <c r="I559" i="7"/>
  <c r="H559" i="7"/>
  <c r="AB558" i="7"/>
  <c r="X558" i="7"/>
  <c r="S558" i="7"/>
  <c r="L558" i="7"/>
  <c r="J558" i="7"/>
  <c r="I558" i="7"/>
  <c r="H558" i="7"/>
  <c r="AB557" i="7"/>
  <c r="X557" i="7"/>
  <c r="S557" i="7"/>
  <c r="L557" i="7"/>
  <c r="J557" i="7"/>
  <c r="I557" i="7"/>
  <c r="H557" i="7"/>
  <c r="AB556" i="7"/>
  <c r="X556" i="7"/>
  <c r="S556" i="7"/>
  <c r="L556" i="7"/>
  <c r="J556" i="7"/>
  <c r="I556" i="7"/>
  <c r="H556" i="7"/>
  <c r="AB555" i="7"/>
  <c r="X555" i="7"/>
  <c r="S555" i="7"/>
  <c r="L555" i="7"/>
  <c r="J555" i="7"/>
  <c r="I555" i="7"/>
  <c r="H555" i="7"/>
  <c r="AB554" i="7"/>
  <c r="X554" i="7"/>
  <c r="S554" i="7"/>
  <c r="L554" i="7"/>
  <c r="J554" i="7"/>
  <c r="I554" i="7"/>
  <c r="H554" i="7"/>
  <c r="AB553" i="7"/>
  <c r="X553" i="7"/>
  <c r="S553" i="7"/>
  <c r="L553" i="7"/>
  <c r="J553" i="7"/>
  <c r="I553" i="7"/>
  <c r="H553" i="7"/>
  <c r="AB552" i="7"/>
  <c r="X552" i="7"/>
  <c r="S552" i="7"/>
  <c r="L552" i="7"/>
  <c r="J552" i="7"/>
  <c r="I552" i="7"/>
  <c r="H552" i="7"/>
  <c r="AB551" i="7"/>
  <c r="X551" i="7"/>
  <c r="S551" i="7"/>
  <c r="L551" i="7"/>
  <c r="J551" i="7"/>
  <c r="I551" i="7"/>
  <c r="H551" i="7"/>
  <c r="AB550" i="7"/>
  <c r="X550" i="7"/>
  <c r="S550" i="7"/>
  <c r="L550" i="7"/>
  <c r="J550" i="7"/>
  <c r="I550" i="7"/>
  <c r="H550" i="7"/>
  <c r="AB549" i="7"/>
  <c r="X549" i="7"/>
  <c r="S549" i="7"/>
  <c r="L549" i="7"/>
  <c r="J549" i="7"/>
  <c r="I549" i="7"/>
  <c r="H549" i="7"/>
  <c r="AB548" i="7"/>
  <c r="X548" i="7"/>
  <c r="S548" i="7"/>
  <c r="L548" i="7"/>
  <c r="J548" i="7"/>
  <c r="I548" i="7"/>
  <c r="H548" i="7"/>
  <c r="AB547" i="7"/>
  <c r="X547" i="7"/>
  <c r="S547" i="7"/>
  <c r="L547" i="7"/>
  <c r="J547" i="7"/>
  <c r="I547" i="7"/>
  <c r="H547" i="7"/>
  <c r="AB546" i="7"/>
  <c r="X546" i="7"/>
  <c r="S546" i="7"/>
  <c r="L546" i="7"/>
  <c r="J546" i="7"/>
  <c r="I546" i="7"/>
  <c r="H546" i="7"/>
  <c r="AB545" i="7"/>
  <c r="X545" i="7"/>
  <c r="S545" i="7"/>
  <c r="L545" i="7"/>
  <c r="J545" i="7"/>
  <c r="I545" i="7"/>
  <c r="H545" i="7"/>
  <c r="AB544" i="7"/>
  <c r="X544" i="7"/>
  <c r="S544" i="7"/>
  <c r="L544" i="7"/>
  <c r="J544" i="7"/>
  <c r="I544" i="7"/>
  <c r="H544" i="7"/>
  <c r="AB543" i="7"/>
  <c r="X543" i="7"/>
  <c r="S543" i="7"/>
  <c r="L543" i="7"/>
  <c r="J543" i="7"/>
  <c r="I543" i="7"/>
  <c r="H543" i="7"/>
  <c r="AB542" i="7"/>
  <c r="X542" i="7"/>
  <c r="S542" i="7"/>
  <c r="L542" i="7"/>
  <c r="J542" i="7"/>
  <c r="I542" i="7"/>
  <c r="H542" i="7"/>
  <c r="AB541" i="7"/>
  <c r="X541" i="7"/>
  <c r="S541" i="7"/>
  <c r="L541" i="7"/>
  <c r="J541" i="7"/>
  <c r="I541" i="7"/>
  <c r="H541" i="7"/>
  <c r="AB540" i="7"/>
  <c r="X540" i="7"/>
  <c r="S540" i="7"/>
  <c r="L540" i="7"/>
  <c r="J540" i="7"/>
  <c r="I540" i="7"/>
  <c r="H540" i="7"/>
  <c r="AB539" i="7"/>
  <c r="X539" i="7"/>
  <c r="S539" i="7"/>
  <c r="L539" i="7"/>
  <c r="J539" i="7"/>
  <c r="I539" i="7"/>
  <c r="H539" i="7"/>
  <c r="AB538" i="7"/>
  <c r="X538" i="7"/>
  <c r="S538" i="7"/>
  <c r="L538" i="7"/>
  <c r="J538" i="7"/>
  <c r="I538" i="7"/>
  <c r="H538" i="7"/>
  <c r="AB537" i="7"/>
  <c r="X537" i="7"/>
  <c r="S537" i="7"/>
  <c r="L537" i="7"/>
  <c r="J537" i="7"/>
  <c r="I537" i="7"/>
  <c r="H537" i="7"/>
  <c r="AB536" i="7"/>
  <c r="X536" i="7"/>
  <c r="S536" i="7"/>
  <c r="L536" i="7"/>
  <c r="J536" i="7"/>
  <c r="I536" i="7"/>
  <c r="H536" i="7"/>
  <c r="AB535" i="7"/>
  <c r="X535" i="7"/>
  <c r="S535" i="7"/>
  <c r="L535" i="7"/>
  <c r="J535" i="7"/>
  <c r="I535" i="7"/>
  <c r="H535" i="7"/>
  <c r="AB534" i="7"/>
  <c r="X534" i="7"/>
  <c r="S534" i="7"/>
  <c r="L534" i="7"/>
  <c r="J534" i="7"/>
  <c r="I534" i="7"/>
  <c r="H534" i="7"/>
  <c r="AB533" i="7"/>
  <c r="X533" i="7"/>
  <c r="S533" i="7"/>
  <c r="L533" i="7"/>
  <c r="J533" i="7"/>
  <c r="I533" i="7"/>
  <c r="H533" i="7"/>
  <c r="AB532" i="7"/>
  <c r="X532" i="7"/>
  <c r="S532" i="7"/>
  <c r="L532" i="7"/>
  <c r="J532" i="7"/>
  <c r="I532" i="7"/>
  <c r="H532" i="7"/>
  <c r="AB531" i="7"/>
  <c r="X531" i="7"/>
  <c r="S531" i="7"/>
  <c r="L531" i="7"/>
  <c r="J531" i="7"/>
  <c r="I531" i="7"/>
  <c r="H531" i="7"/>
  <c r="AB530" i="7"/>
  <c r="X530" i="7"/>
  <c r="S530" i="7"/>
  <c r="L530" i="7"/>
  <c r="J530" i="7"/>
  <c r="I530" i="7"/>
  <c r="H530" i="7"/>
  <c r="AB529" i="7"/>
  <c r="X529" i="7"/>
  <c r="S529" i="7"/>
  <c r="L529" i="7"/>
  <c r="J529" i="7"/>
  <c r="I529" i="7"/>
  <c r="H529" i="7"/>
  <c r="AB528" i="7"/>
  <c r="X528" i="7"/>
  <c r="S528" i="7"/>
  <c r="L528" i="7"/>
  <c r="J528" i="7"/>
  <c r="I528" i="7"/>
  <c r="H528" i="7"/>
  <c r="AB527" i="7"/>
  <c r="X527" i="7"/>
  <c r="S527" i="7"/>
  <c r="L527" i="7"/>
  <c r="J527" i="7"/>
  <c r="I527" i="7"/>
  <c r="H527" i="7"/>
  <c r="AB526" i="7"/>
  <c r="X526" i="7"/>
  <c r="S526" i="7"/>
  <c r="L526" i="7"/>
  <c r="J526" i="7"/>
  <c r="I526" i="7"/>
  <c r="H526" i="7"/>
  <c r="AB525" i="7"/>
  <c r="X525" i="7"/>
  <c r="S525" i="7"/>
  <c r="L525" i="7"/>
  <c r="J525" i="7"/>
  <c r="I525" i="7"/>
  <c r="H525" i="7"/>
  <c r="AB524" i="7"/>
  <c r="X524" i="7"/>
  <c r="S524" i="7"/>
  <c r="L524" i="7"/>
  <c r="J524" i="7"/>
  <c r="I524" i="7"/>
  <c r="H524" i="7"/>
  <c r="AB523" i="7"/>
  <c r="X523" i="7"/>
  <c r="S523" i="7"/>
  <c r="L523" i="7"/>
  <c r="J523" i="7"/>
  <c r="I523" i="7"/>
  <c r="H523" i="7"/>
  <c r="AB522" i="7"/>
  <c r="X522" i="7"/>
  <c r="S522" i="7"/>
  <c r="L522" i="7"/>
  <c r="J522" i="7"/>
  <c r="I522" i="7"/>
  <c r="H522" i="7"/>
  <c r="AB521" i="7"/>
  <c r="X521" i="7"/>
  <c r="S521" i="7"/>
  <c r="L521" i="7"/>
  <c r="J521" i="7"/>
  <c r="I521" i="7"/>
  <c r="H521" i="7"/>
  <c r="AB520" i="7"/>
  <c r="X520" i="7"/>
  <c r="S520" i="7"/>
  <c r="L520" i="7"/>
  <c r="J520" i="7"/>
  <c r="I520" i="7"/>
  <c r="H520" i="7"/>
  <c r="AB519" i="7"/>
  <c r="X519" i="7"/>
  <c r="S519" i="7"/>
  <c r="L519" i="7"/>
  <c r="J519" i="7"/>
  <c r="I519" i="7"/>
  <c r="H519" i="7"/>
  <c r="AB518" i="7"/>
  <c r="X518" i="7"/>
  <c r="S518" i="7"/>
  <c r="L518" i="7"/>
  <c r="J518" i="7"/>
  <c r="I518" i="7"/>
  <c r="H518" i="7"/>
  <c r="AB517" i="7"/>
  <c r="X517" i="7"/>
  <c r="S517" i="7"/>
  <c r="L517" i="7"/>
  <c r="J517" i="7"/>
  <c r="I517" i="7"/>
  <c r="H517" i="7"/>
  <c r="AB516" i="7"/>
  <c r="X516" i="7"/>
  <c r="S516" i="7"/>
  <c r="L516" i="7"/>
  <c r="J516" i="7"/>
  <c r="I516" i="7"/>
  <c r="H516" i="7"/>
  <c r="AB515" i="7"/>
  <c r="X515" i="7"/>
  <c r="S515" i="7"/>
  <c r="L515" i="7"/>
  <c r="J515" i="7"/>
  <c r="I515" i="7"/>
  <c r="H515" i="7"/>
  <c r="AB514" i="7"/>
  <c r="X514" i="7"/>
  <c r="S514" i="7"/>
  <c r="L514" i="7"/>
  <c r="J514" i="7"/>
  <c r="I514" i="7"/>
  <c r="H514" i="7"/>
  <c r="AB513" i="7"/>
  <c r="X513" i="7"/>
  <c r="S513" i="7"/>
  <c r="L513" i="7"/>
  <c r="J513" i="7"/>
  <c r="I513" i="7"/>
  <c r="H513" i="7"/>
  <c r="AB512" i="7"/>
  <c r="X512" i="7"/>
  <c r="S512" i="7"/>
  <c r="L512" i="7"/>
  <c r="J512" i="7"/>
  <c r="I512" i="7"/>
  <c r="H512" i="7"/>
  <c r="AB511" i="7"/>
  <c r="X511" i="7"/>
  <c r="S511" i="7"/>
  <c r="L511" i="7"/>
  <c r="J511" i="7"/>
  <c r="I511" i="7"/>
  <c r="H511" i="7"/>
  <c r="AB510" i="7"/>
  <c r="X510" i="7"/>
  <c r="S510" i="7"/>
  <c r="L510" i="7"/>
  <c r="J510" i="7"/>
  <c r="I510" i="7"/>
  <c r="H510" i="7"/>
  <c r="AB509" i="7"/>
  <c r="X509" i="7"/>
  <c r="S509" i="7"/>
  <c r="L509" i="7"/>
  <c r="J509" i="7"/>
  <c r="I509" i="7"/>
  <c r="H509" i="7"/>
  <c r="AB508" i="7"/>
  <c r="X508" i="7"/>
  <c r="S508" i="7"/>
  <c r="L508" i="7"/>
  <c r="J508" i="7"/>
  <c r="I508" i="7"/>
  <c r="H508" i="7"/>
  <c r="AB507" i="7"/>
  <c r="X507" i="7"/>
  <c r="S507" i="7"/>
  <c r="L507" i="7"/>
  <c r="J507" i="7"/>
  <c r="I507" i="7"/>
  <c r="H507" i="7"/>
  <c r="AB506" i="7"/>
  <c r="X506" i="7"/>
  <c r="S506" i="7"/>
  <c r="L506" i="7"/>
  <c r="J506" i="7"/>
  <c r="I506" i="7"/>
  <c r="H506" i="7"/>
  <c r="AB505" i="7"/>
  <c r="X505" i="7"/>
  <c r="S505" i="7"/>
  <c r="L505" i="7"/>
  <c r="J505" i="7"/>
  <c r="I505" i="7"/>
  <c r="H505" i="7"/>
  <c r="AB504" i="7"/>
  <c r="X504" i="7"/>
  <c r="S504" i="7"/>
  <c r="L504" i="7"/>
  <c r="J504" i="7"/>
  <c r="I504" i="7"/>
  <c r="H504" i="7"/>
  <c r="AB503" i="7"/>
  <c r="X503" i="7"/>
  <c r="S503" i="7"/>
  <c r="L503" i="7"/>
  <c r="J503" i="7"/>
  <c r="I503" i="7"/>
  <c r="H503" i="7"/>
  <c r="AB502" i="7"/>
  <c r="X502" i="7"/>
  <c r="S502" i="7"/>
  <c r="L502" i="7"/>
  <c r="J502" i="7"/>
  <c r="I502" i="7"/>
  <c r="H502" i="7"/>
  <c r="AB501" i="7"/>
  <c r="X501" i="7"/>
  <c r="S501" i="7"/>
  <c r="L501" i="7"/>
  <c r="J501" i="7"/>
  <c r="I501" i="7"/>
  <c r="H501" i="7"/>
  <c r="AB500" i="7"/>
  <c r="X500" i="7"/>
  <c r="S500" i="7"/>
  <c r="L500" i="7"/>
  <c r="J500" i="7"/>
  <c r="I500" i="7"/>
  <c r="H500" i="7"/>
  <c r="AB499" i="7"/>
  <c r="X499" i="7"/>
  <c r="S499" i="7"/>
  <c r="L499" i="7"/>
  <c r="J499" i="7"/>
  <c r="I499" i="7"/>
  <c r="H499" i="7"/>
  <c r="AB498" i="7"/>
  <c r="X498" i="7"/>
  <c r="S498" i="7"/>
  <c r="L498" i="7"/>
  <c r="J498" i="7"/>
  <c r="I498" i="7"/>
  <c r="H498" i="7"/>
  <c r="AB497" i="7"/>
  <c r="X497" i="7"/>
  <c r="S497" i="7"/>
  <c r="L497" i="7"/>
  <c r="J497" i="7"/>
  <c r="I497" i="7"/>
  <c r="H497" i="7"/>
  <c r="AB496" i="7"/>
  <c r="X496" i="7"/>
  <c r="S496" i="7"/>
  <c r="L496" i="7"/>
  <c r="J496" i="7"/>
  <c r="I496" i="7"/>
  <c r="H496" i="7"/>
  <c r="AB495" i="7"/>
  <c r="X495" i="7"/>
  <c r="S495" i="7"/>
  <c r="L495" i="7"/>
  <c r="J495" i="7"/>
  <c r="I495" i="7"/>
  <c r="H495" i="7"/>
  <c r="AB494" i="7"/>
  <c r="X494" i="7"/>
  <c r="S494" i="7"/>
  <c r="L494" i="7"/>
  <c r="J494" i="7"/>
  <c r="I494" i="7"/>
  <c r="H494" i="7"/>
  <c r="AB493" i="7"/>
  <c r="X493" i="7"/>
  <c r="S493" i="7"/>
  <c r="L493" i="7"/>
  <c r="J493" i="7"/>
  <c r="I493" i="7"/>
  <c r="H493" i="7"/>
  <c r="AB492" i="7"/>
  <c r="X492" i="7"/>
  <c r="S492" i="7"/>
  <c r="L492" i="7"/>
  <c r="J492" i="7"/>
  <c r="I492" i="7"/>
  <c r="H492" i="7"/>
  <c r="AB491" i="7"/>
  <c r="X491" i="7"/>
  <c r="S491" i="7"/>
  <c r="L491" i="7"/>
  <c r="J491" i="7"/>
  <c r="I491" i="7"/>
  <c r="H491" i="7"/>
  <c r="AB490" i="7"/>
  <c r="X490" i="7"/>
  <c r="S490" i="7"/>
  <c r="L490" i="7"/>
  <c r="J490" i="7"/>
  <c r="I490" i="7"/>
  <c r="H490" i="7"/>
  <c r="AB489" i="7"/>
  <c r="X489" i="7"/>
  <c r="S489" i="7"/>
  <c r="L489" i="7"/>
  <c r="J489" i="7"/>
  <c r="I489" i="7"/>
  <c r="H489" i="7"/>
  <c r="AB488" i="7"/>
  <c r="X488" i="7"/>
  <c r="S488" i="7"/>
  <c r="L488" i="7"/>
  <c r="J488" i="7"/>
  <c r="I488" i="7"/>
  <c r="H488" i="7"/>
  <c r="AB487" i="7"/>
  <c r="X487" i="7"/>
  <c r="S487" i="7"/>
  <c r="L487" i="7"/>
  <c r="J487" i="7"/>
  <c r="I487" i="7"/>
  <c r="H487" i="7"/>
  <c r="AB486" i="7"/>
  <c r="X486" i="7"/>
  <c r="S486" i="7"/>
  <c r="L486" i="7"/>
  <c r="J486" i="7"/>
  <c r="I486" i="7"/>
  <c r="H486" i="7"/>
  <c r="AB485" i="7"/>
  <c r="X485" i="7"/>
  <c r="S485" i="7"/>
  <c r="L485" i="7"/>
  <c r="J485" i="7"/>
  <c r="I485" i="7"/>
  <c r="H485" i="7"/>
  <c r="AB484" i="7"/>
  <c r="X484" i="7"/>
  <c r="S484" i="7"/>
  <c r="L484" i="7"/>
  <c r="J484" i="7"/>
  <c r="I484" i="7"/>
  <c r="H484" i="7"/>
  <c r="AB483" i="7"/>
  <c r="X483" i="7"/>
  <c r="S483" i="7"/>
  <c r="L483" i="7"/>
  <c r="J483" i="7"/>
  <c r="I483" i="7"/>
  <c r="H483" i="7"/>
  <c r="AB482" i="7"/>
  <c r="X482" i="7"/>
  <c r="S482" i="7"/>
  <c r="L482" i="7"/>
  <c r="J482" i="7"/>
  <c r="I482" i="7"/>
  <c r="H482" i="7"/>
  <c r="AB481" i="7"/>
  <c r="X481" i="7"/>
  <c r="S481" i="7"/>
  <c r="L481" i="7"/>
  <c r="J481" i="7"/>
  <c r="I481" i="7"/>
  <c r="H481" i="7"/>
  <c r="AB480" i="7"/>
  <c r="X480" i="7"/>
  <c r="S480" i="7"/>
  <c r="L480" i="7"/>
  <c r="J480" i="7"/>
  <c r="I480" i="7"/>
  <c r="H480" i="7"/>
  <c r="AB479" i="7"/>
  <c r="X479" i="7"/>
  <c r="S479" i="7"/>
  <c r="L479" i="7"/>
  <c r="J479" i="7"/>
  <c r="I479" i="7"/>
  <c r="H479" i="7"/>
  <c r="AB478" i="7"/>
  <c r="X478" i="7"/>
  <c r="S478" i="7"/>
  <c r="L478" i="7"/>
  <c r="J478" i="7"/>
  <c r="I478" i="7"/>
  <c r="H478" i="7"/>
  <c r="AB477" i="7"/>
  <c r="X477" i="7"/>
  <c r="S477" i="7"/>
  <c r="L477" i="7"/>
  <c r="J477" i="7"/>
  <c r="I477" i="7"/>
  <c r="H477" i="7"/>
  <c r="AB476" i="7"/>
  <c r="X476" i="7"/>
  <c r="S476" i="7"/>
  <c r="L476" i="7"/>
  <c r="J476" i="7"/>
  <c r="I476" i="7"/>
  <c r="H476" i="7"/>
  <c r="AB475" i="7"/>
  <c r="X475" i="7"/>
  <c r="S475" i="7"/>
  <c r="L475" i="7"/>
  <c r="J475" i="7"/>
  <c r="I475" i="7"/>
  <c r="H475" i="7"/>
  <c r="AB474" i="7"/>
  <c r="X474" i="7"/>
  <c r="S474" i="7"/>
  <c r="L474" i="7"/>
  <c r="J474" i="7"/>
  <c r="I474" i="7"/>
  <c r="H474" i="7"/>
  <c r="AB473" i="7"/>
  <c r="X473" i="7"/>
  <c r="S473" i="7"/>
  <c r="L473" i="7"/>
  <c r="J473" i="7"/>
  <c r="I473" i="7"/>
  <c r="H473" i="7"/>
  <c r="AB472" i="7"/>
  <c r="X472" i="7"/>
  <c r="S472" i="7"/>
  <c r="L472" i="7"/>
  <c r="J472" i="7"/>
  <c r="I472" i="7"/>
  <c r="H472" i="7"/>
  <c r="AB471" i="7"/>
  <c r="X471" i="7"/>
  <c r="S471" i="7"/>
  <c r="L471" i="7"/>
  <c r="J471" i="7"/>
  <c r="I471" i="7"/>
  <c r="H471" i="7"/>
  <c r="AB470" i="7"/>
  <c r="X470" i="7"/>
  <c r="S470" i="7"/>
  <c r="L470" i="7"/>
  <c r="J470" i="7"/>
  <c r="I470" i="7"/>
  <c r="H470" i="7"/>
  <c r="AB469" i="7"/>
  <c r="X469" i="7"/>
  <c r="S469" i="7"/>
  <c r="L469" i="7"/>
  <c r="J469" i="7"/>
  <c r="I469" i="7"/>
  <c r="H469" i="7"/>
  <c r="AB468" i="7"/>
  <c r="X468" i="7"/>
  <c r="S468" i="7"/>
  <c r="L468" i="7"/>
  <c r="J468" i="7"/>
  <c r="I468" i="7"/>
  <c r="H468" i="7"/>
  <c r="AB467" i="7"/>
  <c r="X467" i="7"/>
  <c r="S467" i="7"/>
  <c r="L467" i="7"/>
  <c r="J467" i="7"/>
  <c r="I467" i="7"/>
  <c r="H467" i="7"/>
  <c r="AB466" i="7"/>
  <c r="X466" i="7"/>
  <c r="S466" i="7"/>
  <c r="L466" i="7"/>
  <c r="J466" i="7"/>
  <c r="I466" i="7"/>
  <c r="H466" i="7"/>
  <c r="AB465" i="7"/>
  <c r="X465" i="7"/>
  <c r="S465" i="7"/>
  <c r="L465" i="7"/>
  <c r="J465" i="7"/>
  <c r="I465" i="7"/>
  <c r="H465" i="7"/>
  <c r="AB464" i="7"/>
  <c r="X464" i="7"/>
  <c r="S464" i="7"/>
  <c r="L464" i="7"/>
  <c r="J464" i="7"/>
  <c r="I464" i="7"/>
  <c r="H464" i="7"/>
  <c r="AB463" i="7"/>
  <c r="X463" i="7"/>
  <c r="S463" i="7"/>
  <c r="L463" i="7"/>
  <c r="J463" i="7"/>
  <c r="I463" i="7"/>
  <c r="H463" i="7"/>
  <c r="AB462" i="7"/>
  <c r="X462" i="7"/>
  <c r="S462" i="7"/>
  <c r="L462" i="7"/>
  <c r="J462" i="7"/>
  <c r="I462" i="7"/>
  <c r="H462" i="7"/>
  <c r="AB461" i="7"/>
  <c r="X461" i="7"/>
  <c r="S461" i="7"/>
  <c r="L461" i="7"/>
  <c r="J461" i="7"/>
  <c r="I461" i="7"/>
  <c r="H461" i="7"/>
  <c r="AB460" i="7"/>
  <c r="X460" i="7"/>
  <c r="S460" i="7"/>
  <c r="L460" i="7"/>
  <c r="J460" i="7"/>
  <c r="I460" i="7"/>
  <c r="H460" i="7"/>
  <c r="AB459" i="7"/>
  <c r="X459" i="7"/>
  <c r="S459" i="7"/>
  <c r="L459" i="7"/>
  <c r="J459" i="7"/>
  <c r="I459" i="7"/>
  <c r="H459" i="7"/>
  <c r="AB458" i="7"/>
  <c r="X458" i="7"/>
  <c r="S458" i="7"/>
  <c r="L458" i="7"/>
  <c r="J458" i="7"/>
  <c r="I458" i="7"/>
  <c r="H458" i="7"/>
  <c r="AB457" i="7"/>
  <c r="X457" i="7"/>
  <c r="S457" i="7"/>
  <c r="L457" i="7"/>
  <c r="J457" i="7"/>
  <c r="I457" i="7"/>
  <c r="H457" i="7"/>
  <c r="AB456" i="7"/>
  <c r="X456" i="7"/>
  <c r="S456" i="7"/>
  <c r="L456" i="7"/>
  <c r="J456" i="7"/>
  <c r="I456" i="7"/>
  <c r="H456" i="7"/>
  <c r="AB455" i="7"/>
  <c r="X455" i="7"/>
  <c r="S455" i="7"/>
  <c r="L455" i="7"/>
  <c r="J455" i="7"/>
  <c r="I455" i="7"/>
  <c r="H455" i="7"/>
  <c r="AB454" i="7"/>
  <c r="X454" i="7"/>
  <c r="S454" i="7"/>
  <c r="L454" i="7"/>
  <c r="J454" i="7"/>
  <c r="I454" i="7"/>
  <c r="H454" i="7"/>
  <c r="AB453" i="7"/>
  <c r="X453" i="7"/>
  <c r="S453" i="7"/>
  <c r="L453" i="7"/>
  <c r="J453" i="7"/>
  <c r="I453" i="7"/>
  <c r="H453" i="7"/>
  <c r="AB452" i="7"/>
  <c r="X452" i="7"/>
  <c r="S452" i="7"/>
  <c r="L452" i="7"/>
  <c r="J452" i="7"/>
  <c r="I452" i="7"/>
  <c r="H452" i="7"/>
  <c r="AB451" i="7"/>
  <c r="X451" i="7"/>
  <c r="S451" i="7"/>
  <c r="L451" i="7"/>
  <c r="J451" i="7"/>
  <c r="I451" i="7"/>
  <c r="H451" i="7"/>
  <c r="AB450" i="7"/>
  <c r="X450" i="7"/>
  <c r="S450" i="7"/>
  <c r="L450" i="7"/>
  <c r="J450" i="7"/>
  <c r="I450" i="7"/>
  <c r="H450" i="7"/>
  <c r="AB449" i="7"/>
  <c r="X449" i="7"/>
  <c r="S449" i="7"/>
  <c r="L449" i="7"/>
  <c r="J449" i="7"/>
  <c r="I449" i="7"/>
  <c r="H449" i="7"/>
  <c r="AB448" i="7"/>
  <c r="X448" i="7"/>
  <c r="S448" i="7"/>
  <c r="L448" i="7"/>
  <c r="J448" i="7"/>
  <c r="I448" i="7"/>
  <c r="H448" i="7"/>
  <c r="AB447" i="7"/>
  <c r="X447" i="7"/>
  <c r="S447" i="7"/>
  <c r="L447" i="7"/>
  <c r="J447" i="7"/>
  <c r="I447" i="7"/>
  <c r="H447" i="7"/>
  <c r="AB446" i="7"/>
  <c r="X446" i="7"/>
  <c r="S446" i="7"/>
  <c r="L446" i="7"/>
  <c r="J446" i="7"/>
  <c r="I446" i="7"/>
  <c r="H446" i="7"/>
  <c r="AB445" i="7"/>
  <c r="X445" i="7"/>
  <c r="S445" i="7"/>
  <c r="L445" i="7"/>
  <c r="J445" i="7"/>
  <c r="I445" i="7"/>
  <c r="H445" i="7"/>
  <c r="AB444" i="7"/>
  <c r="X444" i="7"/>
  <c r="S444" i="7"/>
  <c r="L444" i="7"/>
  <c r="J444" i="7"/>
  <c r="I444" i="7"/>
  <c r="H444" i="7"/>
  <c r="AB443" i="7"/>
  <c r="X443" i="7"/>
  <c r="S443" i="7"/>
  <c r="L443" i="7"/>
  <c r="J443" i="7"/>
  <c r="I443" i="7"/>
  <c r="H443" i="7"/>
  <c r="AB442" i="7"/>
  <c r="X442" i="7"/>
  <c r="S442" i="7"/>
  <c r="L442" i="7"/>
  <c r="J442" i="7"/>
  <c r="I442" i="7"/>
  <c r="H442" i="7"/>
  <c r="AB441" i="7"/>
  <c r="X441" i="7"/>
  <c r="S441" i="7"/>
  <c r="L441" i="7"/>
  <c r="J441" i="7"/>
  <c r="I441" i="7"/>
  <c r="H441" i="7"/>
  <c r="AB440" i="7"/>
  <c r="X440" i="7"/>
  <c r="S440" i="7"/>
  <c r="L440" i="7"/>
  <c r="J440" i="7"/>
  <c r="I440" i="7"/>
  <c r="H440" i="7"/>
  <c r="AB439" i="7"/>
  <c r="X439" i="7"/>
  <c r="S439" i="7"/>
  <c r="L439" i="7"/>
  <c r="J439" i="7"/>
  <c r="I439" i="7"/>
  <c r="H439" i="7"/>
  <c r="AB438" i="7"/>
  <c r="X438" i="7"/>
  <c r="S438" i="7"/>
  <c r="L438" i="7"/>
  <c r="J438" i="7"/>
  <c r="I438" i="7"/>
  <c r="H438" i="7"/>
  <c r="AB437" i="7"/>
  <c r="X437" i="7"/>
  <c r="S437" i="7"/>
  <c r="L437" i="7"/>
  <c r="J437" i="7"/>
  <c r="I437" i="7"/>
  <c r="H437" i="7"/>
  <c r="AB436" i="7"/>
  <c r="X436" i="7"/>
  <c r="S436" i="7"/>
  <c r="L436" i="7"/>
  <c r="J436" i="7"/>
  <c r="I436" i="7"/>
  <c r="H436" i="7"/>
  <c r="AB435" i="7"/>
  <c r="X435" i="7"/>
  <c r="S435" i="7"/>
  <c r="L435" i="7"/>
  <c r="J435" i="7"/>
  <c r="I435" i="7"/>
  <c r="H435" i="7"/>
  <c r="AB434" i="7"/>
  <c r="X434" i="7"/>
  <c r="S434" i="7"/>
  <c r="L434" i="7"/>
  <c r="J434" i="7"/>
  <c r="I434" i="7"/>
  <c r="H434" i="7"/>
  <c r="AB433" i="7"/>
  <c r="X433" i="7"/>
  <c r="S433" i="7"/>
  <c r="L433" i="7"/>
  <c r="J433" i="7"/>
  <c r="I433" i="7"/>
  <c r="H433" i="7"/>
  <c r="AB432" i="7"/>
  <c r="X432" i="7"/>
  <c r="S432" i="7"/>
  <c r="L432" i="7"/>
  <c r="J432" i="7"/>
  <c r="I432" i="7"/>
  <c r="H432" i="7"/>
  <c r="AB431" i="7"/>
  <c r="X431" i="7"/>
  <c r="S431" i="7"/>
  <c r="L431" i="7"/>
  <c r="J431" i="7"/>
  <c r="I431" i="7"/>
  <c r="H431" i="7"/>
  <c r="AB430" i="7"/>
  <c r="X430" i="7"/>
  <c r="S430" i="7"/>
  <c r="L430" i="7"/>
  <c r="J430" i="7"/>
  <c r="I430" i="7"/>
  <c r="H430" i="7"/>
  <c r="AB429" i="7"/>
  <c r="X429" i="7"/>
  <c r="S429" i="7"/>
  <c r="L429" i="7"/>
  <c r="J429" i="7"/>
  <c r="I429" i="7"/>
  <c r="H429" i="7"/>
  <c r="AB428" i="7"/>
  <c r="X428" i="7"/>
  <c r="S428" i="7"/>
  <c r="L428" i="7"/>
  <c r="J428" i="7"/>
  <c r="I428" i="7"/>
  <c r="H428" i="7"/>
  <c r="AB427" i="7"/>
  <c r="X427" i="7"/>
  <c r="S427" i="7"/>
  <c r="L427" i="7"/>
  <c r="J427" i="7"/>
  <c r="I427" i="7"/>
  <c r="H427" i="7"/>
  <c r="AB426" i="7"/>
  <c r="X426" i="7"/>
  <c r="S426" i="7"/>
  <c r="L426" i="7"/>
  <c r="J426" i="7"/>
  <c r="I426" i="7"/>
  <c r="H426" i="7"/>
  <c r="AB425" i="7"/>
  <c r="X425" i="7"/>
  <c r="S425" i="7"/>
  <c r="L425" i="7"/>
  <c r="J425" i="7"/>
  <c r="I425" i="7"/>
  <c r="H425" i="7"/>
  <c r="AB424" i="7"/>
  <c r="X424" i="7"/>
  <c r="S424" i="7"/>
  <c r="L424" i="7"/>
  <c r="J424" i="7"/>
  <c r="I424" i="7"/>
  <c r="H424" i="7"/>
  <c r="AB423" i="7"/>
  <c r="X423" i="7"/>
  <c r="S423" i="7"/>
  <c r="L423" i="7"/>
  <c r="J423" i="7"/>
  <c r="I423" i="7"/>
  <c r="H423" i="7"/>
  <c r="AB422" i="7"/>
  <c r="X422" i="7"/>
  <c r="S422" i="7"/>
  <c r="L422" i="7"/>
  <c r="J422" i="7"/>
  <c r="I422" i="7"/>
  <c r="H422" i="7"/>
  <c r="AB421" i="7"/>
  <c r="X421" i="7"/>
  <c r="S421" i="7"/>
  <c r="L421" i="7"/>
  <c r="J421" i="7"/>
  <c r="I421" i="7"/>
  <c r="H421" i="7"/>
  <c r="AB420" i="7"/>
  <c r="X420" i="7"/>
  <c r="S420" i="7"/>
  <c r="L420" i="7"/>
  <c r="J420" i="7"/>
  <c r="I420" i="7"/>
  <c r="H420" i="7"/>
  <c r="AB419" i="7"/>
  <c r="X419" i="7"/>
  <c r="S419" i="7"/>
  <c r="L419" i="7"/>
  <c r="J419" i="7"/>
  <c r="I419" i="7"/>
  <c r="H419" i="7"/>
  <c r="AB418" i="7"/>
  <c r="X418" i="7"/>
  <c r="S418" i="7"/>
  <c r="L418" i="7"/>
  <c r="J418" i="7"/>
  <c r="I418" i="7"/>
  <c r="H418" i="7"/>
  <c r="AB417" i="7"/>
  <c r="X417" i="7"/>
  <c r="S417" i="7"/>
  <c r="L417" i="7"/>
  <c r="J417" i="7"/>
  <c r="I417" i="7"/>
  <c r="H417" i="7"/>
  <c r="AB416" i="7"/>
  <c r="X416" i="7"/>
  <c r="S416" i="7"/>
  <c r="L416" i="7"/>
  <c r="J416" i="7"/>
  <c r="I416" i="7"/>
  <c r="H416" i="7"/>
  <c r="AB415" i="7"/>
  <c r="X415" i="7"/>
  <c r="S415" i="7"/>
  <c r="L415" i="7"/>
  <c r="J415" i="7"/>
  <c r="I415" i="7"/>
  <c r="H415" i="7"/>
  <c r="AB414" i="7"/>
  <c r="X414" i="7"/>
  <c r="S414" i="7"/>
  <c r="L414" i="7"/>
  <c r="J414" i="7"/>
  <c r="I414" i="7"/>
  <c r="H414" i="7"/>
  <c r="AB413" i="7"/>
  <c r="X413" i="7"/>
  <c r="S413" i="7"/>
  <c r="L413" i="7"/>
  <c r="J413" i="7"/>
  <c r="I413" i="7"/>
  <c r="H413" i="7"/>
  <c r="AB412" i="7"/>
  <c r="X412" i="7"/>
  <c r="S412" i="7"/>
  <c r="L412" i="7"/>
  <c r="J412" i="7"/>
  <c r="I412" i="7"/>
  <c r="H412" i="7"/>
  <c r="AB411" i="7"/>
  <c r="X411" i="7"/>
  <c r="S411" i="7"/>
  <c r="L411" i="7"/>
  <c r="J411" i="7"/>
  <c r="I411" i="7"/>
  <c r="H411" i="7"/>
  <c r="AB410" i="7"/>
  <c r="X410" i="7"/>
  <c r="S410" i="7"/>
  <c r="L410" i="7"/>
  <c r="J410" i="7"/>
  <c r="I410" i="7"/>
  <c r="H410" i="7"/>
  <c r="AB409" i="7"/>
  <c r="X409" i="7"/>
  <c r="S409" i="7"/>
  <c r="L409" i="7"/>
  <c r="J409" i="7"/>
  <c r="I409" i="7"/>
  <c r="H409" i="7"/>
  <c r="AB408" i="7"/>
  <c r="X408" i="7"/>
  <c r="S408" i="7"/>
  <c r="L408" i="7"/>
  <c r="J408" i="7"/>
  <c r="I408" i="7"/>
  <c r="H408" i="7"/>
  <c r="AB407" i="7"/>
  <c r="X407" i="7"/>
  <c r="S407" i="7"/>
  <c r="L407" i="7"/>
  <c r="J407" i="7"/>
  <c r="I407" i="7"/>
  <c r="H407" i="7"/>
  <c r="AB406" i="7"/>
  <c r="X406" i="7"/>
  <c r="S406" i="7"/>
  <c r="L406" i="7"/>
  <c r="J406" i="7"/>
  <c r="I406" i="7"/>
  <c r="H406" i="7"/>
  <c r="AB405" i="7"/>
  <c r="X405" i="7"/>
  <c r="S405" i="7"/>
  <c r="L405" i="7"/>
  <c r="J405" i="7"/>
  <c r="I405" i="7"/>
  <c r="H405" i="7"/>
  <c r="AB404" i="7"/>
  <c r="X404" i="7"/>
  <c r="S404" i="7"/>
  <c r="L404" i="7"/>
  <c r="J404" i="7"/>
  <c r="I404" i="7"/>
  <c r="H404" i="7"/>
  <c r="AB403" i="7"/>
  <c r="X403" i="7"/>
  <c r="S403" i="7"/>
  <c r="L403" i="7"/>
  <c r="J403" i="7"/>
  <c r="I403" i="7"/>
  <c r="H403" i="7"/>
  <c r="AB402" i="7"/>
  <c r="X402" i="7"/>
  <c r="S402" i="7"/>
  <c r="L402" i="7"/>
  <c r="J402" i="7"/>
  <c r="I402" i="7"/>
  <c r="H402" i="7"/>
  <c r="AB401" i="7"/>
  <c r="X401" i="7"/>
  <c r="S401" i="7"/>
  <c r="L401" i="7"/>
  <c r="J401" i="7"/>
  <c r="I401" i="7"/>
  <c r="H401" i="7"/>
  <c r="AB400" i="7"/>
  <c r="X400" i="7"/>
  <c r="S400" i="7"/>
  <c r="L400" i="7"/>
  <c r="J400" i="7"/>
  <c r="I400" i="7"/>
  <c r="H400" i="7"/>
  <c r="AB399" i="7"/>
  <c r="X399" i="7"/>
  <c r="S399" i="7"/>
  <c r="L399" i="7"/>
  <c r="J399" i="7"/>
  <c r="I399" i="7"/>
  <c r="H399" i="7"/>
  <c r="AB398" i="7"/>
  <c r="X398" i="7"/>
  <c r="S398" i="7"/>
  <c r="L398" i="7"/>
  <c r="J398" i="7"/>
  <c r="I398" i="7"/>
  <c r="H398" i="7"/>
  <c r="AB397" i="7"/>
  <c r="X397" i="7"/>
  <c r="S397" i="7"/>
  <c r="L397" i="7"/>
  <c r="J397" i="7"/>
  <c r="I397" i="7"/>
  <c r="H397" i="7"/>
  <c r="AB396" i="7"/>
  <c r="X396" i="7"/>
  <c r="S396" i="7"/>
  <c r="L396" i="7"/>
  <c r="J396" i="7"/>
  <c r="I396" i="7"/>
  <c r="H396" i="7"/>
  <c r="AB395" i="7"/>
  <c r="X395" i="7"/>
  <c r="S395" i="7"/>
  <c r="L395" i="7"/>
  <c r="J395" i="7"/>
  <c r="I395" i="7"/>
  <c r="H395" i="7"/>
  <c r="AB394" i="7"/>
  <c r="X394" i="7"/>
  <c r="S394" i="7"/>
  <c r="L394" i="7"/>
  <c r="J394" i="7"/>
  <c r="I394" i="7"/>
  <c r="H394" i="7"/>
  <c r="AB393" i="7"/>
  <c r="X393" i="7"/>
  <c r="S393" i="7"/>
  <c r="L393" i="7"/>
  <c r="J393" i="7"/>
  <c r="I393" i="7"/>
  <c r="H393" i="7"/>
  <c r="AB392" i="7"/>
  <c r="X392" i="7"/>
  <c r="S392" i="7"/>
  <c r="L392" i="7"/>
  <c r="J392" i="7"/>
  <c r="I392" i="7"/>
  <c r="H392" i="7"/>
  <c r="AB391" i="7"/>
  <c r="X391" i="7"/>
  <c r="S391" i="7"/>
  <c r="L391" i="7"/>
  <c r="J391" i="7"/>
  <c r="I391" i="7"/>
  <c r="H391" i="7"/>
  <c r="AB390" i="7"/>
  <c r="X390" i="7"/>
  <c r="S390" i="7"/>
  <c r="L390" i="7"/>
  <c r="J390" i="7"/>
  <c r="I390" i="7"/>
  <c r="H390" i="7"/>
  <c r="AB389" i="7"/>
  <c r="X389" i="7"/>
  <c r="S389" i="7"/>
  <c r="L389" i="7"/>
  <c r="J389" i="7"/>
  <c r="I389" i="7"/>
  <c r="H389" i="7"/>
  <c r="AB388" i="7"/>
  <c r="X388" i="7"/>
  <c r="S388" i="7"/>
  <c r="L388" i="7"/>
  <c r="J388" i="7"/>
  <c r="I388" i="7"/>
  <c r="H388" i="7"/>
  <c r="AB387" i="7"/>
  <c r="X387" i="7"/>
  <c r="S387" i="7"/>
  <c r="L387" i="7"/>
  <c r="J387" i="7"/>
  <c r="I387" i="7"/>
  <c r="H387" i="7"/>
  <c r="AB386" i="7"/>
  <c r="X386" i="7"/>
  <c r="S386" i="7"/>
  <c r="L386" i="7"/>
  <c r="J386" i="7"/>
  <c r="I386" i="7"/>
  <c r="H386" i="7"/>
  <c r="AB385" i="7"/>
  <c r="X385" i="7"/>
  <c r="S385" i="7"/>
  <c r="L385" i="7"/>
  <c r="J385" i="7"/>
  <c r="I385" i="7"/>
  <c r="H385" i="7"/>
  <c r="AB384" i="7"/>
  <c r="X384" i="7"/>
  <c r="S384" i="7"/>
  <c r="L384" i="7"/>
  <c r="J384" i="7"/>
  <c r="I384" i="7"/>
  <c r="H384" i="7"/>
  <c r="AB383" i="7"/>
  <c r="X383" i="7"/>
  <c r="S383" i="7"/>
  <c r="L383" i="7"/>
  <c r="J383" i="7"/>
  <c r="I383" i="7"/>
  <c r="H383" i="7"/>
  <c r="AB382" i="7"/>
  <c r="X382" i="7"/>
  <c r="S382" i="7"/>
  <c r="L382" i="7"/>
  <c r="J382" i="7"/>
  <c r="I382" i="7"/>
  <c r="H382" i="7"/>
  <c r="AB381" i="7"/>
  <c r="X381" i="7"/>
  <c r="S381" i="7"/>
  <c r="L381" i="7"/>
  <c r="J381" i="7"/>
  <c r="I381" i="7"/>
  <c r="H381" i="7"/>
  <c r="AB380" i="7"/>
  <c r="X380" i="7"/>
  <c r="S380" i="7"/>
  <c r="L380" i="7"/>
  <c r="J380" i="7"/>
  <c r="I380" i="7"/>
  <c r="H380" i="7"/>
  <c r="AB379" i="7"/>
  <c r="X379" i="7"/>
  <c r="S379" i="7"/>
  <c r="L379" i="7"/>
  <c r="J379" i="7"/>
  <c r="I379" i="7"/>
  <c r="H379" i="7"/>
  <c r="AB378" i="7"/>
  <c r="X378" i="7"/>
  <c r="S378" i="7"/>
  <c r="L378" i="7"/>
  <c r="J378" i="7"/>
  <c r="I378" i="7"/>
  <c r="H378" i="7"/>
  <c r="AB377" i="7"/>
  <c r="X377" i="7"/>
  <c r="S377" i="7"/>
  <c r="L377" i="7"/>
  <c r="J377" i="7"/>
  <c r="I377" i="7"/>
  <c r="H377" i="7"/>
  <c r="AB376" i="7"/>
  <c r="X376" i="7"/>
  <c r="S376" i="7"/>
  <c r="L376" i="7"/>
  <c r="J376" i="7"/>
  <c r="I376" i="7"/>
  <c r="H376" i="7"/>
  <c r="AB375" i="7"/>
  <c r="X375" i="7"/>
  <c r="S375" i="7"/>
  <c r="L375" i="7"/>
  <c r="J375" i="7"/>
  <c r="I375" i="7"/>
  <c r="H375" i="7"/>
  <c r="AB374" i="7"/>
  <c r="X374" i="7"/>
  <c r="S374" i="7"/>
  <c r="L374" i="7"/>
  <c r="J374" i="7"/>
  <c r="I374" i="7"/>
  <c r="H374" i="7"/>
  <c r="AB373" i="7"/>
  <c r="X373" i="7"/>
  <c r="S373" i="7"/>
  <c r="L373" i="7"/>
  <c r="J373" i="7"/>
  <c r="I373" i="7"/>
  <c r="H373" i="7"/>
  <c r="AB372" i="7"/>
  <c r="X372" i="7"/>
  <c r="S372" i="7"/>
  <c r="L372" i="7"/>
  <c r="J372" i="7"/>
  <c r="I372" i="7"/>
  <c r="H372" i="7"/>
  <c r="AB371" i="7"/>
  <c r="X371" i="7"/>
  <c r="S371" i="7"/>
  <c r="L371" i="7"/>
  <c r="J371" i="7"/>
  <c r="I371" i="7"/>
  <c r="H371" i="7"/>
  <c r="AB370" i="7"/>
  <c r="X370" i="7"/>
  <c r="S370" i="7"/>
  <c r="L370" i="7"/>
  <c r="J370" i="7"/>
  <c r="I370" i="7"/>
  <c r="H370" i="7"/>
  <c r="AB369" i="7"/>
  <c r="X369" i="7"/>
  <c r="S369" i="7"/>
  <c r="L369" i="7"/>
  <c r="J369" i="7"/>
  <c r="I369" i="7"/>
  <c r="H369" i="7"/>
  <c r="AB368" i="7"/>
  <c r="X368" i="7"/>
  <c r="S368" i="7"/>
  <c r="L368" i="7"/>
  <c r="J368" i="7"/>
  <c r="I368" i="7"/>
  <c r="H368" i="7"/>
  <c r="AB367" i="7"/>
  <c r="X367" i="7"/>
  <c r="S367" i="7"/>
  <c r="L367" i="7"/>
  <c r="J367" i="7"/>
  <c r="I367" i="7"/>
  <c r="H367" i="7"/>
  <c r="AB366" i="7"/>
  <c r="X366" i="7"/>
  <c r="S366" i="7"/>
  <c r="L366" i="7"/>
  <c r="J366" i="7"/>
  <c r="I366" i="7"/>
  <c r="H366" i="7"/>
  <c r="AB365" i="7"/>
  <c r="X365" i="7"/>
  <c r="S365" i="7"/>
  <c r="L365" i="7"/>
  <c r="J365" i="7"/>
  <c r="I365" i="7"/>
  <c r="H365" i="7"/>
  <c r="AB364" i="7"/>
  <c r="X364" i="7"/>
  <c r="S364" i="7"/>
  <c r="L364" i="7"/>
  <c r="J364" i="7"/>
  <c r="I364" i="7"/>
  <c r="H364" i="7"/>
  <c r="AB363" i="7"/>
  <c r="X363" i="7"/>
  <c r="S363" i="7"/>
  <c r="L363" i="7"/>
  <c r="J363" i="7"/>
  <c r="I363" i="7"/>
  <c r="H363" i="7"/>
  <c r="AB362" i="7"/>
  <c r="X362" i="7"/>
  <c r="S362" i="7"/>
  <c r="L362" i="7"/>
  <c r="J362" i="7"/>
  <c r="I362" i="7"/>
  <c r="H362" i="7"/>
  <c r="AB361" i="7"/>
  <c r="X361" i="7"/>
  <c r="S361" i="7"/>
  <c r="L361" i="7"/>
  <c r="J361" i="7"/>
  <c r="I361" i="7"/>
  <c r="H361" i="7"/>
  <c r="AB360" i="7"/>
  <c r="X360" i="7"/>
  <c r="S360" i="7"/>
  <c r="L360" i="7"/>
  <c r="J360" i="7"/>
  <c r="I360" i="7"/>
  <c r="H360" i="7"/>
  <c r="AB359" i="7"/>
  <c r="X359" i="7"/>
  <c r="S359" i="7"/>
  <c r="L359" i="7"/>
  <c r="J359" i="7"/>
  <c r="I359" i="7"/>
  <c r="H359" i="7"/>
  <c r="AB358" i="7"/>
  <c r="X358" i="7"/>
  <c r="S358" i="7"/>
  <c r="L358" i="7"/>
  <c r="J358" i="7"/>
  <c r="I358" i="7"/>
  <c r="H358" i="7"/>
  <c r="AB357" i="7"/>
  <c r="X357" i="7"/>
  <c r="S357" i="7"/>
  <c r="L357" i="7"/>
  <c r="J357" i="7"/>
  <c r="I357" i="7"/>
  <c r="H357" i="7"/>
  <c r="AB356" i="7"/>
  <c r="X356" i="7"/>
  <c r="S356" i="7"/>
  <c r="L356" i="7"/>
  <c r="J356" i="7"/>
  <c r="I356" i="7"/>
  <c r="H356" i="7"/>
  <c r="AB355" i="7"/>
  <c r="X355" i="7"/>
  <c r="S355" i="7"/>
  <c r="L355" i="7"/>
  <c r="J355" i="7"/>
  <c r="I355" i="7"/>
  <c r="H355" i="7"/>
  <c r="AB354" i="7"/>
  <c r="X354" i="7"/>
  <c r="S354" i="7"/>
  <c r="L354" i="7"/>
  <c r="J354" i="7"/>
  <c r="I354" i="7"/>
  <c r="H354" i="7"/>
  <c r="AB353" i="7"/>
  <c r="X353" i="7"/>
  <c r="S353" i="7"/>
  <c r="L353" i="7"/>
  <c r="J353" i="7"/>
  <c r="I353" i="7"/>
  <c r="H353" i="7"/>
  <c r="AB352" i="7"/>
  <c r="X352" i="7"/>
  <c r="S352" i="7"/>
  <c r="L352" i="7"/>
  <c r="J352" i="7"/>
  <c r="I352" i="7"/>
  <c r="H352" i="7"/>
  <c r="AB351" i="7"/>
  <c r="X351" i="7"/>
  <c r="S351" i="7"/>
  <c r="L351" i="7"/>
  <c r="J351" i="7"/>
  <c r="I351" i="7"/>
  <c r="H351" i="7"/>
  <c r="AB350" i="7"/>
  <c r="X350" i="7"/>
  <c r="S350" i="7"/>
  <c r="L350" i="7"/>
  <c r="J350" i="7"/>
  <c r="I350" i="7"/>
  <c r="H350" i="7"/>
  <c r="AB349" i="7"/>
  <c r="X349" i="7"/>
  <c r="S349" i="7"/>
  <c r="L349" i="7"/>
  <c r="J349" i="7"/>
  <c r="I349" i="7"/>
  <c r="H349" i="7"/>
  <c r="AB348" i="7"/>
  <c r="X348" i="7"/>
  <c r="S348" i="7"/>
  <c r="L348" i="7"/>
  <c r="J348" i="7"/>
  <c r="I348" i="7"/>
  <c r="H348" i="7"/>
  <c r="AB347" i="7"/>
  <c r="X347" i="7"/>
  <c r="S347" i="7"/>
  <c r="L347" i="7"/>
  <c r="J347" i="7"/>
  <c r="I347" i="7"/>
  <c r="H347" i="7"/>
  <c r="AB346" i="7"/>
  <c r="X346" i="7"/>
  <c r="S346" i="7"/>
  <c r="L346" i="7"/>
  <c r="J346" i="7"/>
  <c r="I346" i="7"/>
  <c r="H346" i="7"/>
  <c r="AB345" i="7"/>
  <c r="X345" i="7"/>
  <c r="S345" i="7"/>
  <c r="L345" i="7"/>
  <c r="J345" i="7"/>
  <c r="I345" i="7"/>
  <c r="H345" i="7"/>
  <c r="AB344" i="7"/>
  <c r="X344" i="7"/>
  <c r="S344" i="7"/>
  <c r="L344" i="7"/>
  <c r="J344" i="7"/>
  <c r="I344" i="7"/>
  <c r="H344" i="7"/>
  <c r="AB343" i="7"/>
  <c r="X343" i="7"/>
  <c r="S343" i="7"/>
  <c r="L343" i="7"/>
  <c r="J343" i="7"/>
  <c r="I343" i="7"/>
  <c r="H343" i="7"/>
  <c r="AB342" i="7"/>
  <c r="X342" i="7"/>
  <c r="S342" i="7"/>
  <c r="L342" i="7"/>
  <c r="J342" i="7"/>
  <c r="I342" i="7"/>
  <c r="H342" i="7"/>
  <c r="AB341" i="7"/>
  <c r="X341" i="7"/>
  <c r="S341" i="7"/>
  <c r="L341" i="7"/>
  <c r="J341" i="7"/>
  <c r="I341" i="7"/>
  <c r="H341" i="7"/>
  <c r="AB340" i="7"/>
  <c r="X340" i="7"/>
  <c r="S340" i="7"/>
  <c r="L340" i="7"/>
  <c r="J340" i="7"/>
  <c r="I340" i="7"/>
  <c r="H340" i="7"/>
  <c r="AB339" i="7"/>
  <c r="X339" i="7"/>
  <c r="S339" i="7"/>
  <c r="L339" i="7"/>
  <c r="J339" i="7"/>
  <c r="I339" i="7"/>
  <c r="H339" i="7"/>
  <c r="AB338" i="7"/>
  <c r="X338" i="7"/>
  <c r="S338" i="7"/>
  <c r="L338" i="7"/>
  <c r="J338" i="7"/>
  <c r="I338" i="7"/>
  <c r="H338" i="7"/>
  <c r="AB337" i="7"/>
  <c r="X337" i="7"/>
  <c r="S337" i="7"/>
  <c r="L337" i="7"/>
  <c r="J337" i="7"/>
  <c r="I337" i="7"/>
  <c r="H337" i="7"/>
  <c r="AB336" i="7"/>
  <c r="X336" i="7"/>
  <c r="S336" i="7"/>
  <c r="L336" i="7"/>
  <c r="J336" i="7"/>
  <c r="I336" i="7"/>
  <c r="H336" i="7"/>
  <c r="AB335" i="7"/>
  <c r="X335" i="7"/>
  <c r="S335" i="7"/>
  <c r="L335" i="7"/>
  <c r="J335" i="7"/>
  <c r="I335" i="7"/>
  <c r="H335" i="7"/>
  <c r="AB334" i="7"/>
  <c r="X334" i="7"/>
  <c r="S334" i="7"/>
  <c r="L334" i="7"/>
  <c r="J334" i="7"/>
  <c r="I334" i="7"/>
  <c r="H334" i="7"/>
  <c r="AB333" i="7"/>
  <c r="X333" i="7"/>
  <c r="S333" i="7"/>
  <c r="L333" i="7"/>
  <c r="J333" i="7"/>
  <c r="I333" i="7"/>
  <c r="H333" i="7"/>
  <c r="AB332" i="7"/>
  <c r="X332" i="7"/>
  <c r="S332" i="7"/>
  <c r="L332" i="7"/>
  <c r="J332" i="7"/>
  <c r="I332" i="7"/>
  <c r="H332" i="7"/>
  <c r="AB331" i="7"/>
  <c r="X331" i="7"/>
  <c r="S331" i="7"/>
  <c r="L331" i="7"/>
  <c r="J331" i="7"/>
  <c r="I331" i="7"/>
  <c r="H331" i="7"/>
  <c r="AB330" i="7"/>
  <c r="X330" i="7"/>
  <c r="S330" i="7"/>
  <c r="L330" i="7"/>
  <c r="J330" i="7"/>
  <c r="I330" i="7"/>
  <c r="H330" i="7"/>
  <c r="AB329" i="7"/>
  <c r="X329" i="7"/>
  <c r="S329" i="7"/>
  <c r="L329" i="7"/>
  <c r="J329" i="7"/>
  <c r="I329" i="7"/>
  <c r="H329" i="7"/>
  <c r="AB328" i="7"/>
  <c r="X328" i="7"/>
  <c r="S328" i="7"/>
  <c r="L328" i="7"/>
  <c r="J328" i="7"/>
  <c r="I328" i="7"/>
  <c r="H328" i="7"/>
  <c r="AB327" i="7"/>
  <c r="X327" i="7"/>
  <c r="S327" i="7"/>
  <c r="L327" i="7"/>
  <c r="J327" i="7"/>
  <c r="I327" i="7"/>
  <c r="H327" i="7"/>
  <c r="AB326" i="7"/>
  <c r="X326" i="7"/>
  <c r="S326" i="7"/>
  <c r="L326" i="7"/>
  <c r="J326" i="7"/>
  <c r="I326" i="7"/>
  <c r="H326" i="7"/>
  <c r="AB325" i="7"/>
  <c r="X325" i="7"/>
  <c r="S325" i="7"/>
  <c r="L325" i="7"/>
  <c r="J325" i="7"/>
  <c r="I325" i="7"/>
  <c r="H325" i="7"/>
  <c r="AB324" i="7"/>
  <c r="X324" i="7"/>
  <c r="S324" i="7"/>
  <c r="L324" i="7"/>
  <c r="J324" i="7"/>
  <c r="I324" i="7"/>
  <c r="H324" i="7"/>
  <c r="AB323" i="7"/>
  <c r="X323" i="7"/>
  <c r="S323" i="7"/>
  <c r="L323" i="7"/>
  <c r="J323" i="7"/>
  <c r="I323" i="7"/>
  <c r="H323" i="7"/>
  <c r="AB322" i="7"/>
  <c r="X322" i="7"/>
  <c r="S322" i="7"/>
  <c r="L322" i="7"/>
  <c r="J322" i="7"/>
  <c r="I322" i="7"/>
  <c r="H322" i="7"/>
  <c r="AB321" i="7"/>
  <c r="X321" i="7"/>
  <c r="S321" i="7"/>
  <c r="L321" i="7"/>
  <c r="J321" i="7"/>
  <c r="I321" i="7"/>
  <c r="H321" i="7"/>
  <c r="AB320" i="7"/>
  <c r="X320" i="7"/>
  <c r="S320" i="7"/>
  <c r="L320" i="7"/>
  <c r="J320" i="7"/>
  <c r="I320" i="7"/>
  <c r="H320" i="7"/>
  <c r="AB319" i="7"/>
  <c r="X319" i="7"/>
  <c r="S319" i="7"/>
  <c r="L319" i="7"/>
  <c r="J319" i="7"/>
  <c r="I319" i="7"/>
  <c r="H319" i="7"/>
  <c r="AB318" i="7"/>
  <c r="X318" i="7"/>
  <c r="S318" i="7"/>
  <c r="L318" i="7"/>
  <c r="J318" i="7"/>
  <c r="I318" i="7"/>
  <c r="H318" i="7"/>
  <c r="AB317" i="7"/>
  <c r="X317" i="7"/>
  <c r="S317" i="7"/>
  <c r="L317" i="7"/>
  <c r="J317" i="7"/>
  <c r="I317" i="7"/>
  <c r="H317" i="7"/>
  <c r="AB316" i="7"/>
  <c r="X316" i="7"/>
  <c r="S316" i="7"/>
  <c r="L316" i="7"/>
  <c r="J316" i="7"/>
  <c r="I316" i="7"/>
  <c r="H316" i="7"/>
  <c r="AB315" i="7"/>
  <c r="X315" i="7"/>
  <c r="S315" i="7"/>
  <c r="L315" i="7"/>
  <c r="J315" i="7"/>
  <c r="I315" i="7"/>
  <c r="H315" i="7"/>
  <c r="AB314" i="7"/>
  <c r="X314" i="7"/>
  <c r="S314" i="7"/>
  <c r="L314" i="7"/>
  <c r="J314" i="7"/>
  <c r="I314" i="7"/>
  <c r="H314" i="7"/>
  <c r="AB313" i="7"/>
  <c r="X313" i="7"/>
  <c r="S313" i="7"/>
  <c r="L313" i="7"/>
  <c r="J313" i="7"/>
  <c r="I313" i="7"/>
  <c r="H313" i="7"/>
  <c r="AB312" i="7"/>
  <c r="X312" i="7"/>
  <c r="S312" i="7"/>
  <c r="L312" i="7"/>
  <c r="J312" i="7"/>
  <c r="I312" i="7"/>
  <c r="H312" i="7"/>
  <c r="AB311" i="7"/>
  <c r="X311" i="7"/>
  <c r="S311" i="7"/>
  <c r="L311" i="7"/>
  <c r="J311" i="7"/>
  <c r="I311" i="7"/>
  <c r="H311" i="7"/>
  <c r="AB310" i="7"/>
  <c r="X310" i="7"/>
  <c r="S310" i="7"/>
  <c r="L310" i="7"/>
  <c r="J310" i="7"/>
  <c r="I310" i="7"/>
  <c r="H310" i="7"/>
  <c r="AB309" i="7"/>
  <c r="X309" i="7"/>
  <c r="S309" i="7"/>
  <c r="L309" i="7"/>
  <c r="J309" i="7"/>
  <c r="I309" i="7"/>
  <c r="H309" i="7"/>
  <c r="AB308" i="7"/>
  <c r="X308" i="7"/>
  <c r="S308" i="7"/>
  <c r="L308" i="7"/>
  <c r="J308" i="7"/>
  <c r="I308" i="7"/>
  <c r="H308" i="7"/>
  <c r="AB307" i="7"/>
  <c r="X307" i="7"/>
  <c r="S307" i="7"/>
  <c r="L307" i="7"/>
  <c r="J307" i="7"/>
  <c r="I307" i="7"/>
  <c r="H307" i="7"/>
  <c r="AB306" i="7"/>
  <c r="X306" i="7"/>
  <c r="S306" i="7"/>
  <c r="L306" i="7"/>
  <c r="J306" i="7"/>
  <c r="I306" i="7"/>
  <c r="H306" i="7"/>
  <c r="AB305" i="7"/>
  <c r="X305" i="7"/>
  <c r="S305" i="7"/>
  <c r="L305" i="7"/>
  <c r="J305" i="7"/>
  <c r="I305" i="7"/>
  <c r="H305" i="7"/>
  <c r="AB304" i="7"/>
  <c r="X304" i="7"/>
  <c r="S304" i="7"/>
  <c r="L304" i="7"/>
  <c r="J304" i="7"/>
  <c r="I304" i="7"/>
  <c r="H304" i="7"/>
  <c r="AB303" i="7"/>
  <c r="X303" i="7"/>
  <c r="S303" i="7"/>
  <c r="L303" i="7"/>
  <c r="J303" i="7"/>
  <c r="I303" i="7"/>
  <c r="H303" i="7"/>
  <c r="AB302" i="7"/>
  <c r="X302" i="7"/>
  <c r="S302" i="7"/>
  <c r="L302" i="7"/>
  <c r="J302" i="7"/>
  <c r="I302" i="7"/>
  <c r="H302" i="7"/>
  <c r="AB301" i="7"/>
  <c r="X301" i="7"/>
  <c r="S301" i="7"/>
  <c r="L301" i="7"/>
  <c r="J301" i="7"/>
  <c r="I301" i="7"/>
  <c r="H301" i="7"/>
  <c r="AB300" i="7"/>
  <c r="X300" i="7"/>
  <c r="S300" i="7"/>
  <c r="L300" i="7"/>
  <c r="J300" i="7"/>
  <c r="I300" i="7"/>
  <c r="H300" i="7"/>
  <c r="AB299" i="7"/>
  <c r="X299" i="7"/>
  <c r="S299" i="7"/>
  <c r="L299" i="7"/>
  <c r="J299" i="7"/>
  <c r="I299" i="7"/>
  <c r="H299" i="7"/>
  <c r="AB298" i="7"/>
  <c r="X298" i="7"/>
  <c r="S298" i="7"/>
  <c r="L298" i="7"/>
  <c r="J298" i="7"/>
  <c r="I298" i="7"/>
  <c r="H298" i="7"/>
  <c r="AB297" i="7"/>
  <c r="X297" i="7"/>
  <c r="S297" i="7"/>
  <c r="L297" i="7"/>
  <c r="J297" i="7"/>
  <c r="I297" i="7"/>
  <c r="H297" i="7"/>
  <c r="AB296" i="7"/>
  <c r="X296" i="7"/>
  <c r="S296" i="7"/>
  <c r="L296" i="7"/>
  <c r="J296" i="7"/>
  <c r="I296" i="7"/>
  <c r="H296" i="7"/>
  <c r="AB295" i="7"/>
  <c r="X295" i="7"/>
  <c r="S295" i="7"/>
  <c r="L295" i="7"/>
  <c r="J295" i="7"/>
  <c r="I295" i="7"/>
  <c r="H295" i="7"/>
  <c r="AB294" i="7"/>
  <c r="X294" i="7"/>
  <c r="S294" i="7"/>
  <c r="L294" i="7"/>
  <c r="J294" i="7"/>
  <c r="I294" i="7"/>
  <c r="H294" i="7"/>
  <c r="AB293" i="7"/>
  <c r="X293" i="7"/>
  <c r="S293" i="7"/>
  <c r="L293" i="7"/>
  <c r="J293" i="7"/>
  <c r="I293" i="7"/>
  <c r="H293" i="7"/>
  <c r="AB292" i="7"/>
  <c r="X292" i="7"/>
  <c r="S292" i="7"/>
  <c r="L292" i="7"/>
  <c r="J292" i="7"/>
  <c r="I292" i="7"/>
  <c r="H292" i="7"/>
  <c r="AB291" i="7"/>
  <c r="X291" i="7"/>
  <c r="S291" i="7"/>
  <c r="L291" i="7"/>
  <c r="J291" i="7"/>
  <c r="I291" i="7"/>
  <c r="H291" i="7"/>
  <c r="AB290" i="7"/>
  <c r="X290" i="7"/>
  <c r="S290" i="7"/>
  <c r="L290" i="7"/>
  <c r="J290" i="7"/>
  <c r="I290" i="7"/>
  <c r="H290" i="7"/>
  <c r="AB289" i="7"/>
  <c r="X289" i="7"/>
  <c r="S289" i="7"/>
  <c r="L289" i="7"/>
  <c r="J289" i="7"/>
  <c r="I289" i="7"/>
  <c r="H289" i="7"/>
  <c r="AB288" i="7"/>
  <c r="X288" i="7"/>
  <c r="S288" i="7"/>
  <c r="L288" i="7"/>
  <c r="J288" i="7"/>
  <c r="I288" i="7"/>
  <c r="H288" i="7"/>
  <c r="AB287" i="7"/>
  <c r="X287" i="7"/>
  <c r="S287" i="7"/>
  <c r="L287" i="7"/>
  <c r="J287" i="7"/>
  <c r="I287" i="7"/>
  <c r="H287" i="7"/>
  <c r="AB286" i="7"/>
  <c r="X286" i="7"/>
  <c r="S286" i="7"/>
  <c r="L286" i="7"/>
  <c r="J286" i="7"/>
  <c r="I286" i="7"/>
  <c r="H286" i="7"/>
  <c r="AB285" i="7"/>
  <c r="X285" i="7"/>
  <c r="S285" i="7"/>
  <c r="L285" i="7"/>
  <c r="J285" i="7"/>
  <c r="I285" i="7"/>
  <c r="H285" i="7"/>
  <c r="AB284" i="7"/>
  <c r="X284" i="7"/>
  <c r="S284" i="7"/>
  <c r="L284" i="7"/>
  <c r="J284" i="7"/>
  <c r="I284" i="7"/>
  <c r="H284" i="7"/>
  <c r="AB283" i="7"/>
  <c r="X283" i="7"/>
  <c r="S283" i="7"/>
  <c r="L283" i="7"/>
  <c r="J283" i="7"/>
  <c r="I283" i="7"/>
  <c r="H283" i="7"/>
  <c r="AB282" i="7"/>
  <c r="X282" i="7"/>
  <c r="S282" i="7"/>
  <c r="L282" i="7"/>
  <c r="J282" i="7"/>
  <c r="I282" i="7"/>
  <c r="H282" i="7"/>
  <c r="AB281" i="7"/>
  <c r="X281" i="7"/>
  <c r="S281" i="7"/>
  <c r="L281" i="7"/>
  <c r="J281" i="7"/>
  <c r="I281" i="7"/>
  <c r="H281" i="7"/>
  <c r="AB280" i="7"/>
  <c r="X280" i="7"/>
  <c r="S280" i="7"/>
  <c r="L280" i="7"/>
  <c r="J280" i="7"/>
  <c r="I280" i="7"/>
  <c r="H280" i="7"/>
  <c r="AB279" i="7"/>
  <c r="X279" i="7"/>
  <c r="S279" i="7"/>
  <c r="L279" i="7"/>
  <c r="J279" i="7"/>
  <c r="I279" i="7"/>
  <c r="H279" i="7"/>
  <c r="AB278" i="7"/>
  <c r="X278" i="7"/>
  <c r="S278" i="7"/>
  <c r="L278" i="7"/>
  <c r="J278" i="7"/>
  <c r="I278" i="7"/>
  <c r="H278" i="7"/>
  <c r="AB277" i="7"/>
  <c r="X277" i="7"/>
  <c r="S277" i="7"/>
  <c r="L277" i="7"/>
  <c r="J277" i="7"/>
  <c r="I277" i="7"/>
  <c r="H277" i="7"/>
  <c r="AB276" i="7"/>
  <c r="X276" i="7"/>
  <c r="S276" i="7"/>
  <c r="L276" i="7"/>
  <c r="J276" i="7"/>
  <c r="I276" i="7"/>
  <c r="H276" i="7"/>
  <c r="AB275" i="7"/>
  <c r="X275" i="7"/>
  <c r="S275" i="7"/>
  <c r="L275" i="7"/>
  <c r="J275" i="7"/>
  <c r="I275" i="7"/>
  <c r="H275" i="7"/>
  <c r="AB274" i="7"/>
  <c r="X274" i="7"/>
  <c r="S274" i="7"/>
  <c r="L274" i="7"/>
  <c r="J274" i="7"/>
  <c r="I274" i="7"/>
  <c r="H274" i="7"/>
  <c r="AB273" i="7"/>
  <c r="X273" i="7"/>
  <c r="S273" i="7"/>
  <c r="L273" i="7"/>
  <c r="J273" i="7"/>
  <c r="I273" i="7"/>
  <c r="H273" i="7"/>
  <c r="AB272" i="7"/>
  <c r="X272" i="7"/>
  <c r="S272" i="7"/>
  <c r="L272" i="7"/>
  <c r="J272" i="7"/>
  <c r="I272" i="7"/>
  <c r="H272" i="7"/>
  <c r="AB271" i="7"/>
  <c r="X271" i="7"/>
  <c r="S271" i="7"/>
  <c r="L271" i="7"/>
  <c r="J271" i="7"/>
  <c r="I271" i="7"/>
  <c r="H271" i="7"/>
  <c r="AB270" i="7"/>
  <c r="X270" i="7"/>
  <c r="S270" i="7"/>
  <c r="L270" i="7"/>
  <c r="J270" i="7"/>
  <c r="I270" i="7"/>
  <c r="H270" i="7"/>
  <c r="AB269" i="7"/>
  <c r="X269" i="7"/>
  <c r="S269" i="7"/>
  <c r="L269" i="7"/>
  <c r="J269" i="7"/>
  <c r="I269" i="7"/>
  <c r="H269" i="7"/>
  <c r="AB268" i="7"/>
  <c r="X268" i="7"/>
  <c r="S268" i="7"/>
  <c r="L268" i="7"/>
  <c r="J268" i="7"/>
  <c r="I268" i="7"/>
  <c r="H268" i="7"/>
  <c r="AB267" i="7"/>
  <c r="X267" i="7"/>
  <c r="S267" i="7"/>
  <c r="L267" i="7"/>
  <c r="J267" i="7"/>
  <c r="I267" i="7"/>
  <c r="H267" i="7"/>
  <c r="AB266" i="7"/>
  <c r="X266" i="7"/>
  <c r="S266" i="7"/>
  <c r="L266" i="7"/>
  <c r="J266" i="7"/>
  <c r="I266" i="7"/>
  <c r="H266" i="7"/>
  <c r="AB265" i="7"/>
  <c r="X265" i="7"/>
  <c r="S265" i="7"/>
  <c r="L265" i="7"/>
  <c r="J265" i="7"/>
  <c r="I265" i="7"/>
  <c r="H265" i="7"/>
  <c r="AB264" i="7"/>
  <c r="X264" i="7"/>
  <c r="S264" i="7"/>
  <c r="L264" i="7"/>
  <c r="J264" i="7"/>
  <c r="I264" i="7"/>
  <c r="H264" i="7"/>
  <c r="AB263" i="7"/>
  <c r="X263" i="7"/>
  <c r="S263" i="7"/>
  <c r="L263" i="7"/>
  <c r="J263" i="7"/>
  <c r="I263" i="7"/>
  <c r="H263" i="7"/>
  <c r="AB262" i="7"/>
  <c r="X262" i="7"/>
  <c r="S262" i="7"/>
  <c r="L262" i="7"/>
  <c r="J262" i="7"/>
  <c r="I262" i="7"/>
  <c r="H262" i="7"/>
  <c r="AB261" i="7"/>
  <c r="X261" i="7"/>
  <c r="S261" i="7"/>
  <c r="L261" i="7"/>
  <c r="J261" i="7"/>
  <c r="I261" i="7"/>
  <c r="H261" i="7"/>
  <c r="AB260" i="7"/>
  <c r="X260" i="7"/>
  <c r="S260" i="7"/>
  <c r="L260" i="7"/>
  <c r="J260" i="7"/>
  <c r="I260" i="7"/>
  <c r="H260" i="7"/>
  <c r="AB259" i="7"/>
  <c r="X259" i="7"/>
  <c r="S259" i="7"/>
  <c r="L259" i="7"/>
  <c r="J259" i="7"/>
  <c r="I259" i="7"/>
  <c r="H259" i="7"/>
  <c r="AB258" i="7"/>
  <c r="X258" i="7"/>
  <c r="S258" i="7"/>
  <c r="L258" i="7"/>
  <c r="J258" i="7"/>
  <c r="I258" i="7"/>
  <c r="H258" i="7"/>
  <c r="AB257" i="7"/>
  <c r="X257" i="7"/>
  <c r="S257" i="7"/>
  <c r="L257" i="7"/>
  <c r="J257" i="7"/>
  <c r="I257" i="7"/>
  <c r="H257" i="7"/>
  <c r="AB256" i="7"/>
  <c r="X256" i="7"/>
  <c r="S256" i="7"/>
  <c r="L256" i="7"/>
  <c r="J256" i="7"/>
  <c r="I256" i="7"/>
  <c r="H256" i="7"/>
  <c r="AB255" i="7"/>
  <c r="X255" i="7"/>
  <c r="S255" i="7"/>
  <c r="L255" i="7"/>
  <c r="J255" i="7"/>
  <c r="I255" i="7"/>
  <c r="H255" i="7"/>
  <c r="AB254" i="7"/>
  <c r="X254" i="7"/>
  <c r="S254" i="7"/>
  <c r="L254" i="7"/>
  <c r="J254" i="7"/>
  <c r="I254" i="7"/>
  <c r="H254" i="7"/>
  <c r="AB253" i="7"/>
  <c r="X253" i="7"/>
  <c r="S253" i="7"/>
  <c r="L253" i="7"/>
  <c r="J253" i="7"/>
  <c r="I253" i="7"/>
  <c r="H253" i="7"/>
  <c r="AB252" i="7"/>
  <c r="X252" i="7"/>
  <c r="S252" i="7"/>
  <c r="L252" i="7"/>
  <c r="J252" i="7"/>
  <c r="I252" i="7"/>
  <c r="H252" i="7"/>
  <c r="AB251" i="7"/>
  <c r="X251" i="7"/>
  <c r="S251" i="7"/>
  <c r="L251" i="7"/>
  <c r="J251" i="7"/>
  <c r="I251" i="7"/>
  <c r="H251" i="7"/>
  <c r="AB250" i="7"/>
  <c r="X250" i="7"/>
  <c r="S250" i="7"/>
  <c r="L250" i="7"/>
  <c r="J250" i="7"/>
  <c r="I250" i="7"/>
  <c r="H250" i="7"/>
  <c r="AB249" i="7"/>
  <c r="X249" i="7"/>
  <c r="S249" i="7"/>
  <c r="L249" i="7"/>
  <c r="J249" i="7"/>
  <c r="I249" i="7"/>
  <c r="H249" i="7"/>
  <c r="AB248" i="7"/>
  <c r="X248" i="7"/>
  <c r="S248" i="7"/>
  <c r="L248" i="7"/>
  <c r="J248" i="7"/>
  <c r="I248" i="7"/>
  <c r="H248" i="7"/>
  <c r="AB247" i="7"/>
  <c r="X247" i="7"/>
  <c r="S247" i="7"/>
  <c r="L247" i="7"/>
  <c r="J247" i="7"/>
  <c r="I247" i="7"/>
  <c r="H247" i="7"/>
  <c r="AB246" i="7"/>
  <c r="X246" i="7"/>
  <c r="S246" i="7"/>
  <c r="L246" i="7"/>
  <c r="J246" i="7"/>
  <c r="I246" i="7"/>
  <c r="H246" i="7"/>
  <c r="AB245" i="7"/>
  <c r="X245" i="7"/>
  <c r="S245" i="7"/>
  <c r="L245" i="7"/>
  <c r="J245" i="7"/>
  <c r="I245" i="7"/>
  <c r="H245" i="7"/>
  <c r="AB244" i="7"/>
  <c r="L244" i="7"/>
  <c r="J244" i="7"/>
  <c r="I244" i="7"/>
  <c r="H244" i="7"/>
  <c r="AB243" i="7"/>
  <c r="X243" i="7"/>
  <c r="S243" i="7"/>
  <c r="L243" i="7"/>
  <c r="J243" i="7"/>
  <c r="I243" i="7"/>
  <c r="H243" i="7"/>
  <c r="AB242" i="7"/>
  <c r="X242" i="7"/>
  <c r="S242" i="7"/>
  <c r="L242" i="7"/>
  <c r="J242" i="7"/>
  <c r="I242" i="7"/>
  <c r="H242" i="7"/>
  <c r="AB241" i="7"/>
  <c r="X241" i="7"/>
  <c r="S241" i="7"/>
  <c r="L241" i="7"/>
  <c r="J241" i="7"/>
  <c r="I241" i="7"/>
  <c r="H241" i="7"/>
  <c r="AB240" i="7"/>
  <c r="X240" i="7"/>
  <c r="S240" i="7"/>
  <c r="L240" i="7"/>
  <c r="J240" i="7"/>
  <c r="I240" i="7"/>
  <c r="H240" i="7"/>
  <c r="AB239" i="7"/>
  <c r="X239" i="7"/>
  <c r="S239" i="7"/>
  <c r="L239" i="7"/>
  <c r="J239" i="7"/>
  <c r="I239" i="7"/>
  <c r="H239" i="7"/>
  <c r="AB238" i="7"/>
  <c r="X238" i="7"/>
  <c r="S238" i="7"/>
  <c r="L238" i="7"/>
  <c r="J238" i="7"/>
  <c r="I238" i="7"/>
  <c r="H238" i="7"/>
  <c r="AB237" i="7"/>
  <c r="X237" i="7"/>
  <c r="S237" i="7"/>
  <c r="L237" i="7"/>
  <c r="J237" i="7"/>
  <c r="I237" i="7"/>
  <c r="H237" i="7"/>
  <c r="AB236" i="7"/>
  <c r="X236" i="7"/>
  <c r="S236" i="7"/>
  <c r="L236" i="7"/>
  <c r="J236" i="7"/>
  <c r="I236" i="7"/>
  <c r="H236" i="7"/>
  <c r="AB235" i="7"/>
  <c r="X235" i="7"/>
  <c r="S235" i="7"/>
  <c r="L235" i="7"/>
  <c r="J235" i="7"/>
  <c r="I235" i="7"/>
  <c r="H235" i="7"/>
  <c r="AB234" i="7"/>
  <c r="X234" i="7"/>
  <c r="S234" i="7"/>
  <c r="L234" i="7"/>
  <c r="J234" i="7"/>
  <c r="I234" i="7"/>
  <c r="H234" i="7"/>
  <c r="AB233" i="7"/>
  <c r="X233" i="7"/>
  <c r="S233" i="7"/>
  <c r="L233" i="7"/>
  <c r="J233" i="7"/>
  <c r="I233" i="7"/>
  <c r="H233" i="7"/>
  <c r="AB232" i="7"/>
  <c r="X232" i="7"/>
  <c r="S232" i="7"/>
  <c r="L232" i="7"/>
  <c r="J232" i="7"/>
  <c r="I232" i="7"/>
  <c r="H232" i="7"/>
  <c r="AB231" i="7"/>
  <c r="X231" i="7"/>
  <c r="S231" i="7"/>
  <c r="L231" i="7"/>
  <c r="J231" i="7"/>
  <c r="I231" i="7"/>
  <c r="H231" i="7"/>
  <c r="AB230" i="7"/>
  <c r="X230" i="7"/>
  <c r="S230" i="7"/>
  <c r="L230" i="7"/>
  <c r="J230" i="7"/>
  <c r="I230" i="7"/>
  <c r="H230" i="7"/>
  <c r="AB229" i="7"/>
  <c r="X229" i="7"/>
  <c r="S229" i="7"/>
  <c r="L229" i="7"/>
  <c r="J229" i="7"/>
  <c r="I229" i="7"/>
  <c r="H229" i="7"/>
  <c r="AB228" i="7"/>
  <c r="X228" i="7"/>
  <c r="S228" i="7"/>
  <c r="L228" i="7"/>
  <c r="J228" i="7"/>
  <c r="I228" i="7"/>
  <c r="H228" i="7"/>
  <c r="AB227" i="7"/>
  <c r="X227" i="7"/>
  <c r="S227" i="7"/>
  <c r="L227" i="7"/>
  <c r="J227" i="7"/>
  <c r="I227" i="7"/>
  <c r="H227" i="7"/>
  <c r="AB226" i="7"/>
  <c r="X226" i="7"/>
  <c r="S226" i="7"/>
  <c r="L226" i="7"/>
  <c r="J226" i="7"/>
  <c r="I226" i="7"/>
  <c r="H226" i="7"/>
  <c r="AB225" i="7"/>
  <c r="X225" i="7"/>
  <c r="S225" i="7"/>
  <c r="L225" i="7"/>
  <c r="J225" i="7"/>
  <c r="I225" i="7"/>
  <c r="H225" i="7"/>
  <c r="AB224" i="7"/>
  <c r="X224" i="7"/>
  <c r="S224" i="7"/>
  <c r="L224" i="7"/>
  <c r="J224" i="7"/>
  <c r="I224" i="7"/>
  <c r="H224" i="7"/>
  <c r="AB223" i="7"/>
  <c r="X223" i="7"/>
  <c r="S223" i="7"/>
  <c r="L223" i="7"/>
  <c r="J223" i="7"/>
  <c r="I223" i="7"/>
  <c r="H223" i="7"/>
  <c r="AB222" i="7"/>
  <c r="X222" i="7"/>
  <c r="S222" i="7"/>
  <c r="L222" i="7"/>
  <c r="J222" i="7"/>
  <c r="I222" i="7"/>
  <c r="H222" i="7"/>
  <c r="AB221" i="7"/>
  <c r="X221" i="7"/>
  <c r="S221" i="7"/>
  <c r="L221" i="7"/>
  <c r="J221" i="7"/>
  <c r="I221" i="7"/>
  <c r="H221" i="7"/>
  <c r="AB220" i="7"/>
  <c r="X220" i="7"/>
  <c r="S220" i="7"/>
  <c r="L220" i="7"/>
  <c r="J220" i="7"/>
  <c r="I220" i="7"/>
  <c r="H220" i="7"/>
  <c r="AB219" i="7"/>
  <c r="X219" i="7"/>
  <c r="S219" i="7"/>
  <c r="L219" i="7"/>
  <c r="J219" i="7"/>
  <c r="I219" i="7"/>
  <c r="H219" i="7"/>
  <c r="AB218" i="7"/>
  <c r="X218" i="7"/>
  <c r="S218" i="7"/>
  <c r="L218" i="7"/>
  <c r="J218" i="7"/>
  <c r="I218" i="7"/>
  <c r="H218" i="7"/>
  <c r="AB217" i="7"/>
  <c r="X217" i="7"/>
  <c r="S217" i="7"/>
  <c r="L217" i="7"/>
  <c r="J217" i="7"/>
  <c r="I217" i="7"/>
  <c r="H217" i="7"/>
  <c r="AB216" i="7"/>
  <c r="X216" i="7"/>
  <c r="S216" i="7"/>
  <c r="L216" i="7"/>
  <c r="J216" i="7"/>
  <c r="I216" i="7"/>
  <c r="H216" i="7"/>
  <c r="AB215" i="7"/>
  <c r="X215" i="7"/>
  <c r="S215" i="7"/>
  <c r="L215" i="7"/>
  <c r="J215" i="7"/>
  <c r="I215" i="7"/>
  <c r="H215" i="7"/>
  <c r="AB214" i="7"/>
  <c r="X214" i="7"/>
  <c r="S214" i="7"/>
  <c r="L214" i="7"/>
  <c r="J214" i="7"/>
  <c r="I214" i="7"/>
  <c r="H214" i="7"/>
  <c r="AB213" i="7"/>
  <c r="X213" i="7"/>
  <c r="S213" i="7"/>
  <c r="L213" i="7"/>
  <c r="J213" i="7"/>
  <c r="I213" i="7"/>
  <c r="H213" i="7"/>
  <c r="AB212" i="7"/>
  <c r="X212" i="7"/>
  <c r="S212" i="7"/>
  <c r="L212" i="7"/>
  <c r="J212" i="7"/>
  <c r="I212" i="7"/>
  <c r="H212" i="7"/>
  <c r="AB211" i="7"/>
  <c r="X211" i="7"/>
  <c r="S211" i="7"/>
  <c r="L211" i="7"/>
  <c r="J211" i="7"/>
  <c r="I211" i="7"/>
  <c r="H211" i="7"/>
  <c r="AB210" i="7"/>
  <c r="X210" i="7"/>
  <c r="S210" i="7"/>
  <c r="L210" i="7"/>
  <c r="J210" i="7"/>
  <c r="I210" i="7"/>
  <c r="H210" i="7"/>
  <c r="AB209" i="7"/>
  <c r="X209" i="7"/>
  <c r="S209" i="7"/>
  <c r="L209" i="7"/>
  <c r="J209" i="7"/>
  <c r="I209" i="7"/>
  <c r="H209" i="7"/>
  <c r="AB208" i="7"/>
  <c r="X208" i="7"/>
  <c r="S208" i="7"/>
  <c r="L208" i="7"/>
  <c r="J208" i="7"/>
  <c r="I208" i="7"/>
  <c r="H208" i="7"/>
  <c r="AB207" i="7"/>
  <c r="X207" i="7"/>
  <c r="S207" i="7"/>
  <c r="L207" i="7"/>
  <c r="J207" i="7"/>
  <c r="I207" i="7"/>
  <c r="H207" i="7"/>
  <c r="AB206" i="7"/>
  <c r="X206" i="7"/>
  <c r="S206" i="7"/>
  <c r="L206" i="7"/>
  <c r="J206" i="7"/>
  <c r="I206" i="7"/>
  <c r="H206" i="7"/>
  <c r="AB205" i="7"/>
  <c r="X205" i="7"/>
  <c r="S205" i="7"/>
  <c r="L205" i="7"/>
  <c r="J205" i="7"/>
  <c r="I205" i="7"/>
  <c r="H205" i="7"/>
  <c r="AB204" i="7"/>
  <c r="X204" i="7"/>
  <c r="S204" i="7"/>
  <c r="L204" i="7"/>
  <c r="J204" i="7"/>
  <c r="I204" i="7"/>
  <c r="H204" i="7"/>
  <c r="AB203" i="7"/>
  <c r="X203" i="7"/>
  <c r="S203" i="7"/>
  <c r="L203" i="7"/>
  <c r="J203" i="7"/>
  <c r="I203" i="7"/>
  <c r="H203" i="7"/>
  <c r="AB202" i="7"/>
  <c r="X202" i="7"/>
  <c r="S202" i="7"/>
  <c r="L202" i="7"/>
  <c r="J202" i="7"/>
  <c r="I202" i="7"/>
  <c r="H202" i="7"/>
  <c r="AB201" i="7"/>
  <c r="X201" i="7"/>
  <c r="S201" i="7"/>
  <c r="L201" i="7"/>
  <c r="J201" i="7"/>
  <c r="I201" i="7"/>
  <c r="H201" i="7"/>
  <c r="AB200" i="7"/>
  <c r="X200" i="7"/>
  <c r="S200" i="7"/>
  <c r="L200" i="7"/>
  <c r="J200" i="7"/>
  <c r="I200" i="7"/>
  <c r="H200" i="7"/>
  <c r="AB199" i="7"/>
  <c r="X199" i="7"/>
  <c r="S199" i="7"/>
  <c r="L199" i="7"/>
  <c r="J199" i="7"/>
  <c r="I199" i="7"/>
  <c r="H199" i="7"/>
  <c r="AB198" i="7"/>
  <c r="X198" i="7"/>
  <c r="S198" i="7"/>
  <c r="L198" i="7"/>
  <c r="J198" i="7"/>
  <c r="I198" i="7"/>
  <c r="H198" i="7"/>
  <c r="AB197" i="7"/>
  <c r="X197" i="7"/>
  <c r="S197" i="7"/>
  <c r="L197" i="7"/>
  <c r="J197" i="7"/>
  <c r="I197" i="7"/>
  <c r="H197" i="7"/>
  <c r="AB196" i="7"/>
  <c r="X196" i="7"/>
  <c r="S196" i="7"/>
  <c r="L196" i="7"/>
  <c r="J196" i="7"/>
  <c r="I196" i="7"/>
  <c r="H196" i="7"/>
  <c r="AB195" i="7"/>
  <c r="X195" i="7"/>
  <c r="S195" i="7"/>
  <c r="L195" i="7"/>
  <c r="J195" i="7"/>
  <c r="I195" i="7"/>
  <c r="H195" i="7"/>
  <c r="AB194" i="7"/>
  <c r="X194" i="7"/>
  <c r="S194" i="7"/>
  <c r="L194" i="7"/>
  <c r="J194" i="7"/>
  <c r="I194" i="7"/>
  <c r="H194" i="7"/>
  <c r="AB193" i="7"/>
  <c r="X193" i="7"/>
  <c r="S193" i="7"/>
  <c r="L193" i="7"/>
  <c r="J193" i="7"/>
  <c r="I193" i="7"/>
  <c r="H193" i="7"/>
  <c r="AB192" i="7"/>
  <c r="X192" i="7"/>
  <c r="S192" i="7"/>
  <c r="L192" i="7"/>
  <c r="J192" i="7"/>
  <c r="I192" i="7"/>
  <c r="H192" i="7"/>
  <c r="AB191" i="7"/>
  <c r="X191" i="7"/>
  <c r="S191" i="7"/>
  <c r="L191" i="7"/>
  <c r="J191" i="7"/>
  <c r="I191" i="7"/>
  <c r="H191" i="7"/>
  <c r="AB190" i="7"/>
  <c r="X190" i="7"/>
  <c r="S190" i="7"/>
  <c r="L190" i="7"/>
  <c r="J190" i="7"/>
  <c r="I190" i="7"/>
  <c r="H190" i="7"/>
  <c r="AB189" i="7"/>
  <c r="X189" i="7"/>
  <c r="S189" i="7"/>
  <c r="L189" i="7"/>
  <c r="J189" i="7"/>
  <c r="I189" i="7"/>
  <c r="H189" i="7"/>
  <c r="AB188" i="7"/>
  <c r="X188" i="7"/>
  <c r="S188" i="7"/>
  <c r="L188" i="7"/>
  <c r="J188" i="7"/>
  <c r="I188" i="7"/>
  <c r="H188" i="7"/>
  <c r="AB187" i="7"/>
  <c r="X187" i="7"/>
  <c r="S187" i="7"/>
  <c r="L187" i="7"/>
  <c r="J187" i="7"/>
  <c r="I187" i="7"/>
  <c r="H187" i="7"/>
  <c r="AB186" i="7"/>
  <c r="X186" i="7"/>
  <c r="S186" i="7"/>
  <c r="L186" i="7"/>
  <c r="J186" i="7"/>
  <c r="I186" i="7"/>
  <c r="H186" i="7"/>
  <c r="AB185" i="7"/>
  <c r="X185" i="7"/>
  <c r="S185" i="7"/>
  <c r="L185" i="7"/>
  <c r="J185" i="7"/>
  <c r="I185" i="7"/>
  <c r="H185" i="7"/>
  <c r="AB184" i="7"/>
  <c r="X184" i="7"/>
  <c r="S184" i="7"/>
  <c r="L184" i="7"/>
  <c r="J184" i="7"/>
  <c r="I184" i="7"/>
  <c r="H184" i="7"/>
  <c r="AB183" i="7"/>
  <c r="X183" i="7"/>
  <c r="S183" i="7"/>
  <c r="L183" i="7"/>
  <c r="J183" i="7"/>
  <c r="I183" i="7"/>
  <c r="H183" i="7"/>
  <c r="AB182" i="7"/>
  <c r="X182" i="7"/>
  <c r="S182" i="7"/>
  <c r="L182" i="7"/>
  <c r="J182" i="7"/>
  <c r="I182" i="7"/>
  <c r="H182" i="7"/>
  <c r="AB181" i="7"/>
  <c r="X181" i="7"/>
  <c r="S181" i="7"/>
  <c r="L181" i="7"/>
  <c r="J181" i="7"/>
  <c r="I181" i="7"/>
  <c r="H181" i="7"/>
  <c r="AB180" i="7"/>
  <c r="X180" i="7"/>
  <c r="S180" i="7"/>
  <c r="L180" i="7"/>
  <c r="J180" i="7"/>
  <c r="I180" i="7"/>
  <c r="H180" i="7"/>
  <c r="AB179" i="7"/>
  <c r="X179" i="7"/>
  <c r="S179" i="7"/>
  <c r="L179" i="7"/>
  <c r="J179" i="7"/>
  <c r="I179" i="7"/>
  <c r="H179" i="7"/>
  <c r="AB178" i="7"/>
  <c r="X178" i="7"/>
  <c r="S178" i="7"/>
  <c r="L178" i="7"/>
  <c r="J178" i="7"/>
  <c r="I178" i="7"/>
  <c r="H178" i="7"/>
  <c r="AB177" i="7"/>
  <c r="X177" i="7"/>
  <c r="S177" i="7"/>
  <c r="L177" i="7"/>
  <c r="J177" i="7"/>
  <c r="I177" i="7"/>
  <c r="H177" i="7"/>
  <c r="AB176" i="7"/>
  <c r="X176" i="7"/>
  <c r="S176" i="7"/>
  <c r="L176" i="7"/>
  <c r="J176" i="7"/>
  <c r="I176" i="7"/>
  <c r="H176" i="7"/>
  <c r="AB175" i="7"/>
  <c r="X175" i="7"/>
  <c r="S175" i="7"/>
  <c r="L175" i="7"/>
  <c r="J175" i="7"/>
  <c r="I175" i="7"/>
  <c r="H175" i="7"/>
  <c r="AB174" i="7"/>
  <c r="X174" i="7"/>
  <c r="S174" i="7"/>
  <c r="L174" i="7"/>
  <c r="J174" i="7"/>
  <c r="I174" i="7"/>
  <c r="H174" i="7"/>
  <c r="AB173" i="7"/>
  <c r="X173" i="7"/>
  <c r="S173" i="7"/>
  <c r="L173" i="7"/>
  <c r="J173" i="7"/>
  <c r="I173" i="7"/>
  <c r="H173" i="7"/>
  <c r="AB172" i="7"/>
  <c r="X172" i="7"/>
  <c r="S172" i="7"/>
  <c r="L172" i="7"/>
  <c r="J172" i="7"/>
  <c r="I172" i="7"/>
  <c r="H172" i="7"/>
  <c r="AB171" i="7"/>
  <c r="X171" i="7"/>
  <c r="S171" i="7"/>
  <c r="L171" i="7"/>
  <c r="J171" i="7"/>
  <c r="I171" i="7"/>
  <c r="H171" i="7"/>
  <c r="AB170" i="7"/>
  <c r="X170" i="7"/>
  <c r="S170" i="7"/>
  <c r="L170" i="7"/>
  <c r="J170" i="7"/>
  <c r="I170" i="7"/>
  <c r="H170" i="7"/>
  <c r="AB169" i="7"/>
  <c r="X169" i="7"/>
  <c r="S169" i="7"/>
  <c r="L169" i="7"/>
  <c r="J169" i="7"/>
  <c r="I169" i="7"/>
  <c r="H169" i="7"/>
  <c r="AB168" i="7"/>
  <c r="X168" i="7"/>
  <c r="S168" i="7"/>
  <c r="L168" i="7"/>
  <c r="J168" i="7"/>
  <c r="I168" i="7"/>
  <c r="H168" i="7"/>
  <c r="AB167" i="7"/>
  <c r="X167" i="7"/>
  <c r="S167" i="7"/>
  <c r="L167" i="7"/>
  <c r="J167" i="7"/>
  <c r="I167" i="7"/>
  <c r="H167" i="7"/>
  <c r="AB166" i="7"/>
  <c r="X166" i="7"/>
  <c r="S166" i="7"/>
  <c r="L166" i="7"/>
  <c r="J166" i="7"/>
  <c r="I166" i="7"/>
  <c r="H166" i="7"/>
  <c r="AB165" i="7"/>
  <c r="X165" i="7"/>
  <c r="S165" i="7"/>
  <c r="L165" i="7"/>
  <c r="J165" i="7"/>
  <c r="I165" i="7"/>
  <c r="H165" i="7"/>
  <c r="AB164" i="7"/>
  <c r="X164" i="7"/>
  <c r="S164" i="7"/>
  <c r="L164" i="7"/>
  <c r="J164" i="7"/>
  <c r="I164" i="7"/>
  <c r="H164" i="7"/>
  <c r="AB163" i="7"/>
  <c r="X163" i="7"/>
  <c r="S163" i="7"/>
  <c r="L163" i="7"/>
  <c r="J163" i="7"/>
  <c r="I163" i="7"/>
  <c r="H163" i="7"/>
  <c r="AB162" i="7"/>
  <c r="X162" i="7"/>
  <c r="S162" i="7"/>
  <c r="L162" i="7"/>
  <c r="J162" i="7"/>
  <c r="I162" i="7"/>
  <c r="H162" i="7"/>
  <c r="AB161" i="7"/>
  <c r="X161" i="7"/>
  <c r="S161" i="7"/>
  <c r="L161" i="7"/>
  <c r="J161" i="7"/>
  <c r="I161" i="7"/>
  <c r="H161" i="7"/>
  <c r="AB160" i="7"/>
  <c r="X160" i="7"/>
  <c r="S160" i="7"/>
  <c r="L160" i="7"/>
  <c r="J160" i="7"/>
  <c r="I160" i="7"/>
  <c r="H160" i="7"/>
  <c r="AB159" i="7"/>
  <c r="X159" i="7"/>
  <c r="S159" i="7"/>
  <c r="L159" i="7"/>
  <c r="J159" i="7"/>
  <c r="I159" i="7"/>
  <c r="H159" i="7"/>
  <c r="AB158" i="7"/>
  <c r="X158" i="7"/>
  <c r="S158" i="7"/>
  <c r="L158" i="7"/>
  <c r="J158" i="7"/>
  <c r="I158" i="7"/>
  <c r="H158" i="7"/>
  <c r="AB157" i="7"/>
  <c r="X157" i="7"/>
  <c r="S157" i="7"/>
  <c r="L157" i="7"/>
  <c r="J157" i="7"/>
  <c r="I157" i="7"/>
  <c r="H157" i="7"/>
  <c r="AB156" i="7"/>
  <c r="X156" i="7"/>
  <c r="S156" i="7"/>
  <c r="L156" i="7"/>
  <c r="J156" i="7"/>
  <c r="I156" i="7"/>
  <c r="H156" i="7"/>
  <c r="AB155" i="7"/>
  <c r="X155" i="7"/>
  <c r="S155" i="7"/>
  <c r="L155" i="7"/>
  <c r="J155" i="7"/>
  <c r="I155" i="7"/>
  <c r="H155" i="7"/>
  <c r="AB154" i="7"/>
  <c r="X154" i="7"/>
  <c r="S154" i="7"/>
  <c r="L154" i="7"/>
  <c r="J154" i="7"/>
  <c r="I154" i="7"/>
  <c r="H154" i="7"/>
  <c r="AB153" i="7"/>
  <c r="X153" i="7"/>
  <c r="S153" i="7"/>
  <c r="L153" i="7"/>
  <c r="J153" i="7"/>
  <c r="I153" i="7"/>
  <c r="H153" i="7"/>
  <c r="AB152" i="7"/>
  <c r="L152" i="7"/>
  <c r="J152" i="7"/>
  <c r="I152" i="7"/>
  <c r="H152" i="7"/>
  <c r="AB151" i="7"/>
  <c r="X151" i="7"/>
  <c r="S151" i="7"/>
  <c r="L151" i="7"/>
  <c r="J151" i="7"/>
  <c r="I151" i="7"/>
  <c r="H151" i="7"/>
  <c r="AB150" i="7"/>
  <c r="X150" i="7"/>
  <c r="S150" i="7"/>
  <c r="L150" i="7"/>
  <c r="J150" i="7"/>
  <c r="I150" i="7"/>
  <c r="H150" i="7"/>
  <c r="AB149" i="7"/>
  <c r="X149" i="7"/>
  <c r="S149" i="7"/>
  <c r="L149" i="7"/>
  <c r="J149" i="7"/>
  <c r="I149" i="7"/>
  <c r="H149" i="7"/>
  <c r="AB148" i="7"/>
  <c r="X148" i="7"/>
  <c r="S148" i="7"/>
  <c r="L148" i="7"/>
  <c r="J148" i="7"/>
  <c r="I148" i="7"/>
  <c r="H148" i="7"/>
  <c r="AB147" i="7"/>
  <c r="X147" i="7"/>
  <c r="S147" i="7"/>
  <c r="L147" i="7"/>
  <c r="J147" i="7"/>
  <c r="I147" i="7"/>
  <c r="H147" i="7"/>
  <c r="AB146" i="7"/>
  <c r="X146" i="7"/>
  <c r="S146" i="7"/>
  <c r="L146" i="7"/>
  <c r="J146" i="7"/>
  <c r="I146" i="7"/>
  <c r="H146" i="7"/>
  <c r="AB145" i="7"/>
  <c r="X145" i="7"/>
  <c r="S145" i="7"/>
  <c r="L145" i="7"/>
  <c r="J145" i="7"/>
  <c r="I145" i="7"/>
  <c r="H145" i="7"/>
  <c r="AB144" i="7"/>
  <c r="X144" i="7"/>
  <c r="S144" i="7"/>
  <c r="L144" i="7"/>
  <c r="J144" i="7"/>
  <c r="I144" i="7"/>
  <c r="H144" i="7"/>
  <c r="AB143" i="7"/>
  <c r="X143" i="7"/>
  <c r="S143" i="7"/>
  <c r="L143" i="7"/>
  <c r="J143" i="7"/>
  <c r="I143" i="7"/>
  <c r="H143" i="7"/>
  <c r="AB142" i="7"/>
  <c r="X142" i="7"/>
  <c r="S142" i="7"/>
  <c r="L142" i="7"/>
  <c r="J142" i="7"/>
  <c r="I142" i="7"/>
  <c r="H142" i="7"/>
  <c r="AB141" i="7"/>
  <c r="X141" i="7"/>
  <c r="S141" i="7"/>
  <c r="L141" i="7"/>
  <c r="J141" i="7"/>
  <c r="I141" i="7"/>
  <c r="H141" i="7"/>
  <c r="AB140" i="7"/>
  <c r="X140" i="7"/>
  <c r="S140" i="7"/>
  <c r="L140" i="7"/>
  <c r="J140" i="7"/>
  <c r="I140" i="7"/>
  <c r="H140" i="7"/>
  <c r="AB139" i="7"/>
  <c r="X139" i="7"/>
  <c r="S139" i="7"/>
  <c r="L139" i="7"/>
  <c r="J139" i="7"/>
  <c r="I139" i="7"/>
  <c r="H139" i="7"/>
  <c r="AB138" i="7"/>
  <c r="X138" i="7"/>
  <c r="S138" i="7"/>
  <c r="L138" i="7"/>
  <c r="J138" i="7"/>
  <c r="I138" i="7"/>
  <c r="H138" i="7"/>
  <c r="AB137" i="7"/>
  <c r="X137" i="7"/>
  <c r="S137" i="7"/>
  <c r="L137" i="7"/>
  <c r="J137" i="7"/>
  <c r="I137" i="7"/>
  <c r="H137" i="7"/>
  <c r="AB136" i="7"/>
  <c r="X136" i="7"/>
  <c r="S136" i="7"/>
  <c r="L136" i="7"/>
  <c r="J136" i="7"/>
  <c r="I136" i="7"/>
  <c r="H136" i="7"/>
  <c r="AB135" i="7"/>
  <c r="X135" i="7"/>
  <c r="S135" i="7"/>
  <c r="L135" i="7"/>
  <c r="J135" i="7"/>
  <c r="I135" i="7"/>
  <c r="H135" i="7"/>
  <c r="AB134" i="7"/>
  <c r="X134" i="7"/>
  <c r="S134" i="7"/>
  <c r="L134" i="7"/>
  <c r="J134" i="7"/>
  <c r="I134" i="7"/>
  <c r="H134" i="7"/>
  <c r="AB133" i="7"/>
  <c r="X133" i="7"/>
  <c r="S133" i="7"/>
  <c r="L133" i="7"/>
  <c r="J133" i="7"/>
  <c r="I133" i="7"/>
  <c r="H133" i="7"/>
  <c r="AB132" i="7"/>
  <c r="X132" i="7"/>
  <c r="S132" i="7"/>
  <c r="L132" i="7"/>
  <c r="J132" i="7"/>
  <c r="I132" i="7"/>
  <c r="H132" i="7"/>
  <c r="AB131" i="7"/>
  <c r="X131" i="7"/>
  <c r="S131" i="7"/>
  <c r="L131" i="7"/>
  <c r="J131" i="7"/>
  <c r="I131" i="7"/>
  <c r="H131" i="7"/>
  <c r="AB130" i="7"/>
  <c r="X130" i="7"/>
  <c r="S130" i="7"/>
  <c r="L130" i="7"/>
  <c r="J130" i="7"/>
  <c r="I130" i="7"/>
  <c r="H130" i="7"/>
  <c r="AB129" i="7"/>
  <c r="X129" i="7"/>
  <c r="S129" i="7"/>
  <c r="L129" i="7"/>
  <c r="J129" i="7"/>
  <c r="I129" i="7"/>
  <c r="H129" i="7"/>
  <c r="AB128" i="7"/>
  <c r="X128" i="7"/>
  <c r="S128" i="7"/>
  <c r="L128" i="7"/>
  <c r="J128" i="7"/>
  <c r="I128" i="7"/>
  <c r="H128" i="7"/>
  <c r="AB127" i="7"/>
  <c r="X127" i="7"/>
  <c r="S127" i="7"/>
  <c r="L127" i="7"/>
  <c r="J127" i="7"/>
  <c r="I127" i="7"/>
  <c r="H127" i="7"/>
  <c r="AB126" i="7"/>
  <c r="X126" i="7"/>
  <c r="S126" i="7"/>
  <c r="L126" i="7"/>
  <c r="J126" i="7"/>
  <c r="I126" i="7"/>
  <c r="H126" i="7"/>
  <c r="AB125" i="7"/>
  <c r="X125" i="7"/>
  <c r="S125" i="7"/>
  <c r="L125" i="7"/>
  <c r="J125" i="7"/>
  <c r="I125" i="7"/>
  <c r="H125" i="7"/>
  <c r="AB124" i="7"/>
  <c r="X124" i="7"/>
  <c r="S124" i="7"/>
  <c r="L124" i="7"/>
  <c r="J124" i="7"/>
  <c r="I124" i="7"/>
  <c r="H124" i="7"/>
  <c r="AB123" i="7"/>
  <c r="X123" i="7"/>
  <c r="S123" i="7"/>
  <c r="L123" i="7"/>
  <c r="J123" i="7"/>
  <c r="I123" i="7"/>
  <c r="H123" i="7"/>
  <c r="AB122" i="7"/>
  <c r="X122" i="7"/>
  <c r="S122" i="7"/>
  <c r="L122" i="7"/>
  <c r="J122" i="7"/>
  <c r="I122" i="7"/>
  <c r="H122" i="7"/>
  <c r="AB121" i="7"/>
  <c r="X121" i="7"/>
  <c r="S121" i="7"/>
  <c r="L121" i="7"/>
  <c r="J121" i="7"/>
  <c r="I121" i="7"/>
  <c r="H121" i="7"/>
  <c r="AB120" i="7"/>
  <c r="X120" i="7"/>
  <c r="S120" i="7"/>
  <c r="L120" i="7"/>
  <c r="J120" i="7"/>
  <c r="I120" i="7"/>
  <c r="H120" i="7"/>
  <c r="AB119" i="7"/>
  <c r="X119" i="7"/>
  <c r="S119" i="7"/>
  <c r="L119" i="7"/>
  <c r="J119" i="7"/>
  <c r="I119" i="7"/>
  <c r="H119" i="7"/>
  <c r="AB118" i="7"/>
  <c r="X118" i="7"/>
  <c r="S118" i="7"/>
  <c r="L118" i="7"/>
  <c r="J118" i="7"/>
  <c r="I118" i="7"/>
  <c r="H118" i="7"/>
  <c r="AB117" i="7"/>
  <c r="X117" i="7"/>
  <c r="S117" i="7"/>
  <c r="L117" i="7"/>
  <c r="J117" i="7"/>
  <c r="I117" i="7"/>
  <c r="H117" i="7"/>
  <c r="AB116" i="7"/>
  <c r="X116" i="7"/>
  <c r="S116" i="7"/>
  <c r="L116" i="7"/>
  <c r="J116" i="7"/>
  <c r="I116" i="7"/>
  <c r="H116" i="7"/>
  <c r="AB115" i="7"/>
  <c r="X115" i="7"/>
  <c r="S115" i="7"/>
  <c r="L115" i="7"/>
  <c r="J115" i="7"/>
  <c r="I115" i="7"/>
  <c r="H115" i="7"/>
  <c r="AB114" i="7"/>
  <c r="X114" i="7"/>
  <c r="S114" i="7"/>
  <c r="L114" i="7"/>
  <c r="J114" i="7"/>
  <c r="I114" i="7"/>
  <c r="H114" i="7"/>
  <c r="AB113" i="7"/>
  <c r="X113" i="7"/>
  <c r="S113" i="7"/>
  <c r="L113" i="7"/>
  <c r="J113" i="7"/>
  <c r="I113" i="7"/>
  <c r="H113" i="7"/>
  <c r="AB112" i="7"/>
  <c r="X112" i="7"/>
  <c r="S112" i="7"/>
  <c r="L112" i="7"/>
  <c r="J112" i="7"/>
  <c r="I112" i="7"/>
  <c r="H112" i="7"/>
  <c r="AB111" i="7"/>
  <c r="X111" i="7"/>
  <c r="S111" i="7"/>
  <c r="L111" i="7"/>
  <c r="J111" i="7"/>
  <c r="I111" i="7"/>
  <c r="H111" i="7"/>
  <c r="AB110" i="7"/>
  <c r="X110" i="7"/>
  <c r="S110" i="7"/>
  <c r="L110" i="7"/>
  <c r="J110" i="7"/>
  <c r="I110" i="7"/>
  <c r="H110" i="7"/>
  <c r="AB109" i="7"/>
  <c r="X109" i="7"/>
  <c r="S109" i="7"/>
  <c r="L109" i="7"/>
  <c r="J109" i="7"/>
  <c r="I109" i="7"/>
  <c r="H109" i="7"/>
  <c r="AB108" i="7"/>
  <c r="X108" i="7"/>
  <c r="S108" i="7"/>
  <c r="L108" i="7"/>
  <c r="J108" i="7"/>
  <c r="I108" i="7"/>
  <c r="H108" i="7"/>
  <c r="AB107" i="7"/>
  <c r="X107" i="7"/>
  <c r="S107" i="7"/>
  <c r="L107" i="7"/>
  <c r="J107" i="7"/>
  <c r="I107" i="7"/>
  <c r="H107" i="7"/>
  <c r="AB106" i="7"/>
  <c r="X106" i="7"/>
  <c r="S106" i="7"/>
  <c r="L106" i="7"/>
  <c r="J106" i="7"/>
  <c r="I106" i="7"/>
  <c r="H106" i="7"/>
  <c r="AB105" i="7"/>
  <c r="X105" i="7"/>
  <c r="S105" i="7"/>
  <c r="L105" i="7"/>
  <c r="J105" i="7"/>
  <c r="I105" i="7"/>
  <c r="H105" i="7"/>
  <c r="AB104" i="7"/>
  <c r="X104" i="7"/>
  <c r="S104" i="7"/>
  <c r="L104" i="7"/>
  <c r="J104" i="7"/>
  <c r="I104" i="7"/>
  <c r="H104" i="7"/>
  <c r="AB103" i="7"/>
  <c r="L103" i="7"/>
  <c r="J103" i="7"/>
  <c r="I103" i="7"/>
  <c r="H103" i="7"/>
  <c r="AB102" i="7"/>
  <c r="X102" i="7"/>
  <c r="S102" i="7"/>
  <c r="L102" i="7"/>
  <c r="J102" i="7"/>
  <c r="I102" i="7"/>
  <c r="H102" i="7"/>
  <c r="AB101" i="7"/>
  <c r="X101" i="7"/>
  <c r="S101" i="7"/>
  <c r="L101" i="7"/>
  <c r="J101" i="7"/>
  <c r="I101" i="7"/>
  <c r="H101" i="7"/>
  <c r="AB100" i="7"/>
  <c r="X100" i="7"/>
  <c r="S100" i="7"/>
  <c r="L100" i="7"/>
  <c r="J100" i="7"/>
  <c r="I100" i="7"/>
  <c r="H100" i="7"/>
  <c r="AB99" i="7"/>
  <c r="X99" i="7"/>
  <c r="S99" i="7"/>
  <c r="L99" i="7"/>
  <c r="J99" i="7"/>
  <c r="I99" i="7"/>
  <c r="H99" i="7"/>
  <c r="AB98" i="7"/>
  <c r="X98" i="7"/>
  <c r="S98" i="7"/>
  <c r="L98" i="7"/>
  <c r="J98" i="7"/>
  <c r="I98" i="7"/>
  <c r="H98" i="7"/>
  <c r="AB97" i="7"/>
  <c r="X97" i="7"/>
  <c r="S97" i="7"/>
  <c r="L97" i="7"/>
  <c r="J97" i="7"/>
  <c r="I97" i="7"/>
  <c r="H97" i="7"/>
  <c r="AB96" i="7"/>
  <c r="X96" i="7"/>
  <c r="S96" i="7"/>
  <c r="L96" i="7"/>
  <c r="J96" i="7"/>
  <c r="I96" i="7"/>
  <c r="H96" i="7"/>
  <c r="AB95" i="7"/>
  <c r="X95" i="7"/>
  <c r="S95" i="7"/>
  <c r="L95" i="7"/>
  <c r="J95" i="7"/>
  <c r="I95" i="7"/>
  <c r="H95" i="7"/>
  <c r="AB94" i="7"/>
  <c r="X94" i="7"/>
  <c r="S94" i="7"/>
  <c r="L94" i="7"/>
  <c r="J94" i="7"/>
  <c r="I94" i="7"/>
  <c r="H94" i="7"/>
  <c r="AB93" i="7"/>
  <c r="X93" i="7"/>
  <c r="S93" i="7"/>
  <c r="L93" i="7"/>
  <c r="J93" i="7"/>
  <c r="I93" i="7"/>
  <c r="H93" i="7"/>
  <c r="AB92" i="7"/>
  <c r="X92" i="7"/>
  <c r="S92" i="7"/>
  <c r="L92" i="7"/>
  <c r="J92" i="7"/>
  <c r="I92" i="7"/>
  <c r="H92" i="7"/>
  <c r="AB91" i="7"/>
  <c r="X91" i="7"/>
  <c r="S91" i="7"/>
  <c r="L91" i="7"/>
  <c r="J91" i="7"/>
  <c r="I91" i="7"/>
  <c r="H91" i="7"/>
  <c r="AB90" i="7"/>
  <c r="X90" i="7"/>
  <c r="S90" i="7"/>
  <c r="L90" i="7"/>
  <c r="J90" i="7"/>
  <c r="I90" i="7"/>
  <c r="H90" i="7"/>
  <c r="AB89" i="7"/>
  <c r="X89" i="7"/>
  <c r="S89" i="7"/>
  <c r="L89" i="7"/>
  <c r="J89" i="7"/>
  <c r="I89" i="7"/>
  <c r="H89" i="7"/>
  <c r="AB88" i="7"/>
  <c r="X88" i="7"/>
  <c r="S88" i="7"/>
  <c r="L88" i="7"/>
  <c r="J88" i="7"/>
  <c r="I88" i="7"/>
  <c r="H88" i="7"/>
  <c r="AB87" i="7"/>
  <c r="X87" i="7"/>
  <c r="S87" i="7"/>
  <c r="L87" i="7"/>
  <c r="J87" i="7"/>
  <c r="I87" i="7"/>
  <c r="H87" i="7"/>
  <c r="AB86" i="7"/>
  <c r="X86" i="7"/>
  <c r="S86" i="7"/>
  <c r="L86" i="7"/>
  <c r="J86" i="7"/>
  <c r="I86" i="7"/>
  <c r="H86" i="7"/>
  <c r="AB85" i="7"/>
  <c r="X85" i="7"/>
  <c r="S85" i="7"/>
  <c r="L85" i="7"/>
  <c r="J85" i="7"/>
  <c r="I85" i="7"/>
  <c r="H85" i="7"/>
  <c r="AB84" i="7"/>
  <c r="X84" i="7"/>
  <c r="S84" i="7"/>
  <c r="L84" i="7"/>
  <c r="J84" i="7"/>
  <c r="I84" i="7"/>
  <c r="H84" i="7"/>
  <c r="AB83" i="7"/>
  <c r="X83" i="7"/>
  <c r="S83" i="7"/>
  <c r="L83" i="7"/>
  <c r="J83" i="7"/>
  <c r="I83" i="7"/>
  <c r="H83" i="7"/>
  <c r="AB82" i="7"/>
  <c r="X82" i="7"/>
  <c r="S82" i="7"/>
  <c r="L82" i="7"/>
  <c r="J82" i="7"/>
  <c r="I82" i="7"/>
  <c r="H82" i="7"/>
  <c r="AB81" i="7"/>
  <c r="X81" i="7"/>
  <c r="S81" i="7"/>
  <c r="L81" i="7"/>
  <c r="J81" i="7"/>
  <c r="I81" i="7"/>
  <c r="H81" i="7"/>
  <c r="AB80" i="7"/>
  <c r="X80" i="7"/>
  <c r="S80" i="7"/>
  <c r="L80" i="7"/>
  <c r="J80" i="7"/>
  <c r="I80" i="7"/>
  <c r="H80" i="7"/>
  <c r="AB79" i="7"/>
  <c r="X79" i="7"/>
  <c r="S79" i="7"/>
  <c r="L79" i="7"/>
  <c r="J79" i="7"/>
  <c r="I79" i="7"/>
  <c r="H79" i="7"/>
  <c r="AB78" i="7"/>
  <c r="X78" i="7"/>
  <c r="S78" i="7"/>
  <c r="L78" i="7"/>
  <c r="J78" i="7"/>
  <c r="I78" i="7"/>
  <c r="H78" i="7"/>
  <c r="AB77" i="7"/>
  <c r="X77" i="7"/>
  <c r="S77" i="7"/>
  <c r="L77" i="7"/>
  <c r="J77" i="7"/>
  <c r="I77" i="7"/>
  <c r="H77" i="7"/>
  <c r="AB76" i="7"/>
  <c r="X76" i="7"/>
  <c r="S76" i="7"/>
  <c r="L76" i="7"/>
  <c r="J76" i="7"/>
  <c r="I76" i="7"/>
  <c r="H76" i="7"/>
  <c r="AB75" i="7"/>
  <c r="X75" i="7"/>
  <c r="S75" i="7"/>
  <c r="L75" i="7"/>
  <c r="J75" i="7"/>
  <c r="I75" i="7"/>
  <c r="H75" i="7"/>
  <c r="AB74" i="7"/>
  <c r="X74" i="7"/>
  <c r="S74" i="7"/>
  <c r="L74" i="7"/>
  <c r="J74" i="7"/>
  <c r="I74" i="7"/>
  <c r="H74" i="7"/>
  <c r="AB73" i="7"/>
  <c r="X73" i="7"/>
  <c r="S73" i="7"/>
  <c r="L73" i="7"/>
  <c r="J73" i="7"/>
  <c r="I73" i="7"/>
  <c r="H73" i="7"/>
  <c r="AB72" i="7"/>
  <c r="X72" i="7"/>
  <c r="S72" i="7"/>
  <c r="L72" i="7"/>
  <c r="J72" i="7"/>
  <c r="I72" i="7"/>
  <c r="H72" i="7"/>
  <c r="AB71" i="7"/>
  <c r="X71" i="7"/>
  <c r="S71" i="7"/>
  <c r="L71" i="7"/>
  <c r="J71" i="7"/>
  <c r="I71" i="7"/>
  <c r="H71" i="7"/>
  <c r="AB70" i="7"/>
  <c r="X70" i="7"/>
  <c r="S70" i="7"/>
  <c r="L70" i="7"/>
  <c r="J70" i="7"/>
  <c r="I70" i="7"/>
  <c r="H70" i="7"/>
  <c r="AB69" i="7"/>
  <c r="X69" i="7"/>
  <c r="S69" i="7"/>
  <c r="L69" i="7"/>
  <c r="J69" i="7"/>
  <c r="I69" i="7"/>
  <c r="H69" i="7"/>
  <c r="AB68" i="7"/>
  <c r="X68" i="7"/>
  <c r="S68" i="7"/>
  <c r="L68" i="7"/>
  <c r="J68" i="7"/>
  <c r="I68" i="7"/>
  <c r="H68" i="7"/>
  <c r="AB67" i="7"/>
  <c r="X67" i="7"/>
  <c r="S67" i="7"/>
  <c r="L67" i="7"/>
  <c r="J67" i="7"/>
  <c r="I67" i="7"/>
  <c r="H67" i="7"/>
  <c r="AB66" i="7"/>
  <c r="X66" i="7"/>
  <c r="S66" i="7"/>
  <c r="L66" i="7"/>
  <c r="J66" i="7"/>
  <c r="I66" i="7"/>
  <c r="H66" i="7"/>
  <c r="AB65" i="7"/>
  <c r="X65" i="7"/>
  <c r="S65" i="7"/>
  <c r="L65" i="7"/>
  <c r="J65" i="7"/>
  <c r="I65" i="7"/>
  <c r="H65" i="7"/>
  <c r="AB64" i="7"/>
  <c r="X64" i="7"/>
  <c r="S64" i="7"/>
  <c r="L64" i="7"/>
  <c r="J64" i="7"/>
  <c r="I64" i="7"/>
  <c r="H64" i="7"/>
  <c r="AB63" i="7"/>
  <c r="X63" i="7"/>
  <c r="S63" i="7"/>
  <c r="L63" i="7"/>
  <c r="J63" i="7"/>
  <c r="I63" i="7"/>
  <c r="H63" i="7"/>
  <c r="AB62" i="7"/>
  <c r="X62" i="7"/>
  <c r="S62" i="7"/>
  <c r="L62" i="7"/>
  <c r="J62" i="7"/>
  <c r="I62" i="7"/>
  <c r="H62" i="7"/>
  <c r="AB61" i="7"/>
  <c r="X61" i="7"/>
  <c r="S61" i="7"/>
  <c r="L61" i="7"/>
  <c r="J61" i="7"/>
  <c r="I61" i="7"/>
  <c r="H61" i="7"/>
  <c r="AB60" i="7"/>
  <c r="X60" i="7"/>
  <c r="S60" i="7"/>
  <c r="L60" i="7"/>
  <c r="J60" i="7"/>
  <c r="I60" i="7"/>
  <c r="H60" i="7"/>
  <c r="AB59" i="7"/>
  <c r="X59" i="7"/>
  <c r="S59" i="7"/>
  <c r="L59" i="7"/>
  <c r="J59" i="7"/>
  <c r="I59" i="7"/>
  <c r="H59" i="7"/>
  <c r="AB58" i="7"/>
  <c r="L58" i="7"/>
  <c r="J58" i="7"/>
  <c r="I58" i="7"/>
  <c r="H58" i="7"/>
  <c r="AB57" i="7"/>
  <c r="X57" i="7"/>
  <c r="S57" i="7"/>
  <c r="L57" i="7"/>
  <c r="J57" i="7"/>
  <c r="I57" i="7"/>
  <c r="H57" i="7"/>
  <c r="AB56" i="7"/>
  <c r="X56" i="7"/>
  <c r="S56" i="7"/>
  <c r="L56" i="7"/>
  <c r="J56" i="7"/>
  <c r="I56" i="7"/>
  <c r="H56" i="7"/>
  <c r="AB55" i="7"/>
  <c r="X55" i="7"/>
  <c r="S55" i="7"/>
  <c r="L55" i="7"/>
  <c r="J55" i="7"/>
  <c r="I55" i="7"/>
  <c r="H55" i="7"/>
  <c r="AB54" i="7"/>
  <c r="X54" i="7"/>
  <c r="S54" i="7"/>
  <c r="L54" i="7"/>
  <c r="J54" i="7"/>
  <c r="I54" i="7"/>
  <c r="H54" i="7"/>
  <c r="AB53" i="7"/>
  <c r="X53" i="7"/>
  <c r="S53" i="7"/>
  <c r="L53" i="7"/>
  <c r="J53" i="7"/>
  <c r="I53" i="7"/>
  <c r="H53" i="7"/>
  <c r="AB52" i="7"/>
  <c r="X52" i="7"/>
  <c r="S52" i="7"/>
  <c r="L52" i="7"/>
  <c r="J52" i="7"/>
  <c r="I52" i="7"/>
  <c r="H52" i="7"/>
  <c r="AB51" i="7"/>
  <c r="X51" i="7"/>
  <c r="S51" i="7"/>
  <c r="L51" i="7"/>
  <c r="J51" i="7"/>
  <c r="I51" i="7"/>
  <c r="H51" i="7"/>
  <c r="AB50" i="7"/>
  <c r="X50" i="7"/>
  <c r="S50" i="7"/>
  <c r="L50" i="7"/>
  <c r="J50" i="7"/>
  <c r="I50" i="7"/>
  <c r="H50" i="7"/>
  <c r="AB49" i="7"/>
  <c r="X49" i="7"/>
  <c r="S49" i="7"/>
  <c r="L49" i="7"/>
  <c r="J49" i="7"/>
  <c r="I49" i="7"/>
  <c r="H49" i="7"/>
  <c r="AB48" i="7"/>
  <c r="X48" i="7"/>
  <c r="S48" i="7"/>
  <c r="L48" i="7"/>
  <c r="J48" i="7"/>
  <c r="I48" i="7"/>
  <c r="H48" i="7"/>
  <c r="AB47" i="7"/>
  <c r="X47" i="7"/>
  <c r="S47" i="7"/>
  <c r="L47" i="7"/>
  <c r="J47" i="7"/>
  <c r="I47" i="7"/>
  <c r="H47" i="7"/>
  <c r="AB46" i="7"/>
  <c r="X46" i="7"/>
  <c r="S46" i="7"/>
  <c r="L46" i="7"/>
  <c r="J46" i="7"/>
  <c r="I46" i="7"/>
  <c r="H46" i="7"/>
  <c r="AB45" i="7"/>
  <c r="X45" i="7"/>
  <c r="S45" i="7"/>
  <c r="L45" i="7"/>
  <c r="J45" i="7"/>
  <c r="I45" i="7"/>
  <c r="H45" i="7"/>
  <c r="AB44" i="7"/>
  <c r="X44" i="7"/>
  <c r="S44" i="7"/>
  <c r="L44" i="7"/>
  <c r="J44" i="7"/>
  <c r="I44" i="7"/>
  <c r="H44" i="7"/>
  <c r="AB43" i="7"/>
  <c r="X43" i="7"/>
  <c r="S43" i="7"/>
  <c r="L43" i="7"/>
  <c r="J43" i="7"/>
  <c r="I43" i="7"/>
  <c r="H43" i="7"/>
  <c r="AB42" i="7"/>
  <c r="X42" i="7"/>
  <c r="S42" i="7"/>
  <c r="L42" i="7"/>
  <c r="J42" i="7"/>
  <c r="I42" i="7"/>
  <c r="H42" i="7"/>
  <c r="AB41" i="7"/>
  <c r="X41" i="7"/>
  <c r="S41" i="7"/>
  <c r="L41" i="7"/>
  <c r="J41" i="7"/>
  <c r="I41" i="7"/>
  <c r="H41" i="7"/>
  <c r="AB40" i="7"/>
  <c r="X40" i="7"/>
  <c r="S40" i="7"/>
  <c r="L40" i="7"/>
  <c r="J40" i="7"/>
  <c r="I40" i="7"/>
  <c r="H40" i="7"/>
  <c r="AB39" i="7"/>
  <c r="X39" i="7"/>
  <c r="S39" i="7"/>
  <c r="L39" i="7"/>
  <c r="J39" i="7"/>
  <c r="I39" i="7"/>
  <c r="H39" i="7"/>
  <c r="AB38" i="7"/>
  <c r="X38" i="7"/>
  <c r="S38" i="7"/>
  <c r="L38" i="7"/>
  <c r="J38" i="7"/>
  <c r="I38" i="7"/>
  <c r="H38" i="7"/>
  <c r="AB37" i="7"/>
  <c r="X37" i="7"/>
  <c r="S37" i="7"/>
  <c r="L37" i="7"/>
  <c r="J37" i="7"/>
  <c r="I37" i="7"/>
  <c r="H37" i="7"/>
  <c r="AB36" i="7"/>
  <c r="X36" i="7"/>
  <c r="S36" i="7"/>
  <c r="L36" i="7"/>
  <c r="J36" i="7"/>
  <c r="I36" i="7"/>
  <c r="H36" i="7"/>
  <c r="AB35" i="7"/>
  <c r="X35" i="7"/>
  <c r="S35" i="7"/>
  <c r="L35" i="7"/>
  <c r="J35" i="7"/>
  <c r="I35" i="7"/>
  <c r="H35" i="7"/>
  <c r="AB34" i="7"/>
  <c r="X34" i="7"/>
  <c r="S34" i="7"/>
  <c r="L34" i="7"/>
  <c r="J34" i="7"/>
  <c r="I34" i="7"/>
  <c r="H34" i="7"/>
  <c r="AB33" i="7"/>
  <c r="X33" i="7"/>
  <c r="S33" i="7"/>
  <c r="L33" i="7"/>
  <c r="J33" i="7"/>
  <c r="I33" i="7"/>
  <c r="H33" i="7"/>
  <c r="AB32" i="7"/>
  <c r="X32" i="7"/>
  <c r="S32" i="7"/>
  <c r="L32" i="7"/>
  <c r="J32" i="7"/>
  <c r="I32" i="7"/>
  <c r="H32" i="7"/>
  <c r="AB31" i="7"/>
  <c r="X31" i="7"/>
  <c r="S31" i="7"/>
  <c r="L31" i="7"/>
  <c r="J31" i="7"/>
  <c r="I31" i="7"/>
  <c r="H31" i="7"/>
  <c r="AB30" i="7"/>
  <c r="X30" i="7"/>
  <c r="S30" i="7"/>
  <c r="L30" i="7"/>
  <c r="J30" i="7"/>
  <c r="I30" i="7"/>
  <c r="H30" i="7"/>
  <c r="AB29" i="7"/>
  <c r="X29" i="7"/>
  <c r="S29" i="7"/>
  <c r="L29" i="7"/>
  <c r="J29" i="7"/>
  <c r="I29" i="7"/>
  <c r="H29" i="7"/>
  <c r="AB28" i="7"/>
  <c r="X28" i="7"/>
  <c r="S28" i="7"/>
  <c r="L28" i="7"/>
  <c r="J28" i="7"/>
  <c r="I28" i="7"/>
  <c r="H28" i="7"/>
  <c r="AB27" i="7"/>
  <c r="X27" i="7"/>
  <c r="S27" i="7"/>
  <c r="L27" i="7"/>
  <c r="J27" i="7"/>
  <c r="I27" i="7"/>
  <c r="H27" i="7"/>
  <c r="AB26" i="7"/>
  <c r="X26" i="7"/>
  <c r="S26" i="7"/>
  <c r="L26" i="7"/>
  <c r="J26" i="7"/>
  <c r="I26" i="7"/>
  <c r="H26" i="7"/>
  <c r="AB25" i="7"/>
  <c r="X25" i="7"/>
  <c r="S25" i="7"/>
  <c r="L25" i="7"/>
  <c r="J25" i="7"/>
  <c r="I25" i="7"/>
  <c r="H25" i="7"/>
  <c r="AB24" i="7"/>
  <c r="X24" i="7"/>
  <c r="S24" i="7"/>
  <c r="L24" i="7"/>
  <c r="J24" i="7"/>
  <c r="I24" i="7"/>
  <c r="H24" i="7"/>
  <c r="AB23" i="7"/>
  <c r="X23" i="7"/>
  <c r="S23" i="7"/>
  <c r="L23" i="7"/>
  <c r="J23" i="7"/>
  <c r="I23" i="7"/>
  <c r="H23" i="7"/>
  <c r="AB22" i="7"/>
  <c r="X22" i="7"/>
  <c r="S22" i="7"/>
  <c r="L22" i="7"/>
  <c r="J22" i="7"/>
  <c r="I22" i="7"/>
  <c r="H22" i="7"/>
  <c r="AB21" i="7"/>
  <c r="X21" i="7"/>
  <c r="S21" i="7"/>
  <c r="L21" i="7"/>
  <c r="J21" i="7"/>
  <c r="I21" i="7"/>
  <c r="H21" i="7"/>
  <c r="AB20" i="7"/>
  <c r="X20" i="7"/>
  <c r="S20" i="7"/>
  <c r="L20" i="7"/>
  <c r="J20" i="7"/>
  <c r="I20" i="7"/>
  <c r="H20" i="7"/>
  <c r="AB19" i="7"/>
  <c r="X19" i="7"/>
  <c r="S19" i="7"/>
  <c r="L19" i="7"/>
  <c r="J19" i="7"/>
  <c r="I19" i="7"/>
  <c r="H19" i="7"/>
  <c r="AB18" i="7"/>
  <c r="X18" i="7"/>
  <c r="S18" i="7"/>
  <c r="L18" i="7"/>
  <c r="J18" i="7"/>
  <c r="I18" i="7"/>
  <c r="H18" i="7"/>
  <c r="AB17" i="7"/>
  <c r="X17" i="7"/>
  <c r="S17" i="7"/>
  <c r="L17" i="7"/>
  <c r="J17" i="7"/>
  <c r="I17" i="7"/>
  <c r="H17" i="7"/>
  <c r="AB16" i="7"/>
  <c r="X16" i="7"/>
  <c r="S16" i="7"/>
  <c r="L16" i="7"/>
  <c r="J16" i="7"/>
  <c r="I16" i="7"/>
  <c r="H16" i="7"/>
  <c r="AB15" i="7"/>
  <c r="X15" i="7"/>
  <c r="S15" i="7"/>
  <c r="L15" i="7"/>
  <c r="J15" i="7"/>
  <c r="I15" i="7"/>
  <c r="H15" i="7"/>
  <c r="AB14" i="7"/>
  <c r="X14" i="7"/>
  <c r="S14" i="7"/>
  <c r="L14" i="7"/>
  <c r="J14" i="7"/>
  <c r="I14" i="7"/>
  <c r="H14" i="7"/>
  <c r="AB13" i="7"/>
  <c r="X13" i="7"/>
  <c r="S13" i="7"/>
  <c r="L13" i="7"/>
  <c r="J13" i="7"/>
  <c r="I13" i="7"/>
  <c r="H13" i="7"/>
  <c r="AB12" i="7"/>
  <c r="X12" i="7"/>
  <c r="S12" i="7"/>
  <c r="L12" i="7"/>
  <c r="J12" i="7"/>
  <c r="I12" i="7"/>
  <c r="H12" i="7"/>
  <c r="AB11" i="7"/>
  <c r="X11" i="7"/>
  <c r="S11" i="7"/>
  <c r="L11" i="7"/>
  <c r="J11" i="7"/>
  <c r="I11" i="7"/>
  <c r="H11" i="7"/>
  <c r="AB10" i="7"/>
  <c r="X10" i="7"/>
  <c r="S10" i="7"/>
  <c r="L10" i="7"/>
  <c r="J10" i="7"/>
  <c r="I10" i="7"/>
  <c r="H10" i="7"/>
  <c r="AB9" i="7"/>
  <c r="X9" i="7"/>
  <c r="S9" i="7"/>
  <c r="L9" i="7"/>
  <c r="J9" i="7"/>
  <c r="I9" i="7"/>
  <c r="H9" i="7"/>
  <c r="AB8" i="7"/>
  <c r="X8" i="7"/>
  <c r="S8" i="7"/>
  <c r="L8" i="7"/>
  <c r="J8" i="7"/>
  <c r="I8" i="7"/>
  <c r="H8" i="7"/>
  <c r="AB7" i="7"/>
  <c r="X7" i="7"/>
  <c r="S7" i="7"/>
  <c r="L7" i="7"/>
  <c r="J7" i="7"/>
  <c r="I7" i="7"/>
  <c r="H7" i="7"/>
  <c r="AB6" i="7"/>
  <c r="X6" i="7"/>
  <c r="S6" i="7"/>
  <c r="L6" i="7"/>
  <c r="J6" i="7"/>
  <c r="I6" i="7"/>
  <c r="H6" i="7"/>
  <c r="AB5" i="7"/>
  <c r="X5" i="7"/>
  <c r="S5" i="7"/>
  <c r="L5" i="7"/>
  <c r="J5" i="7"/>
  <c r="I5" i="7"/>
  <c r="H5" i="7"/>
  <c r="AB847" i="5" l="1"/>
  <c r="J847" i="5"/>
  <c r="I847" i="5"/>
  <c r="H847" i="5"/>
  <c r="AB846" i="5"/>
  <c r="J846" i="5"/>
  <c r="I846" i="5"/>
  <c r="H846" i="5"/>
  <c r="AB845" i="5"/>
  <c r="J845" i="5"/>
  <c r="I845" i="5"/>
  <c r="H845" i="5"/>
  <c r="AB844" i="5"/>
  <c r="J844" i="5"/>
  <c r="I844" i="5"/>
  <c r="H844" i="5"/>
  <c r="AB843" i="5"/>
  <c r="J843" i="5"/>
  <c r="I843" i="5"/>
  <c r="H843" i="5"/>
  <c r="AB842" i="5"/>
  <c r="J842" i="5"/>
  <c r="I842" i="5"/>
  <c r="H842" i="5"/>
  <c r="AB841" i="5"/>
  <c r="J841" i="5"/>
  <c r="I841" i="5"/>
  <c r="H841" i="5"/>
  <c r="AB840" i="5"/>
  <c r="J840" i="5"/>
  <c r="I840" i="5"/>
  <c r="H840" i="5"/>
  <c r="AB839" i="5"/>
  <c r="J839" i="5"/>
  <c r="I839" i="5"/>
  <c r="H839" i="5"/>
  <c r="AB838" i="5"/>
  <c r="J838" i="5"/>
  <c r="I838" i="5"/>
  <c r="H838" i="5"/>
  <c r="AB837" i="5"/>
  <c r="J837" i="5"/>
  <c r="I837" i="5"/>
  <c r="H837" i="5"/>
  <c r="AB836" i="5"/>
  <c r="J836" i="5"/>
  <c r="I836" i="5"/>
  <c r="H836" i="5"/>
  <c r="AB835" i="5"/>
  <c r="J835" i="5"/>
  <c r="I835" i="5"/>
  <c r="H835" i="5"/>
  <c r="AB834" i="5"/>
  <c r="J834" i="5"/>
  <c r="I834" i="5"/>
  <c r="H834" i="5"/>
  <c r="AB833" i="5"/>
  <c r="J833" i="5"/>
  <c r="I833" i="5"/>
  <c r="H833" i="5"/>
  <c r="AB832" i="5"/>
  <c r="J832" i="5"/>
  <c r="I832" i="5"/>
  <c r="H832" i="5"/>
  <c r="AB831" i="5"/>
  <c r="J831" i="5"/>
  <c r="I831" i="5"/>
  <c r="H831" i="5"/>
  <c r="AB830" i="5"/>
  <c r="J830" i="5"/>
  <c r="I830" i="5"/>
  <c r="H830" i="5"/>
  <c r="AB829" i="5"/>
  <c r="J829" i="5"/>
  <c r="I829" i="5"/>
  <c r="H829" i="5"/>
  <c r="AB828" i="5"/>
  <c r="J828" i="5"/>
  <c r="I828" i="5"/>
  <c r="H828" i="5"/>
  <c r="AB827" i="5"/>
  <c r="J827" i="5"/>
  <c r="I827" i="5"/>
  <c r="H827" i="5"/>
  <c r="AB826" i="5"/>
  <c r="J826" i="5"/>
  <c r="I826" i="5"/>
  <c r="H826" i="5"/>
  <c r="AB825" i="5"/>
  <c r="J825" i="5"/>
  <c r="I825" i="5"/>
  <c r="H825" i="5"/>
  <c r="AB824" i="5"/>
  <c r="J824" i="5"/>
  <c r="I824" i="5"/>
  <c r="H824" i="5"/>
  <c r="AB823" i="5"/>
  <c r="J823" i="5"/>
  <c r="I823" i="5"/>
  <c r="H823" i="5"/>
  <c r="AB821" i="5"/>
  <c r="J821" i="5"/>
  <c r="I821" i="5"/>
  <c r="H821" i="5"/>
  <c r="AB820" i="5"/>
  <c r="J820" i="5"/>
  <c r="I820" i="5"/>
  <c r="H820" i="5"/>
  <c r="AB819" i="5"/>
  <c r="J819" i="5"/>
  <c r="I819" i="5"/>
  <c r="H819" i="5"/>
  <c r="AB818" i="5"/>
  <c r="J818" i="5"/>
  <c r="I818" i="5"/>
  <c r="H818" i="5"/>
  <c r="AB817" i="5"/>
  <c r="J817" i="5"/>
  <c r="I817" i="5"/>
  <c r="H817" i="5"/>
  <c r="AB816" i="5"/>
  <c r="J816" i="5"/>
  <c r="I816" i="5"/>
  <c r="H816" i="5"/>
  <c r="AB815" i="5"/>
  <c r="J815" i="5"/>
  <c r="I815" i="5"/>
  <c r="H815" i="5"/>
  <c r="AB814" i="5"/>
  <c r="J814" i="5"/>
  <c r="I814" i="5"/>
  <c r="H814" i="5"/>
  <c r="AB813" i="5"/>
  <c r="J813" i="5"/>
  <c r="I813" i="5"/>
  <c r="H813" i="5"/>
  <c r="AB812" i="5"/>
  <c r="J812" i="5"/>
  <c r="I812" i="5"/>
  <c r="H812" i="5"/>
  <c r="AB811" i="5"/>
  <c r="J811" i="5"/>
  <c r="I811" i="5"/>
  <c r="H811" i="5"/>
  <c r="AB810" i="5"/>
  <c r="J810" i="5"/>
  <c r="I810" i="5"/>
  <c r="H810" i="5"/>
  <c r="AB809" i="5"/>
  <c r="J809" i="5"/>
  <c r="I809" i="5"/>
  <c r="H809" i="5"/>
  <c r="AB808" i="5"/>
  <c r="J808" i="5"/>
  <c r="I808" i="5"/>
  <c r="H808" i="5"/>
  <c r="AB807" i="5"/>
  <c r="J807" i="5"/>
  <c r="I807" i="5"/>
  <c r="H807" i="5"/>
  <c r="AB806" i="5"/>
  <c r="J806" i="5"/>
  <c r="I806" i="5"/>
  <c r="H806" i="5"/>
  <c r="AB805" i="5"/>
  <c r="J805" i="5"/>
  <c r="I805" i="5"/>
  <c r="H805" i="5"/>
  <c r="AB804" i="5"/>
  <c r="J804" i="5"/>
  <c r="I804" i="5"/>
  <c r="H804" i="5"/>
  <c r="AB803" i="5"/>
  <c r="J803" i="5"/>
  <c r="I803" i="5"/>
  <c r="H803" i="5"/>
  <c r="AB802" i="5"/>
  <c r="J802" i="5"/>
  <c r="I802" i="5"/>
  <c r="H802" i="5"/>
  <c r="AB801" i="5"/>
  <c r="J801" i="5"/>
  <c r="I801" i="5"/>
  <c r="H801" i="5"/>
  <c r="AB800" i="5"/>
  <c r="J800" i="5"/>
  <c r="I800" i="5"/>
  <c r="H800" i="5"/>
  <c r="AB799" i="5"/>
  <c r="J799" i="5"/>
  <c r="I799" i="5"/>
  <c r="H799" i="5"/>
  <c r="AB798" i="5"/>
  <c r="J798" i="5"/>
  <c r="I798" i="5"/>
  <c r="H798" i="5"/>
  <c r="AB797" i="5"/>
  <c r="J797" i="5"/>
  <c r="I797" i="5"/>
  <c r="H797" i="5"/>
  <c r="AB796" i="5"/>
  <c r="J796" i="5"/>
  <c r="I796" i="5"/>
  <c r="H796" i="5"/>
  <c r="AB795" i="5"/>
  <c r="J795" i="5"/>
  <c r="I795" i="5"/>
  <c r="H795" i="5"/>
  <c r="AB794" i="5"/>
  <c r="J794" i="5"/>
  <c r="I794" i="5"/>
  <c r="H794" i="5"/>
  <c r="AB793" i="5"/>
  <c r="J793" i="5"/>
  <c r="I793" i="5"/>
  <c r="H793" i="5"/>
  <c r="AB792" i="5"/>
  <c r="J792" i="5"/>
  <c r="I792" i="5"/>
  <c r="H792" i="5"/>
  <c r="AB791" i="5"/>
  <c r="J791" i="5"/>
  <c r="I791" i="5"/>
  <c r="H791" i="5"/>
  <c r="AB790" i="5"/>
  <c r="J790" i="5"/>
  <c r="I790" i="5"/>
  <c r="H790" i="5"/>
  <c r="AB789" i="5"/>
  <c r="J789" i="5"/>
  <c r="I789" i="5"/>
  <c r="H789" i="5"/>
  <c r="AB788" i="5"/>
  <c r="J788" i="5"/>
  <c r="I788" i="5"/>
  <c r="H788" i="5"/>
  <c r="AB787" i="5"/>
  <c r="J787" i="5"/>
  <c r="I787" i="5"/>
  <c r="H787" i="5"/>
  <c r="AB786" i="5"/>
  <c r="J786" i="5"/>
  <c r="I786" i="5"/>
  <c r="H786" i="5"/>
  <c r="AB785" i="5"/>
  <c r="J785" i="5"/>
  <c r="I785" i="5"/>
  <c r="H785" i="5"/>
  <c r="AB784" i="5"/>
  <c r="J784" i="5"/>
  <c r="I784" i="5"/>
  <c r="H784" i="5"/>
  <c r="AB783" i="5"/>
  <c r="J783" i="5"/>
  <c r="I783" i="5"/>
  <c r="H783" i="5"/>
  <c r="J782" i="5"/>
  <c r="I782" i="5"/>
  <c r="H782" i="5"/>
  <c r="AB781" i="5"/>
  <c r="J781" i="5"/>
  <c r="I781" i="5"/>
  <c r="H781" i="5"/>
  <c r="AB780" i="5"/>
  <c r="J780" i="5"/>
  <c r="I780" i="5"/>
  <c r="H780" i="5"/>
  <c r="AB779" i="5"/>
  <c r="J779" i="5"/>
  <c r="I779" i="5"/>
  <c r="H779" i="5"/>
  <c r="AB778" i="5"/>
  <c r="J778" i="5"/>
  <c r="I778" i="5"/>
  <c r="H778" i="5"/>
  <c r="AB777" i="5"/>
  <c r="J777" i="5"/>
  <c r="I777" i="5"/>
  <c r="H777" i="5"/>
  <c r="AB776" i="5"/>
  <c r="J776" i="5"/>
  <c r="I776" i="5"/>
  <c r="H776" i="5"/>
  <c r="AB775" i="5"/>
  <c r="J775" i="5"/>
  <c r="I775" i="5"/>
  <c r="H775" i="5"/>
  <c r="AB774" i="5"/>
  <c r="J774" i="5"/>
  <c r="I774" i="5"/>
  <c r="H774" i="5"/>
  <c r="AB773" i="5"/>
  <c r="J773" i="5"/>
  <c r="I773" i="5"/>
  <c r="H773" i="5"/>
  <c r="AB772" i="5"/>
  <c r="J772" i="5"/>
  <c r="I772" i="5"/>
  <c r="H772" i="5"/>
  <c r="AB771" i="5"/>
  <c r="J771" i="5"/>
  <c r="I771" i="5"/>
  <c r="H771" i="5"/>
  <c r="AB770" i="5"/>
  <c r="J770" i="5"/>
  <c r="I770" i="5"/>
  <c r="H770" i="5"/>
  <c r="AB769" i="5"/>
  <c r="J769" i="5"/>
  <c r="I769" i="5"/>
  <c r="H769" i="5"/>
  <c r="AB768" i="5"/>
  <c r="J768" i="5"/>
  <c r="I768" i="5"/>
  <c r="H768" i="5"/>
  <c r="AB767" i="5"/>
  <c r="J767" i="5"/>
  <c r="I767" i="5"/>
  <c r="H767" i="5"/>
  <c r="AB766" i="5"/>
  <c r="J766" i="5"/>
  <c r="I766" i="5"/>
  <c r="H766" i="5"/>
  <c r="AB765" i="5"/>
  <c r="J765" i="5"/>
  <c r="I765" i="5"/>
  <c r="H765" i="5"/>
  <c r="AB764" i="5"/>
  <c r="J764" i="5"/>
  <c r="I764" i="5"/>
  <c r="H764" i="5"/>
  <c r="AB763" i="5"/>
  <c r="J763" i="5"/>
  <c r="I763" i="5"/>
  <c r="H763" i="5"/>
  <c r="AB762" i="5"/>
  <c r="J762" i="5"/>
  <c r="I762" i="5"/>
  <c r="H762" i="5"/>
  <c r="AB761" i="5"/>
  <c r="J761" i="5"/>
  <c r="I761" i="5"/>
  <c r="H761" i="5"/>
  <c r="AB760" i="5"/>
  <c r="J760" i="5"/>
  <c r="I760" i="5"/>
  <c r="H760" i="5"/>
  <c r="AB759" i="5"/>
  <c r="J759" i="5"/>
  <c r="I759" i="5"/>
  <c r="H759" i="5"/>
  <c r="AB758" i="5"/>
  <c r="J758" i="5"/>
  <c r="I758" i="5"/>
  <c r="H758" i="5"/>
  <c r="AB757" i="5"/>
  <c r="J757" i="5"/>
  <c r="I757" i="5"/>
  <c r="H757" i="5"/>
  <c r="AB756" i="5"/>
  <c r="J756" i="5"/>
  <c r="I756" i="5"/>
  <c r="H756" i="5"/>
  <c r="AB755" i="5"/>
  <c r="J755" i="5"/>
  <c r="I755" i="5"/>
  <c r="H755" i="5"/>
  <c r="AB754" i="5"/>
  <c r="J754" i="5"/>
  <c r="I754" i="5"/>
  <c r="H754" i="5"/>
  <c r="AB753" i="5"/>
  <c r="J753" i="5"/>
  <c r="I753" i="5"/>
  <c r="H753" i="5"/>
  <c r="AB752" i="5"/>
  <c r="J752" i="5"/>
  <c r="I752" i="5"/>
  <c r="H752" i="5"/>
  <c r="AB751" i="5"/>
  <c r="J751" i="5"/>
  <c r="I751" i="5"/>
  <c r="H751" i="5"/>
  <c r="AB750" i="5"/>
  <c r="J750" i="5"/>
  <c r="I750" i="5"/>
  <c r="H750" i="5"/>
  <c r="AB749" i="5"/>
  <c r="J749" i="5"/>
  <c r="I749" i="5"/>
  <c r="H749" i="5"/>
  <c r="AB748" i="5"/>
  <c r="J748" i="5"/>
  <c r="I748" i="5"/>
  <c r="H748" i="5"/>
  <c r="AB747" i="5"/>
  <c r="J747" i="5"/>
  <c r="I747" i="5"/>
  <c r="H747" i="5"/>
  <c r="AB746" i="5"/>
  <c r="J746" i="5"/>
  <c r="I746" i="5"/>
  <c r="H746" i="5"/>
  <c r="AB745" i="5"/>
  <c r="J745" i="5"/>
  <c r="I745" i="5"/>
  <c r="H745" i="5"/>
  <c r="AB744" i="5"/>
  <c r="J744" i="5"/>
  <c r="I744" i="5"/>
  <c r="H744" i="5"/>
  <c r="AB743" i="5"/>
  <c r="J743" i="5"/>
  <c r="I743" i="5"/>
  <c r="H743" i="5"/>
  <c r="AB742" i="5"/>
  <c r="J742" i="5"/>
  <c r="I742" i="5"/>
  <c r="H742" i="5"/>
  <c r="AB741" i="5"/>
  <c r="J741" i="5"/>
  <c r="I741" i="5"/>
  <c r="H741" i="5"/>
  <c r="AB740" i="5"/>
  <c r="J740" i="5"/>
  <c r="I740" i="5"/>
  <c r="H740" i="5"/>
  <c r="AB739" i="5"/>
  <c r="J739" i="5"/>
  <c r="I739" i="5"/>
  <c r="H739" i="5"/>
  <c r="AB738" i="5"/>
  <c r="J738" i="5"/>
  <c r="I738" i="5"/>
  <c r="H738" i="5"/>
  <c r="AB737" i="5"/>
  <c r="J737" i="5"/>
  <c r="I737" i="5"/>
  <c r="H737" i="5"/>
  <c r="AB736" i="5"/>
  <c r="J736" i="5"/>
  <c r="I736" i="5"/>
  <c r="H736" i="5"/>
  <c r="AB735" i="5"/>
  <c r="J735" i="5"/>
  <c r="I735" i="5"/>
  <c r="H735" i="5"/>
  <c r="AB734" i="5"/>
  <c r="J734" i="5"/>
  <c r="I734" i="5"/>
  <c r="H734" i="5"/>
  <c r="AB733" i="5"/>
  <c r="J733" i="5"/>
  <c r="I733" i="5"/>
  <c r="H733" i="5"/>
  <c r="AB732" i="5"/>
  <c r="J732" i="5"/>
  <c r="I732" i="5"/>
  <c r="H732" i="5"/>
  <c r="AB731" i="5"/>
  <c r="J731" i="5"/>
  <c r="I731" i="5"/>
  <c r="H731" i="5"/>
  <c r="AB730" i="5"/>
  <c r="J730" i="5"/>
  <c r="I730" i="5"/>
  <c r="H730" i="5"/>
  <c r="AB729" i="5"/>
  <c r="J729" i="5"/>
  <c r="I729" i="5"/>
  <c r="H729" i="5"/>
  <c r="AB728" i="5"/>
  <c r="J728" i="5"/>
  <c r="I728" i="5"/>
  <c r="H728" i="5"/>
  <c r="AB727" i="5"/>
  <c r="J727" i="5"/>
  <c r="I727" i="5"/>
  <c r="H727" i="5"/>
  <c r="AB726" i="5"/>
  <c r="J726" i="5"/>
  <c r="I726" i="5"/>
  <c r="H726" i="5"/>
  <c r="AB725" i="5"/>
  <c r="J725" i="5"/>
  <c r="I725" i="5"/>
  <c r="H725" i="5"/>
  <c r="AB724" i="5"/>
  <c r="J724" i="5"/>
  <c r="I724" i="5"/>
  <c r="H724" i="5"/>
  <c r="AB723" i="5"/>
  <c r="J723" i="5"/>
  <c r="I723" i="5"/>
  <c r="H723" i="5"/>
  <c r="J722" i="5"/>
  <c r="I722" i="5"/>
  <c r="H722" i="5"/>
  <c r="J721" i="5"/>
  <c r="I721" i="5"/>
  <c r="H721" i="5"/>
  <c r="J720" i="5"/>
  <c r="I720" i="5"/>
  <c r="H720" i="5"/>
  <c r="J719" i="5"/>
  <c r="I719" i="5"/>
  <c r="H719" i="5"/>
  <c r="J718" i="5"/>
  <c r="I718" i="5"/>
  <c r="H718" i="5"/>
  <c r="J717" i="5"/>
  <c r="I717" i="5"/>
  <c r="H717" i="5"/>
  <c r="J716" i="5"/>
  <c r="I716" i="5"/>
  <c r="H716" i="5"/>
  <c r="J715" i="5"/>
  <c r="I715" i="5"/>
  <c r="H715" i="5"/>
  <c r="J714" i="5"/>
  <c r="I714" i="5"/>
  <c r="H714" i="5"/>
  <c r="J712" i="5"/>
  <c r="I712" i="5"/>
  <c r="H712" i="5"/>
  <c r="J711" i="5"/>
  <c r="I711" i="5"/>
  <c r="H711" i="5"/>
  <c r="J710" i="5"/>
  <c r="I710" i="5"/>
  <c r="H710" i="5"/>
  <c r="J709" i="5"/>
  <c r="I709" i="5"/>
  <c r="H709" i="5"/>
  <c r="J708" i="5"/>
  <c r="I708" i="5"/>
  <c r="H708" i="5"/>
  <c r="J707" i="5"/>
  <c r="I707" i="5"/>
  <c r="H707" i="5"/>
  <c r="AB706" i="5"/>
  <c r="J706" i="5"/>
  <c r="I706" i="5"/>
  <c r="H706" i="5"/>
  <c r="AB705" i="5"/>
  <c r="J705" i="5"/>
  <c r="I705" i="5"/>
  <c r="H705" i="5"/>
  <c r="AB704" i="5"/>
  <c r="J704" i="5"/>
  <c r="I704" i="5"/>
  <c r="H704" i="5"/>
  <c r="AB703" i="5"/>
  <c r="J703" i="5"/>
  <c r="I703" i="5"/>
  <c r="H703" i="5"/>
  <c r="AB702" i="5"/>
  <c r="J702" i="5"/>
  <c r="I702" i="5"/>
  <c r="H702" i="5"/>
  <c r="AB701" i="5"/>
  <c r="J701" i="5"/>
  <c r="I701" i="5"/>
  <c r="H701" i="5"/>
  <c r="AB700" i="5"/>
  <c r="J700" i="5"/>
  <c r="I700" i="5"/>
  <c r="H700" i="5"/>
  <c r="AB699" i="5"/>
  <c r="J699" i="5"/>
  <c r="I699" i="5"/>
  <c r="H699" i="5"/>
  <c r="AB698" i="5"/>
  <c r="J698" i="5"/>
  <c r="I698" i="5"/>
  <c r="H698" i="5"/>
  <c r="AB697" i="5"/>
  <c r="J697" i="5"/>
  <c r="I697" i="5"/>
  <c r="H697" i="5"/>
  <c r="AB696" i="5"/>
  <c r="J696" i="5"/>
  <c r="I696" i="5"/>
  <c r="H696" i="5"/>
  <c r="AB695" i="5"/>
  <c r="J695" i="5"/>
  <c r="I695" i="5"/>
  <c r="H695" i="5"/>
  <c r="AB694" i="5"/>
  <c r="J694" i="5"/>
  <c r="I694" i="5"/>
  <c r="H694" i="5"/>
  <c r="AB693" i="5"/>
  <c r="J693" i="5"/>
  <c r="I693" i="5"/>
  <c r="H693" i="5"/>
  <c r="AB692" i="5"/>
  <c r="J692" i="5"/>
  <c r="I692" i="5"/>
  <c r="H692" i="5"/>
  <c r="AB691" i="5"/>
  <c r="J691" i="5"/>
  <c r="I691" i="5"/>
  <c r="H691" i="5"/>
  <c r="AB690" i="5"/>
  <c r="J690" i="5"/>
  <c r="I690" i="5"/>
  <c r="H690" i="5"/>
  <c r="AB689" i="5"/>
  <c r="J689" i="5"/>
  <c r="I689" i="5"/>
  <c r="H689" i="5"/>
  <c r="AB688" i="5"/>
  <c r="J688" i="5"/>
  <c r="I688" i="5"/>
  <c r="H688" i="5"/>
  <c r="AB687" i="5"/>
  <c r="J687" i="5"/>
  <c r="I687" i="5"/>
  <c r="H687" i="5"/>
  <c r="AB686" i="5"/>
  <c r="J686" i="5"/>
  <c r="I686" i="5"/>
  <c r="H686" i="5"/>
  <c r="AB685" i="5"/>
  <c r="J685" i="5"/>
  <c r="I685" i="5"/>
  <c r="H685" i="5"/>
  <c r="AB684" i="5"/>
  <c r="J684" i="5"/>
  <c r="I684" i="5"/>
  <c r="H684" i="5"/>
  <c r="AB683" i="5"/>
  <c r="J683" i="5"/>
  <c r="I683" i="5"/>
  <c r="H683" i="5"/>
  <c r="AB682" i="5"/>
  <c r="J682" i="5"/>
  <c r="I682" i="5"/>
  <c r="H682" i="5"/>
  <c r="AB681" i="5"/>
  <c r="J681" i="5"/>
  <c r="I681" i="5"/>
  <c r="H681" i="5"/>
  <c r="AB680" i="5"/>
  <c r="J680" i="5"/>
  <c r="I680" i="5"/>
  <c r="H680" i="5"/>
  <c r="AB679" i="5"/>
  <c r="J679" i="5"/>
  <c r="I679" i="5"/>
  <c r="H679" i="5"/>
  <c r="AB678" i="5"/>
  <c r="J678" i="5"/>
  <c r="I678" i="5"/>
  <c r="H678" i="5"/>
  <c r="AB677" i="5"/>
  <c r="J677" i="5"/>
  <c r="I677" i="5"/>
  <c r="H677" i="5"/>
  <c r="AB676" i="5"/>
  <c r="J676" i="5"/>
  <c r="I676" i="5"/>
  <c r="H676" i="5"/>
  <c r="AB675" i="5"/>
  <c r="J675" i="5"/>
  <c r="I675" i="5"/>
  <c r="H675" i="5"/>
  <c r="AB674" i="5"/>
  <c r="J674" i="5"/>
  <c r="I674" i="5"/>
  <c r="H674" i="5"/>
  <c r="AB673" i="5"/>
  <c r="J673" i="5"/>
  <c r="I673" i="5"/>
  <c r="H673" i="5"/>
  <c r="AB672" i="5"/>
  <c r="J672" i="5"/>
  <c r="I672" i="5"/>
  <c r="H672" i="5"/>
  <c r="AB671" i="5"/>
  <c r="J671" i="5"/>
  <c r="I671" i="5"/>
  <c r="H671" i="5"/>
  <c r="AB670" i="5"/>
  <c r="J670" i="5"/>
  <c r="I670" i="5"/>
  <c r="H670" i="5"/>
  <c r="AB669" i="5"/>
  <c r="J669" i="5"/>
  <c r="I669" i="5"/>
  <c r="H669" i="5"/>
  <c r="AB668" i="5"/>
  <c r="J668" i="5"/>
  <c r="I668" i="5"/>
  <c r="H668" i="5"/>
  <c r="J647" i="5" l="1"/>
  <c r="J1020" i="5" l="1"/>
  <c r="J1019" i="5"/>
  <c r="J1004" i="5"/>
  <c r="J926" i="5"/>
  <c r="J918" i="5"/>
  <c r="J913" i="5"/>
  <c r="J912" i="5"/>
  <c r="J911" i="5"/>
  <c r="J904" i="5"/>
  <c r="J900" i="5"/>
  <c r="J897" i="5"/>
  <c r="J893" i="5"/>
  <c r="J883" i="5"/>
  <c r="J882" i="5"/>
  <c r="J866" i="5"/>
  <c r="J859" i="5"/>
  <c r="J858" i="5"/>
  <c r="J849" i="5"/>
  <c r="J848" i="5"/>
  <c r="J648" i="5"/>
  <c r="J646" i="5"/>
  <c r="J631" i="5"/>
  <c r="I1020" i="5"/>
  <c r="I1019" i="5"/>
  <c r="I1004" i="5"/>
  <c r="I926" i="5"/>
  <c r="I918" i="5"/>
  <c r="I913" i="5"/>
  <c r="I912" i="5"/>
  <c r="I911" i="5"/>
  <c r="I904" i="5"/>
  <c r="I900" i="5"/>
  <c r="I897" i="5"/>
  <c r="I893" i="5"/>
  <c r="I883" i="5"/>
  <c r="I882" i="5"/>
  <c r="I866" i="5"/>
  <c r="I859" i="5"/>
  <c r="I858" i="5"/>
  <c r="I849" i="5"/>
  <c r="I848" i="5"/>
  <c r="I648" i="5"/>
  <c r="I647" i="5"/>
  <c r="I646" i="5"/>
  <c r="I631" i="5"/>
  <c r="H1020" i="5"/>
  <c r="H1019" i="5"/>
  <c r="H1004" i="5"/>
  <c r="H926" i="5"/>
  <c r="H918" i="5"/>
  <c r="H913" i="5"/>
  <c r="H912" i="5"/>
  <c r="H911" i="5"/>
  <c r="H904" i="5"/>
  <c r="H900" i="5"/>
  <c r="H897" i="5"/>
  <c r="H893" i="5"/>
  <c r="H888" i="5"/>
  <c r="H883" i="5"/>
  <c r="H882" i="5"/>
  <c r="H866" i="5"/>
  <c r="H859" i="5"/>
  <c r="H858" i="5"/>
  <c r="H849" i="5"/>
  <c r="H848" i="5"/>
  <c r="H648" i="5"/>
  <c r="H647" i="5"/>
  <c r="H646" i="5"/>
  <c r="H631" i="5"/>
  <c r="AB1020" i="5" l="1"/>
  <c r="AB1019" i="5"/>
  <c r="AB1018" i="5"/>
  <c r="C1018" i="5"/>
  <c r="AB1017" i="5"/>
  <c r="C1017" i="5"/>
  <c r="AB1016" i="5"/>
  <c r="C1016" i="5"/>
  <c r="AB1015" i="5"/>
  <c r="C1015" i="5"/>
  <c r="AB1014" i="5"/>
  <c r="C1014" i="5"/>
  <c r="AB1013" i="5"/>
  <c r="C1013" i="5"/>
  <c r="AB1012" i="5"/>
  <c r="C1012" i="5"/>
  <c r="AB1011" i="5"/>
  <c r="C1011" i="5"/>
  <c r="AB1010" i="5"/>
  <c r="C1010" i="5"/>
  <c r="AB1009" i="5"/>
  <c r="C1009" i="5"/>
  <c r="AB1008" i="5"/>
  <c r="C1008" i="5"/>
  <c r="AB1007" i="5"/>
  <c r="C1007" i="5"/>
  <c r="AB1006" i="5"/>
  <c r="C1006" i="5"/>
  <c r="AB1005" i="5"/>
  <c r="C1005" i="5"/>
  <c r="AB1004" i="5"/>
  <c r="AB1003" i="5"/>
  <c r="C1003" i="5"/>
  <c r="AB1002" i="5"/>
  <c r="C1002" i="5"/>
  <c r="AB1001" i="5"/>
  <c r="C1001" i="5"/>
  <c r="AB1000" i="5"/>
  <c r="C1000" i="5"/>
  <c r="AB999" i="5"/>
  <c r="C999" i="5"/>
  <c r="AB998" i="5"/>
  <c r="C998" i="5"/>
  <c r="AB997" i="5"/>
  <c r="C997" i="5"/>
  <c r="AB996" i="5"/>
  <c r="C996" i="5"/>
  <c r="AB995" i="5"/>
  <c r="C995" i="5"/>
  <c r="AB994" i="5"/>
  <c r="C994" i="5"/>
  <c r="AB992" i="5"/>
  <c r="C992" i="5"/>
  <c r="AB991" i="5"/>
  <c r="C991" i="5"/>
  <c r="AB990" i="5"/>
  <c r="C990" i="5"/>
  <c r="AB989" i="5"/>
  <c r="C989" i="5"/>
  <c r="AB988" i="5"/>
  <c r="C988" i="5"/>
  <c r="AB987" i="5"/>
  <c r="C987" i="5"/>
  <c r="AB986" i="5"/>
  <c r="C986" i="5"/>
  <c r="AB985" i="5"/>
  <c r="C985" i="5"/>
  <c r="AB984" i="5"/>
  <c r="C984" i="5"/>
  <c r="AB983" i="5"/>
  <c r="C983" i="5"/>
  <c r="AB982" i="5"/>
  <c r="C982" i="5"/>
  <c r="AB981" i="5"/>
  <c r="C981" i="5"/>
  <c r="AB980" i="5"/>
  <c r="C980" i="5"/>
  <c r="AB979" i="5"/>
  <c r="C979" i="5"/>
  <c r="AB978" i="5"/>
  <c r="C978" i="5"/>
  <c r="AB977" i="5"/>
  <c r="C977" i="5"/>
  <c r="AB976" i="5"/>
  <c r="C976" i="5"/>
  <c r="AB975" i="5"/>
  <c r="C975" i="5"/>
  <c r="AB974" i="5"/>
  <c r="C974" i="5"/>
  <c r="AB973" i="5"/>
  <c r="C973" i="5"/>
  <c r="AB972" i="5"/>
  <c r="C972" i="5"/>
  <c r="AB971" i="5"/>
  <c r="C971" i="5"/>
  <c r="AB970" i="5"/>
  <c r="C970" i="5"/>
  <c r="AB969" i="5"/>
  <c r="C969" i="5"/>
  <c r="AB968" i="5"/>
  <c r="C968" i="5"/>
  <c r="AB967" i="5"/>
  <c r="C967" i="5"/>
  <c r="AB966" i="5"/>
  <c r="C966" i="5"/>
  <c r="AB965" i="5"/>
  <c r="C965" i="5"/>
  <c r="AB964" i="5"/>
  <c r="C964" i="5"/>
  <c r="AB963" i="5"/>
  <c r="C963" i="5"/>
  <c r="AB962" i="5"/>
  <c r="C962" i="5"/>
  <c r="AB961" i="5"/>
  <c r="C961" i="5"/>
  <c r="AB960" i="5"/>
  <c r="C960" i="5"/>
  <c r="AB959" i="5"/>
  <c r="C959" i="5"/>
  <c r="AB958" i="5"/>
  <c r="C958" i="5"/>
  <c r="AB957" i="5"/>
  <c r="C957" i="5"/>
  <c r="AB956" i="5"/>
  <c r="C956" i="5"/>
  <c r="AB955" i="5"/>
  <c r="C955" i="5"/>
  <c r="AB954" i="5"/>
  <c r="C954" i="5"/>
  <c r="AB953" i="5"/>
  <c r="C953" i="5"/>
  <c r="AB952" i="5"/>
  <c r="C952" i="5"/>
  <c r="AB951" i="5"/>
  <c r="C951" i="5"/>
  <c r="AB950" i="5"/>
  <c r="C950" i="5"/>
  <c r="AB949" i="5"/>
  <c r="C949" i="5"/>
  <c r="AB948" i="5"/>
  <c r="C948" i="5"/>
  <c r="AB947" i="5"/>
  <c r="C947" i="5"/>
  <c r="AB946" i="5"/>
  <c r="C946" i="5"/>
  <c r="AB945" i="5"/>
  <c r="C945" i="5"/>
  <c r="AB944" i="5"/>
  <c r="C944" i="5"/>
  <c r="AB943" i="5"/>
  <c r="C943" i="5"/>
  <c r="AB942" i="5"/>
  <c r="C942" i="5"/>
  <c r="AB941" i="5"/>
  <c r="C941" i="5"/>
  <c r="AB940" i="5"/>
  <c r="C940" i="5"/>
  <c r="AB939" i="5"/>
  <c r="C939" i="5"/>
  <c r="AB938" i="5"/>
  <c r="C938" i="5"/>
  <c r="AB937" i="5"/>
  <c r="C937" i="5"/>
  <c r="AB936" i="5"/>
  <c r="C936" i="5"/>
  <c r="AB935" i="5"/>
  <c r="C935" i="5"/>
  <c r="AB934" i="5"/>
  <c r="C934" i="5"/>
  <c r="AB933" i="5"/>
  <c r="C933" i="5"/>
  <c r="AB932" i="5"/>
  <c r="C932" i="5"/>
  <c r="AB931" i="5"/>
  <c r="C931" i="5"/>
  <c r="AB930" i="5"/>
  <c r="C930" i="5"/>
  <c r="AB929" i="5"/>
  <c r="C929" i="5"/>
  <c r="AB928" i="5"/>
  <c r="C928" i="5"/>
  <c r="AB927" i="5"/>
  <c r="C927" i="5"/>
  <c r="AB926" i="5"/>
  <c r="AB925" i="5"/>
  <c r="C925" i="5"/>
  <c r="AB924" i="5"/>
  <c r="C924" i="5"/>
  <c r="AB923" i="5"/>
  <c r="C923" i="5"/>
  <c r="AB922" i="5"/>
  <c r="C922" i="5"/>
  <c r="AB921" i="5"/>
  <c r="C921" i="5"/>
  <c r="AB920" i="5"/>
  <c r="C920" i="5"/>
  <c r="AB919" i="5"/>
  <c r="C919" i="5"/>
  <c r="AB918" i="5"/>
  <c r="AB917" i="5"/>
  <c r="C917" i="5"/>
  <c r="AB916" i="5"/>
  <c r="C916" i="5"/>
  <c r="AB915" i="5"/>
  <c r="C915" i="5"/>
  <c r="AB914" i="5"/>
  <c r="C914" i="5"/>
  <c r="AB913" i="5"/>
  <c r="AB912" i="5"/>
  <c r="AB911" i="5"/>
  <c r="AB910" i="5"/>
  <c r="C910" i="5"/>
  <c r="AB909" i="5"/>
  <c r="C909" i="5"/>
  <c r="AB908" i="5"/>
  <c r="C908" i="5"/>
  <c r="AB907" i="5"/>
  <c r="C907" i="5"/>
  <c r="AB906" i="5"/>
  <c r="C906" i="5"/>
  <c r="AB905" i="5"/>
  <c r="C905" i="5"/>
  <c r="AB904" i="5"/>
  <c r="AB903" i="5"/>
  <c r="C903" i="5"/>
  <c r="AB902" i="5"/>
  <c r="C902" i="5"/>
  <c r="AB901" i="5"/>
  <c r="C901" i="5"/>
  <c r="AB900" i="5"/>
  <c r="AB899" i="5"/>
  <c r="C899" i="5"/>
  <c r="AB898" i="5"/>
  <c r="C898" i="5"/>
  <c r="AB897" i="5"/>
  <c r="AB896" i="5"/>
  <c r="C896" i="5"/>
  <c r="AB895" i="5"/>
  <c r="C895" i="5"/>
  <c r="AB894" i="5"/>
  <c r="C894" i="5"/>
  <c r="AB893" i="5"/>
  <c r="AB892" i="5"/>
  <c r="C892" i="5"/>
  <c r="AB891" i="5"/>
  <c r="C891" i="5"/>
  <c r="AB890" i="5"/>
  <c r="C890" i="5"/>
  <c r="AB889" i="5"/>
  <c r="C889" i="5"/>
  <c r="AB888" i="5"/>
  <c r="AB887" i="5"/>
  <c r="C887" i="5"/>
  <c r="AB886" i="5"/>
  <c r="C886" i="5"/>
  <c r="AB883" i="5"/>
  <c r="AB882" i="5"/>
  <c r="AB880" i="5"/>
  <c r="C880" i="5"/>
  <c r="AB879" i="5"/>
  <c r="C879" i="5"/>
  <c r="AB878" i="5"/>
  <c r="C878" i="5"/>
  <c r="AB877" i="5"/>
  <c r="C877" i="5"/>
  <c r="AB876" i="5"/>
  <c r="C876" i="5"/>
  <c r="AB875" i="5"/>
  <c r="C875" i="5"/>
  <c r="AB874" i="5"/>
  <c r="C874" i="5"/>
  <c r="AB873" i="5"/>
  <c r="C873" i="5"/>
  <c r="AB872" i="5"/>
  <c r="C872" i="5"/>
  <c r="AB871" i="5"/>
  <c r="C871" i="5"/>
  <c r="AB870" i="5"/>
  <c r="C870" i="5"/>
  <c r="AB869" i="5"/>
  <c r="C869" i="5"/>
  <c r="AB868" i="5"/>
  <c r="C868" i="5"/>
  <c r="AB867" i="5"/>
  <c r="C867" i="5"/>
  <c r="AB866" i="5"/>
  <c r="AB865" i="5"/>
  <c r="C865" i="5"/>
  <c r="AB864" i="5"/>
  <c r="C864" i="5"/>
  <c r="AB863" i="5"/>
  <c r="C863" i="5"/>
  <c r="AB862" i="5"/>
  <c r="C862" i="5"/>
  <c r="AB861" i="5"/>
  <c r="C861" i="5"/>
  <c r="AB860" i="5"/>
  <c r="C860" i="5"/>
  <c r="AB859" i="5"/>
  <c r="AB858" i="5"/>
  <c r="AB857" i="5"/>
  <c r="C857" i="5"/>
  <c r="AB856" i="5"/>
  <c r="C856" i="5"/>
  <c r="AB855" i="5"/>
  <c r="C855" i="5"/>
  <c r="AB854" i="5"/>
  <c r="C854" i="5"/>
  <c r="AB853" i="5"/>
  <c r="C853" i="5"/>
  <c r="AB852" i="5"/>
  <c r="C852" i="5"/>
  <c r="AB851" i="5"/>
  <c r="C851" i="5"/>
  <c r="AB850" i="5"/>
  <c r="C850" i="5"/>
  <c r="AB849" i="5"/>
  <c r="AB848" i="5"/>
  <c r="AB667" i="5"/>
  <c r="C667" i="5"/>
  <c r="AB666" i="5"/>
  <c r="C666" i="5"/>
  <c r="AB665" i="5"/>
  <c r="C665" i="5"/>
  <c r="AB664" i="5"/>
  <c r="C664" i="5"/>
  <c r="AB663" i="5"/>
  <c r="C663" i="5"/>
  <c r="AB662" i="5"/>
  <c r="C662" i="5"/>
  <c r="AB661" i="5"/>
  <c r="C661" i="5"/>
  <c r="AB660" i="5"/>
  <c r="C660" i="5"/>
  <c r="AB659" i="5"/>
  <c r="C659" i="5"/>
  <c r="AB658" i="5"/>
  <c r="C658" i="5"/>
  <c r="AB657" i="5"/>
  <c r="C657" i="5"/>
  <c r="AB656" i="5"/>
  <c r="C656" i="5"/>
  <c r="AB655" i="5"/>
  <c r="C655" i="5"/>
  <c r="AB654" i="5"/>
  <c r="C654" i="5"/>
  <c r="AB653" i="5"/>
  <c r="C653" i="5"/>
  <c r="AB652" i="5"/>
  <c r="C652" i="5"/>
  <c r="AB651" i="5"/>
  <c r="C651" i="5"/>
  <c r="AB650" i="5"/>
  <c r="C650" i="5"/>
  <c r="AB649" i="5"/>
  <c r="C649" i="5"/>
  <c r="AB648" i="5"/>
  <c r="AB647" i="5"/>
  <c r="AB646" i="5"/>
  <c r="AB645" i="5"/>
  <c r="C645" i="5"/>
  <c r="AB644" i="5"/>
  <c r="C644" i="5"/>
  <c r="AB643" i="5"/>
  <c r="C643" i="5"/>
  <c r="AB642" i="5"/>
  <c r="C642" i="5"/>
  <c r="AB641" i="5"/>
  <c r="C641" i="5"/>
  <c r="AB640" i="5"/>
  <c r="C640" i="5"/>
  <c r="AB639" i="5"/>
  <c r="C639" i="5"/>
  <c r="AB638" i="5"/>
  <c r="C638" i="5"/>
  <c r="AB637" i="5"/>
  <c r="C637" i="5"/>
  <c r="AB636" i="5"/>
  <c r="C636" i="5"/>
  <c r="AB635" i="5"/>
  <c r="C635" i="5"/>
  <c r="AB634" i="5"/>
  <c r="C634" i="5"/>
  <c r="AB633" i="5"/>
  <c r="C633" i="5"/>
  <c r="AB632" i="5"/>
  <c r="C632" i="5"/>
  <c r="AB631" i="5"/>
  <c r="J632" i="5" l="1"/>
  <c r="I632" i="5"/>
  <c r="H632" i="5"/>
  <c r="H1003" i="5"/>
  <c r="I1003" i="5"/>
  <c r="J1003" i="5"/>
  <c r="I1008" i="5"/>
  <c r="H1008" i="5"/>
  <c r="J1008" i="5"/>
  <c r="J1012" i="5"/>
  <c r="I1012" i="5"/>
  <c r="H1012" i="5"/>
  <c r="J1000" i="5"/>
  <c r="I1000" i="5"/>
  <c r="H1000" i="5"/>
  <c r="H1013" i="5"/>
  <c r="I1013" i="5"/>
  <c r="J1013" i="5"/>
  <c r="J1016" i="5"/>
  <c r="I1016" i="5"/>
  <c r="H1016" i="5"/>
  <c r="H998" i="5"/>
  <c r="J998" i="5"/>
  <c r="I998" i="5"/>
  <c r="J1002" i="5"/>
  <c r="I1002" i="5"/>
  <c r="H1002" i="5"/>
  <c r="J1007" i="5"/>
  <c r="I1007" i="5"/>
  <c r="H1007" i="5"/>
  <c r="J1015" i="5"/>
  <c r="I1015" i="5"/>
  <c r="H1015" i="5"/>
  <c r="J1018" i="5"/>
  <c r="H1018" i="5"/>
  <c r="I1018" i="5"/>
  <c r="I996" i="5"/>
  <c r="H996" i="5"/>
  <c r="J996" i="5"/>
  <c r="I997" i="5"/>
  <c r="J997" i="5"/>
  <c r="H997" i="5"/>
  <c r="H1001" i="5"/>
  <c r="J1001" i="5"/>
  <c r="I1001" i="5"/>
  <c r="H1006" i="5"/>
  <c r="J1006" i="5"/>
  <c r="I1006" i="5"/>
  <c r="J1014" i="5"/>
  <c r="H1014" i="5"/>
  <c r="I1014" i="5"/>
  <c r="H1017" i="5"/>
  <c r="I1017" i="5"/>
  <c r="J1017" i="5"/>
  <c r="I1011" i="5"/>
  <c r="H1011" i="5"/>
  <c r="J1011" i="5"/>
  <c r="I1010" i="5"/>
  <c r="H1010" i="5"/>
  <c r="J1010" i="5"/>
  <c r="J1009" i="5"/>
  <c r="I1009" i="5"/>
  <c r="H1009" i="5"/>
  <c r="H1005" i="5"/>
  <c r="I1005" i="5"/>
  <c r="J1005" i="5"/>
  <c r="H999" i="5"/>
  <c r="J999" i="5"/>
  <c r="I999" i="5"/>
  <c r="J995" i="5"/>
  <c r="H995" i="5"/>
  <c r="I995" i="5"/>
  <c r="H890" i="5"/>
  <c r="J890" i="5"/>
  <c r="I890" i="5"/>
  <c r="J898" i="5"/>
  <c r="I898" i="5"/>
  <c r="H898" i="5"/>
  <c r="J908" i="5"/>
  <c r="I908" i="5"/>
  <c r="H908" i="5"/>
  <c r="J914" i="5"/>
  <c r="I914" i="5"/>
  <c r="H914" i="5"/>
  <c r="J942" i="5"/>
  <c r="I942" i="5"/>
  <c r="H942" i="5"/>
  <c r="H957" i="5"/>
  <c r="J957" i="5"/>
  <c r="I957" i="5"/>
  <c r="H886" i="5"/>
  <c r="J886" i="5"/>
  <c r="I886" i="5"/>
  <c r="H892" i="5"/>
  <c r="J892" i="5"/>
  <c r="I892" i="5"/>
  <c r="J894" i="5"/>
  <c r="I894" i="5"/>
  <c r="H894" i="5"/>
  <c r="H917" i="5"/>
  <c r="J917" i="5"/>
  <c r="I917" i="5"/>
  <c r="J920" i="5"/>
  <c r="I920" i="5"/>
  <c r="H920" i="5"/>
  <c r="J923" i="5"/>
  <c r="I923" i="5"/>
  <c r="H923" i="5"/>
  <c r="H925" i="5"/>
  <c r="I925" i="5"/>
  <c r="J925" i="5"/>
  <c r="J927" i="5"/>
  <c r="I927" i="5"/>
  <c r="H927" i="5"/>
  <c r="J930" i="5"/>
  <c r="I930" i="5"/>
  <c r="H930" i="5"/>
  <c r="H933" i="5"/>
  <c r="J933" i="5"/>
  <c r="I933" i="5"/>
  <c r="J935" i="5"/>
  <c r="I935" i="5"/>
  <c r="H935" i="5"/>
  <c r="H941" i="5"/>
  <c r="I941" i="5"/>
  <c r="J941" i="5"/>
  <c r="H946" i="5"/>
  <c r="J946" i="5"/>
  <c r="I946" i="5"/>
  <c r="J950" i="5"/>
  <c r="I950" i="5"/>
  <c r="H950" i="5"/>
  <c r="J953" i="5"/>
  <c r="I953" i="5"/>
  <c r="H953" i="5"/>
  <c r="J956" i="5"/>
  <c r="I956" i="5"/>
  <c r="H956" i="5"/>
  <c r="J959" i="5"/>
  <c r="I959" i="5"/>
  <c r="H959" i="5"/>
  <c r="J963" i="5"/>
  <c r="I963" i="5"/>
  <c r="H963" i="5"/>
  <c r="J967" i="5"/>
  <c r="I967" i="5"/>
  <c r="H967" i="5"/>
  <c r="J971" i="5"/>
  <c r="I971" i="5"/>
  <c r="H971" i="5"/>
  <c r="H975" i="5"/>
  <c r="J975" i="5"/>
  <c r="I975" i="5"/>
  <c r="J978" i="5"/>
  <c r="I978" i="5"/>
  <c r="H978" i="5"/>
  <c r="J986" i="5"/>
  <c r="I986" i="5"/>
  <c r="H986" i="5"/>
  <c r="H988" i="5"/>
  <c r="I988" i="5"/>
  <c r="J988" i="5"/>
  <c r="H992" i="5"/>
  <c r="I992" i="5"/>
  <c r="J992" i="5"/>
  <c r="J902" i="5"/>
  <c r="I902" i="5"/>
  <c r="H902" i="5"/>
  <c r="H921" i="5"/>
  <c r="J921" i="5"/>
  <c r="I921" i="5"/>
  <c r="H936" i="5"/>
  <c r="J936" i="5"/>
  <c r="I936" i="5"/>
  <c r="H979" i="5"/>
  <c r="J979" i="5"/>
  <c r="I979" i="5"/>
  <c r="H891" i="5"/>
  <c r="J891" i="5"/>
  <c r="I891" i="5"/>
  <c r="J901" i="5"/>
  <c r="I901" i="5"/>
  <c r="H901" i="5"/>
  <c r="J919" i="5"/>
  <c r="I919" i="5"/>
  <c r="H919" i="5"/>
  <c r="H932" i="5"/>
  <c r="J932" i="5"/>
  <c r="I932" i="5"/>
  <c r="J938" i="5"/>
  <c r="I938" i="5"/>
  <c r="H938" i="5"/>
  <c r="J943" i="5"/>
  <c r="I943" i="5"/>
  <c r="H943" i="5"/>
  <c r="H962" i="5"/>
  <c r="J962" i="5"/>
  <c r="I962" i="5"/>
  <c r="J966" i="5"/>
  <c r="I966" i="5"/>
  <c r="H966" i="5"/>
  <c r="H970" i="5"/>
  <c r="J970" i="5"/>
  <c r="I970" i="5"/>
  <c r="H974" i="5"/>
  <c r="J974" i="5"/>
  <c r="I974" i="5"/>
  <c r="J977" i="5"/>
  <c r="I977" i="5"/>
  <c r="H977" i="5"/>
  <c r="J985" i="5"/>
  <c r="I985" i="5"/>
  <c r="H985" i="5"/>
  <c r="J991" i="5"/>
  <c r="I991" i="5"/>
  <c r="H991" i="5"/>
  <c r="H895" i="5"/>
  <c r="J895" i="5"/>
  <c r="I895" i="5"/>
  <c r="J905" i="5"/>
  <c r="I905" i="5"/>
  <c r="H905" i="5"/>
  <c r="J939" i="5"/>
  <c r="I939" i="5"/>
  <c r="H939" i="5"/>
  <c r="J944" i="5"/>
  <c r="I944" i="5"/>
  <c r="H944" i="5"/>
  <c r="J951" i="5"/>
  <c r="I951" i="5"/>
  <c r="H951" i="5"/>
  <c r="J960" i="5"/>
  <c r="I960" i="5"/>
  <c r="H960" i="5"/>
  <c r="J964" i="5"/>
  <c r="I964" i="5"/>
  <c r="H964" i="5"/>
  <c r="J968" i="5"/>
  <c r="I968" i="5"/>
  <c r="H968" i="5"/>
  <c r="H989" i="5"/>
  <c r="J989" i="5"/>
  <c r="I989" i="5"/>
  <c r="H887" i="5"/>
  <c r="J887" i="5"/>
  <c r="I887" i="5"/>
  <c r="J896" i="5"/>
  <c r="I896" i="5"/>
  <c r="H896" i="5"/>
  <c r="H899" i="5"/>
  <c r="I899" i="5"/>
  <c r="J899" i="5"/>
  <c r="H903" i="5"/>
  <c r="J903" i="5"/>
  <c r="I903" i="5"/>
  <c r="H922" i="5"/>
  <c r="J922" i="5"/>
  <c r="I922" i="5"/>
  <c r="J924" i="5"/>
  <c r="I924" i="5"/>
  <c r="H924" i="5"/>
  <c r="J934" i="5"/>
  <c r="I934" i="5"/>
  <c r="H934" i="5"/>
  <c r="H937" i="5"/>
  <c r="J937" i="5"/>
  <c r="I937" i="5"/>
  <c r="H945" i="5"/>
  <c r="J945" i="5"/>
  <c r="I945" i="5"/>
  <c r="H952" i="5"/>
  <c r="I952" i="5"/>
  <c r="J952" i="5"/>
  <c r="J954" i="5"/>
  <c r="I954" i="5"/>
  <c r="H954" i="5"/>
  <c r="H958" i="5"/>
  <c r="J958" i="5"/>
  <c r="I958" i="5"/>
  <c r="H961" i="5"/>
  <c r="J961" i="5"/>
  <c r="I961" i="5"/>
  <c r="H965" i="5"/>
  <c r="I965" i="5"/>
  <c r="J965" i="5"/>
  <c r="H969" i="5"/>
  <c r="J969" i="5"/>
  <c r="I969" i="5"/>
  <c r="J973" i="5"/>
  <c r="I973" i="5"/>
  <c r="H973" i="5"/>
  <c r="J987" i="5"/>
  <c r="I987" i="5"/>
  <c r="H987" i="5"/>
  <c r="J990" i="5"/>
  <c r="I990" i="5"/>
  <c r="H990" i="5"/>
  <c r="H994" i="5"/>
  <c r="J994" i="5"/>
  <c r="I994" i="5"/>
  <c r="I984" i="5"/>
  <c r="H984" i="5"/>
  <c r="J984" i="5"/>
  <c r="J983" i="5"/>
  <c r="H983" i="5"/>
  <c r="I983" i="5"/>
  <c r="H982" i="5"/>
  <c r="J982" i="5"/>
  <c r="I982" i="5"/>
  <c r="J981" i="5"/>
  <c r="I981" i="5"/>
  <c r="H981" i="5"/>
  <c r="I980" i="5"/>
  <c r="H980" i="5"/>
  <c r="J980" i="5"/>
  <c r="J976" i="5"/>
  <c r="H976" i="5"/>
  <c r="I976" i="5"/>
  <c r="J972" i="5"/>
  <c r="I972" i="5"/>
  <c r="H972" i="5"/>
  <c r="J955" i="5"/>
  <c r="I955" i="5"/>
  <c r="H955" i="5"/>
  <c r="H949" i="5"/>
  <c r="J949" i="5"/>
  <c r="I949" i="5"/>
  <c r="J947" i="5"/>
  <c r="I947" i="5"/>
  <c r="H947" i="5"/>
  <c r="I948" i="5"/>
  <c r="H948" i="5"/>
  <c r="J948" i="5"/>
  <c r="H940" i="5"/>
  <c r="J940" i="5"/>
  <c r="I940" i="5"/>
  <c r="J931" i="5"/>
  <c r="I931" i="5"/>
  <c r="H931" i="5"/>
  <c r="J928" i="5"/>
  <c r="I928" i="5"/>
  <c r="H928" i="5"/>
  <c r="I929" i="5"/>
  <c r="H929" i="5"/>
  <c r="J929" i="5"/>
  <c r="I916" i="5"/>
  <c r="H916" i="5"/>
  <c r="J916" i="5"/>
  <c r="J915" i="5"/>
  <c r="I915" i="5"/>
  <c r="H915" i="5"/>
  <c r="H907" i="5"/>
  <c r="I907" i="5"/>
  <c r="J907" i="5"/>
  <c r="H906" i="5"/>
  <c r="J906" i="5"/>
  <c r="I906" i="5"/>
  <c r="H909" i="5"/>
  <c r="J909" i="5"/>
  <c r="I909" i="5"/>
  <c r="H910" i="5"/>
  <c r="J910" i="5"/>
  <c r="I910" i="5"/>
  <c r="I889" i="5"/>
  <c r="J889" i="5"/>
  <c r="H889" i="5"/>
  <c r="I852" i="5"/>
  <c r="H852" i="5"/>
  <c r="J852" i="5"/>
  <c r="J863" i="5"/>
  <c r="I863" i="5"/>
  <c r="H863" i="5"/>
  <c r="J880" i="5"/>
  <c r="I880" i="5"/>
  <c r="H880" i="5"/>
  <c r="H851" i="5"/>
  <c r="J851" i="5"/>
  <c r="I851" i="5"/>
  <c r="I860" i="5"/>
  <c r="H860" i="5"/>
  <c r="J860" i="5"/>
  <c r="H865" i="5"/>
  <c r="I865" i="5"/>
  <c r="J865" i="5"/>
  <c r="I868" i="5"/>
  <c r="H868" i="5"/>
  <c r="J868" i="5"/>
  <c r="I872" i="5"/>
  <c r="H872" i="5"/>
  <c r="J872" i="5"/>
  <c r="J855" i="5"/>
  <c r="I855" i="5"/>
  <c r="H855" i="5"/>
  <c r="H869" i="5"/>
  <c r="I869" i="5"/>
  <c r="J869" i="5"/>
  <c r="H873" i="5"/>
  <c r="J873" i="5"/>
  <c r="I873" i="5"/>
  <c r="I877" i="5"/>
  <c r="J877" i="5"/>
  <c r="H877" i="5"/>
  <c r="I864" i="5"/>
  <c r="H864" i="5"/>
  <c r="J864" i="5"/>
  <c r="J867" i="5"/>
  <c r="I867" i="5"/>
  <c r="H867" i="5"/>
  <c r="J871" i="5"/>
  <c r="I871" i="5"/>
  <c r="H871" i="5"/>
  <c r="J875" i="5"/>
  <c r="I875" i="5"/>
  <c r="H875" i="5"/>
  <c r="J879" i="5"/>
  <c r="H879" i="5"/>
  <c r="I879" i="5"/>
  <c r="H861" i="5"/>
  <c r="J861" i="5"/>
  <c r="I861" i="5"/>
  <c r="H854" i="5"/>
  <c r="J854" i="5"/>
  <c r="I854" i="5"/>
  <c r="H857" i="5"/>
  <c r="I857" i="5"/>
  <c r="J857" i="5"/>
  <c r="H862" i="5"/>
  <c r="J862" i="5"/>
  <c r="I862" i="5"/>
  <c r="H853" i="5"/>
  <c r="I853" i="5"/>
  <c r="J853" i="5"/>
  <c r="I856" i="5"/>
  <c r="H856" i="5"/>
  <c r="J856" i="5"/>
  <c r="J870" i="5"/>
  <c r="I870" i="5"/>
  <c r="H870" i="5"/>
  <c r="H874" i="5"/>
  <c r="J874" i="5"/>
  <c r="I874" i="5"/>
  <c r="H878" i="5"/>
  <c r="I878" i="5"/>
  <c r="J878" i="5"/>
  <c r="H876" i="5"/>
  <c r="J876" i="5"/>
  <c r="I876" i="5"/>
  <c r="J850" i="5"/>
  <c r="H850" i="5"/>
  <c r="I850" i="5"/>
  <c r="H655" i="5"/>
  <c r="J655" i="5"/>
  <c r="I655" i="5"/>
  <c r="H659" i="5"/>
  <c r="I659" i="5"/>
  <c r="J659" i="5"/>
  <c r="I663" i="5"/>
  <c r="H663" i="5"/>
  <c r="J663" i="5"/>
  <c r="H667" i="5"/>
  <c r="J667" i="5"/>
  <c r="I667" i="5"/>
  <c r="J639" i="5"/>
  <c r="H639" i="5"/>
  <c r="I639" i="5"/>
  <c r="I634" i="5"/>
  <c r="H634" i="5"/>
  <c r="J634" i="5"/>
  <c r="I641" i="5"/>
  <c r="H641" i="5"/>
  <c r="J641" i="5"/>
  <c r="J643" i="5"/>
  <c r="H643" i="5"/>
  <c r="I643" i="5"/>
  <c r="J645" i="5"/>
  <c r="H645" i="5"/>
  <c r="I645" i="5"/>
  <c r="I650" i="5"/>
  <c r="J650" i="5"/>
  <c r="H650" i="5"/>
  <c r="I654" i="5"/>
  <c r="J654" i="5"/>
  <c r="H654" i="5"/>
  <c r="I658" i="5"/>
  <c r="J658" i="5"/>
  <c r="H658" i="5"/>
  <c r="I662" i="5"/>
  <c r="J662" i="5"/>
  <c r="H662" i="5"/>
  <c r="I666" i="5"/>
  <c r="J666" i="5"/>
  <c r="H666" i="5"/>
  <c r="I642" i="5"/>
  <c r="J642" i="5"/>
  <c r="H642" i="5"/>
  <c r="I635" i="5"/>
  <c r="J635" i="5"/>
  <c r="H635" i="5"/>
  <c r="I638" i="5"/>
  <c r="J638" i="5"/>
  <c r="H638" i="5"/>
  <c r="H651" i="5"/>
  <c r="I651" i="5"/>
  <c r="J651" i="5"/>
  <c r="J633" i="5"/>
  <c r="I633" i="5"/>
  <c r="H633" i="5"/>
  <c r="H637" i="5"/>
  <c r="I637" i="5"/>
  <c r="J637" i="5"/>
  <c r="J640" i="5"/>
  <c r="H640" i="5"/>
  <c r="I640" i="5"/>
  <c r="J649" i="5"/>
  <c r="I649" i="5"/>
  <c r="H649" i="5"/>
  <c r="J653" i="5"/>
  <c r="I653" i="5"/>
  <c r="H653" i="5"/>
  <c r="J657" i="5"/>
  <c r="H657" i="5"/>
  <c r="I657" i="5"/>
  <c r="J661" i="5"/>
  <c r="I661" i="5"/>
  <c r="H661" i="5"/>
  <c r="J665" i="5"/>
  <c r="I665" i="5"/>
  <c r="H665" i="5"/>
  <c r="J636" i="5"/>
  <c r="H636" i="5"/>
  <c r="I636" i="5"/>
  <c r="J644" i="5"/>
  <c r="H644" i="5"/>
  <c r="I644" i="5"/>
  <c r="H652" i="5"/>
  <c r="J652" i="5"/>
  <c r="I652" i="5"/>
  <c r="H656" i="5"/>
  <c r="J656" i="5"/>
  <c r="I656" i="5"/>
  <c r="H660" i="5"/>
  <c r="J660" i="5"/>
  <c r="I660" i="5"/>
  <c r="H664" i="5"/>
  <c r="J664" i="5"/>
  <c r="I664" i="5"/>
  <c r="AB630" i="5" l="1"/>
  <c r="C630" i="5"/>
  <c r="AB629" i="5"/>
  <c r="C629" i="5"/>
  <c r="AB628" i="5"/>
  <c r="C628" i="5"/>
  <c r="I628" i="5" s="1"/>
  <c r="AB627" i="5"/>
  <c r="C627" i="5"/>
  <c r="H627" i="5" s="1"/>
  <c r="AB626" i="5"/>
  <c r="C626" i="5"/>
  <c r="I626" i="5" s="1"/>
  <c r="AB625" i="5"/>
  <c r="C625" i="5"/>
  <c r="AB624" i="5"/>
  <c r="C624" i="5"/>
  <c r="H624" i="5" s="1"/>
  <c r="AB623" i="5"/>
  <c r="C623" i="5"/>
  <c r="I623" i="5" s="1"/>
  <c r="AB622" i="5"/>
  <c r="C622" i="5"/>
  <c r="J622" i="5" s="1"/>
  <c r="AB621" i="5"/>
  <c r="C621" i="5"/>
  <c r="I621" i="5" s="1"/>
  <c r="AB620" i="5"/>
  <c r="C620" i="5"/>
  <c r="J620" i="5" s="1"/>
  <c r="AB619" i="5"/>
  <c r="C619" i="5"/>
  <c r="H619" i="5" s="1"/>
  <c r="AB618" i="5"/>
  <c r="C618" i="5"/>
  <c r="H618" i="5" s="1"/>
  <c r="AB617" i="5"/>
  <c r="C617" i="5"/>
  <c r="H617" i="5" s="1"/>
  <c r="AB616" i="5"/>
  <c r="C616" i="5"/>
  <c r="I616" i="5" s="1"/>
  <c r="H616" i="5" l="1"/>
  <c r="J621" i="5"/>
  <c r="I618" i="5"/>
  <c r="H623" i="5"/>
  <c r="H628" i="5"/>
  <c r="I624" i="5"/>
  <c r="J617" i="5"/>
  <c r="J616" i="5"/>
  <c r="J623" i="5"/>
  <c r="H626" i="5"/>
  <c r="I627" i="5"/>
  <c r="J628" i="5"/>
  <c r="H621" i="5"/>
  <c r="J626" i="5"/>
  <c r="J629" i="5"/>
  <c r="I629" i="5"/>
  <c r="H629" i="5"/>
  <c r="J618" i="5"/>
  <c r="H622" i="5"/>
  <c r="J624" i="5"/>
  <c r="J627" i="5"/>
  <c r="I622" i="5"/>
  <c r="H630" i="5"/>
  <c r="I630" i="5"/>
  <c r="J630" i="5"/>
  <c r="I617" i="5"/>
  <c r="J625" i="5"/>
  <c r="I625" i="5"/>
  <c r="H625" i="5"/>
  <c r="J619" i="5"/>
  <c r="I619" i="5"/>
  <c r="H620" i="5"/>
  <c r="I620" i="5"/>
  <c r="J608" i="5"/>
  <c r="I608" i="5"/>
  <c r="H608" i="5"/>
  <c r="C592" i="5" l="1"/>
  <c r="C593" i="5"/>
  <c r="C594" i="5"/>
  <c r="C595" i="5"/>
  <c r="AB615" i="5" l="1"/>
  <c r="C615" i="5"/>
  <c r="AB614" i="5"/>
  <c r="C614" i="5"/>
  <c r="J614" i="5" s="1"/>
  <c r="AB613" i="5"/>
  <c r="J613" i="5"/>
  <c r="I613" i="5"/>
  <c r="H613" i="5"/>
  <c r="AB612" i="5"/>
  <c r="J612" i="5"/>
  <c r="I612" i="5"/>
  <c r="H612" i="5"/>
  <c r="AB611" i="5"/>
  <c r="J611" i="5"/>
  <c r="I611" i="5"/>
  <c r="H611" i="5"/>
  <c r="AB610" i="5"/>
  <c r="J610" i="5"/>
  <c r="I610" i="5"/>
  <c r="H610" i="5"/>
  <c r="AB608" i="5"/>
  <c r="AB607" i="5"/>
  <c r="J607" i="5"/>
  <c r="I607" i="5"/>
  <c r="H607" i="5"/>
  <c r="AB606" i="5"/>
  <c r="J606" i="5"/>
  <c r="I606" i="5"/>
  <c r="H606" i="5"/>
  <c r="AB605" i="5"/>
  <c r="C605" i="5"/>
  <c r="H605" i="5" s="1"/>
  <c r="AB604" i="5"/>
  <c r="C604" i="5"/>
  <c r="I604" i="5" s="1"/>
  <c r="AB603" i="5"/>
  <c r="C603" i="5"/>
  <c r="J603" i="5" s="1"/>
  <c r="C591" i="5"/>
  <c r="I591" i="5" s="1"/>
  <c r="I605" i="5" l="1"/>
  <c r="J604" i="5"/>
  <c r="J605" i="5"/>
  <c r="H603" i="5"/>
  <c r="H614" i="5"/>
  <c r="I603" i="5"/>
  <c r="H604" i="5"/>
  <c r="I614" i="5"/>
  <c r="J615" i="5"/>
  <c r="I615" i="5"/>
  <c r="H615" i="5"/>
  <c r="J591" i="5"/>
  <c r="H591" i="5"/>
  <c r="J578" i="5"/>
  <c r="I578" i="5"/>
  <c r="H578" i="5"/>
  <c r="H532" i="5" l="1"/>
  <c r="C523" i="5" l="1"/>
  <c r="C453" i="5" l="1"/>
  <c r="J409" i="5" l="1"/>
  <c r="C602" i="5" l="1"/>
  <c r="C601" i="5"/>
  <c r="C600" i="5"/>
  <c r="C599" i="5"/>
  <c r="C598" i="5"/>
  <c r="C597" i="5"/>
  <c r="C596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6" i="5"/>
  <c r="C575" i="5"/>
  <c r="C574" i="5"/>
  <c r="C573" i="5"/>
  <c r="C572" i="5"/>
  <c r="C571" i="5"/>
  <c r="C570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6" i="5"/>
  <c r="C545" i="5"/>
  <c r="C544" i="5"/>
  <c r="C543" i="5"/>
  <c r="C542" i="5"/>
  <c r="C541" i="5"/>
  <c r="C535" i="5"/>
  <c r="C534" i="5"/>
  <c r="C533" i="5"/>
  <c r="C531" i="5"/>
  <c r="C530" i="5"/>
  <c r="C529" i="5"/>
  <c r="C528" i="5"/>
  <c r="C527" i="5"/>
  <c r="C526" i="5"/>
  <c r="C525" i="5"/>
  <c r="C524" i="5"/>
  <c r="C521" i="5"/>
  <c r="C520" i="5"/>
  <c r="C519" i="5"/>
  <c r="C518" i="5"/>
  <c r="C517" i="5"/>
  <c r="C515" i="5"/>
  <c r="C514" i="5"/>
  <c r="C513" i="5"/>
  <c r="C512" i="5"/>
  <c r="C511" i="5"/>
  <c r="C510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79" i="5"/>
  <c r="C478" i="5"/>
  <c r="C477" i="5"/>
  <c r="C476" i="5"/>
  <c r="C475" i="5"/>
  <c r="C474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2" i="5"/>
  <c r="C451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2" i="5"/>
  <c r="C411" i="5"/>
  <c r="C407" i="5"/>
  <c r="C405" i="5"/>
  <c r="C404" i="5"/>
  <c r="C403" i="5"/>
  <c r="C402" i="5"/>
  <c r="C401" i="5"/>
  <c r="C400" i="5"/>
  <c r="C399" i="5"/>
  <c r="J602" i="5" l="1"/>
  <c r="I602" i="5"/>
  <c r="H602" i="5"/>
  <c r="C398" i="5"/>
  <c r="C397" i="5"/>
  <c r="C396" i="5"/>
  <c r="H369" i="5" l="1"/>
  <c r="H320" i="5" l="1"/>
  <c r="J204" i="5" l="1"/>
  <c r="H55" i="5" l="1"/>
  <c r="H56" i="5"/>
  <c r="J7" i="5" l="1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J808" i="1" l="1"/>
  <c r="J809" i="1"/>
  <c r="J810" i="1"/>
  <c r="J811" i="1"/>
  <c r="J812" i="1"/>
  <c r="J814" i="1"/>
  <c r="I808" i="1"/>
  <c r="I809" i="1"/>
  <c r="I810" i="1"/>
  <c r="I811" i="1"/>
  <c r="I812" i="1"/>
  <c r="I813" i="1"/>
  <c r="I814" i="1"/>
  <c r="H808" i="1"/>
  <c r="H809" i="1"/>
  <c r="H810" i="1"/>
  <c r="H811" i="1"/>
  <c r="H812" i="1"/>
  <c r="H813" i="1"/>
  <c r="H814" i="1"/>
  <c r="J801" i="1" l="1"/>
  <c r="J802" i="1"/>
  <c r="J803" i="1"/>
  <c r="J804" i="1"/>
  <c r="J805" i="1"/>
  <c r="J806" i="1"/>
  <c r="J807" i="1"/>
  <c r="I801" i="1"/>
  <c r="I802" i="1"/>
  <c r="I803" i="1"/>
  <c r="I804" i="1"/>
  <c r="I805" i="1"/>
  <c r="I806" i="1"/>
  <c r="I807" i="1"/>
  <c r="H801" i="1"/>
  <c r="H802" i="1"/>
  <c r="H803" i="1"/>
  <c r="H804" i="1"/>
  <c r="H805" i="1"/>
  <c r="H806" i="1"/>
  <c r="H807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786" i="1" l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J789" i="1" l="1"/>
  <c r="J790" i="1"/>
  <c r="J791" i="1"/>
  <c r="J792" i="1"/>
  <c r="J793" i="1"/>
  <c r="J794" i="1"/>
  <c r="J795" i="1"/>
  <c r="J796" i="1"/>
  <c r="J797" i="1"/>
  <c r="J798" i="1"/>
  <c r="J799" i="1"/>
  <c r="J800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AB773" i="1" l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J774" i="1" l="1"/>
  <c r="J775" i="1"/>
  <c r="J776" i="1"/>
  <c r="I774" i="1"/>
  <c r="I775" i="1"/>
  <c r="I776" i="1"/>
  <c r="H774" i="1"/>
  <c r="H775" i="1"/>
  <c r="H776" i="1"/>
  <c r="J773" i="1"/>
  <c r="I773" i="1"/>
  <c r="H773" i="1"/>
  <c r="J772" i="1" l="1"/>
  <c r="I772" i="1"/>
  <c r="H772" i="1"/>
  <c r="J771" i="1"/>
  <c r="I771" i="1"/>
  <c r="H771" i="1"/>
  <c r="J770" i="1"/>
  <c r="I770" i="1"/>
  <c r="H770" i="1"/>
  <c r="J769" i="1"/>
  <c r="I769" i="1"/>
  <c r="H769" i="1"/>
  <c r="J768" i="1"/>
  <c r="I768" i="1"/>
  <c r="H768" i="1"/>
  <c r="J767" i="1"/>
  <c r="I767" i="1"/>
  <c r="H767" i="1"/>
  <c r="J766" i="1"/>
  <c r="I766" i="1"/>
  <c r="H766" i="1"/>
  <c r="J765" i="1"/>
  <c r="I765" i="1"/>
  <c r="H765" i="1"/>
  <c r="J764" i="1"/>
  <c r="I764" i="1"/>
  <c r="H764" i="1"/>
  <c r="J763" i="1"/>
  <c r="I763" i="1"/>
  <c r="H763" i="1"/>
  <c r="J762" i="1"/>
  <c r="I762" i="1"/>
  <c r="H762" i="1"/>
  <c r="J761" i="1"/>
  <c r="I761" i="1"/>
  <c r="H761" i="1"/>
  <c r="J760" i="1"/>
  <c r="I760" i="1"/>
  <c r="H760" i="1"/>
  <c r="J759" i="1"/>
  <c r="I759" i="1"/>
  <c r="H759" i="1"/>
  <c r="J758" i="1"/>
  <c r="I758" i="1"/>
  <c r="H758" i="1"/>
  <c r="J757" i="1"/>
  <c r="I757" i="1"/>
  <c r="H757" i="1"/>
  <c r="J756" i="1"/>
  <c r="I756" i="1"/>
  <c r="H756" i="1"/>
  <c r="J755" i="1"/>
  <c r="I755" i="1"/>
  <c r="H755" i="1"/>
  <c r="J754" i="1"/>
  <c r="I754" i="1"/>
  <c r="H754" i="1"/>
  <c r="J753" i="1"/>
  <c r="I753" i="1"/>
  <c r="H753" i="1"/>
  <c r="J752" i="1"/>
  <c r="I752" i="1"/>
  <c r="H752" i="1"/>
  <c r="J751" i="1"/>
  <c r="I751" i="1"/>
  <c r="H751" i="1"/>
  <c r="J750" i="1"/>
  <c r="I750" i="1"/>
  <c r="H750" i="1"/>
  <c r="J749" i="1"/>
  <c r="I749" i="1"/>
  <c r="H749" i="1"/>
  <c r="J748" i="1"/>
  <c r="I748" i="1"/>
  <c r="H748" i="1"/>
  <c r="J747" i="1"/>
  <c r="I747" i="1"/>
  <c r="H747" i="1"/>
  <c r="J746" i="1"/>
  <c r="I746" i="1"/>
  <c r="H746" i="1"/>
  <c r="J745" i="1"/>
  <c r="I745" i="1"/>
  <c r="H745" i="1"/>
  <c r="J744" i="1"/>
  <c r="I744" i="1"/>
  <c r="H744" i="1"/>
  <c r="J743" i="1"/>
  <c r="I743" i="1"/>
  <c r="H743" i="1"/>
  <c r="J742" i="1"/>
  <c r="I742" i="1"/>
  <c r="H742" i="1"/>
  <c r="J741" i="1"/>
  <c r="I741" i="1"/>
  <c r="H741" i="1"/>
  <c r="J740" i="1"/>
  <c r="I740" i="1"/>
  <c r="H740" i="1"/>
  <c r="J739" i="1"/>
  <c r="I739" i="1"/>
  <c r="H739" i="1"/>
  <c r="J738" i="1"/>
  <c r="I738" i="1"/>
  <c r="H738" i="1"/>
  <c r="J737" i="1"/>
  <c r="I737" i="1"/>
  <c r="H737" i="1"/>
  <c r="J736" i="1"/>
  <c r="I736" i="1"/>
  <c r="H736" i="1"/>
  <c r="J735" i="1"/>
  <c r="I735" i="1"/>
  <c r="H735" i="1"/>
  <c r="J734" i="1"/>
  <c r="I734" i="1"/>
  <c r="H734" i="1"/>
  <c r="J733" i="1"/>
  <c r="I733" i="1"/>
  <c r="H733" i="1"/>
  <c r="J732" i="1"/>
  <c r="I732" i="1"/>
  <c r="H732" i="1"/>
  <c r="J731" i="1"/>
  <c r="I731" i="1"/>
  <c r="H731" i="1"/>
  <c r="J730" i="1"/>
  <c r="I730" i="1"/>
  <c r="H730" i="1"/>
  <c r="J729" i="1"/>
  <c r="I729" i="1"/>
  <c r="H729" i="1"/>
  <c r="J728" i="1"/>
  <c r="I728" i="1"/>
  <c r="H728" i="1"/>
  <c r="J727" i="1"/>
  <c r="I727" i="1"/>
  <c r="H727" i="1"/>
  <c r="J726" i="1"/>
  <c r="I726" i="1"/>
  <c r="H726" i="1"/>
  <c r="J725" i="1"/>
  <c r="I725" i="1"/>
  <c r="H725" i="1"/>
  <c r="J724" i="1"/>
  <c r="I724" i="1"/>
  <c r="H724" i="1"/>
  <c r="J723" i="1"/>
  <c r="I723" i="1"/>
  <c r="H723" i="1"/>
  <c r="J722" i="1"/>
  <c r="I722" i="1"/>
  <c r="H722" i="1"/>
  <c r="J721" i="1"/>
  <c r="I721" i="1"/>
  <c r="H721" i="1"/>
  <c r="J719" i="1"/>
  <c r="I719" i="1"/>
  <c r="H719" i="1"/>
  <c r="J718" i="1"/>
  <c r="I718" i="1"/>
  <c r="H718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19" i="1"/>
  <c r="AB718" i="1"/>
  <c r="AB717" i="1"/>
  <c r="J717" i="1" l="1"/>
  <c r="I717" i="1"/>
  <c r="H717" i="1"/>
  <c r="AB716" i="1"/>
  <c r="J716" i="1"/>
  <c r="I716" i="1"/>
  <c r="H716" i="1"/>
  <c r="AB715" i="1"/>
  <c r="J715" i="1"/>
  <c r="I715" i="1"/>
  <c r="H715" i="1"/>
  <c r="AB714" i="1"/>
  <c r="J714" i="1"/>
  <c r="I714" i="1"/>
  <c r="H714" i="1"/>
  <c r="AB713" i="1"/>
  <c r="J713" i="1"/>
  <c r="I713" i="1"/>
  <c r="H713" i="1"/>
  <c r="AB712" i="1"/>
  <c r="J712" i="1"/>
  <c r="I712" i="1"/>
  <c r="H712" i="1"/>
  <c r="AB711" i="1"/>
  <c r="J711" i="1"/>
  <c r="I711" i="1"/>
  <c r="H711" i="1"/>
  <c r="AB710" i="1"/>
  <c r="J710" i="1"/>
  <c r="I710" i="1"/>
  <c r="H710" i="1"/>
  <c r="AB709" i="1"/>
  <c r="J709" i="1"/>
  <c r="I709" i="1"/>
  <c r="H709" i="1"/>
  <c r="AB708" i="1"/>
  <c r="J708" i="1"/>
  <c r="I708" i="1"/>
  <c r="H708" i="1"/>
  <c r="AB707" i="1"/>
  <c r="J707" i="1"/>
  <c r="I707" i="1"/>
  <c r="H707" i="1"/>
  <c r="AB706" i="1"/>
  <c r="J706" i="1"/>
  <c r="I706" i="1"/>
  <c r="H706" i="1"/>
  <c r="AB705" i="1"/>
  <c r="J705" i="1"/>
  <c r="I705" i="1"/>
  <c r="H705" i="1"/>
  <c r="AB704" i="1"/>
  <c r="J704" i="1"/>
  <c r="I704" i="1"/>
  <c r="H704" i="1"/>
  <c r="AB703" i="1"/>
  <c r="J703" i="1"/>
  <c r="I703" i="1"/>
  <c r="H703" i="1"/>
  <c r="AB702" i="1"/>
  <c r="J702" i="1"/>
  <c r="I702" i="1"/>
  <c r="H702" i="1"/>
  <c r="AB701" i="1"/>
  <c r="J701" i="1"/>
  <c r="I701" i="1"/>
  <c r="H701" i="1"/>
  <c r="AB700" i="1"/>
  <c r="J700" i="1"/>
  <c r="I700" i="1"/>
  <c r="H700" i="1"/>
  <c r="AB699" i="1"/>
  <c r="J699" i="1"/>
  <c r="I699" i="1"/>
  <c r="H699" i="1"/>
  <c r="AB698" i="1" l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J698" i="1" l="1"/>
  <c r="I698" i="1"/>
  <c r="H698" i="1"/>
  <c r="J697" i="1"/>
  <c r="I697" i="1"/>
  <c r="H697" i="1"/>
  <c r="J696" i="1"/>
  <c r="I696" i="1"/>
  <c r="H696" i="1"/>
  <c r="J695" i="1"/>
  <c r="I695" i="1"/>
  <c r="H695" i="1"/>
  <c r="J694" i="1"/>
  <c r="I694" i="1"/>
  <c r="H694" i="1"/>
  <c r="J693" i="1"/>
  <c r="I693" i="1"/>
  <c r="H693" i="1"/>
  <c r="J692" i="1"/>
  <c r="I692" i="1"/>
  <c r="H692" i="1"/>
  <c r="J691" i="1"/>
  <c r="I691" i="1"/>
  <c r="H691" i="1"/>
  <c r="J690" i="1"/>
  <c r="I690" i="1"/>
  <c r="H690" i="1"/>
  <c r="J689" i="1"/>
  <c r="I689" i="1"/>
  <c r="H689" i="1"/>
  <c r="J688" i="1"/>
  <c r="I688" i="1"/>
  <c r="H688" i="1"/>
  <c r="J687" i="1"/>
  <c r="I687" i="1"/>
  <c r="H687" i="1"/>
  <c r="J686" i="1"/>
  <c r="I686" i="1"/>
  <c r="H686" i="1"/>
  <c r="J685" i="1"/>
  <c r="I685" i="1"/>
  <c r="H685" i="1"/>
  <c r="J684" i="1"/>
  <c r="I684" i="1"/>
  <c r="H684" i="1"/>
  <c r="J683" i="1"/>
  <c r="I683" i="1"/>
  <c r="H683" i="1"/>
  <c r="J682" i="1"/>
  <c r="I682" i="1"/>
  <c r="H682" i="1"/>
  <c r="J681" i="1"/>
  <c r="I681" i="1"/>
  <c r="H681" i="1"/>
  <c r="J680" i="1"/>
  <c r="I680" i="1"/>
  <c r="H680" i="1"/>
  <c r="J679" i="1"/>
  <c r="I679" i="1"/>
  <c r="H679" i="1"/>
  <c r="J678" i="1"/>
  <c r="I678" i="1"/>
  <c r="H678" i="1"/>
  <c r="J677" i="1"/>
  <c r="I677" i="1"/>
  <c r="H677" i="1"/>
  <c r="J676" i="1"/>
  <c r="I676" i="1"/>
  <c r="H676" i="1"/>
  <c r="J675" i="1"/>
  <c r="I675" i="1"/>
  <c r="H675" i="1"/>
  <c r="J674" i="1"/>
  <c r="I674" i="1"/>
  <c r="H674" i="1"/>
  <c r="J673" i="1"/>
  <c r="I673" i="1"/>
  <c r="H673" i="1"/>
  <c r="J672" i="1"/>
  <c r="I672" i="1"/>
  <c r="H672" i="1"/>
  <c r="J671" i="1"/>
  <c r="I671" i="1"/>
  <c r="H671" i="1"/>
  <c r="J670" i="1"/>
  <c r="I670" i="1"/>
  <c r="H670" i="1"/>
  <c r="J669" i="1"/>
  <c r="I669" i="1"/>
  <c r="H669" i="1"/>
  <c r="J668" i="1"/>
  <c r="I668" i="1"/>
  <c r="H668" i="1"/>
  <c r="J667" i="1"/>
  <c r="I667" i="1"/>
  <c r="H667" i="1"/>
  <c r="J666" i="1"/>
  <c r="I666" i="1"/>
  <c r="H666" i="1"/>
  <c r="J665" i="1" l="1"/>
  <c r="I665" i="1"/>
  <c r="H665" i="1"/>
  <c r="AC278" i="6" l="1"/>
  <c r="K278" i="6"/>
  <c r="J278" i="6"/>
  <c r="I278" i="6"/>
  <c r="AC277" i="6"/>
  <c r="AC276" i="6"/>
  <c r="K276" i="6"/>
  <c r="J276" i="6"/>
  <c r="I276" i="6"/>
  <c r="AC275" i="6"/>
  <c r="K275" i="6"/>
  <c r="J275" i="6"/>
  <c r="I275" i="6"/>
  <c r="AC274" i="6"/>
  <c r="K274" i="6"/>
  <c r="J274" i="6"/>
  <c r="I274" i="6"/>
  <c r="AC273" i="6"/>
  <c r="K273" i="6"/>
  <c r="J273" i="6"/>
  <c r="I273" i="6"/>
  <c r="AC272" i="6"/>
  <c r="K272" i="6"/>
  <c r="J272" i="6"/>
  <c r="I272" i="6"/>
  <c r="AC271" i="6"/>
  <c r="K271" i="6"/>
  <c r="J271" i="6"/>
  <c r="I271" i="6"/>
  <c r="AC270" i="6"/>
  <c r="K270" i="6"/>
  <c r="J270" i="6"/>
  <c r="I270" i="6"/>
  <c r="AC269" i="6"/>
  <c r="K269" i="6"/>
  <c r="J269" i="6"/>
  <c r="I269" i="6"/>
  <c r="AC268" i="6"/>
  <c r="K268" i="6"/>
  <c r="J268" i="6"/>
  <c r="I268" i="6"/>
  <c r="AC267" i="6"/>
  <c r="K267" i="6"/>
  <c r="J267" i="6"/>
  <c r="I267" i="6"/>
  <c r="AC266" i="6"/>
  <c r="K266" i="6"/>
  <c r="J266" i="6"/>
  <c r="I266" i="6"/>
  <c r="AC265" i="6"/>
  <c r="K265" i="6"/>
  <c r="J265" i="6"/>
  <c r="I265" i="6"/>
  <c r="AC264" i="6"/>
  <c r="K264" i="6"/>
  <c r="J264" i="6"/>
  <c r="I264" i="6"/>
  <c r="AC263" i="6"/>
  <c r="K263" i="6"/>
  <c r="J263" i="6"/>
  <c r="I263" i="6"/>
  <c r="AC262" i="6"/>
  <c r="K262" i="6"/>
  <c r="J262" i="6"/>
  <c r="I262" i="6"/>
  <c r="AC261" i="6"/>
  <c r="K261" i="6"/>
  <c r="J261" i="6"/>
  <c r="I261" i="6"/>
  <c r="AC260" i="6"/>
  <c r="K260" i="6"/>
  <c r="J260" i="6"/>
  <c r="I260" i="6"/>
  <c r="AC259" i="6"/>
  <c r="K259" i="6"/>
  <c r="J259" i="6"/>
  <c r="I259" i="6"/>
  <c r="AC258" i="6"/>
  <c r="K258" i="6"/>
  <c r="J258" i="6"/>
  <c r="I258" i="6"/>
  <c r="AC257" i="6"/>
  <c r="K257" i="6"/>
  <c r="J257" i="6"/>
  <c r="I257" i="6"/>
  <c r="AC256" i="6"/>
  <c r="K256" i="6"/>
  <c r="J256" i="6"/>
  <c r="I256" i="6"/>
  <c r="AC255" i="6"/>
  <c r="K255" i="6"/>
  <c r="J255" i="6"/>
  <c r="I255" i="6"/>
  <c r="AC254" i="6"/>
  <c r="K254" i="6"/>
  <c r="J254" i="6"/>
  <c r="AC253" i="6"/>
  <c r="K253" i="6"/>
  <c r="J253" i="6"/>
  <c r="I253" i="6"/>
  <c r="AC252" i="6"/>
  <c r="K252" i="6"/>
  <c r="J252" i="6"/>
  <c r="I252" i="6"/>
  <c r="AC251" i="6"/>
  <c r="K251" i="6"/>
  <c r="J251" i="6"/>
  <c r="I251" i="6"/>
  <c r="AC250" i="6"/>
  <c r="K250" i="6"/>
  <c r="J250" i="6"/>
  <c r="I250" i="6"/>
  <c r="AC249" i="6"/>
  <c r="K249" i="6"/>
  <c r="J249" i="6"/>
  <c r="I249" i="6"/>
  <c r="AC248" i="6"/>
  <c r="K248" i="6"/>
  <c r="J248" i="6"/>
  <c r="I248" i="6"/>
  <c r="AC247" i="6"/>
  <c r="K247" i="6"/>
  <c r="J247" i="6"/>
  <c r="I247" i="6"/>
  <c r="AC246" i="6"/>
  <c r="K246" i="6"/>
  <c r="J246" i="6"/>
  <c r="I246" i="6"/>
  <c r="AC245" i="6"/>
  <c r="K245" i="6"/>
  <c r="J245" i="6"/>
  <c r="I245" i="6"/>
  <c r="AC244" i="6"/>
  <c r="K244" i="6"/>
  <c r="J244" i="6"/>
  <c r="I244" i="6"/>
  <c r="AC243" i="6"/>
  <c r="K243" i="6"/>
  <c r="J243" i="6"/>
  <c r="I243" i="6"/>
  <c r="AC242" i="6"/>
  <c r="K242" i="6"/>
  <c r="J242" i="6"/>
  <c r="I242" i="6"/>
  <c r="AC241" i="6"/>
  <c r="K241" i="6"/>
  <c r="J241" i="6"/>
  <c r="I241" i="6"/>
  <c r="AC240" i="6"/>
  <c r="K240" i="6"/>
  <c r="J240" i="6"/>
  <c r="I240" i="6"/>
  <c r="AC239" i="6"/>
  <c r="K239" i="6"/>
  <c r="J239" i="6"/>
  <c r="I239" i="6"/>
  <c r="AC238" i="6"/>
  <c r="K238" i="6"/>
  <c r="J238" i="6"/>
  <c r="I238" i="6"/>
  <c r="AC237" i="6"/>
  <c r="K237" i="6"/>
  <c r="J237" i="6"/>
  <c r="I237" i="6"/>
  <c r="AC236" i="6"/>
  <c r="K236" i="6"/>
  <c r="J236" i="6"/>
  <c r="I236" i="6"/>
  <c r="AC235" i="6"/>
  <c r="K235" i="6"/>
  <c r="J235" i="6"/>
  <c r="I235" i="6"/>
  <c r="AC234" i="6"/>
  <c r="K234" i="6"/>
  <c r="J234" i="6"/>
  <c r="I234" i="6"/>
  <c r="AC233" i="6"/>
  <c r="K233" i="6"/>
  <c r="J233" i="6"/>
  <c r="I233" i="6"/>
  <c r="AC232" i="6"/>
  <c r="K232" i="6"/>
  <c r="J232" i="6"/>
  <c r="I232" i="6"/>
  <c r="AC231" i="6"/>
  <c r="K231" i="6"/>
  <c r="J231" i="6"/>
  <c r="I231" i="6"/>
  <c r="AC230" i="6"/>
  <c r="K230" i="6"/>
  <c r="J230" i="6"/>
  <c r="I230" i="6"/>
  <c r="AC229" i="6"/>
  <c r="K229" i="6"/>
  <c r="J229" i="6"/>
  <c r="I229" i="6"/>
  <c r="AC228" i="6"/>
  <c r="K228" i="6"/>
  <c r="J228" i="6"/>
  <c r="I228" i="6"/>
  <c r="AC227" i="6"/>
  <c r="K227" i="6"/>
  <c r="J227" i="6"/>
  <c r="I227" i="6"/>
  <c r="AC226" i="6"/>
  <c r="K226" i="6"/>
  <c r="J226" i="6"/>
  <c r="I226" i="6"/>
  <c r="AC225" i="6"/>
  <c r="K225" i="6"/>
  <c r="J225" i="6"/>
  <c r="I225" i="6"/>
  <c r="AC224" i="6"/>
  <c r="K224" i="6"/>
  <c r="J224" i="6"/>
  <c r="I224" i="6"/>
  <c r="AC223" i="6"/>
  <c r="K223" i="6"/>
  <c r="I218" i="6" s="1"/>
  <c r="J223" i="6"/>
  <c r="I223" i="6"/>
  <c r="AC222" i="6"/>
  <c r="K222" i="6"/>
  <c r="J222" i="6"/>
  <c r="I222" i="6"/>
  <c r="AC221" i="6"/>
  <c r="K221" i="6"/>
  <c r="J221" i="6"/>
  <c r="I221" i="6"/>
  <c r="AC220" i="6"/>
  <c r="K220" i="6"/>
  <c r="J220" i="6"/>
  <c r="I220" i="6"/>
  <c r="AC219" i="6"/>
  <c r="K219" i="6"/>
  <c r="J219" i="6"/>
  <c r="I219" i="6"/>
  <c r="AC218" i="6"/>
  <c r="K218" i="6"/>
  <c r="J218" i="6"/>
  <c r="AC216" i="6"/>
  <c r="K216" i="6"/>
  <c r="J216" i="6"/>
  <c r="I216" i="6"/>
  <c r="AC215" i="6"/>
  <c r="K215" i="6"/>
  <c r="J215" i="6"/>
  <c r="I215" i="6"/>
  <c r="AC214" i="6"/>
  <c r="K214" i="6"/>
  <c r="J214" i="6"/>
  <c r="I214" i="6"/>
  <c r="AC213" i="6"/>
  <c r="K213" i="6"/>
  <c r="J213" i="6"/>
  <c r="I213" i="6"/>
  <c r="AC212" i="6"/>
  <c r="K212" i="6"/>
  <c r="J212" i="6"/>
  <c r="I212" i="6"/>
  <c r="AC211" i="6"/>
  <c r="K211" i="6"/>
  <c r="J211" i="6"/>
  <c r="I211" i="6"/>
  <c r="AC210" i="6"/>
  <c r="K210" i="6"/>
  <c r="J210" i="6"/>
  <c r="I210" i="6"/>
  <c r="AC209" i="6"/>
  <c r="K209" i="6"/>
  <c r="J209" i="6"/>
  <c r="I209" i="6"/>
  <c r="AC208" i="6"/>
  <c r="K208" i="6"/>
  <c r="J208" i="6"/>
  <c r="I208" i="6"/>
  <c r="AC207" i="6"/>
  <c r="K207" i="6"/>
  <c r="J207" i="6"/>
  <c r="I207" i="6"/>
  <c r="AC206" i="6"/>
  <c r="K206" i="6"/>
  <c r="J206" i="6"/>
  <c r="I206" i="6"/>
  <c r="AC205" i="6"/>
  <c r="K205" i="6"/>
  <c r="J205" i="6"/>
  <c r="I205" i="6"/>
  <c r="AC204" i="6"/>
  <c r="K204" i="6"/>
  <c r="J204" i="6"/>
  <c r="I204" i="6"/>
  <c r="AC203" i="6"/>
  <c r="K203" i="6"/>
  <c r="J203" i="6"/>
  <c r="I203" i="6"/>
  <c r="AC202" i="6"/>
  <c r="K202" i="6"/>
  <c r="J202" i="6"/>
  <c r="I202" i="6"/>
  <c r="AC201" i="6"/>
  <c r="K201" i="6"/>
  <c r="J201" i="6"/>
  <c r="I201" i="6"/>
  <c r="AC200" i="6"/>
  <c r="K200" i="6"/>
  <c r="J200" i="6"/>
  <c r="I200" i="6"/>
  <c r="AC199" i="6"/>
  <c r="K199" i="6"/>
  <c r="J199" i="6"/>
  <c r="I199" i="6"/>
  <c r="AC198" i="6"/>
  <c r="K198" i="6"/>
  <c r="J198" i="6"/>
  <c r="I198" i="6"/>
  <c r="AC197" i="6"/>
  <c r="K197" i="6"/>
  <c r="J197" i="6"/>
  <c r="I197" i="6"/>
  <c r="AC196" i="6"/>
  <c r="K196" i="6"/>
  <c r="J196" i="6"/>
  <c r="I196" i="6"/>
  <c r="AC195" i="6"/>
  <c r="K195" i="6"/>
  <c r="J195" i="6"/>
  <c r="I195" i="6"/>
  <c r="AC194" i="6"/>
  <c r="K194" i="6"/>
  <c r="J194" i="6"/>
  <c r="I194" i="6"/>
  <c r="AC193" i="6"/>
  <c r="K193" i="6"/>
  <c r="J193" i="6"/>
  <c r="I193" i="6"/>
  <c r="AC192" i="6"/>
  <c r="K192" i="6"/>
  <c r="J192" i="6"/>
  <c r="I192" i="6"/>
  <c r="AC191" i="6"/>
  <c r="K191" i="6"/>
  <c r="J191" i="6"/>
  <c r="I191" i="6"/>
  <c r="AC190" i="6"/>
  <c r="K190" i="6"/>
  <c r="J190" i="6"/>
  <c r="I190" i="6"/>
  <c r="AC189" i="6"/>
  <c r="K189" i="6"/>
  <c r="J189" i="6"/>
  <c r="I189" i="6"/>
  <c r="AC188" i="6"/>
  <c r="K188" i="6"/>
  <c r="J188" i="6"/>
  <c r="I188" i="6"/>
  <c r="AC187" i="6"/>
  <c r="K187" i="6"/>
  <c r="J187" i="6"/>
  <c r="I187" i="6"/>
  <c r="AC186" i="6"/>
  <c r="K186" i="6"/>
  <c r="J186" i="6"/>
  <c r="I186" i="6"/>
  <c r="AC185" i="6"/>
  <c r="K185" i="6"/>
  <c r="J185" i="6"/>
  <c r="I185" i="6"/>
  <c r="AC184" i="6"/>
  <c r="K184" i="6"/>
  <c r="J184" i="6"/>
  <c r="I184" i="6"/>
  <c r="AC183" i="6"/>
  <c r="K183" i="6"/>
  <c r="J183" i="6"/>
  <c r="I183" i="6"/>
  <c r="AC182" i="6"/>
  <c r="K182" i="6"/>
  <c r="J182" i="6"/>
  <c r="I182" i="6"/>
  <c r="AC181" i="6"/>
  <c r="K181" i="6"/>
  <c r="J181" i="6"/>
  <c r="I181" i="6"/>
  <c r="AC180" i="6"/>
  <c r="K180" i="6"/>
  <c r="J180" i="6"/>
  <c r="I180" i="6"/>
  <c r="AC179" i="6"/>
  <c r="K179" i="6"/>
  <c r="J179" i="6"/>
  <c r="I179" i="6"/>
  <c r="AC178" i="6"/>
  <c r="K178" i="6"/>
  <c r="J178" i="6"/>
  <c r="I178" i="6"/>
  <c r="AC177" i="6"/>
  <c r="K177" i="6"/>
  <c r="J177" i="6"/>
  <c r="I177" i="6"/>
  <c r="AC176" i="6"/>
  <c r="K176" i="6"/>
  <c r="J176" i="6"/>
  <c r="I176" i="6"/>
  <c r="AC175" i="6"/>
  <c r="K175" i="6"/>
  <c r="J175" i="6"/>
  <c r="I175" i="6"/>
  <c r="AC174" i="6"/>
  <c r="K174" i="6"/>
  <c r="J174" i="6"/>
  <c r="I174" i="6"/>
  <c r="AC173" i="6"/>
  <c r="K173" i="6"/>
  <c r="J173" i="6"/>
  <c r="I173" i="6"/>
  <c r="AC172" i="6"/>
  <c r="K172" i="6"/>
  <c r="J172" i="6"/>
  <c r="I172" i="6"/>
  <c r="AC171" i="6"/>
  <c r="K171" i="6"/>
  <c r="J171" i="6"/>
  <c r="I171" i="6"/>
  <c r="AC170" i="6"/>
  <c r="K170" i="6"/>
  <c r="J170" i="6"/>
  <c r="I170" i="6"/>
  <c r="AC169" i="6"/>
  <c r="K169" i="6"/>
  <c r="J169" i="6"/>
  <c r="I169" i="6"/>
  <c r="AC168" i="6"/>
  <c r="K168" i="6"/>
  <c r="J168" i="6"/>
  <c r="I168" i="6"/>
  <c r="AC167" i="6"/>
  <c r="K167" i="6"/>
  <c r="J167" i="6"/>
  <c r="I167" i="6"/>
  <c r="AC166" i="6"/>
  <c r="K166" i="6"/>
  <c r="J166" i="6"/>
  <c r="I166" i="6"/>
  <c r="AC160" i="6"/>
  <c r="K160" i="6"/>
  <c r="J160" i="6"/>
  <c r="I160" i="6"/>
  <c r="AC159" i="6"/>
  <c r="K159" i="6"/>
  <c r="J159" i="6"/>
  <c r="I159" i="6"/>
  <c r="AC158" i="6"/>
  <c r="K158" i="6"/>
  <c r="J158" i="6"/>
  <c r="I158" i="6"/>
  <c r="AC157" i="6"/>
  <c r="K157" i="6"/>
  <c r="J157" i="6"/>
  <c r="I157" i="6"/>
  <c r="AC156" i="6"/>
  <c r="K156" i="6"/>
  <c r="J156" i="6"/>
  <c r="I156" i="6"/>
  <c r="AC155" i="6"/>
  <c r="K155" i="6"/>
  <c r="J155" i="6"/>
  <c r="I155" i="6"/>
  <c r="AC154" i="6"/>
  <c r="K154" i="6"/>
  <c r="J154" i="6"/>
  <c r="I154" i="6"/>
  <c r="AC153" i="6"/>
  <c r="K153" i="6"/>
  <c r="J153" i="6"/>
  <c r="I153" i="6"/>
  <c r="AC152" i="6"/>
  <c r="K152" i="6"/>
  <c r="J152" i="6"/>
  <c r="I152" i="6"/>
  <c r="AC151" i="6"/>
  <c r="K151" i="6"/>
  <c r="J151" i="6"/>
  <c r="I151" i="6"/>
  <c r="AC150" i="6"/>
  <c r="K150" i="6"/>
  <c r="J150" i="6"/>
  <c r="I150" i="6"/>
  <c r="AC149" i="6"/>
  <c r="K149" i="6"/>
  <c r="J149" i="6"/>
  <c r="I149" i="6"/>
  <c r="AC148" i="6"/>
  <c r="K148" i="6"/>
  <c r="J148" i="6"/>
  <c r="I148" i="6"/>
  <c r="AC147" i="6"/>
  <c r="K147" i="6"/>
  <c r="J147" i="6"/>
  <c r="I147" i="6"/>
  <c r="AC146" i="6"/>
  <c r="K146" i="6"/>
  <c r="J146" i="6"/>
  <c r="I146" i="6"/>
  <c r="AC145" i="6"/>
  <c r="K145" i="6"/>
  <c r="J145" i="6"/>
  <c r="I145" i="6"/>
  <c r="AC144" i="6"/>
  <c r="K144" i="6"/>
  <c r="J144" i="6"/>
  <c r="I144" i="6"/>
  <c r="AC143" i="6"/>
  <c r="K143" i="6"/>
  <c r="J143" i="6"/>
  <c r="I143" i="6"/>
  <c r="AC142" i="6"/>
  <c r="K142" i="6"/>
  <c r="J142" i="6"/>
  <c r="I142" i="6"/>
  <c r="AC141" i="6"/>
  <c r="K141" i="6"/>
  <c r="J141" i="6"/>
  <c r="I141" i="6"/>
  <c r="AC140" i="6"/>
  <c r="K140" i="6"/>
  <c r="J140" i="6"/>
  <c r="I140" i="6"/>
  <c r="AC139" i="6"/>
  <c r="K139" i="6"/>
  <c r="J139" i="6"/>
  <c r="I139" i="6"/>
  <c r="AC138" i="6"/>
  <c r="K138" i="6"/>
  <c r="J138" i="6"/>
  <c r="I138" i="6"/>
  <c r="AC137" i="6"/>
  <c r="K137" i="6"/>
  <c r="J137" i="6"/>
  <c r="I137" i="6"/>
  <c r="AC136" i="6"/>
  <c r="K136" i="6"/>
  <c r="J136" i="6"/>
  <c r="I136" i="6"/>
  <c r="AC135" i="6"/>
  <c r="K135" i="6"/>
  <c r="J135" i="6"/>
  <c r="I135" i="6"/>
  <c r="AC134" i="6"/>
  <c r="K134" i="6"/>
  <c r="J134" i="6"/>
  <c r="I134" i="6"/>
  <c r="AC133" i="6"/>
  <c r="K133" i="6"/>
  <c r="J133" i="6"/>
  <c r="I133" i="6"/>
  <c r="AC132" i="6"/>
  <c r="K132" i="6"/>
  <c r="J132" i="6"/>
  <c r="I132" i="6"/>
  <c r="AC131" i="6"/>
  <c r="K131" i="6"/>
  <c r="J131" i="6"/>
  <c r="I131" i="6"/>
  <c r="AC130" i="6"/>
  <c r="K130" i="6"/>
  <c r="J130" i="6"/>
  <c r="I130" i="6"/>
  <c r="AC129" i="6"/>
  <c r="K129" i="6"/>
  <c r="J129" i="6"/>
  <c r="I129" i="6"/>
  <c r="AC128" i="6"/>
  <c r="K128" i="6"/>
  <c r="J128" i="6"/>
  <c r="I128" i="6"/>
  <c r="AC127" i="6"/>
  <c r="K127" i="6"/>
  <c r="J127" i="6"/>
  <c r="I127" i="6"/>
  <c r="AC126" i="6"/>
  <c r="K126" i="6"/>
  <c r="J126" i="6"/>
  <c r="I126" i="6"/>
  <c r="AC125" i="6"/>
  <c r="K125" i="6"/>
  <c r="J125" i="6"/>
  <c r="I125" i="6"/>
  <c r="AC124" i="6"/>
  <c r="K124" i="6"/>
  <c r="J124" i="6"/>
  <c r="I124" i="6"/>
  <c r="AC123" i="6"/>
  <c r="K123" i="6"/>
  <c r="J123" i="6"/>
  <c r="I123" i="6"/>
  <c r="AC122" i="6"/>
  <c r="K122" i="6"/>
  <c r="J122" i="6"/>
  <c r="I122" i="6"/>
  <c r="AC121" i="6"/>
  <c r="K121" i="6"/>
  <c r="J121" i="6"/>
  <c r="I121" i="6"/>
  <c r="AC120" i="6"/>
  <c r="K120" i="6"/>
  <c r="J120" i="6"/>
  <c r="I120" i="6"/>
  <c r="AC119" i="6"/>
  <c r="K119" i="6"/>
  <c r="J119" i="6"/>
  <c r="I119" i="6"/>
  <c r="AC118" i="6"/>
  <c r="K118" i="6"/>
  <c r="J118" i="6"/>
  <c r="I118" i="6"/>
  <c r="AC117" i="6"/>
  <c r="K117" i="6"/>
  <c r="J117" i="6"/>
  <c r="I117" i="6"/>
  <c r="AC116" i="6"/>
  <c r="I116" i="6"/>
  <c r="AC114" i="6"/>
  <c r="K114" i="6"/>
  <c r="J114" i="6"/>
  <c r="I114" i="6"/>
  <c r="AC113" i="6"/>
  <c r="K113" i="6"/>
  <c r="J113" i="6"/>
  <c r="I113" i="6"/>
  <c r="AC112" i="6"/>
  <c r="K112" i="6"/>
  <c r="J112" i="6"/>
  <c r="I112" i="6"/>
  <c r="AC111" i="6"/>
  <c r="K111" i="6"/>
  <c r="J111" i="6"/>
  <c r="I111" i="6"/>
  <c r="AC110" i="6"/>
  <c r="K110" i="6"/>
  <c r="J110" i="6"/>
  <c r="I110" i="6"/>
  <c r="AC109" i="6"/>
  <c r="K109" i="6"/>
  <c r="J109" i="6"/>
  <c r="I109" i="6"/>
  <c r="AC108" i="6"/>
  <c r="K108" i="6"/>
  <c r="J108" i="6"/>
  <c r="I108" i="6"/>
  <c r="AC107" i="6"/>
  <c r="K107" i="6"/>
  <c r="J107" i="6"/>
  <c r="I107" i="6"/>
  <c r="AC106" i="6"/>
  <c r="K106" i="6"/>
  <c r="J106" i="6"/>
  <c r="I106" i="6"/>
  <c r="AC105" i="6"/>
  <c r="K105" i="6"/>
  <c r="J105" i="6"/>
  <c r="I105" i="6"/>
  <c r="AC104" i="6"/>
  <c r="K104" i="6"/>
  <c r="J104" i="6"/>
  <c r="I104" i="6"/>
  <c r="AC103" i="6"/>
  <c r="K103" i="6"/>
  <c r="J103" i="6"/>
  <c r="I103" i="6"/>
  <c r="AC102" i="6"/>
  <c r="K102" i="6"/>
  <c r="J102" i="6"/>
  <c r="I102" i="6"/>
  <c r="AC101" i="6"/>
  <c r="K101" i="6"/>
  <c r="J101" i="6"/>
  <c r="I101" i="6"/>
  <c r="AC100" i="6"/>
  <c r="K100" i="6"/>
  <c r="J100" i="6"/>
  <c r="I100" i="6"/>
  <c r="AC99" i="6"/>
  <c r="K99" i="6"/>
  <c r="J99" i="6"/>
  <c r="I99" i="6"/>
  <c r="AC98" i="6"/>
  <c r="K98" i="6"/>
  <c r="J98" i="6"/>
  <c r="I98" i="6"/>
  <c r="AC97" i="6"/>
  <c r="K97" i="6"/>
  <c r="J97" i="6"/>
  <c r="I97" i="6"/>
  <c r="AC96" i="6"/>
  <c r="K96" i="6"/>
  <c r="J96" i="6"/>
  <c r="I96" i="6"/>
  <c r="AC95" i="6"/>
  <c r="K95" i="6"/>
  <c r="J95" i="6"/>
  <c r="I95" i="6"/>
  <c r="AC94" i="6"/>
  <c r="K94" i="6"/>
  <c r="J94" i="6"/>
  <c r="I94" i="6"/>
  <c r="AC93" i="6"/>
  <c r="K93" i="6"/>
  <c r="J93" i="6"/>
  <c r="I93" i="6"/>
  <c r="AC92" i="6"/>
  <c r="K92" i="6"/>
  <c r="J92" i="6"/>
  <c r="I92" i="6"/>
  <c r="AC91" i="6"/>
  <c r="K91" i="6"/>
  <c r="J91" i="6"/>
  <c r="I91" i="6"/>
  <c r="AC90" i="6"/>
  <c r="K90" i="6"/>
  <c r="J90" i="6"/>
  <c r="I90" i="6"/>
  <c r="AC89" i="6"/>
  <c r="K89" i="6"/>
  <c r="J89" i="6"/>
  <c r="I89" i="6"/>
  <c r="AC88" i="6"/>
  <c r="K88" i="6"/>
  <c r="J88" i="6"/>
  <c r="I88" i="6"/>
  <c r="AC87" i="6"/>
  <c r="K87" i="6"/>
  <c r="J87" i="6"/>
  <c r="I87" i="6"/>
  <c r="AC86" i="6"/>
  <c r="K86" i="6"/>
  <c r="J86" i="6"/>
  <c r="I86" i="6"/>
  <c r="AC85" i="6"/>
  <c r="K85" i="6"/>
  <c r="J85" i="6"/>
  <c r="I85" i="6"/>
  <c r="AC84" i="6"/>
  <c r="K84" i="6"/>
  <c r="J84" i="6"/>
  <c r="I84" i="6"/>
  <c r="AC83" i="6"/>
  <c r="K83" i="6"/>
  <c r="J83" i="6"/>
  <c r="I83" i="6"/>
  <c r="AC82" i="6"/>
  <c r="K82" i="6"/>
  <c r="J82" i="6"/>
  <c r="I82" i="6"/>
  <c r="AC81" i="6"/>
  <c r="K81" i="6"/>
  <c r="J81" i="6"/>
  <c r="I81" i="6"/>
  <c r="AC80" i="6"/>
  <c r="K80" i="6"/>
  <c r="J80" i="6"/>
  <c r="I80" i="6"/>
  <c r="AC79" i="6"/>
  <c r="K79" i="6"/>
  <c r="J79" i="6"/>
  <c r="I79" i="6"/>
  <c r="AC78" i="6"/>
  <c r="K78" i="6"/>
  <c r="J78" i="6"/>
  <c r="I78" i="6"/>
  <c r="AC77" i="6"/>
  <c r="K77" i="6"/>
  <c r="J77" i="6"/>
  <c r="I77" i="6"/>
  <c r="AC76" i="6"/>
  <c r="K76" i="6"/>
  <c r="J76" i="6"/>
  <c r="I76" i="6"/>
  <c r="AC75" i="6"/>
  <c r="K75" i="6"/>
  <c r="J75" i="6"/>
  <c r="I75" i="6"/>
  <c r="AC74" i="6"/>
  <c r="K74" i="6"/>
  <c r="J74" i="6"/>
  <c r="I74" i="6"/>
  <c r="AC73" i="6"/>
  <c r="K73" i="6"/>
  <c r="J73" i="6"/>
  <c r="I73" i="6"/>
  <c r="AC72" i="6"/>
  <c r="K72" i="6"/>
  <c r="J72" i="6"/>
  <c r="I72" i="6"/>
  <c r="AC71" i="6"/>
  <c r="K71" i="6"/>
  <c r="J71" i="6"/>
  <c r="I71" i="6"/>
  <c r="AC70" i="6"/>
  <c r="K70" i="6"/>
  <c r="J70" i="6"/>
  <c r="I70" i="6"/>
  <c r="AC69" i="6"/>
  <c r="K69" i="6"/>
  <c r="J69" i="6"/>
  <c r="I69" i="6"/>
  <c r="AC68" i="6"/>
  <c r="K68" i="6"/>
  <c r="J68" i="6"/>
  <c r="I68" i="6"/>
  <c r="AC67" i="6"/>
  <c r="K67" i="6"/>
  <c r="J67" i="6"/>
  <c r="I67" i="6"/>
  <c r="AC66" i="6"/>
  <c r="K66" i="6"/>
  <c r="J66" i="6"/>
  <c r="I66" i="6"/>
  <c r="AC65" i="6"/>
  <c r="K65" i="6"/>
  <c r="J65" i="6"/>
  <c r="I65" i="6"/>
  <c r="AC64" i="6"/>
  <c r="K64" i="6"/>
  <c r="J64" i="6"/>
  <c r="I64" i="6"/>
  <c r="AC63" i="6"/>
  <c r="K63" i="6"/>
  <c r="J63" i="6"/>
  <c r="I63" i="6"/>
  <c r="AC62" i="6"/>
  <c r="K62" i="6"/>
  <c r="J62" i="6"/>
  <c r="I62" i="6"/>
  <c r="AC61" i="6"/>
  <c r="K61" i="6"/>
  <c r="I61" i="6"/>
  <c r="AC60" i="6"/>
  <c r="K60" i="6"/>
  <c r="J60" i="6"/>
  <c r="I60" i="6"/>
  <c r="AC59" i="6"/>
  <c r="K59" i="6"/>
  <c r="J59" i="6"/>
  <c r="I59" i="6"/>
  <c r="AC58" i="6"/>
  <c r="K58" i="6"/>
  <c r="J58" i="6"/>
  <c r="I58" i="6"/>
  <c r="AC57" i="6"/>
  <c r="K57" i="6"/>
  <c r="J57" i="6"/>
  <c r="I57" i="6"/>
  <c r="AC56" i="6"/>
  <c r="K56" i="6"/>
  <c r="J56" i="6"/>
  <c r="I56" i="6"/>
  <c r="AC55" i="6"/>
  <c r="K55" i="6"/>
  <c r="J55" i="6"/>
  <c r="I55" i="6"/>
  <c r="AC54" i="6"/>
  <c r="K54" i="6"/>
  <c r="J54" i="6"/>
  <c r="I54" i="6"/>
  <c r="AC53" i="6"/>
  <c r="K53" i="6"/>
  <c r="J53" i="6"/>
  <c r="I53" i="6"/>
  <c r="AC52" i="6"/>
  <c r="K52" i="6"/>
  <c r="J52" i="6"/>
  <c r="I52" i="6"/>
  <c r="AC51" i="6"/>
  <c r="K51" i="6"/>
  <c r="J51" i="6"/>
  <c r="I51" i="6"/>
  <c r="AC50" i="6"/>
  <c r="K50" i="6"/>
  <c r="J50" i="6"/>
  <c r="I50" i="6"/>
  <c r="AC49" i="6"/>
  <c r="K49" i="6"/>
  <c r="J49" i="6"/>
  <c r="I49" i="6"/>
  <c r="AC48" i="6"/>
  <c r="K48" i="6"/>
  <c r="J48" i="6"/>
  <c r="I48" i="6"/>
  <c r="AC47" i="6"/>
  <c r="K47" i="6"/>
  <c r="J47" i="6"/>
  <c r="I47" i="6"/>
  <c r="AC46" i="6"/>
  <c r="K46" i="6"/>
  <c r="J46" i="6"/>
  <c r="I46" i="6"/>
  <c r="AC45" i="6"/>
  <c r="K45" i="6"/>
  <c r="J45" i="6"/>
  <c r="I45" i="6"/>
  <c r="AC44" i="6"/>
  <c r="K44" i="6"/>
  <c r="J44" i="6"/>
  <c r="I44" i="6"/>
  <c r="AC43" i="6"/>
  <c r="K43" i="6"/>
  <c r="J43" i="6"/>
  <c r="I43" i="6"/>
  <c r="AC42" i="6"/>
  <c r="K42" i="6"/>
  <c r="J42" i="6"/>
  <c r="I42" i="6"/>
  <c r="AC41" i="6"/>
  <c r="K41" i="6"/>
  <c r="J41" i="6"/>
  <c r="I41" i="6"/>
  <c r="AC40" i="6"/>
  <c r="K40" i="6"/>
  <c r="J40" i="6"/>
  <c r="I40" i="6"/>
  <c r="AC39" i="6"/>
  <c r="K39" i="6"/>
  <c r="J39" i="6"/>
  <c r="I39" i="6"/>
  <c r="AC38" i="6"/>
  <c r="K38" i="6"/>
  <c r="J38" i="6"/>
  <c r="I38" i="6"/>
  <c r="AC37" i="6"/>
  <c r="K37" i="6"/>
  <c r="J37" i="6"/>
  <c r="I37" i="6"/>
  <c r="AC36" i="6"/>
  <c r="K36" i="6"/>
  <c r="J36" i="6"/>
  <c r="I36" i="6"/>
  <c r="AC35" i="6"/>
  <c r="K35" i="6"/>
  <c r="J35" i="6"/>
  <c r="I35" i="6"/>
  <c r="AC34" i="6"/>
  <c r="K34" i="6"/>
  <c r="J34" i="6"/>
  <c r="I34" i="6"/>
  <c r="AC33" i="6"/>
  <c r="K33" i="6"/>
  <c r="J33" i="6"/>
  <c r="I33" i="6"/>
  <c r="AC32" i="6"/>
  <c r="K32" i="6"/>
  <c r="J32" i="6"/>
  <c r="I32" i="6"/>
  <c r="AC31" i="6"/>
  <c r="K31" i="6"/>
  <c r="J31" i="6"/>
  <c r="I31" i="6"/>
  <c r="AC30" i="6"/>
  <c r="K30" i="6"/>
  <c r="J30" i="6"/>
  <c r="I30" i="6"/>
  <c r="AC29" i="6"/>
  <c r="K29" i="6"/>
  <c r="J29" i="6"/>
  <c r="I29" i="6"/>
  <c r="AC28" i="6"/>
  <c r="K28" i="6"/>
  <c r="J28" i="6"/>
  <c r="I28" i="6"/>
  <c r="AC27" i="6"/>
  <c r="K27" i="6"/>
  <c r="J27" i="6"/>
  <c r="I27" i="6"/>
  <c r="AC26" i="6"/>
  <c r="K26" i="6"/>
  <c r="J26" i="6"/>
  <c r="I26" i="6"/>
  <c r="AC25" i="6"/>
  <c r="K25" i="6"/>
  <c r="J25" i="6"/>
  <c r="I25" i="6"/>
  <c r="AC24" i="6"/>
  <c r="K24" i="6"/>
  <c r="J24" i="6"/>
  <c r="I24" i="6"/>
  <c r="AC23" i="6"/>
  <c r="K23" i="6"/>
  <c r="J23" i="6"/>
  <c r="I23" i="6"/>
  <c r="AC22" i="6"/>
  <c r="K22" i="6"/>
  <c r="J22" i="6"/>
  <c r="I22" i="6"/>
  <c r="AC21" i="6"/>
  <c r="K21" i="6"/>
  <c r="J21" i="6"/>
  <c r="I21" i="6"/>
  <c r="AC20" i="6"/>
  <c r="K20" i="6"/>
  <c r="J20" i="6"/>
  <c r="I20" i="6"/>
  <c r="AC19" i="6"/>
  <c r="K19" i="6"/>
  <c r="J19" i="6"/>
  <c r="I19" i="6"/>
  <c r="AC18" i="6"/>
  <c r="K18" i="6"/>
  <c r="J18" i="6"/>
  <c r="I18" i="6"/>
  <c r="AC17" i="6"/>
  <c r="K17" i="6"/>
  <c r="J17" i="6"/>
  <c r="I17" i="6"/>
  <c r="AC16" i="6"/>
  <c r="K16" i="6"/>
  <c r="J16" i="6"/>
  <c r="I16" i="6"/>
  <c r="AC15" i="6"/>
  <c r="K15" i="6"/>
  <c r="J15" i="6"/>
  <c r="I15" i="6"/>
  <c r="AC14" i="6"/>
  <c r="K14" i="6"/>
  <c r="J14" i="6"/>
  <c r="I14" i="6"/>
  <c r="AC13" i="6"/>
  <c r="K13" i="6"/>
  <c r="J13" i="6"/>
  <c r="I13" i="6"/>
  <c r="AC12" i="6"/>
  <c r="K12" i="6"/>
  <c r="J12" i="6"/>
  <c r="I12" i="6"/>
  <c r="AC11" i="6"/>
  <c r="K11" i="6"/>
  <c r="J11" i="6"/>
  <c r="I11" i="6"/>
  <c r="AC10" i="6"/>
  <c r="K10" i="6"/>
  <c r="J10" i="6"/>
  <c r="I10" i="6"/>
  <c r="AC9" i="6"/>
  <c r="K9" i="6"/>
  <c r="J9" i="6"/>
  <c r="I9" i="6"/>
  <c r="AC8" i="6"/>
  <c r="K8" i="6"/>
  <c r="J8" i="6"/>
  <c r="I8" i="6"/>
  <c r="AC7" i="6"/>
  <c r="K7" i="6"/>
  <c r="J7" i="6"/>
  <c r="AC6" i="6"/>
  <c r="Y6" i="6"/>
  <c r="Y7" i="6" s="1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Y84" i="6" s="1"/>
  <c r="Y85" i="6" s="1"/>
  <c r="Y86" i="6" s="1"/>
  <c r="Y87" i="6" s="1"/>
  <c r="Y88" i="6" s="1"/>
  <c r="Y89" i="6" s="1"/>
  <c r="Y90" i="6" s="1"/>
  <c r="Y91" i="6" s="1"/>
  <c r="Y92" i="6" s="1"/>
  <c r="Y93" i="6" s="1"/>
  <c r="Y94" i="6" s="1"/>
  <c r="Y95" i="6" s="1"/>
  <c r="Y96" i="6" s="1"/>
  <c r="Y97" i="6" s="1"/>
  <c r="Y98" i="6" s="1"/>
  <c r="Y99" i="6" s="1"/>
  <c r="Y100" i="6" s="1"/>
  <c r="Y101" i="6" s="1"/>
  <c r="Y102" i="6" s="1"/>
  <c r="Y103" i="6" s="1"/>
  <c r="Y104" i="6" s="1"/>
  <c r="Y105" i="6" s="1"/>
  <c r="Y106" i="6" s="1"/>
  <c r="Y107" i="6" s="1"/>
  <c r="Y108" i="6" s="1"/>
  <c r="Y109" i="6" s="1"/>
  <c r="Y110" i="6" s="1"/>
  <c r="Y111" i="6" s="1"/>
  <c r="Y112" i="6" s="1"/>
  <c r="Y113" i="6" s="1"/>
  <c r="Y114" i="6" s="1"/>
  <c r="Y116" i="6" s="1"/>
  <c r="Y117" i="6" s="1"/>
  <c r="Y118" i="6" s="1"/>
  <c r="Y119" i="6" s="1"/>
  <c r="Y120" i="6" s="1"/>
  <c r="Y121" i="6" s="1"/>
  <c r="Y122" i="6" s="1"/>
  <c r="Y123" i="6" s="1"/>
  <c r="Y124" i="6" s="1"/>
  <c r="Y125" i="6" s="1"/>
  <c r="Y126" i="6" s="1"/>
  <c r="Y127" i="6" s="1"/>
  <c r="Y128" i="6" s="1"/>
  <c r="Y129" i="6" s="1"/>
  <c r="Y130" i="6" s="1"/>
  <c r="Y131" i="6" s="1"/>
  <c r="Y132" i="6" s="1"/>
  <c r="Y133" i="6" s="1"/>
  <c r="Y134" i="6" s="1"/>
  <c r="Y135" i="6" s="1"/>
  <c r="Y136" i="6" s="1"/>
  <c r="Y137" i="6" s="1"/>
  <c r="Y138" i="6" s="1"/>
  <c r="Y139" i="6" s="1"/>
  <c r="Y140" i="6" s="1"/>
  <c r="Y141" i="6" s="1"/>
  <c r="Y142" i="6" s="1"/>
  <c r="Y143" i="6" s="1"/>
  <c r="Y144" i="6" s="1"/>
  <c r="Y145" i="6" s="1"/>
  <c r="Y146" i="6" s="1"/>
  <c r="Y147" i="6" s="1"/>
  <c r="Y148" i="6" s="1"/>
  <c r="Y149" i="6" s="1"/>
  <c r="Y150" i="6" s="1"/>
  <c r="Y151" i="6" s="1"/>
  <c r="Y152" i="6" s="1"/>
  <c r="Y153" i="6" s="1"/>
  <c r="Y154" i="6" s="1"/>
  <c r="Y155" i="6" s="1"/>
  <c r="Y156" i="6" s="1"/>
  <c r="Y157" i="6" s="1"/>
  <c r="Y158" i="6" s="1"/>
  <c r="Y159" i="6" s="1"/>
  <c r="Y160" i="6" s="1"/>
  <c r="Y161" i="6" s="1"/>
  <c r="Y162" i="6" s="1"/>
  <c r="Y163" i="6" s="1"/>
  <c r="Y164" i="6" s="1"/>
  <c r="Y165" i="6" s="1"/>
  <c r="Y166" i="6" s="1"/>
  <c r="Y167" i="6" s="1"/>
  <c r="Y168" i="6" s="1"/>
  <c r="Y169" i="6" s="1"/>
  <c r="Y170" i="6" s="1"/>
  <c r="Y171" i="6" s="1"/>
  <c r="Y172" i="6" s="1"/>
  <c r="Y173" i="6" s="1"/>
  <c r="Y174" i="6" s="1"/>
  <c r="Y175" i="6" s="1"/>
  <c r="Y176" i="6" s="1"/>
  <c r="Y177" i="6" s="1"/>
  <c r="Y178" i="6" s="1"/>
  <c r="Y179" i="6" s="1"/>
  <c r="Y180" i="6" s="1"/>
  <c r="Y181" i="6" s="1"/>
  <c r="Y182" i="6" s="1"/>
  <c r="Y183" i="6" s="1"/>
  <c r="Y184" i="6" s="1"/>
  <c r="Y185" i="6" s="1"/>
  <c r="Y186" i="6" s="1"/>
  <c r="Y187" i="6" s="1"/>
  <c r="Y188" i="6" s="1"/>
  <c r="Y189" i="6" s="1"/>
  <c r="Y190" i="6" s="1"/>
  <c r="Y191" i="6" s="1"/>
  <c r="Y192" i="6" s="1"/>
  <c r="Y193" i="6" s="1"/>
  <c r="T6" i="6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M6" i="6"/>
  <c r="AB602" i="5"/>
  <c r="AB601" i="5"/>
  <c r="AB600" i="5"/>
  <c r="AB599" i="5"/>
  <c r="AB598" i="5"/>
  <c r="AB597" i="5"/>
  <c r="AB596" i="5"/>
  <c r="AB595" i="5"/>
  <c r="AB594" i="5"/>
  <c r="AB593" i="5"/>
  <c r="AB592" i="5"/>
  <c r="AB590" i="5"/>
  <c r="AB589" i="5"/>
  <c r="AB588" i="5"/>
  <c r="AB587" i="5"/>
  <c r="AB586" i="5"/>
  <c r="AB585" i="5"/>
  <c r="AB584" i="5"/>
  <c r="AB583" i="5"/>
  <c r="AB582" i="5"/>
  <c r="AB581" i="5"/>
  <c r="AB580" i="5"/>
  <c r="AB579" i="5"/>
  <c r="AB577" i="5"/>
  <c r="AB576" i="5"/>
  <c r="AB575" i="5"/>
  <c r="AB574" i="5"/>
  <c r="AB573" i="5"/>
  <c r="AB572" i="5"/>
  <c r="AB571" i="5"/>
  <c r="AB570" i="5"/>
  <c r="AB569" i="5"/>
  <c r="AB568" i="5"/>
  <c r="AB567" i="5"/>
  <c r="AB566" i="5"/>
  <c r="AB565" i="5"/>
  <c r="AB564" i="5"/>
  <c r="AB563" i="5"/>
  <c r="AB562" i="5"/>
  <c r="AB561" i="5"/>
  <c r="AB560" i="5"/>
  <c r="AB559" i="5"/>
  <c r="AB558" i="5"/>
  <c r="AB557" i="5"/>
  <c r="AB556" i="5"/>
  <c r="AB555" i="5"/>
  <c r="AB554" i="5"/>
  <c r="AB553" i="5"/>
  <c r="AB552" i="5"/>
  <c r="AB551" i="5"/>
  <c r="AB550" i="5"/>
  <c r="AB549" i="5"/>
  <c r="AB548" i="5"/>
  <c r="AB547" i="5"/>
  <c r="AB546" i="5"/>
  <c r="AB545" i="5"/>
  <c r="AB544" i="5"/>
  <c r="AB543" i="5"/>
  <c r="AB542" i="5"/>
  <c r="AB541" i="5"/>
  <c r="AB540" i="5"/>
  <c r="AB539" i="5"/>
  <c r="AB538" i="5"/>
  <c r="AB537" i="5"/>
  <c r="AB536" i="5"/>
  <c r="AB535" i="5"/>
  <c r="AB534" i="5"/>
  <c r="AB533" i="5"/>
  <c r="AB532" i="5"/>
  <c r="AB531" i="5"/>
  <c r="AB530" i="5"/>
  <c r="AB529" i="5"/>
  <c r="AB528" i="5"/>
  <c r="AB527" i="5"/>
  <c r="AB526" i="5"/>
  <c r="AB525" i="5"/>
  <c r="AB524" i="5"/>
  <c r="AB523" i="5"/>
  <c r="AB521" i="5"/>
  <c r="AB520" i="5"/>
  <c r="AB519" i="5"/>
  <c r="AB518" i="5"/>
  <c r="AB517" i="5"/>
  <c r="AB516" i="5"/>
  <c r="AB515" i="5"/>
  <c r="AB514" i="5"/>
  <c r="AB513" i="5"/>
  <c r="AB512" i="5"/>
  <c r="AB511" i="5"/>
  <c r="AB510" i="5"/>
  <c r="AB509" i="5"/>
  <c r="AB508" i="5"/>
  <c r="AB507" i="5"/>
  <c r="AB506" i="5"/>
  <c r="AB505" i="5"/>
  <c r="AB504" i="5"/>
  <c r="AB503" i="5"/>
  <c r="AB502" i="5"/>
  <c r="AB501" i="5"/>
  <c r="AB500" i="5"/>
  <c r="AB499" i="5"/>
  <c r="AB498" i="5"/>
  <c r="AB497" i="5"/>
  <c r="AB496" i="5"/>
  <c r="AB495" i="5"/>
  <c r="AB494" i="5"/>
  <c r="AB493" i="5"/>
  <c r="AB492" i="5"/>
  <c r="AB491" i="5"/>
  <c r="AB490" i="5"/>
  <c r="AB489" i="5"/>
  <c r="AB488" i="5"/>
  <c r="AB487" i="5"/>
  <c r="AB486" i="5"/>
  <c r="AB485" i="5"/>
  <c r="AB484" i="5"/>
  <c r="AB483" i="5"/>
  <c r="AB482" i="5"/>
  <c r="AB481" i="5"/>
  <c r="AB480" i="5"/>
  <c r="AB479" i="5"/>
  <c r="AB478" i="5"/>
  <c r="AB477" i="5"/>
  <c r="AB476" i="5"/>
  <c r="AB475" i="5"/>
  <c r="AB474" i="5"/>
  <c r="AB473" i="5"/>
  <c r="AB472" i="5"/>
  <c r="AB471" i="5"/>
  <c r="AB470" i="5"/>
  <c r="AB469" i="5"/>
  <c r="AB468" i="5"/>
  <c r="AB467" i="5"/>
  <c r="AB466" i="5"/>
  <c r="AB465" i="5"/>
  <c r="AB464" i="5"/>
  <c r="AB463" i="5"/>
  <c r="AB462" i="5"/>
  <c r="AB461" i="5"/>
  <c r="AB460" i="5"/>
  <c r="AB459" i="5"/>
  <c r="AB458" i="5"/>
  <c r="AB457" i="5"/>
  <c r="AB456" i="5"/>
  <c r="AB455" i="5"/>
  <c r="AB454" i="5"/>
  <c r="AB453" i="5"/>
  <c r="AB452" i="5"/>
  <c r="AB451" i="5"/>
  <c r="AB450" i="5"/>
  <c r="AB449" i="5"/>
  <c r="AB448" i="5"/>
  <c r="AB447" i="5"/>
  <c r="AB446" i="5"/>
  <c r="AB445" i="5"/>
  <c r="AB444" i="5"/>
  <c r="AB443" i="5"/>
  <c r="AB442" i="5"/>
  <c r="AB441" i="5"/>
  <c r="AB440" i="5"/>
  <c r="AB439" i="5"/>
  <c r="AB438" i="5"/>
  <c r="AB437" i="5"/>
  <c r="AB436" i="5"/>
  <c r="AB435" i="5"/>
  <c r="AB434" i="5"/>
  <c r="AB433" i="5"/>
  <c r="AB432" i="5"/>
  <c r="AB431" i="5"/>
  <c r="AB430" i="5"/>
  <c r="AB429" i="5"/>
  <c r="AB428" i="5"/>
  <c r="AB427" i="5"/>
  <c r="AB426" i="5"/>
  <c r="AB425" i="5"/>
  <c r="AB424" i="5"/>
  <c r="AB423" i="5"/>
  <c r="AB422" i="5"/>
  <c r="AB421" i="5"/>
  <c r="AB420" i="5"/>
  <c r="AB419" i="5"/>
  <c r="AB418" i="5"/>
  <c r="AB417" i="5"/>
  <c r="AB416" i="5"/>
  <c r="AB415" i="5"/>
  <c r="AB414" i="5"/>
  <c r="AB413" i="5"/>
  <c r="AB412" i="5"/>
  <c r="AB411" i="5"/>
  <c r="AB410" i="5"/>
  <c r="AB409" i="5"/>
  <c r="AB408" i="5"/>
  <c r="AB407" i="5"/>
  <c r="AB405" i="5"/>
  <c r="AB404" i="5"/>
  <c r="AB403" i="5"/>
  <c r="AB402" i="5"/>
  <c r="AB401" i="5"/>
  <c r="AB400" i="5"/>
  <c r="AB399" i="5"/>
  <c r="AB398" i="5"/>
  <c r="AB397" i="5"/>
  <c r="AB396" i="5"/>
  <c r="AB395" i="5"/>
  <c r="AB394" i="5"/>
  <c r="AB393" i="5"/>
  <c r="AB392" i="5"/>
  <c r="AB391" i="5"/>
  <c r="AB390" i="5"/>
  <c r="AB389" i="5"/>
  <c r="AB388" i="5"/>
  <c r="AB387" i="5"/>
  <c r="AB386" i="5"/>
  <c r="AB385" i="5"/>
  <c r="AB384" i="5"/>
  <c r="AB383" i="5"/>
  <c r="AB382" i="5"/>
  <c r="AB381" i="5"/>
  <c r="AB380" i="5"/>
  <c r="AB379" i="5"/>
  <c r="AB378" i="5"/>
  <c r="AB377" i="5"/>
  <c r="AB376" i="5"/>
  <c r="AB375" i="5"/>
  <c r="AB374" i="5"/>
  <c r="AB373" i="5"/>
  <c r="AB372" i="5"/>
  <c r="AB371" i="5"/>
  <c r="AB370" i="5"/>
  <c r="AB369" i="5"/>
  <c r="AB368" i="5"/>
  <c r="AB367" i="5"/>
  <c r="AB366" i="5"/>
  <c r="AB365" i="5"/>
  <c r="AB364" i="5"/>
  <c r="AB363" i="5"/>
  <c r="AB362" i="5"/>
  <c r="AB361" i="5"/>
  <c r="AB360" i="5"/>
  <c r="AB359" i="5"/>
  <c r="AB358" i="5"/>
  <c r="AB357" i="5"/>
  <c r="AB356" i="5"/>
  <c r="AB355" i="5"/>
  <c r="AB354" i="5"/>
  <c r="AB353" i="5"/>
  <c r="AB352" i="5"/>
  <c r="AB351" i="5"/>
  <c r="AB350" i="5"/>
  <c r="AB349" i="5"/>
  <c r="AB348" i="5"/>
  <c r="AB347" i="5"/>
  <c r="AB346" i="5"/>
  <c r="AB345" i="5"/>
  <c r="AB344" i="5"/>
  <c r="AB343" i="5"/>
  <c r="AB342" i="5"/>
  <c r="AB341" i="5"/>
  <c r="AB340" i="5"/>
  <c r="AB339" i="5"/>
  <c r="AB338" i="5"/>
  <c r="AB337" i="5"/>
  <c r="AB336" i="5"/>
  <c r="AB335" i="5"/>
  <c r="AB334" i="5"/>
  <c r="AB333" i="5"/>
  <c r="AB332" i="5"/>
  <c r="AB331" i="5"/>
  <c r="AB330" i="5"/>
  <c r="AB329" i="5"/>
  <c r="AB328" i="5"/>
  <c r="AB327" i="5"/>
  <c r="AB326" i="5"/>
  <c r="AB325" i="5"/>
  <c r="AB324" i="5"/>
  <c r="AB323" i="5"/>
  <c r="AB322" i="5"/>
  <c r="AB321" i="5"/>
  <c r="AB320" i="5"/>
  <c r="AB319" i="5"/>
  <c r="AB318" i="5"/>
  <c r="AB317" i="5"/>
  <c r="AB316" i="5"/>
  <c r="AB315" i="5"/>
  <c r="AB314" i="5"/>
  <c r="AB313" i="5"/>
  <c r="AB312" i="5"/>
  <c r="AB311" i="5"/>
  <c r="AB310" i="5"/>
  <c r="AB309" i="5"/>
  <c r="AB308" i="5"/>
  <c r="AB307" i="5"/>
  <c r="AB306" i="5"/>
  <c r="AB305" i="5"/>
  <c r="AB304" i="5"/>
  <c r="AB303" i="5"/>
  <c r="AB302" i="5"/>
  <c r="AB301" i="5"/>
  <c r="AB300" i="5"/>
  <c r="AB298" i="5"/>
  <c r="AB297" i="5"/>
  <c r="AB296" i="5"/>
  <c r="AB295" i="5"/>
  <c r="AB294" i="5"/>
  <c r="AB293" i="5"/>
  <c r="AB292" i="5"/>
  <c r="AB291" i="5"/>
  <c r="AB290" i="5"/>
  <c r="AB289" i="5"/>
  <c r="AB288" i="5"/>
  <c r="AB287" i="5"/>
  <c r="AB286" i="5"/>
  <c r="AB285" i="5"/>
  <c r="AB284" i="5"/>
  <c r="AB283" i="5"/>
  <c r="AB282" i="5"/>
  <c r="AB281" i="5"/>
  <c r="AB280" i="5"/>
  <c r="AB279" i="5"/>
  <c r="AB278" i="5"/>
  <c r="AB277" i="5"/>
  <c r="AB276" i="5"/>
  <c r="AB275" i="5"/>
  <c r="AB274" i="5"/>
  <c r="AB273" i="5"/>
  <c r="AB272" i="5"/>
  <c r="AB271" i="5"/>
  <c r="AB270" i="5"/>
  <c r="AB269" i="5"/>
  <c r="AB268" i="5"/>
  <c r="AB267" i="5"/>
  <c r="AB266" i="5"/>
  <c r="AB265" i="5"/>
  <c r="AB264" i="5"/>
  <c r="AB263" i="5"/>
  <c r="AB262" i="5"/>
  <c r="AB261" i="5"/>
  <c r="AB260" i="5"/>
  <c r="AB259" i="5"/>
  <c r="AB258" i="5"/>
  <c r="AB257" i="5"/>
  <c r="AB256" i="5"/>
  <c r="AB255" i="5"/>
  <c r="AB254" i="5"/>
  <c r="AB253" i="5"/>
  <c r="AB252" i="5"/>
  <c r="AB251" i="5"/>
  <c r="AB250" i="5"/>
  <c r="AB249" i="5"/>
  <c r="AB248" i="5"/>
  <c r="AB247" i="5"/>
  <c r="AB246" i="5"/>
  <c r="AB245" i="5"/>
  <c r="AB244" i="5"/>
  <c r="AB243" i="5"/>
  <c r="AB242" i="5"/>
  <c r="AB241" i="5"/>
  <c r="AB240" i="5"/>
  <c r="AB239" i="5"/>
  <c r="AB238" i="5"/>
  <c r="AB237" i="5"/>
  <c r="AB236" i="5"/>
  <c r="AB235" i="5"/>
  <c r="AB234" i="5"/>
  <c r="AB233" i="5"/>
  <c r="AB232" i="5"/>
  <c r="AB231" i="5"/>
  <c r="AB230" i="5"/>
  <c r="AB229" i="5"/>
  <c r="AB228" i="5"/>
  <c r="AB227" i="5"/>
  <c r="AB226" i="5"/>
  <c r="AB225" i="5"/>
  <c r="AB224" i="5"/>
  <c r="AB223" i="5"/>
  <c r="AB222" i="5"/>
  <c r="AB221" i="5"/>
  <c r="AB220" i="5"/>
  <c r="AB219" i="5"/>
  <c r="AB218" i="5"/>
  <c r="AB217" i="5"/>
  <c r="AB216" i="5"/>
  <c r="AB215" i="5"/>
  <c r="AB214" i="5"/>
  <c r="AB213" i="5"/>
  <c r="AB212" i="5"/>
  <c r="AB211" i="5"/>
  <c r="AB210" i="5"/>
  <c r="AB209" i="5"/>
  <c r="AB208" i="5"/>
  <c r="AB207" i="5"/>
  <c r="AB206" i="5"/>
  <c r="AB205" i="5"/>
  <c r="AB204" i="5"/>
  <c r="AB203" i="5"/>
  <c r="AB202" i="5"/>
  <c r="AB201" i="5"/>
  <c r="AB200" i="5"/>
  <c r="AB199" i="5"/>
  <c r="AB197" i="5"/>
  <c r="AB196" i="5"/>
  <c r="AB195" i="5"/>
  <c r="AB194" i="5"/>
  <c r="AB193" i="5"/>
  <c r="AB192" i="5"/>
  <c r="AB191" i="5"/>
  <c r="AB190" i="5"/>
  <c r="AB189" i="5"/>
  <c r="AB188" i="5"/>
  <c r="AB187" i="5"/>
  <c r="AB186" i="5"/>
  <c r="AB185" i="5"/>
  <c r="AB184" i="5"/>
  <c r="AB183" i="5"/>
  <c r="AB182" i="5"/>
  <c r="AB181" i="5"/>
  <c r="AB180" i="5"/>
  <c r="AB179" i="5"/>
  <c r="AB177" i="5"/>
  <c r="AB176" i="5"/>
  <c r="AB175" i="5"/>
  <c r="AB174" i="5"/>
  <c r="AB173" i="5"/>
  <c r="AB172" i="5"/>
  <c r="AB171" i="5"/>
  <c r="AB170" i="5"/>
  <c r="AB169" i="5"/>
  <c r="AB168" i="5"/>
  <c r="AB167" i="5"/>
  <c r="AB166" i="5"/>
  <c r="AB165" i="5"/>
  <c r="AB164" i="5"/>
  <c r="AB163" i="5"/>
  <c r="AB162" i="5"/>
  <c r="AB161" i="5"/>
  <c r="AB160" i="5"/>
  <c r="AB159" i="5"/>
  <c r="AB158" i="5"/>
  <c r="AB157" i="5"/>
  <c r="AB156" i="5"/>
  <c r="AB155" i="5"/>
  <c r="AB154" i="5"/>
  <c r="AB153" i="5"/>
  <c r="AB152" i="5"/>
  <c r="AB151" i="5"/>
  <c r="AB150" i="5"/>
  <c r="AB149" i="5"/>
  <c r="AB148" i="5"/>
  <c r="AB147" i="5"/>
  <c r="AB146" i="5"/>
  <c r="AB145" i="5"/>
  <c r="AB144" i="5"/>
  <c r="AB143" i="5"/>
  <c r="AB142" i="5"/>
  <c r="AB141" i="5"/>
  <c r="AB140" i="5"/>
  <c r="AB139" i="5"/>
  <c r="AB138" i="5"/>
  <c r="AB137" i="5"/>
  <c r="AB136" i="5"/>
  <c r="AB135" i="5"/>
  <c r="AB134" i="5"/>
  <c r="AB133" i="5"/>
  <c r="AB132" i="5"/>
  <c r="AB131" i="5"/>
  <c r="AB130" i="5"/>
  <c r="AB129" i="5"/>
  <c r="AB128" i="5"/>
  <c r="AB127" i="5"/>
  <c r="AB126" i="5"/>
  <c r="AB125" i="5"/>
  <c r="AB124" i="5"/>
  <c r="AB123" i="5"/>
  <c r="AB122" i="5"/>
  <c r="AB121" i="5"/>
  <c r="AB120" i="5"/>
  <c r="AB119" i="5"/>
  <c r="AB118" i="5"/>
  <c r="AB117" i="5"/>
  <c r="AB116" i="5"/>
  <c r="AB115" i="5"/>
  <c r="AB113" i="5"/>
  <c r="AB112" i="5"/>
  <c r="AB111" i="5"/>
  <c r="AB110" i="5"/>
  <c r="AB109" i="5"/>
  <c r="AB108" i="5"/>
  <c r="AB107" i="5"/>
  <c r="AB106" i="5"/>
  <c r="AB105" i="5"/>
  <c r="AB104" i="5"/>
  <c r="AB103" i="5"/>
  <c r="AB102" i="5"/>
  <c r="AB101" i="5"/>
  <c r="AB100" i="5"/>
  <c r="AB99" i="5"/>
  <c r="AB98" i="5"/>
  <c r="AB97" i="5"/>
  <c r="AB96" i="5"/>
  <c r="AB95" i="5"/>
  <c r="AB94" i="5"/>
  <c r="AB93" i="5"/>
  <c r="AB92" i="5"/>
  <c r="AB91" i="5"/>
  <c r="AB90" i="5"/>
  <c r="AB89" i="5"/>
  <c r="AB88" i="5"/>
  <c r="AB87" i="5"/>
  <c r="AB86" i="5"/>
  <c r="AB85" i="5"/>
  <c r="AB84" i="5"/>
  <c r="AB83" i="5"/>
  <c r="AB82" i="5"/>
  <c r="AB81" i="5"/>
  <c r="AB80" i="5"/>
  <c r="AB79" i="5"/>
  <c r="AB78" i="5"/>
  <c r="AB77" i="5"/>
  <c r="AB76" i="5"/>
  <c r="AB75" i="5"/>
  <c r="AB74" i="5"/>
  <c r="AB73" i="5"/>
  <c r="AB72" i="5"/>
  <c r="AB71" i="5"/>
  <c r="AB70" i="5"/>
  <c r="AB69" i="5"/>
  <c r="AB68" i="5"/>
  <c r="AB67" i="5"/>
  <c r="AB66" i="5"/>
  <c r="AB65" i="5"/>
  <c r="AB64" i="5"/>
  <c r="AB63" i="5"/>
  <c r="AB62" i="5"/>
  <c r="AB61" i="5"/>
  <c r="AB60" i="5"/>
  <c r="AB59" i="5"/>
  <c r="AB58" i="5"/>
  <c r="AB57" i="5"/>
  <c r="AB56" i="5"/>
  <c r="AB55" i="5"/>
  <c r="AB54" i="5"/>
  <c r="AB53" i="5"/>
  <c r="AB52" i="5"/>
  <c r="AB51" i="5"/>
  <c r="AB50" i="5"/>
  <c r="AB49" i="5"/>
  <c r="AB48" i="5"/>
  <c r="AB47" i="5"/>
  <c r="AB46" i="5"/>
  <c r="AB45" i="5"/>
  <c r="AB44" i="5"/>
  <c r="AB43" i="5"/>
  <c r="AB42" i="5"/>
  <c r="AB41" i="5"/>
  <c r="AB40" i="5"/>
  <c r="AB3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AB7" i="5"/>
  <c r="AB6" i="5"/>
  <c r="AB5" i="5"/>
  <c r="X6" i="5"/>
  <c r="S6" i="5"/>
  <c r="J501" i="5"/>
  <c r="I501" i="5"/>
  <c r="H501" i="5"/>
  <c r="J500" i="5"/>
  <c r="I500" i="5"/>
  <c r="H500" i="5"/>
  <c r="J499" i="5"/>
  <c r="I499" i="5"/>
  <c r="H499" i="5"/>
  <c r="J498" i="5"/>
  <c r="I498" i="5"/>
  <c r="H498" i="5"/>
  <c r="J497" i="5"/>
  <c r="I497" i="5"/>
  <c r="H497" i="5"/>
  <c r="J496" i="5"/>
  <c r="I496" i="5"/>
  <c r="H496" i="5"/>
  <c r="J495" i="5"/>
  <c r="I495" i="5"/>
  <c r="H495" i="5"/>
  <c r="J494" i="5"/>
  <c r="I494" i="5"/>
  <c r="H494" i="5"/>
  <c r="J493" i="5"/>
  <c r="I493" i="5"/>
  <c r="H493" i="5"/>
  <c r="J492" i="5"/>
  <c r="I492" i="5"/>
  <c r="H492" i="5"/>
  <c r="J491" i="5"/>
  <c r="I491" i="5"/>
  <c r="H491" i="5"/>
  <c r="J490" i="5"/>
  <c r="I490" i="5"/>
  <c r="H490" i="5"/>
  <c r="J489" i="5"/>
  <c r="I489" i="5"/>
  <c r="H489" i="5"/>
  <c r="J488" i="5"/>
  <c r="I488" i="5"/>
  <c r="H488" i="5"/>
  <c r="J487" i="5"/>
  <c r="I487" i="5"/>
  <c r="H487" i="5"/>
  <c r="J486" i="5"/>
  <c r="I486" i="5"/>
  <c r="H486" i="5"/>
  <c r="J485" i="5"/>
  <c r="I485" i="5"/>
  <c r="H485" i="5"/>
  <c r="J484" i="5"/>
  <c r="I484" i="5"/>
  <c r="H484" i="5"/>
  <c r="J483" i="5"/>
  <c r="I483" i="5"/>
  <c r="H483" i="5"/>
  <c r="J482" i="5"/>
  <c r="I482" i="5"/>
  <c r="H482" i="5"/>
  <c r="J481" i="5"/>
  <c r="I481" i="5"/>
  <c r="H481" i="5"/>
  <c r="J480" i="5"/>
  <c r="I480" i="5"/>
  <c r="H480" i="5"/>
  <c r="J479" i="5"/>
  <c r="I479" i="5"/>
  <c r="H479" i="5"/>
  <c r="J478" i="5"/>
  <c r="I478" i="5"/>
  <c r="H478" i="5"/>
  <c r="J477" i="5"/>
  <c r="I477" i="5"/>
  <c r="H477" i="5"/>
  <c r="J476" i="5"/>
  <c r="I476" i="5"/>
  <c r="H476" i="5"/>
  <c r="J475" i="5"/>
  <c r="I475" i="5"/>
  <c r="H475" i="5"/>
  <c r="J474" i="5"/>
  <c r="I474" i="5"/>
  <c r="H474" i="5"/>
  <c r="J473" i="5"/>
  <c r="I473" i="5"/>
  <c r="H473" i="5"/>
  <c r="J472" i="5"/>
  <c r="I472" i="5"/>
  <c r="H472" i="5"/>
  <c r="J471" i="5"/>
  <c r="I471" i="5"/>
  <c r="H471" i="5"/>
  <c r="J470" i="5"/>
  <c r="I470" i="5"/>
  <c r="H470" i="5"/>
  <c r="J469" i="5"/>
  <c r="I469" i="5"/>
  <c r="H469" i="5"/>
  <c r="J468" i="5"/>
  <c r="I468" i="5"/>
  <c r="H468" i="5"/>
  <c r="J467" i="5"/>
  <c r="I467" i="5"/>
  <c r="H467" i="5"/>
  <c r="J466" i="5"/>
  <c r="I466" i="5"/>
  <c r="H466" i="5"/>
  <c r="J465" i="5"/>
  <c r="I465" i="5"/>
  <c r="H465" i="5"/>
  <c r="J464" i="5"/>
  <c r="I464" i="5"/>
  <c r="H464" i="5"/>
  <c r="J463" i="5"/>
  <c r="I463" i="5"/>
  <c r="H463" i="5"/>
  <c r="J462" i="5"/>
  <c r="I462" i="5"/>
  <c r="H462" i="5"/>
  <c r="J461" i="5"/>
  <c r="I461" i="5"/>
  <c r="H461" i="5"/>
  <c r="J460" i="5"/>
  <c r="I460" i="5"/>
  <c r="H460" i="5"/>
  <c r="J459" i="5"/>
  <c r="I459" i="5"/>
  <c r="H459" i="5"/>
  <c r="J458" i="5"/>
  <c r="I458" i="5"/>
  <c r="H458" i="5"/>
  <c r="J457" i="5"/>
  <c r="I457" i="5"/>
  <c r="H457" i="5"/>
  <c r="J456" i="5"/>
  <c r="I456" i="5"/>
  <c r="H456" i="5"/>
  <c r="J455" i="5"/>
  <c r="I455" i="5"/>
  <c r="H455" i="5"/>
  <c r="J454" i="5"/>
  <c r="I454" i="5"/>
  <c r="H454" i="5"/>
  <c r="J453" i="5"/>
  <c r="I453" i="5"/>
  <c r="H453" i="5"/>
  <c r="J452" i="5"/>
  <c r="I452" i="5"/>
  <c r="H452" i="5"/>
  <c r="J451" i="5"/>
  <c r="I451" i="5"/>
  <c r="H451" i="5"/>
  <c r="J450" i="5"/>
  <c r="I450" i="5"/>
  <c r="H450" i="5"/>
  <c r="J449" i="5"/>
  <c r="I449" i="5"/>
  <c r="H449" i="5"/>
  <c r="J448" i="5"/>
  <c r="I448" i="5"/>
  <c r="H448" i="5"/>
  <c r="J447" i="5"/>
  <c r="I447" i="5"/>
  <c r="H447" i="5"/>
  <c r="J446" i="5"/>
  <c r="I446" i="5"/>
  <c r="H446" i="5"/>
  <c r="J445" i="5"/>
  <c r="I445" i="5"/>
  <c r="H445" i="5"/>
  <c r="J444" i="5"/>
  <c r="I444" i="5"/>
  <c r="H444" i="5"/>
  <c r="J443" i="5"/>
  <c r="I443" i="5"/>
  <c r="H443" i="5"/>
  <c r="J442" i="5"/>
  <c r="I442" i="5"/>
  <c r="H442" i="5"/>
  <c r="J441" i="5"/>
  <c r="I441" i="5"/>
  <c r="H441" i="5"/>
  <c r="J440" i="5"/>
  <c r="I440" i="5"/>
  <c r="H440" i="5"/>
  <c r="J439" i="5"/>
  <c r="I439" i="5"/>
  <c r="H439" i="5"/>
  <c r="J438" i="5"/>
  <c r="I438" i="5"/>
  <c r="H438" i="5"/>
  <c r="J437" i="5"/>
  <c r="I437" i="5"/>
  <c r="H437" i="5"/>
  <c r="J436" i="5"/>
  <c r="I436" i="5"/>
  <c r="H436" i="5"/>
  <c r="J435" i="5"/>
  <c r="I435" i="5"/>
  <c r="H435" i="5"/>
  <c r="J434" i="5"/>
  <c r="I434" i="5"/>
  <c r="H434" i="5"/>
  <c r="J433" i="5"/>
  <c r="I433" i="5"/>
  <c r="H433" i="5"/>
  <c r="J432" i="5"/>
  <c r="I432" i="5"/>
  <c r="H432" i="5"/>
  <c r="J431" i="5"/>
  <c r="I431" i="5"/>
  <c r="H431" i="5"/>
  <c r="J430" i="5"/>
  <c r="I430" i="5"/>
  <c r="H430" i="5"/>
  <c r="J429" i="5"/>
  <c r="I429" i="5"/>
  <c r="H429" i="5"/>
  <c r="J428" i="5"/>
  <c r="I428" i="5"/>
  <c r="H428" i="5"/>
  <c r="J427" i="5"/>
  <c r="I427" i="5"/>
  <c r="H427" i="5"/>
  <c r="J426" i="5"/>
  <c r="I426" i="5"/>
  <c r="H426" i="5"/>
  <c r="J425" i="5"/>
  <c r="I425" i="5"/>
  <c r="H425" i="5"/>
  <c r="J424" i="5"/>
  <c r="I424" i="5"/>
  <c r="H424" i="5"/>
  <c r="J423" i="5"/>
  <c r="I423" i="5"/>
  <c r="H423" i="5"/>
  <c r="J422" i="5"/>
  <c r="I422" i="5"/>
  <c r="H422" i="5"/>
  <c r="J421" i="5"/>
  <c r="I421" i="5"/>
  <c r="H421" i="5"/>
  <c r="J420" i="5"/>
  <c r="I420" i="5"/>
  <c r="H420" i="5"/>
  <c r="J419" i="5"/>
  <c r="I419" i="5"/>
  <c r="H419" i="5"/>
  <c r="J418" i="5"/>
  <c r="I418" i="5"/>
  <c r="H418" i="5"/>
  <c r="J417" i="5"/>
  <c r="I417" i="5"/>
  <c r="H417" i="5"/>
  <c r="J416" i="5"/>
  <c r="I416" i="5"/>
  <c r="H416" i="5"/>
  <c r="J415" i="5"/>
  <c r="I415" i="5"/>
  <c r="H415" i="5"/>
  <c r="J414" i="5"/>
  <c r="I414" i="5"/>
  <c r="H414" i="5"/>
  <c r="J413" i="5"/>
  <c r="I413" i="5"/>
  <c r="H413" i="5"/>
  <c r="J412" i="5"/>
  <c r="I412" i="5"/>
  <c r="H412" i="5"/>
  <c r="J411" i="5"/>
  <c r="I411" i="5"/>
  <c r="H411" i="5"/>
  <c r="J410" i="5"/>
  <c r="I410" i="5"/>
  <c r="H410" i="5"/>
  <c r="I409" i="5"/>
  <c r="H409" i="5"/>
  <c r="J408" i="5"/>
  <c r="I408" i="5"/>
  <c r="H408" i="5"/>
  <c r="J407" i="5"/>
  <c r="I407" i="5"/>
  <c r="H407" i="5"/>
  <c r="J405" i="5"/>
  <c r="I405" i="5"/>
  <c r="H405" i="5"/>
  <c r="J404" i="5"/>
  <c r="I404" i="5"/>
  <c r="H404" i="5"/>
  <c r="J403" i="5"/>
  <c r="I403" i="5"/>
  <c r="H403" i="5"/>
  <c r="J402" i="5"/>
  <c r="I402" i="5"/>
  <c r="H402" i="5"/>
  <c r="J401" i="5"/>
  <c r="I401" i="5"/>
  <c r="H401" i="5"/>
  <c r="J400" i="5"/>
  <c r="I400" i="5"/>
  <c r="H400" i="5"/>
  <c r="J399" i="5"/>
  <c r="I399" i="5"/>
  <c r="H399" i="5"/>
  <c r="J398" i="5"/>
  <c r="I398" i="5"/>
  <c r="H398" i="5"/>
  <c r="J397" i="5"/>
  <c r="I397" i="5"/>
  <c r="H397" i="5"/>
  <c r="J396" i="5"/>
  <c r="I396" i="5"/>
  <c r="H396" i="5"/>
  <c r="J395" i="5"/>
  <c r="I395" i="5"/>
  <c r="H395" i="5"/>
  <c r="J394" i="5"/>
  <c r="I394" i="5"/>
  <c r="H394" i="5"/>
  <c r="J393" i="5"/>
  <c r="I393" i="5"/>
  <c r="H393" i="5"/>
  <c r="J392" i="5"/>
  <c r="I392" i="5"/>
  <c r="H392" i="5"/>
  <c r="J391" i="5"/>
  <c r="I391" i="5"/>
  <c r="H391" i="5"/>
  <c r="J390" i="5"/>
  <c r="I390" i="5"/>
  <c r="H390" i="5"/>
  <c r="J389" i="5"/>
  <c r="I389" i="5"/>
  <c r="H389" i="5"/>
  <c r="J388" i="5"/>
  <c r="I388" i="5"/>
  <c r="H388" i="5"/>
  <c r="J387" i="5"/>
  <c r="I387" i="5"/>
  <c r="H387" i="5"/>
  <c r="J386" i="5"/>
  <c r="I386" i="5"/>
  <c r="H386" i="5"/>
  <c r="J385" i="5"/>
  <c r="I385" i="5"/>
  <c r="H385" i="5"/>
  <c r="J384" i="5"/>
  <c r="I384" i="5"/>
  <c r="H384" i="5"/>
  <c r="J383" i="5"/>
  <c r="I383" i="5"/>
  <c r="H383" i="5"/>
  <c r="J382" i="5"/>
  <c r="I382" i="5"/>
  <c r="H382" i="5"/>
  <c r="J381" i="5"/>
  <c r="I381" i="5"/>
  <c r="H381" i="5"/>
  <c r="J380" i="5"/>
  <c r="I380" i="5"/>
  <c r="H380" i="5"/>
  <c r="J379" i="5"/>
  <c r="I379" i="5"/>
  <c r="H379" i="5"/>
  <c r="J378" i="5"/>
  <c r="I378" i="5"/>
  <c r="H378" i="5"/>
  <c r="J377" i="5"/>
  <c r="I377" i="5"/>
  <c r="H377" i="5"/>
  <c r="J376" i="5"/>
  <c r="I376" i="5"/>
  <c r="H376" i="5"/>
  <c r="J375" i="5"/>
  <c r="I375" i="5"/>
  <c r="H375" i="5"/>
  <c r="J374" i="5"/>
  <c r="I374" i="5"/>
  <c r="H374" i="5"/>
  <c r="J373" i="5"/>
  <c r="I373" i="5"/>
  <c r="H373" i="5"/>
  <c r="J372" i="5"/>
  <c r="I372" i="5"/>
  <c r="H372" i="5"/>
  <c r="J371" i="5"/>
  <c r="I371" i="5"/>
  <c r="H371" i="5"/>
  <c r="J370" i="5"/>
  <c r="I370" i="5"/>
  <c r="H370" i="5"/>
  <c r="J369" i="5"/>
  <c r="I369" i="5"/>
  <c r="J368" i="5"/>
  <c r="I368" i="5"/>
  <c r="H368" i="5"/>
  <c r="J367" i="5"/>
  <c r="I367" i="5"/>
  <c r="H367" i="5"/>
  <c r="J366" i="5"/>
  <c r="I366" i="5"/>
  <c r="H366" i="5"/>
  <c r="J365" i="5"/>
  <c r="I365" i="5"/>
  <c r="H365" i="5"/>
  <c r="J364" i="5"/>
  <c r="I364" i="5"/>
  <c r="H364" i="5"/>
  <c r="J363" i="5"/>
  <c r="I363" i="5"/>
  <c r="H363" i="5"/>
  <c r="J362" i="5"/>
  <c r="I362" i="5"/>
  <c r="H362" i="5"/>
  <c r="J361" i="5"/>
  <c r="I361" i="5"/>
  <c r="H361" i="5"/>
  <c r="J360" i="5"/>
  <c r="I360" i="5"/>
  <c r="H360" i="5"/>
  <c r="J359" i="5"/>
  <c r="I359" i="5"/>
  <c r="H359" i="5"/>
  <c r="J358" i="5"/>
  <c r="I358" i="5"/>
  <c r="H358" i="5"/>
  <c r="J357" i="5"/>
  <c r="I357" i="5"/>
  <c r="H357" i="5"/>
  <c r="J356" i="5"/>
  <c r="I356" i="5"/>
  <c r="H356" i="5"/>
  <c r="J355" i="5"/>
  <c r="I355" i="5"/>
  <c r="H355" i="5"/>
  <c r="J354" i="5"/>
  <c r="I354" i="5"/>
  <c r="H354" i="5"/>
  <c r="J353" i="5"/>
  <c r="I353" i="5"/>
  <c r="H353" i="5"/>
  <c r="J352" i="5"/>
  <c r="I352" i="5"/>
  <c r="H352" i="5"/>
  <c r="J351" i="5"/>
  <c r="I351" i="5"/>
  <c r="H351" i="5"/>
  <c r="J350" i="5"/>
  <c r="I350" i="5"/>
  <c r="H350" i="5"/>
  <c r="J349" i="5"/>
  <c r="I349" i="5"/>
  <c r="H349" i="5"/>
  <c r="J348" i="5"/>
  <c r="I348" i="5"/>
  <c r="H348" i="5"/>
  <c r="J347" i="5"/>
  <c r="I347" i="5"/>
  <c r="H347" i="5"/>
  <c r="J346" i="5"/>
  <c r="I346" i="5"/>
  <c r="H346" i="5"/>
  <c r="J345" i="5"/>
  <c r="I345" i="5"/>
  <c r="H345" i="5"/>
  <c r="J344" i="5"/>
  <c r="I344" i="5"/>
  <c r="H344" i="5"/>
  <c r="J343" i="5"/>
  <c r="I343" i="5"/>
  <c r="H343" i="5"/>
  <c r="J342" i="5"/>
  <c r="I342" i="5"/>
  <c r="H342" i="5"/>
  <c r="J341" i="5"/>
  <c r="I341" i="5"/>
  <c r="H341" i="5"/>
  <c r="J340" i="5"/>
  <c r="I340" i="5"/>
  <c r="H340" i="5"/>
  <c r="J339" i="5"/>
  <c r="I339" i="5"/>
  <c r="H339" i="5"/>
  <c r="J338" i="5"/>
  <c r="I338" i="5"/>
  <c r="H338" i="5"/>
  <c r="J337" i="5"/>
  <c r="I337" i="5"/>
  <c r="H337" i="5"/>
  <c r="J336" i="5"/>
  <c r="I336" i="5"/>
  <c r="H336" i="5"/>
  <c r="J335" i="5"/>
  <c r="I335" i="5"/>
  <c r="H335" i="5"/>
  <c r="J334" i="5"/>
  <c r="I334" i="5"/>
  <c r="H334" i="5"/>
  <c r="J333" i="5"/>
  <c r="I333" i="5"/>
  <c r="H333" i="5"/>
  <c r="J332" i="5"/>
  <c r="I332" i="5"/>
  <c r="H332" i="5"/>
  <c r="J331" i="5"/>
  <c r="I331" i="5"/>
  <c r="H331" i="5"/>
  <c r="J330" i="5"/>
  <c r="I330" i="5"/>
  <c r="H330" i="5"/>
  <c r="J329" i="5"/>
  <c r="I329" i="5"/>
  <c r="H329" i="5"/>
  <c r="J328" i="5"/>
  <c r="I328" i="5"/>
  <c r="H328" i="5"/>
  <c r="J327" i="5"/>
  <c r="I327" i="5"/>
  <c r="H327" i="5"/>
  <c r="J326" i="5"/>
  <c r="I326" i="5"/>
  <c r="H326" i="5"/>
  <c r="J325" i="5"/>
  <c r="I325" i="5"/>
  <c r="H325" i="5"/>
  <c r="J324" i="5"/>
  <c r="I324" i="5"/>
  <c r="H324" i="5"/>
  <c r="J323" i="5"/>
  <c r="I323" i="5"/>
  <c r="H323" i="5"/>
  <c r="J322" i="5"/>
  <c r="I322" i="5"/>
  <c r="H322" i="5"/>
  <c r="J321" i="5"/>
  <c r="I321" i="5"/>
  <c r="H321" i="5"/>
  <c r="J320" i="5"/>
  <c r="I320" i="5"/>
  <c r="J319" i="5"/>
  <c r="I319" i="5"/>
  <c r="H319" i="5"/>
  <c r="J318" i="5"/>
  <c r="I318" i="5"/>
  <c r="H318" i="5"/>
  <c r="J317" i="5"/>
  <c r="I317" i="5"/>
  <c r="H317" i="5"/>
  <c r="J316" i="5"/>
  <c r="I316" i="5"/>
  <c r="H316" i="5"/>
  <c r="J315" i="5"/>
  <c r="I315" i="5"/>
  <c r="H315" i="5"/>
  <c r="J314" i="5"/>
  <c r="I314" i="5"/>
  <c r="H314" i="5"/>
  <c r="J313" i="5"/>
  <c r="I313" i="5"/>
  <c r="H313" i="5"/>
  <c r="J312" i="5"/>
  <c r="I312" i="5"/>
  <c r="H312" i="5"/>
  <c r="J311" i="5"/>
  <c r="I311" i="5"/>
  <c r="H311" i="5"/>
  <c r="J310" i="5"/>
  <c r="I310" i="5"/>
  <c r="H310" i="5"/>
  <c r="J309" i="5"/>
  <c r="I309" i="5"/>
  <c r="H309" i="5"/>
  <c r="J308" i="5"/>
  <c r="I308" i="5"/>
  <c r="H308" i="5"/>
  <c r="J307" i="5"/>
  <c r="I307" i="5"/>
  <c r="H307" i="5"/>
  <c r="J306" i="5"/>
  <c r="I306" i="5"/>
  <c r="H306" i="5"/>
  <c r="J305" i="5"/>
  <c r="I305" i="5"/>
  <c r="H305" i="5"/>
  <c r="J304" i="5"/>
  <c r="I304" i="5"/>
  <c r="H304" i="5"/>
  <c r="J303" i="5"/>
  <c r="I303" i="5"/>
  <c r="H303" i="5"/>
  <c r="J302" i="5"/>
  <c r="I302" i="5"/>
  <c r="H302" i="5"/>
  <c r="J301" i="5"/>
  <c r="I301" i="5"/>
  <c r="H301" i="5"/>
  <c r="J300" i="5"/>
  <c r="I300" i="5"/>
  <c r="H300" i="5"/>
  <c r="J298" i="5"/>
  <c r="I298" i="5"/>
  <c r="H298" i="5"/>
  <c r="J297" i="5"/>
  <c r="I297" i="5"/>
  <c r="H297" i="5"/>
  <c r="J296" i="5"/>
  <c r="I296" i="5"/>
  <c r="H296" i="5"/>
  <c r="J295" i="5"/>
  <c r="I295" i="5"/>
  <c r="H295" i="5"/>
  <c r="J294" i="5"/>
  <c r="I294" i="5"/>
  <c r="H294" i="5"/>
  <c r="J293" i="5"/>
  <c r="I293" i="5"/>
  <c r="H293" i="5"/>
  <c r="J292" i="5"/>
  <c r="I292" i="5"/>
  <c r="H292" i="5"/>
  <c r="J291" i="5"/>
  <c r="I291" i="5"/>
  <c r="H291" i="5"/>
  <c r="J290" i="5"/>
  <c r="I290" i="5"/>
  <c r="H290" i="5"/>
  <c r="J289" i="5"/>
  <c r="I289" i="5"/>
  <c r="H289" i="5"/>
  <c r="J288" i="5"/>
  <c r="I288" i="5"/>
  <c r="H288" i="5"/>
  <c r="J287" i="5"/>
  <c r="I287" i="5"/>
  <c r="H287" i="5"/>
  <c r="J286" i="5"/>
  <c r="I286" i="5"/>
  <c r="H286" i="5"/>
  <c r="J285" i="5"/>
  <c r="I285" i="5"/>
  <c r="H285" i="5"/>
  <c r="J284" i="5"/>
  <c r="I284" i="5"/>
  <c r="H284" i="5"/>
  <c r="J283" i="5"/>
  <c r="I283" i="5"/>
  <c r="H283" i="5"/>
  <c r="J282" i="5"/>
  <c r="I282" i="5"/>
  <c r="H282" i="5"/>
  <c r="J281" i="5"/>
  <c r="I281" i="5"/>
  <c r="H281" i="5"/>
  <c r="J280" i="5"/>
  <c r="I280" i="5"/>
  <c r="H280" i="5"/>
  <c r="J279" i="5"/>
  <c r="I279" i="5"/>
  <c r="H279" i="5"/>
  <c r="J278" i="5"/>
  <c r="I278" i="5"/>
  <c r="H278" i="5"/>
  <c r="J277" i="5"/>
  <c r="I277" i="5"/>
  <c r="H277" i="5"/>
  <c r="J276" i="5"/>
  <c r="I276" i="5"/>
  <c r="H276" i="5"/>
  <c r="J275" i="5"/>
  <c r="I275" i="5"/>
  <c r="H275" i="5"/>
  <c r="J274" i="5"/>
  <c r="I274" i="5"/>
  <c r="H274" i="5"/>
  <c r="J273" i="5"/>
  <c r="I273" i="5"/>
  <c r="H273" i="5"/>
  <c r="J272" i="5"/>
  <c r="I272" i="5"/>
  <c r="H272" i="5"/>
  <c r="J271" i="5"/>
  <c r="I271" i="5"/>
  <c r="H271" i="5"/>
  <c r="J270" i="5"/>
  <c r="I270" i="5"/>
  <c r="H270" i="5"/>
  <c r="J269" i="5"/>
  <c r="I269" i="5"/>
  <c r="H269" i="5"/>
  <c r="J268" i="5"/>
  <c r="I268" i="5"/>
  <c r="H268" i="5"/>
  <c r="J267" i="5"/>
  <c r="I267" i="5"/>
  <c r="H267" i="5"/>
  <c r="J266" i="5"/>
  <c r="I266" i="5"/>
  <c r="H266" i="5"/>
  <c r="J265" i="5"/>
  <c r="I265" i="5"/>
  <c r="H265" i="5"/>
  <c r="J264" i="5"/>
  <c r="I264" i="5"/>
  <c r="H264" i="5"/>
  <c r="J263" i="5"/>
  <c r="I263" i="5"/>
  <c r="H263" i="5"/>
  <c r="J262" i="5"/>
  <c r="I262" i="5"/>
  <c r="H262" i="5"/>
  <c r="J261" i="5"/>
  <c r="I261" i="5"/>
  <c r="H261" i="5"/>
  <c r="J260" i="5"/>
  <c r="I260" i="5"/>
  <c r="H260" i="5"/>
  <c r="J259" i="5"/>
  <c r="I259" i="5"/>
  <c r="H259" i="5"/>
  <c r="J258" i="5"/>
  <c r="I258" i="5"/>
  <c r="H258" i="5"/>
  <c r="J257" i="5"/>
  <c r="I257" i="5"/>
  <c r="H257" i="5"/>
  <c r="J256" i="5"/>
  <c r="I256" i="5"/>
  <c r="H256" i="5"/>
  <c r="J255" i="5"/>
  <c r="I255" i="5"/>
  <c r="H255" i="5"/>
  <c r="J254" i="5"/>
  <c r="I254" i="5"/>
  <c r="H254" i="5"/>
  <c r="J253" i="5"/>
  <c r="I253" i="5"/>
  <c r="H253" i="5"/>
  <c r="J252" i="5"/>
  <c r="I252" i="5"/>
  <c r="H252" i="5"/>
  <c r="J251" i="5"/>
  <c r="I251" i="5"/>
  <c r="H251" i="5"/>
  <c r="J250" i="5"/>
  <c r="I250" i="5"/>
  <c r="H250" i="5"/>
  <c r="J249" i="5"/>
  <c r="I249" i="5"/>
  <c r="H249" i="5"/>
  <c r="J248" i="5"/>
  <c r="I248" i="5"/>
  <c r="H248" i="5"/>
  <c r="J247" i="5"/>
  <c r="I247" i="5"/>
  <c r="H247" i="5"/>
  <c r="J246" i="5"/>
  <c r="I246" i="5"/>
  <c r="H246" i="5"/>
  <c r="J245" i="5"/>
  <c r="I245" i="5"/>
  <c r="H245" i="5"/>
  <c r="J244" i="5"/>
  <c r="I244" i="5"/>
  <c r="H244" i="5"/>
  <c r="J243" i="5"/>
  <c r="I243" i="5"/>
  <c r="H243" i="5"/>
  <c r="J242" i="5"/>
  <c r="I242" i="5"/>
  <c r="H242" i="5"/>
  <c r="J241" i="5"/>
  <c r="I241" i="5"/>
  <c r="H241" i="5"/>
  <c r="J240" i="5"/>
  <c r="I240" i="5"/>
  <c r="H240" i="5"/>
  <c r="J239" i="5"/>
  <c r="I239" i="5"/>
  <c r="H239" i="5"/>
  <c r="J238" i="5"/>
  <c r="I238" i="5"/>
  <c r="H238" i="5"/>
  <c r="J237" i="5"/>
  <c r="I237" i="5"/>
  <c r="H237" i="5"/>
  <c r="J236" i="5"/>
  <c r="I236" i="5"/>
  <c r="H236" i="5"/>
  <c r="J235" i="5"/>
  <c r="I235" i="5"/>
  <c r="H235" i="5"/>
  <c r="J234" i="5"/>
  <c r="I234" i="5"/>
  <c r="H234" i="5"/>
  <c r="J233" i="5"/>
  <c r="I233" i="5"/>
  <c r="H233" i="5"/>
  <c r="J232" i="5"/>
  <c r="I232" i="5"/>
  <c r="H232" i="5"/>
  <c r="J231" i="5"/>
  <c r="I231" i="5"/>
  <c r="H231" i="5"/>
  <c r="J230" i="5"/>
  <c r="I230" i="5"/>
  <c r="H230" i="5"/>
  <c r="J229" i="5"/>
  <c r="I229" i="5"/>
  <c r="H229" i="5"/>
  <c r="J228" i="5"/>
  <c r="I228" i="5"/>
  <c r="H228" i="5"/>
  <c r="J227" i="5"/>
  <c r="I227" i="5"/>
  <c r="H227" i="5"/>
  <c r="J226" i="5"/>
  <c r="I226" i="5"/>
  <c r="H226" i="5"/>
  <c r="J225" i="5"/>
  <c r="I225" i="5"/>
  <c r="H225" i="5"/>
  <c r="J224" i="5"/>
  <c r="I224" i="5"/>
  <c r="H224" i="5"/>
  <c r="J223" i="5"/>
  <c r="I223" i="5"/>
  <c r="H223" i="5"/>
  <c r="J222" i="5"/>
  <c r="I222" i="5"/>
  <c r="H222" i="5"/>
  <c r="J221" i="5"/>
  <c r="I221" i="5"/>
  <c r="H221" i="5"/>
  <c r="J220" i="5"/>
  <c r="I220" i="5"/>
  <c r="H220" i="5"/>
  <c r="J219" i="5"/>
  <c r="I219" i="5"/>
  <c r="H219" i="5"/>
  <c r="J218" i="5"/>
  <c r="I218" i="5"/>
  <c r="H218" i="5"/>
  <c r="J217" i="5"/>
  <c r="I217" i="5"/>
  <c r="H217" i="5"/>
  <c r="J216" i="5"/>
  <c r="I216" i="5"/>
  <c r="H216" i="5"/>
  <c r="J215" i="5"/>
  <c r="I215" i="5"/>
  <c r="H215" i="5"/>
  <c r="J214" i="5"/>
  <c r="I214" i="5"/>
  <c r="H214" i="5"/>
  <c r="J213" i="5"/>
  <c r="I213" i="5"/>
  <c r="H213" i="5"/>
  <c r="J212" i="5"/>
  <c r="I212" i="5"/>
  <c r="H212" i="5"/>
  <c r="J211" i="5"/>
  <c r="I211" i="5"/>
  <c r="H211" i="5"/>
  <c r="J210" i="5"/>
  <c r="I210" i="5"/>
  <c r="H210" i="5"/>
  <c r="J209" i="5"/>
  <c r="I209" i="5"/>
  <c r="H209" i="5"/>
  <c r="J208" i="5"/>
  <c r="I208" i="5"/>
  <c r="H208" i="5"/>
  <c r="J207" i="5"/>
  <c r="I207" i="5"/>
  <c r="H207" i="5"/>
  <c r="J206" i="5"/>
  <c r="I206" i="5"/>
  <c r="H206" i="5"/>
  <c r="J205" i="5"/>
  <c r="I205" i="5"/>
  <c r="H205" i="5"/>
  <c r="I204" i="5"/>
  <c r="H204" i="5"/>
  <c r="J203" i="5"/>
  <c r="I203" i="5"/>
  <c r="H203" i="5"/>
  <c r="J202" i="5"/>
  <c r="I202" i="5"/>
  <c r="H202" i="5"/>
  <c r="J201" i="5"/>
  <c r="I201" i="5"/>
  <c r="H201" i="5"/>
  <c r="J200" i="5"/>
  <c r="I200" i="5"/>
  <c r="H200" i="5"/>
  <c r="J199" i="5"/>
  <c r="I199" i="5"/>
  <c r="H199" i="5"/>
  <c r="J197" i="5"/>
  <c r="I197" i="5"/>
  <c r="H197" i="5"/>
  <c r="J196" i="5"/>
  <c r="I196" i="5"/>
  <c r="H196" i="5"/>
  <c r="J195" i="5"/>
  <c r="I195" i="5"/>
  <c r="H195" i="5"/>
  <c r="J194" i="5"/>
  <c r="I194" i="5"/>
  <c r="H194" i="5"/>
  <c r="J193" i="5"/>
  <c r="I193" i="5"/>
  <c r="H193" i="5"/>
  <c r="J192" i="5"/>
  <c r="I192" i="5"/>
  <c r="H192" i="5"/>
  <c r="J191" i="5"/>
  <c r="I191" i="5"/>
  <c r="H191" i="5"/>
  <c r="J190" i="5"/>
  <c r="I190" i="5"/>
  <c r="H190" i="5"/>
  <c r="J189" i="5"/>
  <c r="I189" i="5"/>
  <c r="H189" i="5"/>
  <c r="J188" i="5"/>
  <c r="I188" i="5"/>
  <c r="H188" i="5"/>
  <c r="J187" i="5"/>
  <c r="I187" i="5"/>
  <c r="H187" i="5"/>
  <c r="J186" i="5"/>
  <c r="I186" i="5"/>
  <c r="H186" i="5"/>
  <c r="J185" i="5"/>
  <c r="I185" i="5"/>
  <c r="H185" i="5"/>
  <c r="J184" i="5"/>
  <c r="I184" i="5"/>
  <c r="H184" i="5"/>
  <c r="J183" i="5"/>
  <c r="I183" i="5"/>
  <c r="H183" i="5"/>
  <c r="J182" i="5"/>
  <c r="I182" i="5"/>
  <c r="H182" i="5"/>
  <c r="J181" i="5"/>
  <c r="I181" i="5"/>
  <c r="H181" i="5"/>
  <c r="J180" i="5"/>
  <c r="I180" i="5"/>
  <c r="H180" i="5"/>
  <c r="J179" i="5"/>
  <c r="I179" i="5"/>
  <c r="H179" i="5"/>
  <c r="I178" i="5"/>
  <c r="H178" i="5"/>
  <c r="J177" i="5"/>
  <c r="I177" i="5"/>
  <c r="H177" i="5"/>
  <c r="J176" i="5"/>
  <c r="I176" i="5"/>
  <c r="H176" i="5"/>
  <c r="J175" i="5"/>
  <c r="I175" i="5"/>
  <c r="H175" i="5"/>
  <c r="J174" i="5"/>
  <c r="I174" i="5"/>
  <c r="H174" i="5"/>
  <c r="J173" i="5"/>
  <c r="I173" i="5"/>
  <c r="H173" i="5"/>
  <c r="J172" i="5"/>
  <c r="I172" i="5"/>
  <c r="H172" i="5"/>
  <c r="J171" i="5"/>
  <c r="I171" i="5"/>
  <c r="H171" i="5"/>
  <c r="J170" i="5"/>
  <c r="I170" i="5"/>
  <c r="H170" i="5"/>
  <c r="J169" i="5"/>
  <c r="I169" i="5"/>
  <c r="H169" i="5"/>
  <c r="J168" i="5"/>
  <c r="I168" i="5"/>
  <c r="H168" i="5"/>
  <c r="J167" i="5"/>
  <c r="I167" i="5"/>
  <c r="H167" i="5"/>
  <c r="J166" i="5"/>
  <c r="I166" i="5"/>
  <c r="H166" i="5"/>
  <c r="J165" i="5"/>
  <c r="I165" i="5"/>
  <c r="H165" i="5"/>
  <c r="J164" i="5"/>
  <c r="I164" i="5"/>
  <c r="H164" i="5"/>
  <c r="J163" i="5"/>
  <c r="I163" i="5"/>
  <c r="H163" i="5"/>
  <c r="J162" i="5"/>
  <c r="I162" i="5"/>
  <c r="H162" i="5"/>
  <c r="J161" i="5"/>
  <c r="I161" i="5"/>
  <c r="H161" i="5"/>
  <c r="J160" i="5"/>
  <c r="I160" i="5"/>
  <c r="H160" i="5"/>
  <c r="J159" i="5"/>
  <c r="I159" i="5"/>
  <c r="H159" i="5"/>
  <c r="J158" i="5"/>
  <c r="I158" i="5"/>
  <c r="H158" i="5"/>
  <c r="J157" i="5"/>
  <c r="I157" i="5"/>
  <c r="H157" i="5"/>
  <c r="J156" i="5"/>
  <c r="I156" i="5"/>
  <c r="H156" i="5"/>
  <c r="J155" i="5"/>
  <c r="I155" i="5"/>
  <c r="H155" i="5"/>
  <c r="J154" i="5"/>
  <c r="I154" i="5"/>
  <c r="H154" i="5"/>
  <c r="J153" i="5"/>
  <c r="I153" i="5"/>
  <c r="H153" i="5"/>
  <c r="J152" i="5"/>
  <c r="I152" i="5"/>
  <c r="H152" i="5"/>
  <c r="J151" i="5"/>
  <c r="I151" i="5"/>
  <c r="H151" i="5"/>
  <c r="J150" i="5"/>
  <c r="I150" i="5"/>
  <c r="H150" i="5"/>
  <c r="J149" i="5"/>
  <c r="I149" i="5"/>
  <c r="H149" i="5"/>
  <c r="J148" i="5"/>
  <c r="I148" i="5"/>
  <c r="H148" i="5"/>
  <c r="J147" i="5"/>
  <c r="I147" i="5"/>
  <c r="H147" i="5"/>
  <c r="J146" i="5"/>
  <c r="I146" i="5"/>
  <c r="H146" i="5"/>
  <c r="J145" i="5"/>
  <c r="I145" i="5"/>
  <c r="H145" i="5"/>
  <c r="J144" i="5"/>
  <c r="I144" i="5"/>
  <c r="H144" i="5"/>
  <c r="J143" i="5"/>
  <c r="I143" i="5"/>
  <c r="H143" i="5"/>
  <c r="J142" i="5"/>
  <c r="I142" i="5"/>
  <c r="H142" i="5"/>
  <c r="J141" i="5"/>
  <c r="I141" i="5"/>
  <c r="H141" i="5"/>
  <c r="J140" i="5"/>
  <c r="I140" i="5"/>
  <c r="H140" i="5"/>
  <c r="J139" i="5"/>
  <c r="I139" i="5"/>
  <c r="H139" i="5"/>
  <c r="J138" i="5"/>
  <c r="I138" i="5"/>
  <c r="H138" i="5"/>
  <c r="J137" i="5"/>
  <c r="I137" i="5"/>
  <c r="H137" i="5"/>
  <c r="J136" i="5"/>
  <c r="I136" i="5"/>
  <c r="H136" i="5"/>
  <c r="J135" i="5"/>
  <c r="I135" i="5"/>
  <c r="H135" i="5"/>
  <c r="J134" i="5"/>
  <c r="I134" i="5"/>
  <c r="H134" i="5"/>
  <c r="J133" i="5"/>
  <c r="I133" i="5"/>
  <c r="H133" i="5"/>
  <c r="J132" i="5"/>
  <c r="I132" i="5"/>
  <c r="H132" i="5"/>
  <c r="J131" i="5"/>
  <c r="I131" i="5"/>
  <c r="H131" i="5"/>
  <c r="J130" i="5"/>
  <c r="I130" i="5"/>
  <c r="H130" i="5"/>
  <c r="J129" i="5"/>
  <c r="I129" i="5"/>
  <c r="H129" i="5"/>
  <c r="J128" i="5"/>
  <c r="I128" i="5"/>
  <c r="H128" i="5"/>
  <c r="J127" i="5"/>
  <c r="I127" i="5"/>
  <c r="H127" i="5"/>
  <c r="J126" i="5"/>
  <c r="I126" i="5"/>
  <c r="H126" i="5"/>
  <c r="J125" i="5"/>
  <c r="I125" i="5"/>
  <c r="H125" i="5"/>
  <c r="J124" i="5"/>
  <c r="I124" i="5"/>
  <c r="H124" i="5"/>
  <c r="J123" i="5"/>
  <c r="I123" i="5"/>
  <c r="H123" i="5"/>
  <c r="J122" i="5"/>
  <c r="I122" i="5"/>
  <c r="H122" i="5"/>
  <c r="J121" i="5"/>
  <c r="I121" i="5"/>
  <c r="H121" i="5"/>
  <c r="J120" i="5"/>
  <c r="I120" i="5"/>
  <c r="H120" i="5"/>
  <c r="J119" i="5"/>
  <c r="I119" i="5"/>
  <c r="H119" i="5"/>
  <c r="J118" i="5"/>
  <c r="I118" i="5"/>
  <c r="H118" i="5"/>
  <c r="J117" i="5"/>
  <c r="I117" i="5"/>
  <c r="H117" i="5"/>
  <c r="J116" i="5"/>
  <c r="I116" i="5"/>
  <c r="H116" i="5"/>
  <c r="J115" i="5"/>
  <c r="I115" i="5"/>
  <c r="H115" i="5"/>
  <c r="J113" i="5"/>
  <c r="I113" i="5"/>
  <c r="H113" i="5"/>
  <c r="J112" i="5"/>
  <c r="I112" i="5"/>
  <c r="H112" i="5"/>
  <c r="J111" i="5"/>
  <c r="I111" i="5"/>
  <c r="H111" i="5"/>
  <c r="J110" i="5"/>
  <c r="I110" i="5"/>
  <c r="H110" i="5"/>
  <c r="J109" i="5"/>
  <c r="I109" i="5"/>
  <c r="H109" i="5"/>
  <c r="J108" i="5"/>
  <c r="I108" i="5"/>
  <c r="H108" i="5"/>
  <c r="J107" i="5"/>
  <c r="I107" i="5"/>
  <c r="H107" i="5"/>
  <c r="J106" i="5"/>
  <c r="I106" i="5"/>
  <c r="H106" i="5"/>
  <c r="J105" i="5"/>
  <c r="I105" i="5"/>
  <c r="H105" i="5"/>
  <c r="J104" i="5"/>
  <c r="I104" i="5"/>
  <c r="H104" i="5"/>
  <c r="J103" i="5"/>
  <c r="I103" i="5"/>
  <c r="H103" i="5"/>
  <c r="J102" i="5"/>
  <c r="I102" i="5"/>
  <c r="H102" i="5"/>
  <c r="J101" i="5"/>
  <c r="I101" i="5"/>
  <c r="H101" i="5"/>
  <c r="J100" i="5"/>
  <c r="I100" i="5"/>
  <c r="H100" i="5"/>
  <c r="J99" i="5"/>
  <c r="I99" i="5"/>
  <c r="H99" i="5"/>
  <c r="J98" i="5"/>
  <c r="I98" i="5"/>
  <c r="H98" i="5"/>
  <c r="J97" i="5"/>
  <c r="I97" i="5"/>
  <c r="H97" i="5"/>
  <c r="J96" i="5"/>
  <c r="I96" i="5"/>
  <c r="H96" i="5"/>
  <c r="J95" i="5"/>
  <c r="I95" i="5"/>
  <c r="H95" i="5"/>
  <c r="J94" i="5"/>
  <c r="I94" i="5"/>
  <c r="H94" i="5"/>
  <c r="J93" i="5"/>
  <c r="I93" i="5"/>
  <c r="H93" i="5"/>
  <c r="J92" i="5"/>
  <c r="I92" i="5"/>
  <c r="H92" i="5"/>
  <c r="J91" i="5"/>
  <c r="I91" i="5"/>
  <c r="H91" i="5"/>
  <c r="J90" i="5"/>
  <c r="I90" i="5"/>
  <c r="H90" i="5"/>
  <c r="J89" i="5"/>
  <c r="I89" i="5"/>
  <c r="H89" i="5"/>
  <c r="J88" i="5"/>
  <c r="I88" i="5"/>
  <c r="H88" i="5"/>
  <c r="J87" i="5"/>
  <c r="I87" i="5"/>
  <c r="H87" i="5"/>
  <c r="J86" i="5"/>
  <c r="I86" i="5"/>
  <c r="H86" i="5"/>
  <c r="J85" i="5"/>
  <c r="I85" i="5"/>
  <c r="H85" i="5"/>
  <c r="J84" i="5"/>
  <c r="I84" i="5"/>
  <c r="H84" i="5"/>
  <c r="J83" i="5"/>
  <c r="I83" i="5"/>
  <c r="H83" i="5"/>
  <c r="J82" i="5"/>
  <c r="I82" i="5"/>
  <c r="H82" i="5"/>
  <c r="J81" i="5"/>
  <c r="I81" i="5"/>
  <c r="H81" i="5"/>
  <c r="J80" i="5"/>
  <c r="I80" i="5"/>
  <c r="H80" i="5"/>
  <c r="J79" i="5"/>
  <c r="I79" i="5"/>
  <c r="H79" i="5"/>
  <c r="J78" i="5"/>
  <c r="I78" i="5"/>
  <c r="H78" i="5"/>
  <c r="J77" i="5"/>
  <c r="I77" i="5"/>
  <c r="H77" i="5"/>
  <c r="J76" i="5"/>
  <c r="I76" i="5"/>
  <c r="H76" i="5"/>
  <c r="J75" i="5"/>
  <c r="I75" i="5"/>
  <c r="H75" i="5"/>
  <c r="J74" i="5"/>
  <c r="I74" i="5"/>
  <c r="H74" i="5"/>
  <c r="J73" i="5"/>
  <c r="I73" i="5"/>
  <c r="H73" i="5"/>
  <c r="J72" i="5"/>
  <c r="I72" i="5"/>
  <c r="H72" i="5"/>
  <c r="J71" i="5"/>
  <c r="I71" i="5"/>
  <c r="H71" i="5"/>
  <c r="J70" i="5"/>
  <c r="I70" i="5"/>
  <c r="H70" i="5"/>
  <c r="J69" i="5"/>
  <c r="I69" i="5"/>
  <c r="H69" i="5"/>
  <c r="J68" i="5"/>
  <c r="I68" i="5"/>
  <c r="H68" i="5"/>
  <c r="J67" i="5"/>
  <c r="I67" i="5"/>
  <c r="H67" i="5"/>
  <c r="J66" i="5"/>
  <c r="I66" i="5"/>
  <c r="H66" i="5"/>
  <c r="J65" i="5"/>
  <c r="I65" i="5"/>
  <c r="H65" i="5"/>
  <c r="J64" i="5"/>
  <c r="I64" i="5"/>
  <c r="H64" i="5"/>
  <c r="J63" i="5"/>
  <c r="I63" i="5"/>
  <c r="H63" i="5"/>
  <c r="J62" i="5"/>
  <c r="I62" i="5"/>
  <c r="H62" i="5"/>
  <c r="J61" i="5"/>
  <c r="I61" i="5"/>
  <c r="H61" i="5"/>
  <c r="J60" i="5"/>
  <c r="I60" i="5"/>
  <c r="H60" i="5"/>
  <c r="J59" i="5"/>
  <c r="I59" i="5"/>
  <c r="H59" i="5"/>
  <c r="J58" i="5"/>
  <c r="I58" i="5"/>
  <c r="H58" i="5"/>
  <c r="J57" i="5"/>
  <c r="I57" i="5"/>
  <c r="H57" i="5"/>
  <c r="J56" i="5"/>
  <c r="I56" i="5"/>
  <c r="J55" i="5"/>
  <c r="I55" i="5"/>
  <c r="J54" i="5"/>
  <c r="I54" i="5"/>
  <c r="H54" i="5"/>
  <c r="J53" i="5"/>
  <c r="I53" i="5"/>
  <c r="H53" i="5"/>
  <c r="J52" i="5"/>
  <c r="I52" i="5"/>
  <c r="H52" i="5"/>
  <c r="J51" i="5"/>
  <c r="I51" i="5"/>
  <c r="H51" i="5"/>
  <c r="J50" i="5"/>
  <c r="I50" i="5"/>
  <c r="H50" i="5"/>
  <c r="J49" i="5"/>
  <c r="I49" i="5"/>
  <c r="H49" i="5"/>
  <c r="J48" i="5"/>
  <c r="I48" i="5"/>
  <c r="H48" i="5"/>
  <c r="J47" i="5"/>
  <c r="I47" i="5"/>
  <c r="H47" i="5"/>
  <c r="J46" i="5"/>
  <c r="I46" i="5"/>
  <c r="H46" i="5"/>
  <c r="J45" i="5"/>
  <c r="I45" i="5"/>
  <c r="H45" i="5"/>
  <c r="J44" i="5"/>
  <c r="I44" i="5"/>
  <c r="H44" i="5"/>
  <c r="J43" i="5"/>
  <c r="I43" i="5"/>
  <c r="H43" i="5"/>
  <c r="J42" i="5"/>
  <c r="I42" i="5"/>
  <c r="H42" i="5"/>
  <c r="J41" i="5"/>
  <c r="I41" i="5"/>
  <c r="H41" i="5"/>
  <c r="J40" i="5"/>
  <c r="I40" i="5"/>
  <c r="H40" i="5"/>
  <c r="J39" i="5"/>
  <c r="I39" i="5"/>
  <c r="H39" i="5"/>
  <c r="J38" i="5"/>
  <c r="I38" i="5"/>
  <c r="H38" i="5"/>
  <c r="J37" i="5"/>
  <c r="I37" i="5"/>
  <c r="H37" i="5"/>
  <c r="J36" i="5"/>
  <c r="I36" i="5"/>
  <c r="H36" i="5"/>
  <c r="J35" i="5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6" i="5"/>
  <c r="I6" i="5"/>
  <c r="H6" i="5"/>
  <c r="J5" i="5"/>
  <c r="I5" i="5"/>
  <c r="H5" i="5"/>
  <c r="Y194" i="6" l="1"/>
  <c r="Y195" i="6"/>
  <c r="Y196" i="6" s="1"/>
  <c r="Y197" i="6" s="1"/>
  <c r="Y198" i="6" s="1"/>
  <c r="Y199" i="6" s="1"/>
  <c r="Y200" i="6" s="1"/>
  <c r="Y201" i="6" s="1"/>
  <c r="Y202" i="6" s="1"/>
  <c r="Y203" i="6" s="1"/>
  <c r="Y204" i="6" s="1"/>
  <c r="Y205" i="6" s="1"/>
  <c r="Y206" i="6" s="1"/>
  <c r="Y207" i="6" s="1"/>
  <c r="Y208" i="6" s="1"/>
  <c r="Y209" i="6" s="1"/>
  <c r="Y210" i="6" s="1"/>
  <c r="Y211" i="6" s="1"/>
  <c r="Y212" i="6" s="1"/>
  <c r="Y213" i="6" s="1"/>
  <c r="Y214" i="6" s="1"/>
  <c r="Y215" i="6" s="1"/>
  <c r="Y216" i="6" s="1"/>
  <c r="Y218" i="6" s="1"/>
  <c r="Y219" i="6" s="1"/>
  <c r="Y220" i="6" s="1"/>
  <c r="Y221" i="6" s="1"/>
  <c r="Y222" i="6" s="1"/>
  <c r="Y223" i="6" s="1"/>
  <c r="Y224" i="6" s="1"/>
  <c r="Y225" i="6" s="1"/>
  <c r="Y226" i="6" s="1"/>
  <c r="Y227" i="6" s="1"/>
  <c r="Y228" i="6" s="1"/>
  <c r="Y229" i="6" s="1"/>
  <c r="Y230" i="6" s="1"/>
  <c r="Y231" i="6" s="1"/>
  <c r="Y232" i="6" s="1"/>
  <c r="Y233" i="6" s="1"/>
  <c r="Y234" i="6" s="1"/>
  <c r="Y235" i="6" s="1"/>
  <c r="Y236" i="6" s="1"/>
  <c r="Y237" i="6" s="1"/>
  <c r="Y238" i="6" s="1"/>
  <c r="Y239" i="6" s="1"/>
  <c r="Y240" i="6" s="1"/>
  <c r="Y241" i="6" s="1"/>
  <c r="Y242" i="6" s="1"/>
  <c r="Y243" i="6" s="1"/>
  <c r="Y244" i="6" s="1"/>
  <c r="Y245" i="6" s="1"/>
  <c r="Y246" i="6" s="1"/>
  <c r="Y247" i="6" s="1"/>
  <c r="Y248" i="6" s="1"/>
  <c r="Y249" i="6" s="1"/>
  <c r="Y250" i="6" s="1"/>
  <c r="Y251" i="6" s="1"/>
  <c r="Y252" i="6" s="1"/>
  <c r="Y253" i="6" s="1"/>
  <c r="Y254" i="6" s="1"/>
  <c r="Y255" i="6" s="1"/>
  <c r="Y256" i="6" s="1"/>
  <c r="Y257" i="6" s="1"/>
  <c r="Y258" i="6" s="1"/>
  <c r="Y259" i="6" s="1"/>
  <c r="Y260" i="6" s="1"/>
  <c r="Y261" i="6" s="1"/>
  <c r="Y262" i="6" s="1"/>
  <c r="Y263" i="6" s="1"/>
  <c r="Y264" i="6" s="1"/>
  <c r="Y265" i="6" s="1"/>
  <c r="Y266" i="6" s="1"/>
  <c r="Y267" i="6" s="1"/>
  <c r="Y268" i="6" s="1"/>
  <c r="Y269" i="6" s="1"/>
  <c r="Y270" i="6" s="1"/>
  <c r="Y271" i="6" s="1"/>
  <c r="Y272" i="6" s="1"/>
  <c r="Y273" i="6" s="1"/>
  <c r="Y274" i="6" s="1"/>
  <c r="Y275" i="6" s="1"/>
  <c r="Y276" i="6" s="1"/>
  <c r="Y277" i="6" s="1"/>
  <c r="Y278" i="6" s="1"/>
  <c r="Y279" i="6" s="1"/>
  <c r="Y280" i="6" s="1"/>
  <c r="Y281" i="6" s="1"/>
  <c r="Y282" i="6" s="1"/>
  <c r="Y283" i="6" s="1"/>
  <c r="Y284" i="6" s="1"/>
  <c r="Y285" i="6" s="1"/>
  <c r="Y286" i="6" s="1"/>
  <c r="Y287" i="6" s="1"/>
  <c r="Y288" i="6" s="1"/>
  <c r="Y289" i="6" s="1"/>
  <c r="Y290" i="6" s="1"/>
  <c r="Y291" i="6" s="1"/>
  <c r="Y292" i="6" s="1"/>
  <c r="Y293" i="6" s="1"/>
  <c r="Y294" i="6" s="1"/>
  <c r="Y295" i="6" s="1"/>
  <c r="Y296" i="6" s="1"/>
  <c r="Y297" i="6" s="1"/>
  <c r="Y298" i="6" s="1"/>
  <c r="Y299" i="6" s="1"/>
  <c r="Y300" i="6" s="1"/>
  <c r="T56" i="6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T84" i="6" s="1"/>
  <c r="T85" i="6" s="1"/>
  <c r="T86" i="6" s="1"/>
  <c r="T87" i="6" s="1"/>
  <c r="T88" i="6" s="1"/>
  <c r="T89" i="6" s="1"/>
  <c r="T90" i="6" s="1"/>
  <c r="T91" i="6" s="1"/>
  <c r="T92" i="6" s="1"/>
  <c r="T93" i="6" s="1"/>
  <c r="T94" i="6" s="1"/>
  <c r="T95" i="6" s="1"/>
  <c r="T96" i="6" s="1"/>
  <c r="T97" i="6" s="1"/>
  <c r="T98" i="6" s="1"/>
  <c r="T99" i="6" s="1"/>
  <c r="T100" i="6" s="1"/>
  <c r="T101" i="6" s="1"/>
  <c r="T102" i="6" s="1"/>
  <c r="M7" i="6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L6" i="5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L101" i="5" s="1"/>
  <c r="L102" i="5" s="1"/>
  <c r="L103" i="5" s="1"/>
  <c r="L104" i="5" s="1"/>
  <c r="L105" i="5" s="1"/>
  <c r="L106" i="5" s="1"/>
  <c r="L107" i="5" s="1"/>
  <c r="L108" i="5" s="1"/>
  <c r="L109" i="5" s="1"/>
  <c r="L110" i="5" s="1"/>
  <c r="L111" i="5" s="1"/>
  <c r="L112" i="5" s="1"/>
  <c r="L113" i="5" s="1"/>
  <c r="L115" i="5" s="1"/>
  <c r="L116" i="5" s="1"/>
  <c r="L117" i="5" s="1"/>
  <c r="L118" i="5" s="1"/>
  <c r="L119" i="5" s="1"/>
  <c r="L120" i="5" s="1"/>
  <c r="L121" i="5" s="1"/>
  <c r="L122" i="5" s="1"/>
  <c r="L123" i="5" s="1"/>
  <c r="L124" i="5" s="1"/>
  <c r="L125" i="5" s="1"/>
  <c r="L126" i="5" s="1"/>
  <c r="L127" i="5" s="1"/>
  <c r="L128" i="5" s="1"/>
  <c r="L129" i="5" s="1"/>
  <c r="L130" i="5" s="1"/>
  <c r="L131" i="5" s="1"/>
  <c r="L132" i="5" s="1"/>
  <c r="L133" i="5" s="1"/>
  <c r="L134" i="5" s="1"/>
  <c r="L135" i="5" s="1"/>
  <c r="L136" i="5" s="1"/>
  <c r="L137" i="5" s="1"/>
  <c r="L138" i="5" s="1"/>
  <c r="L139" i="5" s="1"/>
  <c r="L140" i="5" s="1"/>
  <c r="L141" i="5" s="1"/>
  <c r="L142" i="5" s="1"/>
  <c r="L143" i="5" s="1"/>
  <c r="L144" i="5" s="1"/>
  <c r="L145" i="5" s="1"/>
  <c r="L146" i="5" s="1"/>
  <c r="L147" i="5" s="1"/>
  <c r="L148" i="5" s="1"/>
  <c r="L149" i="5" s="1"/>
  <c r="L150" i="5" s="1"/>
  <c r="L151" i="5" s="1"/>
  <c r="L152" i="5" s="1"/>
  <c r="L153" i="5" s="1"/>
  <c r="L154" i="5" s="1"/>
  <c r="L155" i="5" s="1"/>
  <c r="L156" i="5" s="1"/>
  <c r="L157" i="5" s="1"/>
  <c r="L158" i="5" s="1"/>
  <c r="L159" i="5" s="1"/>
  <c r="L160" i="5" s="1"/>
  <c r="L161" i="5" s="1"/>
  <c r="L162" i="5" s="1"/>
  <c r="L163" i="5" s="1"/>
  <c r="L164" i="5" s="1"/>
  <c r="L165" i="5" s="1"/>
  <c r="L166" i="5" s="1"/>
  <c r="L167" i="5" s="1"/>
  <c r="L168" i="5" s="1"/>
  <c r="L169" i="5" s="1"/>
  <c r="L170" i="5" s="1"/>
  <c r="L171" i="5" s="1"/>
  <c r="L172" i="5" s="1"/>
  <c r="L173" i="5" s="1"/>
  <c r="L174" i="5" s="1"/>
  <c r="L175" i="5" s="1"/>
  <c r="L176" i="5" s="1"/>
  <c r="L177" i="5" s="1"/>
  <c r="L178" i="5" s="1"/>
  <c r="L179" i="5" s="1"/>
  <c r="L180" i="5" s="1"/>
  <c r="L181" i="5" s="1"/>
  <c r="L182" i="5" s="1"/>
  <c r="L183" i="5" s="1"/>
  <c r="L184" i="5" s="1"/>
  <c r="L185" i="5" s="1"/>
  <c r="L186" i="5" s="1"/>
  <c r="L187" i="5" s="1"/>
  <c r="L188" i="5" s="1"/>
  <c r="L189" i="5" s="1"/>
  <c r="L190" i="5" s="1"/>
  <c r="L191" i="5" s="1"/>
  <c r="L192" i="5" s="1"/>
  <c r="L193" i="5" s="1"/>
  <c r="L194" i="5" s="1"/>
  <c r="L195" i="5" s="1"/>
  <c r="L196" i="5" s="1"/>
  <c r="L197" i="5" s="1"/>
  <c r="L199" i="5" s="1"/>
  <c r="L200" i="5" s="1"/>
  <c r="L201" i="5" s="1"/>
  <c r="L202" i="5" s="1"/>
  <c r="L203" i="5" s="1"/>
  <c r="L204" i="5" s="1"/>
  <c r="L205" i="5" s="1"/>
  <c r="L206" i="5" s="1"/>
  <c r="L207" i="5" s="1"/>
  <c r="L208" i="5" s="1"/>
  <c r="L209" i="5" s="1"/>
  <c r="L210" i="5" s="1"/>
  <c r="L211" i="5" s="1"/>
  <c r="L212" i="5" s="1"/>
  <c r="L213" i="5" s="1"/>
  <c r="L214" i="5" s="1"/>
  <c r="L215" i="5" s="1"/>
  <c r="L216" i="5" s="1"/>
  <c r="L217" i="5" s="1"/>
  <c r="L218" i="5" s="1"/>
  <c r="L219" i="5" s="1"/>
  <c r="L220" i="5" s="1"/>
  <c r="L221" i="5" s="1"/>
  <c r="L222" i="5" s="1"/>
  <c r="L223" i="5" s="1"/>
  <c r="L224" i="5" s="1"/>
  <c r="L225" i="5" s="1"/>
  <c r="L226" i="5" s="1"/>
  <c r="L227" i="5" s="1"/>
  <c r="L228" i="5" s="1"/>
  <c r="L229" i="5" s="1"/>
  <c r="L230" i="5" s="1"/>
  <c r="L231" i="5" s="1"/>
  <c r="L232" i="5" s="1"/>
  <c r="L233" i="5" s="1"/>
  <c r="L234" i="5" s="1"/>
  <c r="L235" i="5" s="1"/>
  <c r="L236" i="5" s="1"/>
  <c r="L237" i="5" s="1"/>
  <c r="L238" i="5" s="1"/>
  <c r="L239" i="5" s="1"/>
  <c r="L240" i="5" s="1"/>
  <c r="L241" i="5" s="1"/>
  <c r="L242" i="5" s="1"/>
  <c r="L243" i="5" s="1"/>
  <c r="L244" i="5" s="1"/>
  <c r="L245" i="5" s="1"/>
  <c r="L246" i="5" s="1"/>
  <c r="L247" i="5" s="1"/>
  <c r="L248" i="5" s="1"/>
  <c r="L249" i="5" s="1"/>
  <c r="L250" i="5" s="1"/>
  <c r="L251" i="5" s="1"/>
  <c r="L252" i="5" s="1"/>
  <c r="L253" i="5" s="1"/>
  <c r="L254" i="5" s="1"/>
  <c r="L255" i="5" s="1"/>
  <c r="L256" i="5" s="1"/>
  <c r="L257" i="5" s="1"/>
  <c r="L258" i="5" s="1"/>
  <c r="L259" i="5" s="1"/>
  <c r="L260" i="5" s="1"/>
  <c r="L261" i="5" s="1"/>
  <c r="L262" i="5" s="1"/>
  <c r="L263" i="5" s="1"/>
  <c r="L264" i="5" s="1"/>
  <c r="L265" i="5" s="1"/>
  <c r="L266" i="5" s="1"/>
  <c r="L267" i="5" s="1"/>
  <c r="L268" i="5" s="1"/>
  <c r="L269" i="5" s="1"/>
  <c r="L270" i="5" s="1"/>
  <c r="L271" i="5" s="1"/>
  <c r="L272" i="5" s="1"/>
  <c r="L273" i="5" s="1"/>
  <c r="L274" i="5" s="1"/>
  <c r="L275" i="5" s="1"/>
  <c r="L276" i="5" s="1"/>
  <c r="L277" i="5" s="1"/>
  <c r="L278" i="5" s="1"/>
  <c r="L279" i="5" s="1"/>
  <c r="L280" i="5" s="1"/>
  <c r="L281" i="5" s="1"/>
  <c r="L282" i="5" s="1"/>
  <c r="L283" i="5" s="1"/>
  <c r="L284" i="5" s="1"/>
  <c r="L285" i="5" s="1"/>
  <c r="L286" i="5" s="1"/>
  <c r="L287" i="5" s="1"/>
  <c r="L288" i="5" s="1"/>
  <c r="L289" i="5" s="1"/>
  <c r="L290" i="5" s="1"/>
  <c r="L291" i="5" s="1"/>
  <c r="L292" i="5" s="1"/>
  <c r="L293" i="5" s="1"/>
  <c r="L294" i="5" s="1"/>
  <c r="L295" i="5" s="1"/>
  <c r="L296" i="5" s="1"/>
  <c r="L297" i="5" s="1"/>
  <c r="L298" i="5" s="1"/>
  <c r="L300" i="5" s="1"/>
  <c r="L301" i="5" s="1"/>
  <c r="L302" i="5" s="1"/>
  <c r="L303" i="5" s="1"/>
  <c r="L304" i="5" s="1"/>
  <c r="L305" i="5" s="1"/>
  <c r="L306" i="5" s="1"/>
  <c r="L307" i="5" s="1"/>
  <c r="L308" i="5" s="1"/>
  <c r="L309" i="5" s="1"/>
  <c r="L310" i="5" s="1"/>
  <c r="L311" i="5" s="1"/>
  <c r="L312" i="5" s="1"/>
  <c r="L313" i="5" s="1"/>
  <c r="L314" i="5" s="1"/>
  <c r="L315" i="5" s="1"/>
  <c r="L316" i="5" s="1"/>
  <c r="L317" i="5" s="1"/>
  <c r="L318" i="5" s="1"/>
  <c r="L319" i="5" s="1"/>
  <c r="L320" i="5" s="1"/>
  <c r="L321" i="5" s="1"/>
  <c r="L322" i="5" s="1"/>
  <c r="L323" i="5" s="1"/>
  <c r="L324" i="5" s="1"/>
  <c r="L325" i="5" s="1"/>
  <c r="L326" i="5" s="1"/>
  <c r="L327" i="5" s="1"/>
  <c r="L328" i="5" s="1"/>
  <c r="L329" i="5" s="1"/>
  <c r="L330" i="5" s="1"/>
  <c r="L331" i="5" s="1"/>
  <c r="L332" i="5" s="1"/>
  <c r="L333" i="5" s="1"/>
  <c r="L334" i="5" s="1"/>
  <c r="L335" i="5" s="1"/>
  <c r="L336" i="5" s="1"/>
  <c r="L337" i="5" s="1"/>
  <c r="L338" i="5" s="1"/>
  <c r="L339" i="5" s="1"/>
  <c r="L340" i="5" s="1"/>
  <c r="L341" i="5" s="1"/>
  <c r="L342" i="5" s="1"/>
  <c r="L343" i="5" s="1"/>
  <c r="L344" i="5" s="1"/>
  <c r="L345" i="5" s="1"/>
  <c r="L346" i="5" s="1"/>
  <c r="L347" i="5" s="1"/>
  <c r="L348" i="5" s="1"/>
  <c r="L349" i="5" s="1"/>
  <c r="L350" i="5" s="1"/>
  <c r="L351" i="5" s="1"/>
  <c r="L352" i="5" s="1"/>
  <c r="L353" i="5" s="1"/>
  <c r="L354" i="5" s="1"/>
  <c r="L355" i="5" s="1"/>
  <c r="L356" i="5" s="1"/>
  <c r="L357" i="5" s="1"/>
  <c r="L358" i="5" s="1"/>
  <c r="L359" i="5" s="1"/>
  <c r="L360" i="5" s="1"/>
  <c r="L361" i="5" s="1"/>
  <c r="L362" i="5" s="1"/>
  <c r="L363" i="5" s="1"/>
  <c r="L364" i="5" s="1"/>
  <c r="L365" i="5" s="1"/>
  <c r="L366" i="5" s="1"/>
  <c r="L367" i="5" s="1"/>
  <c r="L368" i="5" s="1"/>
  <c r="L369" i="5" s="1"/>
  <c r="L370" i="5" s="1"/>
  <c r="L371" i="5" s="1"/>
  <c r="L372" i="5" s="1"/>
  <c r="L373" i="5" s="1"/>
  <c r="L374" i="5" s="1"/>
  <c r="L375" i="5" s="1"/>
  <c r="L376" i="5" s="1"/>
  <c r="L377" i="5" s="1"/>
  <c r="L378" i="5" s="1"/>
  <c r="L379" i="5" s="1"/>
  <c r="L380" i="5" s="1"/>
  <c r="L381" i="5" s="1"/>
  <c r="L382" i="5" s="1"/>
  <c r="L383" i="5" s="1"/>
  <c r="L384" i="5" s="1"/>
  <c r="L385" i="5" s="1"/>
  <c r="L386" i="5" s="1"/>
  <c r="L387" i="5" s="1"/>
  <c r="L388" i="5" s="1"/>
  <c r="L389" i="5" s="1"/>
  <c r="L390" i="5" s="1"/>
  <c r="L391" i="5" s="1"/>
  <c r="L392" i="5" s="1"/>
  <c r="L393" i="5" s="1"/>
  <c r="L394" i="5" s="1"/>
  <c r="L395" i="5" s="1"/>
  <c r="L396" i="5" s="1"/>
  <c r="L397" i="5" s="1"/>
  <c r="L398" i="5" s="1"/>
  <c r="L399" i="5" s="1"/>
  <c r="L400" i="5" s="1"/>
  <c r="L401" i="5" s="1"/>
  <c r="L402" i="5" s="1"/>
  <c r="L403" i="5" s="1"/>
  <c r="L404" i="5" s="1"/>
  <c r="L405" i="5" s="1"/>
  <c r="L407" i="5" s="1"/>
  <c r="L408" i="5" s="1"/>
  <c r="L409" i="5" s="1"/>
  <c r="L410" i="5" s="1"/>
  <c r="L411" i="5" s="1"/>
  <c r="L412" i="5" s="1"/>
  <c r="L413" i="5" s="1"/>
  <c r="L414" i="5" s="1"/>
  <c r="L415" i="5" s="1"/>
  <c r="L416" i="5" s="1"/>
  <c r="L417" i="5" s="1"/>
  <c r="L418" i="5" s="1"/>
  <c r="L419" i="5" s="1"/>
  <c r="L420" i="5" s="1"/>
  <c r="L421" i="5" s="1"/>
  <c r="L422" i="5" s="1"/>
  <c r="L423" i="5" s="1"/>
  <c r="L424" i="5" s="1"/>
  <c r="L425" i="5" s="1"/>
  <c r="L426" i="5" s="1"/>
  <c r="L427" i="5" s="1"/>
  <c r="L428" i="5" s="1"/>
  <c r="L429" i="5" s="1"/>
  <c r="L430" i="5" s="1"/>
  <c r="L431" i="5" s="1"/>
  <c r="L432" i="5" s="1"/>
  <c r="L433" i="5" s="1"/>
  <c r="L434" i="5" s="1"/>
  <c r="L435" i="5" s="1"/>
  <c r="L436" i="5" s="1"/>
  <c r="L437" i="5" s="1"/>
  <c r="L438" i="5" s="1"/>
  <c r="L439" i="5" s="1"/>
  <c r="L440" i="5" s="1"/>
  <c r="L441" i="5" s="1"/>
  <c r="L442" i="5" s="1"/>
  <c r="L443" i="5" s="1"/>
  <c r="L444" i="5" s="1"/>
  <c r="L445" i="5" s="1"/>
  <c r="L446" i="5" s="1"/>
  <c r="L447" i="5" s="1"/>
  <c r="L448" i="5" s="1"/>
  <c r="L449" i="5" s="1"/>
  <c r="L450" i="5" s="1"/>
  <c r="L451" i="5" s="1"/>
  <c r="L452" i="5" s="1"/>
  <c r="L453" i="5" s="1"/>
  <c r="L454" i="5" s="1"/>
  <c r="L455" i="5" s="1"/>
  <c r="L456" i="5" s="1"/>
  <c r="L457" i="5" s="1"/>
  <c r="L458" i="5" s="1"/>
  <c r="L459" i="5" s="1"/>
  <c r="L460" i="5" s="1"/>
  <c r="L461" i="5" s="1"/>
  <c r="L462" i="5" s="1"/>
  <c r="L463" i="5" s="1"/>
  <c r="L464" i="5" s="1"/>
  <c r="L465" i="5" s="1"/>
  <c r="L466" i="5" s="1"/>
  <c r="L467" i="5" s="1"/>
  <c r="L468" i="5" s="1"/>
  <c r="L469" i="5" s="1"/>
  <c r="L470" i="5" s="1"/>
  <c r="L471" i="5" s="1"/>
  <c r="L472" i="5" s="1"/>
  <c r="L473" i="5" s="1"/>
  <c r="L474" i="5" s="1"/>
  <c r="L475" i="5" s="1"/>
  <c r="L476" i="5" s="1"/>
  <c r="L477" i="5" s="1"/>
  <c r="L478" i="5" s="1"/>
  <c r="L479" i="5" s="1"/>
  <c r="L480" i="5" s="1"/>
  <c r="L481" i="5" s="1"/>
  <c r="L482" i="5" s="1"/>
  <c r="L483" i="5" s="1"/>
  <c r="L484" i="5" s="1"/>
  <c r="L485" i="5" s="1"/>
  <c r="L486" i="5" s="1"/>
  <c r="L487" i="5" s="1"/>
  <c r="L488" i="5" s="1"/>
  <c r="L489" i="5" s="1"/>
  <c r="L490" i="5" s="1"/>
  <c r="L491" i="5" s="1"/>
  <c r="L492" i="5" s="1"/>
  <c r="L493" i="5" s="1"/>
  <c r="L494" i="5" s="1"/>
  <c r="L495" i="5" s="1"/>
  <c r="L496" i="5" s="1"/>
  <c r="L497" i="5" s="1"/>
  <c r="L498" i="5" s="1"/>
  <c r="L499" i="5" s="1"/>
  <c r="L500" i="5" s="1"/>
  <c r="L501" i="5" s="1"/>
  <c r="J661" i="1"/>
  <c r="I661" i="1"/>
  <c r="H661" i="1"/>
  <c r="M69" i="6" l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M84" i="6" s="1"/>
  <c r="M85" i="6" s="1"/>
  <c r="M86" i="6" s="1"/>
  <c r="M87" i="6" s="1"/>
  <c r="M88" i="6" s="1"/>
  <c r="M89" i="6" s="1"/>
  <c r="M90" i="6" s="1"/>
  <c r="M91" i="6" s="1"/>
  <c r="M92" i="6" s="1"/>
  <c r="M93" i="6" s="1"/>
  <c r="M94" i="6" s="1"/>
  <c r="M95" i="6" s="1"/>
  <c r="M96" i="6" s="1"/>
  <c r="M97" i="6" s="1"/>
  <c r="M98" i="6" s="1"/>
  <c r="M99" i="6" s="1"/>
  <c r="M100" i="6" s="1"/>
  <c r="M101" i="6" s="1"/>
  <c r="M102" i="6" s="1"/>
  <c r="M103" i="6" s="1"/>
  <c r="M104" i="6" s="1"/>
  <c r="M105" i="6" s="1"/>
  <c r="M106" i="6" s="1"/>
  <c r="M107" i="6" s="1"/>
  <c r="M108" i="6" s="1"/>
  <c r="M109" i="6" s="1"/>
  <c r="M110" i="6" s="1"/>
  <c r="M111" i="6" s="1"/>
  <c r="M112" i="6" s="1"/>
  <c r="M113" i="6" s="1"/>
  <c r="M114" i="6" s="1"/>
  <c r="M117" i="6" s="1"/>
  <c r="M118" i="6" s="1"/>
  <c r="M119" i="6" s="1"/>
  <c r="M120" i="6" s="1"/>
  <c r="M121" i="6" s="1"/>
  <c r="M122" i="6" s="1"/>
  <c r="M123" i="6" s="1"/>
  <c r="M124" i="6" s="1"/>
  <c r="M125" i="6" s="1"/>
  <c r="M126" i="6" s="1"/>
  <c r="M127" i="6" s="1"/>
  <c r="M128" i="6" s="1"/>
  <c r="M129" i="6" s="1"/>
  <c r="M130" i="6" s="1"/>
  <c r="M131" i="6" s="1"/>
  <c r="M132" i="6" s="1"/>
  <c r="M133" i="6" s="1"/>
  <c r="M134" i="6" s="1"/>
  <c r="M135" i="6" s="1"/>
  <c r="T103" i="6"/>
  <c r="T104" i="6" s="1"/>
  <c r="T105" i="6" s="1"/>
  <c r="T106" i="6" s="1"/>
  <c r="T107" i="6" s="1"/>
  <c r="T108" i="6" s="1"/>
  <c r="J656" i="1"/>
  <c r="I656" i="1"/>
  <c r="H656" i="1"/>
  <c r="M136" i="6" l="1"/>
  <c r="M137" i="6" s="1"/>
  <c r="M138" i="6" s="1"/>
  <c r="M139" i="6" s="1"/>
  <c r="M140" i="6" s="1"/>
  <c r="M141" i="6" s="1"/>
  <c r="M142" i="6" s="1"/>
  <c r="M143" i="6" s="1"/>
  <c r="M144" i="6" s="1"/>
  <c r="M145" i="6" s="1"/>
  <c r="M146" i="6" s="1"/>
  <c r="M147" i="6" s="1"/>
  <c r="M148" i="6" s="1"/>
  <c r="M149" i="6" s="1"/>
  <c r="M150" i="6" s="1"/>
  <c r="M151" i="6" s="1"/>
  <c r="M152" i="6" s="1"/>
  <c r="M153" i="6" s="1"/>
  <c r="M154" i="6" s="1"/>
  <c r="M155" i="6" s="1"/>
  <c r="M156" i="6" s="1"/>
  <c r="M157" i="6" s="1"/>
  <c r="M158" i="6" s="1"/>
  <c r="M159" i="6" s="1"/>
  <c r="M160" i="6" s="1"/>
  <c r="T109" i="6"/>
  <c r="T110" i="6" s="1"/>
  <c r="T111" i="6" s="1"/>
  <c r="T112" i="6" s="1"/>
  <c r="T113" i="6" s="1"/>
  <c r="T114" i="6" s="1"/>
  <c r="T116" i="6" s="1"/>
  <c r="T117" i="6" s="1"/>
  <c r="T118" i="6" s="1"/>
  <c r="T119" i="6" s="1"/>
  <c r="T120" i="6" s="1"/>
  <c r="T121" i="6" s="1"/>
  <c r="T122" i="6" s="1"/>
  <c r="T123" i="6" s="1"/>
  <c r="T124" i="6" s="1"/>
  <c r="T125" i="6" s="1"/>
  <c r="T126" i="6" s="1"/>
  <c r="T127" i="6" s="1"/>
  <c r="T128" i="6" s="1"/>
  <c r="T129" i="6" s="1"/>
  <c r="T130" i="6" s="1"/>
  <c r="T131" i="6" s="1"/>
  <c r="T132" i="6" s="1"/>
  <c r="T133" i="6" s="1"/>
  <c r="T134" i="6" s="1"/>
  <c r="T135" i="6" s="1"/>
  <c r="T136" i="6" s="1"/>
  <c r="T137" i="6" s="1"/>
  <c r="T138" i="6" s="1"/>
  <c r="T139" i="6" s="1"/>
  <c r="T140" i="6" s="1"/>
  <c r="T141" i="6" s="1"/>
  <c r="T142" i="6" s="1"/>
  <c r="T143" i="6" s="1"/>
  <c r="T144" i="6" s="1"/>
  <c r="T145" i="6" s="1"/>
  <c r="T146" i="6" s="1"/>
  <c r="T147" i="6" s="1"/>
  <c r="T148" i="6" s="1"/>
  <c r="T149" i="6" s="1"/>
  <c r="T150" i="6" s="1"/>
  <c r="T151" i="6" s="1"/>
  <c r="T152" i="6" s="1"/>
  <c r="J651" i="1"/>
  <c r="I651" i="1"/>
  <c r="H651" i="1"/>
  <c r="T153" i="6" l="1"/>
  <c r="T154" i="6" s="1"/>
  <c r="T155" i="6" s="1"/>
  <c r="T156" i="6" s="1"/>
  <c r="T157" i="6" s="1"/>
  <c r="T158" i="6" s="1"/>
  <c r="T159" i="6" s="1"/>
  <c r="T160" i="6" s="1"/>
  <c r="T161" i="6" s="1"/>
  <c r="T162" i="6" s="1"/>
  <c r="T163" i="6" s="1"/>
  <c r="T164" i="6" s="1"/>
  <c r="T165" i="6" s="1"/>
  <c r="T166" i="6" s="1"/>
  <c r="T167" i="6" s="1"/>
  <c r="T168" i="6" s="1"/>
  <c r="T169" i="6" s="1"/>
  <c r="T170" i="6" s="1"/>
  <c r="T171" i="6" s="1"/>
  <c r="T172" i="6" s="1"/>
  <c r="T173" i="6" s="1"/>
  <c r="T174" i="6" s="1"/>
  <c r="T175" i="6" s="1"/>
  <c r="T176" i="6" s="1"/>
  <c r="T177" i="6" s="1"/>
  <c r="T178" i="6" s="1"/>
  <c r="T179" i="6" s="1"/>
  <c r="T180" i="6" s="1"/>
  <c r="T181" i="6" s="1"/>
  <c r="T182" i="6" s="1"/>
  <c r="T183" i="6" s="1"/>
  <c r="T184" i="6" s="1"/>
  <c r="T185" i="6" s="1"/>
  <c r="T186" i="6" s="1"/>
  <c r="T187" i="6" s="1"/>
  <c r="T188" i="6" s="1"/>
  <c r="T189" i="6" s="1"/>
  <c r="T190" i="6" s="1"/>
  <c r="T191" i="6" s="1"/>
  <c r="T192" i="6" s="1"/>
  <c r="T193" i="6" s="1"/>
  <c r="M161" i="6"/>
  <c r="M162" i="6" s="1"/>
  <c r="M163" i="6" s="1"/>
  <c r="M164" i="6" s="1"/>
  <c r="M165" i="6" s="1"/>
  <c r="M166" i="6" s="1"/>
  <c r="M167" i="6" s="1"/>
  <c r="M168" i="6" s="1"/>
  <c r="M169" i="6" s="1"/>
  <c r="M170" i="6" s="1"/>
  <c r="M171" i="6" s="1"/>
  <c r="M172" i="6" s="1"/>
  <c r="M173" i="6" s="1"/>
  <c r="M174" i="6" s="1"/>
  <c r="M175" i="6" s="1"/>
  <c r="M176" i="6" s="1"/>
  <c r="M177" i="6" s="1"/>
  <c r="M178" i="6" s="1"/>
  <c r="M179" i="6" s="1"/>
  <c r="M180" i="6" s="1"/>
  <c r="M181" i="6" s="1"/>
  <c r="M182" i="6" s="1"/>
  <c r="M183" i="6" s="1"/>
  <c r="M184" i="6" s="1"/>
  <c r="M185" i="6" s="1"/>
  <c r="M186" i="6" s="1"/>
  <c r="M187" i="6" s="1"/>
  <c r="M188" i="6" s="1"/>
  <c r="M189" i="6" s="1"/>
  <c r="M190" i="6" s="1"/>
  <c r="M191" i="6" s="1"/>
  <c r="M192" i="6" s="1"/>
  <c r="M193" i="6" s="1"/>
  <c r="M194" i="6" s="1"/>
  <c r="M195" i="6" s="1"/>
  <c r="M196" i="6" s="1"/>
  <c r="M197" i="6" s="1"/>
  <c r="M198" i="6" s="1"/>
  <c r="M199" i="6" s="1"/>
  <c r="M200" i="6" s="1"/>
  <c r="M201" i="6" s="1"/>
  <c r="M202" i="6" s="1"/>
  <c r="M203" i="6" s="1"/>
  <c r="M204" i="6" s="1"/>
  <c r="M205" i="6" s="1"/>
  <c r="M206" i="6" s="1"/>
  <c r="M207" i="6" s="1"/>
  <c r="M208" i="6" s="1"/>
  <c r="M209" i="6" s="1"/>
  <c r="M210" i="6" s="1"/>
  <c r="M211" i="6" s="1"/>
  <c r="M212" i="6" s="1"/>
  <c r="M213" i="6" s="1"/>
  <c r="M214" i="6" s="1"/>
  <c r="M215" i="6" s="1"/>
  <c r="M216" i="6" s="1"/>
  <c r="H646" i="1"/>
  <c r="I646" i="1"/>
  <c r="J646" i="1"/>
  <c r="M218" i="6" l="1"/>
  <c r="M219" i="6" s="1"/>
  <c r="M220" i="6" s="1"/>
  <c r="M221" i="6" s="1"/>
  <c r="M222" i="6" s="1"/>
  <c r="M223" i="6" s="1"/>
  <c r="M224" i="6" s="1"/>
  <c r="M225" i="6" s="1"/>
  <c r="M226" i="6" s="1"/>
  <c r="M227" i="6" s="1"/>
  <c r="M228" i="6" s="1"/>
  <c r="M229" i="6" s="1"/>
  <c r="M230" i="6" s="1"/>
  <c r="M231" i="6" s="1"/>
  <c r="M232" i="6" s="1"/>
  <c r="M233" i="6" s="1"/>
  <c r="M234" i="6" s="1"/>
  <c r="M235" i="6" s="1"/>
  <c r="M236" i="6" s="1"/>
  <c r="M237" i="6" s="1"/>
  <c r="M238" i="6" s="1"/>
  <c r="M239" i="6" s="1"/>
  <c r="M240" i="6" s="1"/>
  <c r="M241" i="6" s="1"/>
  <c r="M242" i="6" s="1"/>
  <c r="M243" i="6" s="1"/>
  <c r="M244" i="6" s="1"/>
  <c r="M245" i="6" s="1"/>
  <c r="M246" i="6" s="1"/>
  <c r="M247" i="6" s="1"/>
  <c r="M248" i="6" s="1"/>
  <c r="M249" i="6" s="1"/>
  <c r="M250" i="6" s="1"/>
  <c r="M251" i="6" s="1"/>
  <c r="M252" i="6" s="1"/>
  <c r="M253" i="6" s="1"/>
  <c r="M254" i="6" s="1"/>
  <c r="M255" i="6" s="1"/>
  <c r="M256" i="6" s="1"/>
  <c r="M257" i="6" s="1"/>
  <c r="M258" i="6" s="1"/>
  <c r="M259" i="6" s="1"/>
  <c r="M260" i="6" s="1"/>
  <c r="M261" i="6" s="1"/>
  <c r="M262" i="6" s="1"/>
  <c r="M263" i="6" s="1"/>
  <c r="M264" i="6" s="1"/>
  <c r="M265" i="6" s="1"/>
  <c r="M266" i="6" s="1"/>
  <c r="M267" i="6" s="1"/>
  <c r="M268" i="6" s="1"/>
  <c r="M269" i="6" s="1"/>
  <c r="M270" i="6" s="1"/>
  <c r="M271" i="6" s="1"/>
  <c r="M272" i="6" s="1"/>
  <c r="M273" i="6" s="1"/>
  <c r="M274" i="6" s="1"/>
  <c r="M275" i="6" s="1"/>
  <c r="M276" i="6" s="1"/>
  <c r="M277" i="6" s="1"/>
  <c r="M278" i="6" s="1"/>
  <c r="M279" i="6" s="1"/>
  <c r="M280" i="6" s="1"/>
  <c r="M281" i="6" s="1"/>
  <c r="M282" i="6" s="1"/>
  <c r="M283" i="6" s="1"/>
  <c r="M284" i="6" s="1"/>
  <c r="M285" i="6" s="1"/>
  <c r="M286" i="6" s="1"/>
  <c r="M287" i="6" s="1"/>
  <c r="M288" i="6" s="1"/>
  <c r="M289" i="6" s="1"/>
  <c r="M290" i="6" s="1"/>
  <c r="M291" i="6" s="1"/>
  <c r="M292" i="6" s="1"/>
  <c r="M293" i="6" s="1"/>
  <c r="M294" i="6" s="1"/>
  <c r="M295" i="6" s="1"/>
  <c r="M296" i="6" s="1"/>
  <c r="M297" i="6" s="1"/>
  <c r="M298" i="6" s="1"/>
  <c r="M299" i="6" s="1"/>
  <c r="M300" i="6" s="1"/>
  <c r="M301" i="6" s="1"/>
  <c r="M302" i="6" s="1"/>
  <c r="M303" i="6" s="1"/>
  <c r="M304" i="6" s="1"/>
  <c r="M305" i="6" s="1"/>
  <c r="M306" i="6" s="1"/>
  <c r="M307" i="6" s="1"/>
  <c r="M308" i="6" s="1"/>
  <c r="M309" i="6" s="1"/>
  <c r="M310" i="6" s="1"/>
  <c r="M311" i="6" s="1"/>
  <c r="M312" i="6" s="1"/>
  <c r="M313" i="6" s="1"/>
  <c r="M314" i="6" s="1"/>
  <c r="M315" i="6" s="1"/>
  <c r="M316" i="6" s="1"/>
  <c r="M317" i="6" s="1"/>
  <c r="M318" i="6" s="1"/>
  <c r="M319" i="6" s="1"/>
  <c r="M320" i="6" s="1"/>
  <c r="M321" i="6" s="1"/>
  <c r="M322" i="6" s="1"/>
  <c r="M323" i="6" s="1"/>
  <c r="M324" i="6" s="1"/>
  <c r="M325" i="6" s="1"/>
  <c r="M326" i="6" s="1"/>
  <c r="M327" i="6" s="1"/>
  <c r="M328" i="6" s="1"/>
  <c r="M329" i="6" s="1"/>
  <c r="M330" i="6" s="1"/>
  <c r="M331" i="6" s="1"/>
  <c r="M332" i="6" s="1"/>
  <c r="M333" i="6" s="1"/>
  <c r="M334" i="6" s="1"/>
  <c r="M335" i="6" s="1"/>
  <c r="M336" i="6" s="1"/>
  <c r="M337" i="6" s="1"/>
  <c r="M338" i="6" s="1"/>
  <c r="M339" i="6" s="1"/>
  <c r="M340" i="6" s="1"/>
  <c r="M341" i="6" s="1"/>
  <c r="M342" i="6" s="1"/>
  <c r="M343" i="6" s="1"/>
  <c r="M344" i="6" s="1"/>
  <c r="M345" i="6" s="1"/>
  <c r="M346" i="6" s="1"/>
  <c r="M347" i="6" s="1"/>
  <c r="M348" i="6" s="1"/>
  <c r="M349" i="6" s="1"/>
  <c r="M350" i="6" s="1"/>
  <c r="M351" i="6" s="1"/>
  <c r="M352" i="6" s="1"/>
  <c r="M353" i="6" s="1"/>
  <c r="M354" i="6" s="1"/>
  <c r="M355" i="6" s="1"/>
  <c r="M356" i="6" s="1"/>
  <c r="M357" i="6" s="1"/>
  <c r="M358" i="6" s="1"/>
  <c r="M359" i="6" s="1"/>
  <c r="M360" i="6" s="1"/>
  <c r="M361" i="6" s="1"/>
  <c r="M362" i="6" s="1"/>
  <c r="M363" i="6" s="1"/>
  <c r="M364" i="6" s="1"/>
  <c r="M365" i="6" s="1"/>
  <c r="M366" i="6" s="1"/>
  <c r="M367" i="6" s="1"/>
  <c r="M368" i="6" s="1"/>
  <c r="M369" i="6" s="1"/>
  <c r="M370" i="6" s="1"/>
  <c r="M371" i="6" s="1"/>
  <c r="M372" i="6" s="1"/>
  <c r="M373" i="6" s="1"/>
  <c r="M374" i="6" s="1"/>
  <c r="M375" i="6" s="1"/>
  <c r="M376" i="6" s="1"/>
  <c r="M377" i="6" s="1"/>
  <c r="M378" i="6" s="1"/>
  <c r="M379" i="6" s="1"/>
  <c r="M380" i="6" s="1"/>
  <c r="M381" i="6" s="1"/>
  <c r="M382" i="6" s="1"/>
  <c r="M383" i="6" s="1"/>
  <c r="M384" i="6" s="1"/>
  <c r="M385" i="6" s="1"/>
  <c r="M386" i="6" s="1"/>
  <c r="M387" i="6" s="1"/>
  <c r="M388" i="6" s="1"/>
  <c r="M389" i="6" s="1"/>
  <c r="M390" i="6" s="1"/>
  <c r="M391" i="6" s="1"/>
  <c r="M392" i="6" s="1"/>
  <c r="M393" i="6" s="1"/>
  <c r="M394" i="6" s="1"/>
  <c r="M395" i="6" s="1"/>
  <c r="M396" i="6" s="1"/>
  <c r="M397" i="6" s="1"/>
  <c r="M398" i="6" s="1"/>
  <c r="M399" i="6" s="1"/>
  <c r="M400" i="6" s="1"/>
  <c r="M401" i="6" s="1"/>
  <c r="M402" i="6" s="1"/>
  <c r="M403" i="6" s="1"/>
  <c r="M404" i="6" s="1"/>
  <c r="M405" i="6" s="1"/>
  <c r="M406" i="6" s="1"/>
  <c r="M407" i="6" s="1"/>
  <c r="M408" i="6" s="1"/>
  <c r="M409" i="6" s="1"/>
  <c r="M410" i="6" s="1"/>
  <c r="M411" i="6" s="1"/>
  <c r="M412" i="6" s="1"/>
  <c r="M413" i="6" s="1"/>
  <c r="M414" i="6" s="1"/>
  <c r="M415" i="6" s="1"/>
  <c r="M416" i="6" s="1"/>
  <c r="M417" i="6" s="1"/>
  <c r="M418" i="6" s="1"/>
  <c r="M419" i="6" s="1"/>
  <c r="M420" i="6" s="1"/>
  <c r="M421" i="6" s="1"/>
  <c r="M422" i="6" s="1"/>
  <c r="M423" i="6" s="1"/>
  <c r="M424" i="6" s="1"/>
  <c r="M425" i="6" s="1"/>
  <c r="M426" i="6" s="1"/>
  <c r="M427" i="6" s="1"/>
  <c r="M428" i="6" s="1"/>
  <c r="M429" i="6" s="1"/>
  <c r="M430" i="6" s="1"/>
  <c r="M431" i="6" s="1"/>
  <c r="M432" i="6" s="1"/>
  <c r="M433" i="6" s="1"/>
  <c r="M434" i="6" s="1"/>
  <c r="M435" i="6" s="1"/>
  <c r="M436" i="6" s="1"/>
  <c r="M437" i="6" s="1"/>
  <c r="M438" i="6" s="1"/>
  <c r="M439" i="6" s="1"/>
  <c r="M440" i="6" s="1"/>
  <c r="M441" i="6" s="1"/>
  <c r="M442" i="6" s="1"/>
  <c r="M443" i="6" s="1"/>
  <c r="M444" i="6" s="1"/>
  <c r="M445" i="6" s="1"/>
  <c r="M446" i="6" s="1"/>
  <c r="M447" i="6" s="1"/>
  <c r="M448" i="6" s="1"/>
  <c r="M449" i="6" s="1"/>
  <c r="M450" i="6" s="1"/>
  <c r="M451" i="6" s="1"/>
  <c r="M452" i="6" s="1"/>
  <c r="M453" i="6" s="1"/>
  <c r="M454" i="6" s="1"/>
  <c r="M455" i="6" s="1"/>
  <c r="M456" i="6" s="1"/>
  <c r="M457" i="6" s="1"/>
  <c r="M458" i="6" s="1"/>
  <c r="M459" i="6" s="1"/>
  <c r="M460" i="6" s="1"/>
  <c r="M461" i="6" s="1"/>
  <c r="M462" i="6" s="1"/>
  <c r="M463" i="6" s="1"/>
  <c r="M464" i="6" s="1"/>
  <c r="M465" i="6" s="1"/>
  <c r="M466" i="6" s="1"/>
  <c r="M467" i="6" s="1"/>
  <c r="M468" i="6" s="1"/>
  <c r="M469" i="6" s="1"/>
  <c r="M470" i="6" s="1"/>
  <c r="M471" i="6" s="1"/>
  <c r="M472" i="6" s="1"/>
  <c r="M473" i="6" s="1"/>
  <c r="M474" i="6" s="1"/>
  <c r="M475" i="6" s="1"/>
  <c r="M476" i="6" s="1"/>
  <c r="M477" i="6" s="1"/>
  <c r="M478" i="6" s="1"/>
  <c r="M479" i="6" s="1"/>
  <c r="M480" i="6" s="1"/>
  <c r="M481" i="6" s="1"/>
  <c r="M482" i="6" s="1"/>
  <c r="M483" i="6" s="1"/>
  <c r="M484" i="6" s="1"/>
  <c r="M485" i="6" s="1"/>
  <c r="M486" i="6" s="1"/>
  <c r="M487" i="6" s="1"/>
  <c r="M488" i="6" s="1"/>
  <c r="M489" i="6" s="1"/>
  <c r="M490" i="6" s="1"/>
  <c r="M491" i="6" s="1"/>
  <c r="M492" i="6" s="1"/>
  <c r="M493" i="6" s="1"/>
  <c r="M494" i="6" s="1"/>
  <c r="M495" i="6" s="1"/>
  <c r="M496" i="6" s="1"/>
  <c r="M497" i="6" s="1"/>
  <c r="M498" i="6" s="1"/>
  <c r="M499" i="6" s="1"/>
  <c r="M500" i="6" s="1"/>
  <c r="M501" i="6" s="1"/>
  <c r="M502" i="6" s="1"/>
  <c r="M503" i="6" s="1"/>
  <c r="M504" i="6" s="1"/>
  <c r="M505" i="6" s="1"/>
  <c r="M506" i="6" s="1"/>
  <c r="M507" i="6" s="1"/>
  <c r="M508" i="6" s="1"/>
  <c r="M509" i="6" s="1"/>
  <c r="M510" i="6" s="1"/>
  <c r="M511" i="6" s="1"/>
  <c r="M512" i="6" s="1"/>
  <c r="M513" i="6" s="1"/>
  <c r="M514" i="6" s="1"/>
  <c r="M515" i="6" s="1"/>
  <c r="M516" i="6" s="1"/>
  <c r="M517" i="6" s="1"/>
  <c r="M518" i="6" s="1"/>
  <c r="M519" i="6" s="1"/>
  <c r="M520" i="6" s="1"/>
  <c r="M521" i="6" s="1"/>
  <c r="M522" i="6" s="1"/>
  <c r="M523" i="6" s="1"/>
  <c r="M524" i="6" s="1"/>
  <c r="M525" i="6" s="1"/>
  <c r="M526" i="6" s="1"/>
  <c r="M527" i="6" s="1"/>
  <c r="M528" i="6" s="1"/>
  <c r="M529" i="6" s="1"/>
  <c r="M530" i="6" s="1"/>
  <c r="M531" i="6" s="1"/>
  <c r="M532" i="6" s="1"/>
  <c r="M533" i="6" s="1"/>
  <c r="M534" i="6" s="1"/>
  <c r="M535" i="6" s="1"/>
  <c r="M536" i="6" s="1"/>
  <c r="M537" i="6" s="1"/>
  <c r="M538" i="6" s="1"/>
  <c r="M539" i="6" s="1"/>
  <c r="M540" i="6" s="1"/>
  <c r="M541" i="6" s="1"/>
  <c r="M542" i="6" s="1"/>
  <c r="M543" i="6" s="1"/>
  <c r="M544" i="6" s="1"/>
  <c r="M545" i="6" s="1"/>
  <c r="M546" i="6" s="1"/>
  <c r="M547" i="6" s="1"/>
  <c r="M548" i="6" s="1"/>
  <c r="M549" i="6" s="1"/>
  <c r="M550" i="6" s="1"/>
  <c r="M551" i="6" s="1"/>
  <c r="M552" i="6" s="1"/>
  <c r="M553" i="6" s="1"/>
  <c r="M554" i="6" s="1"/>
  <c r="M555" i="6" s="1"/>
  <c r="M556" i="6" s="1"/>
  <c r="M557" i="6" s="1"/>
  <c r="M558" i="6" s="1"/>
  <c r="M559" i="6" s="1"/>
  <c r="M560" i="6" s="1"/>
  <c r="M561" i="6" s="1"/>
  <c r="M562" i="6" s="1"/>
  <c r="M563" i="6" s="1"/>
  <c r="M564" i="6" s="1"/>
  <c r="M565" i="6" s="1"/>
  <c r="M566" i="6" s="1"/>
  <c r="M567" i="6" s="1"/>
  <c r="M568" i="6" s="1"/>
  <c r="M569" i="6" s="1"/>
  <c r="M570" i="6" s="1"/>
  <c r="M571" i="6" s="1"/>
  <c r="M572" i="6" s="1"/>
  <c r="M573" i="6" s="1"/>
  <c r="M574" i="6" s="1"/>
  <c r="M575" i="6" s="1"/>
  <c r="M576" i="6" s="1"/>
  <c r="M577" i="6" s="1"/>
  <c r="M578" i="6" s="1"/>
  <c r="M579" i="6" s="1"/>
  <c r="M580" i="6" s="1"/>
  <c r="M581" i="6" s="1"/>
  <c r="M582" i="6" s="1"/>
  <c r="M583" i="6" s="1"/>
  <c r="M584" i="6" s="1"/>
  <c r="M585" i="6" s="1"/>
  <c r="M586" i="6" s="1"/>
  <c r="M587" i="6" s="1"/>
  <c r="M588" i="6" s="1"/>
  <c r="M589" i="6" s="1"/>
  <c r="M590" i="6" s="1"/>
  <c r="M591" i="6" s="1"/>
  <c r="M592" i="6" s="1"/>
  <c r="M593" i="6" s="1"/>
  <c r="M594" i="6" s="1"/>
  <c r="M595" i="6" s="1"/>
  <c r="M596" i="6" s="1"/>
  <c r="M597" i="6" s="1"/>
  <c r="M217" i="6"/>
  <c r="T194" i="6"/>
  <c r="T195" i="6" s="1"/>
  <c r="T196" i="6" s="1"/>
  <c r="T197" i="6" s="1"/>
  <c r="T198" i="6" s="1"/>
  <c r="T199" i="6" s="1"/>
  <c r="T200" i="6" s="1"/>
  <c r="T201" i="6" s="1"/>
  <c r="T202" i="6" s="1"/>
  <c r="T203" i="6" s="1"/>
  <c r="T204" i="6" s="1"/>
  <c r="T205" i="6" s="1"/>
  <c r="T206" i="6" s="1"/>
  <c r="T207" i="6" s="1"/>
  <c r="T208" i="6" s="1"/>
  <c r="T209" i="6" s="1"/>
  <c r="T210" i="6" s="1"/>
  <c r="T211" i="6" s="1"/>
  <c r="T212" i="6" s="1"/>
  <c r="T213" i="6" s="1"/>
  <c r="T214" i="6" s="1"/>
  <c r="T215" i="6" s="1"/>
  <c r="T216" i="6" s="1"/>
  <c r="T218" i="6" s="1"/>
  <c r="T219" i="6" s="1"/>
  <c r="T220" i="6" s="1"/>
  <c r="T221" i="6" s="1"/>
  <c r="T222" i="6" s="1"/>
  <c r="T223" i="6" s="1"/>
  <c r="T224" i="6" s="1"/>
  <c r="T225" i="6" s="1"/>
  <c r="T226" i="6" s="1"/>
  <c r="T227" i="6" s="1"/>
  <c r="T228" i="6" s="1"/>
  <c r="T229" i="6" s="1"/>
  <c r="T230" i="6" s="1"/>
  <c r="T231" i="6" s="1"/>
  <c r="T232" i="6" s="1"/>
  <c r="T233" i="6" s="1"/>
  <c r="T234" i="6" s="1"/>
  <c r="T235" i="6" s="1"/>
  <c r="T236" i="6" s="1"/>
  <c r="T237" i="6" s="1"/>
  <c r="T238" i="6" s="1"/>
  <c r="T239" i="6" s="1"/>
  <c r="T240" i="6" s="1"/>
  <c r="T241" i="6" s="1"/>
  <c r="T242" i="6" s="1"/>
  <c r="T243" i="6" s="1"/>
  <c r="T244" i="6" s="1"/>
  <c r="H641" i="1"/>
  <c r="I641" i="1"/>
  <c r="J641" i="1"/>
  <c r="T245" i="6" l="1"/>
  <c r="T246" i="6" s="1"/>
  <c r="T247" i="6" s="1"/>
  <c r="T248" i="6" s="1"/>
  <c r="T249" i="6" s="1"/>
  <c r="T250" i="6" s="1"/>
  <c r="T251" i="6" s="1"/>
  <c r="T252" i="6" s="1"/>
  <c r="T253" i="6" s="1"/>
  <c r="T254" i="6" s="1"/>
  <c r="T255" i="6" s="1"/>
  <c r="T256" i="6" s="1"/>
  <c r="T257" i="6" s="1"/>
  <c r="T258" i="6" s="1"/>
  <c r="T259" i="6" s="1"/>
  <c r="T260" i="6" s="1"/>
  <c r="T261" i="6" s="1"/>
  <c r="T262" i="6" s="1"/>
  <c r="T263" i="6" s="1"/>
  <c r="T264" i="6" s="1"/>
  <c r="T265" i="6" s="1"/>
  <c r="T266" i="6" s="1"/>
  <c r="T267" i="6" s="1"/>
  <c r="T268" i="6" s="1"/>
  <c r="T269" i="6" s="1"/>
  <c r="T270" i="6" s="1"/>
  <c r="T271" i="6" s="1"/>
  <c r="T272" i="6" s="1"/>
  <c r="T273" i="6" s="1"/>
  <c r="T274" i="6" s="1"/>
  <c r="T275" i="6" s="1"/>
  <c r="T276" i="6" s="1"/>
  <c r="T277" i="6" s="1"/>
  <c r="T278" i="6" s="1"/>
  <c r="T279" i="6" s="1"/>
  <c r="T280" i="6" s="1"/>
  <c r="T281" i="6" s="1"/>
  <c r="T282" i="6" s="1"/>
  <c r="T283" i="6" s="1"/>
  <c r="T284" i="6" s="1"/>
  <c r="T285" i="6" s="1"/>
  <c r="T286" i="6" s="1"/>
  <c r="T287" i="6" s="1"/>
  <c r="T288" i="6" s="1"/>
  <c r="T289" i="6" s="1"/>
  <c r="T290" i="6" s="1"/>
  <c r="J636" i="1"/>
  <c r="I636" i="1"/>
  <c r="H636" i="1"/>
  <c r="T291" i="6" l="1"/>
  <c r="T292" i="6" s="1"/>
  <c r="T293" i="6" s="1"/>
  <c r="T294" i="6" s="1"/>
  <c r="T295" i="6" s="1"/>
  <c r="T296" i="6" s="1"/>
  <c r="T297" i="6" s="1"/>
  <c r="T298" i="6" s="1"/>
  <c r="T299" i="6" s="1"/>
  <c r="T300" i="6" s="1"/>
  <c r="T301" i="6" s="1"/>
  <c r="T302" i="6" s="1"/>
  <c r="T303" i="6" s="1"/>
  <c r="T304" i="6" s="1"/>
  <c r="T305" i="6" s="1"/>
  <c r="T306" i="6" s="1"/>
  <c r="T307" i="6" s="1"/>
  <c r="T308" i="6" s="1"/>
  <c r="T309" i="6" s="1"/>
  <c r="T310" i="6" s="1"/>
  <c r="T311" i="6" s="1"/>
  <c r="T312" i="6" s="1"/>
  <c r="T313" i="6" s="1"/>
  <c r="T314" i="6" s="1"/>
  <c r="T315" i="6" s="1"/>
  <c r="T316" i="6" s="1"/>
  <c r="T317" i="6" s="1"/>
  <c r="T318" i="6" s="1"/>
  <c r="T319" i="6" s="1"/>
  <c r="T320" i="6" s="1"/>
  <c r="T321" i="6" s="1"/>
  <c r="T322" i="6" s="1"/>
  <c r="T323" i="6" s="1"/>
  <c r="T324" i="6" s="1"/>
  <c r="T325" i="6" s="1"/>
  <c r="T326" i="6" s="1"/>
  <c r="T327" i="6" s="1"/>
  <c r="T328" i="6" s="1"/>
  <c r="T329" i="6" s="1"/>
  <c r="T330" i="6" s="1"/>
  <c r="T331" i="6" s="1"/>
  <c r="T332" i="6" s="1"/>
  <c r="T333" i="6" s="1"/>
  <c r="T334" i="6" s="1"/>
  <c r="T335" i="6" s="1"/>
  <c r="T336" i="6" s="1"/>
  <c r="T337" i="6" s="1"/>
  <c r="T338" i="6" s="1"/>
  <c r="T339" i="6" s="1"/>
  <c r="T340" i="6" s="1"/>
  <c r="T341" i="6" s="1"/>
  <c r="T342" i="6" s="1"/>
  <c r="T343" i="6" s="1"/>
  <c r="T344" i="6" s="1"/>
  <c r="T345" i="6" s="1"/>
  <c r="T346" i="6" s="1"/>
  <c r="T347" i="6" s="1"/>
  <c r="T348" i="6" s="1"/>
  <c r="T349" i="6" s="1"/>
  <c r="T350" i="6" s="1"/>
  <c r="T351" i="6" s="1"/>
  <c r="T352" i="6" s="1"/>
  <c r="T353" i="6" s="1"/>
  <c r="T354" i="6" s="1"/>
  <c r="T355" i="6" s="1"/>
  <c r="T356" i="6" s="1"/>
  <c r="T357" i="6" s="1"/>
  <c r="T358" i="6" s="1"/>
  <c r="T359" i="6" s="1"/>
  <c r="T360" i="6" s="1"/>
  <c r="T361" i="6" s="1"/>
  <c r="T362" i="6" s="1"/>
  <c r="T363" i="6" s="1"/>
  <c r="T364" i="6" s="1"/>
  <c r="T365" i="6" s="1"/>
  <c r="T366" i="6" s="1"/>
  <c r="T367" i="6" s="1"/>
  <c r="T368" i="6" s="1"/>
  <c r="T369" i="6" s="1"/>
  <c r="T370" i="6" s="1"/>
  <c r="T371" i="6" s="1"/>
  <c r="T372" i="6" s="1"/>
  <c r="T373" i="6" s="1"/>
  <c r="T374" i="6" s="1"/>
  <c r="T375" i="6" s="1"/>
  <c r="T376" i="6" s="1"/>
  <c r="T377" i="6" s="1"/>
  <c r="T378" i="6" s="1"/>
  <c r="T379" i="6" s="1"/>
  <c r="T380" i="6" s="1"/>
  <c r="T381" i="6" s="1"/>
  <c r="T382" i="6" s="1"/>
  <c r="T383" i="6" s="1"/>
  <c r="T384" i="6" s="1"/>
  <c r="T385" i="6" s="1"/>
  <c r="T386" i="6" s="1"/>
  <c r="T387" i="6" s="1"/>
  <c r="T388" i="6" s="1"/>
  <c r="T389" i="6" s="1"/>
  <c r="T390" i="6" s="1"/>
  <c r="T391" i="6" s="1"/>
  <c r="T392" i="6" s="1"/>
  <c r="T393" i="6" s="1"/>
  <c r="T394" i="6" s="1"/>
  <c r="T395" i="6" s="1"/>
  <c r="T396" i="6" s="1"/>
  <c r="T397" i="6" s="1"/>
  <c r="T398" i="6" s="1"/>
  <c r="T399" i="6" s="1"/>
  <c r="T400" i="6" s="1"/>
  <c r="T401" i="6" s="1"/>
  <c r="T402" i="6" s="1"/>
  <c r="T403" i="6" s="1"/>
  <c r="T404" i="6" s="1"/>
  <c r="T405" i="6" s="1"/>
  <c r="T406" i="6" s="1"/>
  <c r="T407" i="6" s="1"/>
  <c r="T408" i="6" s="1"/>
  <c r="T409" i="6" s="1"/>
  <c r="T410" i="6" s="1"/>
  <c r="T411" i="6" s="1"/>
  <c r="T412" i="6" s="1"/>
  <c r="T413" i="6" s="1"/>
  <c r="T414" i="6" s="1"/>
  <c r="T415" i="6" s="1"/>
  <c r="T416" i="6" s="1"/>
  <c r="T417" i="6" s="1"/>
  <c r="T418" i="6" s="1"/>
  <c r="T419" i="6" s="1"/>
  <c r="T420" i="6" s="1"/>
  <c r="T421" i="6" s="1"/>
  <c r="T422" i="6" s="1"/>
  <c r="T423" i="6" s="1"/>
  <c r="T424" i="6" s="1"/>
  <c r="T425" i="6" s="1"/>
  <c r="T426" i="6" s="1"/>
  <c r="T427" i="6" s="1"/>
  <c r="T428" i="6" s="1"/>
  <c r="T429" i="6" s="1"/>
  <c r="T430" i="6" s="1"/>
  <c r="T431" i="6" s="1"/>
  <c r="T432" i="6" s="1"/>
  <c r="T433" i="6" s="1"/>
  <c r="T434" i="6" s="1"/>
  <c r="T435" i="6" s="1"/>
  <c r="T436" i="6" s="1"/>
  <c r="T437" i="6" s="1"/>
  <c r="T438" i="6" s="1"/>
  <c r="T439" i="6" s="1"/>
  <c r="T440" i="6" s="1"/>
  <c r="T441" i="6" s="1"/>
  <c r="T442" i="6" s="1"/>
  <c r="T443" i="6" s="1"/>
  <c r="T444" i="6" s="1"/>
  <c r="T445" i="6" s="1"/>
  <c r="T446" i="6" s="1"/>
  <c r="T447" i="6" s="1"/>
  <c r="T448" i="6" s="1"/>
  <c r="T449" i="6" s="1"/>
  <c r="T450" i="6" s="1"/>
  <c r="T451" i="6" s="1"/>
  <c r="T452" i="6" s="1"/>
  <c r="T453" i="6" s="1"/>
  <c r="T454" i="6" s="1"/>
  <c r="T455" i="6" s="1"/>
  <c r="T456" i="6" s="1"/>
  <c r="T457" i="6" s="1"/>
  <c r="T458" i="6" s="1"/>
  <c r="T459" i="6" s="1"/>
  <c r="T460" i="6" s="1"/>
  <c r="T461" i="6" s="1"/>
  <c r="T462" i="6" s="1"/>
  <c r="T463" i="6" s="1"/>
  <c r="T464" i="6" s="1"/>
  <c r="T465" i="6" s="1"/>
  <c r="T466" i="6" s="1"/>
  <c r="T467" i="6" s="1"/>
  <c r="T468" i="6" s="1"/>
  <c r="T469" i="6" s="1"/>
  <c r="T470" i="6" s="1"/>
  <c r="T471" i="6" s="1"/>
  <c r="T472" i="6" s="1"/>
  <c r="T473" i="6" s="1"/>
  <c r="T474" i="6" s="1"/>
  <c r="T475" i="6" s="1"/>
  <c r="T476" i="6" s="1"/>
  <c r="T477" i="6" s="1"/>
  <c r="T478" i="6" s="1"/>
  <c r="T479" i="6" s="1"/>
  <c r="T480" i="6" s="1"/>
  <c r="T481" i="6" s="1"/>
  <c r="T482" i="6" s="1"/>
  <c r="T483" i="6" s="1"/>
  <c r="T484" i="6" s="1"/>
  <c r="T485" i="6" s="1"/>
  <c r="T486" i="6" s="1"/>
  <c r="T487" i="6" s="1"/>
  <c r="T488" i="6" s="1"/>
  <c r="T489" i="6" s="1"/>
  <c r="T490" i="6" s="1"/>
  <c r="T491" i="6" s="1"/>
  <c r="T492" i="6" s="1"/>
  <c r="T493" i="6" s="1"/>
  <c r="T494" i="6" s="1"/>
  <c r="T495" i="6" s="1"/>
  <c r="T496" i="6" s="1"/>
  <c r="T497" i="6" s="1"/>
  <c r="T498" i="6" s="1"/>
  <c r="T499" i="6" s="1"/>
  <c r="T500" i="6" s="1"/>
  <c r="T501" i="6" s="1"/>
  <c r="T502" i="6" s="1"/>
  <c r="T503" i="6" s="1"/>
  <c r="T504" i="6" s="1"/>
  <c r="T505" i="6" s="1"/>
  <c r="T506" i="6" s="1"/>
  <c r="T507" i="6" s="1"/>
  <c r="T508" i="6" s="1"/>
  <c r="T509" i="6" s="1"/>
  <c r="T510" i="6" s="1"/>
  <c r="T511" i="6" s="1"/>
  <c r="T512" i="6" s="1"/>
  <c r="T513" i="6" s="1"/>
  <c r="T514" i="6" s="1"/>
  <c r="T515" i="6" s="1"/>
  <c r="T516" i="6" s="1"/>
  <c r="T517" i="6" s="1"/>
  <c r="T518" i="6" s="1"/>
  <c r="T519" i="6" s="1"/>
  <c r="T520" i="6" s="1"/>
  <c r="T521" i="6" s="1"/>
  <c r="T522" i="6" s="1"/>
  <c r="T523" i="6" s="1"/>
  <c r="T524" i="6" s="1"/>
  <c r="T525" i="6" s="1"/>
  <c r="T526" i="6" s="1"/>
  <c r="T527" i="6" s="1"/>
  <c r="T528" i="6" s="1"/>
  <c r="T529" i="6" s="1"/>
  <c r="T530" i="6" s="1"/>
  <c r="T531" i="6" s="1"/>
  <c r="T532" i="6" s="1"/>
  <c r="T533" i="6" s="1"/>
  <c r="T534" i="6" s="1"/>
  <c r="T535" i="6" s="1"/>
  <c r="T536" i="6" s="1"/>
  <c r="T537" i="6" s="1"/>
  <c r="T538" i="6" s="1"/>
  <c r="T539" i="6" s="1"/>
  <c r="T540" i="6" s="1"/>
  <c r="T541" i="6" s="1"/>
  <c r="T542" i="6" s="1"/>
  <c r="T543" i="6" s="1"/>
  <c r="T544" i="6" s="1"/>
  <c r="T545" i="6" s="1"/>
  <c r="T546" i="6" s="1"/>
  <c r="T547" i="6" s="1"/>
  <c r="T548" i="6" s="1"/>
  <c r="T549" i="6" s="1"/>
  <c r="T550" i="6" s="1"/>
  <c r="T551" i="6" s="1"/>
  <c r="T552" i="6" s="1"/>
  <c r="T553" i="6" s="1"/>
  <c r="T554" i="6" s="1"/>
  <c r="T555" i="6" s="1"/>
  <c r="T556" i="6" s="1"/>
  <c r="T557" i="6" s="1"/>
  <c r="T558" i="6" s="1"/>
  <c r="T559" i="6" s="1"/>
  <c r="T560" i="6" s="1"/>
  <c r="T561" i="6" s="1"/>
  <c r="T562" i="6" s="1"/>
  <c r="T563" i="6" s="1"/>
  <c r="T564" i="6" s="1"/>
  <c r="T565" i="6" s="1"/>
  <c r="T566" i="6" s="1"/>
  <c r="T567" i="6" s="1"/>
  <c r="T568" i="6" s="1"/>
  <c r="T569" i="6" s="1"/>
  <c r="T570" i="6" s="1"/>
  <c r="T571" i="6" s="1"/>
  <c r="T572" i="6" s="1"/>
  <c r="T573" i="6" s="1"/>
  <c r="T574" i="6" s="1"/>
  <c r="T575" i="6" s="1"/>
  <c r="T576" i="6" s="1"/>
  <c r="T577" i="6" s="1"/>
  <c r="T578" i="6" s="1"/>
  <c r="T579" i="6" s="1"/>
  <c r="T580" i="6" s="1"/>
  <c r="T581" i="6" s="1"/>
  <c r="T582" i="6" s="1"/>
  <c r="T583" i="6" s="1"/>
  <c r="T584" i="6" s="1"/>
  <c r="T585" i="6" s="1"/>
  <c r="T586" i="6" s="1"/>
  <c r="T587" i="6" s="1"/>
  <c r="T588" i="6" s="1"/>
  <c r="T589" i="6" s="1"/>
  <c r="T590" i="6" s="1"/>
  <c r="T591" i="6" s="1"/>
  <c r="T592" i="6" s="1"/>
  <c r="T593" i="6" s="1"/>
  <c r="T594" i="6" s="1"/>
  <c r="T595" i="6" s="1"/>
  <c r="T596" i="6" s="1"/>
  <c r="T597" i="6" s="1"/>
  <c r="H631" i="1"/>
  <c r="I631" i="1"/>
  <c r="J631" i="1"/>
  <c r="J626" i="1" l="1"/>
  <c r="I626" i="1"/>
  <c r="H626" i="1"/>
  <c r="J620" i="1" l="1"/>
  <c r="I620" i="1"/>
  <c r="H620" i="1"/>
  <c r="J615" i="1" l="1"/>
  <c r="I615" i="1"/>
  <c r="H615" i="1"/>
  <c r="J610" i="1" l="1"/>
  <c r="I610" i="1"/>
  <c r="H610" i="1"/>
  <c r="J605" i="1" l="1"/>
  <c r="I605" i="1"/>
  <c r="H605" i="1"/>
  <c r="H600" i="1" l="1"/>
  <c r="I600" i="1"/>
  <c r="J600" i="1"/>
  <c r="AB664" i="1" l="1"/>
  <c r="J664" i="1"/>
  <c r="I664" i="1"/>
  <c r="H664" i="1"/>
  <c r="AB663" i="1"/>
  <c r="J663" i="1"/>
  <c r="I663" i="1"/>
  <c r="H663" i="1"/>
  <c r="AB662" i="1"/>
  <c r="J662" i="1"/>
  <c r="I662" i="1"/>
  <c r="H662" i="1"/>
  <c r="AB661" i="1"/>
  <c r="AB660" i="1"/>
  <c r="J660" i="1"/>
  <c r="I660" i="1"/>
  <c r="H660" i="1"/>
  <c r="AB659" i="1"/>
  <c r="J659" i="1"/>
  <c r="I659" i="1"/>
  <c r="H659" i="1"/>
  <c r="AB658" i="1"/>
  <c r="J658" i="1"/>
  <c r="I658" i="1"/>
  <c r="H658" i="1"/>
  <c r="AB657" i="1"/>
  <c r="J657" i="1"/>
  <c r="I657" i="1"/>
  <c r="H657" i="1"/>
  <c r="AB656" i="1"/>
  <c r="AB655" i="1"/>
  <c r="J655" i="1"/>
  <c r="I655" i="1"/>
  <c r="H655" i="1"/>
  <c r="AB654" i="1"/>
  <c r="J654" i="1"/>
  <c r="I654" i="1"/>
  <c r="H654" i="1"/>
  <c r="AB653" i="1"/>
  <c r="J653" i="1"/>
  <c r="I653" i="1"/>
  <c r="H653" i="1"/>
  <c r="AB652" i="1"/>
  <c r="J652" i="1"/>
  <c r="I652" i="1"/>
  <c r="H652" i="1"/>
  <c r="AB651" i="1"/>
  <c r="AB650" i="1"/>
  <c r="J650" i="1"/>
  <c r="I650" i="1"/>
  <c r="H650" i="1"/>
  <c r="AB649" i="1"/>
  <c r="J649" i="1"/>
  <c r="I649" i="1"/>
  <c r="H649" i="1"/>
  <c r="AB648" i="1"/>
  <c r="J648" i="1"/>
  <c r="I648" i="1"/>
  <c r="H648" i="1"/>
  <c r="AB647" i="1"/>
  <c r="J647" i="1"/>
  <c r="I647" i="1"/>
  <c r="H647" i="1"/>
  <c r="AB646" i="1"/>
  <c r="AB645" i="1"/>
  <c r="J645" i="1"/>
  <c r="I645" i="1"/>
  <c r="H645" i="1"/>
  <c r="AB644" i="1"/>
  <c r="J644" i="1"/>
  <c r="I644" i="1"/>
  <c r="H644" i="1"/>
  <c r="AB643" i="1"/>
  <c r="J643" i="1"/>
  <c r="I643" i="1"/>
  <c r="H643" i="1"/>
  <c r="AB642" i="1"/>
  <c r="J642" i="1"/>
  <c r="I642" i="1"/>
  <c r="H642" i="1"/>
  <c r="AB641" i="1"/>
  <c r="AB640" i="1"/>
  <c r="J640" i="1"/>
  <c r="I640" i="1"/>
  <c r="H640" i="1"/>
  <c r="AB639" i="1"/>
  <c r="J639" i="1"/>
  <c r="I639" i="1"/>
  <c r="H639" i="1"/>
  <c r="AB638" i="1"/>
  <c r="J638" i="1"/>
  <c r="I638" i="1"/>
  <c r="H638" i="1"/>
  <c r="AB637" i="1"/>
  <c r="J637" i="1"/>
  <c r="I637" i="1"/>
  <c r="H637" i="1"/>
  <c r="AB636" i="1"/>
  <c r="AB635" i="1"/>
  <c r="J635" i="1"/>
  <c r="I635" i="1"/>
  <c r="H635" i="1"/>
  <c r="AB634" i="1"/>
  <c r="J634" i="1"/>
  <c r="I634" i="1"/>
  <c r="H634" i="1"/>
  <c r="AB633" i="1"/>
  <c r="J633" i="1"/>
  <c r="I633" i="1"/>
  <c r="H633" i="1"/>
  <c r="AB632" i="1"/>
  <c r="J632" i="1"/>
  <c r="I632" i="1"/>
  <c r="H632" i="1"/>
  <c r="AB631" i="1"/>
  <c r="AB630" i="1"/>
  <c r="J630" i="1"/>
  <c r="I630" i="1"/>
  <c r="H630" i="1"/>
  <c r="AB629" i="1"/>
  <c r="J629" i="1"/>
  <c r="I629" i="1"/>
  <c r="H629" i="1"/>
  <c r="AB628" i="1"/>
  <c r="J628" i="1"/>
  <c r="I628" i="1"/>
  <c r="H628" i="1"/>
  <c r="AB627" i="1"/>
  <c r="J627" i="1"/>
  <c r="I627" i="1"/>
  <c r="H627" i="1"/>
  <c r="AB626" i="1"/>
  <c r="AB625" i="1"/>
  <c r="J625" i="1"/>
  <c r="I625" i="1"/>
  <c r="H625" i="1"/>
  <c r="AB624" i="1"/>
  <c r="J624" i="1"/>
  <c r="I624" i="1"/>
  <c r="H624" i="1"/>
  <c r="AB622" i="1"/>
  <c r="J622" i="1"/>
  <c r="I622" i="1"/>
  <c r="H622" i="1"/>
  <c r="AB621" i="1"/>
  <c r="J621" i="1"/>
  <c r="I621" i="1"/>
  <c r="H621" i="1"/>
  <c r="AB620" i="1"/>
  <c r="AB619" i="1"/>
  <c r="J619" i="1"/>
  <c r="I619" i="1"/>
  <c r="H619" i="1"/>
  <c r="AB618" i="1"/>
  <c r="J618" i="1"/>
  <c r="I618" i="1"/>
  <c r="H618" i="1"/>
  <c r="AB617" i="1"/>
  <c r="J617" i="1"/>
  <c r="I617" i="1"/>
  <c r="H617" i="1"/>
  <c r="AB616" i="1"/>
  <c r="J616" i="1"/>
  <c r="I616" i="1"/>
  <c r="H616" i="1"/>
  <c r="AB615" i="1"/>
  <c r="AB614" i="1"/>
  <c r="J614" i="1"/>
  <c r="I614" i="1"/>
  <c r="H614" i="1"/>
  <c r="AB613" i="1"/>
  <c r="J613" i="1"/>
  <c r="I613" i="1"/>
  <c r="H613" i="1"/>
  <c r="AB612" i="1"/>
  <c r="J612" i="1"/>
  <c r="I612" i="1"/>
  <c r="H612" i="1"/>
  <c r="AB611" i="1"/>
  <c r="J611" i="1"/>
  <c r="I611" i="1"/>
  <c r="H611" i="1"/>
  <c r="AB610" i="1"/>
  <c r="AB609" i="1"/>
  <c r="J609" i="1"/>
  <c r="I609" i="1"/>
  <c r="H609" i="1"/>
  <c r="AB608" i="1"/>
  <c r="J608" i="1"/>
  <c r="I608" i="1"/>
  <c r="H608" i="1"/>
  <c r="AB607" i="1"/>
  <c r="J607" i="1"/>
  <c r="I607" i="1"/>
  <c r="H607" i="1"/>
  <c r="AB606" i="1"/>
  <c r="J606" i="1"/>
  <c r="I606" i="1"/>
  <c r="H606" i="1"/>
  <c r="H601" i="1"/>
  <c r="I601" i="1"/>
  <c r="J601" i="1"/>
  <c r="AB601" i="1"/>
  <c r="H602" i="1"/>
  <c r="I602" i="1"/>
  <c r="J602" i="1"/>
  <c r="AB602" i="1"/>
  <c r="H603" i="1"/>
  <c r="I603" i="1"/>
  <c r="J603" i="1"/>
  <c r="AB603" i="1"/>
  <c r="H604" i="1"/>
  <c r="I604" i="1"/>
  <c r="J604" i="1"/>
  <c r="AB604" i="1"/>
  <c r="AB605" i="1"/>
  <c r="H503" i="1" l="1"/>
  <c r="H498" i="1" l="1"/>
  <c r="H497" i="1" l="1"/>
  <c r="J601" i="5" l="1"/>
  <c r="I601" i="5"/>
  <c r="H601" i="5"/>
  <c r="J600" i="5"/>
  <c r="I600" i="5"/>
  <c r="H600" i="5"/>
  <c r="J599" i="5"/>
  <c r="I599" i="5"/>
  <c r="H599" i="5"/>
  <c r="J598" i="5"/>
  <c r="I598" i="5"/>
  <c r="H598" i="5"/>
  <c r="J597" i="5"/>
  <c r="I597" i="5"/>
  <c r="H597" i="5"/>
  <c r="J596" i="5"/>
  <c r="I596" i="5"/>
  <c r="H596" i="5"/>
  <c r="J595" i="5"/>
  <c r="I595" i="5"/>
  <c r="H595" i="5"/>
  <c r="J594" i="5"/>
  <c r="I594" i="5"/>
  <c r="H594" i="5"/>
  <c r="J593" i="5"/>
  <c r="I593" i="5"/>
  <c r="H593" i="5"/>
  <c r="J592" i="5"/>
  <c r="I592" i="5"/>
  <c r="H592" i="5"/>
  <c r="J590" i="5"/>
  <c r="I590" i="5"/>
  <c r="H590" i="5"/>
  <c r="J589" i="5"/>
  <c r="I589" i="5"/>
  <c r="H589" i="5"/>
  <c r="J588" i="5"/>
  <c r="I588" i="5"/>
  <c r="H588" i="5"/>
  <c r="J587" i="5"/>
  <c r="I587" i="5"/>
  <c r="H587" i="5"/>
  <c r="J586" i="5"/>
  <c r="I586" i="5"/>
  <c r="H586" i="5"/>
  <c r="J585" i="5"/>
  <c r="I585" i="5"/>
  <c r="H585" i="5"/>
  <c r="J584" i="5"/>
  <c r="I584" i="5"/>
  <c r="H584" i="5"/>
  <c r="J583" i="5"/>
  <c r="I583" i="5"/>
  <c r="H583" i="5"/>
  <c r="J582" i="5"/>
  <c r="I582" i="5"/>
  <c r="H582" i="5"/>
  <c r="J581" i="5"/>
  <c r="I581" i="5"/>
  <c r="H581" i="5"/>
  <c r="J580" i="5"/>
  <c r="I580" i="5"/>
  <c r="H580" i="5"/>
  <c r="J579" i="5"/>
  <c r="I579" i="5"/>
  <c r="H579" i="5"/>
  <c r="J577" i="5"/>
  <c r="I577" i="5"/>
  <c r="H577" i="5"/>
  <c r="J576" i="5"/>
  <c r="I576" i="5"/>
  <c r="H576" i="5"/>
  <c r="J575" i="5"/>
  <c r="I575" i="5"/>
  <c r="H575" i="5"/>
  <c r="J574" i="5"/>
  <c r="I574" i="5"/>
  <c r="H574" i="5"/>
  <c r="J573" i="5"/>
  <c r="I573" i="5"/>
  <c r="H573" i="5"/>
  <c r="J572" i="5"/>
  <c r="I572" i="5"/>
  <c r="H572" i="5"/>
  <c r="J571" i="5"/>
  <c r="I571" i="5"/>
  <c r="H571" i="5"/>
  <c r="J570" i="5"/>
  <c r="I570" i="5"/>
  <c r="H570" i="5"/>
  <c r="J569" i="5"/>
  <c r="I569" i="5"/>
  <c r="H569" i="5"/>
  <c r="J568" i="5"/>
  <c r="I568" i="5"/>
  <c r="H568" i="5"/>
  <c r="J567" i="5"/>
  <c r="I567" i="5"/>
  <c r="H567" i="5"/>
  <c r="J566" i="5"/>
  <c r="I566" i="5"/>
  <c r="H566" i="5"/>
  <c r="J565" i="5"/>
  <c r="I565" i="5"/>
  <c r="H565" i="5"/>
  <c r="J564" i="5"/>
  <c r="I564" i="5"/>
  <c r="H564" i="5"/>
  <c r="J563" i="5"/>
  <c r="I563" i="5"/>
  <c r="H563" i="5"/>
  <c r="J562" i="5"/>
  <c r="I562" i="5"/>
  <c r="H562" i="5"/>
  <c r="J561" i="5"/>
  <c r="I561" i="5"/>
  <c r="H561" i="5"/>
  <c r="J560" i="5"/>
  <c r="I560" i="5"/>
  <c r="H560" i="5"/>
  <c r="J559" i="5"/>
  <c r="I559" i="5"/>
  <c r="H559" i="5"/>
  <c r="J558" i="5"/>
  <c r="I558" i="5"/>
  <c r="H558" i="5"/>
  <c r="J557" i="5"/>
  <c r="I557" i="5"/>
  <c r="H557" i="5"/>
  <c r="J556" i="5"/>
  <c r="I556" i="5"/>
  <c r="H556" i="5"/>
  <c r="J555" i="5"/>
  <c r="I555" i="5"/>
  <c r="H555" i="5"/>
  <c r="J554" i="5"/>
  <c r="I554" i="5"/>
  <c r="H554" i="5"/>
  <c r="J553" i="5"/>
  <c r="I553" i="5"/>
  <c r="H553" i="5"/>
  <c r="J552" i="5"/>
  <c r="I552" i="5"/>
  <c r="H552" i="5"/>
  <c r="J551" i="5"/>
  <c r="I551" i="5"/>
  <c r="H551" i="5"/>
  <c r="J550" i="5"/>
  <c r="I550" i="5"/>
  <c r="H550" i="5"/>
  <c r="J549" i="5"/>
  <c r="I549" i="5"/>
  <c r="H549" i="5"/>
  <c r="J548" i="5"/>
  <c r="I548" i="5"/>
  <c r="H548" i="5"/>
  <c r="J547" i="5"/>
  <c r="I547" i="5"/>
  <c r="H547" i="5"/>
  <c r="J546" i="5"/>
  <c r="I546" i="5"/>
  <c r="H546" i="5"/>
  <c r="J545" i="5"/>
  <c r="I545" i="5"/>
  <c r="H545" i="5"/>
  <c r="J544" i="5"/>
  <c r="I544" i="5"/>
  <c r="H544" i="5"/>
  <c r="J543" i="5"/>
  <c r="I543" i="5"/>
  <c r="H543" i="5"/>
  <c r="J542" i="5"/>
  <c r="I542" i="5"/>
  <c r="H542" i="5"/>
  <c r="J541" i="5"/>
  <c r="I541" i="5"/>
  <c r="H541" i="5"/>
  <c r="J540" i="5"/>
  <c r="I540" i="5"/>
  <c r="H540" i="5"/>
  <c r="J539" i="5"/>
  <c r="I539" i="5"/>
  <c r="H539" i="5"/>
  <c r="J538" i="5"/>
  <c r="I538" i="5"/>
  <c r="H538" i="5"/>
  <c r="J537" i="5"/>
  <c r="I537" i="5"/>
  <c r="H537" i="5"/>
  <c r="J536" i="5"/>
  <c r="I536" i="5"/>
  <c r="H536" i="5"/>
  <c r="J535" i="5"/>
  <c r="I535" i="5"/>
  <c r="H535" i="5"/>
  <c r="J534" i="5"/>
  <c r="I534" i="5"/>
  <c r="H534" i="5"/>
  <c r="J533" i="5"/>
  <c r="I533" i="5"/>
  <c r="H533" i="5"/>
  <c r="J532" i="5"/>
  <c r="I532" i="5"/>
  <c r="J531" i="5"/>
  <c r="I531" i="5"/>
  <c r="H531" i="5"/>
  <c r="J530" i="5"/>
  <c r="I530" i="5"/>
  <c r="H530" i="5"/>
  <c r="J529" i="5"/>
  <c r="I529" i="5"/>
  <c r="H529" i="5"/>
  <c r="J528" i="5"/>
  <c r="I528" i="5"/>
  <c r="H528" i="5"/>
  <c r="J527" i="5"/>
  <c r="I527" i="5"/>
  <c r="H527" i="5"/>
  <c r="J526" i="5"/>
  <c r="I526" i="5"/>
  <c r="H526" i="5"/>
  <c r="J525" i="5"/>
  <c r="I525" i="5"/>
  <c r="H525" i="5"/>
  <c r="J524" i="5"/>
  <c r="I524" i="5"/>
  <c r="H524" i="5"/>
  <c r="J523" i="5"/>
  <c r="I523" i="5"/>
  <c r="H523" i="5"/>
  <c r="J521" i="5"/>
  <c r="I521" i="5"/>
  <c r="H521" i="5"/>
  <c r="J520" i="5"/>
  <c r="I520" i="5"/>
  <c r="H520" i="5"/>
  <c r="J519" i="5"/>
  <c r="I519" i="5"/>
  <c r="H519" i="5"/>
  <c r="J518" i="5"/>
  <c r="I518" i="5"/>
  <c r="H518" i="5"/>
  <c r="J517" i="5"/>
  <c r="I517" i="5"/>
  <c r="H517" i="5"/>
  <c r="J516" i="5"/>
  <c r="I516" i="5"/>
  <c r="H516" i="5"/>
  <c r="J515" i="5"/>
  <c r="I515" i="5"/>
  <c r="H515" i="5"/>
  <c r="J514" i="5"/>
  <c r="I514" i="5"/>
  <c r="H514" i="5"/>
  <c r="J513" i="5"/>
  <c r="I513" i="5"/>
  <c r="H513" i="5"/>
  <c r="J512" i="5"/>
  <c r="I512" i="5"/>
  <c r="H512" i="5"/>
  <c r="J511" i="5"/>
  <c r="I511" i="5"/>
  <c r="H511" i="5"/>
  <c r="J510" i="5"/>
  <c r="I510" i="5"/>
  <c r="H510" i="5"/>
  <c r="J509" i="5"/>
  <c r="I509" i="5"/>
  <c r="H509" i="5"/>
  <c r="J508" i="5"/>
  <c r="I508" i="5"/>
  <c r="H508" i="5"/>
  <c r="J507" i="5"/>
  <c r="I507" i="5"/>
  <c r="H507" i="5"/>
  <c r="J506" i="5"/>
  <c r="I506" i="5"/>
  <c r="H506" i="5"/>
  <c r="J505" i="5"/>
  <c r="I505" i="5"/>
  <c r="H505" i="5"/>
  <c r="J504" i="5"/>
  <c r="I504" i="5"/>
  <c r="H504" i="5"/>
  <c r="J503" i="5"/>
  <c r="I503" i="5"/>
  <c r="H503" i="5"/>
  <c r="J502" i="5"/>
  <c r="I502" i="5"/>
  <c r="H502" i="5"/>
  <c r="X7" i="5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S7" i="5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L502" i="5" l="1"/>
  <c r="L503" i="5" s="1"/>
  <c r="L504" i="5" s="1"/>
  <c r="L505" i="5" s="1"/>
  <c r="L506" i="5" s="1"/>
  <c r="L507" i="5" s="1"/>
  <c r="L508" i="5" s="1"/>
  <c r="L509" i="5" s="1"/>
  <c r="L510" i="5" s="1"/>
  <c r="L511" i="5" s="1"/>
  <c r="L512" i="5" s="1"/>
  <c r="L513" i="5" s="1"/>
  <c r="L514" i="5" s="1"/>
  <c r="L515" i="5" s="1"/>
  <c r="L516" i="5" s="1"/>
  <c r="L517" i="5" s="1"/>
  <c r="L518" i="5" s="1"/>
  <c r="L519" i="5" s="1"/>
  <c r="L520" i="5" s="1"/>
  <c r="L521" i="5" s="1"/>
  <c r="L523" i="5" s="1"/>
  <c r="L524" i="5" s="1"/>
  <c r="L525" i="5" s="1"/>
  <c r="L526" i="5" s="1"/>
  <c r="L527" i="5" s="1"/>
  <c r="L528" i="5" s="1"/>
  <c r="L529" i="5" s="1"/>
  <c r="L530" i="5" s="1"/>
  <c r="L531" i="5" s="1"/>
  <c r="L532" i="5" s="1"/>
  <c r="L533" i="5" s="1"/>
  <c r="L534" i="5" s="1"/>
  <c r="L535" i="5" s="1"/>
  <c r="L536" i="5" s="1"/>
  <c r="L537" i="5" s="1"/>
  <c r="L538" i="5" s="1"/>
  <c r="L539" i="5" s="1"/>
  <c r="L540" i="5" s="1"/>
  <c r="L541" i="5" s="1"/>
  <c r="L542" i="5" s="1"/>
  <c r="L543" i="5" s="1"/>
  <c r="L544" i="5" s="1"/>
  <c r="L545" i="5" s="1"/>
  <c r="L546" i="5" s="1"/>
  <c r="L547" i="5" s="1"/>
  <c r="L548" i="5" s="1"/>
  <c r="L549" i="5" s="1"/>
  <c r="L550" i="5" s="1"/>
  <c r="L551" i="5" s="1"/>
  <c r="L552" i="5" s="1"/>
  <c r="L553" i="5" s="1"/>
  <c r="L554" i="5" s="1"/>
  <c r="L555" i="5" s="1"/>
  <c r="L556" i="5" s="1"/>
  <c r="L557" i="5" s="1"/>
  <c r="L558" i="5" s="1"/>
  <c r="L559" i="5" s="1"/>
  <c r="L560" i="5" s="1"/>
  <c r="L561" i="5" s="1"/>
  <c r="L562" i="5" s="1"/>
  <c r="L563" i="5" s="1"/>
  <c r="L564" i="5" s="1"/>
  <c r="L565" i="5" s="1"/>
  <c r="L566" i="5" s="1"/>
  <c r="L567" i="5" s="1"/>
  <c r="L568" i="5" s="1"/>
  <c r="L569" i="5" s="1"/>
  <c r="L570" i="5" s="1"/>
  <c r="L571" i="5" s="1"/>
  <c r="L572" i="5" s="1"/>
  <c r="L573" i="5" s="1"/>
  <c r="L574" i="5" s="1"/>
  <c r="L575" i="5" s="1"/>
  <c r="L576" i="5" s="1"/>
  <c r="L577" i="5" s="1"/>
  <c r="L578" i="5" s="1"/>
  <c r="L579" i="5" s="1"/>
  <c r="L580" i="5" s="1"/>
  <c r="L581" i="5" s="1"/>
  <c r="L582" i="5" s="1"/>
  <c r="L583" i="5" s="1"/>
  <c r="L584" i="5" s="1"/>
  <c r="L585" i="5" s="1"/>
  <c r="L586" i="5" s="1"/>
  <c r="L587" i="5" s="1"/>
  <c r="X58" i="5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X101" i="5" s="1"/>
  <c r="X102" i="5" s="1"/>
  <c r="X104" i="5" s="1"/>
  <c r="X105" i="5" s="1"/>
  <c r="X106" i="5" s="1"/>
  <c r="X107" i="5" s="1"/>
  <c r="X108" i="5" s="1"/>
  <c r="X109" i="5" s="1"/>
  <c r="X110" i="5" s="1"/>
  <c r="X111" i="5" s="1"/>
  <c r="X112" i="5" s="1"/>
  <c r="X113" i="5" s="1"/>
  <c r="X115" i="5" s="1"/>
  <c r="X116" i="5" s="1"/>
  <c r="X117" i="5" s="1"/>
  <c r="X118" i="5" s="1"/>
  <c r="X119" i="5" s="1"/>
  <c r="X120" i="5" s="1"/>
  <c r="X121" i="5" s="1"/>
  <c r="X122" i="5" s="1"/>
  <c r="X123" i="5" s="1"/>
  <c r="X124" i="5" s="1"/>
  <c r="X125" i="5" s="1"/>
  <c r="X126" i="5" s="1"/>
  <c r="X127" i="5" s="1"/>
  <c r="X128" i="5" s="1"/>
  <c r="X129" i="5" s="1"/>
  <c r="X130" i="5" s="1"/>
  <c r="X131" i="5" s="1"/>
  <c r="X132" i="5" s="1"/>
  <c r="X133" i="5" s="1"/>
  <c r="X134" i="5" s="1"/>
  <c r="X135" i="5" s="1"/>
  <c r="X136" i="5" s="1"/>
  <c r="X137" i="5" s="1"/>
  <c r="X138" i="5" s="1"/>
  <c r="X139" i="5" s="1"/>
  <c r="X140" i="5" s="1"/>
  <c r="X141" i="5" s="1"/>
  <c r="X142" i="5" s="1"/>
  <c r="X143" i="5" s="1"/>
  <c r="X144" i="5" s="1"/>
  <c r="X145" i="5" s="1"/>
  <c r="X146" i="5" s="1"/>
  <c r="X147" i="5" s="1"/>
  <c r="X148" i="5" s="1"/>
  <c r="X149" i="5" s="1"/>
  <c r="X150" i="5" s="1"/>
  <c r="X151" i="5" s="1"/>
  <c r="S58" i="5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5" i="5" s="1"/>
  <c r="S116" i="5" s="1"/>
  <c r="S117" i="5" s="1"/>
  <c r="S118" i="5" s="1"/>
  <c r="S119" i="5" s="1"/>
  <c r="S120" i="5" s="1"/>
  <c r="S121" i="5" s="1"/>
  <c r="S122" i="5" s="1"/>
  <c r="S123" i="5" s="1"/>
  <c r="S124" i="5" s="1"/>
  <c r="S125" i="5" s="1"/>
  <c r="S126" i="5" s="1"/>
  <c r="S127" i="5" s="1"/>
  <c r="S128" i="5" s="1"/>
  <c r="S129" i="5" s="1"/>
  <c r="S130" i="5" s="1"/>
  <c r="S131" i="5" s="1"/>
  <c r="S132" i="5" s="1"/>
  <c r="S133" i="5" s="1"/>
  <c r="H385" i="1"/>
  <c r="I385" i="1"/>
  <c r="J385" i="1"/>
  <c r="L588" i="5" l="1"/>
  <c r="L589" i="5" s="1"/>
  <c r="L590" i="5" s="1"/>
  <c r="S134" i="5"/>
  <c r="S135" i="5" s="1"/>
  <c r="S136" i="5" s="1"/>
  <c r="S137" i="5" s="1"/>
  <c r="S138" i="5" s="1"/>
  <c r="S139" i="5" s="1"/>
  <c r="S140" i="5" s="1"/>
  <c r="S141" i="5" s="1"/>
  <c r="S142" i="5" s="1"/>
  <c r="S143" i="5" s="1"/>
  <c r="S144" i="5" s="1"/>
  <c r="S145" i="5" s="1"/>
  <c r="S146" i="5" s="1"/>
  <c r="S147" i="5" s="1"/>
  <c r="S148" i="5" s="1"/>
  <c r="S149" i="5" s="1"/>
  <c r="S150" i="5" s="1"/>
  <c r="S151" i="5" s="1"/>
  <c r="S152" i="5" s="1"/>
  <c r="S153" i="5" s="1"/>
  <c r="S154" i="5" s="1"/>
  <c r="S155" i="5" s="1"/>
  <c r="S156" i="5" s="1"/>
  <c r="S157" i="5" s="1"/>
  <c r="S158" i="5" s="1"/>
  <c r="S159" i="5" s="1"/>
  <c r="S160" i="5" s="1"/>
  <c r="S161" i="5" s="1"/>
  <c r="S162" i="5" s="1"/>
  <c r="S163" i="5" s="1"/>
  <c r="S164" i="5" s="1"/>
  <c r="S165" i="5" s="1"/>
  <c r="S166" i="5" s="1"/>
  <c r="S167" i="5" s="1"/>
  <c r="S168" i="5" s="1"/>
  <c r="S169" i="5" s="1"/>
  <c r="S170" i="5" s="1"/>
  <c r="S171" i="5" s="1"/>
  <c r="S172" i="5" s="1"/>
  <c r="S173" i="5" s="1"/>
  <c r="S174" i="5" s="1"/>
  <c r="S175" i="5" s="1"/>
  <c r="S176" i="5" s="1"/>
  <c r="S177" i="5" s="1"/>
  <c r="S178" i="5" s="1"/>
  <c r="S179" i="5" s="1"/>
  <c r="S180" i="5" s="1"/>
  <c r="S181" i="5" s="1"/>
  <c r="S182" i="5" s="1"/>
  <c r="S183" i="5" s="1"/>
  <c r="S184" i="5" s="1"/>
  <c r="S185" i="5" s="1"/>
  <c r="S186" i="5" s="1"/>
  <c r="S187" i="5" s="1"/>
  <c r="S188" i="5" s="1"/>
  <c r="S189" i="5" s="1"/>
  <c r="S190" i="5" s="1"/>
  <c r="S191" i="5" s="1"/>
  <c r="S192" i="5" s="1"/>
  <c r="S193" i="5" s="1"/>
  <c r="X152" i="5"/>
  <c r="X153" i="5" s="1"/>
  <c r="X154" i="5" s="1"/>
  <c r="X155" i="5" s="1"/>
  <c r="X156" i="5" s="1"/>
  <c r="X157" i="5" s="1"/>
  <c r="X158" i="5" s="1"/>
  <c r="X159" i="5" s="1"/>
  <c r="X160" i="5" s="1"/>
  <c r="X161" i="5" s="1"/>
  <c r="X162" i="5" s="1"/>
  <c r="X163" i="5" s="1"/>
  <c r="X164" i="5" s="1"/>
  <c r="X165" i="5" s="1"/>
  <c r="X166" i="5" s="1"/>
  <c r="X167" i="5" s="1"/>
  <c r="X168" i="5" s="1"/>
  <c r="X169" i="5" s="1"/>
  <c r="X170" i="5" s="1"/>
  <c r="X171" i="5" s="1"/>
  <c r="X172" i="5" s="1"/>
  <c r="X173" i="5" s="1"/>
  <c r="X174" i="5" s="1"/>
  <c r="X175" i="5" s="1"/>
  <c r="X176" i="5" s="1"/>
  <c r="X177" i="5" s="1"/>
  <c r="X178" i="5" s="1"/>
  <c r="X179" i="5" s="1"/>
  <c r="I371" i="1"/>
  <c r="J371" i="1"/>
  <c r="L591" i="5" l="1"/>
  <c r="L592" i="5" s="1"/>
  <c r="L593" i="5" s="1"/>
  <c r="L594" i="5" s="1"/>
  <c r="L595" i="5" s="1"/>
  <c r="L596" i="5" s="1"/>
  <c r="L597" i="5" s="1"/>
  <c r="L598" i="5" s="1"/>
  <c r="L599" i="5" s="1"/>
  <c r="L600" i="5" s="1"/>
  <c r="L601" i="5" s="1"/>
  <c r="L602" i="5" s="1"/>
  <c r="L603" i="5" s="1"/>
  <c r="L604" i="5" s="1"/>
  <c r="L605" i="5" s="1"/>
  <c r="L606" i="5" s="1"/>
  <c r="L607" i="5" s="1"/>
  <c r="L608" i="5" s="1"/>
  <c r="L610" i="5" s="1"/>
  <c r="L611" i="5" s="1"/>
  <c r="L612" i="5" s="1"/>
  <c r="L613" i="5" s="1"/>
  <c r="L614" i="5" s="1"/>
  <c r="L615" i="5" s="1"/>
  <c r="L616" i="5" s="1"/>
  <c r="L617" i="5" s="1"/>
  <c r="L618" i="5" s="1"/>
  <c r="L619" i="5" s="1"/>
  <c r="L620" i="5" s="1"/>
  <c r="L621" i="5" s="1"/>
  <c r="L622" i="5" s="1"/>
  <c r="L623" i="5" s="1"/>
  <c r="L624" i="5" s="1"/>
  <c r="L625" i="5" s="1"/>
  <c r="L626" i="5" s="1"/>
  <c r="L627" i="5" s="1"/>
  <c r="L628" i="5" s="1"/>
  <c r="L629" i="5" s="1"/>
  <c r="L630" i="5" s="1"/>
  <c r="L631" i="5" s="1"/>
  <c r="L632" i="5" s="1"/>
  <c r="L633" i="5" s="1"/>
  <c r="L634" i="5" s="1"/>
  <c r="L635" i="5" s="1"/>
  <c r="L636" i="5" s="1"/>
  <c r="L637" i="5" s="1"/>
  <c r="L638" i="5" s="1"/>
  <c r="L639" i="5" s="1"/>
  <c r="L640" i="5" s="1"/>
  <c r="L641" i="5" s="1"/>
  <c r="L642" i="5" s="1"/>
  <c r="L643" i="5" s="1"/>
  <c r="L644" i="5" s="1"/>
  <c r="L645" i="5" s="1"/>
  <c r="L646" i="5" s="1"/>
  <c r="L647" i="5" s="1"/>
  <c r="L648" i="5" s="1"/>
  <c r="L649" i="5" s="1"/>
  <c r="L650" i="5" s="1"/>
  <c r="L651" i="5" s="1"/>
  <c r="L652" i="5" s="1"/>
  <c r="L653" i="5" s="1"/>
  <c r="L654" i="5" s="1"/>
  <c r="L655" i="5" s="1"/>
  <c r="L656" i="5" s="1"/>
  <c r="L657" i="5" s="1"/>
  <c r="L658" i="5" s="1"/>
  <c r="L659" i="5" s="1"/>
  <c r="L660" i="5" s="1"/>
  <c r="L661" i="5" s="1"/>
  <c r="L662" i="5" s="1"/>
  <c r="L663" i="5" s="1"/>
  <c r="L664" i="5" s="1"/>
  <c r="L665" i="5" s="1"/>
  <c r="L666" i="5" s="1"/>
  <c r="L667" i="5" s="1"/>
  <c r="S194" i="5"/>
  <c r="S195" i="5" s="1"/>
  <c r="S196" i="5" s="1"/>
  <c r="S197" i="5" s="1"/>
  <c r="S199" i="5" s="1"/>
  <c r="S200" i="5" s="1"/>
  <c r="S201" i="5" s="1"/>
  <c r="S202" i="5" s="1"/>
  <c r="S203" i="5" s="1"/>
  <c r="S204" i="5" s="1"/>
  <c r="S205" i="5" s="1"/>
  <c r="S206" i="5" s="1"/>
  <c r="S207" i="5" s="1"/>
  <c r="S208" i="5" s="1"/>
  <c r="S209" i="5" s="1"/>
  <c r="S210" i="5" s="1"/>
  <c r="S211" i="5" s="1"/>
  <c r="S212" i="5" s="1"/>
  <c r="S213" i="5" s="1"/>
  <c r="S214" i="5" s="1"/>
  <c r="S215" i="5" s="1"/>
  <c r="S216" i="5" s="1"/>
  <c r="S217" i="5" s="1"/>
  <c r="S218" i="5" s="1"/>
  <c r="S219" i="5" s="1"/>
  <c r="S220" i="5" s="1"/>
  <c r="S221" i="5" s="1"/>
  <c r="S222" i="5" s="1"/>
  <c r="S223" i="5" s="1"/>
  <c r="S224" i="5" s="1"/>
  <c r="S225" i="5" s="1"/>
  <c r="S226" i="5" s="1"/>
  <c r="S227" i="5" s="1"/>
  <c r="S228" i="5" s="1"/>
  <c r="S229" i="5" s="1"/>
  <c r="S230" i="5" s="1"/>
  <c r="S231" i="5" s="1"/>
  <c r="S232" i="5" s="1"/>
  <c r="S233" i="5" s="1"/>
  <c r="S234" i="5" s="1"/>
  <c r="S235" i="5" s="1"/>
  <c r="S236" i="5" s="1"/>
  <c r="S237" i="5" s="1"/>
  <c r="S238" i="5" s="1"/>
  <c r="S239" i="5" s="1"/>
  <c r="S240" i="5" s="1"/>
  <c r="S241" i="5" s="1"/>
  <c r="S242" i="5" s="1"/>
  <c r="S243" i="5" s="1"/>
  <c r="S244" i="5" s="1"/>
  <c r="X180" i="5"/>
  <c r="X181" i="5" s="1"/>
  <c r="X182" i="5" s="1"/>
  <c r="X183" i="5" s="1"/>
  <c r="X184" i="5" s="1"/>
  <c r="X185" i="5" s="1"/>
  <c r="X186" i="5" s="1"/>
  <c r="X187" i="5" s="1"/>
  <c r="X188" i="5" s="1"/>
  <c r="X189" i="5" s="1"/>
  <c r="X190" i="5" s="1"/>
  <c r="X191" i="5" s="1"/>
  <c r="X192" i="5" s="1"/>
  <c r="X193" i="5" s="1"/>
  <c r="J357" i="1"/>
  <c r="L668" i="5" l="1"/>
  <c r="L669" i="5" s="1"/>
  <c r="L670" i="5" s="1"/>
  <c r="L671" i="5" s="1"/>
  <c r="L672" i="5" s="1"/>
  <c r="L673" i="5" s="1"/>
  <c r="L674" i="5" s="1"/>
  <c r="L675" i="5" s="1"/>
  <c r="L676" i="5" s="1"/>
  <c r="L677" i="5" s="1"/>
  <c r="L678" i="5" s="1"/>
  <c r="L679" i="5" s="1"/>
  <c r="L680" i="5" s="1"/>
  <c r="L681" i="5" s="1"/>
  <c r="L682" i="5" s="1"/>
  <c r="L683" i="5" s="1"/>
  <c r="L684" i="5" s="1"/>
  <c r="L685" i="5" s="1"/>
  <c r="L686" i="5" s="1"/>
  <c r="L687" i="5" s="1"/>
  <c r="L688" i="5" s="1"/>
  <c r="L689" i="5" s="1"/>
  <c r="L690" i="5" s="1"/>
  <c r="L691" i="5" s="1"/>
  <c r="L692" i="5" s="1"/>
  <c r="L693" i="5" s="1"/>
  <c r="L694" i="5" s="1"/>
  <c r="L695" i="5" s="1"/>
  <c r="L696" i="5" s="1"/>
  <c r="L697" i="5" s="1"/>
  <c r="L698" i="5" s="1"/>
  <c r="L699" i="5" s="1"/>
  <c r="L700" i="5" s="1"/>
  <c r="L701" i="5" s="1"/>
  <c r="L702" i="5" s="1"/>
  <c r="L703" i="5" s="1"/>
  <c r="L704" i="5" s="1"/>
  <c r="L705" i="5" s="1"/>
  <c r="L706" i="5" s="1"/>
  <c r="L707" i="5" s="1"/>
  <c r="L708" i="5" s="1"/>
  <c r="L709" i="5" s="1"/>
  <c r="L710" i="5" s="1"/>
  <c r="L711" i="5" s="1"/>
  <c r="L712" i="5" s="1"/>
  <c r="L714" i="5" s="1"/>
  <c r="L715" i="5" s="1"/>
  <c r="L716" i="5" s="1"/>
  <c r="L717" i="5" s="1"/>
  <c r="L718" i="5" s="1"/>
  <c r="L719" i="5" s="1"/>
  <c r="L720" i="5" s="1"/>
  <c r="L721" i="5" s="1"/>
  <c r="L722" i="5" s="1"/>
  <c r="L723" i="5" s="1"/>
  <c r="L724" i="5" s="1"/>
  <c r="L725" i="5" s="1"/>
  <c r="L726" i="5" s="1"/>
  <c r="L727" i="5" s="1"/>
  <c r="L728" i="5" s="1"/>
  <c r="L729" i="5" s="1"/>
  <c r="L730" i="5" s="1"/>
  <c r="L731" i="5" s="1"/>
  <c r="L732" i="5" s="1"/>
  <c r="L733" i="5" s="1"/>
  <c r="L734" i="5" s="1"/>
  <c r="L735" i="5" s="1"/>
  <c r="L736" i="5" s="1"/>
  <c r="L737" i="5" s="1"/>
  <c r="L738" i="5" s="1"/>
  <c r="L739" i="5" s="1"/>
  <c r="L740" i="5" s="1"/>
  <c r="L741" i="5" s="1"/>
  <c r="L742" i="5" s="1"/>
  <c r="L743" i="5" s="1"/>
  <c r="L744" i="5" s="1"/>
  <c r="L745" i="5" s="1"/>
  <c r="L746" i="5" s="1"/>
  <c r="L747" i="5" s="1"/>
  <c r="L748" i="5" s="1"/>
  <c r="L749" i="5" s="1"/>
  <c r="L750" i="5" s="1"/>
  <c r="L751" i="5" s="1"/>
  <c r="L752" i="5" s="1"/>
  <c r="L753" i="5" s="1"/>
  <c r="L754" i="5" s="1"/>
  <c r="L755" i="5" s="1"/>
  <c r="L756" i="5" s="1"/>
  <c r="L757" i="5" s="1"/>
  <c r="L758" i="5" s="1"/>
  <c r="L759" i="5" s="1"/>
  <c r="L760" i="5" s="1"/>
  <c r="L761" i="5" s="1"/>
  <c r="L762" i="5" s="1"/>
  <c r="L763" i="5" s="1"/>
  <c r="L764" i="5" s="1"/>
  <c r="L765" i="5" s="1"/>
  <c r="L766" i="5" s="1"/>
  <c r="L767" i="5" s="1"/>
  <c r="L768" i="5" s="1"/>
  <c r="L769" i="5" s="1"/>
  <c r="L770" i="5" s="1"/>
  <c r="L771" i="5" s="1"/>
  <c r="L772" i="5" s="1"/>
  <c r="L773" i="5" s="1"/>
  <c r="L774" i="5" s="1"/>
  <c r="L775" i="5" s="1"/>
  <c r="L776" i="5" s="1"/>
  <c r="L777" i="5" s="1"/>
  <c r="L778" i="5" s="1"/>
  <c r="L779" i="5" s="1"/>
  <c r="L780" i="5" s="1"/>
  <c r="L781" i="5" s="1"/>
  <c r="L782" i="5" s="1"/>
  <c r="L783" i="5" s="1"/>
  <c r="L784" i="5" s="1"/>
  <c r="L785" i="5" s="1"/>
  <c r="L786" i="5" s="1"/>
  <c r="L787" i="5" s="1"/>
  <c r="L788" i="5" s="1"/>
  <c r="L789" i="5" s="1"/>
  <c r="L790" i="5" s="1"/>
  <c r="L791" i="5" s="1"/>
  <c r="L792" i="5" s="1"/>
  <c r="L793" i="5" s="1"/>
  <c r="L794" i="5" s="1"/>
  <c r="L795" i="5" s="1"/>
  <c r="L796" i="5" s="1"/>
  <c r="L797" i="5" s="1"/>
  <c r="L798" i="5" s="1"/>
  <c r="L799" i="5" s="1"/>
  <c r="L800" i="5" s="1"/>
  <c r="L801" i="5" s="1"/>
  <c r="L802" i="5" s="1"/>
  <c r="L803" i="5" s="1"/>
  <c r="L804" i="5" s="1"/>
  <c r="L805" i="5" s="1"/>
  <c r="L806" i="5" s="1"/>
  <c r="L807" i="5" s="1"/>
  <c r="L808" i="5" s="1"/>
  <c r="L809" i="5" s="1"/>
  <c r="L810" i="5" s="1"/>
  <c r="L811" i="5" s="1"/>
  <c r="L812" i="5" s="1"/>
  <c r="L813" i="5" s="1"/>
  <c r="L814" i="5" s="1"/>
  <c r="L815" i="5" s="1"/>
  <c r="L816" i="5" s="1"/>
  <c r="L817" i="5" s="1"/>
  <c r="L818" i="5" s="1"/>
  <c r="L819" i="5" s="1"/>
  <c r="L820" i="5" s="1"/>
  <c r="L821" i="5" s="1"/>
  <c r="S245" i="5"/>
  <c r="S247" i="5" s="1"/>
  <c r="S248" i="5" s="1"/>
  <c r="S249" i="5" s="1"/>
  <c r="S250" i="5" s="1"/>
  <c r="S251" i="5" s="1"/>
  <c r="S252" i="5" s="1"/>
  <c r="S253" i="5" s="1"/>
  <c r="S254" i="5" s="1"/>
  <c r="S255" i="5" s="1"/>
  <c r="S256" i="5" s="1"/>
  <c r="S257" i="5" s="1"/>
  <c r="S258" i="5" s="1"/>
  <c r="S259" i="5" s="1"/>
  <c r="S260" i="5" s="1"/>
  <c r="S261" i="5" s="1"/>
  <c r="S262" i="5" s="1"/>
  <c r="S263" i="5" s="1"/>
  <c r="S264" i="5" s="1"/>
  <c r="S265" i="5" s="1"/>
  <c r="S266" i="5" s="1"/>
  <c r="S267" i="5" s="1"/>
  <c r="S268" i="5" s="1"/>
  <c r="S269" i="5" s="1"/>
  <c r="S270" i="5" s="1"/>
  <c r="S271" i="5" s="1"/>
  <c r="S272" i="5" s="1"/>
  <c r="S273" i="5" s="1"/>
  <c r="S274" i="5" s="1"/>
  <c r="S275" i="5" s="1"/>
  <c r="S276" i="5" s="1"/>
  <c r="S277" i="5" s="1"/>
  <c r="S278" i="5" s="1"/>
  <c r="S279" i="5" s="1"/>
  <c r="S280" i="5" s="1"/>
  <c r="S281" i="5" s="1"/>
  <c r="S282" i="5" s="1"/>
  <c r="S283" i="5" s="1"/>
  <c r="S284" i="5" s="1"/>
  <c r="S285" i="5" s="1"/>
  <c r="S286" i="5" s="1"/>
  <c r="S287" i="5" s="1"/>
  <c r="S288" i="5" s="1"/>
  <c r="S289" i="5" s="1"/>
  <c r="S290" i="5" s="1"/>
  <c r="S291" i="5" s="1"/>
  <c r="S292" i="5" s="1"/>
  <c r="S293" i="5" s="1"/>
  <c r="S294" i="5" s="1"/>
  <c r="S295" i="5" s="1"/>
  <c r="S296" i="5" s="1"/>
  <c r="S297" i="5" s="1"/>
  <c r="S298" i="5" s="1"/>
  <c r="S300" i="5" s="1"/>
  <c r="S301" i="5" s="1"/>
  <c r="S302" i="5" s="1"/>
  <c r="S303" i="5" s="1"/>
  <c r="S304" i="5" s="1"/>
  <c r="S305" i="5" s="1"/>
  <c r="S306" i="5" s="1"/>
  <c r="S246" i="5"/>
  <c r="X194" i="5"/>
  <c r="X195" i="5" s="1"/>
  <c r="X196" i="5" s="1"/>
  <c r="X197" i="5" s="1"/>
  <c r="X199" i="5" s="1"/>
  <c r="X200" i="5" s="1"/>
  <c r="X201" i="5" s="1"/>
  <c r="X202" i="5" s="1"/>
  <c r="X203" i="5" s="1"/>
  <c r="X204" i="5" s="1"/>
  <c r="X205" i="5" s="1"/>
  <c r="X206" i="5" s="1"/>
  <c r="X207" i="5" s="1"/>
  <c r="X208" i="5" s="1"/>
  <c r="X209" i="5" s="1"/>
  <c r="X210" i="5" s="1"/>
  <c r="X211" i="5" s="1"/>
  <c r="X212" i="5" s="1"/>
  <c r="X213" i="5" s="1"/>
  <c r="X214" i="5" s="1"/>
  <c r="X215" i="5" s="1"/>
  <c r="X216" i="5" s="1"/>
  <c r="X217" i="5" s="1"/>
  <c r="X218" i="5" s="1"/>
  <c r="X219" i="5" s="1"/>
  <c r="X220" i="5" s="1"/>
  <c r="X221" i="5" s="1"/>
  <c r="X222" i="5" s="1"/>
  <c r="X223" i="5" s="1"/>
  <c r="X224" i="5" s="1"/>
  <c r="X225" i="5" s="1"/>
  <c r="X226" i="5" s="1"/>
  <c r="X227" i="5" s="1"/>
  <c r="X228" i="5" s="1"/>
  <c r="X229" i="5" s="1"/>
  <c r="X230" i="5" s="1"/>
  <c r="X231" i="5" s="1"/>
  <c r="X232" i="5" s="1"/>
  <c r="X233" i="5" s="1"/>
  <c r="J599" i="1"/>
  <c r="I599" i="1"/>
  <c r="H599" i="1"/>
  <c r="J598" i="1"/>
  <c r="I598" i="1"/>
  <c r="H598" i="1"/>
  <c r="J597" i="1"/>
  <c r="I597" i="1"/>
  <c r="H597" i="1"/>
  <c r="J596" i="1"/>
  <c r="I596" i="1"/>
  <c r="H596" i="1"/>
  <c r="J595" i="1"/>
  <c r="I595" i="1"/>
  <c r="H595" i="1"/>
  <c r="J594" i="1"/>
  <c r="I594" i="1"/>
  <c r="H594" i="1"/>
  <c r="J593" i="1"/>
  <c r="I593" i="1"/>
  <c r="H593" i="1"/>
  <c r="J592" i="1"/>
  <c r="I592" i="1"/>
  <c r="H592" i="1"/>
  <c r="J591" i="1"/>
  <c r="I591" i="1"/>
  <c r="H591" i="1"/>
  <c r="J590" i="1"/>
  <c r="I590" i="1"/>
  <c r="H590" i="1"/>
  <c r="J589" i="1"/>
  <c r="I589" i="1"/>
  <c r="H589" i="1"/>
  <c r="J588" i="1"/>
  <c r="I588" i="1"/>
  <c r="H588" i="1"/>
  <c r="J587" i="1"/>
  <c r="I587" i="1"/>
  <c r="H587" i="1"/>
  <c r="J586" i="1"/>
  <c r="I586" i="1"/>
  <c r="H586" i="1"/>
  <c r="J585" i="1"/>
  <c r="I585" i="1"/>
  <c r="H585" i="1"/>
  <c r="J584" i="1"/>
  <c r="I584" i="1"/>
  <c r="H584" i="1"/>
  <c r="J583" i="1"/>
  <c r="I583" i="1"/>
  <c r="H583" i="1"/>
  <c r="J582" i="1"/>
  <c r="I582" i="1"/>
  <c r="H582" i="1"/>
  <c r="J581" i="1"/>
  <c r="I581" i="1"/>
  <c r="H581" i="1"/>
  <c r="J580" i="1"/>
  <c r="I580" i="1"/>
  <c r="H580" i="1"/>
  <c r="J579" i="1"/>
  <c r="I579" i="1"/>
  <c r="H579" i="1"/>
  <c r="J578" i="1"/>
  <c r="I578" i="1"/>
  <c r="H578" i="1"/>
  <c r="J577" i="1"/>
  <c r="I577" i="1"/>
  <c r="H577" i="1"/>
  <c r="J576" i="1"/>
  <c r="I576" i="1"/>
  <c r="H576" i="1"/>
  <c r="J575" i="1"/>
  <c r="I575" i="1"/>
  <c r="H575" i="1"/>
  <c r="J574" i="1"/>
  <c r="I574" i="1"/>
  <c r="H574" i="1"/>
  <c r="J573" i="1"/>
  <c r="I573" i="1"/>
  <c r="H573" i="1"/>
  <c r="J572" i="1"/>
  <c r="I572" i="1"/>
  <c r="H572" i="1"/>
  <c r="J571" i="1"/>
  <c r="I571" i="1"/>
  <c r="H571" i="1"/>
  <c r="J570" i="1"/>
  <c r="I570" i="1"/>
  <c r="H570" i="1"/>
  <c r="J569" i="1"/>
  <c r="I569" i="1"/>
  <c r="H569" i="1"/>
  <c r="J568" i="1"/>
  <c r="I568" i="1"/>
  <c r="H568" i="1"/>
  <c r="J567" i="1"/>
  <c r="I567" i="1"/>
  <c r="H567" i="1"/>
  <c r="J566" i="1"/>
  <c r="I566" i="1"/>
  <c r="H566" i="1"/>
  <c r="J565" i="1"/>
  <c r="I565" i="1"/>
  <c r="H565" i="1"/>
  <c r="J564" i="1"/>
  <c r="I564" i="1"/>
  <c r="H564" i="1"/>
  <c r="J563" i="1"/>
  <c r="I563" i="1"/>
  <c r="H563" i="1"/>
  <c r="J562" i="1"/>
  <c r="I562" i="1"/>
  <c r="H562" i="1"/>
  <c r="J561" i="1"/>
  <c r="I561" i="1"/>
  <c r="H561" i="1"/>
  <c r="J560" i="1"/>
  <c r="I560" i="1"/>
  <c r="H560" i="1"/>
  <c r="J559" i="1"/>
  <c r="I559" i="1"/>
  <c r="H559" i="1"/>
  <c r="J558" i="1"/>
  <c r="I558" i="1"/>
  <c r="H558" i="1"/>
  <c r="J557" i="1"/>
  <c r="I557" i="1"/>
  <c r="H557" i="1"/>
  <c r="J556" i="1"/>
  <c r="I556" i="1"/>
  <c r="H556" i="1"/>
  <c r="J555" i="1"/>
  <c r="I555" i="1"/>
  <c r="H555" i="1"/>
  <c r="J554" i="1"/>
  <c r="I554" i="1"/>
  <c r="H554" i="1"/>
  <c r="J553" i="1"/>
  <c r="I553" i="1"/>
  <c r="H553" i="1"/>
  <c r="J552" i="1"/>
  <c r="I552" i="1"/>
  <c r="H552" i="1"/>
  <c r="J551" i="1"/>
  <c r="I551" i="1"/>
  <c r="H551" i="1"/>
  <c r="J550" i="1"/>
  <c r="I550" i="1"/>
  <c r="H550" i="1"/>
  <c r="J549" i="1"/>
  <c r="I549" i="1"/>
  <c r="H549" i="1"/>
  <c r="J548" i="1"/>
  <c r="H548" i="1"/>
  <c r="J547" i="1"/>
  <c r="I547" i="1"/>
  <c r="H547" i="1"/>
  <c r="J546" i="1"/>
  <c r="I546" i="1"/>
  <c r="H546" i="1"/>
  <c r="J544" i="1"/>
  <c r="I544" i="1"/>
  <c r="H544" i="1"/>
  <c r="J543" i="1"/>
  <c r="I543" i="1"/>
  <c r="H543" i="1"/>
  <c r="J542" i="1"/>
  <c r="I542" i="1"/>
  <c r="H542" i="1"/>
  <c r="J541" i="1"/>
  <c r="I541" i="1"/>
  <c r="H541" i="1"/>
  <c r="J540" i="1"/>
  <c r="I540" i="1"/>
  <c r="H540" i="1"/>
  <c r="J539" i="1"/>
  <c r="I539" i="1"/>
  <c r="H539" i="1"/>
  <c r="J538" i="1"/>
  <c r="I538" i="1"/>
  <c r="H538" i="1"/>
  <c r="J537" i="1"/>
  <c r="I537" i="1"/>
  <c r="H537" i="1"/>
  <c r="J536" i="1"/>
  <c r="I536" i="1"/>
  <c r="H536" i="1"/>
  <c r="J535" i="1"/>
  <c r="I535" i="1"/>
  <c r="H535" i="1"/>
  <c r="J534" i="1"/>
  <c r="I534" i="1"/>
  <c r="H534" i="1"/>
  <c r="J533" i="1"/>
  <c r="I533" i="1"/>
  <c r="H533" i="1"/>
  <c r="J532" i="1"/>
  <c r="I532" i="1"/>
  <c r="H532" i="1"/>
  <c r="J531" i="1"/>
  <c r="I531" i="1"/>
  <c r="H531" i="1"/>
  <c r="J530" i="1"/>
  <c r="I530" i="1"/>
  <c r="H530" i="1"/>
  <c r="J529" i="1"/>
  <c r="I529" i="1"/>
  <c r="H529" i="1"/>
  <c r="J528" i="1"/>
  <c r="I528" i="1"/>
  <c r="H528" i="1"/>
  <c r="J527" i="1"/>
  <c r="I527" i="1"/>
  <c r="H527" i="1"/>
  <c r="J526" i="1"/>
  <c r="I526" i="1"/>
  <c r="H526" i="1"/>
  <c r="J525" i="1"/>
  <c r="I525" i="1"/>
  <c r="H525" i="1"/>
  <c r="J524" i="1"/>
  <c r="I524" i="1"/>
  <c r="H524" i="1"/>
  <c r="J523" i="1"/>
  <c r="I523" i="1"/>
  <c r="H523" i="1"/>
  <c r="J522" i="1"/>
  <c r="I522" i="1"/>
  <c r="H522" i="1"/>
  <c r="J521" i="1"/>
  <c r="I521" i="1"/>
  <c r="H521" i="1"/>
  <c r="J520" i="1"/>
  <c r="I520" i="1"/>
  <c r="H520" i="1"/>
  <c r="J519" i="1"/>
  <c r="I519" i="1"/>
  <c r="H519" i="1"/>
  <c r="J518" i="1"/>
  <c r="I518" i="1"/>
  <c r="H518" i="1"/>
  <c r="J517" i="1"/>
  <c r="I517" i="1"/>
  <c r="H517" i="1"/>
  <c r="J516" i="1"/>
  <c r="I516" i="1"/>
  <c r="H516" i="1"/>
  <c r="J515" i="1"/>
  <c r="I515" i="1"/>
  <c r="H515" i="1"/>
  <c r="J514" i="1"/>
  <c r="I514" i="1"/>
  <c r="H514" i="1"/>
  <c r="J513" i="1"/>
  <c r="I513" i="1"/>
  <c r="H513" i="1"/>
  <c r="J512" i="1"/>
  <c r="I512" i="1"/>
  <c r="H512" i="1"/>
  <c r="J511" i="1"/>
  <c r="I511" i="1"/>
  <c r="H511" i="1"/>
  <c r="J510" i="1"/>
  <c r="I510" i="1"/>
  <c r="H510" i="1"/>
  <c r="J509" i="1"/>
  <c r="I509" i="1"/>
  <c r="H509" i="1"/>
  <c r="J508" i="1"/>
  <c r="I508" i="1"/>
  <c r="H508" i="1"/>
  <c r="J507" i="1"/>
  <c r="I507" i="1"/>
  <c r="H507" i="1"/>
  <c r="J506" i="1"/>
  <c r="I506" i="1"/>
  <c r="H506" i="1"/>
  <c r="J505" i="1"/>
  <c r="I505" i="1"/>
  <c r="H505" i="1"/>
  <c r="J504" i="1"/>
  <c r="I504" i="1"/>
  <c r="H504" i="1"/>
  <c r="J503" i="1"/>
  <c r="I503" i="1"/>
  <c r="J502" i="1"/>
  <c r="I502" i="1"/>
  <c r="H502" i="1"/>
  <c r="J501" i="1"/>
  <c r="I501" i="1"/>
  <c r="H501" i="1"/>
  <c r="J500" i="1"/>
  <c r="I500" i="1"/>
  <c r="H500" i="1"/>
  <c r="J499" i="1"/>
  <c r="I499" i="1"/>
  <c r="H499" i="1"/>
  <c r="J498" i="1"/>
  <c r="I498" i="1"/>
  <c r="J497" i="1"/>
  <c r="I497" i="1"/>
  <c r="J496" i="1"/>
  <c r="I496" i="1"/>
  <c r="H496" i="1"/>
  <c r="J495" i="1"/>
  <c r="I495" i="1"/>
  <c r="H495" i="1"/>
  <c r="J494" i="1"/>
  <c r="I494" i="1"/>
  <c r="H494" i="1"/>
  <c r="J493" i="1"/>
  <c r="I493" i="1"/>
  <c r="H493" i="1"/>
  <c r="J492" i="1"/>
  <c r="I492" i="1"/>
  <c r="H492" i="1"/>
  <c r="J491" i="1"/>
  <c r="I491" i="1"/>
  <c r="H491" i="1"/>
  <c r="J490" i="1"/>
  <c r="I490" i="1"/>
  <c r="H490" i="1"/>
  <c r="J489" i="1"/>
  <c r="I489" i="1"/>
  <c r="H489" i="1"/>
  <c r="J488" i="1"/>
  <c r="I488" i="1"/>
  <c r="H488" i="1"/>
  <c r="J487" i="1"/>
  <c r="I487" i="1"/>
  <c r="H487" i="1"/>
  <c r="J486" i="1"/>
  <c r="I486" i="1"/>
  <c r="H486" i="1"/>
  <c r="J485" i="1"/>
  <c r="I485" i="1"/>
  <c r="H485" i="1"/>
  <c r="J484" i="1"/>
  <c r="I484" i="1"/>
  <c r="H484" i="1"/>
  <c r="J483" i="1"/>
  <c r="I483" i="1"/>
  <c r="H483" i="1"/>
  <c r="J482" i="1"/>
  <c r="I482" i="1"/>
  <c r="H482" i="1"/>
  <c r="J481" i="1"/>
  <c r="I481" i="1"/>
  <c r="H481" i="1"/>
  <c r="J480" i="1"/>
  <c r="I480" i="1"/>
  <c r="H480" i="1"/>
  <c r="J479" i="1"/>
  <c r="I479" i="1"/>
  <c r="H479" i="1"/>
  <c r="J478" i="1"/>
  <c r="I478" i="1"/>
  <c r="H478" i="1"/>
  <c r="J477" i="1"/>
  <c r="I477" i="1"/>
  <c r="H477" i="1"/>
  <c r="J476" i="1"/>
  <c r="I476" i="1"/>
  <c r="H476" i="1"/>
  <c r="I475" i="1"/>
  <c r="H475" i="1"/>
  <c r="J474" i="1"/>
  <c r="I474" i="1"/>
  <c r="H474" i="1"/>
  <c r="J473" i="1"/>
  <c r="I473" i="1"/>
  <c r="H473" i="1"/>
  <c r="J472" i="1"/>
  <c r="I472" i="1"/>
  <c r="H472" i="1"/>
  <c r="J471" i="1"/>
  <c r="I471" i="1"/>
  <c r="H471" i="1"/>
  <c r="J469" i="1"/>
  <c r="I469" i="1"/>
  <c r="H469" i="1"/>
  <c r="J468" i="1"/>
  <c r="I468" i="1"/>
  <c r="H468" i="1"/>
  <c r="J467" i="1"/>
  <c r="I467" i="1"/>
  <c r="H467" i="1"/>
  <c r="J466" i="1"/>
  <c r="I466" i="1"/>
  <c r="H466" i="1"/>
  <c r="J465" i="1"/>
  <c r="I465" i="1"/>
  <c r="H465" i="1"/>
  <c r="J464" i="1"/>
  <c r="I464" i="1"/>
  <c r="H464" i="1"/>
  <c r="J463" i="1"/>
  <c r="I463" i="1"/>
  <c r="H463" i="1"/>
  <c r="J462" i="1"/>
  <c r="I462" i="1"/>
  <c r="H462" i="1"/>
  <c r="J461" i="1"/>
  <c r="I461" i="1"/>
  <c r="H461" i="1"/>
  <c r="J460" i="1"/>
  <c r="I460" i="1"/>
  <c r="H460" i="1"/>
  <c r="J459" i="1"/>
  <c r="I459" i="1"/>
  <c r="H459" i="1"/>
  <c r="J458" i="1"/>
  <c r="I458" i="1"/>
  <c r="H458" i="1"/>
  <c r="J457" i="1"/>
  <c r="I457" i="1"/>
  <c r="H457" i="1"/>
  <c r="J456" i="1"/>
  <c r="I456" i="1"/>
  <c r="H456" i="1"/>
  <c r="J455" i="1"/>
  <c r="I455" i="1"/>
  <c r="H455" i="1"/>
  <c r="J454" i="1"/>
  <c r="I454" i="1"/>
  <c r="H454" i="1"/>
  <c r="J453" i="1"/>
  <c r="I453" i="1"/>
  <c r="H453" i="1"/>
  <c r="J452" i="1"/>
  <c r="I452" i="1"/>
  <c r="H452" i="1"/>
  <c r="J451" i="1"/>
  <c r="I451" i="1"/>
  <c r="H451" i="1"/>
  <c r="J450" i="1"/>
  <c r="I450" i="1"/>
  <c r="H450" i="1"/>
  <c r="J449" i="1"/>
  <c r="I449" i="1"/>
  <c r="H449" i="1"/>
  <c r="J448" i="1"/>
  <c r="I448" i="1"/>
  <c r="H448" i="1"/>
  <c r="J447" i="1"/>
  <c r="I447" i="1"/>
  <c r="H447" i="1"/>
  <c r="J446" i="1"/>
  <c r="I446" i="1"/>
  <c r="H446" i="1"/>
  <c r="J445" i="1"/>
  <c r="I445" i="1"/>
  <c r="H445" i="1"/>
  <c r="J444" i="1"/>
  <c r="I444" i="1"/>
  <c r="H444" i="1"/>
  <c r="J443" i="1"/>
  <c r="I443" i="1"/>
  <c r="H443" i="1"/>
  <c r="J442" i="1"/>
  <c r="I442" i="1"/>
  <c r="H442" i="1"/>
  <c r="J441" i="1"/>
  <c r="I441" i="1"/>
  <c r="H441" i="1"/>
  <c r="J440" i="1"/>
  <c r="I440" i="1"/>
  <c r="H440" i="1"/>
  <c r="J439" i="1"/>
  <c r="I439" i="1"/>
  <c r="H439" i="1"/>
  <c r="J438" i="1"/>
  <c r="I438" i="1"/>
  <c r="H438" i="1"/>
  <c r="J437" i="1"/>
  <c r="I437" i="1"/>
  <c r="H437" i="1"/>
  <c r="J436" i="1"/>
  <c r="I436" i="1"/>
  <c r="H436" i="1"/>
  <c r="J435" i="1"/>
  <c r="I435" i="1"/>
  <c r="H435" i="1"/>
  <c r="J434" i="1"/>
  <c r="I434" i="1"/>
  <c r="H434" i="1"/>
  <c r="J433" i="1"/>
  <c r="I433" i="1"/>
  <c r="H433" i="1"/>
  <c r="J432" i="1"/>
  <c r="I432" i="1"/>
  <c r="H432" i="1"/>
  <c r="J431" i="1"/>
  <c r="I431" i="1"/>
  <c r="H431" i="1"/>
  <c r="J430" i="1"/>
  <c r="I430" i="1"/>
  <c r="H430" i="1"/>
  <c r="J429" i="1"/>
  <c r="I429" i="1"/>
  <c r="H429" i="1"/>
  <c r="J428" i="1"/>
  <c r="I428" i="1"/>
  <c r="H428" i="1"/>
  <c r="J427" i="1"/>
  <c r="I427" i="1"/>
  <c r="H427" i="1"/>
  <c r="J426" i="1"/>
  <c r="I426" i="1"/>
  <c r="H426" i="1"/>
  <c r="J425" i="1"/>
  <c r="I425" i="1"/>
  <c r="H425" i="1"/>
  <c r="J424" i="1"/>
  <c r="I424" i="1"/>
  <c r="H424" i="1"/>
  <c r="J423" i="1"/>
  <c r="I423" i="1"/>
  <c r="H423" i="1"/>
  <c r="J422" i="1"/>
  <c r="I422" i="1"/>
  <c r="H422" i="1"/>
  <c r="J421" i="1"/>
  <c r="I421" i="1"/>
  <c r="H421" i="1"/>
  <c r="J420" i="1"/>
  <c r="I420" i="1"/>
  <c r="H420" i="1"/>
  <c r="J419" i="1"/>
  <c r="I419" i="1"/>
  <c r="H419" i="1"/>
  <c r="J418" i="1"/>
  <c r="I418" i="1"/>
  <c r="H418" i="1"/>
  <c r="J417" i="1"/>
  <c r="I417" i="1"/>
  <c r="H417" i="1"/>
  <c r="J416" i="1"/>
  <c r="I416" i="1"/>
  <c r="H416" i="1"/>
  <c r="J415" i="1"/>
  <c r="I415" i="1"/>
  <c r="H415" i="1"/>
  <c r="J414" i="1"/>
  <c r="I414" i="1"/>
  <c r="H414" i="1"/>
  <c r="J413" i="1"/>
  <c r="I413" i="1"/>
  <c r="H413" i="1"/>
  <c r="J412" i="1"/>
  <c r="I412" i="1"/>
  <c r="H412" i="1"/>
  <c r="J411" i="1"/>
  <c r="I411" i="1"/>
  <c r="H411" i="1"/>
  <c r="J410" i="1"/>
  <c r="I410" i="1"/>
  <c r="H410" i="1"/>
  <c r="J409" i="1"/>
  <c r="I409" i="1"/>
  <c r="H409" i="1"/>
  <c r="J408" i="1"/>
  <c r="I408" i="1"/>
  <c r="H408" i="1"/>
  <c r="J407" i="1"/>
  <c r="I407" i="1"/>
  <c r="H407" i="1"/>
  <c r="J406" i="1"/>
  <c r="I406" i="1"/>
  <c r="H406" i="1"/>
  <c r="J405" i="1"/>
  <c r="I405" i="1"/>
  <c r="H405" i="1"/>
  <c r="J404" i="1"/>
  <c r="I404" i="1"/>
  <c r="H404" i="1"/>
  <c r="J403" i="1"/>
  <c r="I403" i="1"/>
  <c r="H403" i="1"/>
  <c r="J402" i="1"/>
  <c r="I402" i="1"/>
  <c r="H402" i="1"/>
  <c r="I401" i="1"/>
  <c r="H401" i="1"/>
  <c r="J400" i="1"/>
  <c r="I400" i="1"/>
  <c r="H400" i="1"/>
  <c r="J399" i="1"/>
  <c r="I399" i="1"/>
  <c r="H399" i="1"/>
  <c r="J398" i="1"/>
  <c r="I398" i="1"/>
  <c r="H398" i="1"/>
  <c r="J397" i="1"/>
  <c r="I397" i="1"/>
  <c r="H397" i="1"/>
  <c r="J396" i="1"/>
  <c r="I396" i="1"/>
  <c r="H396" i="1"/>
  <c r="J395" i="1"/>
  <c r="I395" i="1"/>
  <c r="H395" i="1"/>
  <c r="J394" i="1"/>
  <c r="I394" i="1"/>
  <c r="H394" i="1"/>
  <c r="J393" i="1"/>
  <c r="I393" i="1"/>
  <c r="H393" i="1"/>
  <c r="J392" i="1"/>
  <c r="I392" i="1"/>
  <c r="H392" i="1"/>
  <c r="J391" i="1"/>
  <c r="I391" i="1"/>
  <c r="H391" i="1"/>
  <c r="J390" i="1"/>
  <c r="I390" i="1"/>
  <c r="H390" i="1"/>
  <c r="J389" i="1"/>
  <c r="I389" i="1"/>
  <c r="H389" i="1"/>
  <c r="J388" i="1"/>
  <c r="I388" i="1"/>
  <c r="H388" i="1"/>
  <c r="J387" i="1"/>
  <c r="I387" i="1"/>
  <c r="H387" i="1"/>
  <c r="J386" i="1"/>
  <c r="I386" i="1"/>
  <c r="H386" i="1"/>
  <c r="J383" i="1"/>
  <c r="I383" i="1"/>
  <c r="H383" i="1"/>
  <c r="J382" i="1"/>
  <c r="I382" i="1"/>
  <c r="H382" i="1"/>
  <c r="J381" i="1"/>
  <c r="I381" i="1"/>
  <c r="H381" i="1"/>
  <c r="J380" i="1"/>
  <c r="I380" i="1"/>
  <c r="H380" i="1"/>
  <c r="J379" i="1"/>
  <c r="I379" i="1"/>
  <c r="H379" i="1"/>
  <c r="J378" i="1"/>
  <c r="I378" i="1"/>
  <c r="H378" i="1"/>
  <c r="J377" i="1"/>
  <c r="I377" i="1"/>
  <c r="H377" i="1"/>
  <c r="J376" i="1"/>
  <c r="I376" i="1"/>
  <c r="H376" i="1"/>
  <c r="J375" i="1"/>
  <c r="I375" i="1"/>
  <c r="H375" i="1"/>
  <c r="J374" i="1"/>
  <c r="I374" i="1"/>
  <c r="H374" i="1"/>
  <c r="J373" i="1"/>
  <c r="I373" i="1"/>
  <c r="H373" i="1"/>
  <c r="J372" i="1"/>
  <c r="I372" i="1"/>
  <c r="H372" i="1"/>
  <c r="H371" i="1"/>
  <c r="J370" i="1"/>
  <c r="I370" i="1"/>
  <c r="H370" i="1"/>
  <c r="J369" i="1"/>
  <c r="I369" i="1"/>
  <c r="H369" i="1"/>
  <c r="J368" i="1"/>
  <c r="I368" i="1"/>
  <c r="H368" i="1"/>
  <c r="J367" i="1"/>
  <c r="I367" i="1"/>
  <c r="H367" i="1"/>
  <c r="J366" i="1"/>
  <c r="I366" i="1"/>
  <c r="H366" i="1"/>
  <c r="J365" i="1"/>
  <c r="I365" i="1"/>
  <c r="H365" i="1"/>
  <c r="J364" i="1"/>
  <c r="I364" i="1"/>
  <c r="H364" i="1"/>
  <c r="J363" i="1"/>
  <c r="I363" i="1"/>
  <c r="H363" i="1"/>
  <c r="J362" i="1"/>
  <c r="I362" i="1"/>
  <c r="H362" i="1"/>
  <c r="J361" i="1"/>
  <c r="I361" i="1"/>
  <c r="H361" i="1"/>
  <c r="J360" i="1"/>
  <c r="I360" i="1"/>
  <c r="H360" i="1"/>
  <c r="J359" i="1"/>
  <c r="I359" i="1"/>
  <c r="H359" i="1"/>
  <c r="J358" i="1"/>
  <c r="I358" i="1"/>
  <c r="H358" i="1"/>
  <c r="I357" i="1"/>
  <c r="J356" i="1"/>
  <c r="I356" i="1"/>
  <c r="H356" i="1"/>
  <c r="J355" i="1"/>
  <c r="I355" i="1"/>
  <c r="H355" i="1"/>
  <c r="J354" i="1"/>
  <c r="I354" i="1"/>
  <c r="H354" i="1"/>
  <c r="J353" i="1"/>
  <c r="I353" i="1"/>
  <c r="H353" i="1"/>
  <c r="J352" i="1"/>
  <c r="I352" i="1"/>
  <c r="H352" i="1"/>
  <c r="J351" i="1"/>
  <c r="I351" i="1"/>
  <c r="H351" i="1"/>
  <c r="J350" i="1"/>
  <c r="I350" i="1"/>
  <c r="H350" i="1"/>
  <c r="J349" i="1"/>
  <c r="I349" i="1"/>
  <c r="H349" i="1"/>
  <c r="J348" i="1"/>
  <c r="I348" i="1"/>
  <c r="H348" i="1"/>
  <c r="J347" i="1"/>
  <c r="I347" i="1"/>
  <c r="H347" i="1"/>
  <c r="J346" i="1"/>
  <c r="I346" i="1"/>
  <c r="H346" i="1"/>
  <c r="J345" i="1"/>
  <c r="I345" i="1"/>
  <c r="H345" i="1"/>
  <c r="J344" i="1"/>
  <c r="I344" i="1"/>
  <c r="H344" i="1"/>
  <c r="J343" i="1"/>
  <c r="I343" i="1"/>
  <c r="H343" i="1"/>
  <c r="J342" i="1"/>
  <c r="I342" i="1"/>
  <c r="H342" i="1"/>
  <c r="J341" i="1"/>
  <c r="I341" i="1"/>
  <c r="H341" i="1"/>
  <c r="J340" i="1"/>
  <c r="I340" i="1"/>
  <c r="H340" i="1"/>
  <c r="J339" i="1"/>
  <c r="I339" i="1"/>
  <c r="H339" i="1"/>
  <c r="J338" i="1"/>
  <c r="I338" i="1"/>
  <c r="H338" i="1"/>
  <c r="J337" i="1"/>
  <c r="I337" i="1"/>
  <c r="H337" i="1"/>
  <c r="J336" i="1"/>
  <c r="I336" i="1"/>
  <c r="H336" i="1"/>
  <c r="J335" i="1"/>
  <c r="I335" i="1"/>
  <c r="H335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J334" i="1"/>
  <c r="I334" i="1"/>
  <c r="H334" i="1"/>
  <c r="L823" i="5" l="1"/>
  <c r="L824" i="5" s="1"/>
  <c r="L825" i="5" s="1"/>
  <c r="L826" i="5" s="1"/>
  <c r="L827" i="5" s="1"/>
  <c r="L828" i="5" s="1"/>
  <c r="L829" i="5" s="1"/>
  <c r="L830" i="5" s="1"/>
  <c r="L831" i="5" s="1"/>
  <c r="L832" i="5" s="1"/>
  <c r="L833" i="5" s="1"/>
  <c r="L834" i="5" s="1"/>
  <c r="L835" i="5" s="1"/>
  <c r="L836" i="5" s="1"/>
  <c r="L837" i="5" s="1"/>
  <c r="L838" i="5" s="1"/>
  <c r="L839" i="5" s="1"/>
  <c r="L840" i="5" s="1"/>
  <c r="L841" i="5" s="1"/>
  <c r="L842" i="5" s="1"/>
  <c r="L843" i="5" s="1"/>
  <c r="L844" i="5" s="1"/>
  <c r="L845" i="5" s="1"/>
  <c r="L846" i="5" s="1"/>
  <c r="L847" i="5" s="1"/>
  <c r="L848" i="5" s="1"/>
  <c r="L849" i="5" s="1"/>
  <c r="L850" i="5" s="1"/>
  <c r="L851" i="5" s="1"/>
  <c r="L852" i="5" s="1"/>
  <c r="L853" i="5" s="1"/>
  <c r="L854" i="5" s="1"/>
  <c r="L855" i="5" s="1"/>
  <c r="L856" i="5" s="1"/>
  <c r="L857" i="5" s="1"/>
  <c r="L858" i="5" s="1"/>
  <c r="L859" i="5" s="1"/>
  <c r="L860" i="5" s="1"/>
  <c r="L861" i="5" s="1"/>
  <c r="L862" i="5" s="1"/>
  <c r="L863" i="5" s="1"/>
  <c r="L864" i="5" s="1"/>
  <c r="L865" i="5" s="1"/>
  <c r="L866" i="5" s="1"/>
  <c r="L867" i="5" s="1"/>
  <c r="L868" i="5" s="1"/>
  <c r="L869" i="5" s="1"/>
  <c r="L870" i="5" s="1"/>
  <c r="L871" i="5" s="1"/>
  <c r="L872" i="5" s="1"/>
  <c r="L873" i="5" s="1"/>
  <c r="L874" i="5" s="1"/>
  <c r="L875" i="5" s="1"/>
  <c r="L876" i="5" s="1"/>
  <c r="L877" i="5" s="1"/>
  <c r="L878" i="5" s="1"/>
  <c r="L879" i="5" s="1"/>
  <c r="L880" i="5" s="1"/>
  <c r="L882" i="5" s="1"/>
  <c r="L883" i="5" s="1"/>
  <c r="X234" i="5"/>
  <c r="X235" i="5" s="1"/>
  <c r="X236" i="5" s="1"/>
  <c r="X237" i="5" s="1"/>
  <c r="X238" i="5" s="1"/>
  <c r="X239" i="5" s="1"/>
  <c r="X240" i="5" s="1"/>
  <c r="X241" i="5" s="1"/>
  <c r="X242" i="5" s="1"/>
  <c r="S307" i="5"/>
  <c r="S308" i="5" s="1"/>
  <c r="S309" i="5" s="1"/>
  <c r="S310" i="5" s="1"/>
  <c r="S311" i="5" s="1"/>
  <c r="S312" i="5" s="1"/>
  <c r="S313" i="5" s="1"/>
  <c r="S314" i="5" s="1"/>
  <c r="S315" i="5" s="1"/>
  <c r="S316" i="5" s="1"/>
  <c r="S317" i="5" s="1"/>
  <c r="S318" i="5" s="1"/>
  <c r="S319" i="5" s="1"/>
  <c r="S320" i="5" s="1"/>
  <c r="S321" i="5" s="1"/>
  <c r="S322" i="5" s="1"/>
  <c r="S323" i="5" s="1"/>
  <c r="S324" i="5" s="1"/>
  <c r="S325" i="5" s="1"/>
  <c r="S326" i="5" s="1"/>
  <c r="S327" i="5" s="1"/>
  <c r="S328" i="5" s="1"/>
  <c r="S329" i="5" s="1"/>
  <c r="S330" i="5" s="1"/>
  <c r="S331" i="5" s="1"/>
  <c r="S332" i="5" s="1"/>
  <c r="S333" i="5" s="1"/>
  <c r="S334" i="5" s="1"/>
  <c r="S335" i="5" s="1"/>
  <c r="S336" i="5" s="1"/>
  <c r="S337" i="5" s="1"/>
  <c r="S338" i="5" s="1"/>
  <c r="S339" i="5" s="1"/>
  <c r="S340" i="5" s="1"/>
  <c r="S341" i="5" s="1"/>
  <c r="S342" i="5" s="1"/>
  <c r="S343" i="5" s="1"/>
  <c r="S344" i="5" s="1"/>
  <c r="S345" i="5" s="1"/>
  <c r="S346" i="5" s="1"/>
  <c r="S347" i="5" s="1"/>
  <c r="S348" i="5" s="1"/>
  <c r="S349" i="5" s="1"/>
  <c r="S350" i="5" s="1"/>
  <c r="S351" i="5" s="1"/>
  <c r="S352" i="5" s="1"/>
  <c r="S353" i="5" s="1"/>
  <c r="S354" i="5" s="1"/>
  <c r="S355" i="5" s="1"/>
  <c r="S356" i="5" s="1"/>
  <c r="S357" i="5" s="1"/>
  <c r="S358" i="5" s="1"/>
  <c r="S359" i="5" s="1"/>
  <c r="S360" i="5" s="1"/>
  <c r="S361" i="5" s="1"/>
  <c r="S362" i="5" s="1"/>
  <c r="S363" i="5" s="1"/>
  <c r="S364" i="5" s="1"/>
  <c r="S365" i="5" s="1"/>
  <c r="S366" i="5" s="1"/>
  <c r="S367" i="5" s="1"/>
  <c r="S368" i="5" s="1"/>
  <c r="S369" i="5" s="1"/>
  <c r="S370" i="5" s="1"/>
  <c r="S371" i="5" s="1"/>
  <c r="S372" i="5" s="1"/>
  <c r="S373" i="5" s="1"/>
  <c r="S374" i="5" s="1"/>
  <c r="S375" i="5" s="1"/>
  <c r="S376" i="5" s="1"/>
  <c r="S377" i="5" s="1"/>
  <c r="S378" i="5" s="1"/>
  <c r="S379" i="5" s="1"/>
  <c r="S380" i="5" s="1"/>
  <c r="S381" i="5" s="1"/>
  <c r="S382" i="5" s="1"/>
  <c r="S383" i="5" s="1"/>
  <c r="S384" i="5" s="1"/>
  <c r="S385" i="5" s="1"/>
  <c r="S386" i="5" s="1"/>
  <c r="S387" i="5" s="1"/>
  <c r="S388" i="5" s="1"/>
  <c r="S389" i="5" s="1"/>
  <c r="S390" i="5" s="1"/>
  <c r="S391" i="5" s="1"/>
  <c r="S392" i="5" s="1"/>
  <c r="S393" i="5" s="1"/>
  <c r="S394" i="5" s="1"/>
  <c r="S395" i="5" s="1"/>
  <c r="S396" i="5" s="1"/>
  <c r="S397" i="5" s="1"/>
  <c r="S398" i="5" s="1"/>
  <c r="S399" i="5" s="1"/>
  <c r="S400" i="5" s="1"/>
  <c r="S401" i="5" s="1"/>
  <c r="S402" i="5" s="1"/>
  <c r="S403" i="5" s="1"/>
  <c r="S404" i="5" s="1"/>
  <c r="S405" i="5" s="1"/>
  <c r="S407" i="5" s="1"/>
  <c r="S408" i="5" s="1"/>
  <c r="S409" i="5" s="1"/>
  <c r="S410" i="5" s="1"/>
  <c r="S411" i="5" s="1"/>
  <c r="S412" i="5" s="1"/>
  <c r="S413" i="5" s="1"/>
  <c r="S414" i="5" s="1"/>
  <c r="S415" i="5" s="1"/>
  <c r="S416" i="5" s="1"/>
  <c r="S417" i="5" s="1"/>
  <c r="S418" i="5" s="1"/>
  <c r="S419" i="5" s="1"/>
  <c r="S420" i="5" s="1"/>
  <c r="S421" i="5" s="1"/>
  <c r="S422" i="5" s="1"/>
  <c r="S423" i="5" s="1"/>
  <c r="S424" i="5" s="1"/>
  <c r="S425" i="5" s="1"/>
  <c r="S426" i="5" s="1"/>
  <c r="S427" i="5" s="1"/>
  <c r="S428" i="5" s="1"/>
  <c r="S429" i="5" s="1"/>
  <c r="S430" i="5" s="1"/>
  <c r="S431" i="5" s="1"/>
  <c r="S432" i="5" s="1"/>
  <c r="S433" i="5" s="1"/>
  <c r="S434" i="5" s="1"/>
  <c r="S435" i="5" s="1"/>
  <c r="S436" i="5" s="1"/>
  <c r="S437" i="5" s="1"/>
  <c r="S438" i="5" s="1"/>
  <c r="S439" i="5" s="1"/>
  <c r="S440" i="5" s="1"/>
  <c r="S441" i="5" s="1"/>
  <c r="S442" i="5" s="1"/>
  <c r="S443" i="5" s="1"/>
  <c r="S444" i="5" s="1"/>
  <c r="S445" i="5" s="1"/>
  <c r="S446" i="5" s="1"/>
  <c r="S447" i="5" s="1"/>
  <c r="S448" i="5" s="1"/>
  <c r="S449" i="5" s="1"/>
  <c r="S450" i="5" s="1"/>
  <c r="S451" i="5" s="1"/>
  <c r="S452" i="5" s="1"/>
  <c r="S453" i="5" s="1"/>
  <c r="S454" i="5" s="1"/>
  <c r="S455" i="5" s="1"/>
  <c r="S456" i="5" s="1"/>
  <c r="S457" i="5" s="1"/>
  <c r="S458" i="5" s="1"/>
  <c r="S459" i="5" s="1"/>
  <c r="S460" i="5" s="1"/>
  <c r="S461" i="5" s="1"/>
  <c r="S462" i="5" s="1"/>
  <c r="S463" i="5" s="1"/>
  <c r="S464" i="5" s="1"/>
  <c r="S465" i="5" s="1"/>
  <c r="S466" i="5" s="1"/>
  <c r="S467" i="5" s="1"/>
  <c r="S468" i="5" s="1"/>
  <c r="S469" i="5" s="1"/>
  <c r="S470" i="5" s="1"/>
  <c r="S471" i="5" s="1"/>
  <c r="S472" i="5" s="1"/>
  <c r="S473" i="5" s="1"/>
  <c r="S474" i="5" s="1"/>
  <c r="S475" i="5" s="1"/>
  <c r="S476" i="5" s="1"/>
  <c r="S477" i="5" s="1"/>
  <c r="S478" i="5" s="1"/>
  <c r="S479" i="5" s="1"/>
  <c r="S480" i="5" s="1"/>
  <c r="S481" i="5" s="1"/>
  <c r="S482" i="5" s="1"/>
  <c r="S483" i="5" s="1"/>
  <c r="S484" i="5" s="1"/>
  <c r="S485" i="5" s="1"/>
  <c r="S486" i="5" s="1"/>
  <c r="S487" i="5" s="1"/>
  <c r="S488" i="5" s="1"/>
  <c r="S489" i="5" s="1"/>
  <c r="S490" i="5" s="1"/>
  <c r="S491" i="5" s="1"/>
  <c r="S492" i="5" s="1"/>
  <c r="S493" i="5" s="1"/>
  <c r="S494" i="5" s="1"/>
  <c r="S495" i="5" s="1"/>
  <c r="S496" i="5" s="1"/>
  <c r="S497" i="5" s="1"/>
  <c r="S498" i="5" s="1"/>
  <c r="S499" i="5" s="1"/>
  <c r="S500" i="5" s="1"/>
  <c r="S501" i="5" s="1"/>
  <c r="S502" i="5" s="1"/>
  <c r="S503" i="5" s="1"/>
  <c r="S504" i="5" s="1"/>
  <c r="S505" i="5" s="1"/>
  <c r="S506" i="5" s="1"/>
  <c r="S507" i="5" s="1"/>
  <c r="S508" i="5" s="1"/>
  <c r="S509" i="5" s="1"/>
  <c r="S510" i="5" s="1"/>
  <c r="S511" i="5" s="1"/>
  <c r="S512" i="5" s="1"/>
  <c r="S513" i="5" s="1"/>
  <c r="S514" i="5" s="1"/>
  <c r="S515" i="5" s="1"/>
  <c r="S516" i="5" s="1"/>
  <c r="S517" i="5" s="1"/>
  <c r="S518" i="5" s="1"/>
  <c r="S519" i="5" s="1"/>
  <c r="S520" i="5" s="1"/>
  <c r="S521" i="5" s="1"/>
  <c r="S523" i="5" s="1"/>
  <c r="S524" i="5" s="1"/>
  <c r="S525" i="5" s="1"/>
  <c r="S526" i="5" s="1"/>
  <c r="S527" i="5" s="1"/>
  <c r="S528" i="5" s="1"/>
  <c r="S529" i="5" s="1"/>
  <c r="S530" i="5" s="1"/>
  <c r="S531" i="5" s="1"/>
  <c r="S532" i="5" s="1"/>
  <c r="S533" i="5" s="1"/>
  <c r="S534" i="5" s="1"/>
  <c r="S535" i="5" s="1"/>
  <c r="S536" i="5" s="1"/>
  <c r="S537" i="5" s="1"/>
  <c r="L336" i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J333" i="1"/>
  <c r="I333" i="1"/>
  <c r="H333" i="1"/>
  <c r="J332" i="1"/>
  <c r="I332" i="1"/>
  <c r="H332" i="1"/>
  <c r="L884" i="5" l="1"/>
  <c r="L885" i="5" s="1"/>
  <c r="L886" i="5" s="1"/>
  <c r="L887" i="5" s="1"/>
  <c r="L888" i="5" s="1"/>
  <c r="L889" i="5" s="1"/>
  <c r="L890" i="5" s="1"/>
  <c r="L891" i="5" s="1"/>
  <c r="L892" i="5" s="1"/>
  <c r="L893" i="5" s="1"/>
  <c r="L894" i="5" s="1"/>
  <c r="L895" i="5" s="1"/>
  <c r="L896" i="5" s="1"/>
  <c r="L897" i="5" s="1"/>
  <c r="L898" i="5" s="1"/>
  <c r="L899" i="5" s="1"/>
  <c r="L900" i="5" s="1"/>
  <c r="L901" i="5" s="1"/>
  <c r="L902" i="5" s="1"/>
  <c r="L903" i="5" s="1"/>
  <c r="L904" i="5" s="1"/>
  <c r="L905" i="5" s="1"/>
  <c r="L906" i="5" s="1"/>
  <c r="L907" i="5" s="1"/>
  <c r="L908" i="5" s="1"/>
  <c r="L909" i="5" s="1"/>
  <c r="L910" i="5" s="1"/>
  <c r="L911" i="5" s="1"/>
  <c r="L912" i="5" s="1"/>
  <c r="L913" i="5" s="1"/>
  <c r="L914" i="5" s="1"/>
  <c r="L915" i="5" s="1"/>
  <c r="L916" i="5" s="1"/>
  <c r="L917" i="5" s="1"/>
  <c r="L918" i="5" s="1"/>
  <c r="L919" i="5" s="1"/>
  <c r="L920" i="5" s="1"/>
  <c r="L921" i="5" s="1"/>
  <c r="L922" i="5" s="1"/>
  <c r="L923" i="5" s="1"/>
  <c r="L924" i="5" s="1"/>
  <c r="L925" i="5" s="1"/>
  <c r="L926" i="5" s="1"/>
  <c r="L927" i="5" s="1"/>
  <c r="L928" i="5" s="1"/>
  <c r="L929" i="5" s="1"/>
  <c r="L930" i="5" s="1"/>
  <c r="L931" i="5" s="1"/>
  <c r="L932" i="5" s="1"/>
  <c r="L933" i="5" s="1"/>
  <c r="L934" i="5" s="1"/>
  <c r="L935" i="5" s="1"/>
  <c r="L936" i="5" s="1"/>
  <c r="L937" i="5" s="1"/>
  <c r="L938" i="5" s="1"/>
  <c r="L939" i="5" s="1"/>
  <c r="S538" i="5"/>
  <c r="S539" i="5" s="1"/>
  <c r="S540" i="5" s="1"/>
  <c r="S541" i="5" s="1"/>
  <c r="S542" i="5" s="1"/>
  <c r="S543" i="5" s="1"/>
  <c r="S544" i="5" s="1"/>
  <c r="S545" i="5" s="1"/>
  <c r="S546" i="5" s="1"/>
  <c r="S547" i="5" s="1"/>
  <c r="S548" i="5" s="1"/>
  <c r="S549" i="5" s="1"/>
  <c r="S550" i="5" s="1"/>
  <c r="S551" i="5" s="1"/>
  <c r="S552" i="5" s="1"/>
  <c r="S553" i="5" s="1"/>
  <c r="S554" i="5" s="1"/>
  <c r="S555" i="5" s="1"/>
  <c r="S556" i="5" s="1"/>
  <c r="S557" i="5" s="1"/>
  <c r="S558" i="5" s="1"/>
  <c r="S559" i="5" s="1"/>
  <c r="S560" i="5" s="1"/>
  <c r="S561" i="5" s="1"/>
  <c r="S562" i="5" s="1"/>
  <c r="X243" i="5"/>
  <c r="X244" i="5" s="1"/>
  <c r="X245" i="5" s="1"/>
  <c r="J331" i="1"/>
  <c r="I331" i="1"/>
  <c r="H331" i="1"/>
  <c r="L940" i="5" l="1"/>
  <c r="L941" i="5" s="1"/>
  <c r="L942" i="5" s="1"/>
  <c r="L943" i="5" s="1"/>
  <c r="L944" i="5" s="1"/>
  <c r="L945" i="5" s="1"/>
  <c r="L946" i="5" s="1"/>
  <c r="L947" i="5" s="1"/>
  <c r="L948" i="5" s="1"/>
  <c r="L949" i="5" s="1"/>
  <c r="L950" i="5" s="1"/>
  <c r="L951" i="5" s="1"/>
  <c r="L952" i="5" s="1"/>
  <c r="L953" i="5" s="1"/>
  <c r="L954" i="5" s="1"/>
  <c r="L955" i="5" s="1"/>
  <c r="L956" i="5" s="1"/>
  <c r="L957" i="5" s="1"/>
  <c r="L958" i="5" s="1"/>
  <c r="L959" i="5" s="1"/>
  <c r="L960" i="5" s="1"/>
  <c r="L961" i="5" s="1"/>
  <c r="L962" i="5" s="1"/>
  <c r="L963" i="5" s="1"/>
  <c r="L964" i="5" s="1"/>
  <c r="L965" i="5" s="1"/>
  <c r="L966" i="5" s="1"/>
  <c r="L967" i="5" s="1"/>
  <c r="L968" i="5" s="1"/>
  <c r="L969" i="5" s="1"/>
  <c r="L970" i="5" s="1"/>
  <c r="L971" i="5" s="1"/>
  <c r="L972" i="5" s="1"/>
  <c r="L973" i="5" s="1"/>
  <c r="L974" i="5" s="1"/>
  <c r="L975" i="5" s="1"/>
  <c r="L976" i="5" s="1"/>
  <c r="L977" i="5" s="1"/>
  <c r="L978" i="5" s="1"/>
  <c r="L979" i="5" s="1"/>
  <c r="L980" i="5" s="1"/>
  <c r="L981" i="5" s="1"/>
  <c r="L982" i="5" s="1"/>
  <c r="L983" i="5" s="1"/>
  <c r="L984" i="5" s="1"/>
  <c r="L985" i="5" s="1"/>
  <c r="L986" i="5" s="1"/>
  <c r="L987" i="5" s="1"/>
  <c r="L988" i="5" s="1"/>
  <c r="L989" i="5" s="1"/>
  <c r="L990" i="5" s="1"/>
  <c r="L991" i="5" s="1"/>
  <c r="L992" i="5" s="1"/>
  <c r="L994" i="5" s="1"/>
  <c r="L995" i="5" s="1"/>
  <c r="L996" i="5" s="1"/>
  <c r="L997" i="5" s="1"/>
  <c r="L998" i="5" s="1"/>
  <c r="L999" i="5" s="1"/>
  <c r="L1000" i="5" s="1"/>
  <c r="L1001" i="5" s="1"/>
  <c r="L1002" i="5" s="1"/>
  <c r="L1003" i="5" s="1"/>
  <c r="L1004" i="5" s="1"/>
  <c r="L1005" i="5" s="1"/>
  <c r="L1006" i="5" s="1"/>
  <c r="L1007" i="5" s="1"/>
  <c r="L1008" i="5" s="1"/>
  <c r="L1009" i="5" s="1"/>
  <c r="L1010" i="5" s="1"/>
  <c r="L1011" i="5" s="1"/>
  <c r="L1012" i="5" s="1"/>
  <c r="L1013" i="5" s="1"/>
  <c r="L1014" i="5" s="1"/>
  <c r="L1015" i="5" s="1"/>
  <c r="L1016" i="5" s="1"/>
  <c r="L1017" i="5" s="1"/>
  <c r="L1018" i="5" s="1"/>
  <c r="L1019" i="5" s="1"/>
  <c r="L1020" i="5" s="1"/>
  <c r="L1021" i="5" s="1"/>
  <c r="L1022" i="5" s="1"/>
  <c r="L1023" i="5" s="1"/>
  <c r="L1024" i="5" s="1"/>
  <c r="L1025" i="5" s="1"/>
  <c r="L1026" i="5" s="1"/>
  <c r="L1027" i="5" s="1"/>
  <c r="L1028" i="5" s="1"/>
  <c r="L1029" i="5" s="1"/>
  <c r="L1030" i="5" s="1"/>
  <c r="L1031" i="5" s="1"/>
  <c r="L1032" i="5" s="1"/>
  <c r="L1033" i="5" s="1"/>
  <c r="L1034" i="5" s="1"/>
  <c r="L1035" i="5" s="1"/>
  <c r="L1036" i="5" s="1"/>
  <c r="L1037" i="5" s="1"/>
  <c r="L1038" i="5" s="1"/>
  <c r="L1039" i="5" s="1"/>
  <c r="L1040" i="5" s="1"/>
  <c r="L1041" i="5" s="1"/>
  <c r="L1042" i="5" s="1"/>
  <c r="L1043" i="5" s="1"/>
  <c r="L1044" i="5" s="1"/>
  <c r="L1045" i="5" s="1"/>
  <c r="L1046" i="5" s="1"/>
  <c r="L1047" i="5" s="1"/>
  <c r="L1048" i="5" s="1"/>
  <c r="L1049" i="5" s="1"/>
  <c r="L1050" i="5" s="1"/>
  <c r="L1051" i="5" s="1"/>
  <c r="L1052" i="5" s="1"/>
  <c r="L1053" i="5" s="1"/>
  <c r="L1054" i="5" s="1"/>
  <c r="L1055" i="5" s="1"/>
  <c r="L1056" i="5" s="1"/>
  <c r="L1057" i="5" s="1"/>
  <c r="L1058" i="5" s="1"/>
  <c r="L1059" i="5" s="1"/>
  <c r="L1060" i="5" s="1"/>
  <c r="L1061" i="5" s="1"/>
  <c r="L1062" i="5" s="1"/>
  <c r="L1063" i="5" s="1"/>
  <c r="L1064" i="5" s="1"/>
  <c r="L1065" i="5" s="1"/>
  <c r="L1066" i="5" s="1"/>
  <c r="L1067" i="5" s="1"/>
  <c r="L1068" i="5" s="1"/>
  <c r="L1069" i="5" s="1"/>
  <c r="L1070" i="5" s="1"/>
  <c r="L1071" i="5" s="1"/>
  <c r="L1072" i="5" s="1"/>
  <c r="L1073" i="5" s="1"/>
  <c r="L1074" i="5" s="1"/>
  <c r="L1075" i="5" s="1"/>
  <c r="L1076" i="5" s="1"/>
  <c r="L1077" i="5" s="1"/>
  <c r="L1078" i="5" s="1"/>
  <c r="L1079" i="5" s="1"/>
  <c r="L1080" i="5" s="1"/>
  <c r="L1081" i="5" s="1"/>
  <c r="L1082" i="5" s="1"/>
  <c r="L1083" i="5" s="1"/>
  <c r="L1084" i="5" s="1"/>
  <c r="L1085" i="5" s="1"/>
  <c r="L1086" i="5" s="1"/>
  <c r="L1087" i="5" s="1"/>
  <c r="L1088" i="5" s="1"/>
  <c r="L1089" i="5" s="1"/>
  <c r="L1090" i="5" s="1"/>
  <c r="L1091" i="5" s="1"/>
  <c r="L1092" i="5" s="1"/>
  <c r="L1093" i="5" s="1"/>
  <c r="L1094" i="5" s="1"/>
  <c r="L1095" i="5" s="1"/>
  <c r="L1096" i="5" s="1"/>
  <c r="L1097" i="5" s="1"/>
  <c r="L1098" i="5" s="1"/>
  <c r="L1099" i="5" s="1"/>
  <c r="L1100" i="5" s="1"/>
  <c r="L1101" i="5" s="1"/>
  <c r="L1102" i="5" s="1"/>
  <c r="L1103" i="5" s="1"/>
  <c r="L1104" i="5" s="1"/>
  <c r="L1105" i="5" s="1"/>
  <c r="L1106" i="5" s="1"/>
  <c r="L1107" i="5" s="1"/>
  <c r="L1109" i="5" s="1"/>
  <c r="L1110" i="5" s="1"/>
  <c r="L1111" i="5" s="1"/>
  <c r="L1112" i="5" s="1"/>
  <c r="L1113" i="5" s="1"/>
  <c r="L1114" i="5" s="1"/>
  <c r="L1115" i="5" s="1"/>
  <c r="L1116" i="5" s="1"/>
  <c r="L1117" i="5" s="1"/>
  <c r="L1118" i="5" s="1"/>
  <c r="L1119" i="5" s="1"/>
  <c r="L1120" i="5" s="1"/>
  <c r="L1121" i="5" s="1"/>
  <c r="L1122" i="5" s="1"/>
  <c r="L1123" i="5" s="1"/>
  <c r="L1124" i="5" s="1"/>
  <c r="L1125" i="5" s="1"/>
  <c r="L1126" i="5" s="1"/>
  <c r="L1127" i="5" s="1"/>
  <c r="L1128" i="5" s="1"/>
  <c r="L1129" i="5" s="1"/>
  <c r="L1130" i="5" s="1"/>
  <c r="L1131" i="5" s="1"/>
  <c r="L1132" i="5" s="1"/>
  <c r="L1133" i="5" s="1"/>
  <c r="L1134" i="5" s="1"/>
  <c r="L1135" i="5" s="1"/>
  <c r="L1136" i="5" s="1"/>
  <c r="L1137" i="5" s="1"/>
  <c r="L1138" i="5" s="1"/>
  <c r="L1139" i="5" s="1"/>
  <c r="L1140" i="5" s="1"/>
  <c r="L1141" i="5" s="1"/>
  <c r="L1142" i="5" s="1"/>
  <c r="L1143" i="5" s="1"/>
  <c r="L1144" i="5" s="1"/>
  <c r="L1145" i="5" s="1"/>
  <c r="L1146" i="5" s="1"/>
  <c r="L1147" i="5" s="1"/>
  <c r="L1148" i="5" s="1"/>
  <c r="L1149" i="5" s="1"/>
  <c r="L1150" i="5" s="1"/>
  <c r="L1151" i="5" s="1"/>
  <c r="L1152" i="5" s="1"/>
  <c r="L1153" i="5" s="1"/>
  <c r="L1154" i="5" s="1"/>
  <c r="L1155" i="5" s="1"/>
  <c r="L1156" i="5" s="1"/>
  <c r="L1157" i="5" s="1"/>
  <c r="L1158" i="5" s="1"/>
  <c r="L1159" i="5" s="1"/>
  <c r="L1160" i="5" s="1"/>
  <c r="L1161" i="5" s="1"/>
  <c r="L1162" i="5" s="1"/>
  <c r="L1163" i="5" s="1"/>
  <c r="L1164" i="5" s="1"/>
  <c r="L1165" i="5" s="1"/>
  <c r="L1166" i="5" s="1"/>
  <c r="L1167" i="5" s="1"/>
  <c r="L1168" i="5" s="1"/>
  <c r="L1169" i="5" s="1"/>
  <c r="L1170" i="5" s="1"/>
  <c r="L1171" i="5" s="1"/>
  <c r="L1172" i="5" s="1"/>
  <c r="L1173" i="5" s="1"/>
  <c r="L1174" i="5" s="1"/>
  <c r="L1175" i="5" s="1"/>
  <c r="L1176" i="5" s="1"/>
  <c r="L1177" i="5" s="1"/>
  <c r="L1178" i="5" s="1"/>
  <c r="L1179" i="5" s="1"/>
  <c r="L1180" i="5" s="1"/>
  <c r="L1181" i="5" s="1"/>
  <c r="L1182" i="5" s="1"/>
  <c r="L1183" i="5" s="1"/>
  <c r="L1184" i="5" s="1"/>
  <c r="L1185" i="5" s="1"/>
  <c r="L1186" i="5" s="1"/>
  <c r="L1187" i="5" s="1"/>
  <c r="L1188" i="5" s="1"/>
  <c r="L1189" i="5" s="1"/>
  <c r="L1190" i="5" s="1"/>
  <c r="L1191" i="5" s="1"/>
  <c r="L1192" i="5" s="1"/>
  <c r="L1193" i="5" s="1"/>
  <c r="L1194" i="5" s="1"/>
  <c r="L1195" i="5" s="1"/>
  <c r="L1196" i="5" s="1"/>
  <c r="L1197" i="5" s="1"/>
  <c r="L1198" i="5" s="1"/>
  <c r="L1199" i="5" s="1"/>
  <c r="L1200" i="5" s="1"/>
  <c r="L1201" i="5" s="1"/>
  <c r="L1202" i="5" s="1"/>
  <c r="L1203" i="5" s="1"/>
  <c r="L1204" i="5" s="1"/>
  <c r="L1205" i="5" s="1"/>
  <c r="L1206" i="5" s="1"/>
  <c r="L1207" i="5" s="1"/>
  <c r="L1208" i="5" s="1"/>
  <c r="L1209" i="5" s="1"/>
  <c r="L1210" i="5" s="1"/>
  <c r="L1211" i="5" s="1"/>
  <c r="L1212" i="5" s="1"/>
  <c r="L1213" i="5" s="1"/>
  <c r="L1214" i="5" s="1"/>
  <c r="L1215" i="5" s="1"/>
  <c r="L1216" i="5" s="1"/>
  <c r="L1217" i="5" s="1"/>
  <c r="L1218" i="5" s="1"/>
  <c r="L1219" i="5" s="1"/>
  <c r="L1220" i="5" s="1"/>
  <c r="L1221" i="5" s="1"/>
  <c r="L1222" i="5" s="1"/>
  <c r="L1223" i="5" s="1"/>
  <c r="L1224" i="5" s="1"/>
  <c r="L1225" i="5" s="1"/>
  <c r="L1226" i="5" s="1"/>
  <c r="L1227" i="5" s="1"/>
  <c r="L1228" i="5" s="1"/>
  <c r="L1229" i="5" s="1"/>
  <c r="L1230" i="5" s="1"/>
  <c r="L1231" i="5" s="1"/>
  <c r="L1232" i="5" s="1"/>
  <c r="L1233" i="5" s="1"/>
  <c r="L1234" i="5" s="1"/>
  <c r="L1235" i="5" s="1"/>
  <c r="L1236" i="5" s="1"/>
  <c r="L1237" i="5" s="1"/>
  <c r="L1238" i="5" s="1"/>
  <c r="L1239" i="5" s="1"/>
  <c r="L1240" i="5" s="1"/>
  <c r="L1241" i="5" s="1"/>
  <c r="L1242" i="5" s="1"/>
  <c r="L1243" i="5" s="1"/>
  <c r="L1244" i="5" s="1"/>
  <c r="L1245" i="5" s="1"/>
  <c r="L1246" i="5" s="1"/>
  <c r="L1248" i="5" s="1"/>
  <c r="X246" i="5"/>
  <c r="X247" i="5" s="1"/>
  <c r="X248" i="5" s="1"/>
  <c r="X249" i="5" s="1"/>
  <c r="X250" i="5" s="1"/>
  <c r="X251" i="5" s="1"/>
  <c r="X252" i="5" s="1"/>
  <c r="X253" i="5" s="1"/>
  <c r="X254" i="5" s="1"/>
  <c r="X255" i="5" s="1"/>
  <c r="X256" i="5" s="1"/>
  <c r="X257" i="5" s="1"/>
  <c r="X258" i="5" s="1"/>
  <c r="X259" i="5" s="1"/>
  <c r="X260" i="5" s="1"/>
  <c r="X261" i="5" s="1"/>
  <c r="X262" i="5" s="1"/>
  <c r="X263" i="5" s="1"/>
  <c r="X264" i="5" s="1"/>
  <c r="X265" i="5" s="1"/>
  <c r="X266" i="5" s="1"/>
  <c r="X267" i="5" s="1"/>
  <c r="X268" i="5" s="1"/>
  <c r="X269" i="5" s="1"/>
  <c r="X270" i="5" s="1"/>
  <c r="X271" i="5" s="1"/>
  <c r="X272" i="5" s="1"/>
  <c r="X273" i="5" s="1"/>
  <c r="X274" i="5" s="1"/>
  <c r="X275" i="5" s="1"/>
  <c r="X276" i="5" s="1"/>
  <c r="X277" i="5" s="1"/>
  <c r="X278" i="5" s="1"/>
  <c r="S563" i="5"/>
  <c r="S564" i="5" s="1"/>
  <c r="S565" i="5" s="1"/>
  <c r="S566" i="5" s="1"/>
  <c r="S567" i="5" s="1"/>
  <c r="S568" i="5" s="1"/>
  <c r="S569" i="5" s="1"/>
  <c r="S570" i="5" s="1"/>
  <c r="S571" i="5" s="1"/>
  <c r="S572" i="5" s="1"/>
  <c r="S573" i="5" s="1"/>
  <c r="S574" i="5" s="1"/>
  <c r="S575" i="5" s="1"/>
  <c r="S576" i="5" s="1"/>
  <c r="J330" i="1"/>
  <c r="I330" i="1"/>
  <c r="H330" i="1"/>
  <c r="J329" i="1"/>
  <c r="I329" i="1"/>
  <c r="H329" i="1"/>
  <c r="S577" i="5" l="1"/>
  <c r="S579" i="5" s="1"/>
  <c r="S580" i="5" s="1"/>
  <c r="S581" i="5" s="1"/>
  <c r="S582" i="5" s="1"/>
  <c r="S583" i="5" s="1"/>
  <c r="S584" i="5" s="1"/>
  <c r="S585" i="5" s="1"/>
  <c r="S586" i="5" s="1"/>
  <c r="S587" i="5" s="1"/>
  <c r="S588" i="5" s="1"/>
  <c r="S589" i="5" s="1"/>
  <c r="S590" i="5" s="1"/>
  <c r="X279" i="5"/>
  <c r="X280" i="5" s="1"/>
  <c r="X281" i="5" s="1"/>
  <c r="X282" i="5" s="1"/>
  <c r="X283" i="5" s="1"/>
  <c r="X284" i="5" s="1"/>
  <c r="X285" i="5" s="1"/>
  <c r="X286" i="5" s="1"/>
  <c r="X287" i="5" s="1"/>
  <c r="X288" i="5" s="1"/>
  <c r="X289" i="5" s="1"/>
  <c r="X290" i="5" s="1"/>
  <c r="X291" i="5" s="1"/>
  <c r="X292" i="5" s="1"/>
  <c r="X293" i="5" s="1"/>
  <c r="X294" i="5" s="1"/>
  <c r="X295" i="5" s="1"/>
  <c r="X296" i="5" s="1"/>
  <c r="X297" i="5" s="1"/>
  <c r="X298" i="5" s="1"/>
  <c r="X300" i="5" s="1"/>
  <c r="X301" i="5" s="1"/>
  <c r="X302" i="5" s="1"/>
  <c r="X303" i="5" s="1"/>
  <c r="X304" i="5" s="1"/>
  <c r="X305" i="5" s="1"/>
  <c r="X306" i="5" s="1"/>
  <c r="X307" i="5" s="1"/>
  <c r="X308" i="5" s="1"/>
  <c r="X309" i="5" s="1"/>
  <c r="X310" i="5" s="1"/>
  <c r="X311" i="5" s="1"/>
  <c r="X312" i="5" s="1"/>
  <c r="X313" i="5" s="1"/>
  <c r="X314" i="5" s="1"/>
  <c r="X315" i="5" s="1"/>
  <c r="X316" i="5" s="1"/>
  <c r="X317" i="5" s="1"/>
  <c r="X318" i="5" s="1"/>
  <c r="X319" i="5" s="1"/>
  <c r="X320" i="5" s="1"/>
  <c r="X321" i="5" s="1"/>
  <c r="X322" i="5" s="1"/>
  <c r="X323" i="5" s="1"/>
  <c r="X324" i="5" s="1"/>
  <c r="X325" i="5" s="1"/>
  <c r="X326" i="5" s="1"/>
  <c r="X327" i="5" s="1"/>
  <c r="X328" i="5" s="1"/>
  <c r="X329" i="5" s="1"/>
  <c r="X330" i="5" s="1"/>
  <c r="X331" i="5" s="1"/>
  <c r="X332" i="5" s="1"/>
  <c r="X333" i="5" s="1"/>
  <c r="X334" i="5" s="1"/>
  <c r="X335" i="5" s="1"/>
  <c r="X336" i="5" s="1"/>
  <c r="X337" i="5" s="1"/>
  <c r="X338" i="5" s="1"/>
  <c r="X339" i="5" s="1"/>
  <c r="X340" i="5" s="1"/>
  <c r="X341" i="5" s="1"/>
  <c r="X342" i="5" s="1"/>
  <c r="X343" i="5" s="1"/>
  <c r="X344" i="5" s="1"/>
  <c r="X345" i="5" s="1"/>
  <c r="X346" i="5" s="1"/>
  <c r="X347" i="5" s="1"/>
  <c r="X348" i="5" s="1"/>
  <c r="X349" i="5" s="1"/>
  <c r="X350" i="5" s="1"/>
  <c r="X351" i="5" s="1"/>
  <c r="X352" i="5" s="1"/>
  <c r="X353" i="5" s="1"/>
  <c r="X354" i="5" s="1"/>
  <c r="X355" i="5" s="1"/>
  <c r="X356" i="5" s="1"/>
  <c r="X357" i="5" s="1"/>
  <c r="X358" i="5" s="1"/>
  <c r="X359" i="5" s="1"/>
  <c r="X360" i="5" s="1"/>
  <c r="X361" i="5" s="1"/>
  <c r="X362" i="5" s="1"/>
  <c r="X363" i="5" s="1"/>
  <c r="X364" i="5" s="1"/>
  <c r="X365" i="5" s="1"/>
  <c r="X366" i="5" s="1"/>
  <c r="X367" i="5" s="1"/>
  <c r="X368" i="5" s="1"/>
  <c r="X369" i="5" s="1"/>
  <c r="X370" i="5" s="1"/>
  <c r="X371" i="5" s="1"/>
  <c r="X372" i="5" s="1"/>
  <c r="X373" i="5" s="1"/>
  <c r="X374" i="5" s="1"/>
  <c r="X375" i="5" s="1"/>
  <c r="X376" i="5" s="1"/>
  <c r="X377" i="5" s="1"/>
  <c r="X378" i="5" s="1"/>
  <c r="X379" i="5" s="1"/>
  <c r="X380" i="5" s="1"/>
  <c r="X381" i="5" s="1"/>
  <c r="X382" i="5" s="1"/>
  <c r="X383" i="5" s="1"/>
  <c r="X384" i="5" s="1"/>
  <c r="X385" i="5" s="1"/>
  <c r="X386" i="5" s="1"/>
  <c r="X387" i="5" s="1"/>
  <c r="X388" i="5" s="1"/>
  <c r="X389" i="5" s="1"/>
  <c r="X390" i="5" s="1"/>
  <c r="X391" i="5" s="1"/>
  <c r="X392" i="5" s="1"/>
  <c r="X393" i="5" s="1"/>
  <c r="X394" i="5" s="1"/>
  <c r="X395" i="5" s="1"/>
  <c r="X396" i="5" s="1"/>
  <c r="X397" i="5" s="1"/>
  <c r="X398" i="5" s="1"/>
  <c r="X399" i="5" s="1"/>
  <c r="X400" i="5" s="1"/>
  <c r="X401" i="5" s="1"/>
  <c r="X402" i="5" s="1"/>
  <c r="X403" i="5" s="1"/>
  <c r="X404" i="5" s="1"/>
  <c r="X405" i="5" s="1"/>
  <c r="X407" i="5" s="1"/>
  <c r="X408" i="5" s="1"/>
  <c r="X409" i="5" s="1"/>
  <c r="X410" i="5" s="1"/>
  <c r="X411" i="5" s="1"/>
  <c r="X412" i="5" s="1"/>
  <c r="X413" i="5" s="1"/>
  <c r="X414" i="5" s="1"/>
  <c r="X415" i="5" s="1"/>
  <c r="X416" i="5" s="1"/>
  <c r="X417" i="5" s="1"/>
  <c r="X418" i="5" s="1"/>
  <c r="X419" i="5" s="1"/>
  <c r="X420" i="5" s="1"/>
  <c r="X421" i="5" s="1"/>
  <c r="X422" i="5" s="1"/>
  <c r="X423" i="5" s="1"/>
  <c r="X424" i="5" s="1"/>
  <c r="X425" i="5" s="1"/>
  <c r="X426" i="5" s="1"/>
  <c r="X427" i="5" s="1"/>
  <c r="X428" i="5" s="1"/>
  <c r="X429" i="5" s="1"/>
  <c r="X430" i="5" s="1"/>
  <c r="X431" i="5" s="1"/>
  <c r="X432" i="5" s="1"/>
  <c r="X433" i="5" s="1"/>
  <c r="X434" i="5" s="1"/>
  <c r="X435" i="5" s="1"/>
  <c r="X436" i="5" s="1"/>
  <c r="X437" i="5" s="1"/>
  <c r="X438" i="5" s="1"/>
  <c r="X439" i="5" s="1"/>
  <c r="X440" i="5" s="1"/>
  <c r="X441" i="5" s="1"/>
  <c r="X442" i="5" s="1"/>
  <c r="X443" i="5" s="1"/>
  <c r="X444" i="5" s="1"/>
  <c r="X445" i="5" s="1"/>
  <c r="X446" i="5" s="1"/>
  <c r="X447" i="5" s="1"/>
  <c r="X448" i="5" s="1"/>
  <c r="X449" i="5" s="1"/>
  <c r="X450" i="5" s="1"/>
  <c r="X451" i="5" s="1"/>
  <c r="X452" i="5" s="1"/>
  <c r="X453" i="5" s="1"/>
  <c r="X454" i="5" s="1"/>
  <c r="X455" i="5" s="1"/>
  <c r="X456" i="5" s="1"/>
  <c r="X457" i="5" s="1"/>
  <c r="X458" i="5" s="1"/>
  <c r="X459" i="5" s="1"/>
  <c r="X460" i="5" s="1"/>
  <c r="X461" i="5" s="1"/>
  <c r="X462" i="5" s="1"/>
  <c r="X463" i="5" s="1"/>
  <c r="X464" i="5" s="1"/>
  <c r="X465" i="5" s="1"/>
  <c r="X466" i="5" s="1"/>
  <c r="X467" i="5" s="1"/>
  <c r="X468" i="5" s="1"/>
  <c r="X469" i="5" s="1"/>
  <c r="X470" i="5" s="1"/>
  <c r="X471" i="5" s="1"/>
  <c r="X472" i="5" s="1"/>
  <c r="X473" i="5" s="1"/>
  <c r="X474" i="5" s="1"/>
  <c r="X475" i="5" s="1"/>
  <c r="X476" i="5" s="1"/>
  <c r="X477" i="5" s="1"/>
  <c r="X478" i="5" s="1"/>
  <c r="X479" i="5" s="1"/>
  <c r="X480" i="5" s="1"/>
  <c r="X481" i="5" s="1"/>
  <c r="X482" i="5" s="1"/>
  <c r="X483" i="5" s="1"/>
  <c r="X484" i="5" s="1"/>
  <c r="X485" i="5" s="1"/>
  <c r="X486" i="5" s="1"/>
  <c r="X487" i="5" s="1"/>
  <c r="X488" i="5" s="1"/>
  <c r="X489" i="5" s="1"/>
  <c r="X490" i="5" s="1"/>
  <c r="X491" i="5" s="1"/>
  <c r="X492" i="5" s="1"/>
  <c r="X493" i="5" s="1"/>
  <c r="X494" i="5" s="1"/>
  <c r="X495" i="5" s="1"/>
  <c r="X496" i="5" s="1"/>
  <c r="X497" i="5" s="1"/>
  <c r="X498" i="5" s="1"/>
  <c r="X499" i="5" s="1"/>
  <c r="X500" i="5" s="1"/>
  <c r="X501" i="5" s="1"/>
  <c r="X502" i="5" s="1"/>
  <c r="X503" i="5" s="1"/>
  <c r="X504" i="5" s="1"/>
  <c r="X505" i="5" s="1"/>
  <c r="X506" i="5" s="1"/>
  <c r="X507" i="5" s="1"/>
  <c r="X508" i="5" s="1"/>
  <c r="X509" i="5" s="1"/>
  <c r="X510" i="5" s="1"/>
  <c r="X511" i="5" s="1"/>
  <c r="X512" i="5" s="1"/>
  <c r="X513" i="5" s="1"/>
  <c r="X514" i="5" s="1"/>
  <c r="X515" i="5" s="1"/>
  <c r="X516" i="5" s="1"/>
  <c r="X517" i="5" s="1"/>
  <c r="X518" i="5" s="1"/>
  <c r="X519" i="5" s="1"/>
  <c r="X520" i="5" s="1"/>
  <c r="X521" i="5" s="1"/>
  <c r="X523" i="5" s="1"/>
  <c r="X524" i="5" s="1"/>
  <c r="X525" i="5" s="1"/>
  <c r="X526" i="5" s="1"/>
  <c r="X527" i="5" s="1"/>
  <c r="X528" i="5" s="1"/>
  <c r="X529" i="5" s="1"/>
  <c r="X530" i="5" s="1"/>
  <c r="X531" i="5" s="1"/>
  <c r="X532" i="5" s="1"/>
  <c r="X533" i="5" s="1"/>
  <c r="X534" i="5" s="1"/>
  <c r="X535" i="5" s="1"/>
  <c r="X536" i="5" s="1"/>
  <c r="X537" i="5" s="1"/>
  <c r="X538" i="5" s="1"/>
  <c r="X539" i="5" s="1"/>
  <c r="X540" i="5" s="1"/>
  <c r="X541" i="5" s="1"/>
  <c r="X542" i="5" s="1"/>
  <c r="X543" i="5" s="1"/>
  <c r="X544" i="5" s="1"/>
  <c r="X545" i="5" s="1"/>
  <c r="X546" i="5" s="1"/>
  <c r="X547" i="5" s="1"/>
  <c r="X548" i="5" s="1"/>
  <c r="X549" i="5" s="1"/>
  <c r="X550" i="5" s="1"/>
  <c r="X551" i="5" s="1"/>
  <c r="X552" i="5" s="1"/>
  <c r="X553" i="5" s="1"/>
  <c r="X554" i="5" s="1"/>
  <c r="X555" i="5" s="1"/>
  <c r="X556" i="5" s="1"/>
  <c r="X557" i="5" s="1"/>
  <c r="X558" i="5" s="1"/>
  <c r="X559" i="5" s="1"/>
  <c r="X560" i="5" s="1"/>
  <c r="X561" i="5" s="1"/>
  <c r="X562" i="5" s="1"/>
  <c r="X563" i="5" s="1"/>
  <c r="X564" i="5" s="1"/>
  <c r="X565" i="5" s="1"/>
  <c r="X566" i="5" s="1"/>
  <c r="X567" i="5" s="1"/>
  <c r="X568" i="5" s="1"/>
  <c r="X569" i="5" s="1"/>
  <c r="X570" i="5" s="1"/>
  <c r="X571" i="5" s="1"/>
  <c r="X572" i="5" s="1"/>
  <c r="X573" i="5" s="1"/>
  <c r="X574" i="5" s="1"/>
  <c r="X575" i="5" s="1"/>
  <c r="X576" i="5" s="1"/>
  <c r="X577" i="5" s="1"/>
  <c r="X578" i="5" s="1"/>
  <c r="X579" i="5" s="1"/>
  <c r="X580" i="5" s="1"/>
  <c r="X581" i="5" s="1"/>
  <c r="X582" i="5" s="1"/>
  <c r="X583" i="5" s="1"/>
  <c r="X584" i="5" s="1"/>
  <c r="X585" i="5" s="1"/>
  <c r="X586" i="5" s="1"/>
  <c r="X587" i="5" s="1"/>
  <c r="X588" i="5" s="1"/>
  <c r="X589" i="5" s="1"/>
  <c r="X590" i="5" s="1"/>
  <c r="L329" i="1"/>
  <c r="L330" i="1" s="1"/>
  <c r="L331" i="1" s="1"/>
  <c r="L332" i="1" s="1"/>
  <c r="L333" i="1" s="1"/>
  <c r="L334" i="1" s="1"/>
  <c r="J328" i="1"/>
  <c r="I328" i="1"/>
  <c r="H328" i="1"/>
  <c r="J327" i="1"/>
  <c r="I327" i="1"/>
  <c r="H327" i="1"/>
  <c r="J326" i="1"/>
  <c r="I326" i="1"/>
  <c r="H326" i="1"/>
  <c r="J325" i="1"/>
  <c r="I325" i="1"/>
  <c r="H325" i="1"/>
  <c r="J324" i="1"/>
  <c r="I324" i="1"/>
  <c r="H324" i="1"/>
  <c r="X591" i="5" l="1"/>
  <c r="X592" i="5" s="1"/>
  <c r="X593" i="5" s="1"/>
  <c r="X594" i="5" s="1"/>
  <c r="X595" i="5" s="1"/>
  <c r="X596" i="5" s="1"/>
  <c r="X597" i="5" s="1"/>
  <c r="X598" i="5" s="1"/>
  <c r="X599" i="5" s="1"/>
  <c r="X600" i="5" s="1"/>
  <c r="X601" i="5" s="1"/>
  <c r="X602" i="5" s="1"/>
  <c r="X603" i="5" s="1"/>
  <c r="X604" i="5" s="1"/>
  <c r="X605" i="5" s="1"/>
  <c r="X606" i="5" s="1"/>
  <c r="X607" i="5" s="1"/>
  <c r="X608" i="5" s="1"/>
  <c r="X610" i="5" s="1"/>
  <c r="X611" i="5" s="1"/>
  <c r="X612" i="5" s="1"/>
  <c r="X613" i="5" s="1"/>
  <c r="X614" i="5" s="1"/>
  <c r="X615" i="5" s="1"/>
  <c r="X616" i="5" s="1"/>
  <c r="X617" i="5" s="1"/>
  <c r="X618" i="5" s="1"/>
  <c r="X619" i="5" s="1"/>
  <c r="X620" i="5" s="1"/>
  <c r="X621" i="5" s="1"/>
  <c r="X622" i="5" s="1"/>
  <c r="X623" i="5" s="1"/>
  <c r="X624" i="5" s="1"/>
  <c r="X625" i="5" s="1"/>
  <c r="X626" i="5" s="1"/>
  <c r="X627" i="5" s="1"/>
  <c r="X628" i="5" s="1"/>
  <c r="X629" i="5" s="1"/>
  <c r="X630" i="5" s="1"/>
  <c r="X631" i="5" s="1"/>
  <c r="X632" i="5" s="1"/>
  <c r="X633" i="5" s="1"/>
  <c r="X634" i="5" s="1"/>
  <c r="X635" i="5" s="1"/>
  <c r="X636" i="5" s="1"/>
  <c r="X637" i="5" s="1"/>
  <c r="X638" i="5" s="1"/>
  <c r="X639" i="5" s="1"/>
  <c r="X640" i="5" s="1"/>
  <c r="X641" i="5" s="1"/>
  <c r="X642" i="5" s="1"/>
  <c r="X643" i="5" s="1"/>
  <c r="X644" i="5" s="1"/>
  <c r="X645" i="5" s="1"/>
  <c r="X646" i="5" s="1"/>
  <c r="X647" i="5" s="1"/>
  <c r="X648" i="5" s="1"/>
  <c r="X649" i="5" s="1"/>
  <c r="X650" i="5" s="1"/>
  <c r="X651" i="5" s="1"/>
  <c r="X652" i="5" s="1"/>
  <c r="X653" i="5" s="1"/>
  <c r="X654" i="5" s="1"/>
  <c r="X655" i="5" s="1"/>
  <c r="X656" i="5" s="1"/>
  <c r="X657" i="5" s="1"/>
  <c r="X658" i="5" s="1"/>
  <c r="X659" i="5" s="1"/>
  <c r="X660" i="5" s="1"/>
  <c r="X661" i="5" s="1"/>
  <c r="X662" i="5" s="1"/>
  <c r="X663" i="5" s="1"/>
  <c r="X664" i="5" s="1"/>
  <c r="X665" i="5" s="1"/>
  <c r="X666" i="5" s="1"/>
  <c r="X667" i="5" s="1"/>
  <c r="X668" i="5" s="1"/>
  <c r="X669" i="5" s="1"/>
  <c r="X670" i="5" s="1"/>
  <c r="X671" i="5" s="1"/>
  <c r="X672" i="5" s="1"/>
  <c r="X673" i="5" s="1"/>
  <c r="X674" i="5" s="1"/>
  <c r="X675" i="5" s="1"/>
  <c r="X676" i="5" s="1"/>
  <c r="X677" i="5" s="1"/>
  <c r="X678" i="5" s="1"/>
  <c r="X679" i="5" s="1"/>
  <c r="X680" i="5" s="1"/>
  <c r="X681" i="5" s="1"/>
  <c r="X682" i="5" s="1"/>
  <c r="X683" i="5" s="1"/>
  <c r="X684" i="5" s="1"/>
  <c r="X685" i="5" s="1"/>
  <c r="X686" i="5" s="1"/>
  <c r="X687" i="5" s="1"/>
  <c r="X688" i="5" s="1"/>
  <c r="X689" i="5" s="1"/>
  <c r="X690" i="5" s="1"/>
  <c r="X691" i="5" s="1"/>
  <c r="X692" i="5" s="1"/>
  <c r="X693" i="5" s="1"/>
  <c r="X694" i="5" s="1"/>
  <c r="X695" i="5" s="1"/>
  <c r="X696" i="5" s="1"/>
  <c r="X697" i="5" s="1"/>
  <c r="X698" i="5" s="1"/>
  <c r="X699" i="5" s="1"/>
  <c r="X700" i="5" s="1"/>
  <c r="X701" i="5" s="1"/>
  <c r="X702" i="5" s="1"/>
  <c r="X703" i="5" s="1"/>
  <c r="X704" i="5" s="1"/>
  <c r="X705" i="5" s="1"/>
  <c r="X706" i="5" s="1"/>
  <c r="X707" i="5" s="1"/>
  <c r="X708" i="5" s="1"/>
  <c r="X709" i="5" s="1"/>
  <c r="X710" i="5" s="1"/>
  <c r="X711" i="5" s="1"/>
  <c r="X712" i="5" s="1"/>
  <c r="X714" i="5" s="1"/>
  <c r="X715" i="5" s="1"/>
  <c r="X716" i="5" s="1"/>
  <c r="X717" i="5" s="1"/>
  <c r="X718" i="5" s="1"/>
  <c r="X719" i="5" s="1"/>
  <c r="X720" i="5" s="1"/>
  <c r="X721" i="5" s="1"/>
  <c r="X722" i="5" s="1"/>
  <c r="X723" i="5" s="1"/>
  <c r="X724" i="5" s="1"/>
  <c r="X725" i="5" s="1"/>
  <c r="X726" i="5" s="1"/>
  <c r="X727" i="5" s="1"/>
  <c r="X728" i="5" s="1"/>
  <c r="X729" i="5" s="1"/>
  <c r="X730" i="5" s="1"/>
  <c r="X731" i="5" s="1"/>
  <c r="X732" i="5" s="1"/>
  <c r="X733" i="5" s="1"/>
  <c r="X734" i="5" s="1"/>
  <c r="X735" i="5" s="1"/>
  <c r="X736" i="5" s="1"/>
  <c r="X737" i="5" s="1"/>
  <c r="X738" i="5" s="1"/>
  <c r="X739" i="5" s="1"/>
  <c r="X740" i="5" s="1"/>
  <c r="X741" i="5" s="1"/>
  <c r="X742" i="5" s="1"/>
  <c r="X743" i="5" s="1"/>
  <c r="X744" i="5" s="1"/>
  <c r="X745" i="5" s="1"/>
  <c r="X746" i="5" s="1"/>
  <c r="X747" i="5" s="1"/>
  <c r="X748" i="5" s="1"/>
  <c r="X749" i="5" s="1"/>
  <c r="X750" i="5" s="1"/>
  <c r="X751" i="5" s="1"/>
  <c r="X752" i="5" s="1"/>
  <c r="X753" i="5" s="1"/>
  <c r="X754" i="5" s="1"/>
  <c r="X755" i="5" s="1"/>
  <c r="X756" i="5" s="1"/>
  <c r="X757" i="5" s="1"/>
  <c r="X758" i="5" s="1"/>
  <c r="X759" i="5" s="1"/>
  <c r="X760" i="5" s="1"/>
  <c r="X761" i="5" s="1"/>
  <c r="X762" i="5" s="1"/>
  <c r="X763" i="5" s="1"/>
  <c r="X764" i="5" s="1"/>
  <c r="X765" i="5" s="1"/>
  <c r="X766" i="5" s="1"/>
  <c r="X767" i="5" s="1"/>
  <c r="X768" i="5" s="1"/>
  <c r="X769" i="5" s="1"/>
  <c r="X770" i="5" s="1"/>
  <c r="X771" i="5" s="1"/>
  <c r="X772" i="5" s="1"/>
  <c r="X773" i="5" s="1"/>
  <c r="X774" i="5" s="1"/>
  <c r="X775" i="5" s="1"/>
  <c r="X776" i="5" s="1"/>
  <c r="X777" i="5" s="1"/>
  <c r="X778" i="5" s="1"/>
  <c r="X779" i="5" s="1"/>
  <c r="X780" i="5" s="1"/>
  <c r="X781" i="5" s="1"/>
  <c r="X782" i="5" s="1"/>
  <c r="X783" i="5" s="1"/>
  <c r="X784" i="5" s="1"/>
  <c r="X785" i="5" s="1"/>
  <c r="X786" i="5" s="1"/>
  <c r="X787" i="5" s="1"/>
  <c r="X788" i="5" s="1"/>
  <c r="X789" i="5" s="1"/>
  <c r="X790" i="5" s="1"/>
  <c r="X791" i="5" s="1"/>
  <c r="X792" i="5" s="1"/>
  <c r="X793" i="5" s="1"/>
  <c r="X794" i="5" s="1"/>
  <c r="X795" i="5" s="1"/>
  <c r="X796" i="5" s="1"/>
  <c r="X797" i="5" s="1"/>
  <c r="X798" i="5" s="1"/>
  <c r="X799" i="5" s="1"/>
  <c r="X800" i="5" s="1"/>
  <c r="X801" i="5" s="1"/>
  <c r="X802" i="5" s="1"/>
  <c r="X803" i="5" s="1"/>
  <c r="X804" i="5" s="1"/>
  <c r="X805" i="5" s="1"/>
  <c r="X806" i="5" s="1"/>
  <c r="X807" i="5" s="1"/>
  <c r="X808" i="5" s="1"/>
  <c r="X809" i="5" s="1"/>
  <c r="X810" i="5" s="1"/>
  <c r="X811" i="5" s="1"/>
  <c r="X812" i="5" s="1"/>
  <c r="X813" i="5" s="1"/>
  <c r="X814" i="5" s="1"/>
  <c r="X815" i="5" s="1"/>
  <c r="X816" i="5" s="1"/>
  <c r="X817" i="5" s="1"/>
  <c r="X818" i="5" s="1"/>
  <c r="X819" i="5" s="1"/>
  <c r="X820" i="5" s="1"/>
  <c r="X821" i="5" s="1"/>
  <c r="S591" i="5"/>
  <c r="S592" i="5" s="1"/>
  <c r="S593" i="5" s="1"/>
  <c r="S594" i="5" s="1"/>
  <c r="S595" i="5" s="1"/>
  <c r="S596" i="5" s="1"/>
  <c r="S597" i="5" s="1"/>
  <c r="S598" i="5" s="1"/>
  <c r="S599" i="5" s="1"/>
  <c r="S600" i="5" s="1"/>
  <c r="S601" i="5" s="1"/>
  <c r="S602" i="5" s="1"/>
  <c r="S603" i="5" s="1"/>
  <c r="S604" i="5" s="1"/>
  <c r="S605" i="5" s="1"/>
  <c r="S606" i="5" s="1"/>
  <c r="S607" i="5" s="1"/>
  <c r="S608" i="5" s="1"/>
  <c r="S610" i="5" s="1"/>
  <c r="S611" i="5" s="1"/>
  <c r="S612" i="5" s="1"/>
  <c r="S613" i="5" s="1"/>
  <c r="S614" i="5" s="1"/>
  <c r="S615" i="5" s="1"/>
  <c r="S616" i="5" s="1"/>
  <c r="S617" i="5" s="1"/>
  <c r="S618" i="5" s="1"/>
  <c r="S619" i="5" s="1"/>
  <c r="S620" i="5" s="1"/>
  <c r="S621" i="5" s="1"/>
  <c r="S622" i="5" s="1"/>
  <c r="S623" i="5" s="1"/>
  <c r="S624" i="5" s="1"/>
  <c r="S625" i="5" s="1"/>
  <c r="S626" i="5" s="1"/>
  <c r="S627" i="5" s="1"/>
  <c r="S628" i="5" s="1"/>
  <c r="S629" i="5" s="1"/>
  <c r="S630" i="5" s="1"/>
  <c r="S631" i="5" s="1"/>
  <c r="S632" i="5" s="1"/>
  <c r="S633" i="5" s="1"/>
  <c r="S634" i="5" s="1"/>
  <c r="S635" i="5" s="1"/>
  <c r="S636" i="5" s="1"/>
  <c r="S637" i="5" s="1"/>
  <c r="S638" i="5" s="1"/>
  <c r="S639" i="5" s="1"/>
  <c r="S640" i="5" s="1"/>
  <c r="S641" i="5" s="1"/>
  <c r="S642" i="5" s="1"/>
  <c r="S643" i="5" s="1"/>
  <c r="S644" i="5" s="1"/>
  <c r="S645" i="5" s="1"/>
  <c r="S646" i="5" s="1"/>
  <c r="S647" i="5" s="1"/>
  <c r="S648" i="5" s="1"/>
  <c r="S649" i="5" s="1"/>
  <c r="S650" i="5" s="1"/>
  <c r="S651" i="5" s="1"/>
  <c r="S652" i="5" s="1"/>
  <c r="S653" i="5" s="1"/>
  <c r="S654" i="5" s="1"/>
  <c r="S655" i="5" s="1"/>
  <c r="S656" i="5" s="1"/>
  <c r="S657" i="5" s="1"/>
  <c r="S658" i="5" s="1"/>
  <c r="S659" i="5" s="1"/>
  <c r="S660" i="5" s="1"/>
  <c r="S661" i="5" s="1"/>
  <c r="S662" i="5" s="1"/>
  <c r="S663" i="5" s="1"/>
  <c r="S664" i="5" s="1"/>
  <c r="S665" i="5" s="1"/>
  <c r="S666" i="5" s="1"/>
  <c r="S667" i="5" s="1"/>
  <c r="J323" i="1"/>
  <c r="I323" i="1"/>
  <c r="H323" i="1"/>
  <c r="X823" i="5" l="1"/>
  <c r="X824" i="5" s="1"/>
  <c r="X825" i="5" s="1"/>
  <c r="X826" i="5" s="1"/>
  <c r="X827" i="5" s="1"/>
  <c r="X828" i="5" s="1"/>
  <c r="X829" i="5" s="1"/>
  <c r="X830" i="5" s="1"/>
  <c r="X831" i="5" s="1"/>
  <c r="X832" i="5" s="1"/>
  <c r="X833" i="5" s="1"/>
  <c r="X834" i="5" s="1"/>
  <c r="X835" i="5" s="1"/>
  <c r="X836" i="5" s="1"/>
  <c r="X837" i="5" s="1"/>
  <c r="X838" i="5" s="1"/>
  <c r="X839" i="5" s="1"/>
  <c r="X840" i="5" s="1"/>
  <c r="X841" i="5" s="1"/>
  <c r="X842" i="5" s="1"/>
  <c r="X843" i="5" s="1"/>
  <c r="X844" i="5" s="1"/>
  <c r="X845" i="5" s="1"/>
  <c r="X846" i="5" s="1"/>
  <c r="X847" i="5" s="1"/>
  <c r="X848" i="5" s="1"/>
  <c r="X849" i="5" s="1"/>
  <c r="X850" i="5" s="1"/>
  <c r="X851" i="5" s="1"/>
  <c r="X852" i="5" s="1"/>
  <c r="X853" i="5" s="1"/>
  <c r="X854" i="5" s="1"/>
  <c r="X855" i="5" s="1"/>
  <c r="X856" i="5" s="1"/>
  <c r="X857" i="5" s="1"/>
  <c r="X858" i="5" s="1"/>
  <c r="X859" i="5" s="1"/>
  <c r="X860" i="5" s="1"/>
  <c r="X861" i="5" s="1"/>
  <c r="X862" i="5" s="1"/>
  <c r="X863" i="5" s="1"/>
  <c r="X864" i="5" s="1"/>
  <c r="X865" i="5" s="1"/>
  <c r="X866" i="5" s="1"/>
  <c r="X867" i="5" s="1"/>
  <c r="X868" i="5" s="1"/>
  <c r="X869" i="5" s="1"/>
  <c r="X870" i="5" s="1"/>
  <c r="X871" i="5" s="1"/>
  <c r="X872" i="5" s="1"/>
  <c r="X873" i="5" s="1"/>
  <c r="X874" i="5" s="1"/>
  <c r="X875" i="5" s="1"/>
  <c r="X876" i="5" s="1"/>
  <c r="X877" i="5" s="1"/>
  <c r="X878" i="5" s="1"/>
  <c r="X879" i="5" s="1"/>
  <c r="X880" i="5" s="1"/>
  <c r="X882" i="5" s="1"/>
  <c r="X883" i="5" s="1"/>
  <c r="X884" i="5" s="1"/>
  <c r="X885" i="5" s="1"/>
  <c r="X886" i="5" s="1"/>
  <c r="X887" i="5" s="1"/>
  <c r="X888" i="5" s="1"/>
  <c r="X889" i="5" s="1"/>
  <c r="X890" i="5" s="1"/>
  <c r="X891" i="5" s="1"/>
  <c r="X892" i="5" s="1"/>
  <c r="X893" i="5" s="1"/>
  <c r="X894" i="5" s="1"/>
  <c r="X895" i="5" s="1"/>
  <c r="X896" i="5" s="1"/>
  <c r="X897" i="5" s="1"/>
  <c r="X898" i="5" s="1"/>
  <c r="X899" i="5" s="1"/>
  <c r="X900" i="5" s="1"/>
  <c r="X901" i="5" s="1"/>
  <c r="X902" i="5" s="1"/>
  <c r="X903" i="5" s="1"/>
  <c r="X904" i="5" s="1"/>
  <c r="X905" i="5" s="1"/>
  <c r="X906" i="5" s="1"/>
  <c r="X907" i="5" s="1"/>
  <c r="X908" i="5" s="1"/>
  <c r="X909" i="5" s="1"/>
  <c r="X910" i="5" s="1"/>
  <c r="X911" i="5" s="1"/>
  <c r="X912" i="5" s="1"/>
  <c r="X913" i="5" s="1"/>
  <c r="X914" i="5" s="1"/>
  <c r="X915" i="5" s="1"/>
  <c r="X916" i="5" s="1"/>
  <c r="X917" i="5" s="1"/>
  <c r="X918" i="5" s="1"/>
  <c r="X919" i="5" s="1"/>
  <c r="X920" i="5" s="1"/>
  <c r="X921" i="5" s="1"/>
  <c r="X922" i="5" s="1"/>
  <c r="X923" i="5" s="1"/>
  <c r="X924" i="5" s="1"/>
  <c r="X925" i="5" s="1"/>
  <c r="X926" i="5" s="1"/>
  <c r="X927" i="5" s="1"/>
  <c r="X928" i="5" s="1"/>
  <c r="X929" i="5" s="1"/>
  <c r="X930" i="5" s="1"/>
  <c r="X931" i="5" s="1"/>
  <c r="X932" i="5" s="1"/>
  <c r="X933" i="5" s="1"/>
  <c r="X934" i="5" s="1"/>
  <c r="X935" i="5" s="1"/>
  <c r="X936" i="5" s="1"/>
  <c r="X937" i="5" s="1"/>
  <c r="X938" i="5" s="1"/>
  <c r="X939" i="5" s="1"/>
  <c r="X940" i="5" s="1"/>
  <c r="X941" i="5" s="1"/>
  <c r="X942" i="5" s="1"/>
  <c r="X943" i="5" s="1"/>
  <c r="X944" i="5" s="1"/>
  <c r="X945" i="5" s="1"/>
  <c r="X946" i="5" s="1"/>
  <c r="X947" i="5" s="1"/>
  <c r="X948" i="5" s="1"/>
  <c r="X949" i="5" s="1"/>
  <c r="X950" i="5" s="1"/>
  <c r="X951" i="5" s="1"/>
  <c r="X952" i="5" s="1"/>
  <c r="X953" i="5" s="1"/>
  <c r="X954" i="5" s="1"/>
  <c r="X955" i="5" s="1"/>
  <c r="X956" i="5" s="1"/>
  <c r="X957" i="5" s="1"/>
  <c r="X958" i="5" s="1"/>
  <c r="X959" i="5" s="1"/>
  <c r="X960" i="5" s="1"/>
  <c r="X961" i="5" s="1"/>
  <c r="X962" i="5" s="1"/>
  <c r="X963" i="5" s="1"/>
  <c r="X964" i="5" s="1"/>
  <c r="X965" i="5" s="1"/>
  <c r="X966" i="5" s="1"/>
  <c r="X967" i="5" s="1"/>
  <c r="X968" i="5" s="1"/>
  <c r="X969" i="5" s="1"/>
  <c r="X970" i="5" s="1"/>
  <c r="X971" i="5" s="1"/>
  <c r="X972" i="5" s="1"/>
  <c r="X973" i="5" s="1"/>
  <c r="X974" i="5" s="1"/>
  <c r="X975" i="5" s="1"/>
  <c r="X976" i="5" s="1"/>
  <c r="X977" i="5" s="1"/>
  <c r="X978" i="5" s="1"/>
  <c r="X979" i="5" s="1"/>
  <c r="X980" i="5" s="1"/>
  <c r="X981" i="5" s="1"/>
  <c r="X982" i="5" s="1"/>
  <c r="X983" i="5" s="1"/>
  <c r="X984" i="5" s="1"/>
  <c r="X985" i="5" s="1"/>
  <c r="X986" i="5" s="1"/>
  <c r="X987" i="5" s="1"/>
  <c r="X988" i="5" s="1"/>
  <c r="X989" i="5" s="1"/>
  <c r="X990" i="5" s="1"/>
  <c r="X991" i="5" s="1"/>
  <c r="X992" i="5" s="1"/>
  <c r="X994" i="5" s="1"/>
  <c r="X995" i="5" s="1"/>
  <c r="X996" i="5" s="1"/>
  <c r="X997" i="5" s="1"/>
  <c r="X998" i="5" s="1"/>
  <c r="X999" i="5" s="1"/>
  <c r="X1000" i="5" s="1"/>
  <c r="X1001" i="5" s="1"/>
  <c r="X1002" i="5" s="1"/>
  <c r="X1003" i="5" s="1"/>
  <c r="X1004" i="5" s="1"/>
  <c r="X1005" i="5" s="1"/>
  <c r="X1006" i="5" s="1"/>
  <c r="X1007" i="5" s="1"/>
  <c r="X1008" i="5" s="1"/>
  <c r="X1009" i="5" s="1"/>
  <c r="X1010" i="5" s="1"/>
  <c r="X1011" i="5" s="1"/>
  <c r="X1012" i="5" s="1"/>
  <c r="X1013" i="5" s="1"/>
  <c r="X1014" i="5" s="1"/>
  <c r="X1015" i="5" s="1"/>
  <c r="X1016" i="5" s="1"/>
  <c r="X1017" i="5" s="1"/>
  <c r="X1018" i="5" s="1"/>
  <c r="X1019" i="5" s="1"/>
  <c r="X1020" i="5" s="1"/>
  <c r="X1021" i="5" s="1"/>
  <c r="X1022" i="5" s="1"/>
  <c r="X1023" i="5" s="1"/>
  <c r="X1024" i="5" s="1"/>
  <c r="X1025" i="5" s="1"/>
  <c r="X1026" i="5" s="1"/>
  <c r="X1027" i="5" s="1"/>
  <c r="X1028" i="5" s="1"/>
  <c r="X1029" i="5" s="1"/>
  <c r="X1030" i="5" s="1"/>
  <c r="X1031" i="5" s="1"/>
  <c r="X1032" i="5" s="1"/>
  <c r="X1033" i="5" s="1"/>
  <c r="X1034" i="5" s="1"/>
  <c r="X1035" i="5" s="1"/>
  <c r="X1036" i="5" s="1"/>
  <c r="X1037" i="5" s="1"/>
  <c r="X1038" i="5" s="1"/>
  <c r="X1039" i="5" s="1"/>
  <c r="X1040" i="5" s="1"/>
  <c r="X1041" i="5" s="1"/>
  <c r="X1042" i="5" s="1"/>
  <c r="X1043" i="5" s="1"/>
  <c r="X1044" i="5" s="1"/>
  <c r="X1045" i="5" s="1"/>
  <c r="X1046" i="5" s="1"/>
  <c r="X1047" i="5" s="1"/>
  <c r="X1048" i="5" s="1"/>
  <c r="X1049" i="5" s="1"/>
  <c r="X1050" i="5" s="1"/>
  <c r="X1051" i="5" s="1"/>
  <c r="X1052" i="5" s="1"/>
  <c r="X1053" i="5" s="1"/>
  <c r="X1054" i="5" s="1"/>
  <c r="X1055" i="5" s="1"/>
  <c r="X1056" i="5" s="1"/>
  <c r="X1057" i="5" s="1"/>
  <c r="X1058" i="5" s="1"/>
  <c r="X1059" i="5" s="1"/>
  <c r="X1060" i="5" s="1"/>
  <c r="X1061" i="5" s="1"/>
  <c r="X1062" i="5" s="1"/>
  <c r="X1063" i="5" s="1"/>
  <c r="X1064" i="5" s="1"/>
  <c r="X1065" i="5" s="1"/>
  <c r="X1066" i="5" s="1"/>
  <c r="X1067" i="5" s="1"/>
  <c r="X1068" i="5" s="1"/>
  <c r="X1069" i="5" s="1"/>
  <c r="X1070" i="5" s="1"/>
  <c r="X1071" i="5" s="1"/>
  <c r="X1072" i="5" s="1"/>
  <c r="X1073" i="5" s="1"/>
  <c r="X1074" i="5" s="1"/>
  <c r="X1075" i="5" s="1"/>
  <c r="X1076" i="5" s="1"/>
  <c r="X1077" i="5" s="1"/>
  <c r="X1078" i="5" s="1"/>
  <c r="X1079" i="5" s="1"/>
  <c r="X1080" i="5" s="1"/>
  <c r="X1081" i="5" s="1"/>
  <c r="X1082" i="5" s="1"/>
  <c r="X1083" i="5" s="1"/>
  <c r="X1084" i="5" s="1"/>
  <c r="X1085" i="5" s="1"/>
  <c r="X1086" i="5" s="1"/>
  <c r="X1087" i="5" s="1"/>
  <c r="X1088" i="5" s="1"/>
  <c r="X1089" i="5" s="1"/>
  <c r="X1090" i="5" s="1"/>
  <c r="X1091" i="5" s="1"/>
  <c r="X1092" i="5" s="1"/>
  <c r="X1093" i="5" s="1"/>
  <c r="X1094" i="5" s="1"/>
  <c r="X1095" i="5" s="1"/>
  <c r="X1096" i="5" s="1"/>
  <c r="X1097" i="5" s="1"/>
  <c r="X1098" i="5" s="1"/>
  <c r="X1099" i="5" s="1"/>
  <c r="X1100" i="5" s="1"/>
  <c r="X1101" i="5" s="1"/>
  <c r="X1102" i="5" s="1"/>
  <c r="X1103" i="5" s="1"/>
  <c r="X1104" i="5" s="1"/>
  <c r="X1105" i="5" s="1"/>
  <c r="X1106" i="5" s="1"/>
  <c r="X1107" i="5" s="1"/>
  <c r="X1109" i="5" s="1"/>
  <c r="X1110" i="5" s="1"/>
  <c r="X1111" i="5" s="1"/>
  <c r="X1112" i="5" s="1"/>
  <c r="X1113" i="5" s="1"/>
  <c r="X1114" i="5" s="1"/>
  <c r="X1115" i="5" s="1"/>
  <c r="X1116" i="5" s="1"/>
  <c r="X1117" i="5" s="1"/>
  <c r="X1118" i="5" s="1"/>
  <c r="X1119" i="5" s="1"/>
  <c r="X1120" i="5" s="1"/>
  <c r="X1121" i="5" s="1"/>
  <c r="X1122" i="5" s="1"/>
  <c r="X1123" i="5" s="1"/>
  <c r="X1124" i="5" s="1"/>
  <c r="X1125" i="5" s="1"/>
  <c r="X1126" i="5" s="1"/>
  <c r="X1127" i="5" s="1"/>
  <c r="X1128" i="5" s="1"/>
  <c r="X1129" i="5" s="1"/>
  <c r="X1130" i="5" s="1"/>
  <c r="X1131" i="5" s="1"/>
  <c r="X1132" i="5" s="1"/>
  <c r="X1133" i="5" s="1"/>
  <c r="X1134" i="5" s="1"/>
  <c r="X1135" i="5" s="1"/>
  <c r="X1136" i="5" s="1"/>
  <c r="X1137" i="5" s="1"/>
  <c r="X1138" i="5" s="1"/>
  <c r="X1139" i="5" s="1"/>
  <c r="X1140" i="5" s="1"/>
  <c r="X1141" i="5" s="1"/>
  <c r="X1142" i="5" s="1"/>
  <c r="X1143" i="5" s="1"/>
  <c r="X1144" i="5" s="1"/>
  <c r="X1145" i="5" s="1"/>
  <c r="X1146" i="5" s="1"/>
  <c r="X1147" i="5" s="1"/>
  <c r="X1148" i="5" s="1"/>
  <c r="X1149" i="5" s="1"/>
  <c r="X1150" i="5" s="1"/>
  <c r="X1151" i="5" s="1"/>
  <c r="X1152" i="5" s="1"/>
  <c r="X1153" i="5" s="1"/>
  <c r="X1154" i="5" s="1"/>
  <c r="X1155" i="5" s="1"/>
  <c r="X1156" i="5" s="1"/>
  <c r="X1157" i="5" s="1"/>
  <c r="X1158" i="5" s="1"/>
  <c r="X1159" i="5" s="1"/>
  <c r="X1160" i="5" s="1"/>
  <c r="X1161" i="5" s="1"/>
  <c r="X1162" i="5" s="1"/>
  <c r="X1163" i="5" s="1"/>
  <c r="X1164" i="5" s="1"/>
  <c r="X1165" i="5" s="1"/>
  <c r="X1166" i="5" s="1"/>
  <c r="X1167" i="5" s="1"/>
  <c r="X1168" i="5" s="1"/>
  <c r="X1169" i="5" s="1"/>
  <c r="X1170" i="5" s="1"/>
  <c r="X1171" i="5" s="1"/>
  <c r="X1172" i="5" s="1"/>
  <c r="X1173" i="5" s="1"/>
  <c r="X1174" i="5" s="1"/>
  <c r="X1175" i="5" s="1"/>
  <c r="X1176" i="5" s="1"/>
  <c r="X1177" i="5" s="1"/>
  <c r="X1178" i="5" s="1"/>
  <c r="X1179" i="5" s="1"/>
  <c r="X1180" i="5" s="1"/>
  <c r="X1181" i="5" s="1"/>
  <c r="X1182" i="5" s="1"/>
  <c r="X1183" i="5" s="1"/>
  <c r="X1184" i="5" s="1"/>
  <c r="X1185" i="5" s="1"/>
  <c r="X1186" i="5" s="1"/>
  <c r="X1187" i="5" s="1"/>
  <c r="X1188" i="5" s="1"/>
  <c r="X1189" i="5" s="1"/>
  <c r="X1190" i="5" s="1"/>
  <c r="X1191" i="5" s="1"/>
  <c r="X1192" i="5" s="1"/>
  <c r="X1193" i="5" s="1"/>
  <c r="X1194" i="5" s="1"/>
  <c r="X1195" i="5" s="1"/>
  <c r="X1196" i="5" s="1"/>
  <c r="X1197" i="5" s="1"/>
  <c r="X1198" i="5" s="1"/>
  <c r="X1199" i="5" s="1"/>
  <c r="X1200" i="5" s="1"/>
  <c r="X1201" i="5" s="1"/>
  <c r="X1202" i="5" s="1"/>
  <c r="X1203" i="5" s="1"/>
  <c r="X1204" i="5" s="1"/>
  <c r="X1205" i="5" s="1"/>
  <c r="X1206" i="5" s="1"/>
  <c r="X1207" i="5" s="1"/>
  <c r="X1208" i="5" s="1"/>
  <c r="X1209" i="5" s="1"/>
  <c r="X1210" i="5" s="1"/>
  <c r="X1211" i="5" s="1"/>
  <c r="X1212" i="5" s="1"/>
  <c r="X1213" i="5" s="1"/>
  <c r="X1214" i="5" s="1"/>
  <c r="X1215" i="5" s="1"/>
  <c r="X1216" i="5" s="1"/>
  <c r="X1217" i="5" s="1"/>
  <c r="X1218" i="5" s="1"/>
  <c r="X1219" i="5" s="1"/>
  <c r="X1220" i="5" s="1"/>
  <c r="X1221" i="5" s="1"/>
  <c r="X1222" i="5" s="1"/>
  <c r="X1223" i="5" s="1"/>
  <c r="X1224" i="5" s="1"/>
  <c r="X1225" i="5" s="1"/>
  <c r="X1226" i="5" s="1"/>
  <c r="X1227" i="5" s="1"/>
  <c r="X1228" i="5" s="1"/>
  <c r="X1229" i="5" s="1"/>
  <c r="X1230" i="5" s="1"/>
  <c r="X1231" i="5" s="1"/>
  <c r="X1232" i="5" s="1"/>
  <c r="X1233" i="5" s="1"/>
  <c r="X1234" i="5" s="1"/>
  <c r="X1235" i="5" s="1"/>
  <c r="X1236" i="5" s="1"/>
  <c r="X1237" i="5" s="1"/>
  <c r="X1238" i="5" s="1"/>
  <c r="X1239" i="5" s="1"/>
  <c r="X1240" i="5" s="1"/>
  <c r="X1241" i="5" s="1"/>
  <c r="X1242" i="5" s="1"/>
  <c r="X1243" i="5" s="1"/>
  <c r="X1244" i="5" s="1"/>
  <c r="X1245" i="5" s="1"/>
  <c r="X1246" i="5" s="1"/>
  <c r="X1247" i="5" s="1"/>
  <c r="X1248" i="5" s="1"/>
  <c r="S668" i="5"/>
  <c r="S669" i="5" s="1"/>
  <c r="S670" i="5" s="1"/>
  <c r="S671" i="5" s="1"/>
  <c r="S672" i="5" s="1"/>
  <c r="S673" i="5" s="1"/>
  <c r="S674" i="5" s="1"/>
  <c r="S675" i="5" s="1"/>
  <c r="S676" i="5" s="1"/>
  <c r="S677" i="5" s="1"/>
  <c r="S678" i="5" s="1"/>
  <c r="S679" i="5" s="1"/>
  <c r="S680" i="5" s="1"/>
  <c r="S681" i="5" s="1"/>
  <c r="S682" i="5" s="1"/>
  <c r="S683" i="5" s="1"/>
  <c r="S684" i="5" s="1"/>
  <c r="S685" i="5" s="1"/>
  <c r="S686" i="5" s="1"/>
  <c r="S687" i="5" s="1"/>
  <c r="S688" i="5" s="1"/>
  <c r="S689" i="5" s="1"/>
  <c r="S690" i="5" s="1"/>
  <c r="S691" i="5" s="1"/>
  <c r="S692" i="5" s="1"/>
  <c r="S693" i="5" s="1"/>
  <c r="S694" i="5" s="1"/>
  <c r="S695" i="5" s="1"/>
  <c r="S696" i="5" s="1"/>
  <c r="S697" i="5" s="1"/>
  <c r="S698" i="5" s="1"/>
  <c r="S699" i="5" s="1"/>
  <c r="S700" i="5" s="1"/>
  <c r="S701" i="5" s="1"/>
  <c r="S702" i="5" s="1"/>
  <c r="S703" i="5" s="1"/>
  <c r="S704" i="5" s="1"/>
  <c r="S705" i="5" s="1"/>
  <c r="S706" i="5" s="1"/>
  <c r="S707" i="5" s="1"/>
  <c r="S708" i="5" s="1"/>
  <c r="S709" i="5" s="1"/>
  <c r="S710" i="5" s="1"/>
  <c r="S711" i="5" s="1"/>
  <c r="S712" i="5" s="1"/>
  <c r="S714" i="5" s="1"/>
  <c r="S715" i="5" s="1"/>
  <c r="S716" i="5" s="1"/>
  <c r="S717" i="5" s="1"/>
  <c r="S718" i="5" s="1"/>
  <c r="S719" i="5" s="1"/>
  <c r="S720" i="5" s="1"/>
  <c r="S721" i="5" s="1"/>
  <c r="S722" i="5" s="1"/>
  <c r="S723" i="5" s="1"/>
  <c r="S724" i="5" s="1"/>
  <c r="S725" i="5" s="1"/>
  <c r="S726" i="5" s="1"/>
  <c r="S727" i="5" s="1"/>
  <c r="S728" i="5" s="1"/>
  <c r="S729" i="5" s="1"/>
  <c r="S730" i="5" s="1"/>
  <c r="S731" i="5" s="1"/>
  <c r="S732" i="5" s="1"/>
  <c r="S733" i="5" s="1"/>
  <c r="S734" i="5" s="1"/>
  <c r="S735" i="5" s="1"/>
  <c r="S736" i="5" s="1"/>
  <c r="S737" i="5" s="1"/>
  <c r="S738" i="5" s="1"/>
  <c r="S739" i="5" s="1"/>
  <c r="S740" i="5" s="1"/>
  <c r="S741" i="5" s="1"/>
  <c r="S742" i="5" s="1"/>
  <c r="S743" i="5" s="1"/>
  <c r="S744" i="5" s="1"/>
  <c r="S745" i="5" s="1"/>
  <c r="S746" i="5" s="1"/>
  <c r="S747" i="5" s="1"/>
  <c r="S748" i="5" s="1"/>
  <c r="S749" i="5" s="1"/>
  <c r="S750" i="5" s="1"/>
  <c r="S751" i="5" s="1"/>
  <c r="S752" i="5" s="1"/>
  <c r="S753" i="5" s="1"/>
  <c r="S754" i="5" s="1"/>
  <c r="S755" i="5" s="1"/>
  <c r="S756" i="5" s="1"/>
  <c r="S757" i="5" s="1"/>
  <c r="S758" i="5" s="1"/>
  <c r="S759" i="5" s="1"/>
  <c r="S760" i="5" s="1"/>
  <c r="S761" i="5" s="1"/>
  <c r="S762" i="5" s="1"/>
  <c r="S763" i="5" s="1"/>
  <c r="S764" i="5" s="1"/>
  <c r="S765" i="5" s="1"/>
  <c r="S766" i="5" s="1"/>
  <c r="S767" i="5" s="1"/>
  <c r="S768" i="5" s="1"/>
  <c r="S769" i="5" s="1"/>
  <c r="S770" i="5" s="1"/>
  <c r="S771" i="5" s="1"/>
  <c r="S772" i="5" s="1"/>
  <c r="S773" i="5" s="1"/>
  <c r="S774" i="5" s="1"/>
  <c r="S775" i="5" s="1"/>
  <c r="S776" i="5" s="1"/>
  <c r="S777" i="5" s="1"/>
  <c r="S778" i="5" s="1"/>
  <c r="S779" i="5" s="1"/>
  <c r="S780" i="5" s="1"/>
  <c r="S781" i="5" s="1"/>
  <c r="S782" i="5" s="1"/>
  <c r="S783" i="5" s="1"/>
  <c r="S784" i="5" s="1"/>
  <c r="S785" i="5" s="1"/>
  <c r="S786" i="5" s="1"/>
  <c r="S787" i="5" s="1"/>
  <c r="S788" i="5" s="1"/>
  <c r="S789" i="5" s="1"/>
  <c r="S790" i="5" s="1"/>
  <c r="S791" i="5" s="1"/>
  <c r="S792" i="5" s="1"/>
  <c r="S793" i="5" s="1"/>
  <c r="S794" i="5" s="1"/>
  <c r="S795" i="5" s="1"/>
  <c r="S796" i="5" s="1"/>
  <c r="S797" i="5" s="1"/>
  <c r="S798" i="5" s="1"/>
  <c r="S799" i="5" s="1"/>
  <c r="S800" i="5" s="1"/>
  <c r="S801" i="5" s="1"/>
  <c r="S802" i="5" s="1"/>
  <c r="S803" i="5" s="1"/>
  <c r="S804" i="5" s="1"/>
  <c r="S805" i="5" s="1"/>
  <c r="S806" i="5" s="1"/>
  <c r="S807" i="5" s="1"/>
  <c r="S808" i="5" s="1"/>
  <c r="S809" i="5" s="1"/>
  <c r="S810" i="5" s="1"/>
  <c r="S811" i="5" s="1"/>
  <c r="S812" i="5" s="1"/>
  <c r="S813" i="5" s="1"/>
  <c r="S814" i="5" s="1"/>
  <c r="S815" i="5" s="1"/>
  <c r="S816" i="5" s="1"/>
  <c r="S817" i="5" s="1"/>
  <c r="S818" i="5" s="1"/>
  <c r="S819" i="5" s="1"/>
  <c r="S820" i="5" s="1"/>
  <c r="S821" i="5" s="1"/>
  <c r="S823" i="5" s="1"/>
  <c r="S824" i="5" s="1"/>
  <c r="S825" i="5" s="1"/>
  <c r="S826" i="5" s="1"/>
  <c r="S827" i="5" s="1"/>
  <c r="S828" i="5" s="1"/>
  <c r="S829" i="5" s="1"/>
  <c r="S830" i="5" s="1"/>
  <c r="S831" i="5" s="1"/>
  <c r="S832" i="5" s="1"/>
  <c r="S833" i="5" s="1"/>
  <c r="S834" i="5" s="1"/>
  <c r="S835" i="5" s="1"/>
  <c r="S836" i="5" s="1"/>
  <c r="S837" i="5" s="1"/>
  <c r="S838" i="5" s="1"/>
  <c r="S839" i="5" s="1"/>
  <c r="S840" i="5" s="1"/>
  <c r="S841" i="5" s="1"/>
  <c r="S842" i="5" s="1"/>
  <c r="S843" i="5" s="1"/>
  <c r="S844" i="5" s="1"/>
  <c r="S845" i="5" s="1"/>
  <c r="S846" i="5" s="1"/>
  <c r="S847" i="5" s="1"/>
  <c r="S848" i="5" s="1"/>
  <c r="S849" i="5" s="1"/>
  <c r="S850" i="5" s="1"/>
  <c r="S851" i="5" s="1"/>
  <c r="S852" i="5" s="1"/>
  <c r="S853" i="5" s="1"/>
  <c r="S854" i="5" s="1"/>
  <c r="S855" i="5" s="1"/>
  <c r="S856" i="5" s="1"/>
  <c r="S857" i="5" s="1"/>
  <c r="S858" i="5" s="1"/>
  <c r="S859" i="5" s="1"/>
  <c r="S860" i="5" s="1"/>
  <c r="S861" i="5" s="1"/>
  <c r="S862" i="5" s="1"/>
  <c r="S863" i="5" s="1"/>
  <c r="S864" i="5" s="1"/>
  <c r="S865" i="5" s="1"/>
  <c r="S866" i="5" s="1"/>
  <c r="S867" i="5" s="1"/>
  <c r="S868" i="5" s="1"/>
  <c r="S869" i="5" s="1"/>
  <c r="S870" i="5" s="1"/>
  <c r="S871" i="5" s="1"/>
  <c r="S872" i="5" s="1"/>
  <c r="S873" i="5" s="1"/>
  <c r="S874" i="5" s="1"/>
  <c r="S875" i="5" s="1"/>
  <c r="S876" i="5" s="1"/>
  <c r="S877" i="5" s="1"/>
  <c r="S878" i="5" s="1"/>
  <c r="S879" i="5" s="1"/>
  <c r="S880" i="5" s="1"/>
  <c r="S882" i="5" s="1"/>
  <c r="S883" i="5" s="1"/>
  <c r="S886" i="5" s="1"/>
  <c r="S887" i="5" s="1"/>
  <c r="S888" i="5" s="1"/>
  <c r="S889" i="5" s="1"/>
  <c r="S890" i="5" s="1"/>
  <c r="S891" i="5" s="1"/>
  <c r="S892" i="5" s="1"/>
  <c r="S893" i="5" s="1"/>
  <c r="S894" i="5" s="1"/>
  <c r="S895" i="5" s="1"/>
  <c r="S896" i="5" s="1"/>
  <c r="S897" i="5" s="1"/>
  <c r="S898" i="5" s="1"/>
  <c r="S899" i="5" s="1"/>
  <c r="S900" i="5" s="1"/>
  <c r="S901" i="5" s="1"/>
  <c r="S902" i="5" s="1"/>
  <c r="S903" i="5" s="1"/>
  <c r="S904" i="5" s="1"/>
  <c r="S905" i="5" s="1"/>
  <c r="S906" i="5" s="1"/>
  <c r="S907" i="5" s="1"/>
  <c r="S908" i="5" s="1"/>
  <c r="S909" i="5" s="1"/>
  <c r="S910" i="5" s="1"/>
  <c r="S911" i="5" s="1"/>
  <c r="S912" i="5" s="1"/>
  <c r="S913" i="5" s="1"/>
  <c r="S914" i="5" s="1"/>
  <c r="S915" i="5" s="1"/>
  <c r="S916" i="5" s="1"/>
  <c r="S917" i="5" s="1"/>
  <c r="S918" i="5" s="1"/>
  <c r="S919" i="5" s="1"/>
  <c r="S920" i="5" s="1"/>
  <c r="S921" i="5" s="1"/>
  <c r="S922" i="5" s="1"/>
  <c r="S923" i="5" s="1"/>
  <c r="S924" i="5" s="1"/>
  <c r="S925" i="5" s="1"/>
  <c r="S926" i="5" s="1"/>
  <c r="S927" i="5" s="1"/>
  <c r="S928" i="5" s="1"/>
  <c r="S929" i="5" s="1"/>
  <c r="S930" i="5" s="1"/>
  <c r="S931" i="5" s="1"/>
  <c r="S932" i="5" s="1"/>
  <c r="S933" i="5" s="1"/>
  <c r="S934" i="5" s="1"/>
  <c r="S935" i="5" s="1"/>
  <c r="S936" i="5" s="1"/>
  <c r="S937" i="5" s="1"/>
  <c r="S938" i="5" s="1"/>
  <c r="S939" i="5" s="1"/>
  <c r="S940" i="5" s="1"/>
  <c r="S941" i="5" s="1"/>
  <c r="S942" i="5" s="1"/>
  <c r="S943" i="5" s="1"/>
  <c r="S944" i="5" s="1"/>
  <c r="S945" i="5" s="1"/>
  <c r="S946" i="5" s="1"/>
  <c r="S947" i="5" s="1"/>
  <c r="S948" i="5" s="1"/>
  <c r="S949" i="5" s="1"/>
  <c r="S950" i="5" s="1"/>
  <c r="S951" i="5" s="1"/>
  <c r="S952" i="5" s="1"/>
  <c r="S953" i="5" s="1"/>
  <c r="S954" i="5" s="1"/>
  <c r="S955" i="5" s="1"/>
  <c r="S956" i="5" s="1"/>
  <c r="S957" i="5" s="1"/>
  <c r="S958" i="5" s="1"/>
  <c r="S959" i="5" s="1"/>
  <c r="S960" i="5" s="1"/>
  <c r="S961" i="5" s="1"/>
  <c r="S962" i="5" s="1"/>
  <c r="S963" i="5" s="1"/>
  <c r="S964" i="5" s="1"/>
  <c r="S965" i="5" s="1"/>
  <c r="S966" i="5" s="1"/>
  <c r="S967" i="5" s="1"/>
  <c r="S968" i="5" s="1"/>
  <c r="S969" i="5" s="1"/>
  <c r="S970" i="5" s="1"/>
  <c r="S971" i="5" s="1"/>
  <c r="S972" i="5" s="1"/>
  <c r="S973" i="5" s="1"/>
  <c r="S974" i="5" s="1"/>
  <c r="S975" i="5" s="1"/>
  <c r="S976" i="5" s="1"/>
  <c r="S977" i="5" s="1"/>
  <c r="S978" i="5" s="1"/>
  <c r="S979" i="5" s="1"/>
  <c r="S980" i="5" s="1"/>
  <c r="S981" i="5" s="1"/>
  <c r="S982" i="5" s="1"/>
  <c r="S983" i="5" s="1"/>
  <c r="S984" i="5" s="1"/>
  <c r="S985" i="5" s="1"/>
  <c r="S986" i="5" s="1"/>
  <c r="S987" i="5" s="1"/>
  <c r="S988" i="5" s="1"/>
  <c r="S989" i="5" s="1"/>
  <c r="S990" i="5" s="1"/>
  <c r="S991" i="5" s="1"/>
  <c r="S992" i="5" s="1"/>
  <c r="S994" i="5" s="1"/>
  <c r="S995" i="5" s="1"/>
  <c r="S996" i="5" s="1"/>
  <c r="S997" i="5" s="1"/>
  <c r="S998" i="5" s="1"/>
  <c r="S999" i="5" s="1"/>
  <c r="S1000" i="5" s="1"/>
  <c r="S1001" i="5" s="1"/>
  <c r="S1002" i="5" s="1"/>
  <c r="S1003" i="5" s="1"/>
  <c r="S1004" i="5" s="1"/>
  <c r="S1005" i="5" s="1"/>
  <c r="S1006" i="5" s="1"/>
  <c r="S1007" i="5" s="1"/>
  <c r="S1008" i="5" s="1"/>
  <c r="S1009" i="5" s="1"/>
  <c r="S1010" i="5" s="1"/>
  <c r="S1011" i="5" s="1"/>
  <c r="S1012" i="5" s="1"/>
  <c r="S1013" i="5" s="1"/>
  <c r="S1014" i="5" s="1"/>
  <c r="S1015" i="5" s="1"/>
  <c r="S1016" i="5" s="1"/>
  <c r="S1017" i="5" s="1"/>
  <c r="S1018" i="5" s="1"/>
  <c r="S1019" i="5" s="1"/>
  <c r="S1020" i="5" s="1"/>
  <c r="S1021" i="5" s="1"/>
  <c r="S1022" i="5" s="1"/>
  <c r="S1023" i="5" s="1"/>
  <c r="S1024" i="5" s="1"/>
  <c r="S1025" i="5" s="1"/>
  <c r="S1026" i="5" s="1"/>
  <c r="S1027" i="5" s="1"/>
  <c r="S1028" i="5" s="1"/>
  <c r="S1029" i="5" s="1"/>
  <c r="S1030" i="5" s="1"/>
  <c r="S1031" i="5" s="1"/>
  <c r="S1032" i="5" s="1"/>
  <c r="S1033" i="5" s="1"/>
  <c r="S1034" i="5" s="1"/>
  <c r="S1035" i="5" s="1"/>
  <c r="S1036" i="5" s="1"/>
  <c r="S1037" i="5" s="1"/>
  <c r="S1038" i="5" s="1"/>
  <c r="S1039" i="5" s="1"/>
  <c r="S1040" i="5" s="1"/>
  <c r="S1041" i="5" s="1"/>
  <c r="S1042" i="5" s="1"/>
  <c r="S1043" i="5" s="1"/>
  <c r="S1044" i="5" s="1"/>
  <c r="S1045" i="5" s="1"/>
  <c r="S1046" i="5" s="1"/>
  <c r="S1047" i="5" s="1"/>
  <c r="S1048" i="5" s="1"/>
  <c r="S1049" i="5" s="1"/>
  <c r="S1050" i="5" s="1"/>
  <c r="S1051" i="5" s="1"/>
  <c r="S1052" i="5" s="1"/>
  <c r="S1053" i="5" s="1"/>
  <c r="S1054" i="5" s="1"/>
  <c r="S1055" i="5" s="1"/>
  <c r="S1056" i="5" s="1"/>
  <c r="S1057" i="5" s="1"/>
  <c r="J322" i="1"/>
  <c r="I322" i="1"/>
  <c r="H322" i="1"/>
  <c r="S1058" i="5" l="1"/>
  <c r="S1059" i="5" s="1"/>
  <c r="S1060" i="5" s="1"/>
  <c r="S1061" i="5" s="1"/>
  <c r="S1062" i="5" s="1"/>
  <c r="S1063" i="5" s="1"/>
  <c r="S1064" i="5" s="1"/>
  <c r="S1065" i="5" s="1"/>
  <c r="S1066" i="5" s="1"/>
  <c r="S1067" i="5" s="1"/>
  <c r="S1068" i="5" s="1"/>
  <c r="S1069" i="5" s="1"/>
  <c r="S1070" i="5" s="1"/>
  <c r="S1071" i="5" s="1"/>
  <c r="S1072" i="5" s="1"/>
  <c r="S1073" i="5" s="1"/>
  <c r="S1074" i="5" s="1"/>
  <c r="S1075" i="5" s="1"/>
  <c r="S1076" i="5" s="1"/>
  <c r="S1077" i="5" s="1"/>
  <c r="S1078" i="5" s="1"/>
  <c r="S1079" i="5" s="1"/>
  <c r="S1080" i="5" s="1"/>
  <c r="S1081" i="5" s="1"/>
  <c r="S1082" i="5" s="1"/>
  <c r="S1083" i="5" s="1"/>
  <c r="S1084" i="5" s="1"/>
  <c r="S1085" i="5" s="1"/>
  <c r="S1086" i="5" s="1"/>
  <c r="S1087" i="5" s="1"/>
  <c r="S1088" i="5" s="1"/>
  <c r="S1089" i="5" s="1"/>
  <c r="S1090" i="5" s="1"/>
  <c r="S1091" i="5" s="1"/>
  <c r="S1092" i="5" s="1"/>
  <c r="S1093" i="5" s="1"/>
  <c r="S1094" i="5" s="1"/>
  <c r="S1095" i="5" s="1"/>
  <c r="S1096" i="5" s="1"/>
  <c r="S1097" i="5" s="1"/>
  <c r="S1098" i="5" s="1"/>
  <c r="S1099" i="5" s="1"/>
  <c r="S1100" i="5" s="1"/>
  <c r="S1101" i="5" s="1"/>
  <c r="S1102" i="5" s="1"/>
  <c r="S1103" i="5" s="1"/>
  <c r="S1104" i="5" s="1"/>
  <c r="S1105" i="5" s="1"/>
  <c r="S1106" i="5" s="1"/>
  <c r="S1107" i="5" s="1"/>
  <c r="S1109" i="5" s="1"/>
  <c r="S1110" i="5" s="1"/>
  <c r="S1111" i="5" s="1"/>
  <c r="S1112" i="5" s="1"/>
  <c r="S1113" i="5" s="1"/>
  <c r="S1114" i="5" s="1"/>
  <c r="S1115" i="5" s="1"/>
  <c r="S1116" i="5" s="1"/>
  <c r="S1117" i="5" s="1"/>
  <c r="S1118" i="5" s="1"/>
  <c r="S1119" i="5" s="1"/>
  <c r="S1120" i="5" s="1"/>
  <c r="S1121" i="5" s="1"/>
  <c r="S1122" i="5" s="1"/>
  <c r="S1123" i="5" s="1"/>
  <c r="S1124" i="5" s="1"/>
  <c r="S1125" i="5" s="1"/>
  <c r="S1126" i="5" s="1"/>
  <c r="S1127" i="5" s="1"/>
  <c r="S1128" i="5" s="1"/>
  <c r="S1129" i="5" s="1"/>
  <c r="S1130" i="5" s="1"/>
  <c r="S1131" i="5" s="1"/>
  <c r="S1132" i="5" s="1"/>
  <c r="S1133" i="5" s="1"/>
  <c r="S1134" i="5" s="1"/>
  <c r="S1135" i="5" s="1"/>
  <c r="S1136" i="5" s="1"/>
  <c r="S1137" i="5" s="1"/>
  <c r="S1138" i="5" s="1"/>
  <c r="S1139" i="5" s="1"/>
  <c r="S1140" i="5" s="1"/>
  <c r="S1141" i="5" s="1"/>
  <c r="S1142" i="5" s="1"/>
  <c r="S1143" i="5" s="1"/>
  <c r="S1144" i="5" s="1"/>
  <c r="S1145" i="5" s="1"/>
  <c r="S1146" i="5" s="1"/>
  <c r="S1147" i="5" s="1"/>
  <c r="S1148" i="5" s="1"/>
  <c r="S1149" i="5" s="1"/>
  <c r="S1150" i="5" s="1"/>
  <c r="S1151" i="5" s="1"/>
  <c r="S1152" i="5" s="1"/>
  <c r="S1153" i="5" s="1"/>
  <c r="S1154" i="5" s="1"/>
  <c r="S1155" i="5" s="1"/>
  <c r="S1156" i="5" s="1"/>
  <c r="S1157" i="5" s="1"/>
  <c r="S1158" i="5" s="1"/>
  <c r="S1159" i="5" s="1"/>
  <c r="S1160" i="5" s="1"/>
  <c r="S1161" i="5" s="1"/>
  <c r="S1162" i="5" s="1"/>
  <c r="S1163" i="5" s="1"/>
  <c r="S1164" i="5" s="1"/>
  <c r="S1165" i="5" s="1"/>
  <c r="S1166" i="5" s="1"/>
  <c r="S1167" i="5" s="1"/>
  <c r="S1168" i="5" s="1"/>
  <c r="S1169" i="5" s="1"/>
  <c r="S1170" i="5" s="1"/>
  <c r="S1171" i="5" s="1"/>
  <c r="S1172" i="5" s="1"/>
  <c r="S1173" i="5" s="1"/>
  <c r="S1174" i="5" s="1"/>
  <c r="S1175" i="5" s="1"/>
  <c r="S1176" i="5" s="1"/>
  <c r="S1177" i="5" s="1"/>
  <c r="S1178" i="5" s="1"/>
  <c r="S1179" i="5" s="1"/>
  <c r="S1180" i="5" s="1"/>
  <c r="S1181" i="5" s="1"/>
  <c r="S1182" i="5" s="1"/>
  <c r="S1183" i="5" s="1"/>
  <c r="S1184" i="5" s="1"/>
  <c r="S1185" i="5" s="1"/>
  <c r="S1186" i="5" s="1"/>
  <c r="S1187" i="5" s="1"/>
  <c r="S1188" i="5" s="1"/>
  <c r="S1189" i="5" s="1"/>
  <c r="S1190" i="5" s="1"/>
  <c r="S1191" i="5" s="1"/>
  <c r="S1192" i="5" s="1"/>
  <c r="S1193" i="5" s="1"/>
  <c r="S1194" i="5" s="1"/>
  <c r="S1195" i="5" s="1"/>
  <c r="S1196" i="5" s="1"/>
  <c r="S1197" i="5" s="1"/>
  <c r="S1198" i="5" s="1"/>
  <c r="S1199" i="5" s="1"/>
  <c r="S1200" i="5" s="1"/>
  <c r="S1201" i="5" s="1"/>
  <c r="S1202" i="5" s="1"/>
  <c r="S1203" i="5" s="1"/>
  <c r="S1204" i="5" s="1"/>
  <c r="S1205" i="5" s="1"/>
  <c r="S1206" i="5" s="1"/>
  <c r="S1207" i="5" s="1"/>
  <c r="S1208" i="5" s="1"/>
  <c r="S1209" i="5" s="1"/>
  <c r="S1210" i="5" s="1"/>
  <c r="S1211" i="5" s="1"/>
  <c r="S1212" i="5" s="1"/>
  <c r="S1213" i="5" s="1"/>
  <c r="S1214" i="5" s="1"/>
  <c r="S1215" i="5" s="1"/>
  <c r="S1216" i="5" s="1"/>
  <c r="S1217" i="5" s="1"/>
  <c r="S1218" i="5" s="1"/>
  <c r="S1219" i="5" s="1"/>
  <c r="S1220" i="5" s="1"/>
  <c r="S1221" i="5" s="1"/>
  <c r="S1222" i="5" s="1"/>
  <c r="S1223" i="5" s="1"/>
  <c r="S1224" i="5" s="1"/>
  <c r="S1225" i="5" s="1"/>
  <c r="S1226" i="5" s="1"/>
  <c r="S1227" i="5" s="1"/>
  <c r="S1228" i="5" s="1"/>
  <c r="S1229" i="5" s="1"/>
  <c r="S1230" i="5" s="1"/>
  <c r="S1231" i="5" s="1"/>
  <c r="S1232" i="5" s="1"/>
  <c r="S1233" i="5" s="1"/>
  <c r="S1234" i="5" s="1"/>
  <c r="S1235" i="5" s="1"/>
  <c r="S1236" i="5" s="1"/>
  <c r="S1237" i="5" s="1"/>
  <c r="S1238" i="5" s="1"/>
  <c r="S1239" i="5" s="1"/>
  <c r="S1240" i="5" s="1"/>
  <c r="S1241" i="5" s="1"/>
  <c r="S1242" i="5" s="1"/>
  <c r="S1243" i="5" s="1"/>
  <c r="S1244" i="5" s="1"/>
  <c r="S1245" i="5" s="1"/>
  <c r="S1246" i="5" s="1"/>
  <c r="S1247" i="5" s="1"/>
  <c r="S1248" i="5" s="1"/>
  <c r="J321" i="1"/>
  <c r="I321" i="1"/>
  <c r="H321" i="1"/>
  <c r="J320" i="1" l="1"/>
  <c r="I320" i="1"/>
  <c r="H320" i="1"/>
  <c r="J319" i="1" l="1"/>
  <c r="I319" i="1"/>
  <c r="H319" i="1"/>
  <c r="J318" i="1" l="1"/>
  <c r="I318" i="1"/>
  <c r="H318" i="1"/>
  <c r="J317" i="1"/>
  <c r="I317" i="1"/>
  <c r="H317" i="1"/>
  <c r="L317" i="1" l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J316" i="1"/>
  <c r="I316" i="1"/>
  <c r="H316" i="1"/>
  <c r="J315" i="1" l="1"/>
  <c r="I315" i="1"/>
  <c r="H315" i="1"/>
  <c r="J313" i="1" l="1"/>
  <c r="I313" i="1"/>
  <c r="H313" i="1"/>
  <c r="J312" i="1"/>
  <c r="I312" i="1"/>
  <c r="H312" i="1"/>
  <c r="J311" i="1" l="1"/>
  <c r="I311" i="1"/>
  <c r="H311" i="1"/>
  <c r="J310" i="1" l="1"/>
  <c r="I310" i="1"/>
  <c r="H310" i="1"/>
  <c r="J309" i="1" l="1"/>
  <c r="I309" i="1"/>
  <c r="H309" i="1"/>
  <c r="J308" i="1" l="1"/>
  <c r="I308" i="1"/>
  <c r="H308" i="1"/>
  <c r="J307" i="1" l="1"/>
  <c r="I307" i="1"/>
  <c r="H307" i="1"/>
  <c r="J306" i="1" l="1"/>
  <c r="I306" i="1"/>
  <c r="H306" i="1"/>
  <c r="J305" i="1" l="1"/>
  <c r="I305" i="1"/>
  <c r="H305" i="1"/>
  <c r="J304" i="1" l="1"/>
  <c r="I304" i="1"/>
  <c r="H304" i="1"/>
  <c r="H303" i="1" l="1"/>
  <c r="I303" i="1"/>
  <c r="J303" i="1"/>
  <c r="J302" i="1" l="1"/>
  <c r="I302" i="1"/>
  <c r="H302" i="1"/>
  <c r="J301" i="1"/>
  <c r="I301" i="1"/>
  <c r="H301" i="1"/>
  <c r="J300" i="1" l="1"/>
  <c r="I300" i="1"/>
  <c r="H300" i="1"/>
  <c r="AB334" i="1" l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3" i="1"/>
  <c r="AB312" i="1"/>
  <c r="AB311" i="1"/>
  <c r="AB309" i="1"/>
  <c r="AB308" i="1"/>
  <c r="AB307" i="1"/>
  <c r="AB306" i="1"/>
  <c r="AB305" i="1"/>
  <c r="AB304" i="1"/>
  <c r="AB303" i="1"/>
  <c r="AB302" i="1"/>
  <c r="AB301" i="1"/>
  <c r="AB300" i="1"/>
  <c r="AB299" i="1"/>
  <c r="J299" i="1"/>
  <c r="I299" i="1"/>
  <c r="H299" i="1"/>
  <c r="AB298" i="1" l="1"/>
  <c r="J298" i="1"/>
  <c r="I298" i="1"/>
  <c r="H298" i="1"/>
  <c r="AB297" i="1"/>
  <c r="J297" i="1"/>
  <c r="I297" i="1"/>
  <c r="H297" i="1"/>
  <c r="AB296" i="1"/>
  <c r="J296" i="1"/>
  <c r="I296" i="1"/>
  <c r="H296" i="1"/>
  <c r="AB295" i="1"/>
  <c r="J295" i="1"/>
  <c r="I295" i="1"/>
  <c r="H295" i="1"/>
  <c r="AB294" i="1"/>
  <c r="J294" i="1"/>
  <c r="I294" i="1"/>
  <c r="H294" i="1"/>
  <c r="AB293" i="1"/>
  <c r="J293" i="1"/>
  <c r="I293" i="1"/>
  <c r="H293" i="1"/>
  <c r="AB292" i="1"/>
  <c r="I292" i="1"/>
  <c r="H292" i="1"/>
  <c r="AB291" i="1"/>
  <c r="J291" i="1"/>
  <c r="I291" i="1"/>
  <c r="H291" i="1"/>
  <c r="AB290" i="1"/>
  <c r="J290" i="1"/>
  <c r="I290" i="1"/>
  <c r="H290" i="1"/>
  <c r="AB289" i="1"/>
  <c r="J289" i="1"/>
  <c r="I289" i="1"/>
  <c r="H289" i="1"/>
  <c r="AB288" i="1"/>
  <c r="J288" i="1"/>
  <c r="I288" i="1"/>
  <c r="H288" i="1"/>
  <c r="AB287" i="1"/>
  <c r="J287" i="1"/>
  <c r="I287" i="1"/>
  <c r="H287" i="1"/>
  <c r="AB286" i="1"/>
  <c r="J286" i="1"/>
  <c r="I286" i="1"/>
  <c r="H286" i="1"/>
  <c r="AB285" i="1"/>
  <c r="J285" i="1"/>
  <c r="I285" i="1"/>
  <c r="H285" i="1"/>
  <c r="AB284" i="1"/>
  <c r="J284" i="1"/>
  <c r="I284" i="1"/>
  <c r="H284" i="1"/>
  <c r="AB283" i="1"/>
  <c r="J283" i="1"/>
  <c r="I283" i="1"/>
  <c r="H283" i="1"/>
  <c r="AB282" i="1"/>
  <c r="J282" i="1"/>
  <c r="I282" i="1"/>
  <c r="H282" i="1"/>
  <c r="AB281" i="1"/>
  <c r="J281" i="1"/>
  <c r="I281" i="1"/>
  <c r="H281" i="1"/>
  <c r="AB280" i="1"/>
  <c r="J280" i="1"/>
  <c r="I280" i="1"/>
  <c r="H280" i="1"/>
  <c r="AB279" i="1"/>
  <c r="J279" i="1"/>
  <c r="I279" i="1"/>
  <c r="H279" i="1"/>
  <c r="AB278" i="1"/>
  <c r="J278" i="1"/>
  <c r="I278" i="1"/>
  <c r="H278" i="1"/>
  <c r="AB277" i="1"/>
  <c r="J277" i="1"/>
  <c r="I277" i="1"/>
  <c r="H277" i="1"/>
  <c r="AB276" i="1"/>
  <c r="J276" i="1"/>
  <c r="I276" i="1"/>
  <c r="H276" i="1"/>
  <c r="AB275" i="1"/>
  <c r="J275" i="1"/>
  <c r="I275" i="1"/>
  <c r="H275" i="1"/>
  <c r="AB274" i="1"/>
  <c r="J274" i="1"/>
  <c r="I274" i="1"/>
  <c r="H274" i="1"/>
  <c r="AB273" i="1"/>
  <c r="J273" i="1"/>
  <c r="I273" i="1"/>
  <c r="H273" i="1"/>
  <c r="AB272" i="1"/>
  <c r="J272" i="1"/>
  <c r="I272" i="1"/>
  <c r="H272" i="1"/>
  <c r="AB271" i="1"/>
  <c r="J271" i="1"/>
  <c r="I271" i="1"/>
  <c r="H271" i="1"/>
  <c r="AB270" i="1"/>
  <c r="J270" i="1"/>
  <c r="I270" i="1"/>
  <c r="H270" i="1"/>
  <c r="AB269" i="1"/>
  <c r="J269" i="1"/>
  <c r="I269" i="1"/>
  <c r="H269" i="1"/>
  <c r="AB268" i="1"/>
  <c r="J268" i="1"/>
  <c r="I268" i="1"/>
  <c r="H268" i="1"/>
  <c r="AB267" i="1"/>
  <c r="J267" i="1"/>
  <c r="I267" i="1"/>
  <c r="H267" i="1"/>
  <c r="AB266" i="1"/>
  <c r="J266" i="1"/>
  <c r="I266" i="1"/>
  <c r="H266" i="1"/>
  <c r="AB265" i="1"/>
  <c r="J265" i="1"/>
  <c r="I265" i="1"/>
  <c r="H265" i="1"/>
  <c r="AB264" i="1"/>
  <c r="J264" i="1"/>
  <c r="I264" i="1"/>
  <c r="H264" i="1"/>
  <c r="AB263" i="1"/>
  <c r="J263" i="1"/>
  <c r="I263" i="1"/>
  <c r="H263" i="1"/>
  <c r="AB262" i="1"/>
  <c r="J262" i="1"/>
  <c r="I262" i="1"/>
  <c r="H262" i="1"/>
  <c r="AB261" i="1"/>
  <c r="J261" i="1"/>
  <c r="I261" i="1"/>
  <c r="H261" i="1"/>
  <c r="AB260" i="1"/>
  <c r="J260" i="1"/>
  <c r="I260" i="1"/>
  <c r="H260" i="1"/>
  <c r="AB259" i="1"/>
  <c r="J259" i="1"/>
  <c r="I259" i="1"/>
  <c r="H259" i="1"/>
  <c r="AB258" i="1"/>
  <c r="J258" i="1"/>
  <c r="I258" i="1"/>
  <c r="H258" i="1"/>
  <c r="H255" i="1"/>
  <c r="L292" i="1" l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5" i="1" s="1"/>
  <c r="V245" i="1"/>
  <c r="R245" i="1"/>
  <c r="W245" i="1"/>
  <c r="U245" i="1"/>
  <c r="T245" i="1"/>
  <c r="T194" i="1" l="1"/>
  <c r="S194" i="1" l="1"/>
  <c r="AB257" i="1" l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X194" i="1"/>
  <c r="J257" i="1"/>
  <c r="I257" i="1"/>
  <c r="H257" i="1"/>
  <c r="J256" i="1"/>
  <c r="I256" i="1"/>
  <c r="H256" i="1"/>
  <c r="J255" i="1"/>
  <c r="I255" i="1"/>
  <c r="J254" i="1"/>
  <c r="I254" i="1"/>
  <c r="H254" i="1"/>
  <c r="J253" i="1"/>
  <c r="I253" i="1"/>
  <c r="H253" i="1"/>
  <c r="J252" i="1"/>
  <c r="I252" i="1"/>
  <c r="H252" i="1"/>
  <c r="J251" i="1"/>
  <c r="I251" i="1"/>
  <c r="H251" i="1"/>
  <c r="J250" i="1"/>
  <c r="I250" i="1"/>
  <c r="H250" i="1"/>
  <c r="J249" i="1"/>
  <c r="I249" i="1"/>
  <c r="H249" i="1"/>
  <c r="J248" i="1"/>
  <c r="I248" i="1"/>
  <c r="H248" i="1"/>
  <c r="J247" i="1"/>
  <c r="I247" i="1"/>
  <c r="H247" i="1"/>
  <c r="J246" i="1"/>
  <c r="I246" i="1"/>
  <c r="H246" i="1"/>
  <c r="J245" i="1"/>
  <c r="I245" i="1"/>
  <c r="H245" i="1"/>
  <c r="J244" i="1"/>
  <c r="I244" i="1"/>
  <c r="H244" i="1"/>
  <c r="J243" i="1"/>
  <c r="I243" i="1"/>
  <c r="H243" i="1"/>
  <c r="J242" i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J195" i="1"/>
  <c r="I195" i="1"/>
  <c r="H195" i="1"/>
  <c r="L194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J185" i="1"/>
  <c r="I185" i="1"/>
  <c r="H185" i="1"/>
  <c r="J184" i="1"/>
  <c r="I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L235" i="1" l="1"/>
  <c r="L236" i="1" s="1"/>
  <c r="L238" i="1"/>
  <c r="L239" i="1" s="1"/>
  <c r="L240" i="1" s="1"/>
  <c r="L241" i="1" s="1"/>
  <c r="L242" i="1" s="1"/>
  <c r="L243" i="1" s="1"/>
  <c r="L244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03" i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AB179" i="1"/>
  <c r="J179" i="1" l="1"/>
  <c r="I179" i="1"/>
  <c r="H179" i="1"/>
  <c r="AB178" i="1" l="1"/>
  <c r="J178" i="1" l="1"/>
  <c r="I178" i="1"/>
  <c r="H178" i="1"/>
  <c r="AB177" i="1" l="1"/>
  <c r="J177" i="1"/>
  <c r="I177" i="1"/>
  <c r="H177" i="1"/>
  <c r="J176" i="1" l="1"/>
  <c r="I176" i="1"/>
  <c r="H176" i="1"/>
  <c r="J175" i="1" l="1"/>
  <c r="I175" i="1"/>
  <c r="H175" i="1"/>
  <c r="J174" i="1"/>
  <c r="I174" i="1"/>
  <c r="H174" i="1"/>
  <c r="J173" i="1"/>
  <c r="I173" i="1"/>
  <c r="H173" i="1"/>
  <c r="J172" i="1"/>
  <c r="I172" i="1"/>
  <c r="H172" i="1"/>
  <c r="AB171" i="1"/>
  <c r="J171" i="1" l="1"/>
  <c r="I171" i="1"/>
  <c r="H171" i="1"/>
  <c r="J170" i="1"/>
  <c r="I170" i="1"/>
  <c r="H170" i="1"/>
  <c r="J169" i="1" l="1"/>
  <c r="I169" i="1"/>
  <c r="H169" i="1"/>
  <c r="AB168" i="1"/>
  <c r="J168" i="1"/>
  <c r="I168" i="1"/>
  <c r="H168" i="1"/>
  <c r="J167" i="1" l="1"/>
  <c r="I167" i="1"/>
  <c r="H167" i="1"/>
  <c r="J166" i="1" l="1"/>
  <c r="I166" i="1"/>
  <c r="H166" i="1"/>
  <c r="J165" i="1"/>
  <c r="I165" i="1"/>
  <c r="H165" i="1"/>
  <c r="J164" i="1" l="1"/>
  <c r="I164" i="1"/>
  <c r="H164" i="1"/>
  <c r="AB163" i="1" l="1"/>
  <c r="J163" i="1" l="1"/>
  <c r="I163" i="1"/>
  <c r="H163" i="1"/>
  <c r="J162" i="1" l="1"/>
  <c r="I162" i="1"/>
  <c r="H162" i="1"/>
  <c r="J161" i="1"/>
  <c r="I161" i="1"/>
  <c r="H161" i="1"/>
  <c r="J160" i="1" l="1"/>
  <c r="I160" i="1"/>
  <c r="H160" i="1"/>
  <c r="J159" i="1" l="1"/>
  <c r="I159" i="1"/>
  <c r="H159" i="1"/>
  <c r="AB158" i="1" l="1"/>
  <c r="J158" i="1"/>
  <c r="I158" i="1"/>
  <c r="H158" i="1"/>
  <c r="J157" i="1"/>
  <c r="I157" i="1"/>
  <c r="H157" i="1"/>
  <c r="J156" i="1" l="1"/>
  <c r="I156" i="1"/>
  <c r="H156" i="1"/>
  <c r="AB155" i="1" l="1"/>
  <c r="J155" i="1"/>
  <c r="I155" i="1"/>
  <c r="H155" i="1"/>
  <c r="J154" i="1" l="1"/>
  <c r="I154" i="1"/>
  <c r="H154" i="1"/>
  <c r="AB152" i="1" l="1"/>
  <c r="J152" i="1" l="1"/>
  <c r="I152" i="1"/>
  <c r="H152" i="1"/>
  <c r="AB151" i="1" l="1"/>
  <c r="J151" i="1" l="1"/>
  <c r="I151" i="1"/>
  <c r="H151" i="1"/>
  <c r="J150" i="1" l="1"/>
  <c r="I150" i="1"/>
  <c r="H150" i="1"/>
  <c r="J149" i="1" l="1"/>
  <c r="I149" i="1"/>
  <c r="H149" i="1"/>
  <c r="J148" i="1"/>
  <c r="I148" i="1"/>
  <c r="H148" i="1"/>
  <c r="J147" i="1"/>
  <c r="I147" i="1"/>
  <c r="H147" i="1"/>
  <c r="L173" i="1" l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5" i="1" s="1"/>
  <c r="L196" i="1" s="1"/>
  <c r="L197" i="1" s="1"/>
  <c r="L198" i="1" s="1"/>
  <c r="L199" i="1" s="1"/>
  <c r="L200" i="1" s="1"/>
  <c r="L201" i="1" s="1"/>
  <c r="L164" i="1"/>
  <c r="L165" i="1" s="1"/>
  <c r="L166" i="1" s="1"/>
  <c r="L167" i="1" s="1"/>
  <c r="L168" i="1" s="1"/>
  <c r="L169" i="1" s="1"/>
  <c r="L170" i="1" s="1"/>
  <c r="L171" i="1" s="1"/>
  <c r="J146" i="1"/>
  <c r="I146" i="1"/>
  <c r="H146" i="1"/>
  <c r="AB144" i="1" l="1"/>
  <c r="AB141" i="1" l="1"/>
  <c r="AB109" i="1" l="1"/>
  <c r="AB106" i="1" l="1"/>
  <c r="AB105" i="1" l="1"/>
  <c r="AB103" i="1" l="1"/>
  <c r="AB96" i="1" l="1"/>
  <c r="AB95" i="1" l="1"/>
  <c r="AB92" i="1" l="1"/>
  <c r="AB91" i="1" l="1"/>
  <c r="AB88" i="1" l="1"/>
  <c r="AB87" i="1" l="1"/>
  <c r="AB83" i="1" l="1"/>
  <c r="AB80" i="1" l="1"/>
  <c r="AB78" i="1" l="1"/>
  <c r="AB77" i="1" l="1"/>
  <c r="AB76" i="1" l="1"/>
  <c r="AB73" i="1" l="1"/>
  <c r="AB65" i="1"/>
  <c r="AB64" i="1" l="1"/>
  <c r="AB63" i="1" l="1"/>
  <c r="AB60" i="1" l="1"/>
  <c r="J145" i="1" l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J89" i="1"/>
  <c r="I89" i="1"/>
  <c r="H89" i="1"/>
  <c r="J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J78" i="1"/>
  <c r="I78" i="1"/>
  <c r="H78" i="1"/>
  <c r="J77" i="1"/>
  <c r="I77" i="1"/>
  <c r="H77" i="1"/>
  <c r="J76" i="1"/>
  <c r="I76" i="1"/>
  <c r="H76" i="1"/>
  <c r="J75" i="1"/>
  <c r="I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8" i="1"/>
  <c r="I58" i="1"/>
  <c r="H58" i="1"/>
  <c r="J57" i="1"/>
  <c r="I57" i="1"/>
  <c r="H57" i="1"/>
  <c r="L101" i="1" l="1"/>
  <c r="L102" i="1" s="1"/>
  <c r="L103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4" i="1" s="1"/>
  <c r="L155" i="1" s="1"/>
  <c r="L156" i="1" s="1"/>
  <c r="L157" i="1" s="1"/>
  <c r="L158" i="1" s="1"/>
  <c r="L159" i="1" s="1"/>
  <c r="L160" i="1" s="1"/>
  <c r="L161" i="1" s="1"/>
  <c r="L162" i="1" s="1"/>
  <c r="L88" i="1"/>
  <c r="L89" i="1" s="1"/>
  <c r="L90" i="1" s="1"/>
  <c r="L91" i="1" s="1"/>
  <c r="L93" i="1"/>
  <c r="L94" i="1" s="1"/>
  <c r="L95" i="1" s="1"/>
  <c r="L96" i="1" s="1"/>
  <c r="L97" i="1" s="1"/>
  <c r="L98" i="1" s="1"/>
  <c r="L99" i="1" s="1"/>
  <c r="AB56" i="1"/>
  <c r="AB55" i="1" l="1"/>
  <c r="AB52" i="1" l="1"/>
  <c r="J52" i="1" l="1"/>
  <c r="I52" i="1"/>
  <c r="J56" i="1" l="1"/>
  <c r="J55" i="1"/>
  <c r="J54" i="1"/>
  <c r="J53" i="1"/>
  <c r="J51" i="1"/>
  <c r="I56" i="1"/>
  <c r="I55" i="1"/>
  <c r="I54" i="1"/>
  <c r="I53" i="1"/>
  <c r="I51" i="1"/>
  <c r="H56" i="1"/>
  <c r="H55" i="1"/>
  <c r="H54" i="1"/>
  <c r="H53" i="1"/>
  <c r="H52" i="1"/>
  <c r="AB51" i="1" l="1"/>
  <c r="H51" i="1" l="1"/>
  <c r="AB50" i="1" l="1"/>
  <c r="J50" i="1" l="1"/>
  <c r="I50" i="1"/>
  <c r="H50" i="1"/>
  <c r="J49" i="1" l="1"/>
  <c r="I49" i="1"/>
  <c r="H49" i="1"/>
  <c r="AB48" i="1" l="1"/>
  <c r="L52" i="1" l="1"/>
  <c r="L53" i="1" s="1"/>
  <c r="L54" i="1" s="1"/>
  <c r="L55" i="1" s="1"/>
  <c r="L56" i="1" s="1"/>
  <c r="L57" i="1" s="1"/>
  <c r="L58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J48" i="1"/>
  <c r="I48" i="1"/>
  <c r="H48" i="1"/>
  <c r="AB45" i="1" l="1"/>
  <c r="AB43" i="1" l="1"/>
  <c r="AB34" i="1" l="1"/>
  <c r="J47" i="1" l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AB33" i="1" l="1"/>
  <c r="J33" i="1" l="1"/>
  <c r="I33" i="1"/>
  <c r="H33" i="1"/>
  <c r="J32" i="1" l="1"/>
  <c r="I32" i="1"/>
  <c r="H32" i="1"/>
  <c r="J31" i="1"/>
  <c r="I31" i="1"/>
  <c r="H31" i="1"/>
  <c r="J30" i="1" l="1"/>
  <c r="I30" i="1"/>
  <c r="H30" i="1"/>
  <c r="J29" i="1" l="1"/>
  <c r="I29" i="1"/>
  <c r="H29" i="1"/>
  <c r="J28" i="1" l="1"/>
  <c r="I28" i="1"/>
  <c r="H28" i="1"/>
  <c r="AB25" i="1" l="1"/>
  <c r="J27" i="1"/>
  <c r="I27" i="1"/>
  <c r="H27" i="1"/>
  <c r="J26" i="1" l="1"/>
  <c r="I26" i="1"/>
  <c r="H26" i="1"/>
  <c r="J25" i="1" l="1"/>
  <c r="I25" i="1"/>
  <c r="H25" i="1"/>
  <c r="J24" i="1"/>
  <c r="I24" i="1"/>
  <c r="H24" i="1"/>
  <c r="AB22" i="1" l="1"/>
  <c r="AB16" i="1" l="1"/>
  <c r="AB15" i="1"/>
  <c r="AB12" i="1"/>
  <c r="L7" i="1" l="1"/>
  <c r="AB9" i="1" l="1"/>
  <c r="X8" i="1" l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X540" i="1" s="1"/>
  <c r="X541" i="1" s="1"/>
  <c r="X542" i="1" s="1"/>
  <c r="X543" i="1" s="1"/>
  <c r="X544" i="1" s="1"/>
  <c r="X546" i="1" s="1"/>
  <c r="X547" i="1" s="1"/>
  <c r="X548" i="1" s="1"/>
  <c r="X549" i="1" s="1"/>
  <c r="X550" i="1" s="1"/>
  <c r="X551" i="1" s="1"/>
  <c r="X552" i="1" s="1"/>
  <c r="X553" i="1" s="1"/>
  <c r="X554" i="1" s="1"/>
  <c r="X555" i="1" s="1"/>
  <c r="X556" i="1" s="1"/>
  <c r="X557" i="1" s="1"/>
  <c r="X558" i="1" s="1"/>
  <c r="X559" i="1" s="1"/>
  <c r="X560" i="1" s="1"/>
  <c r="X561" i="1" s="1"/>
  <c r="X562" i="1" s="1"/>
  <c r="X563" i="1" s="1"/>
  <c r="X564" i="1" s="1"/>
  <c r="X565" i="1" s="1"/>
  <c r="X566" i="1" s="1"/>
  <c r="X567" i="1" s="1"/>
  <c r="X568" i="1" s="1"/>
  <c r="X569" i="1" s="1"/>
  <c r="X570" i="1" s="1"/>
  <c r="X571" i="1" s="1"/>
  <c r="X572" i="1" s="1"/>
  <c r="X573" i="1" s="1"/>
  <c r="X574" i="1" s="1"/>
  <c r="X575" i="1" s="1"/>
  <c r="X576" i="1" s="1"/>
  <c r="X577" i="1" s="1"/>
  <c r="X578" i="1" s="1"/>
  <c r="X579" i="1" s="1"/>
  <c r="X580" i="1" s="1"/>
  <c r="X581" i="1" s="1"/>
  <c r="X582" i="1" s="1"/>
  <c r="X583" i="1" s="1"/>
  <c r="X584" i="1" s="1"/>
  <c r="X585" i="1" s="1"/>
  <c r="X586" i="1" s="1"/>
  <c r="X587" i="1" s="1"/>
  <c r="X588" i="1" s="1"/>
  <c r="X589" i="1" s="1"/>
  <c r="X590" i="1" s="1"/>
  <c r="X591" i="1" s="1"/>
  <c r="X592" i="1" s="1"/>
  <c r="X593" i="1" s="1"/>
  <c r="X594" i="1" s="1"/>
  <c r="X595" i="1" s="1"/>
  <c r="X596" i="1" s="1"/>
  <c r="X597" i="1" s="1"/>
  <c r="X598" i="1" s="1"/>
  <c r="X599" i="1" s="1"/>
  <c r="X600" i="1" s="1"/>
  <c r="X601" i="1" s="1"/>
  <c r="X602" i="1" s="1"/>
  <c r="X603" i="1" s="1"/>
  <c r="X604" i="1" s="1"/>
  <c r="X605" i="1" s="1"/>
  <c r="X606" i="1" s="1"/>
  <c r="X607" i="1" s="1"/>
  <c r="X608" i="1" s="1"/>
  <c r="X609" i="1" s="1"/>
  <c r="X610" i="1" s="1"/>
  <c r="X611" i="1" s="1"/>
  <c r="X612" i="1" s="1"/>
  <c r="X613" i="1" s="1"/>
  <c r="X614" i="1" s="1"/>
  <c r="X615" i="1" s="1"/>
  <c r="X616" i="1" s="1"/>
  <c r="X617" i="1" s="1"/>
  <c r="X618" i="1" s="1"/>
  <c r="X619" i="1" s="1"/>
  <c r="X620" i="1" s="1"/>
  <c r="X621" i="1" s="1"/>
  <c r="X622" i="1" s="1"/>
  <c r="X624" i="1" s="1"/>
  <c r="X625" i="1" s="1"/>
  <c r="X626" i="1" s="1"/>
  <c r="X627" i="1" s="1"/>
  <c r="X628" i="1" s="1"/>
  <c r="X629" i="1" s="1"/>
  <c r="X630" i="1" s="1"/>
  <c r="X631" i="1" s="1"/>
  <c r="X632" i="1" s="1"/>
  <c r="X633" i="1" s="1"/>
  <c r="X634" i="1" s="1"/>
  <c r="X635" i="1" s="1"/>
  <c r="X636" i="1" s="1"/>
  <c r="X637" i="1" s="1"/>
  <c r="X638" i="1" s="1"/>
  <c r="X639" i="1" s="1"/>
  <c r="X640" i="1" s="1"/>
  <c r="X641" i="1" s="1"/>
  <c r="X642" i="1" s="1"/>
  <c r="X643" i="1" s="1"/>
  <c r="X644" i="1" s="1"/>
  <c r="X645" i="1" s="1"/>
  <c r="X646" i="1" s="1"/>
  <c r="X647" i="1" s="1"/>
  <c r="X648" i="1" s="1"/>
  <c r="X649" i="1" s="1"/>
  <c r="X650" i="1" s="1"/>
  <c r="X651" i="1" s="1"/>
  <c r="X652" i="1" s="1"/>
  <c r="X653" i="1" s="1"/>
  <c r="X654" i="1" s="1"/>
  <c r="X655" i="1" s="1"/>
  <c r="X656" i="1" s="1"/>
  <c r="X657" i="1" s="1"/>
  <c r="X658" i="1" s="1"/>
  <c r="X659" i="1" s="1"/>
  <c r="X660" i="1" s="1"/>
  <c r="X661" i="1" s="1"/>
  <c r="X662" i="1" s="1"/>
  <c r="X663" i="1" s="1"/>
  <c r="X664" i="1" s="1"/>
  <c r="X665" i="1" s="1"/>
  <c r="X666" i="1" s="1"/>
  <c r="X667" i="1" s="1"/>
  <c r="X668" i="1" s="1"/>
  <c r="X669" i="1" s="1"/>
  <c r="X670" i="1" s="1"/>
  <c r="X671" i="1" s="1"/>
  <c r="X672" i="1" s="1"/>
  <c r="X673" i="1" s="1"/>
  <c r="X674" i="1" s="1"/>
  <c r="X675" i="1" s="1"/>
  <c r="X676" i="1" s="1"/>
  <c r="X677" i="1" s="1"/>
  <c r="X678" i="1" s="1"/>
  <c r="X679" i="1" s="1"/>
  <c r="X680" i="1" s="1"/>
  <c r="X681" i="1" s="1"/>
  <c r="X682" i="1" s="1"/>
  <c r="X683" i="1" s="1"/>
  <c r="X684" i="1" s="1"/>
  <c r="X685" i="1" s="1"/>
  <c r="X686" i="1" s="1"/>
  <c r="X687" i="1" s="1"/>
  <c r="X688" i="1" s="1"/>
  <c r="X689" i="1" s="1"/>
  <c r="X690" i="1" s="1"/>
  <c r="X691" i="1" s="1"/>
  <c r="X692" i="1" s="1"/>
  <c r="X693" i="1" s="1"/>
  <c r="X694" i="1" s="1"/>
  <c r="X695" i="1" s="1"/>
  <c r="X696" i="1" s="1"/>
  <c r="X697" i="1" s="1"/>
  <c r="X698" i="1" s="1"/>
  <c r="X699" i="1" s="1"/>
  <c r="X700" i="1" s="1"/>
  <c r="X701" i="1" s="1"/>
  <c r="X702" i="1" s="1"/>
  <c r="X703" i="1" s="1"/>
  <c r="X704" i="1" s="1"/>
  <c r="X705" i="1" s="1"/>
  <c r="X706" i="1" s="1"/>
  <c r="X707" i="1" s="1"/>
  <c r="X708" i="1" s="1"/>
  <c r="X709" i="1" s="1"/>
  <c r="X710" i="1" s="1"/>
  <c r="X711" i="1" s="1"/>
  <c r="X712" i="1" s="1"/>
  <c r="X713" i="1" s="1"/>
  <c r="X714" i="1" s="1"/>
  <c r="X715" i="1" s="1"/>
  <c r="X716" i="1" s="1"/>
  <c r="X717" i="1" s="1"/>
  <c r="X718" i="1" s="1"/>
  <c r="X719" i="1" s="1"/>
  <c r="X721" i="1" s="1"/>
  <c r="X722" i="1" s="1"/>
  <c r="X723" i="1" s="1"/>
  <c r="X724" i="1" s="1"/>
  <c r="X725" i="1" s="1"/>
  <c r="X726" i="1" s="1"/>
  <c r="X727" i="1" s="1"/>
  <c r="X728" i="1" s="1"/>
  <c r="X729" i="1" s="1"/>
  <c r="X730" i="1" s="1"/>
  <c r="X731" i="1" s="1"/>
  <c r="X732" i="1" s="1"/>
  <c r="X733" i="1" s="1"/>
  <c r="X734" i="1" s="1"/>
  <c r="X735" i="1" s="1"/>
  <c r="X736" i="1" s="1"/>
  <c r="X737" i="1" s="1"/>
  <c r="X738" i="1" s="1"/>
  <c r="X739" i="1" s="1"/>
  <c r="X740" i="1" s="1"/>
  <c r="X741" i="1" s="1"/>
  <c r="X742" i="1" s="1"/>
  <c r="X743" i="1" s="1"/>
  <c r="X744" i="1" s="1"/>
  <c r="X745" i="1" s="1"/>
  <c r="X746" i="1" s="1"/>
  <c r="X747" i="1" s="1"/>
  <c r="X748" i="1" s="1"/>
  <c r="X749" i="1" s="1"/>
  <c r="X750" i="1" s="1"/>
  <c r="X751" i="1" s="1"/>
  <c r="X752" i="1" s="1"/>
  <c r="X753" i="1" s="1"/>
  <c r="X754" i="1" s="1"/>
  <c r="X755" i="1" s="1"/>
  <c r="X756" i="1" s="1"/>
  <c r="X757" i="1" s="1"/>
  <c r="X758" i="1" s="1"/>
  <c r="X759" i="1" s="1"/>
  <c r="X760" i="1" s="1"/>
  <c r="X761" i="1" s="1"/>
  <c r="X762" i="1" s="1"/>
  <c r="X763" i="1" s="1"/>
  <c r="X764" i="1" s="1"/>
  <c r="X765" i="1" s="1"/>
  <c r="X766" i="1" s="1"/>
  <c r="X767" i="1" s="1"/>
  <c r="X768" i="1" s="1"/>
  <c r="X769" i="1" s="1"/>
  <c r="X770" i="1" s="1"/>
  <c r="X771" i="1" s="1"/>
  <c r="X772" i="1" s="1"/>
  <c r="X773" i="1" s="1"/>
  <c r="X774" i="1" s="1"/>
  <c r="X775" i="1" s="1"/>
  <c r="X776" i="1" s="1"/>
  <c r="X777" i="1" s="1"/>
  <c r="X778" i="1" s="1"/>
  <c r="X779" i="1" s="1"/>
  <c r="X780" i="1" s="1"/>
  <c r="X781" i="1" s="1"/>
  <c r="X782" i="1" s="1"/>
  <c r="X783" i="1" s="1"/>
  <c r="X784" i="1" s="1"/>
  <c r="X785" i="1" s="1"/>
  <c r="X786" i="1" s="1"/>
  <c r="X787" i="1" s="1"/>
  <c r="X788" i="1" s="1"/>
  <c r="X789" i="1" s="1"/>
  <c r="X790" i="1" s="1"/>
  <c r="X791" i="1" s="1"/>
  <c r="X792" i="1" s="1"/>
  <c r="X793" i="1" s="1"/>
  <c r="X794" i="1" s="1"/>
  <c r="X795" i="1" s="1"/>
  <c r="X796" i="1" s="1"/>
  <c r="X797" i="1" s="1"/>
  <c r="X798" i="1" s="1"/>
  <c r="X799" i="1" s="1"/>
  <c r="X800" i="1" s="1"/>
  <c r="X801" i="1" s="1"/>
  <c r="X802" i="1" s="1"/>
  <c r="X803" i="1" s="1"/>
  <c r="X804" i="1" s="1"/>
  <c r="X805" i="1" s="1"/>
  <c r="X806" i="1" s="1"/>
  <c r="X807" i="1" s="1"/>
  <c r="X808" i="1" s="1"/>
  <c r="X809" i="1" s="1"/>
  <c r="X810" i="1" s="1"/>
  <c r="X811" i="1" s="1"/>
  <c r="X812" i="1" s="1"/>
  <c r="X813" i="1" s="1"/>
  <c r="X814" i="1" s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S8" i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S544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S583" i="1" s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S619" i="1" s="1"/>
  <c r="S620" i="1" s="1"/>
  <c r="S621" i="1" s="1"/>
  <c r="S622" i="1" s="1"/>
  <c r="S624" i="1" s="1"/>
  <c r="S625" i="1" s="1"/>
  <c r="S626" i="1" s="1"/>
  <c r="S627" i="1" s="1"/>
  <c r="S628" i="1" s="1"/>
  <c r="S629" i="1" s="1"/>
  <c r="S630" i="1" s="1"/>
  <c r="S631" i="1" s="1"/>
  <c r="S632" i="1" s="1"/>
  <c r="S633" i="1" s="1"/>
  <c r="S634" i="1" s="1"/>
  <c r="S635" i="1" s="1"/>
  <c r="S636" i="1" s="1"/>
  <c r="S637" i="1" s="1"/>
  <c r="S638" i="1" s="1"/>
  <c r="S639" i="1" s="1"/>
  <c r="S640" i="1" s="1"/>
  <c r="S641" i="1" s="1"/>
  <c r="S642" i="1" s="1"/>
  <c r="S643" i="1" s="1"/>
  <c r="S644" i="1" s="1"/>
  <c r="S645" i="1" s="1"/>
  <c r="S646" i="1" s="1"/>
  <c r="S647" i="1" s="1"/>
  <c r="S648" i="1" s="1"/>
  <c r="S649" i="1" s="1"/>
  <c r="S650" i="1" s="1"/>
  <c r="S651" i="1" s="1"/>
  <c r="S652" i="1" s="1"/>
  <c r="S653" i="1" s="1"/>
  <c r="S654" i="1" s="1"/>
  <c r="S655" i="1" s="1"/>
  <c r="S656" i="1" s="1"/>
  <c r="S657" i="1" s="1"/>
  <c r="S658" i="1" s="1"/>
  <c r="S659" i="1" s="1"/>
  <c r="S660" i="1" s="1"/>
  <c r="S661" i="1" s="1"/>
  <c r="S662" i="1" s="1"/>
  <c r="S663" i="1" s="1"/>
  <c r="S664" i="1" s="1"/>
  <c r="S665" i="1" s="1"/>
  <c r="S666" i="1" s="1"/>
  <c r="S667" i="1" s="1"/>
  <c r="S668" i="1" s="1"/>
  <c r="S669" i="1" s="1"/>
  <c r="S670" i="1" s="1"/>
  <c r="S671" i="1" s="1"/>
  <c r="S672" i="1" s="1"/>
  <c r="S673" i="1" s="1"/>
  <c r="S674" i="1" s="1"/>
  <c r="S675" i="1" s="1"/>
  <c r="S676" i="1" s="1"/>
  <c r="S677" i="1" s="1"/>
  <c r="S678" i="1" s="1"/>
  <c r="S679" i="1" s="1"/>
  <c r="S680" i="1" s="1"/>
  <c r="S681" i="1" s="1"/>
  <c r="S682" i="1" s="1"/>
  <c r="S683" i="1" s="1"/>
  <c r="S684" i="1" s="1"/>
  <c r="S685" i="1" s="1"/>
  <c r="S686" i="1" s="1"/>
  <c r="S687" i="1" s="1"/>
  <c r="S688" i="1" s="1"/>
  <c r="S689" i="1" s="1"/>
  <c r="S690" i="1" s="1"/>
  <c r="S691" i="1" s="1"/>
  <c r="S692" i="1" s="1"/>
  <c r="S693" i="1" s="1"/>
  <c r="S694" i="1" s="1"/>
  <c r="S695" i="1" s="1"/>
  <c r="S696" i="1" s="1"/>
  <c r="S697" i="1" s="1"/>
  <c r="S698" i="1" s="1"/>
  <c r="S699" i="1" s="1"/>
  <c r="S700" i="1" s="1"/>
  <c r="S701" i="1" s="1"/>
  <c r="S702" i="1" s="1"/>
  <c r="S703" i="1" s="1"/>
  <c r="S704" i="1" s="1"/>
  <c r="S705" i="1" s="1"/>
  <c r="S706" i="1" s="1"/>
  <c r="S707" i="1" s="1"/>
  <c r="S708" i="1" s="1"/>
  <c r="S709" i="1" s="1"/>
  <c r="S710" i="1" s="1"/>
  <c r="S711" i="1" s="1"/>
  <c r="S712" i="1" s="1"/>
  <c r="S713" i="1" s="1"/>
  <c r="S714" i="1" s="1"/>
  <c r="S715" i="1" s="1"/>
  <c r="S716" i="1" s="1"/>
  <c r="S717" i="1" s="1"/>
  <c r="S718" i="1" s="1"/>
  <c r="S719" i="1" s="1"/>
  <c r="S721" i="1" s="1"/>
  <c r="S722" i="1" s="1"/>
  <c r="S723" i="1" s="1"/>
  <c r="S724" i="1" s="1"/>
  <c r="S725" i="1" s="1"/>
  <c r="S726" i="1" s="1"/>
  <c r="S727" i="1" s="1"/>
  <c r="S728" i="1" s="1"/>
  <c r="S729" i="1" s="1"/>
  <c r="S730" i="1" s="1"/>
  <c r="S731" i="1" s="1"/>
  <c r="S732" i="1" s="1"/>
  <c r="S733" i="1" s="1"/>
  <c r="S734" i="1" s="1"/>
  <c r="S735" i="1" s="1"/>
  <c r="S736" i="1" s="1"/>
  <c r="S737" i="1" s="1"/>
  <c r="S738" i="1" s="1"/>
  <c r="S739" i="1" s="1"/>
  <c r="S740" i="1" s="1"/>
  <c r="S741" i="1" s="1"/>
  <c r="S742" i="1" s="1"/>
  <c r="S743" i="1" s="1"/>
  <c r="S744" i="1" s="1"/>
  <c r="S745" i="1" s="1"/>
  <c r="S746" i="1" s="1"/>
  <c r="S747" i="1" s="1"/>
  <c r="S748" i="1" s="1"/>
  <c r="S749" i="1" s="1"/>
  <c r="S750" i="1" s="1"/>
  <c r="S751" i="1" s="1"/>
  <c r="S752" i="1" s="1"/>
  <c r="S753" i="1" s="1"/>
  <c r="S754" i="1" s="1"/>
  <c r="S755" i="1" s="1"/>
  <c r="S756" i="1" s="1"/>
  <c r="S757" i="1" s="1"/>
  <c r="S758" i="1" s="1"/>
  <c r="S759" i="1" s="1"/>
  <c r="S760" i="1" s="1"/>
  <c r="S761" i="1" s="1"/>
  <c r="S762" i="1" s="1"/>
  <c r="S763" i="1" s="1"/>
  <c r="S764" i="1" s="1"/>
  <c r="S765" i="1" s="1"/>
  <c r="S766" i="1" s="1"/>
  <c r="S767" i="1" s="1"/>
  <c r="S768" i="1" s="1"/>
  <c r="S769" i="1" s="1"/>
  <c r="S770" i="1" s="1"/>
  <c r="S771" i="1" s="1"/>
  <c r="S772" i="1" s="1"/>
  <c r="S773" i="1" s="1"/>
  <c r="S774" i="1" s="1"/>
  <c r="S775" i="1" s="1"/>
  <c r="S776" i="1" s="1"/>
  <c r="S777" i="1" s="1"/>
  <c r="S778" i="1" s="1"/>
  <c r="S779" i="1" s="1"/>
  <c r="S780" i="1" s="1"/>
  <c r="S781" i="1" s="1"/>
  <c r="S782" i="1" s="1"/>
  <c r="S783" i="1" s="1"/>
  <c r="S784" i="1" s="1"/>
  <c r="S785" i="1" s="1"/>
  <c r="S786" i="1" s="1"/>
  <c r="S787" i="1" s="1"/>
  <c r="S788" i="1" s="1"/>
  <c r="S789" i="1" s="1"/>
  <c r="S790" i="1" s="1"/>
  <c r="S791" i="1" s="1"/>
  <c r="S792" i="1" s="1"/>
  <c r="S793" i="1" s="1"/>
  <c r="S794" i="1" s="1"/>
  <c r="S795" i="1" s="1"/>
  <c r="S796" i="1" s="1"/>
  <c r="S797" i="1" s="1"/>
  <c r="S798" i="1" s="1"/>
  <c r="S799" i="1" s="1"/>
  <c r="S800" i="1" s="1"/>
  <c r="S801" i="1" s="1"/>
  <c r="S802" i="1" s="1"/>
  <c r="S803" i="1" s="1"/>
  <c r="S804" i="1" s="1"/>
  <c r="S805" i="1" s="1"/>
  <c r="S806" i="1" s="1"/>
  <c r="S807" i="1" s="1"/>
  <c r="S808" i="1" s="1"/>
  <c r="S809" i="1" s="1"/>
  <c r="S810" i="1" s="1"/>
  <c r="S811" i="1" s="1"/>
  <c r="S812" i="1" s="1"/>
  <c r="S813" i="1" s="1"/>
  <c r="S814" i="1" s="1"/>
  <c r="J23" i="1" l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H8" i="1"/>
  <c r="L8" i="1" l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K12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Correccion por sondas
Survey Intertek</t>
        </r>
      </text>
    </comment>
    <comment ref="B15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considerado 08:00 para reporte de las 8 am.</t>
        </r>
      </text>
    </comment>
    <comment ref="B22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Reporte de las 8:00 hr. Con las mismas cantidades</t>
        </r>
      </text>
    </comment>
  </commentList>
</comments>
</file>

<file path=xl/sharedStrings.xml><?xml version="1.0" encoding="utf-8"?>
<sst xmlns="http://schemas.openxmlformats.org/spreadsheetml/2006/main" count="6068" uniqueCount="1465">
  <si>
    <t>FECHA</t>
  </si>
  <si>
    <t>HORA</t>
  </si>
  <si>
    <t>ROB IFO</t>
  </si>
  <si>
    <t>CONSUMO IFO/DIA  MP</t>
  </si>
  <si>
    <t>CONSUMO IFO/DIA  AUX.</t>
  </si>
  <si>
    <t>CONSUMO IFO/DIA  BLR.</t>
  </si>
  <si>
    <t>CONSUMO IFO/MP</t>
  </si>
  <si>
    <t>CONSUMO IFO/AUX.</t>
  </si>
  <si>
    <t>CONSUMO IFO/BLR.</t>
  </si>
  <si>
    <t>SAL. SALAVERRY</t>
  </si>
  <si>
    <t>LLEGADA CHIMBOTE</t>
  </si>
  <si>
    <t>CONSUMO MGO/MP</t>
  </si>
  <si>
    <t>CONSUMO MGO/AUX.</t>
  </si>
  <si>
    <t>CONSUMO MGO/BLR.</t>
  </si>
  <si>
    <t>ROB</t>
  </si>
  <si>
    <t>IFO</t>
  </si>
  <si>
    <t>MGO</t>
  </si>
  <si>
    <t>REPORTE</t>
  </si>
  <si>
    <t>02,01.18</t>
  </si>
  <si>
    <t>03,01.18</t>
  </si>
  <si>
    <t>CONSUMO /PP.</t>
  </si>
  <si>
    <t>CONSUMO /GI.</t>
  </si>
  <si>
    <t>CONSUMOS DE IFO  Y MGO</t>
  </si>
  <si>
    <t>ROB AGUA</t>
  </si>
  <si>
    <t>PRODUCCION</t>
  </si>
  <si>
    <t>CONSUMO BUQUE</t>
  </si>
  <si>
    <t>CONSUMO MAQUINAS</t>
  </si>
  <si>
    <t>FAENA</t>
  </si>
  <si>
    <t>AGUA</t>
  </si>
  <si>
    <t>AGUA BR</t>
  </si>
  <si>
    <t>AGUA ER</t>
  </si>
  <si>
    <t>TOTAL</t>
  </si>
  <si>
    <t>AGUA REAL</t>
  </si>
  <si>
    <t>02.01.18</t>
  </si>
  <si>
    <t>BOYA SALAVERRRY</t>
  </si>
  <si>
    <t>04.1.18</t>
  </si>
  <si>
    <t>LLEGADA SALAVERRY</t>
  </si>
  <si>
    <t>SURVEY LLEGADA</t>
  </si>
  <si>
    <t>SURVEY SAL. CHIMBOTE</t>
  </si>
  <si>
    <t>SURVEY LLE. CHIMBOTE</t>
  </si>
  <si>
    <t>05.01.18</t>
  </si>
  <si>
    <t>06.01.18</t>
  </si>
  <si>
    <t>LLEGADA CALLAO</t>
  </si>
  <si>
    <t>07.01.18</t>
  </si>
  <si>
    <t>08.01.18</t>
  </si>
  <si>
    <t>09.1.18</t>
  </si>
  <si>
    <t>10.01.18</t>
  </si>
  <si>
    <t>SALIDA CALLAO</t>
  </si>
  <si>
    <t>SALIDA CONCHAN</t>
  </si>
  <si>
    <t>11.01.18</t>
  </si>
  <si>
    <t>FONDEO CALLAO</t>
  </si>
  <si>
    <t>12.01.18</t>
  </si>
  <si>
    <t>13.01.18</t>
  </si>
  <si>
    <t>14.01.17</t>
  </si>
  <si>
    <t>LLEGADA MATARANI</t>
  </si>
  <si>
    <t>AMARRE MOLLENDO</t>
  </si>
  <si>
    <t>15.01.17</t>
  </si>
  <si>
    <t>SALIDA MOLLENDO</t>
  </si>
  <si>
    <t>16.01.17</t>
  </si>
  <si>
    <t>NAV. A PISCO</t>
  </si>
  <si>
    <t>CONDICION</t>
  </si>
  <si>
    <t>NAV. MATARANI</t>
  </si>
  <si>
    <t>FONDO MATARANI</t>
  </si>
  <si>
    <t>ARRIBO PISCO</t>
  </si>
  <si>
    <t>17.01.18</t>
  </si>
  <si>
    <t>SURVEY LLEG. PISCO</t>
  </si>
  <si>
    <t>BOYAS PISCO</t>
  </si>
  <si>
    <t>SALIDA A PAMPILLA</t>
  </si>
  <si>
    <t>LLEGADA PAMPILLA</t>
  </si>
  <si>
    <t>AMARRADO PAMPILLA</t>
  </si>
  <si>
    <t>18.01.18</t>
  </si>
  <si>
    <t>19.01.18</t>
  </si>
  <si>
    <t>SALIDA PAMPILLA</t>
  </si>
  <si>
    <t>20.01.18</t>
  </si>
  <si>
    <t>NAVEGANDO TALARA</t>
  </si>
  <si>
    <t>21.01.18</t>
  </si>
  <si>
    <t>22.01.18</t>
  </si>
  <si>
    <t>LLEGADA TALARA</t>
  </si>
  <si>
    <t>FONDEADO TALARA</t>
  </si>
  <si>
    <t>23.01.18</t>
  </si>
  <si>
    <t>24.01.18</t>
  </si>
  <si>
    <t>25.01.18</t>
  </si>
  <si>
    <t>26.01.18</t>
  </si>
  <si>
    <t>27.01.18</t>
  </si>
  <si>
    <t>28.01.18</t>
  </si>
  <si>
    <t>29.01.18</t>
  </si>
  <si>
    <t>30.01.18</t>
  </si>
  <si>
    <t>31.01.18</t>
  </si>
  <si>
    <t>MANIOBRA ENTRADA</t>
  </si>
  <si>
    <t>AMARRADO MUELLE</t>
  </si>
  <si>
    <t>01.02.18</t>
  </si>
  <si>
    <t>02.02.18</t>
  </si>
  <si>
    <t>SALIDA DE TALARA</t>
  </si>
  <si>
    <t>03.02.18</t>
  </si>
  <si>
    <t>NAVEGANDO CALLAO</t>
  </si>
  <si>
    <t>04.02.18</t>
  </si>
  <si>
    <t>05.02.18</t>
  </si>
  <si>
    <t>FONDO CALLAO</t>
  </si>
  <si>
    <t>06.02.18</t>
  </si>
  <si>
    <t>07.02.18</t>
  </si>
  <si>
    <t>BOYAS PAMPILLA</t>
  </si>
  <si>
    <t>SURVEY</t>
  </si>
  <si>
    <t>08.02.18</t>
  </si>
  <si>
    <t>SURVEY TERMINO</t>
  </si>
  <si>
    <t>10.02.18</t>
  </si>
  <si>
    <t>INICIO VIAJE</t>
  </si>
  <si>
    <t>11.02.18</t>
  </si>
  <si>
    <t>NAVE. TALARA</t>
  </si>
  <si>
    <t>12.02.18</t>
  </si>
  <si>
    <t>ARRIBO TALARA</t>
  </si>
  <si>
    <t>13.02.18</t>
  </si>
  <si>
    <t>14.08.18</t>
  </si>
  <si>
    <t>15.02.18</t>
  </si>
  <si>
    <t>FONDO TALARA</t>
  </si>
  <si>
    <t>16.02.18</t>
  </si>
  <si>
    <t>17.02.18</t>
  </si>
  <si>
    <t>AMARRADO BOYAS</t>
  </si>
  <si>
    <t>18.02.18</t>
  </si>
  <si>
    <t>BOYAS TALARA</t>
  </si>
  <si>
    <t>19.02.18</t>
  </si>
  <si>
    <t>TERMINO CARGA</t>
  </si>
  <si>
    <t>20.02.18</t>
  </si>
  <si>
    <t>REPORTE-NAV. CALLAO</t>
  </si>
  <si>
    <t>21.02.18</t>
  </si>
  <si>
    <t>22.02.18</t>
  </si>
  <si>
    <t>MANIOBRA PAMPILLA</t>
  </si>
  <si>
    <t>23.02.18</t>
  </si>
  <si>
    <t>24.02.18</t>
  </si>
  <si>
    <t>REPORTE PAMPILLA</t>
  </si>
  <si>
    <t>FONDO AREA 8</t>
  </si>
  <si>
    <t>25.02.18</t>
  </si>
  <si>
    <t>26.02.18</t>
  </si>
  <si>
    <t>27.02.18</t>
  </si>
  <si>
    <t>01.03.18</t>
  </si>
  <si>
    <t>02.03.18</t>
  </si>
  <si>
    <t>TIEMPO Hrs</t>
  </si>
  <si>
    <t>03.03.18</t>
  </si>
  <si>
    <t>04.03.18</t>
  </si>
  <si>
    <t>05.03.18</t>
  </si>
  <si>
    <t>06.03.18</t>
  </si>
  <si>
    <t>07.03.18</t>
  </si>
  <si>
    <t>08.03.18</t>
  </si>
  <si>
    <t>09.03.18</t>
  </si>
  <si>
    <t>10.03.18</t>
  </si>
  <si>
    <t>11.03.18</t>
  </si>
  <si>
    <t>12.03.18</t>
  </si>
  <si>
    <t>13.03.18</t>
  </si>
  <si>
    <t>14.03.18</t>
  </si>
  <si>
    <t>15.03.18</t>
  </si>
  <si>
    <t>ZARPE PAMPILLA</t>
  </si>
  <si>
    <t>16.03.18</t>
  </si>
  <si>
    <t>NAVEGANDO ETEN</t>
  </si>
  <si>
    <t>ARRIBO ETEN</t>
  </si>
  <si>
    <t>FONDO ETEN</t>
  </si>
  <si>
    <t>17.03.18</t>
  </si>
  <si>
    <t>18.03.18</t>
  </si>
  <si>
    <t>19.03.18</t>
  </si>
  <si>
    <t>20.03.18</t>
  </si>
  <si>
    <t>21.03.18</t>
  </si>
  <si>
    <t>22.03.18</t>
  </si>
  <si>
    <t>23.03.18</t>
  </si>
  <si>
    <t>INICIO AMARRE ETEN</t>
  </si>
  <si>
    <t>TERMINO AMARRE ETEN</t>
  </si>
  <si>
    <t>24.03.18</t>
  </si>
  <si>
    <t>DESCARGA ETEN</t>
  </si>
  <si>
    <t>25.03.18</t>
  </si>
  <si>
    <t>TERM. DESCARG ETEN</t>
  </si>
  <si>
    <t>FONDO SALAVERRY</t>
  </si>
  <si>
    <t>AMARRADO SALAVERRY</t>
  </si>
  <si>
    <t>26.03.18</t>
  </si>
  <si>
    <t xml:space="preserve">NAVEGANDO  </t>
  </si>
  <si>
    <t>INI. DESCAR. SALAVERRY</t>
  </si>
  <si>
    <t>TERM DESC. SALAVERRY</t>
  </si>
  <si>
    <t>27.03.18</t>
  </si>
  <si>
    <t>28.03.18</t>
  </si>
  <si>
    <t>29.03.18</t>
  </si>
  <si>
    <t>AMARRE PAMPILLA</t>
  </si>
  <si>
    <t>30.03.18</t>
  </si>
  <si>
    <t>31.03.18</t>
  </si>
  <si>
    <t>PAMPILLA</t>
  </si>
  <si>
    <t>28.02.18</t>
  </si>
  <si>
    <t>01.04.18</t>
  </si>
  <si>
    <t xml:space="preserve">SURVEY TERMINO </t>
  </si>
  <si>
    <t>01.04.19</t>
  </si>
  <si>
    <t>02.04.18</t>
  </si>
  <si>
    <t>LLEGADA PISCO</t>
  </si>
  <si>
    <t>02.04.19</t>
  </si>
  <si>
    <t>FONDO PISCO</t>
  </si>
  <si>
    <t>AMARRADO PISCO</t>
  </si>
  <si>
    <t>03.04.19</t>
  </si>
  <si>
    <t>INICIO MANIOBRA</t>
  </si>
  <si>
    <t>04.04.18</t>
  </si>
  <si>
    <t>NAVEGANDO CHIMBOTE</t>
  </si>
  <si>
    <t>04.04.19</t>
  </si>
  <si>
    <t>SURVEY CHIMBOTE</t>
  </si>
  <si>
    <t>05.04.18</t>
  </si>
  <si>
    <t>AMARRADO CHIMBOTE</t>
  </si>
  <si>
    <t>SURVEY SALIDA</t>
  </si>
  <si>
    <t>05.04.19</t>
  </si>
  <si>
    <t>INICIO VAIJE</t>
  </si>
  <si>
    <t>06.04.19</t>
  </si>
  <si>
    <t>FIN DE VIAJE</t>
  </si>
  <si>
    <t>06.04.18</t>
  </si>
  <si>
    <t>07.04.18</t>
  </si>
  <si>
    <t>08.04.19</t>
  </si>
  <si>
    <t>09.04.18</t>
  </si>
  <si>
    <t>10.04.18</t>
  </si>
  <si>
    <t>10.04.19</t>
  </si>
  <si>
    <t>11.04.18</t>
  </si>
  <si>
    <t>NAVEGANDO PANAMA.</t>
  </si>
  <si>
    <t>12.04.18</t>
  </si>
  <si>
    <t>13.04.18</t>
  </si>
  <si>
    <t>14.04.18</t>
  </si>
  <si>
    <t>15.04.18</t>
  </si>
  <si>
    <t>CAMBIO MGO</t>
  </si>
  <si>
    <t>13.:18</t>
  </si>
  <si>
    <t>16.04.18</t>
  </si>
  <si>
    <t>FONDO PANAMA</t>
  </si>
  <si>
    <t>16.0.18</t>
  </si>
  <si>
    <t>AGENCIA</t>
  </si>
  <si>
    <t>26.04.18</t>
  </si>
  <si>
    <t>AGENCIA SALIDA</t>
  </si>
  <si>
    <t>27.04.18</t>
  </si>
  <si>
    <t>28.04.18</t>
  </si>
  <si>
    <t>29.04.18</t>
  </si>
  <si>
    <t>29.04.19</t>
  </si>
  <si>
    <t>30.04.18</t>
  </si>
  <si>
    <t>01.05.18</t>
  </si>
  <si>
    <t>AMARRADO TALARA</t>
  </si>
  <si>
    <t>02.05.18</t>
  </si>
  <si>
    <t>03.05.18</t>
  </si>
  <si>
    <t>TERMINO TALARA</t>
  </si>
  <si>
    <t>04.05.18</t>
  </si>
  <si>
    <t>05.05.18</t>
  </si>
  <si>
    <t>LLGADA CALLAO</t>
  </si>
  <si>
    <t>06.05.18</t>
  </si>
  <si>
    <t>FONDEADO CALLAO</t>
  </si>
  <si>
    <t>07.05.18</t>
  </si>
  <si>
    <t>08.05.18</t>
  </si>
  <si>
    <t>09.05.18</t>
  </si>
  <si>
    <t>10.05.18</t>
  </si>
  <si>
    <t>13.05.18</t>
  </si>
  <si>
    <t>11.05.18</t>
  </si>
  <si>
    <t>12.05.18</t>
  </si>
  <si>
    <t>14.05.18</t>
  </si>
  <si>
    <t>15.05.18</t>
  </si>
  <si>
    <t>16.05.18</t>
  </si>
  <si>
    <t>17.05.18</t>
  </si>
  <si>
    <t>17.05.19</t>
  </si>
  <si>
    <t>17.05.20</t>
  </si>
  <si>
    <t>18.05.18</t>
  </si>
  <si>
    <t>19.05.18</t>
  </si>
  <si>
    <t>TERMINO PAMPILLA</t>
  </si>
  <si>
    <t>20.05.18</t>
  </si>
  <si>
    <t>21.05.18</t>
  </si>
  <si>
    <t>22.05.18</t>
  </si>
  <si>
    <t>23.05.18</t>
  </si>
  <si>
    <t>TEREMINIO MANIBRA</t>
  </si>
  <si>
    <t>24.05.18</t>
  </si>
  <si>
    <t>25.05.18</t>
  </si>
  <si>
    <t>FONDD CALLAO</t>
  </si>
  <si>
    <t>26.05.18</t>
  </si>
  <si>
    <t>NAVEGANDO SUPE</t>
  </si>
  <si>
    <t>27.05.18</t>
  </si>
  <si>
    <t>AMARRADO SUPE</t>
  </si>
  <si>
    <t>TERMINO DESCARGA</t>
  </si>
  <si>
    <t>28.05.18</t>
  </si>
  <si>
    <t>NAVEGANDO SALVERRY</t>
  </si>
  <si>
    <t>29.05.18</t>
  </si>
  <si>
    <t>30.05.18</t>
  </si>
  <si>
    <t>31.08.18</t>
  </si>
  <si>
    <t>01.06.18</t>
  </si>
  <si>
    <t>FONDEO SALAVERRY</t>
  </si>
  <si>
    <t>02.06.18</t>
  </si>
  <si>
    <t>02.06.19</t>
  </si>
  <si>
    <t>AMARRE SALAVERRY</t>
  </si>
  <si>
    <t>15.:42</t>
  </si>
  <si>
    <t>03.06.19</t>
  </si>
  <si>
    <t>03.06.18</t>
  </si>
  <si>
    <t>03.08.18</t>
  </si>
  <si>
    <t>04.08.18</t>
  </si>
  <si>
    <t>FONDEADO ETEN</t>
  </si>
  <si>
    <t>04.08.19</t>
  </si>
  <si>
    <t>05.06.18</t>
  </si>
  <si>
    <t>06.06.18</t>
  </si>
  <si>
    <t>06.06.19</t>
  </si>
  <si>
    <t>07.06.18</t>
  </si>
  <si>
    <t>08.06.18</t>
  </si>
  <si>
    <t>08.06.19</t>
  </si>
  <si>
    <t>TERMINO DE CARGA</t>
  </si>
  <si>
    <t>09.08.18</t>
  </si>
  <si>
    <t>FONDADO CALLAO</t>
  </si>
  <si>
    <t>13.06.18</t>
  </si>
  <si>
    <t>14.06.18</t>
  </si>
  <si>
    <t>15.06.18</t>
  </si>
  <si>
    <t>16.06.18</t>
  </si>
  <si>
    <t>23.:50</t>
  </si>
  <si>
    <t>AMARRADP PAMPILLA</t>
  </si>
  <si>
    <t>17.06.18</t>
  </si>
  <si>
    <t>18.06.18</t>
  </si>
  <si>
    <t>19.06.18</t>
  </si>
  <si>
    <t>NAVEGANDO MOLLENDO</t>
  </si>
  <si>
    <t>20.06.18</t>
  </si>
  <si>
    <t>FONDO MOLLENDO</t>
  </si>
  <si>
    <t>AMARRADO MATARANI</t>
  </si>
  <si>
    <t>TERMINI CARGA</t>
  </si>
  <si>
    <t>FONDEADO MATARANI</t>
  </si>
  <si>
    <t>21.06.18</t>
  </si>
  <si>
    <t>TERMINO MANIOBRA</t>
  </si>
  <si>
    <t>24.06.18</t>
  </si>
  <si>
    <t>25.06.18</t>
  </si>
  <si>
    <t>FIN DE MANIOBRA</t>
  </si>
  <si>
    <t>26.06.18</t>
  </si>
  <si>
    <t>AMARRADO MOLLENDO</t>
  </si>
  <si>
    <t>27.06.18</t>
  </si>
  <si>
    <t>21.:18</t>
  </si>
  <si>
    <t>28.06.18</t>
  </si>
  <si>
    <t>MANIOBRA ENT. ILO</t>
  </si>
  <si>
    <t>29.06.18</t>
  </si>
  <si>
    <t>NAVEGANDO PISCO</t>
  </si>
  <si>
    <t>30.06.18</t>
  </si>
  <si>
    <t>FONDEADO PISCO</t>
  </si>
  <si>
    <t>FIN MANIOBRA</t>
  </si>
  <si>
    <t>01.07.18</t>
  </si>
  <si>
    <t>INICIO MAN. PISCO</t>
  </si>
  <si>
    <t>02.07.18</t>
  </si>
  <si>
    <t>03.07.18</t>
  </si>
  <si>
    <t>NAVEGA. CHIMBOTE</t>
  </si>
  <si>
    <t>FIN DE AMNIOBRA</t>
  </si>
  <si>
    <t>FONDEADO CHIMBOTE</t>
  </si>
  <si>
    <t>04.07.18</t>
  </si>
  <si>
    <t>22.06.18</t>
  </si>
  <si>
    <t>23.06.18</t>
  </si>
  <si>
    <t>05.07.18</t>
  </si>
  <si>
    <t>06.07.18</t>
  </si>
  <si>
    <t>TERMINO VIAJE</t>
  </si>
  <si>
    <t>07.07.18</t>
  </si>
  <si>
    <t>08.07.18</t>
  </si>
  <si>
    <t>09.07.18</t>
  </si>
  <si>
    <t>10.07.18</t>
  </si>
  <si>
    <t>11.07.18</t>
  </si>
  <si>
    <t>12.07.18</t>
  </si>
  <si>
    <t>FONDEADO CALLO</t>
  </si>
  <si>
    <t>13.07.18</t>
  </si>
  <si>
    <t>14.07.18</t>
  </si>
  <si>
    <t>15.07.18</t>
  </si>
  <si>
    <t>16.07.18</t>
  </si>
  <si>
    <t>17.07.18</t>
  </si>
  <si>
    <t>18.07.18</t>
  </si>
  <si>
    <t>19.07.18</t>
  </si>
  <si>
    <t>PAMPILLA/SALIDA</t>
  </si>
  <si>
    <t>FONDEADO</t>
  </si>
  <si>
    <t>CAMBIO FONDEADERO</t>
  </si>
  <si>
    <t>20.07.18</t>
  </si>
  <si>
    <t>19.08.18</t>
  </si>
  <si>
    <t>NAVEGANDO</t>
  </si>
  <si>
    <t>21.07.18</t>
  </si>
  <si>
    <t>22.07.18</t>
  </si>
  <si>
    <t>23.07.18</t>
  </si>
  <si>
    <t>24.07.18</t>
  </si>
  <si>
    <t>25.07.18</t>
  </si>
  <si>
    <t>26.07.18</t>
  </si>
  <si>
    <t>27.07.18</t>
  </si>
  <si>
    <t>MANIOBRA ENT. MOLL</t>
  </si>
  <si>
    <t>MOLLENDO-BOYAS</t>
  </si>
  <si>
    <t>28.07.18</t>
  </si>
  <si>
    <t>29.07.18</t>
  </si>
  <si>
    <t>ATM SALIDA</t>
  </si>
  <si>
    <t>FONDEADO ILO</t>
  </si>
  <si>
    <t>30.07.18</t>
  </si>
  <si>
    <t>ILO-BOYAS (FIN)</t>
  </si>
  <si>
    <t>ILO-BOYAS (INICIO)</t>
  </si>
  <si>
    <t>ATM (DESAMMARRE)</t>
  </si>
  <si>
    <t xml:space="preserve">ATM (AMMARRE)  </t>
  </si>
  <si>
    <t>FIN VIAJE (ATM)</t>
  </si>
  <si>
    <t xml:space="preserve">INICIO VIAJE </t>
  </si>
  <si>
    <t>31.07.18</t>
  </si>
  <si>
    <t>01.08.18</t>
  </si>
  <si>
    <t>PISCO (BOYAS)</t>
  </si>
  <si>
    <t>ATM (SALIDA)</t>
  </si>
  <si>
    <t>SUPE (FONDEADO)</t>
  </si>
  <si>
    <t>ATM</t>
  </si>
  <si>
    <t>02.08.18</t>
  </si>
  <si>
    <t>SUPE (BOYAS)</t>
  </si>
  <si>
    <t>SUPE (BOYAS) FIN</t>
  </si>
  <si>
    <t>SUPE (BOYAS) INICIO</t>
  </si>
  <si>
    <t>ATM SALIDA BOYAS</t>
  </si>
  <si>
    <t>FONDEADO (CALLAO)</t>
  </si>
  <si>
    <t>05.08.18</t>
  </si>
  <si>
    <t>06.08.18</t>
  </si>
  <si>
    <t>07.08.18</t>
  </si>
  <si>
    <t>08.08.18</t>
  </si>
  <si>
    <t>ATM (INICIO)</t>
  </si>
  <si>
    <t>TCM (PAMPILLA)</t>
  </si>
  <si>
    <t>10.08.18</t>
  </si>
  <si>
    <t>PAMPILLA (BOYAS)</t>
  </si>
  <si>
    <t>11.08.18</t>
  </si>
  <si>
    <t>PAMPILLA (BOYAS) ATM</t>
  </si>
  <si>
    <t>12.08.18</t>
  </si>
  <si>
    <t>13.08.18</t>
  </si>
  <si>
    <t>15.08.18</t>
  </si>
  <si>
    <t xml:space="preserve">ATM </t>
  </si>
  <si>
    <t>16.08.18</t>
  </si>
  <si>
    <t>17.08.18</t>
  </si>
  <si>
    <t>ATM PAMPILLA (BOYAS)</t>
  </si>
  <si>
    <t>18.08.18</t>
  </si>
  <si>
    <t>TCM (FONDEADO CALLAO)</t>
  </si>
  <si>
    <t>ATM (salida fondeadero)</t>
  </si>
  <si>
    <t>TCM (inicio viaje)</t>
  </si>
  <si>
    <t>FONDEADO (SUPE)</t>
  </si>
  <si>
    <t>ATM FONDEADO (SUPE)</t>
  </si>
  <si>
    <t>20.08.18</t>
  </si>
  <si>
    <t>TCM SUPE (BOYAS)</t>
  </si>
  <si>
    <t>SUPE (BOYAS) ATM</t>
  </si>
  <si>
    <t>TCM INICIO VIAJE</t>
  </si>
  <si>
    <t>21.08.18</t>
  </si>
  <si>
    <t>FONDEADO (ETEN)</t>
  </si>
  <si>
    <t>22.08.18</t>
  </si>
  <si>
    <t>ATM (Fondeado Eten)</t>
  </si>
  <si>
    <t>ETEN (BOYAS) TCM</t>
  </si>
  <si>
    <t>23.08.18</t>
  </si>
  <si>
    <t xml:space="preserve">ETEN (BOYAS) </t>
  </si>
  <si>
    <t>ATM ETEN (BOYAS)</t>
  </si>
  <si>
    <t xml:space="preserve"> 23.08.18</t>
  </si>
  <si>
    <t>TCM (NAVEGANDO)</t>
  </si>
  <si>
    <t>24.08.18</t>
  </si>
  <si>
    <t>SALAVERRY (Fondeado)</t>
  </si>
  <si>
    <t>SALAVERRY (BOYAS)</t>
  </si>
  <si>
    <t>25.08.18</t>
  </si>
  <si>
    <t>ATM SALAVERRY (BOYAS)</t>
  </si>
  <si>
    <t>26.08.18</t>
  </si>
  <si>
    <t>ATM (chimbote)</t>
  </si>
  <si>
    <t>CHIMBOTE (fondeado)</t>
  </si>
  <si>
    <t>TCM Chimbote (Boyas)</t>
  </si>
  <si>
    <t>ATM (Maniobra salida)</t>
  </si>
  <si>
    <t>27.08.17</t>
  </si>
  <si>
    <t>27.08.18</t>
  </si>
  <si>
    <t>28.08.18</t>
  </si>
  <si>
    <t>28.08.17</t>
  </si>
  <si>
    <t>TCM (AREA 12)</t>
  </si>
  <si>
    <t>29.08.18</t>
  </si>
  <si>
    <t>ATM (salida Area12)</t>
  </si>
  <si>
    <t>30.08.18</t>
  </si>
  <si>
    <t>PAMPILLA (BOYAS) TCM</t>
  </si>
  <si>
    <t>01.09.18</t>
  </si>
  <si>
    <t>FONDEADO PISCO TCM</t>
  </si>
  <si>
    <t>02.09.18</t>
  </si>
  <si>
    <t>FONDEADO PISCO ATM</t>
  </si>
  <si>
    <t>03.09.18</t>
  </si>
  <si>
    <t>ATM PISCO (BOYAS)</t>
  </si>
  <si>
    <t>04.09.18</t>
  </si>
  <si>
    <t>TCM FONDEADO</t>
  </si>
  <si>
    <t>05.09.18</t>
  </si>
  <si>
    <t>06.09.18</t>
  </si>
  <si>
    <t>07.09.18</t>
  </si>
  <si>
    <t>FONDEADO CALLA0</t>
  </si>
  <si>
    <t>09.09.18</t>
  </si>
  <si>
    <t>FONDEAO CALLAO</t>
  </si>
  <si>
    <t>08.09.18</t>
  </si>
  <si>
    <t>21.:24</t>
  </si>
  <si>
    <t>10.09.18</t>
  </si>
  <si>
    <t>11.09.18</t>
  </si>
  <si>
    <t>12.09.18</t>
  </si>
  <si>
    <t>13.09.18</t>
  </si>
  <si>
    <t>14.09.18</t>
  </si>
  <si>
    <t>15.09.18</t>
  </si>
  <si>
    <t>16.09.18</t>
  </si>
  <si>
    <t>17.09.18</t>
  </si>
  <si>
    <t>18.09.18</t>
  </si>
  <si>
    <t>19.09.18</t>
  </si>
  <si>
    <t>20.09.18</t>
  </si>
  <si>
    <t>21.09.18</t>
  </si>
  <si>
    <t>TCM  (ETEN BOYAS)</t>
  </si>
  <si>
    <t>22.09.18</t>
  </si>
  <si>
    <t>ETEN (BOYAS)</t>
  </si>
  <si>
    <t>23.09.18</t>
  </si>
  <si>
    <t>ATM (llegada)</t>
  </si>
  <si>
    <t>Salaverry (BOYAS)</t>
  </si>
  <si>
    <t>ATM (Salida boyas)</t>
  </si>
  <si>
    <t>TCM (Fondeado)</t>
  </si>
  <si>
    <t>24.09.18</t>
  </si>
  <si>
    <t>Salaverry (Fondeado)</t>
  </si>
  <si>
    <t>25.09.18</t>
  </si>
  <si>
    <t>26.09.18</t>
  </si>
  <si>
    <t>TCM (Salaverry, boya)</t>
  </si>
  <si>
    <t>27.09.18</t>
  </si>
  <si>
    <t>28.09.18</t>
  </si>
  <si>
    <t>CHIMBOTE (Boyas)</t>
  </si>
  <si>
    <t>29.09.18</t>
  </si>
  <si>
    <t>TCM PISCO (Boyas)</t>
  </si>
  <si>
    <t>30.09.18</t>
  </si>
  <si>
    <t>ATM (Fin viaje)</t>
  </si>
  <si>
    <t>Fondeado Callao</t>
  </si>
  <si>
    <t>ATM (Salida Fond.)</t>
  </si>
  <si>
    <t>01.10.18</t>
  </si>
  <si>
    <t>Pampilla (Boyas)</t>
  </si>
  <si>
    <t>02.10.18</t>
  </si>
  <si>
    <t>03.10.18</t>
  </si>
  <si>
    <t>04.10.18</t>
  </si>
  <si>
    <t>Fondeado (CALLAO)</t>
  </si>
  <si>
    <t>05.10.18</t>
  </si>
  <si>
    <t>06.10.18</t>
  </si>
  <si>
    <t>TCM (Fond. Eten)</t>
  </si>
  <si>
    <t>ETEN  BOYAS</t>
  </si>
  <si>
    <t>ETEN BOYAS</t>
  </si>
  <si>
    <t>07.10.18</t>
  </si>
  <si>
    <t>08.10.18</t>
  </si>
  <si>
    <t>09.10.18</t>
  </si>
  <si>
    <t>10.10.18</t>
  </si>
  <si>
    <t>Fondeado (Chimbote)</t>
  </si>
  <si>
    <t>11.10.18</t>
  </si>
  <si>
    <t>Callao (Fondeado)</t>
  </si>
  <si>
    <t>12.10.18</t>
  </si>
  <si>
    <t>13,10,18</t>
  </si>
  <si>
    <t>14.10.18</t>
  </si>
  <si>
    <t>15.10.18</t>
  </si>
  <si>
    <t>16.10.18</t>
  </si>
  <si>
    <t>17.10.18</t>
  </si>
  <si>
    <t>18.10.18</t>
  </si>
  <si>
    <t>19.10.18</t>
  </si>
  <si>
    <t>20.10.18</t>
  </si>
  <si>
    <t>21.10.18</t>
  </si>
  <si>
    <t>22.10.18</t>
  </si>
  <si>
    <t>22.10.08</t>
  </si>
  <si>
    <t>23.10.18</t>
  </si>
  <si>
    <t>24.10.18</t>
  </si>
  <si>
    <t>25.10.18</t>
  </si>
  <si>
    <t>26.10.18</t>
  </si>
  <si>
    <t>27.10.18</t>
  </si>
  <si>
    <t>ETEN (Fondeado)</t>
  </si>
  <si>
    <t>28.10.18</t>
  </si>
  <si>
    <t>29.10.18</t>
  </si>
  <si>
    <t>30.10.18</t>
  </si>
  <si>
    <t>SALAVERRY (Boyas)</t>
  </si>
  <si>
    <t>31.10.18</t>
  </si>
  <si>
    <t>01.11.18</t>
  </si>
  <si>
    <t>ATM (fin viaje)</t>
  </si>
  <si>
    <t>02.11.18</t>
  </si>
  <si>
    <t>03.11.18</t>
  </si>
  <si>
    <t>04.11.18</t>
  </si>
  <si>
    <t>06.11.18</t>
  </si>
  <si>
    <t>05.11.18</t>
  </si>
  <si>
    <t>07.11.18</t>
  </si>
  <si>
    <t>Area 12 (Fondeado)</t>
  </si>
  <si>
    <t>08.11.18</t>
  </si>
  <si>
    <t>09.11.18</t>
  </si>
  <si>
    <t>10.11.18</t>
  </si>
  <si>
    <t>11.11.18</t>
  </si>
  <si>
    <t>SUPE  (Boyas)</t>
  </si>
  <si>
    <t>12-11.18</t>
  </si>
  <si>
    <t>SUPE (Boyas)</t>
  </si>
  <si>
    <t>12.11.18</t>
  </si>
  <si>
    <t>13.11.18</t>
  </si>
  <si>
    <t>14.11.18</t>
  </si>
  <si>
    <t>ETEN (Boyas)</t>
  </si>
  <si>
    <t>15.11.18</t>
  </si>
  <si>
    <t>16.11.18</t>
  </si>
  <si>
    <t>17.11.18</t>
  </si>
  <si>
    <t>SALAVERRY (Fondo)</t>
  </si>
  <si>
    <t>18.11.18</t>
  </si>
  <si>
    <t>19.11.18</t>
  </si>
  <si>
    <t>20.11.18</t>
  </si>
  <si>
    <t>21.11.18</t>
  </si>
  <si>
    <t>22.11.18</t>
  </si>
  <si>
    <t>23.11.18</t>
  </si>
  <si>
    <t>PAmpilla (Boyas)</t>
  </si>
  <si>
    <t>24.11.18</t>
  </si>
  <si>
    <t>25.11.18</t>
  </si>
  <si>
    <t>26.11.18</t>
  </si>
  <si>
    <t>27.11.18</t>
  </si>
  <si>
    <t>SUPE (Fondeado)</t>
  </si>
  <si>
    <t>28.11.18</t>
  </si>
  <si>
    <t>29.11.18</t>
  </si>
  <si>
    <t>SUPE )Boyas)</t>
  </si>
  <si>
    <t>AÑO ANTERIOR</t>
  </si>
  <si>
    <t>30.11.18</t>
  </si>
  <si>
    <t>01.12.18</t>
  </si>
  <si>
    <t>02.12.18</t>
  </si>
  <si>
    <t>03.12.18</t>
  </si>
  <si>
    <t>03.121.18</t>
  </si>
  <si>
    <t>Fondeado (Salaverry)</t>
  </si>
  <si>
    <t>04.12.18</t>
  </si>
  <si>
    <t>05.12.18</t>
  </si>
  <si>
    <t>06.12.18</t>
  </si>
  <si>
    <t>07.12.18</t>
  </si>
  <si>
    <t>08.12.18</t>
  </si>
  <si>
    <t>550 MT IFO metidos el 07-11-2018 al tanque central FO y se han descontado de la exixtencia hasta que se aclare la nota de FUERA DE ESPECIFICACION</t>
  </si>
  <si>
    <t>Fondeado (Callao-12)</t>
  </si>
  <si>
    <t>09.12.18</t>
  </si>
  <si>
    <t>Fondeado (Callao)</t>
  </si>
  <si>
    <t>Fondeado (Callao-8)</t>
  </si>
  <si>
    <t>10.12.18</t>
  </si>
  <si>
    <t>11.12.18</t>
  </si>
  <si>
    <t>Maniobra Pampilla</t>
  </si>
  <si>
    <t>12.12.18</t>
  </si>
  <si>
    <t>Pampilla</t>
  </si>
  <si>
    <t>13.12.18</t>
  </si>
  <si>
    <t>Pampilla(TERMINAL)</t>
  </si>
  <si>
    <t>Zarpe Pampilla</t>
  </si>
  <si>
    <t>TCM (Fondo-12)</t>
  </si>
  <si>
    <t>TCM (Fondo-8)</t>
  </si>
  <si>
    <t>TCM(Fondo-8)</t>
  </si>
  <si>
    <t>14.12.18</t>
  </si>
  <si>
    <t>Fondeado(callao)</t>
  </si>
  <si>
    <t>15.12.18</t>
  </si>
  <si>
    <t>16.12.18</t>
  </si>
  <si>
    <t>TCM(Muelle)</t>
  </si>
  <si>
    <t>17.12.18</t>
  </si>
  <si>
    <t>Amarrado ( mulle-4)</t>
  </si>
  <si>
    <t>18.12.18</t>
  </si>
  <si>
    <t>19.12.18</t>
  </si>
  <si>
    <t>20.12.18</t>
  </si>
  <si>
    <t>Zarpe - Callao</t>
  </si>
  <si>
    <t>Zarpe muelle - 4 ATM</t>
  </si>
  <si>
    <t>Arribo Supe</t>
  </si>
  <si>
    <t>Fondo Supe</t>
  </si>
  <si>
    <t>TCM</t>
  </si>
  <si>
    <t>21.12.18</t>
  </si>
  <si>
    <t>Descargando supe</t>
  </si>
  <si>
    <t>Temino descarga</t>
  </si>
  <si>
    <t>TMC maniobra zarpe</t>
  </si>
  <si>
    <t>22.12.18</t>
  </si>
  <si>
    <t>Navegando</t>
  </si>
  <si>
    <t>Arribo Eten</t>
  </si>
  <si>
    <t>Fondo Eten</t>
  </si>
  <si>
    <t>Inicio maniobra</t>
  </si>
  <si>
    <t xml:space="preserve">TCM </t>
  </si>
  <si>
    <t>23.12.18</t>
  </si>
  <si>
    <t>Termino descarga</t>
  </si>
  <si>
    <t>Descargando Eten</t>
  </si>
  <si>
    <t>ATM zarpe eten</t>
  </si>
  <si>
    <t>Arribo salaverry</t>
  </si>
  <si>
    <t>24.12.18</t>
  </si>
  <si>
    <t>Maniobra</t>
  </si>
  <si>
    <t>TCM Salavery</t>
  </si>
  <si>
    <t>25.12.18</t>
  </si>
  <si>
    <t>Descargando Salaverry</t>
  </si>
  <si>
    <t>ATM Salida Salaverry</t>
  </si>
  <si>
    <t>Zarpe Salaverry</t>
  </si>
  <si>
    <t>Arribo Chimbote</t>
  </si>
  <si>
    <t>Fondo Chimbote</t>
  </si>
  <si>
    <t>Inicio mmaniobra</t>
  </si>
  <si>
    <t>26.12.18</t>
  </si>
  <si>
    <t>Termino maniobra</t>
  </si>
  <si>
    <t>Zarpe Chimbote</t>
  </si>
  <si>
    <t>Arribo callao</t>
  </si>
  <si>
    <t>27.12.18</t>
  </si>
  <si>
    <t>amarrado Pampilla</t>
  </si>
  <si>
    <t>Pampilla cargando</t>
  </si>
  <si>
    <t>28.12.18</t>
  </si>
  <si>
    <t>29.12.18</t>
  </si>
  <si>
    <t>30.12.18</t>
  </si>
  <si>
    <t>31.12.18</t>
  </si>
  <si>
    <t>01.01.19</t>
  </si>
  <si>
    <t>Termino carga pampilla</t>
  </si>
  <si>
    <t>02.01.19</t>
  </si>
  <si>
    <t>Fondo area-8</t>
  </si>
  <si>
    <t>ATM Zarpe CALLAO</t>
  </si>
  <si>
    <t>Zarpe</t>
  </si>
  <si>
    <t>fondo supe</t>
  </si>
  <si>
    <t>Ancla arriba</t>
  </si>
  <si>
    <t>Amarrado supe TCM</t>
  </si>
  <si>
    <t>03.01.19</t>
  </si>
  <si>
    <t>Zarpe supe</t>
  </si>
  <si>
    <t>04.01.19</t>
  </si>
  <si>
    <t>Navegacion</t>
  </si>
  <si>
    <t>05.01.19</t>
  </si>
  <si>
    <t>Fondo</t>
  </si>
  <si>
    <t>Tcm amarrado eten</t>
  </si>
  <si>
    <t>06.01.19</t>
  </si>
  <si>
    <t>07.01.19</t>
  </si>
  <si>
    <t>TCM amarrado Salaverry</t>
  </si>
  <si>
    <t>Descargando</t>
  </si>
  <si>
    <t>Termino maniobra Zarpe</t>
  </si>
  <si>
    <t>08.01.19</t>
  </si>
  <si>
    <t>Arribo chimbote</t>
  </si>
  <si>
    <t>TCM Amarre chimbote</t>
  </si>
  <si>
    <t>09.01.19</t>
  </si>
  <si>
    <t>10.01.19</t>
  </si>
  <si>
    <t>Arribo Pisco</t>
  </si>
  <si>
    <t>Amarrdo pisco</t>
  </si>
  <si>
    <t>11.01.19</t>
  </si>
  <si>
    <t>12.01.19</t>
  </si>
  <si>
    <t>fondo callao-8</t>
  </si>
  <si>
    <t>Fondo Callao-12</t>
  </si>
  <si>
    <t>13.01.19</t>
  </si>
  <si>
    <t>14.01.19</t>
  </si>
  <si>
    <t>Amarrado pampilla</t>
  </si>
  <si>
    <t>15.01.19</t>
  </si>
  <si>
    <t>16.01.19</t>
  </si>
  <si>
    <t>17.01.19</t>
  </si>
  <si>
    <t>18.01.19</t>
  </si>
  <si>
    <t>19.01.19</t>
  </si>
  <si>
    <t>20.01.19</t>
  </si>
  <si>
    <t>21.01.19</t>
  </si>
  <si>
    <t>Fin de Viaje AT</t>
  </si>
  <si>
    <t>TCM (Ilo)</t>
  </si>
  <si>
    <t>Tablones</t>
  </si>
  <si>
    <t>22.01.19</t>
  </si>
  <si>
    <t>Tablones AT</t>
  </si>
  <si>
    <t>23.01.19</t>
  </si>
  <si>
    <t>24.01.19</t>
  </si>
  <si>
    <t>Tablones TCM</t>
  </si>
  <si>
    <t>ILO (Fond,)</t>
  </si>
  <si>
    <t>ILO (TCM)</t>
  </si>
  <si>
    <t>MATARANI</t>
  </si>
  <si>
    <t>MOLLENDO</t>
  </si>
  <si>
    <t>25.01.19</t>
  </si>
  <si>
    <t>26.01.19</t>
  </si>
  <si>
    <t>27.01.19</t>
  </si>
  <si>
    <t>PISCO</t>
  </si>
  <si>
    <t>28.01.19</t>
  </si>
  <si>
    <t>Callao</t>
  </si>
  <si>
    <t>29.01.19</t>
  </si>
  <si>
    <t>30.01.19</t>
  </si>
  <si>
    <t>Area 12</t>
  </si>
  <si>
    <t xml:space="preserve"> </t>
  </si>
  <si>
    <t>31.01.19</t>
  </si>
  <si>
    <t>01.02.19</t>
  </si>
  <si>
    <t>02.02.19</t>
  </si>
  <si>
    <t>03.02.19</t>
  </si>
  <si>
    <t>04.02.19</t>
  </si>
  <si>
    <t>05.02.19</t>
  </si>
  <si>
    <t>06.02.19</t>
  </si>
  <si>
    <t>07.02.19</t>
  </si>
  <si>
    <t>08.02.19</t>
  </si>
  <si>
    <t>09.02.19</t>
  </si>
  <si>
    <t>10.02.19</t>
  </si>
  <si>
    <t>11.02.19</t>
  </si>
  <si>
    <t>12.02.19</t>
  </si>
  <si>
    <t>13.02.19</t>
  </si>
  <si>
    <t>14.02.19</t>
  </si>
  <si>
    <t>ILO</t>
  </si>
  <si>
    <t>15.02.19</t>
  </si>
  <si>
    <t>16.02.19</t>
  </si>
  <si>
    <t>San Nicolas</t>
  </si>
  <si>
    <t>Fondeado San Nicolas</t>
  </si>
  <si>
    <t>17.02.19</t>
  </si>
  <si>
    <t>18.02.19</t>
  </si>
  <si>
    <t>Fondeado Pisco</t>
  </si>
  <si>
    <t>19.02.19</t>
  </si>
  <si>
    <t>20.02.19</t>
  </si>
  <si>
    <t>21.02.19</t>
  </si>
  <si>
    <t>22.02.19</t>
  </si>
  <si>
    <t>23.02.19</t>
  </si>
  <si>
    <t>25.02.19</t>
  </si>
  <si>
    <t>26.02.19</t>
  </si>
  <si>
    <t>27.02.19</t>
  </si>
  <si>
    <t>28.02.19</t>
  </si>
  <si>
    <t>01.03.19</t>
  </si>
  <si>
    <t>02.03.19</t>
  </si>
  <si>
    <t>03.03.19</t>
  </si>
  <si>
    <t>04.03.19</t>
  </si>
  <si>
    <t>San Nicolas (Fond.)</t>
  </si>
  <si>
    <t>05.03.19</t>
  </si>
  <si>
    <t>SAN NICOLAS</t>
  </si>
  <si>
    <t>06.03.19</t>
  </si>
  <si>
    <t>07.03.19</t>
  </si>
  <si>
    <t>08.03.19</t>
  </si>
  <si>
    <t>09.03.19</t>
  </si>
  <si>
    <t>10.03.19</t>
  </si>
  <si>
    <t xml:space="preserve"> 11.03.19</t>
  </si>
  <si>
    <t>11.03.19</t>
  </si>
  <si>
    <t>12.03.19</t>
  </si>
  <si>
    <t>13.03.19</t>
  </si>
  <si>
    <t>14.03.19</t>
  </si>
  <si>
    <t>15.03.19</t>
  </si>
  <si>
    <t>16.03.19</t>
  </si>
  <si>
    <t>17.03.19</t>
  </si>
  <si>
    <t>18.03.19</t>
  </si>
  <si>
    <t>19.03.19</t>
  </si>
  <si>
    <t>20.03.19</t>
  </si>
  <si>
    <t>21.03.19</t>
  </si>
  <si>
    <t>22.03.19</t>
  </si>
  <si>
    <t>23.03.19</t>
  </si>
  <si>
    <t>24.03.19</t>
  </si>
  <si>
    <t>25.03.19</t>
  </si>
  <si>
    <t>26.03.19</t>
  </si>
  <si>
    <t>Parado en la Mar</t>
  </si>
  <si>
    <t>27.03.19</t>
  </si>
  <si>
    <t>28.03.19</t>
  </si>
  <si>
    <t>29.03.19</t>
  </si>
  <si>
    <t>30.03.19</t>
  </si>
  <si>
    <t>31.03.19</t>
  </si>
  <si>
    <t>Fondeado Ilo</t>
  </si>
  <si>
    <t>07.04.19</t>
  </si>
  <si>
    <t>TCM Pampilla</t>
  </si>
  <si>
    <t>09.04.19</t>
  </si>
  <si>
    <t>11.04.19</t>
  </si>
  <si>
    <t>ancla arriba</t>
  </si>
  <si>
    <t>zarpe pampilla</t>
  </si>
  <si>
    <t xml:space="preserve">fin de viaje </t>
  </si>
  <si>
    <t>tcm fondeado callao</t>
  </si>
  <si>
    <t>12.04.19</t>
  </si>
  <si>
    <t>inicio viaje de mar supe</t>
  </si>
  <si>
    <t>navegando callao - supe</t>
  </si>
  <si>
    <t>fin de viaje</t>
  </si>
  <si>
    <t>tcm fondeado supe</t>
  </si>
  <si>
    <t>tcm amarrados en supe</t>
  </si>
  <si>
    <t>inicio descarga</t>
  </si>
  <si>
    <t>13.04.19</t>
  </si>
  <si>
    <t>termino descarga</t>
  </si>
  <si>
    <t>amarrados</t>
  </si>
  <si>
    <t>inicio viaje de mar pto eten</t>
  </si>
  <si>
    <t>14.04.19</t>
  </si>
  <si>
    <t>terminado con maquinas</t>
  </si>
  <si>
    <t>fondeado</t>
  </si>
  <si>
    <t>15.04.19</t>
  </si>
  <si>
    <t>16.04.19</t>
  </si>
  <si>
    <t>17..04.19</t>
  </si>
  <si>
    <t>18.04.19</t>
  </si>
  <si>
    <t>19.04.19</t>
  </si>
  <si>
    <t>tcm</t>
  </si>
  <si>
    <t>inicio de descarga</t>
  </si>
  <si>
    <t>20.04.19</t>
  </si>
  <si>
    <t>amarrado a boyas</t>
  </si>
  <si>
    <t>fin de descarga</t>
  </si>
  <si>
    <t>inicio viaje mar</t>
  </si>
  <si>
    <t>21.04.19</t>
  </si>
  <si>
    <t>22.04.19</t>
  </si>
  <si>
    <t>descargando</t>
  </si>
  <si>
    <t>ivm</t>
  </si>
  <si>
    <t>23.04.19</t>
  </si>
  <si>
    <t xml:space="preserve">navegando </t>
  </si>
  <si>
    <t>inicio viaje</t>
  </si>
  <si>
    <t>24.04.19</t>
  </si>
  <si>
    <t>inicio de carga</t>
  </si>
  <si>
    <t>25.04.19</t>
  </si>
  <si>
    <t>cargando pampilla</t>
  </si>
  <si>
    <t>Pampilla amarrados</t>
  </si>
  <si>
    <t>26.04.19</t>
  </si>
  <si>
    <t>27.04.17</t>
  </si>
  <si>
    <t>27.04.19</t>
  </si>
  <si>
    <t>zarpe</t>
  </si>
  <si>
    <t>28.04.19</t>
  </si>
  <si>
    <t>navegando</t>
  </si>
  <si>
    <t>28..04.19</t>
  </si>
  <si>
    <t>inicio viaje de mar</t>
  </si>
  <si>
    <t>30.04.19</t>
  </si>
  <si>
    <t>01.05.19</t>
  </si>
  <si>
    <t>02.05.19</t>
  </si>
  <si>
    <t>03.05.19</t>
  </si>
  <si>
    <t>04.05.19</t>
  </si>
  <si>
    <t>05.05.19</t>
  </si>
  <si>
    <t>06.05.19</t>
  </si>
  <si>
    <t>fondeado salaverry</t>
  </si>
  <si>
    <t>07.05.19</t>
  </si>
  <si>
    <t>desacargando</t>
  </si>
  <si>
    <t>fin descarga</t>
  </si>
  <si>
    <t>08.05.19</t>
  </si>
  <si>
    <t>09.05.19</t>
  </si>
  <si>
    <t>fondeado callao</t>
  </si>
  <si>
    <t>10.05.19</t>
  </si>
  <si>
    <t>ivm callao - pisco</t>
  </si>
  <si>
    <t>11.05.19</t>
  </si>
  <si>
    <t>12.05.19</t>
  </si>
  <si>
    <t>13.05.19</t>
  </si>
  <si>
    <t>14.05.19</t>
  </si>
  <si>
    <t>15.05.19</t>
  </si>
  <si>
    <t>16.05.19</t>
  </si>
  <si>
    <t>llegada pampilla</t>
  </si>
  <si>
    <t>termino de carga</t>
  </si>
  <si>
    <t>18.05.19</t>
  </si>
  <si>
    <t>19.05.19</t>
  </si>
  <si>
    <t>fin faena combustible FO</t>
  </si>
  <si>
    <t>20.05.19</t>
  </si>
  <si>
    <t>21.05.19</t>
  </si>
  <si>
    <t>22.05.19</t>
  </si>
  <si>
    <t>23.05.19</t>
  </si>
  <si>
    <t>e/s gas inerte</t>
  </si>
  <si>
    <t>24.05.19</t>
  </si>
  <si>
    <t>25.05.19</t>
  </si>
  <si>
    <t>espera</t>
  </si>
  <si>
    <t>26.05.19</t>
  </si>
  <si>
    <t>inicio viaje pampilla</t>
  </si>
  <si>
    <t>27.05.19</t>
  </si>
  <si>
    <t>28.05.19</t>
  </si>
  <si>
    <t>29.05.19</t>
  </si>
  <si>
    <t>fin de carga</t>
  </si>
  <si>
    <t>30.05.19</t>
  </si>
  <si>
    <t>31.05.19</t>
  </si>
  <si>
    <t>01.06.19</t>
  </si>
  <si>
    <t>zarpe Callao</t>
  </si>
  <si>
    <t>arribo PBF</t>
  </si>
  <si>
    <t>fondeado area 8</t>
  </si>
  <si>
    <t>arribo de pampilla</t>
  </si>
  <si>
    <t>04.06.19</t>
  </si>
  <si>
    <t>fondeado mollendo</t>
  </si>
  <si>
    <t>05.06.19</t>
  </si>
  <si>
    <t>07.06.19</t>
  </si>
  <si>
    <t>09.06.19</t>
  </si>
  <si>
    <t>10.06.19</t>
  </si>
  <si>
    <t>11.06.19</t>
  </si>
  <si>
    <t>termino decarga</t>
  </si>
  <si>
    <t>12.06.19</t>
  </si>
  <si>
    <t>en maniobra atraque</t>
  </si>
  <si>
    <t>13.06.19</t>
  </si>
  <si>
    <t>amarrado tablones</t>
  </si>
  <si>
    <t>14.06.19</t>
  </si>
  <si>
    <t>15.06.19</t>
  </si>
  <si>
    <t>16.06.19</t>
  </si>
  <si>
    <t>17.06.19</t>
  </si>
  <si>
    <t>18.06.19</t>
  </si>
  <si>
    <t>19.06.19</t>
  </si>
  <si>
    <t>amarrado</t>
  </si>
  <si>
    <t>20.06.19</t>
  </si>
  <si>
    <t>21.06.19</t>
  </si>
  <si>
    <t>22.06.19</t>
  </si>
  <si>
    <t>23.06.19</t>
  </si>
  <si>
    <t>amarrados supe</t>
  </si>
  <si>
    <t>24.06.19</t>
  </si>
  <si>
    <t>25.06.19</t>
  </si>
  <si>
    <t>descargando salaverry</t>
  </si>
  <si>
    <t>26.06.19</t>
  </si>
  <si>
    <t>27.06.19</t>
  </si>
  <si>
    <t>28.06.19</t>
  </si>
  <si>
    <t>29.06.19</t>
  </si>
  <si>
    <t>30.06.19</t>
  </si>
  <si>
    <t>01.07.19</t>
  </si>
  <si>
    <t>02.07.19</t>
  </si>
  <si>
    <t>03.07.19</t>
  </si>
  <si>
    <t>04.07.19</t>
  </si>
  <si>
    <t>05.07.19</t>
  </si>
  <si>
    <t>amarrados eten</t>
  </si>
  <si>
    <t>06.07.19</t>
  </si>
  <si>
    <t>07.07.19</t>
  </si>
  <si>
    <t>arribo</t>
  </si>
  <si>
    <t>amarrados en pampilla</t>
  </si>
  <si>
    <t>08.07.19</t>
  </si>
  <si>
    <t>09.07.19</t>
  </si>
  <si>
    <t>10.07.19</t>
  </si>
  <si>
    <t>inicio faena de comb.</t>
  </si>
  <si>
    <t>termino faena comb.</t>
  </si>
  <si>
    <t>11.07.19</t>
  </si>
  <si>
    <t>maniobrando</t>
  </si>
  <si>
    <t>12.07.19</t>
  </si>
  <si>
    <t>13.07.19</t>
  </si>
  <si>
    <t>14.07.19</t>
  </si>
  <si>
    <t>15.07.19</t>
  </si>
  <si>
    <t>16.07.19</t>
  </si>
  <si>
    <t>descargando supe</t>
  </si>
  <si>
    <t>17.07.19</t>
  </si>
  <si>
    <t>18.07.19</t>
  </si>
  <si>
    <t>19.07.19</t>
  </si>
  <si>
    <t>descarga salaverry</t>
  </si>
  <si>
    <t>inicio maniobra</t>
  </si>
  <si>
    <t>20.07.19</t>
  </si>
  <si>
    <t>termino maniobra</t>
  </si>
  <si>
    <t>Arribo bayobar</t>
  </si>
  <si>
    <t>Fondo bayobar</t>
  </si>
  <si>
    <t>21.07.19</t>
  </si>
  <si>
    <t>amarrado TCM</t>
  </si>
  <si>
    <t>22.07.19</t>
  </si>
  <si>
    <t>termino carga</t>
  </si>
  <si>
    <t>23.07.19</t>
  </si>
  <si>
    <t>24.07.19</t>
  </si>
  <si>
    <t>ARRIBO CALLAO</t>
  </si>
  <si>
    <t xml:space="preserve">MANIOBRA  </t>
  </si>
  <si>
    <t>25.07.19</t>
  </si>
  <si>
    <t>26.07.19</t>
  </si>
  <si>
    <t>FONDO AREA 12</t>
  </si>
  <si>
    <t xml:space="preserve">amarrado pampilla </t>
  </si>
  <si>
    <t>27.07.19</t>
  </si>
  <si>
    <t>28.07.19</t>
  </si>
  <si>
    <t>CARGA PQMPILLQ</t>
  </si>
  <si>
    <t>29.07.19</t>
  </si>
  <si>
    <t>DESCARGANDO</t>
  </si>
  <si>
    <t>30.07.19</t>
  </si>
  <si>
    <t>fondo</t>
  </si>
  <si>
    <t>Arribo</t>
  </si>
  <si>
    <t>31.07.19</t>
  </si>
  <si>
    <t>TCM conchan</t>
  </si>
  <si>
    <t>DESCARGA CONCHA</t>
  </si>
  <si>
    <t>01.08.19</t>
  </si>
  <si>
    <t>Descagando vconchan</t>
  </si>
  <si>
    <t>Anclaarribas</t>
  </si>
  <si>
    <t>Zarpw</t>
  </si>
  <si>
    <t>02.08.19</t>
  </si>
  <si>
    <t>03.08.19</t>
  </si>
  <si>
    <t>ARRIBO ILO</t>
  </si>
  <si>
    <t>FONFO ILO</t>
  </si>
  <si>
    <t>05.08.19</t>
  </si>
  <si>
    <t>TMC</t>
  </si>
  <si>
    <t>06.08.19</t>
  </si>
  <si>
    <t>07.08.19</t>
  </si>
  <si>
    <t>Arribo pisco</t>
  </si>
  <si>
    <t>Fondo pisco</t>
  </si>
  <si>
    <t>08.08.19</t>
  </si>
  <si>
    <t>ZARPE</t>
  </si>
  <si>
    <t>09.08.19</t>
  </si>
  <si>
    <t>TCM fondo callao</t>
  </si>
  <si>
    <t>10.08.19</t>
  </si>
  <si>
    <t>fondo callao</t>
  </si>
  <si>
    <t>11.08.19</t>
  </si>
  <si>
    <t>TCM pampilla</t>
  </si>
  <si>
    <t>12.08.19</t>
  </si>
  <si>
    <t>13.08.19</t>
  </si>
  <si>
    <t>14.08.19</t>
  </si>
  <si>
    <t>INICIO MSNIOBRS</t>
  </si>
  <si>
    <t>PBF</t>
  </si>
  <si>
    <t>15.08.19</t>
  </si>
  <si>
    <t>TERMINO DESCARGA PBF</t>
  </si>
  <si>
    <t>16.08.19</t>
  </si>
  <si>
    <t>ARRIBO SALAVERRY</t>
  </si>
  <si>
    <t>INICIO DESCARGA</t>
  </si>
  <si>
    <t>17.08.19</t>
  </si>
  <si>
    <t>18.08.19</t>
  </si>
  <si>
    <t>TCM TALARA</t>
  </si>
  <si>
    <t>19.08.19</t>
  </si>
  <si>
    <t>TMERMINO CARGA</t>
  </si>
  <si>
    <t>MUELLE TALARA</t>
  </si>
  <si>
    <t>ANCLA ARRIBA</t>
  </si>
  <si>
    <t>20.08.19</t>
  </si>
  <si>
    <t>21.08.19</t>
  </si>
  <si>
    <t>ZARPE CALLAO</t>
  </si>
  <si>
    <t>ARRIBO PAMPILLA</t>
  </si>
  <si>
    <t>22.08.19</t>
  </si>
  <si>
    <t>23.08.19</t>
  </si>
  <si>
    <t>24.08.19</t>
  </si>
  <si>
    <t xml:space="preserve">inicio de descarga   </t>
  </si>
  <si>
    <t>25.08.13</t>
  </si>
  <si>
    <t>25.08.19</t>
  </si>
  <si>
    <t>INICIO VIAJE DE MAR</t>
  </si>
  <si>
    <t>TCM.</t>
  </si>
  <si>
    <t>FONDEDO</t>
  </si>
  <si>
    <t>26.08.19</t>
  </si>
  <si>
    <t>IVM</t>
  </si>
  <si>
    <t>27.08.19</t>
  </si>
  <si>
    <t>FONDEADO SALAVERRY</t>
  </si>
  <si>
    <t>29.08.19</t>
  </si>
  <si>
    <t>30.08.19</t>
  </si>
  <si>
    <t>31.08.19</t>
  </si>
  <si>
    <t>01.09.19</t>
  </si>
  <si>
    <t>02.09.19</t>
  </si>
  <si>
    <t>03.09.19</t>
  </si>
  <si>
    <t>04.09.19</t>
  </si>
  <si>
    <t>05.09.19</t>
  </si>
  <si>
    <t>06.09.19</t>
  </si>
  <si>
    <t>07.09.19</t>
  </si>
  <si>
    <t>08.09.19</t>
  </si>
  <si>
    <t>09.09.19</t>
  </si>
  <si>
    <t>10.09.19</t>
  </si>
  <si>
    <t>11.09.19</t>
  </si>
  <si>
    <t>12.09.19</t>
  </si>
  <si>
    <t>13.09.19</t>
  </si>
  <si>
    <t>14.09.19</t>
  </si>
  <si>
    <t>15.09.19</t>
  </si>
  <si>
    <t>16.09.19</t>
  </si>
  <si>
    <t>ARRIBO</t>
  </si>
  <si>
    <t>INICIO DE CARGA</t>
  </si>
  <si>
    <t>17.09.19</t>
  </si>
  <si>
    <t>CARGANDO</t>
  </si>
  <si>
    <t>18.09.19</t>
  </si>
  <si>
    <t>19.09.19</t>
  </si>
  <si>
    <t>01.01.18</t>
  </si>
  <si>
    <t>20.09.19</t>
  </si>
  <si>
    <t>21.09.19</t>
  </si>
  <si>
    <t>MANIOBRA</t>
  </si>
  <si>
    <t>22.09.19</t>
  </si>
  <si>
    <t>23.09.19</t>
  </si>
  <si>
    <t>24.09.19</t>
  </si>
  <si>
    <t>25.09.19</t>
  </si>
  <si>
    <t>26.09.19</t>
  </si>
  <si>
    <t>27.09.19</t>
  </si>
  <si>
    <t>28.09.19</t>
  </si>
  <si>
    <t>29.09.19</t>
  </si>
  <si>
    <t>AMARRADOS</t>
  </si>
  <si>
    <t>30.09.19</t>
  </si>
  <si>
    <t>01.10.19</t>
  </si>
  <si>
    <t>02.10.19</t>
  </si>
  <si>
    <t>03.10.19</t>
  </si>
  <si>
    <t>04.10.19</t>
  </si>
  <si>
    <t>FINDE CARGA</t>
  </si>
  <si>
    <t>05.10.19</t>
  </si>
  <si>
    <t>06.10.19</t>
  </si>
  <si>
    <t>07.10.19</t>
  </si>
  <si>
    <t>08.10.19</t>
  </si>
  <si>
    <t>09.10.19</t>
  </si>
  <si>
    <t>10.10.19</t>
  </si>
  <si>
    <t>FIN DE DESCARGA</t>
  </si>
  <si>
    <t>ARRIBO AREA 8</t>
  </si>
  <si>
    <t>11.10.19</t>
  </si>
  <si>
    <t>12.10.19</t>
  </si>
  <si>
    <t>13.10.19</t>
  </si>
  <si>
    <t>14.10.19</t>
  </si>
  <si>
    <t>15.10.19</t>
  </si>
  <si>
    <t>16.10.19</t>
  </si>
  <si>
    <t xml:space="preserve"> FIN DE CARGA</t>
  </si>
  <si>
    <t>17.10.19</t>
  </si>
  <si>
    <t>18.10.19</t>
  </si>
  <si>
    <t>FIN DE CARGA</t>
  </si>
  <si>
    <t>19.10.19</t>
  </si>
  <si>
    <t>20.10.19</t>
  </si>
  <si>
    <t>21.10.19</t>
  </si>
  <si>
    <t>22.10.19</t>
  </si>
  <si>
    <t>TERMINO DE DESCARGA</t>
  </si>
  <si>
    <t>23.10.16</t>
  </si>
  <si>
    <t>23.10.19</t>
  </si>
  <si>
    <t>24.10.19</t>
  </si>
  <si>
    <t>25.10.19</t>
  </si>
  <si>
    <t>INICIO DE DESCARGA</t>
  </si>
  <si>
    <t>26.10.19</t>
  </si>
  <si>
    <t>27.10.19</t>
  </si>
  <si>
    <t>28.10.19</t>
  </si>
  <si>
    <t>29.10.19</t>
  </si>
  <si>
    <t>30.10.19</t>
  </si>
  <si>
    <t>MANIOBRANDO</t>
  </si>
  <si>
    <t>31.10.19</t>
  </si>
  <si>
    <t>01.11.19</t>
  </si>
  <si>
    <t>02.11.19</t>
  </si>
  <si>
    <t>03.11.19</t>
  </si>
  <si>
    <t>AMARRADO</t>
  </si>
  <si>
    <t>04.11.19</t>
  </si>
  <si>
    <t>05.11.19</t>
  </si>
  <si>
    <t>06.11.19</t>
  </si>
  <si>
    <t>INICIO DE VIAJE</t>
  </si>
  <si>
    <t>INICIO D DESCARGA</t>
  </si>
  <si>
    <t>07.11.19</t>
  </si>
  <si>
    <t>08.11.19</t>
  </si>
  <si>
    <t>INICIO DE MANIOBRA</t>
  </si>
  <si>
    <t>09.11.19</t>
  </si>
  <si>
    <t>10.11.24</t>
  </si>
  <si>
    <t>11.11.19</t>
  </si>
  <si>
    <t>12.11.19</t>
  </si>
  <si>
    <t>13.11.19</t>
  </si>
  <si>
    <t>14.11.19</t>
  </si>
  <si>
    <t>15.11.19</t>
  </si>
  <si>
    <t>FIN DE FAENA HFO</t>
  </si>
  <si>
    <t>16.11.19</t>
  </si>
  <si>
    <t>17.11.19</t>
  </si>
  <si>
    <t>18.11.19</t>
  </si>
  <si>
    <t>19.11.19</t>
  </si>
  <si>
    <t>20.11.19</t>
  </si>
  <si>
    <t>21.11.19</t>
  </si>
  <si>
    <t>22.11.19</t>
  </si>
  <si>
    <t>IVM     MOLLENDO-ILO</t>
  </si>
  <si>
    <t>23.11.19</t>
  </si>
  <si>
    <t>IVM     ILO - CHIMBOTE</t>
  </si>
  <si>
    <t>24.11.19</t>
  </si>
  <si>
    <t>25.11.19</t>
  </si>
  <si>
    <t>26.11.19</t>
  </si>
  <si>
    <t>27.11.19</t>
  </si>
  <si>
    <t>FIN DESCARGA</t>
  </si>
  <si>
    <t>28.11.19</t>
  </si>
  <si>
    <t>29.11.19</t>
  </si>
  <si>
    <t>30.11.19</t>
  </si>
  <si>
    <t>01.12.19</t>
  </si>
  <si>
    <t>02.12.19</t>
  </si>
  <si>
    <t>03.12.19</t>
  </si>
  <si>
    <t>04.12.19</t>
  </si>
  <si>
    <t>05.12.19</t>
  </si>
  <si>
    <t>06.12.19</t>
  </si>
  <si>
    <t>07.12.19</t>
  </si>
  <si>
    <t>08.12.19</t>
  </si>
  <si>
    <t>09.12.19</t>
  </si>
  <si>
    <t>10.12.19</t>
  </si>
  <si>
    <t>11.12.19</t>
  </si>
  <si>
    <t>12.12.19</t>
  </si>
  <si>
    <t>13.12.19</t>
  </si>
  <si>
    <t>14.12.19</t>
  </si>
  <si>
    <t>15.12.19</t>
  </si>
  <si>
    <t>16.12.19</t>
  </si>
  <si>
    <t>ARRIBO SUPE</t>
  </si>
  <si>
    <t>FONDO</t>
  </si>
  <si>
    <t>17.12.19</t>
  </si>
  <si>
    <t>DESCARGANDO SUPE</t>
  </si>
  <si>
    <t>18.12.19</t>
  </si>
  <si>
    <t>TCM ETEN</t>
  </si>
  <si>
    <t>19.12.19</t>
  </si>
  <si>
    <t>20.12.19</t>
  </si>
  <si>
    <t>DESCARGA</t>
  </si>
  <si>
    <t>ARRIBO CHIMBOTE</t>
  </si>
  <si>
    <t>FONDO CHIMBOTE</t>
  </si>
  <si>
    <t>21.12.19</t>
  </si>
  <si>
    <t>TCM AMARRADO</t>
  </si>
  <si>
    <t>CHIMBOTE</t>
  </si>
  <si>
    <t>22.12.19</t>
  </si>
  <si>
    <t>23.12.19</t>
  </si>
  <si>
    <t>24.12.19</t>
  </si>
  <si>
    <t>25.12.19</t>
  </si>
  <si>
    <t>ZARPE. IVM</t>
  </si>
  <si>
    <t>26.12.19</t>
  </si>
  <si>
    <t>27.12.19</t>
  </si>
  <si>
    <t>TCM PISCO</t>
  </si>
  <si>
    <t>28.12.19</t>
  </si>
  <si>
    <t xml:space="preserve">ZARPE </t>
  </si>
  <si>
    <t>29.12.19</t>
  </si>
  <si>
    <t>29.19.19</t>
  </si>
  <si>
    <t>ZARPE A PAMPILLA</t>
  </si>
  <si>
    <t>30.12.19</t>
  </si>
  <si>
    <t>31.12.19</t>
  </si>
  <si>
    <t>ARRIBO AREA 12</t>
  </si>
  <si>
    <t>01.01.20</t>
  </si>
  <si>
    <t>SUPE</t>
  </si>
  <si>
    <t>TCM SUPE</t>
  </si>
  <si>
    <t>02.01.20</t>
  </si>
  <si>
    <t>03.01.20</t>
  </si>
  <si>
    <t>TCM FONDO</t>
  </si>
  <si>
    <t>04.01.20</t>
  </si>
  <si>
    <t>05.01..20</t>
  </si>
  <si>
    <t>06.01.20</t>
  </si>
  <si>
    <t>07.01.20</t>
  </si>
  <si>
    <t>08.01.20</t>
  </si>
  <si>
    <t>09.01.20</t>
  </si>
  <si>
    <t>10.01.20</t>
  </si>
  <si>
    <t>11.01.20</t>
  </si>
  <si>
    <t>INICIO CARGA</t>
  </si>
  <si>
    <t>12.01.20</t>
  </si>
  <si>
    <t>13.01.20</t>
  </si>
  <si>
    <t>14.01.20</t>
  </si>
  <si>
    <t>15.01.20</t>
  </si>
  <si>
    <t>16.01.20</t>
  </si>
  <si>
    <t>17.01.20</t>
  </si>
  <si>
    <t>18.01.20</t>
  </si>
  <si>
    <t>EN MANIOBRA</t>
  </si>
  <si>
    <t>19.01.20</t>
  </si>
  <si>
    <t>20.01.20</t>
  </si>
  <si>
    <t>21.01.20</t>
  </si>
  <si>
    <t>22.01.20</t>
  </si>
  <si>
    <t>23.01.20</t>
  </si>
  <si>
    <t>24.01.20</t>
  </si>
  <si>
    <t>25.01.20</t>
  </si>
  <si>
    <t>26.01.20</t>
  </si>
  <si>
    <t>27.01.20</t>
  </si>
  <si>
    <t>28.01.20</t>
  </si>
  <si>
    <t>29.01.20</t>
  </si>
  <si>
    <t>30.01.20</t>
  </si>
  <si>
    <t>31.01.20</t>
  </si>
  <si>
    <t>01.02.20</t>
  </si>
  <si>
    <t>02.02.20</t>
  </si>
  <si>
    <t>03.02.20</t>
  </si>
  <si>
    <t>IVM  ETEN-SALAVE</t>
  </si>
  <si>
    <t>INICO DESCARGA</t>
  </si>
  <si>
    <t>04.02.20</t>
  </si>
  <si>
    <t>IVM SALV-CALLAO</t>
  </si>
  <si>
    <t>05.02.20</t>
  </si>
  <si>
    <t>06.02.20</t>
  </si>
  <si>
    <t>FIN DE FAENA</t>
  </si>
  <si>
    <t>ANCLA ARRI AREA 12</t>
  </si>
  <si>
    <t>07.02.20</t>
  </si>
  <si>
    <t>08.02.20</t>
  </si>
  <si>
    <t>09.02.20</t>
  </si>
  <si>
    <t>FONDO TCM</t>
  </si>
  <si>
    <t>10.02.20</t>
  </si>
  <si>
    <t>11.02.20</t>
  </si>
  <si>
    <t>12.02.20</t>
  </si>
  <si>
    <t>13.02.20</t>
  </si>
  <si>
    <t>14.02.20</t>
  </si>
  <si>
    <t>IVM ETEN - SALAV.</t>
  </si>
  <si>
    <t>15.02.20</t>
  </si>
  <si>
    <t>16.02.20</t>
  </si>
  <si>
    <t>IVM SALAV- CALLAO</t>
  </si>
  <si>
    <t>17.02.20</t>
  </si>
  <si>
    <t>TCM CALLAO</t>
  </si>
  <si>
    <t>TCM PAMPILLA</t>
  </si>
  <si>
    <t>18.02.20</t>
  </si>
  <si>
    <t>19.02.20</t>
  </si>
  <si>
    <t>IVM CALLAO-SUPE</t>
  </si>
  <si>
    <t>20.02.20</t>
  </si>
  <si>
    <t>IVM SUPE-ETEN</t>
  </si>
  <si>
    <t>21.02.20</t>
  </si>
  <si>
    <t>22.02.20</t>
  </si>
  <si>
    <t>23.02.20</t>
  </si>
  <si>
    <t>24.02.20</t>
  </si>
  <si>
    <t>25.02.20</t>
  </si>
  <si>
    <t>26.02.20</t>
  </si>
  <si>
    <t>27.02.20</t>
  </si>
  <si>
    <t>28.02.20</t>
  </si>
  <si>
    <t>29.02.20</t>
  </si>
  <si>
    <t>IVM SALAV- CHIMB.</t>
  </si>
  <si>
    <t>01.03.20</t>
  </si>
  <si>
    <t>02.03.20</t>
  </si>
  <si>
    <t>FIN DE BUMKERING</t>
  </si>
  <si>
    <t>03.03.20</t>
  </si>
  <si>
    <t>04.03.20</t>
  </si>
  <si>
    <t>IVM PAMPILLA</t>
  </si>
  <si>
    <t>TERMINO INERTIZADO</t>
  </si>
  <si>
    <t>05.03.20</t>
  </si>
  <si>
    <t>06.03.20</t>
  </si>
  <si>
    <t>07.03.20</t>
  </si>
  <si>
    <t>08.03.20</t>
  </si>
  <si>
    <t>IVM CHIMB-CALLAO</t>
  </si>
  <si>
    <t>09.03.20</t>
  </si>
  <si>
    <t>10.03.20</t>
  </si>
  <si>
    <t>11.03.20</t>
  </si>
  <si>
    <t>IVM TALARA-SUPE</t>
  </si>
  <si>
    <t>12.03.20</t>
  </si>
  <si>
    <t>13.03.20</t>
  </si>
  <si>
    <t>14.03.20</t>
  </si>
  <si>
    <t xml:space="preserve">VELOCIDAD </t>
  </si>
  <si>
    <t>VIENTO</t>
  </si>
  <si>
    <t>NAVEGACION</t>
  </si>
  <si>
    <t>IVM SUPE - PTO ETEN</t>
  </si>
  <si>
    <t>15.03.20</t>
  </si>
  <si>
    <t>16.03.20</t>
  </si>
  <si>
    <t>SE 3</t>
  </si>
  <si>
    <t>S 2</t>
  </si>
  <si>
    <t>S2</t>
  </si>
  <si>
    <t xml:space="preserve">S 2 </t>
  </si>
  <si>
    <t xml:space="preserve">S 1 </t>
  </si>
  <si>
    <t>SW 2</t>
  </si>
  <si>
    <t>SE 2</t>
  </si>
  <si>
    <t>S 4</t>
  </si>
  <si>
    <t>S 3</t>
  </si>
  <si>
    <t xml:space="preserve">SE 3 </t>
  </si>
  <si>
    <t>SE4</t>
  </si>
  <si>
    <t>SE 1</t>
  </si>
  <si>
    <t>S 1</t>
  </si>
  <si>
    <t>SE 5</t>
  </si>
  <si>
    <t>SE 4</t>
  </si>
  <si>
    <t>SE2</t>
  </si>
  <si>
    <t>SE3</t>
  </si>
  <si>
    <t>S 5</t>
  </si>
  <si>
    <t xml:space="preserve">S 5 </t>
  </si>
  <si>
    <t>SW 3</t>
  </si>
  <si>
    <t>SSW 3</t>
  </si>
  <si>
    <t>17.03.20</t>
  </si>
  <si>
    <t>18.03.20</t>
  </si>
  <si>
    <t>19.03.20</t>
  </si>
  <si>
    <t>20.03.20</t>
  </si>
  <si>
    <t>21.03.20</t>
  </si>
  <si>
    <t>RPM</t>
  </si>
  <si>
    <t>TEMPERATURA PROMEDIO GASES ESCAPE</t>
  </si>
  <si>
    <t>PRESION AIRE DE BARRIDO</t>
  </si>
  <si>
    <t>RPM TURBO SOPLANTE</t>
  </si>
  <si>
    <t>22.03.20</t>
  </si>
  <si>
    <t>DATOS DE LA MAQUINA PRINCIPAL EN NAVEGACION</t>
  </si>
  <si>
    <t>23.03.20</t>
  </si>
  <si>
    <t>IVM  ETEN - SALAV.</t>
  </si>
  <si>
    <t>24.03.20</t>
  </si>
  <si>
    <t>25.03.20</t>
  </si>
  <si>
    <t>26.03.20</t>
  </si>
  <si>
    <t>27.03.20</t>
  </si>
  <si>
    <t>28.03.20</t>
  </si>
  <si>
    <t>29.03.20</t>
  </si>
  <si>
    <t>30.30.20</t>
  </si>
  <si>
    <t>4 S</t>
  </si>
  <si>
    <t>POWER P</t>
  </si>
  <si>
    <t>NAVEGANDO CON CARGA</t>
  </si>
  <si>
    <t>CALDERA</t>
  </si>
  <si>
    <t>NAVEGANDO EN LASTRE</t>
  </si>
  <si>
    <t>M/AUX</t>
  </si>
  <si>
    <t>GAS INERT</t>
  </si>
  <si>
    <t>MT</t>
  </si>
  <si>
    <t>X DIA</t>
  </si>
  <si>
    <t>CONTRATO</t>
  </si>
  <si>
    <t>MT/DIA</t>
  </si>
  <si>
    <t>conbustible</t>
  </si>
  <si>
    <t>X ACTIVIDAD</t>
  </si>
  <si>
    <t>POR ACTIVIDAD</t>
  </si>
  <si>
    <t>DIF MES</t>
  </si>
  <si>
    <t>DIF</t>
  </si>
  <si>
    <t>CONSUMO</t>
  </si>
  <si>
    <t>EQUIPO</t>
  </si>
  <si>
    <t xml:space="preserve">Diferencia en </t>
  </si>
  <si>
    <t>HRS NAVEG</t>
  </si>
  <si>
    <t>CONS VLSFO</t>
  </si>
  <si>
    <t>SUMA DE HRS</t>
  </si>
  <si>
    <t>ACTIVIDAD</t>
  </si>
  <si>
    <t>RESUMEN MENSUAL, CONSUMO MGO</t>
  </si>
  <si>
    <t>RESUMEN MENSUAL, CONSUMO VLSFO</t>
  </si>
  <si>
    <t>HIDRAULICO</t>
  </si>
  <si>
    <t>MOT AUX</t>
  </si>
  <si>
    <t>CARTER MP.</t>
  </si>
  <si>
    <t>CYLINDER MP</t>
  </si>
  <si>
    <t>FAENA2</t>
  </si>
  <si>
    <t>GI</t>
  </si>
  <si>
    <t>PP</t>
  </si>
  <si>
    <t xml:space="preserve"> CALDERA</t>
  </si>
  <si>
    <t xml:space="preserve"> AUX</t>
  </si>
  <si>
    <t>MPAL2</t>
  </si>
  <si>
    <t xml:space="preserve">ROB </t>
  </si>
  <si>
    <t xml:space="preserve">TOTAL </t>
  </si>
  <si>
    <t>AUX.</t>
  </si>
  <si>
    <t>MPAL</t>
  </si>
  <si>
    <t>BEAUFORT</t>
  </si>
  <si>
    <t>VELOCIDAD</t>
  </si>
  <si>
    <t>DISTANCIA</t>
  </si>
  <si>
    <t>LUGAR</t>
  </si>
  <si>
    <t>VIAJE</t>
  </si>
  <si>
    <t>MES ANT</t>
  </si>
  <si>
    <t>MES ANTERIOR</t>
  </si>
  <si>
    <t>MES ANTERIO</t>
  </si>
  <si>
    <t>CONSUMO MGO</t>
  </si>
  <si>
    <t>CONSUMO VLSFO</t>
  </si>
  <si>
    <t>DATOS DE NAVEGACION</t>
  </si>
  <si>
    <t>NAVEGANDO A ETEN</t>
  </si>
  <si>
    <t>ETEN</t>
  </si>
  <si>
    <t>SALAVERRY</t>
  </si>
  <si>
    <t>CALLAO</t>
  </si>
  <si>
    <t>INICIO MANIOBRA SUPE</t>
  </si>
  <si>
    <t>INICIO DESCARGA SUPE</t>
  </si>
  <si>
    <t>TERMINO DESARGA SUPE</t>
  </si>
  <si>
    <t>INICIO MANIOBRA ZARPE SUPE</t>
  </si>
  <si>
    <t>ZARPE SUPE</t>
  </si>
  <si>
    <t>TCM FONDEADO ETEN</t>
  </si>
  <si>
    <t>ANCLA ARRIBA ETEN</t>
  </si>
  <si>
    <t>INICIO DESCARGA ETEN</t>
  </si>
  <si>
    <t>TERMINO DESCARGA ETEN</t>
  </si>
  <si>
    <t>INICIO VIAJE SALAVERRY</t>
  </si>
  <si>
    <t>TCM SALAVERRY</t>
  </si>
  <si>
    <t>INICIO DESCARGA SALAVERRY</t>
  </si>
  <si>
    <t>TERMINO DESCARGA SALAVERRY</t>
  </si>
  <si>
    <t>ANCLA ARRIBA SALAVERRY</t>
  </si>
  <si>
    <t>INICIO VIAJE CALLAO</t>
  </si>
  <si>
    <t>ANCLA ARRIBA CALLAO</t>
  </si>
  <si>
    <t>INICIO CARGA CALLAO</t>
  </si>
  <si>
    <t>TERMINO CARGA CALLAO</t>
  </si>
  <si>
    <t>INICIO VIAJE SUPE</t>
  </si>
  <si>
    <t>ANCLA ARRIBA SUPE</t>
  </si>
  <si>
    <t>TERMINO DESCARGA SUPE</t>
  </si>
  <si>
    <t>INICIO VIAJE ETEN</t>
  </si>
  <si>
    <t>ARRIBO A ETEN</t>
  </si>
  <si>
    <t>INICIO DE VIAJE SALAVERRY</t>
  </si>
  <si>
    <t>INICIO VIAJE CHIMBOTE</t>
  </si>
  <si>
    <t>TCM CHIMBOTE</t>
  </si>
  <si>
    <t>ANCLA ARRIBA CHIMBOTE</t>
  </si>
  <si>
    <t>TCM FONDEADO CALLAO</t>
  </si>
  <si>
    <t>INICIA DESCARGA SUPE</t>
  </si>
  <si>
    <t>TCM ETEN FONDO</t>
  </si>
  <si>
    <t>S3</t>
  </si>
  <si>
    <t>S4</t>
  </si>
  <si>
    <t>V052-20</t>
  </si>
  <si>
    <t>V051-20</t>
  </si>
  <si>
    <t>V053-20</t>
  </si>
  <si>
    <t>OTRAS ACT.</t>
  </si>
  <si>
    <t>TCM FONDEADO.</t>
  </si>
  <si>
    <t>INGRESO PAMPILLA</t>
  </si>
  <si>
    <t>INICIO MANIOBRA AMARRE</t>
  </si>
  <si>
    <t>INICIO CARGA PAMPILLA</t>
  </si>
  <si>
    <t>V054-20</t>
  </si>
  <si>
    <t>V055-20</t>
  </si>
  <si>
    <t>HACIA FONDEADERO</t>
  </si>
  <si>
    <t>FONDEADERO</t>
  </si>
  <si>
    <t>INICIO VIAJE TALARA</t>
  </si>
  <si>
    <t>ARRIBO A SUPE</t>
  </si>
  <si>
    <t>INICIO VIAJE SALVERRY</t>
  </si>
  <si>
    <t>V056-20</t>
  </si>
  <si>
    <t>MILLAS</t>
  </si>
  <si>
    <t>NAVEGADAS</t>
  </si>
  <si>
    <t>PROMEDIO</t>
  </si>
  <si>
    <t>CONSUMO X</t>
  </si>
  <si>
    <t>DIFERENCIA HORAS</t>
  </si>
  <si>
    <t>CONSUMO DIA</t>
  </si>
  <si>
    <t>CONTRATO DIA</t>
  </si>
  <si>
    <t>CONT. DIA</t>
  </si>
  <si>
    <t>X CONTRAT</t>
  </si>
  <si>
    <t>REAL MES MT</t>
  </si>
  <si>
    <t>INICiA DESCARGA ETEN</t>
  </si>
  <si>
    <t>REAL</t>
  </si>
  <si>
    <t>VELOCIDAD REAL</t>
  </si>
  <si>
    <t>VELOCIDAD CONTRATO</t>
  </si>
  <si>
    <t>PROMEDIO CONSUMO DIA</t>
  </si>
  <si>
    <t>CONSUMO CONTRATO DIA</t>
  </si>
  <si>
    <t>FAENA EN LTS</t>
  </si>
  <si>
    <t>CYLINDER MP ROB EN LTS</t>
  </si>
  <si>
    <t>FAENA EN LTS2</t>
  </si>
  <si>
    <t>CARTER MP. ROB EN LTS</t>
  </si>
  <si>
    <t>FAENA EN  LTS</t>
  </si>
  <si>
    <t>MOT AUX ROB EN LTS</t>
  </si>
  <si>
    <t>FAENA EN LTS3</t>
  </si>
  <si>
    <t>HIDRAULICO ROB EN LTS</t>
  </si>
  <si>
    <t>CONSUMO LUBRICANTES EN LTS</t>
  </si>
  <si>
    <t>combustible</t>
  </si>
  <si>
    <t xml:space="preserve">Diferenc 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</si>
</sst>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0" borderId="2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4" fillId="0" borderId="1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1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0" fillId="0" borderId="0" xfId="0" applyNumberFormat="1"/>
    <xf numFmtId="0" fontId="6" fillId="0" borderId="1" xfId="0" applyFont="1" applyBorder="1"/>
    <xf numFmtId="0" fontId="1" fillId="7" borderId="2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0" fillId="9" borderId="19" xfId="0" applyFill="1" applyBorder="1"/>
    <xf numFmtId="0" fontId="1" fillId="3" borderId="9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1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0" borderId="22" xfId="0" applyNumberFormat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20" fontId="0" fillId="6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20" fontId="0" fillId="10" borderId="22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0" fontId="0" fillId="10" borderId="2" xfId="0" applyNumberForma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2" fontId="1" fillId="2" borderId="10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20" fontId="0" fillId="1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4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20" fontId="1" fillId="1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11" borderId="2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/>
    </xf>
    <xf numFmtId="20" fontId="0" fillId="12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4" fillId="12" borderId="1" xfId="0" applyFont="1" applyFill="1" applyBorder="1"/>
    <xf numFmtId="164" fontId="0" fillId="12" borderId="1" xfId="0" applyNumberFormat="1" applyFill="1" applyBorder="1" applyAlignment="1">
      <alignment horizontal="center"/>
    </xf>
    <xf numFmtId="0" fontId="0" fillId="12" borderId="0" xfId="0" applyFill="1"/>
    <xf numFmtId="0" fontId="0" fillId="12" borderId="1" xfId="0" applyFill="1" applyBorder="1"/>
    <xf numFmtId="0" fontId="0" fillId="0" borderId="25" xfId="0" applyBorder="1"/>
    <xf numFmtId="0" fontId="0" fillId="0" borderId="26" xfId="0" applyBorder="1"/>
    <xf numFmtId="0" fontId="0" fillId="0" borderId="22" xfId="0" applyBorder="1"/>
    <xf numFmtId="0" fontId="9" fillId="11" borderId="2" xfId="0" applyFont="1" applyFill="1" applyBorder="1" applyAlignment="1">
      <alignment horizontal="center" vertical="center" wrapText="1"/>
    </xf>
    <xf numFmtId="0" fontId="0" fillId="0" borderId="27" xfId="0" applyBorder="1"/>
    <xf numFmtId="0" fontId="10" fillId="0" borderId="0" xfId="0" applyFont="1"/>
    <xf numFmtId="0" fontId="0" fillId="0" borderId="2" xfId="0" applyBorder="1"/>
    <xf numFmtId="0" fontId="0" fillId="0" borderId="28" xfId="0" applyBorder="1"/>
    <xf numFmtId="0" fontId="0" fillId="0" borderId="0" xfId="0" applyAlignment="1">
      <alignment horizontal="right"/>
    </xf>
    <xf numFmtId="0" fontId="0" fillId="0" borderId="32" xfId="0" applyBorder="1"/>
    <xf numFmtId="0" fontId="0" fillId="0" borderId="33" xfId="0" applyBorder="1"/>
    <xf numFmtId="0" fontId="0" fillId="0" borderId="37" xfId="0" applyBorder="1"/>
    <xf numFmtId="0" fontId="0" fillId="0" borderId="38" xfId="0" applyBorder="1"/>
    <xf numFmtId="0" fontId="11" fillId="0" borderId="0" xfId="0" applyFont="1"/>
    <xf numFmtId="2" fontId="5" fillId="4" borderId="0" xfId="0" applyNumberFormat="1" applyFont="1" applyFill="1"/>
    <xf numFmtId="0" fontId="12" fillId="7" borderId="25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3" borderId="43" xfId="0" applyFill="1" applyBorder="1" applyAlignment="1">
      <alignment horizontal="center"/>
    </xf>
    <xf numFmtId="164" fontId="0" fillId="13" borderId="43" xfId="0" applyNumberFormat="1" applyFill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0" fontId="4" fillId="0" borderId="43" xfId="0" applyFont="1" applyBorder="1"/>
    <xf numFmtId="0" fontId="0" fillId="0" borderId="24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4" xfId="0" applyBorder="1"/>
    <xf numFmtId="2" fontId="0" fillId="0" borderId="24" xfId="0" applyNumberFormat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20" fontId="0" fillId="0" borderId="24" xfId="0" applyNumberFormat="1" applyBorder="1" applyAlignment="1">
      <alignment horizontal="center"/>
    </xf>
    <xf numFmtId="0" fontId="0" fillId="0" borderId="46" xfId="0" applyBorder="1"/>
    <xf numFmtId="0" fontId="4" fillId="0" borderId="47" xfId="0" applyFont="1" applyBorder="1"/>
    <xf numFmtId="0" fontId="12" fillId="7" borderId="29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0" fillId="3" borderId="47" xfId="0" applyFill="1" applyBorder="1" applyAlignment="1">
      <alignment horizontal="center"/>
    </xf>
    <xf numFmtId="164" fontId="0" fillId="13" borderId="47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8" xfId="0" applyNumberFormat="1" applyBorder="1" applyAlignment="1">
      <alignment horizontal="center"/>
    </xf>
    <xf numFmtId="0" fontId="13" fillId="0" borderId="47" xfId="0" applyFont="1" applyBorder="1"/>
    <xf numFmtId="20" fontId="1" fillId="0" borderId="2" xfId="0" applyNumberFormat="1" applyFont="1" applyBorder="1" applyAlignment="1">
      <alignment horizontal="center"/>
    </xf>
    <xf numFmtId="0" fontId="2" fillId="7" borderId="14" xfId="0" applyFont="1" applyFill="1" applyBorder="1" applyAlignment="1">
      <alignment horizontal="center" vertical="center" wrapText="1"/>
    </xf>
    <xf numFmtId="0" fontId="2" fillId="7" borderId="31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5" fillId="0" borderId="10" xfId="0" applyFont="1" applyBorder="1"/>
    <xf numFmtId="0" fontId="10" fillId="0" borderId="10" xfId="0" applyFont="1" applyBorder="1" applyAlignment="1">
      <alignment horizontal="right"/>
    </xf>
    <xf numFmtId="0" fontId="0" fillId="0" borderId="10" xfId="0" applyBorder="1"/>
    <xf numFmtId="0" fontId="0" fillId="0" borderId="50" xfId="0" applyBorder="1"/>
    <xf numFmtId="0" fontId="15" fillId="0" borderId="51" xfId="0" applyFont="1" applyBorder="1"/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22" xfId="0" applyFill="1" applyBorder="1"/>
    <xf numFmtId="20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42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42" xfId="0" applyFill="1" applyBorder="1" applyAlignment="1">
      <alignment horizontal="center"/>
    </xf>
    <xf numFmtId="0" fontId="4" fillId="0" borderId="43" xfId="0" applyFont="1" applyFill="1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4" fillId="0" borderId="43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0" fillId="4" borderId="46" xfId="0" applyFill="1" applyBorder="1"/>
    <xf numFmtId="0" fontId="14" fillId="4" borderId="28" xfId="0" applyFont="1" applyFill="1" applyBorder="1" applyAlignment="1">
      <alignment horizontal="center" vertical="center"/>
    </xf>
    <xf numFmtId="0" fontId="0" fillId="4" borderId="22" xfId="0" applyFill="1" applyBorder="1"/>
    <xf numFmtId="14" fontId="0" fillId="8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0" fontId="5" fillId="6" borderId="1" xfId="0" applyNumberFormat="1" applyFont="1" applyFill="1" applyBorder="1" applyAlignment="1">
      <alignment horizontal="center"/>
    </xf>
    <xf numFmtId="0" fontId="16" fillId="0" borderId="1" xfId="0" applyFont="1" applyBorder="1"/>
    <xf numFmtId="0" fontId="5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4" fillId="6" borderId="28" xfId="0" applyFont="1" applyFill="1" applyBorder="1" applyAlignment="1">
      <alignment horizontal="center" vertical="center"/>
    </xf>
    <xf numFmtId="0" fontId="0" fillId="6" borderId="22" xfId="0" applyFill="1" applyBorder="1"/>
    <xf numFmtId="0" fontId="0" fillId="6" borderId="46" xfId="0" applyFill="1" applyBorder="1"/>
    <xf numFmtId="14" fontId="0" fillId="6" borderId="1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4" fillId="0" borderId="42" xfId="0" applyFont="1" applyFill="1" applyBorder="1" applyAlignment="1">
      <alignment horizontal="center"/>
    </xf>
    <xf numFmtId="0" fontId="4" fillId="0" borderId="43" xfId="0" applyFont="1" applyFill="1" applyBorder="1" applyAlignment="1">
      <alignment horizontal="center"/>
    </xf>
    <xf numFmtId="0" fontId="0" fillId="3" borderId="43" xfId="0" applyNumberFormat="1" applyFill="1" applyBorder="1" applyAlignment="1">
      <alignment horizontal="center"/>
    </xf>
    <xf numFmtId="0" fontId="12" fillId="7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20" fontId="5" fillId="0" borderId="1" xfId="0" applyNumberFormat="1" applyFont="1" applyBorder="1" applyAlignment="1">
      <alignment horizontal="center"/>
    </xf>
    <xf numFmtId="0" fontId="0" fillId="8" borderId="22" xfId="0" applyFill="1" applyBorder="1"/>
    <xf numFmtId="164" fontId="0" fillId="0" borderId="0" xfId="0" applyNumberFormat="1"/>
    <xf numFmtId="0" fontId="0" fillId="0" borderId="20" xfId="0" applyBorder="1"/>
    <xf numFmtId="0" fontId="0" fillId="0" borderId="53" xfId="0" applyBorder="1"/>
    <xf numFmtId="0" fontId="0" fillId="0" borderId="4" xfId="0" applyBorder="1"/>
    <xf numFmtId="0" fontId="0" fillId="0" borderId="56" xfId="0" applyBorder="1"/>
    <xf numFmtId="0" fontId="0" fillId="0" borderId="57" xfId="0" applyBorder="1"/>
    <xf numFmtId="2" fontId="0" fillId="0" borderId="39" xfId="0" applyNumberFormat="1" applyBorder="1" applyAlignment="1">
      <alignment horizontal="center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11" fillId="0" borderId="54" xfId="0" applyFont="1" applyBorder="1"/>
    <xf numFmtId="0" fontId="0" fillId="0" borderId="53" xfId="0" applyBorder="1" applyAlignment="1">
      <alignment horizontal="right"/>
    </xf>
    <xf numFmtId="0" fontId="0" fillId="0" borderId="43" xfId="0" applyBorder="1"/>
    <xf numFmtId="0" fontId="0" fillId="0" borderId="47" xfId="0" applyBorder="1"/>
    <xf numFmtId="0" fontId="0" fillId="0" borderId="66" xfId="0" applyBorder="1"/>
    <xf numFmtId="0" fontId="0" fillId="0" borderId="67" xfId="0" applyBorder="1"/>
    <xf numFmtId="0" fontId="0" fillId="13" borderId="36" xfId="0" applyFill="1" applyBorder="1"/>
    <xf numFmtId="0" fontId="0" fillId="13" borderId="36" xfId="0" applyFill="1" applyBorder="1" applyAlignment="1">
      <alignment horizontal="center"/>
    </xf>
    <xf numFmtId="0" fontId="0" fillId="13" borderId="41" xfId="0" applyFill="1" applyBorder="1"/>
    <xf numFmtId="0" fontId="0" fillId="13" borderId="40" xfId="0" applyFill="1" applyBorder="1"/>
    <xf numFmtId="0" fontId="0" fillId="13" borderId="39" xfId="0" applyFill="1" applyBorder="1"/>
    <xf numFmtId="0" fontId="0" fillId="13" borderId="37" xfId="0" applyFill="1" applyBorder="1"/>
    <xf numFmtId="0" fontId="0" fillId="13" borderId="30" xfId="0" applyFill="1" applyBorder="1"/>
    <xf numFmtId="0" fontId="0" fillId="13" borderId="30" xfId="0" applyFill="1" applyBorder="1" applyAlignment="1">
      <alignment horizontal="center"/>
    </xf>
    <xf numFmtId="0" fontId="0" fillId="13" borderId="35" xfId="0" applyFill="1" applyBorder="1"/>
    <xf numFmtId="0" fontId="0" fillId="13" borderId="34" xfId="0" applyFill="1" applyBorder="1"/>
    <xf numFmtId="0" fontId="0" fillId="13" borderId="24" xfId="0" applyFill="1" applyBorder="1"/>
    <xf numFmtId="0" fontId="0" fillId="13" borderId="32" xfId="0" applyFill="1" applyBorder="1"/>
    <xf numFmtId="0" fontId="0" fillId="3" borderId="36" xfId="0" applyFill="1" applyBorder="1"/>
    <xf numFmtId="0" fontId="0" fillId="3" borderId="30" xfId="0" applyFill="1" applyBorder="1"/>
    <xf numFmtId="0" fontId="10" fillId="0" borderId="27" xfId="0" applyFont="1" applyBorder="1"/>
    <xf numFmtId="2" fontId="0" fillId="0" borderId="60" xfId="0" applyNumberFormat="1" applyBorder="1"/>
    <xf numFmtId="164" fontId="1" fillId="0" borderId="2" xfId="0" applyNumberFormat="1" applyFont="1" applyBorder="1" applyAlignment="1">
      <alignment horizontal="center"/>
    </xf>
    <xf numFmtId="2" fontId="0" fillId="0" borderId="57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27" xfId="0" applyNumberFormat="1" applyFill="1" applyBorder="1"/>
    <xf numFmtId="2" fontId="10" fillId="0" borderId="27" xfId="0" applyNumberFormat="1" applyFont="1" applyBorder="1" applyAlignment="1">
      <alignment horizontal="center"/>
    </xf>
    <xf numFmtId="2" fontId="10" fillId="0" borderId="27" xfId="0" applyNumberFormat="1" applyFont="1" applyBorder="1"/>
    <xf numFmtId="2" fontId="0" fillId="0" borderId="25" xfId="0" applyNumberFormat="1" applyBorder="1"/>
    <xf numFmtId="2" fontId="0" fillId="0" borderId="39" xfId="0" applyNumberFormat="1" applyBorder="1"/>
    <xf numFmtId="2" fontId="0" fillId="0" borderId="1" xfId="0" applyNumberFormat="1" applyBorder="1"/>
    <xf numFmtId="2" fontId="0" fillId="0" borderId="55" xfId="0" applyNumberFormat="1" applyBorder="1"/>
    <xf numFmtId="2" fontId="0" fillId="0" borderId="24" xfId="0" applyNumberFormat="1" applyBorder="1"/>
    <xf numFmtId="2" fontId="0" fillId="0" borderId="49" xfId="0" applyNumberFormat="1" applyBorder="1"/>
    <xf numFmtId="2" fontId="0" fillId="0" borderId="0" xfId="0" applyNumberFormat="1"/>
    <xf numFmtId="2" fontId="0" fillId="0" borderId="27" xfId="0" applyNumberFormat="1" applyBorder="1"/>
    <xf numFmtId="2" fontId="0" fillId="0" borderId="62" xfId="0" applyNumberFormat="1" applyBorder="1"/>
    <xf numFmtId="2" fontId="0" fillId="0" borderId="64" xfId="0" applyNumberFormat="1" applyBorder="1"/>
    <xf numFmtId="2" fontId="0" fillId="0" borderId="4" xfId="0" applyNumberFormat="1" applyBorder="1"/>
    <xf numFmtId="2" fontId="0" fillId="0" borderId="2" xfId="0" applyNumberFormat="1" applyBorder="1"/>
    <xf numFmtId="2" fontId="0" fillId="0" borderId="10" xfId="0" applyNumberFormat="1" applyBorder="1"/>
    <xf numFmtId="2" fontId="0" fillId="0" borderId="2" xfId="0" applyNumberFormat="1" applyBorder="1" applyAlignment="1">
      <alignment horizontal="right"/>
    </xf>
    <xf numFmtId="2" fontId="0" fillId="0" borderId="37" xfId="0" applyNumberFormat="1" applyBorder="1"/>
    <xf numFmtId="2" fontId="0" fillId="0" borderId="57" xfId="0" applyNumberFormat="1" applyBorder="1"/>
    <xf numFmtId="2" fontId="0" fillId="0" borderId="0" xfId="0" applyNumberFormat="1" applyAlignment="1">
      <alignment horizontal="center"/>
    </xf>
    <xf numFmtId="164" fontId="0" fillId="0" borderId="60" xfId="0" applyNumberFormat="1" applyBorder="1"/>
    <xf numFmtId="2" fontId="0" fillId="0" borderId="38" xfId="0" applyNumberFormat="1" applyBorder="1"/>
    <xf numFmtId="2" fontId="0" fillId="0" borderId="61" xfId="0" applyNumberFormat="1" applyBorder="1"/>
    <xf numFmtId="2" fontId="0" fillId="0" borderId="33" xfId="0" applyNumberFormat="1" applyBorder="1"/>
    <xf numFmtId="2" fontId="10" fillId="0" borderId="0" xfId="0" applyNumberFormat="1" applyFont="1"/>
    <xf numFmtId="0" fontId="0" fillId="0" borderId="1" xfId="0" applyBorder="1" applyAlignment="1">
      <alignment horizontal="center"/>
    </xf>
    <xf numFmtId="164" fontId="5" fillId="4" borderId="0" xfId="0" applyNumberFormat="1" applyFont="1" applyFill="1"/>
    <xf numFmtId="2" fontId="4" fillId="0" borderId="1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/>
    </xf>
    <xf numFmtId="0" fontId="0" fillId="14" borderId="36" xfId="0" applyFill="1" applyBorder="1"/>
    <xf numFmtId="0" fontId="0" fillId="14" borderId="30" xfId="0" applyFill="1" applyBorder="1"/>
    <xf numFmtId="2" fontId="0" fillId="15" borderId="39" xfId="0" applyNumberFormat="1" applyFill="1" applyBorder="1" applyAlignment="1">
      <alignment horizontal="center"/>
    </xf>
    <xf numFmtId="2" fontId="0" fillId="15" borderId="2" xfId="0" applyNumberFormat="1" applyFill="1" applyBorder="1" applyAlignment="1">
      <alignment horizontal="center"/>
    </xf>
    <xf numFmtId="2" fontId="0" fillId="15" borderId="1" xfId="0" applyNumberFormat="1" applyFill="1" applyBorder="1" applyAlignment="1">
      <alignment horizontal="center"/>
    </xf>
    <xf numFmtId="2" fontId="0" fillId="15" borderId="33" xfId="0" applyNumberFormat="1" applyFill="1" applyBorder="1"/>
    <xf numFmtId="2" fontId="0" fillId="16" borderId="39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16" borderId="57" xfId="0" applyNumberFormat="1" applyFill="1" applyBorder="1" applyAlignment="1">
      <alignment horizontal="center"/>
    </xf>
    <xf numFmtId="2" fontId="0" fillId="16" borderId="22" xfId="0" applyNumberFormat="1" applyFill="1" applyBorder="1" applyAlignment="1">
      <alignment horizontal="center"/>
    </xf>
    <xf numFmtId="2" fontId="0" fillId="16" borderId="33" xfId="0" applyNumberFormat="1" applyFill="1" applyBorder="1" applyAlignment="1">
      <alignment horizontal="center"/>
    </xf>
    <xf numFmtId="0" fontId="0" fillId="14" borderId="36" xfId="0" applyFill="1" applyBorder="1" applyAlignment="1">
      <alignment horizontal="center" vertical="center"/>
    </xf>
    <xf numFmtId="0" fontId="0" fillId="14" borderId="30" xfId="0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13" borderId="9" xfId="0" applyNumberFormat="1" applyFont="1" applyFill="1" applyBorder="1" applyAlignment="1">
      <alignment horizontal="center" vertical="center" wrapText="1"/>
    </xf>
    <xf numFmtId="0" fontId="1" fillId="14" borderId="35" xfId="0" applyFont="1" applyFill="1" applyBorder="1" applyAlignment="1">
      <alignment horizontal="center" vertical="center" wrapText="1"/>
    </xf>
    <xf numFmtId="0" fontId="1" fillId="14" borderId="14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0" borderId="21" xfId="0" applyBorder="1"/>
    <xf numFmtId="0" fontId="4" fillId="0" borderId="53" xfId="0" applyFont="1" applyBorder="1"/>
    <xf numFmtId="0" fontId="15" fillId="0" borderId="21" xfId="0" applyFont="1" applyBorder="1"/>
    <xf numFmtId="0" fontId="15" fillId="0" borderId="36" xfId="0" applyFont="1" applyBorder="1"/>
    <xf numFmtId="0" fontId="15" fillId="0" borderId="53" xfId="0" applyFont="1" applyBorder="1"/>
    <xf numFmtId="0" fontId="0" fillId="8" borderId="46" xfId="0" applyFill="1" applyBorder="1"/>
    <xf numFmtId="2" fontId="0" fillId="6" borderId="39" xfId="0" applyNumberForma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" fontId="0" fillId="6" borderId="33" xfId="0" applyNumberFormat="1" applyFill="1" applyBorder="1"/>
    <xf numFmtId="2" fontId="0" fillId="6" borderId="57" xfId="0" applyNumberFormat="1" applyFill="1" applyBorder="1" applyAlignment="1">
      <alignment horizontal="center"/>
    </xf>
    <xf numFmtId="2" fontId="0" fillId="6" borderId="22" xfId="0" applyNumberFormat="1" applyFill="1" applyBorder="1" applyAlignment="1">
      <alignment horizontal="center"/>
    </xf>
    <xf numFmtId="2" fontId="0" fillId="6" borderId="33" xfId="0" applyNumberFormat="1" applyFill="1" applyBorder="1" applyAlignment="1">
      <alignment horizontal="center"/>
    </xf>
    <xf numFmtId="0" fontId="0" fillId="14" borderId="36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3" borderId="40" xfId="0" applyFill="1" applyBorder="1" applyAlignment="1">
      <alignment horizontal="center"/>
    </xf>
    <xf numFmtId="0" fontId="0" fillId="13" borderId="34" xfId="0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39" xfId="0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0" fillId="0" borderId="36" xfId="0" applyBorder="1"/>
    <xf numFmtId="0" fontId="0" fillId="0" borderId="68" xfId="0" applyBorder="1"/>
    <xf numFmtId="0" fontId="0" fillId="0" borderId="69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13" borderId="41" xfId="0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 wrapText="1"/>
    </xf>
    <xf numFmtId="0" fontId="0" fillId="13" borderId="35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13" borderId="35" xfId="0" applyFont="1" applyFill="1" applyBorder="1" applyAlignment="1">
      <alignment horizontal="center"/>
    </xf>
    <xf numFmtId="0" fontId="10" fillId="13" borderId="54" xfId="0" applyFont="1" applyFill="1" applyBorder="1" applyAlignment="1">
      <alignment horizontal="center"/>
    </xf>
    <xf numFmtId="0" fontId="10" fillId="13" borderId="31" xfId="0" applyFont="1" applyFill="1" applyBorder="1" applyAlignment="1">
      <alignment horizontal="center"/>
    </xf>
    <xf numFmtId="0" fontId="10" fillId="3" borderId="35" xfId="0" applyFont="1" applyFill="1" applyBorder="1" applyAlignment="1">
      <alignment horizontal="center"/>
    </xf>
    <xf numFmtId="0" fontId="10" fillId="3" borderId="54" xfId="0" applyFont="1" applyFill="1" applyBorder="1" applyAlignment="1">
      <alignment horizontal="center"/>
    </xf>
    <xf numFmtId="0" fontId="10" fillId="3" borderId="31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0" borderId="52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  <xf numFmtId="0" fontId="10" fillId="0" borderId="4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10" fillId="0" borderId="18" xfId="0" applyFont="1" applyBorder="1" applyAlignment="1">
      <alignment horizontal="right"/>
    </xf>
    <xf numFmtId="0" fontId="0" fillId="14" borderId="36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6" xfId="0" applyFill="1" applyBorder="1" applyAlignment="1">
      <alignment horizontal="center" wrapText="1"/>
    </xf>
    <xf numFmtId="0" fontId="0" fillId="14" borderId="30" xfId="0" applyFill="1" applyBorder="1" applyAlignment="1">
      <alignment horizontal="center" wrapText="1"/>
    </xf>
    <xf numFmtId="0" fontId="0" fillId="13" borderId="36" xfId="0" applyFill="1" applyBorder="1" applyAlignment="1">
      <alignment horizontal="center" wrapText="1"/>
    </xf>
    <xf numFmtId="0" fontId="0" fillId="13" borderId="30" xfId="0" applyFill="1" applyBorder="1" applyAlignment="1">
      <alignment horizontal="center" wrapText="1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2" xfId="0" applyFont="1" applyBorder="1" applyAlignment="1">
      <alignment horizontal="right" vertical="center"/>
    </xf>
    <xf numFmtId="0" fontId="10" fillId="0" borderId="23" xfId="0" applyFont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0" fontId="10" fillId="0" borderId="6" xfId="0" applyFont="1" applyBorder="1" applyAlignment="1">
      <alignment horizontal="right"/>
    </xf>
    <xf numFmtId="0" fontId="10" fillId="0" borderId="41" xfId="0" applyFont="1" applyBorder="1" applyAlignment="1">
      <alignment horizontal="right"/>
    </xf>
    <xf numFmtId="0" fontId="10" fillId="0" borderId="21" xfId="0" applyFont="1" applyBorder="1" applyAlignment="1">
      <alignment horizontal="right"/>
    </xf>
    <xf numFmtId="0" fontId="10" fillId="0" borderId="41" xfId="0" applyFont="1" applyBorder="1" applyAlignment="1">
      <alignment horizontal="right" vertical="top"/>
    </xf>
    <xf numFmtId="0" fontId="10" fillId="0" borderId="21" xfId="0" applyFont="1" applyBorder="1" applyAlignment="1">
      <alignment horizontal="right" vertical="top"/>
    </xf>
  </cellXfs>
  <cellStyles count="1">
    <cellStyle name="Normal" xfId="0" builtinId="0"/>
  </cellStyles>
  <dxfs count="16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33CC33"/>
      <color rgb="FFFFFF99"/>
      <color rgb="FF0DFF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CONSUMO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'ENERO 2020'!$J$120</c:f>
              <c:strCache>
                <c:ptCount val="1"/>
                <c:pt idx="0">
                  <c:v>PROMEDIO CONSUMO DIA</c:v>
                </c:pt>
              </c:strCache>
            </c:strRef>
          </c:tx>
          <c:cat>
            <c:strRef>
              <c:f>'ENERO 2020'!$C$122:$C$128</c:f>
              <c:strCache>
                <c:ptCount val="7"/>
                <c:pt idx="0">
                  <c:v>CARGANDO</c:v>
                </c:pt>
                <c:pt idx="1">
                  <c:v>DESCARGANDO</c:v>
                </c:pt>
                <c:pt idx="2">
                  <c:v>NAVEGANDO EN LASTRE</c:v>
                </c:pt>
                <c:pt idx="3">
                  <c:v>NAVEGANDO CON CARGA</c:v>
                </c:pt>
                <c:pt idx="4">
                  <c:v>FONDEADO</c:v>
                </c:pt>
                <c:pt idx="5">
                  <c:v>MANIOBRA</c:v>
                </c:pt>
                <c:pt idx="6">
                  <c:v>OTRAS ACT.</c:v>
                </c:pt>
              </c:strCache>
            </c:strRef>
          </c:cat>
          <c:val>
            <c:numRef>
              <c:f>'ENERO 2020'!$J$122:$J$128</c:f>
              <c:numCache>
                <c:formatCode>0.00</c:formatCode>
                <c:ptCount val="7"/>
                <c:pt idx="0">
                  <c:v>4.5</c:v>
                </c:pt>
                <c:pt idx="1">
                  <c:v>4.4973482616381846</c:v>
                </c:pt>
                <c:pt idx="2">
                  <c:v>24.5</c:v>
                </c:pt>
                <c:pt idx="3">
                  <c:v>23.588737201365188</c:v>
                </c:pt>
                <c:pt idx="4">
                  <c:v>4.3515761821366024</c:v>
                </c:pt>
                <c:pt idx="5">
                  <c:v>7.7288571428571462</c:v>
                </c:pt>
                <c:pt idx="6">
                  <c:v>4.5061728395061733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6-4D35-9C25-9BDEE801E4A3}"/>
            </c:ext>
          </c:extLst>
        </c:ser>
        <c:ser>
          <c:idx val="1"/>
          <c:order val="1"/>
          <c:tx>
            <c:strRef>
              <c:f>'ENERO 2020'!$K$120</c:f>
              <c:strCache>
                <c:ptCount val="1"/>
                <c:pt idx="0">
                  <c:v>CONSUMO CONTRATO DIA</c:v>
                </c:pt>
              </c:strCache>
            </c:strRef>
          </c:tx>
          <c:cat>
            <c:strRef>
              <c:f>'ENERO 2020'!$C$122:$C$128</c:f>
              <c:strCache>
                <c:ptCount val="7"/>
                <c:pt idx="0">
                  <c:v>CARGANDO</c:v>
                </c:pt>
                <c:pt idx="1">
                  <c:v>DESCARGANDO</c:v>
                </c:pt>
                <c:pt idx="2">
                  <c:v>NAVEGANDO EN LASTRE</c:v>
                </c:pt>
                <c:pt idx="3">
                  <c:v>NAVEGANDO CON CARGA</c:v>
                </c:pt>
                <c:pt idx="4">
                  <c:v>FONDEADO</c:v>
                </c:pt>
                <c:pt idx="5">
                  <c:v>MANIOBRA</c:v>
                </c:pt>
                <c:pt idx="6">
                  <c:v>OTRAS ACT.</c:v>
                </c:pt>
              </c:strCache>
            </c:strRef>
          </c:cat>
          <c:val>
            <c:numRef>
              <c:f>'ENERO 2020'!$K$122:$K$128</c:f>
              <c:numCache>
                <c:formatCode>0.00</c:formatCode>
                <c:ptCount val="7"/>
                <c:pt idx="0">
                  <c:v>4.5</c:v>
                </c:pt>
                <c:pt idx="1">
                  <c:v>4.5</c:v>
                </c:pt>
                <c:pt idx="2">
                  <c:v>30.5</c:v>
                </c:pt>
                <c:pt idx="3">
                  <c:v>30.5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36-4D35-9C25-9BDEE801E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76800"/>
        <c:axId val="155278336"/>
      </c:lineChart>
      <c:catAx>
        <c:axId val="155276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55278336"/>
        <c:crosses val="autoZero"/>
        <c:auto val="1"/>
        <c:lblAlgn val="ctr"/>
        <c:lblOffset val="100"/>
        <c:noMultiLvlLbl val="0"/>
      </c:catAx>
      <c:valAx>
        <c:axId val="155278336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5527680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VELOCIDAD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'ENERO 2020'!$G$120</c:f>
              <c:strCache>
                <c:ptCount val="1"/>
                <c:pt idx="0">
                  <c:v>VELOCIDAD REAL</c:v>
                </c:pt>
              </c:strCache>
            </c:strRef>
          </c:tx>
          <c:cat>
            <c:strRef>
              <c:f>'ENERO 2020'!$C$124:$C$125</c:f>
              <c:strCache>
                <c:ptCount val="2"/>
                <c:pt idx="0">
                  <c:v>NAVEGANDO EN LASTRE</c:v>
                </c:pt>
                <c:pt idx="1">
                  <c:v>NAVEGANDO CON CARGA</c:v>
                </c:pt>
              </c:strCache>
            </c:strRef>
          </c:cat>
          <c:val>
            <c:numRef>
              <c:f>'ENERO 2020'!$G$124:$G$125</c:f>
              <c:numCache>
                <c:formatCode>0.00</c:formatCode>
                <c:ptCount val="2"/>
                <c:pt idx="0">
                  <c:v>11.283292978208234</c:v>
                </c:pt>
                <c:pt idx="1">
                  <c:v>11.305460750853243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7-466F-A165-7F4B2031F6B1}"/>
            </c:ext>
          </c:extLst>
        </c:ser>
        <c:ser>
          <c:idx val="1"/>
          <c:order val="1"/>
          <c:tx>
            <c:strRef>
              <c:f>'ENERO 2020'!$H$120</c:f>
              <c:strCache>
                <c:ptCount val="1"/>
                <c:pt idx="0">
                  <c:v>VELOCIDAD CONTRATO</c:v>
                </c:pt>
              </c:strCache>
            </c:strRef>
          </c:tx>
          <c:cat>
            <c:strRef>
              <c:f>'ENERO 2020'!$C$124:$C$125</c:f>
              <c:strCache>
                <c:ptCount val="2"/>
                <c:pt idx="0">
                  <c:v>NAVEGANDO EN LASTRE</c:v>
                </c:pt>
                <c:pt idx="1">
                  <c:v>NAVEGANDO CON CARGA</c:v>
                </c:pt>
              </c:strCache>
            </c:strRef>
          </c:cat>
          <c:val>
            <c:numRef>
              <c:f>'ENERO 2020'!$H$124:$H$125</c:f>
              <c:numCache>
                <c:formatCode>0.00</c:formatCode>
                <c:ptCount val="2"/>
                <c:pt idx="0">
                  <c:v>12.5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7-466F-A165-7F4B2031F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722112"/>
        <c:axId val="155723648"/>
      </c:lineChart>
      <c:catAx>
        <c:axId val="155722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55723648"/>
        <c:crosses val="autoZero"/>
        <c:auto val="1"/>
        <c:lblAlgn val="ctr"/>
        <c:lblOffset val="100"/>
        <c:noMultiLvlLbl val="0"/>
      </c:catAx>
      <c:valAx>
        <c:axId val="155723648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5572211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CONSUMO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'FEBRERO 2020'!$J$119:$J$120</c:f>
              <c:strCache>
                <c:ptCount val="2"/>
                <c:pt idx="0">
                  <c:v>PROMEDIO</c:v>
                </c:pt>
                <c:pt idx="1">
                  <c:v>CONSUMO DIA</c:v>
                </c:pt>
              </c:strCache>
            </c:strRef>
          </c:tx>
          <c:cat>
            <c:strRef>
              <c:f>'FEBRERO 2020'!$C$121:$C$127</c:f>
              <c:strCache>
                <c:ptCount val="7"/>
                <c:pt idx="0">
                  <c:v>CARGANDO</c:v>
                </c:pt>
                <c:pt idx="1">
                  <c:v>DESCARGANDO</c:v>
                </c:pt>
                <c:pt idx="2">
                  <c:v>NAVEGANDO EN LASTRE</c:v>
                </c:pt>
                <c:pt idx="3">
                  <c:v>NAVEGANDO CON CARGA</c:v>
                </c:pt>
                <c:pt idx="4">
                  <c:v>FONDEADO</c:v>
                </c:pt>
                <c:pt idx="5">
                  <c:v>MANIOBRA</c:v>
                </c:pt>
                <c:pt idx="6">
                  <c:v>OTRAS ACT.</c:v>
                </c:pt>
              </c:strCache>
            </c:strRef>
          </c:cat>
          <c:val>
            <c:numRef>
              <c:f>'FEBRERO 2020'!$J$121:$J$127</c:f>
              <c:numCache>
                <c:formatCode>0.00</c:formatCode>
                <c:ptCount val="7"/>
                <c:pt idx="0">
                  <c:v>4.2529940119760479</c:v>
                </c:pt>
                <c:pt idx="1">
                  <c:v>3.8177511054958937</c:v>
                </c:pt>
                <c:pt idx="2">
                  <c:v>22.5</c:v>
                </c:pt>
                <c:pt idx="3">
                  <c:v>22.671489817792068</c:v>
                </c:pt>
                <c:pt idx="4">
                  <c:v>4.2865809092237983</c:v>
                </c:pt>
                <c:pt idx="5">
                  <c:v>8.6872928176795572</c:v>
                </c:pt>
                <c:pt idx="6">
                  <c:v>5.7246826516220022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3-4C2A-897F-A79BE879E857}"/>
            </c:ext>
          </c:extLst>
        </c:ser>
        <c:ser>
          <c:idx val="1"/>
          <c:order val="1"/>
          <c:tx>
            <c:strRef>
              <c:f>'FEBRERO 2020'!$K$119:$K$120</c:f>
              <c:strCache>
                <c:ptCount val="2"/>
                <c:pt idx="0">
                  <c:v>CONSUMO X</c:v>
                </c:pt>
                <c:pt idx="1">
                  <c:v>CONTRATO DIA</c:v>
                </c:pt>
              </c:strCache>
            </c:strRef>
          </c:tx>
          <c:cat>
            <c:strRef>
              <c:f>'FEBRERO 2020'!$C$121:$C$127</c:f>
              <c:strCache>
                <c:ptCount val="7"/>
                <c:pt idx="0">
                  <c:v>CARGANDO</c:v>
                </c:pt>
                <c:pt idx="1">
                  <c:v>DESCARGANDO</c:v>
                </c:pt>
                <c:pt idx="2">
                  <c:v>NAVEGANDO EN LASTRE</c:v>
                </c:pt>
                <c:pt idx="3">
                  <c:v>NAVEGANDO CON CARGA</c:v>
                </c:pt>
                <c:pt idx="4">
                  <c:v>FONDEADO</c:v>
                </c:pt>
                <c:pt idx="5">
                  <c:v>MANIOBRA</c:v>
                </c:pt>
                <c:pt idx="6">
                  <c:v>OTRAS ACT.</c:v>
                </c:pt>
              </c:strCache>
            </c:strRef>
          </c:cat>
          <c:val>
            <c:numRef>
              <c:f>'FEBRERO 2020'!$K$121:$K$127</c:f>
              <c:numCache>
                <c:formatCode>0.00</c:formatCode>
                <c:ptCount val="7"/>
                <c:pt idx="0">
                  <c:v>4.5</c:v>
                </c:pt>
                <c:pt idx="1">
                  <c:v>4.5</c:v>
                </c:pt>
                <c:pt idx="2">
                  <c:v>30.5</c:v>
                </c:pt>
                <c:pt idx="3">
                  <c:v>30.5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33-4C2A-897F-A79BE879E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51840"/>
        <c:axId val="200591232"/>
      </c:lineChart>
      <c:catAx>
        <c:axId val="15525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0591232"/>
        <c:crosses val="autoZero"/>
        <c:auto val="1"/>
        <c:lblAlgn val="ctr"/>
        <c:lblOffset val="100"/>
        <c:noMultiLvlLbl val="0"/>
      </c:catAx>
      <c:valAx>
        <c:axId val="200591232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5525184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VELOCIDAD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'FEBRERO 2020'!$G$119:$G$120</c:f>
              <c:strCache>
                <c:ptCount val="2"/>
                <c:pt idx="0">
                  <c:v>VELOCIDAD</c:v>
                </c:pt>
                <c:pt idx="1">
                  <c:v>REAL</c:v>
                </c:pt>
              </c:strCache>
            </c:strRef>
          </c:tx>
          <c:cat>
            <c:strRef>
              <c:f>'FEBRERO 2020'!$C$123:$C$124</c:f>
              <c:strCache>
                <c:ptCount val="2"/>
                <c:pt idx="0">
                  <c:v>NAVEGANDO EN LASTRE</c:v>
                </c:pt>
                <c:pt idx="1">
                  <c:v>NAVEGANDO CON CARGA</c:v>
                </c:pt>
              </c:strCache>
            </c:strRef>
          </c:cat>
          <c:val>
            <c:numRef>
              <c:f>'FEBRERO 2020'!$G$123:$G$124</c:f>
              <c:numCache>
                <c:formatCode>0.00</c:formatCode>
                <c:ptCount val="2"/>
                <c:pt idx="0">
                  <c:v>11.041666666666666</c:v>
                </c:pt>
                <c:pt idx="1">
                  <c:v>10.739549839228296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7-4B21-AE57-B0F85F28F606}"/>
            </c:ext>
          </c:extLst>
        </c:ser>
        <c:ser>
          <c:idx val="1"/>
          <c:order val="1"/>
          <c:tx>
            <c:strRef>
              <c:f>'FEBRERO 2020'!$H$119:$H$120</c:f>
              <c:strCache>
                <c:ptCount val="2"/>
                <c:pt idx="0">
                  <c:v>VELOCIDAD</c:v>
                </c:pt>
                <c:pt idx="1">
                  <c:v>CONTRATO</c:v>
                </c:pt>
              </c:strCache>
            </c:strRef>
          </c:tx>
          <c:cat>
            <c:strRef>
              <c:f>'FEBRERO 2020'!$C$123:$C$124</c:f>
              <c:strCache>
                <c:ptCount val="2"/>
                <c:pt idx="0">
                  <c:v>NAVEGANDO EN LASTRE</c:v>
                </c:pt>
                <c:pt idx="1">
                  <c:v>NAVEGANDO CON CARGA</c:v>
                </c:pt>
              </c:strCache>
            </c:strRef>
          </c:cat>
          <c:val>
            <c:numRef>
              <c:f>'FEBRERO 2020'!$H$123:$H$124</c:f>
              <c:numCache>
                <c:formatCode>0.00</c:formatCode>
                <c:ptCount val="2"/>
                <c:pt idx="0">
                  <c:v>12.5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67-4B21-AE57-B0F85F28F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27424"/>
        <c:axId val="159128960"/>
      </c:lineChart>
      <c:catAx>
        <c:axId val="159127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59128960"/>
        <c:crosses val="autoZero"/>
        <c:auto val="1"/>
        <c:lblAlgn val="ctr"/>
        <c:lblOffset val="100"/>
        <c:noMultiLvlLbl val="0"/>
      </c:catAx>
      <c:valAx>
        <c:axId val="15912896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5912742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CONSUMO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263672448012489"/>
          <c:y val="8.1464462639659466E-2"/>
          <c:w val="0.65025253814264006"/>
          <c:h val="0.53196440972173098"/>
        </c:manualLayout>
      </c:layout>
      <c:lineChart>
        <c:grouping val="standard"/>
        <c:varyColors val="0"/>
        <c:ser>
          <c:idx val="0"/>
          <c:order val="0"/>
          <c:tx>
            <c:strRef>
              <c:f>'MARZO 2020'!$J$119:$J$120</c:f>
              <c:strCache>
                <c:ptCount val="2"/>
                <c:pt idx="0">
                  <c:v>PROMEDIO CONSUMO DIA</c:v>
                </c:pt>
              </c:strCache>
            </c:strRef>
          </c:tx>
          <c:cat>
            <c:strRef>
              <c:f>'MARZO 2020'!$C$121:$C$127</c:f>
              <c:strCache>
                <c:ptCount val="7"/>
                <c:pt idx="0">
                  <c:v>CARGANDO</c:v>
                </c:pt>
                <c:pt idx="1">
                  <c:v>DESCARGANDO</c:v>
                </c:pt>
                <c:pt idx="2">
                  <c:v>NAVEGANDO EN LASTRE</c:v>
                </c:pt>
                <c:pt idx="3">
                  <c:v>NAVEGANDO CON CARGA</c:v>
                </c:pt>
                <c:pt idx="4">
                  <c:v>FONDEADO</c:v>
                </c:pt>
                <c:pt idx="5">
                  <c:v>MANIOBRA</c:v>
                </c:pt>
                <c:pt idx="6">
                  <c:v>OTRAS ACT.</c:v>
                </c:pt>
              </c:strCache>
            </c:strRef>
          </c:cat>
          <c:val>
            <c:numRef>
              <c:f>'MARZO 2020'!$J$121:$J$127</c:f>
              <c:numCache>
                <c:formatCode>0.00</c:formatCode>
                <c:ptCount val="7"/>
                <c:pt idx="0">
                  <c:v>4.5</c:v>
                </c:pt>
                <c:pt idx="1">
                  <c:v>4.5</c:v>
                </c:pt>
                <c:pt idx="2">
                  <c:v>23.611111111111111</c:v>
                </c:pt>
                <c:pt idx="3">
                  <c:v>25.181152204836412</c:v>
                </c:pt>
                <c:pt idx="4">
                  <c:v>3.9883855024711692</c:v>
                </c:pt>
                <c:pt idx="5">
                  <c:v>7.6905128205128186</c:v>
                </c:pt>
                <c:pt idx="6">
                  <c:v>4.4348115299334818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6-4D15-9FE6-A67A9D58B1F7}"/>
            </c:ext>
          </c:extLst>
        </c:ser>
        <c:ser>
          <c:idx val="1"/>
          <c:order val="1"/>
          <c:tx>
            <c:strRef>
              <c:f>'MARZO 2020'!$K$119:$K$120</c:f>
              <c:strCache>
                <c:ptCount val="2"/>
                <c:pt idx="0">
                  <c:v>CONSUMO CONTRATO DIA</c:v>
                </c:pt>
              </c:strCache>
            </c:strRef>
          </c:tx>
          <c:cat>
            <c:strRef>
              <c:f>'MARZO 2020'!$C$121:$C$127</c:f>
              <c:strCache>
                <c:ptCount val="7"/>
                <c:pt idx="0">
                  <c:v>CARGANDO</c:v>
                </c:pt>
                <c:pt idx="1">
                  <c:v>DESCARGANDO</c:v>
                </c:pt>
                <c:pt idx="2">
                  <c:v>NAVEGANDO EN LASTRE</c:v>
                </c:pt>
                <c:pt idx="3">
                  <c:v>NAVEGANDO CON CARGA</c:v>
                </c:pt>
                <c:pt idx="4">
                  <c:v>FONDEADO</c:v>
                </c:pt>
                <c:pt idx="5">
                  <c:v>MANIOBRA</c:v>
                </c:pt>
                <c:pt idx="6">
                  <c:v>OTRAS ACT.</c:v>
                </c:pt>
              </c:strCache>
            </c:strRef>
          </c:cat>
          <c:val>
            <c:numRef>
              <c:f>'MARZO 2020'!$K$121:$K$127</c:f>
              <c:numCache>
                <c:formatCode>0.00</c:formatCode>
                <c:ptCount val="7"/>
                <c:pt idx="0">
                  <c:v>4.5</c:v>
                </c:pt>
                <c:pt idx="1">
                  <c:v>4.5</c:v>
                </c:pt>
                <c:pt idx="2">
                  <c:v>30.5</c:v>
                </c:pt>
                <c:pt idx="3">
                  <c:v>30.5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D6-4D15-9FE6-A67A9D58B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300224"/>
        <c:axId val="219301760"/>
      </c:lineChart>
      <c:catAx>
        <c:axId val="2193002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9301760"/>
        <c:crosses val="autoZero"/>
        <c:auto val="1"/>
        <c:lblAlgn val="ctr"/>
        <c:lblOffset val="100"/>
        <c:noMultiLvlLbl val="0"/>
      </c:catAx>
      <c:valAx>
        <c:axId val="21930176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21930022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Velocidad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'MARZO 2020'!$G$119:$G$120</c:f>
              <c:strCache>
                <c:ptCount val="2"/>
                <c:pt idx="0">
                  <c:v>VELOCIDAD REAL</c:v>
                </c:pt>
              </c:strCache>
            </c:strRef>
          </c:tx>
          <c:cat>
            <c:strRef>
              <c:f>'MARZO 2020'!$C$123:$C$124</c:f>
              <c:strCache>
                <c:ptCount val="2"/>
                <c:pt idx="0">
                  <c:v>NAVEGANDO EN LASTRE</c:v>
                </c:pt>
                <c:pt idx="1">
                  <c:v>NAVEGANDO CON CARGA</c:v>
                </c:pt>
              </c:strCache>
            </c:strRef>
          </c:cat>
          <c:val>
            <c:numRef>
              <c:f>'MARZO 2020'!$G$123:$G$124</c:f>
              <c:numCache>
                <c:formatCode>0.00</c:formatCode>
                <c:ptCount val="2"/>
                <c:pt idx="0">
                  <c:v>10.355555555555556</c:v>
                </c:pt>
                <c:pt idx="1">
                  <c:v>9.9573257467994321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B-4392-8729-1E7051F01B46}"/>
            </c:ext>
          </c:extLst>
        </c:ser>
        <c:ser>
          <c:idx val="1"/>
          <c:order val="1"/>
          <c:tx>
            <c:strRef>
              <c:f>'MARZO 2020'!$H$119:$H$120</c:f>
              <c:strCache>
                <c:ptCount val="2"/>
                <c:pt idx="0">
                  <c:v>VELOCIDAD CONTRATO</c:v>
                </c:pt>
              </c:strCache>
            </c:strRef>
          </c:tx>
          <c:cat>
            <c:strRef>
              <c:f>'MARZO 2020'!$C$123:$C$124</c:f>
              <c:strCache>
                <c:ptCount val="2"/>
                <c:pt idx="0">
                  <c:v>NAVEGANDO EN LASTRE</c:v>
                </c:pt>
                <c:pt idx="1">
                  <c:v>NAVEGANDO CON CARGA</c:v>
                </c:pt>
              </c:strCache>
            </c:strRef>
          </c:cat>
          <c:val>
            <c:numRef>
              <c:f>'MARZO 2020'!$H$123:$H$124</c:f>
              <c:numCache>
                <c:formatCode>0.00</c:formatCode>
                <c:ptCount val="2"/>
                <c:pt idx="0">
                  <c:v>12.5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BB-4392-8729-1E7051F01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201344"/>
        <c:axId val="220202880"/>
      </c:lineChart>
      <c:catAx>
        <c:axId val="220201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0202880"/>
        <c:crosses val="autoZero"/>
        <c:auto val="1"/>
        <c:lblAlgn val="ctr"/>
        <c:lblOffset val="100"/>
        <c:noMultiLvlLbl val="0"/>
      </c:catAx>
      <c:valAx>
        <c:axId val="22020288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22020134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CONSUMO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263672448012489"/>
          <c:y val="8.1464462639659466E-2"/>
          <c:w val="0.65025253814264006"/>
          <c:h val="0.53196440972173098"/>
        </c:manualLayout>
      </c:layout>
      <c:lineChart>
        <c:grouping val="standard"/>
        <c:varyColors val="0"/>
        <c:ser>
          <c:idx val="0"/>
          <c:order val="0"/>
          <c:tx>
            <c:strRef>
              <c:f>'ABRIL 2020'!$J$120:$J$121</c:f>
              <c:strCache>
                <c:ptCount val="2"/>
                <c:pt idx="0">
                  <c:v>PROMEDIO CONSUMO DIA</c:v>
                </c:pt>
              </c:strCache>
            </c:strRef>
          </c:tx>
          <c:cat>
            <c:strRef>
              <c:f>'ABRIL 2020'!$C$122:$C$128</c:f>
              <c:strCache>
                <c:ptCount val="7"/>
                <c:pt idx="0">
                  <c:v>CARGANDO</c:v>
                </c:pt>
                <c:pt idx="1">
                  <c:v>DESCARGANDO</c:v>
                </c:pt>
                <c:pt idx="2">
                  <c:v>NAVEGANDO EN LASTRE</c:v>
                </c:pt>
                <c:pt idx="3">
                  <c:v>NAVEGANDO CON CARGA</c:v>
                </c:pt>
                <c:pt idx="4">
                  <c:v>FONDEADO</c:v>
                </c:pt>
                <c:pt idx="5">
                  <c:v>MANIOBRA</c:v>
                </c:pt>
                <c:pt idx="6">
                  <c:v>OTRAS ACT.</c:v>
                </c:pt>
              </c:strCache>
            </c:strRef>
          </c:cat>
          <c:val>
            <c:numRef>
              <c:f>'ABRIL 2020'!$J$122:$J$128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8D-43AB-BE71-E48A24A9EF1D}"/>
            </c:ext>
          </c:extLst>
        </c:ser>
        <c:ser>
          <c:idx val="1"/>
          <c:order val="1"/>
          <c:tx>
            <c:strRef>
              <c:f>'ABRIL 2020'!$K$120:$K$121</c:f>
              <c:strCache>
                <c:ptCount val="2"/>
                <c:pt idx="0">
                  <c:v>CONSUMO CONTRATO DIA</c:v>
                </c:pt>
              </c:strCache>
            </c:strRef>
          </c:tx>
          <c:cat>
            <c:strRef>
              <c:f>'ABRIL 2020'!$C$122:$C$128</c:f>
              <c:strCache>
                <c:ptCount val="7"/>
                <c:pt idx="0">
                  <c:v>CARGANDO</c:v>
                </c:pt>
                <c:pt idx="1">
                  <c:v>DESCARGANDO</c:v>
                </c:pt>
                <c:pt idx="2">
                  <c:v>NAVEGANDO EN LASTRE</c:v>
                </c:pt>
                <c:pt idx="3">
                  <c:v>NAVEGANDO CON CARGA</c:v>
                </c:pt>
                <c:pt idx="4">
                  <c:v>FONDEADO</c:v>
                </c:pt>
                <c:pt idx="5">
                  <c:v>MANIOBRA</c:v>
                </c:pt>
                <c:pt idx="6">
                  <c:v>OTRAS ACT.</c:v>
                </c:pt>
              </c:strCache>
            </c:strRef>
          </c:cat>
          <c:val>
            <c:numRef>
              <c:f>'ABRIL 2020'!$K$122:$K$128</c:f>
              <c:numCache>
                <c:formatCode>0.00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8D-43AB-BE71-E48A24A9E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17216"/>
        <c:axId val="113542272"/>
      </c:lineChart>
      <c:catAx>
        <c:axId val="113417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3542272"/>
        <c:crosses val="autoZero"/>
        <c:auto val="1"/>
        <c:lblAlgn val="ctr"/>
        <c:lblOffset val="100"/>
        <c:noMultiLvlLbl val="0"/>
      </c:catAx>
      <c:valAx>
        <c:axId val="113542272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1341721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Velocidad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'ABRIL 2020'!$G$120:$G$121</c:f>
              <c:strCache>
                <c:ptCount val="2"/>
                <c:pt idx="0">
                  <c:v>VELOCIDAD REAL</c:v>
                </c:pt>
              </c:strCache>
            </c:strRef>
          </c:tx>
          <c:cat>
            <c:strRef>
              <c:f>'ABRIL 2020'!$C$124:$C$125</c:f>
              <c:strCache>
                <c:ptCount val="2"/>
                <c:pt idx="0">
                  <c:v>NAVEGANDO EN LASTRE</c:v>
                </c:pt>
                <c:pt idx="1">
                  <c:v>NAVEGANDO CON CARGA</c:v>
                </c:pt>
              </c:strCache>
            </c:strRef>
          </c:cat>
          <c:val>
            <c:numRef>
              <c:f>'ABRIL 2020'!$G$124:$G$125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E-44D1-84D0-212D65828A5D}"/>
            </c:ext>
          </c:extLst>
        </c:ser>
        <c:ser>
          <c:idx val="1"/>
          <c:order val="1"/>
          <c:tx>
            <c:strRef>
              <c:f>'ABRIL 2020'!$H$120:$H$121</c:f>
              <c:strCache>
                <c:ptCount val="2"/>
                <c:pt idx="0">
                  <c:v>VELOCIDAD CONTRATO</c:v>
                </c:pt>
              </c:strCache>
            </c:strRef>
          </c:tx>
          <c:cat>
            <c:strRef>
              <c:f>'ABRIL 2020'!$C$124:$C$125</c:f>
              <c:strCache>
                <c:ptCount val="2"/>
                <c:pt idx="0">
                  <c:v>NAVEGANDO EN LASTRE</c:v>
                </c:pt>
                <c:pt idx="1">
                  <c:v>NAVEGANDO CON CARGA</c:v>
                </c:pt>
              </c:strCache>
            </c:strRef>
          </c:cat>
          <c:val>
            <c:numRef>
              <c:f>'ABRIL 2020'!$H$124:$H$125</c:f>
              <c:numCache>
                <c:formatCode>0.00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E-44D1-84D0-212D65828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7952"/>
        <c:axId val="113919488"/>
      </c:lineChart>
      <c:catAx>
        <c:axId val="113917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13919488"/>
        <c:crosses val="autoZero"/>
        <c:auto val="1"/>
        <c:lblAlgn val="ctr"/>
        <c:lblOffset val="100"/>
        <c:noMultiLvlLbl val="0"/>
      </c:catAx>
      <c:valAx>
        <c:axId val="113919488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1391795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616323</xdr:colOff>
      <xdr:row>135</xdr:row>
      <xdr:rowOff>33617</xdr:rowOff>
    </xdr:from>
    <xdr:to>
      <xdr:col>7</xdr:col>
      <xdr:colOff>246530</xdr:colOff>
      <xdr:row>153</xdr:row>
      <xdr:rowOff>89647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145676</xdr:colOff>
      <xdr:row>137</xdr:row>
      <xdr:rowOff>40341</xdr:rowOff>
    </xdr:from>
    <xdr:to>
      <xdr:col>13</xdr:col>
      <xdr:colOff>504264</xdr:colOff>
      <xdr:row>151</xdr:row>
      <xdr:rowOff>116541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672353</xdr:colOff>
      <xdr:row>132</xdr:row>
      <xdr:rowOff>163605</xdr:rowOff>
    </xdr:from>
    <xdr:to>
      <xdr:col>6</xdr:col>
      <xdr:colOff>67235</xdr:colOff>
      <xdr:row>152</xdr:row>
      <xdr:rowOff>67234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621924</xdr:colOff>
      <xdr:row>132</xdr:row>
      <xdr:rowOff>174811</xdr:rowOff>
    </xdr:from>
    <xdr:to>
      <xdr:col>11</xdr:col>
      <xdr:colOff>694763</xdr:colOff>
      <xdr:row>153</xdr:row>
      <xdr:rowOff>78440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143994</xdr:colOff>
      <xdr:row>134</xdr:row>
      <xdr:rowOff>81643</xdr:rowOff>
    </xdr:from>
    <xdr:to>
      <xdr:col>8</xdr:col>
      <xdr:colOff>272143</xdr:colOff>
      <xdr:row>157</xdr:row>
      <xdr:rowOff>149679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998122</xdr:colOff>
      <xdr:row>134</xdr:row>
      <xdr:rowOff>84363</xdr:rowOff>
    </xdr:from>
    <xdr:to>
      <xdr:col>15</xdr:col>
      <xdr:colOff>666749</xdr:colOff>
      <xdr:row>155</xdr:row>
      <xdr:rowOff>95250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143994</xdr:colOff>
      <xdr:row>135</xdr:row>
      <xdr:rowOff>81643</xdr:rowOff>
    </xdr:from>
    <xdr:to>
      <xdr:col>8</xdr:col>
      <xdr:colOff>272143</xdr:colOff>
      <xdr:row>158</xdr:row>
      <xdr:rowOff>149679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998122</xdr:colOff>
      <xdr:row>135</xdr:row>
      <xdr:rowOff>84363</xdr:rowOff>
    </xdr:from>
    <xdr:to>
      <xdr:col>15</xdr:col>
      <xdr:colOff>666749</xdr:colOff>
      <xdr:row>156</xdr:row>
      <xdr:rowOff>95250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VSLFO.MGO4" displayName="VSLFO.MGO4" ref="A5:AJ116" totalsRowShown="0" headerRowDxfId="159" dataDxfId="157" headerRowBorderDxfId="158" tableBorderDxfId="156">
  <tableColumns count="36">
    <tableColumn id="1" xr3:uid="{00000000-0010-0000-0000-000001000000}" name="VIAJE" dataDxfId="155"/>
    <tableColumn id="2" xr3:uid="{00000000-0010-0000-0000-000002000000}" name="FECHA" dataDxfId="154"/>
    <tableColumn id="3" xr3:uid="{00000000-0010-0000-0000-000003000000}" name="HORA" dataDxfId="153"/>
    <tableColumn id="4" xr3:uid="{00000000-0010-0000-0000-000004000000}" name="TIEMPO Hrs" dataDxfId="152"/>
    <tableColumn id="5" xr3:uid="{00000000-0010-0000-0000-000005000000}" name="ACTIVIDAD" dataDxfId="151"/>
    <tableColumn id="6" xr3:uid="{00000000-0010-0000-0000-000006000000}" name="LUGAR" dataDxfId="150"/>
    <tableColumn id="7" xr3:uid="{00000000-0010-0000-0000-000007000000}" name="DISTANCIA" dataDxfId="149"/>
    <tableColumn id="8" xr3:uid="{00000000-0010-0000-0000-000008000000}" name="VELOCIDAD" dataDxfId="148"/>
    <tableColumn id="9" xr3:uid="{00000000-0010-0000-0000-000009000000}" name="BEAUFORT" dataDxfId="147"/>
    <tableColumn id="10" xr3:uid="{00000000-0010-0000-0000-00000A000000}" name="RPM" dataDxfId="146"/>
    <tableColumn id="11" xr3:uid="{00000000-0010-0000-0000-00000B000000}" name="MPAL" dataDxfId="145"/>
    <tableColumn id="12" xr3:uid="{00000000-0010-0000-0000-00000C000000}" name="AUX." dataDxfId="144"/>
    <tableColumn id="13" xr3:uid="{00000000-0010-0000-0000-00000D000000}" name="CALDERA" dataDxfId="143"/>
    <tableColumn id="14" xr3:uid="{00000000-0010-0000-0000-00000E000000}" name="TOTAL " dataDxfId="142">
      <calculatedColumnFormula>K6+L6+M6</calculatedColumnFormula>
    </tableColumn>
    <tableColumn id="15" xr3:uid="{00000000-0010-0000-0000-00000F000000}" name="FAENA" dataDxfId="141"/>
    <tableColumn id="16" xr3:uid="{00000000-0010-0000-0000-000010000000}" name="ROB " dataDxfId="140">
      <calculatedColumnFormula>($P$4-N6)+O6</calculatedColumnFormula>
    </tableColumn>
    <tableColumn id="17" xr3:uid="{00000000-0010-0000-0000-000011000000}" name="MPAL2" dataDxfId="139"/>
    <tableColumn id="18" xr3:uid="{00000000-0010-0000-0000-000012000000}" name=" AUX" dataDxfId="138"/>
    <tableColumn id="19" xr3:uid="{00000000-0010-0000-0000-000013000000}" name=" CALDERA" dataDxfId="137"/>
    <tableColumn id="20" xr3:uid="{00000000-0010-0000-0000-000014000000}" name="PP" dataDxfId="136"/>
    <tableColumn id="21" xr3:uid="{00000000-0010-0000-0000-000015000000}" name="GI" dataDxfId="135"/>
    <tableColumn id="22" xr3:uid="{00000000-0010-0000-0000-000016000000}" name="TOTAL" dataDxfId="134"/>
    <tableColumn id="23" xr3:uid="{00000000-0010-0000-0000-000017000000}" name="FAENA2" dataDxfId="133"/>
    <tableColumn id="24" xr3:uid="{00000000-0010-0000-0000-000018000000}" name="ROB" dataDxfId="132">
      <calculatedColumnFormula>($X$4-VSLFO.MGO4[[#This Row],[TOTAL]])+VSLFO.MGO4[[#This Row],[FAENA2]]</calculatedColumnFormula>
    </tableColumn>
    <tableColumn id="25" xr3:uid="{00000000-0010-0000-0000-000019000000}" name="CYLINDER MP" dataDxfId="131"/>
    <tableColumn id="26" xr3:uid="{00000000-0010-0000-0000-00001A000000}" name="FAENA EN LTS" dataDxfId="130"/>
    <tableColumn id="27" xr3:uid="{00000000-0010-0000-0000-00001B000000}" name="CYLINDER MP ROB EN LTS" dataDxfId="129">
      <calculatedColumnFormula>AA4</calculatedColumnFormula>
    </tableColumn>
    <tableColumn id="28" xr3:uid="{00000000-0010-0000-0000-00001C000000}" name="CARTER MP." dataDxfId="128"/>
    <tableColumn id="29" xr3:uid="{00000000-0010-0000-0000-00001D000000}" name="FAENA EN LTS2" dataDxfId="127"/>
    <tableColumn id="30" xr3:uid="{00000000-0010-0000-0000-00001E000000}" name="CARTER MP. ROB EN LTS" dataDxfId="126">
      <calculatedColumnFormula>($AD$4-VSLFO.MGO4[[#This Row],[CARTER MP.]])+VSLFO.MGO4[[#This Row],[FAENA EN LTS2]]</calculatedColumnFormula>
    </tableColumn>
    <tableColumn id="31" xr3:uid="{00000000-0010-0000-0000-00001F000000}" name="MOT AUX" dataDxfId="125"/>
    <tableColumn id="32" xr3:uid="{00000000-0010-0000-0000-000020000000}" name="FAENA EN  LTS" dataDxfId="124"/>
    <tableColumn id="33" xr3:uid="{00000000-0010-0000-0000-000021000000}" name="MOT AUX ROB EN LTS" dataDxfId="123">
      <calculatedColumnFormula>$AG$4</calculatedColumnFormula>
    </tableColumn>
    <tableColumn id="34" xr3:uid="{00000000-0010-0000-0000-000022000000}" name="HIDRAULICO" dataDxfId="122"/>
    <tableColumn id="35" xr3:uid="{00000000-0010-0000-0000-000023000000}" name="FAENA EN LTS3" dataDxfId="121"/>
    <tableColumn id="36" xr3:uid="{00000000-0010-0000-0000-000024000000}" name="HIDRAULICO ROB EN LTS" dataDxfId="1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VSLFO.MGO45" displayName="VSLFO.MGO45" ref="A5:AJ115" totalsRowShown="0" headerRowDxfId="119" dataDxfId="117" headerRowBorderDxfId="118" tableBorderDxfId="116">
  <tableColumns count="36">
    <tableColumn id="1" xr3:uid="{00000000-0010-0000-0100-000001000000}" name="VIAJE" dataDxfId="115"/>
    <tableColumn id="2" xr3:uid="{00000000-0010-0000-0100-000002000000}" name="FECHA" dataDxfId="114"/>
    <tableColumn id="3" xr3:uid="{00000000-0010-0000-0100-000003000000}" name="HORA" dataDxfId="113"/>
    <tableColumn id="4" xr3:uid="{00000000-0010-0000-0100-000004000000}" name="TIEMPO Hrs" dataDxfId="112"/>
    <tableColumn id="5" xr3:uid="{00000000-0010-0000-0100-000005000000}" name="ACTIVIDAD" dataDxfId="111"/>
    <tableColumn id="6" xr3:uid="{00000000-0010-0000-0100-000006000000}" name="LUGAR" dataDxfId="110"/>
    <tableColumn id="7" xr3:uid="{00000000-0010-0000-0100-000007000000}" name="DISTANCIA" dataDxfId="109"/>
    <tableColumn id="8" xr3:uid="{00000000-0010-0000-0100-000008000000}" name="VELOCIDAD" dataDxfId="108"/>
    <tableColumn id="9" xr3:uid="{00000000-0010-0000-0100-000009000000}" name="BEAUFORT" dataDxfId="107"/>
    <tableColumn id="10" xr3:uid="{00000000-0010-0000-0100-00000A000000}" name="RPM" dataDxfId="106"/>
    <tableColumn id="11" xr3:uid="{00000000-0010-0000-0100-00000B000000}" name="MPAL" dataDxfId="105"/>
    <tableColumn id="12" xr3:uid="{00000000-0010-0000-0100-00000C000000}" name="AUX." dataDxfId="104"/>
    <tableColumn id="13" xr3:uid="{00000000-0010-0000-0100-00000D000000}" name="CALDERA" dataDxfId="103"/>
    <tableColumn id="14" xr3:uid="{00000000-0010-0000-0100-00000E000000}" name="TOTAL " dataDxfId="102">
      <calculatedColumnFormula>K6+L6+M6</calculatedColumnFormula>
    </tableColumn>
    <tableColumn id="15" xr3:uid="{00000000-0010-0000-0100-00000F000000}" name="FAENA" dataDxfId="101"/>
    <tableColumn id="16" xr3:uid="{00000000-0010-0000-0100-000010000000}" name="ROB " dataDxfId="100">
      <calculatedColumnFormula>($P$4-N6)+O6</calculatedColumnFormula>
    </tableColumn>
    <tableColumn id="17" xr3:uid="{00000000-0010-0000-0100-000011000000}" name="MPAL2" dataDxfId="99"/>
    <tableColumn id="18" xr3:uid="{00000000-0010-0000-0100-000012000000}" name=" AUX" dataDxfId="98"/>
    <tableColumn id="19" xr3:uid="{00000000-0010-0000-0100-000013000000}" name=" CALDERA" dataDxfId="97"/>
    <tableColumn id="20" xr3:uid="{00000000-0010-0000-0100-000014000000}" name="PP" dataDxfId="96"/>
    <tableColumn id="21" xr3:uid="{00000000-0010-0000-0100-000015000000}" name="GI" dataDxfId="95"/>
    <tableColumn id="22" xr3:uid="{00000000-0010-0000-0100-000016000000}" name="TOTAL" dataDxfId="94"/>
    <tableColumn id="23" xr3:uid="{00000000-0010-0000-0100-000017000000}" name="FAENA2" dataDxfId="93"/>
    <tableColumn id="24" xr3:uid="{00000000-0010-0000-0100-000018000000}" name="ROB" dataDxfId="92">
      <calculatedColumnFormula>($X$4-VSLFO.MGO45[[#This Row],[TOTAL]])+VSLFO.MGO45[[#This Row],[FAENA2]]</calculatedColumnFormula>
    </tableColumn>
    <tableColumn id="25" xr3:uid="{00000000-0010-0000-0100-000019000000}" name="CYLINDER MP" dataDxfId="91"/>
    <tableColumn id="26" xr3:uid="{00000000-0010-0000-0100-00001A000000}" name="FAENA EN LTS" dataDxfId="90"/>
    <tableColumn id="27" xr3:uid="{00000000-0010-0000-0100-00001B000000}" name="CYLINDER MP ROB EN LTS" dataDxfId="89">
      <calculatedColumnFormula>AA4</calculatedColumnFormula>
    </tableColumn>
    <tableColumn id="28" xr3:uid="{00000000-0010-0000-0100-00001C000000}" name="CARTER MP." dataDxfId="88"/>
    <tableColumn id="29" xr3:uid="{00000000-0010-0000-0100-00001D000000}" name="FAENA EN LTS2" dataDxfId="87"/>
    <tableColumn id="30" xr3:uid="{00000000-0010-0000-0100-00001E000000}" name="CARTER MP. ROB EN LTS" dataDxfId="86">
      <calculatedColumnFormula>($AD$4-VSLFO.MGO45[[#This Row],[CARTER MP.]])+VSLFO.MGO45[[#This Row],[FAENA EN LTS2]]</calculatedColumnFormula>
    </tableColumn>
    <tableColumn id="31" xr3:uid="{00000000-0010-0000-0100-00001F000000}" name="MOT AUX" dataDxfId="85"/>
    <tableColumn id="32" xr3:uid="{00000000-0010-0000-0100-000020000000}" name="FAENA EN  LTS" dataDxfId="84"/>
    <tableColumn id="33" xr3:uid="{00000000-0010-0000-0100-000021000000}" name="MOT AUX ROB EN LTS" dataDxfId="83">
      <calculatedColumnFormula>$AG$4</calculatedColumnFormula>
    </tableColumn>
    <tableColumn id="34" xr3:uid="{00000000-0010-0000-0100-000022000000}" name="HIDRAULICO" dataDxfId="82"/>
    <tableColumn id="35" xr3:uid="{00000000-0010-0000-0100-000023000000}" name="FAENA EN LTS3" dataDxfId="81"/>
    <tableColumn id="36" xr3:uid="{00000000-0010-0000-0100-000024000000}" name="HIDRAULICO ROB EN LTS" dataDxfId="8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VSLFO.MGO456" displayName="VSLFO.MGO456" ref="A5:AJ115" totalsRowShown="0" headerRowDxfId="79" dataDxfId="77" headerRowBorderDxfId="78" tableBorderDxfId="76">
  <tableColumns count="36">
    <tableColumn id="1" xr3:uid="{00000000-0010-0000-0200-000001000000}" name="VIAJE" dataDxfId="75"/>
    <tableColumn id="2" xr3:uid="{00000000-0010-0000-0200-000002000000}" name="FECHA" dataDxfId="74"/>
    <tableColumn id="3" xr3:uid="{00000000-0010-0000-0200-000003000000}" name="HORA" dataDxfId="73"/>
    <tableColumn id="4" xr3:uid="{00000000-0010-0000-0200-000004000000}" name="TIEMPO Hrs" dataDxfId="72"/>
    <tableColumn id="5" xr3:uid="{00000000-0010-0000-0200-000005000000}" name="ACTIVIDAD" dataDxfId="71"/>
    <tableColumn id="6" xr3:uid="{00000000-0010-0000-0200-000006000000}" name="LUGAR" dataDxfId="70"/>
    <tableColumn id="7" xr3:uid="{00000000-0010-0000-0200-000007000000}" name="DISTANCIA" dataDxfId="69"/>
    <tableColumn id="8" xr3:uid="{00000000-0010-0000-0200-000008000000}" name="VELOCIDAD" dataDxfId="68"/>
    <tableColumn id="9" xr3:uid="{00000000-0010-0000-0200-000009000000}" name="BEAUFORT" dataDxfId="67"/>
    <tableColumn id="10" xr3:uid="{00000000-0010-0000-0200-00000A000000}" name="RPM" dataDxfId="66"/>
    <tableColumn id="11" xr3:uid="{00000000-0010-0000-0200-00000B000000}" name="MPAL" dataDxfId="65"/>
    <tableColumn id="12" xr3:uid="{00000000-0010-0000-0200-00000C000000}" name="AUX." dataDxfId="64"/>
    <tableColumn id="13" xr3:uid="{00000000-0010-0000-0200-00000D000000}" name="CALDERA" dataDxfId="63"/>
    <tableColumn id="14" xr3:uid="{00000000-0010-0000-0200-00000E000000}" name="TOTAL " dataDxfId="62">
      <calculatedColumnFormula>K6+L6+M6</calculatedColumnFormula>
    </tableColumn>
    <tableColumn id="15" xr3:uid="{00000000-0010-0000-0200-00000F000000}" name="FAENA" dataDxfId="61"/>
    <tableColumn id="16" xr3:uid="{00000000-0010-0000-0200-000010000000}" name="ROB " dataDxfId="60">
      <calculatedColumnFormula>($P$4-N6)+O6</calculatedColumnFormula>
    </tableColumn>
    <tableColumn id="17" xr3:uid="{00000000-0010-0000-0200-000011000000}" name="MPAL2" dataDxfId="59"/>
    <tableColumn id="18" xr3:uid="{00000000-0010-0000-0200-000012000000}" name=" AUX" dataDxfId="58"/>
    <tableColumn id="19" xr3:uid="{00000000-0010-0000-0200-000013000000}" name=" CALDERA" dataDxfId="57"/>
    <tableColumn id="20" xr3:uid="{00000000-0010-0000-0200-000014000000}" name="PP" dataDxfId="56"/>
    <tableColumn id="21" xr3:uid="{00000000-0010-0000-0200-000015000000}" name="GI" dataDxfId="55"/>
    <tableColumn id="22" xr3:uid="{00000000-0010-0000-0200-000016000000}" name="TOTAL" dataDxfId="54"/>
    <tableColumn id="23" xr3:uid="{00000000-0010-0000-0200-000017000000}" name="FAENA2" dataDxfId="53"/>
    <tableColumn id="24" xr3:uid="{00000000-0010-0000-0200-000018000000}" name="ROB" dataDxfId="52">
      <calculatedColumnFormula>($X$4-VSLFO.MGO456[[#This Row],[TOTAL]])+VSLFO.MGO456[[#This Row],[FAENA2]]</calculatedColumnFormula>
    </tableColumn>
    <tableColumn id="25" xr3:uid="{00000000-0010-0000-0200-000019000000}" name="CYLINDER MP" dataDxfId="51"/>
    <tableColumn id="26" xr3:uid="{00000000-0010-0000-0200-00001A000000}" name="FAENA EN LTS" dataDxfId="50"/>
    <tableColumn id="27" xr3:uid="{00000000-0010-0000-0200-00001B000000}" name="CYLINDER MP ROB EN LTS" dataDxfId="49">
      <calculatedColumnFormula>AA4</calculatedColumnFormula>
    </tableColumn>
    <tableColumn id="28" xr3:uid="{00000000-0010-0000-0200-00001C000000}" name="CARTER MP." dataDxfId="48"/>
    <tableColumn id="29" xr3:uid="{00000000-0010-0000-0200-00001D000000}" name="FAENA EN LTS2" dataDxfId="47"/>
    <tableColumn id="30" xr3:uid="{00000000-0010-0000-0200-00001E000000}" name="CARTER MP. ROB EN LTS" dataDxfId="46">
      <calculatedColumnFormula>($AD$4-VSLFO.MGO456[[#This Row],[CARTER MP.]])+VSLFO.MGO456[[#This Row],[FAENA EN LTS2]]</calculatedColumnFormula>
    </tableColumn>
    <tableColumn id="31" xr3:uid="{00000000-0010-0000-0200-00001F000000}" name="MOT AUX" dataDxfId="45"/>
    <tableColumn id="32" xr3:uid="{00000000-0010-0000-0200-000020000000}" name="FAENA EN  LTS" dataDxfId="44"/>
    <tableColumn id="33" xr3:uid="{00000000-0010-0000-0200-000021000000}" name="MOT AUX ROB EN LTS" dataDxfId="43">
      <calculatedColumnFormula>$AG$4</calculatedColumnFormula>
    </tableColumn>
    <tableColumn id="34" xr3:uid="{00000000-0010-0000-0200-000022000000}" name="HIDRAULICO" dataDxfId="42"/>
    <tableColumn id="35" xr3:uid="{00000000-0010-0000-0200-000023000000}" name="FAENA EN LTS3" dataDxfId="41"/>
    <tableColumn id="36" xr3:uid="{00000000-0010-0000-0200-000024000000}" name="HIDRAULICO ROB EN LTS" dataDxfId="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VSLFO.MGO4567" displayName="VSLFO.MGO4567" ref="A5:AJ116" totalsRowShown="0" headerRowDxfId="39" dataDxfId="37" headerRowBorderDxfId="38" tableBorderDxfId="36">
  <tableColumns count="36">
    <tableColumn id="1" xr3:uid="{00000000-0010-0000-0300-000001000000}" name="VIAJE" dataDxfId="35"/>
    <tableColumn id="2" xr3:uid="{00000000-0010-0000-0300-000002000000}" name="FECHA" dataDxfId="34"/>
    <tableColumn id="3" xr3:uid="{00000000-0010-0000-0300-000003000000}" name="HORA" dataDxfId="33"/>
    <tableColumn id="4" xr3:uid="{00000000-0010-0000-0300-000004000000}" name="TIEMPO Hrs" dataDxfId="32"/>
    <tableColumn id="5" xr3:uid="{00000000-0010-0000-0300-000005000000}" name="ACTIVIDAD" dataDxfId="31"/>
    <tableColumn id="6" xr3:uid="{00000000-0010-0000-0300-000006000000}" name="LUGAR" dataDxfId="30"/>
    <tableColumn id="7" xr3:uid="{00000000-0010-0000-0300-000007000000}" name="DISTANCIA" dataDxfId="29"/>
    <tableColumn id="8" xr3:uid="{00000000-0010-0000-0300-000008000000}" name="VELOCIDAD" dataDxfId="28"/>
    <tableColumn id="9" xr3:uid="{00000000-0010-0000-0300-000009000000}" name="BEAUFORT" dataDxfId="27"/>
    <tableColumn id="10" xr3:uid="{00000000-0010-0000-0300-00000A000000}" name="RPM" dataDxfId="26"/>
    <tableColumn id="11" xr3:uid="{00000000-0010-0000-0300-00000B000000}" name="MPAL" dataDxfId="25"/>
    <tableColumn id="12" xr3:uid="{00000000-0010-0000-0300-00000C000000}" name="AUX." dataDxfId="24"/>
    <tableColumn id="13" xr3:uid="{00000000-0010-0000-0300-00000D000000}" name="CALDERA" dataDxfId="23"/>
    <tableColumn id="14" xr3:uid="{00000000-0010-0000-0300-00000E000000}" name="TOTAL " dataDxfId="22">
      <calculatedColumnFormula>K6+L6+M6</calculatedColumnFormula>
    </tableColumn>
    <tableColumn id="15" xr3:uid="{00000000-0010-0000-0300-00000F000000}" name="FAENA" dataDxfId="21"/>
    <tableColumn id="16" xr3:uid="{00000000-0010-0000-0300-000010000000}" name="ROB " dataDxfId="20">
      <calculatedColumnFormula>($P$4-N6)+O6</calculatedColumnFormula>
    </tableColumn>
    <tableColumn id="17" xr3:uid="{00000000-0010-0000-0300-000011000000}" name="MPAL2" dataDxfId="19"/>
    <tableColumn id="18" xr3:uid="{00000000-0010-0000-0300-000012000000}" name=" AUX" dataDxfId="18"/>
    <tableColumn id="19" xr3:uid="{00000000-0010-0000-0300-000013000000}" name=" CALDERA" dataDxfId="17"/>
    <tableColumn id="20" xr3:uid="{00000000-0010-0000-0300-000014000000}" name="PP" dataDxfId="16"/>
    <tableColumn id="21" xr3:uid="{00000000-0010-0000-0300-000015000000}" name="GI" dataDxfId="15"/>
    <tableColumn id="22" xr3:uid="{00000000-0010-0000-0300-000016000000}" name="TOTAL" dataDxfId="14"/>
    <tableColumn id="23" xr3:uid="{00000000-0010-0000-0300-000017000000}" name="FAENA2" dataDxfId="13"/>
    <tableColumn id="24" xr3:uid="{00000000-0010-0000-0300-000018000000}" name="ROB" dataDxfId="12">
      <calculatedColumnFormula>($X$4-VSLFO.MGO4567[[#This Row],[TOTAL]])+VSLFO.MGO4567[[#This Row],[FAENA2]]</calculatedColumnFormula>
    </tableColumn>
    <tableColumn id="25" xr3:uid="{00000000-0010-0000-0300-000019000000}" name="CYLINDER MP" dataDxfId="11"/>
    <tableColumn id="26" xr3:uid="{00000000-0010-0000-0300-00001A000000}" name="FAENA EN LTS" dataDxfId="10"/>
    <tableColumn id="27" xr3:uid="{00000000-0010-0000-0300-00001B000000}" name="CYLINDER MP ROB EN LTS" dataDxfId="9">
      <calculatedColumnFormula>AA4</calculatedColumnFormula>
    </tableColumn>
    <tableColumn id="28" xr3:uid="{00000000-0010-0000-0300-00001C000000}" name="CARTER MP." dataDxfId="8"/>
    <tableColumn id="29" xr3:uid="{00000000-0010-0000-0300-00001D000000}" name="FAENA EN LTS2" dataDxfId="7"/>
    <tableColumn id="30" xr3:uid="{00000000-0010-0000-0300-00001E000000}" name="CARTER MP. ROB EN LTS" dataDxfId="6">
      <calculatedColumnFormula>($AD$4-VSLFO.MGO4567[[#This Row],[CARTER MP.]])+VSLFO.MGO4567[[#This Row],[FAENA EN LTS2]]</calculatedColumnFormula>
    </tableColumn>
    <tableColumn id="31" xr3:uid="{00000000-0010-0000-0300-00001F000000}" name="MOT AUX" dataDxfId="5"/>
    <tableColumn id="32" xr3:uid="{00000000-0010-0000-0300-000020000000}" name="FAENA EN  LTS" dataDxfId="4"/>
    <tableColumn id="33" xr3:uid="{00000000-0010-0000-0300-000021000000}" name="MOT AUX ROB EN LTS" dataDxfId="3">
      <calculatedColumnFormula>$AG$4</calculatedColumnFormula>
    </tableColumn>
    <tableColumn id="34" xr3:uid="{00000000-0010-0000-0300-000022000000}" name="HIDRAULICO" dataDxfId="2"/>
    <tableColumn id="35" xr3:uid="{00000000-0010-0000-0300-000023000000}" name="FAENA EN LTS3" dataDxfId="1"/>
    <tableColumn id="36" xr3:uid="{00000000-0010-0000-0300-000024000000}" name="HIDRAULICO ROB EN L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14"/>
  <sheetViews>
    <sheetView topLeftCell="I1" zoomScale="78" zoomScaleNormal="78" workbookViewId="0">
      <pane ySplit="4" topLeftCell="A806" activePane="bottomLeft" state="frozen"/>
      <selection pane="bottomLeft" activeCell="A5" sqref="A5"/>
    </sheetView>
  </sheetViews>
  <sheetFormatPr baseColWidth="10" defaultColWidth="9.140625" defaultRowHeight="15" x14ac:dyDescent="0.25"/>
  <cols>
    <col min="2" max="2" width="11" customWidth="1"/>
    <col min="3" max="3" width="9.140625" style="8"/>
    <col min="4" max="4" width="18.42578125" style="17" customWidth="1"/>
    <col min="5" max="7" width="10.42578125" style="8" customWidth="1"/>
    <col min="8" max="8" width="9.85546875" style="8" customWidth="1"/>
    <col min="9" max="12" width="9.42578125" style="8" customWidth="1"/>
    <col min="13" max="13" width="10.140625" style="8" customWidth="1"/>
    <col min="14" max="14" width="10.85546875" style="8" customWidth="1"/>
    <col min="15" max="15" width="10.140625" style="8" customWidth="1"/>
    <col min="16" max="18" width="9.140625" style="8"/>
    <col min="19" max="19" width="9.42578125" style="8" bestFit="1" customWidth="1"/>
    <col min="20" max="21" width="9.85546875" style="8" customWidth="1"/>
    <col min="22" max="24" width="9.140625" style="8"/>
    <col min="25" max="25" width="2.42578125" customWidth="1"/>
    <col min="28" max="28" width="9.140625" style="8"/>
    <col min="29" max="29" width="2.85546875" customWidth="1"/>
    <col min="30" max="31" width="11.42578125" customWidth="1"/>
  </cols>
  <sheetData>
    <row r="1" spans="1:31" ht="15.75" thickBot="1" x14ac:dyDescent="0.3">
      <c r="B1" s="37"/>
    </row>
    <row r="2" spans="1:31" ht="16.5" thickBot="1" x14ac:dyDescent="0.3">
      <c r="A2" s="358" t="s">
        <v>586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60"/>
    </row>
    <row r="3" spans="1:31" ht="15.75" thickBot="1" x14ac:dyDescent="0.3">
      <c r="E3" s="354" t="s">
        <v>15</v>
      </c>
      <c r="F3" s="355"/>
      <c r="G3" s="355"/>
      <c r="H3" s="355"/>
      <c r="I3" s="355"/>
      <c r="J3" s="355"/>
      <c r="K3" s="356"/>
      <c r="L3" s="357"/>
      <c r="M3" s="354" t="s">
        <v>16</v>
      </c>
      <c r="N3" s="355"/>
      <c r="O3" s="355"/>
      <c r="P3" s="355"/>
      <c r="Q3" s="355"/>
      <c r="R3" s="356"/>
      <c r="S3" s="357"/>
      <c r="T3" s="361" t="s">
        <v>28</v>
      </c>
      <c r="U3" s="362"/>
      <c r="V3" s="362"/>
      <c r="W3" s="362"/>
      <c r="X3" s="363"/>
      <c r="Z3" s="353" t="s">
        <v>32</v>
      </c>
      <c r="AA3" s="353"/>
      <c r="AB3" s="353"/>
      <c r="AD3" s="353" t="s">
        <v>1291</v>
      </c>
      <c r="AE3" s="353"/>
    </row>
    <row r="4" spans="1:31" ht="44.25" customHeight="1" x14ac:dyDescent="0.25">
      <c r="A4" s="81" t="s">
        <v>0</v>
      </c>
      <c r="B4" s="82" t="s">
        <v>1</v>
      </c>
      <c r="C4" s="83" t="s">
        <v>135</v>
      </c>
      <c r="D4" s="84" t="s">
        <v>60</v>
      </c>
      <c r="E4" s="85" t="s">
        <v>3</v>
      </c>
      <c r="F4" s="85" t="s">
        <v>4</v>
      </c>
      <c r="G4" s="85" t="s">
        <v>5</v>
      </c>
      <c r="H4" s="85" t="s">
        <v>6</v>
      </c>
      <c r="I4" s="85" t="s">
        <v>7</v>
      </c>
      <c r="J4" s="85" t="s">
        <v>8</v>
      </c>
      <c r="K4" s="85" t="s">
        <v>27</v>
      </c>
      <c r="L4" s="86" t="s">
        <v>2</v>
      </c>
      <c r="M4" s="87" t="s">
        <v>11</v>
      </c>
      <c r="N4" s="87" t="s">
        <v>12</v>
      </c>
      <c r="O4" s="87" t="s">
        <v>13</v>
      </c>
      <c r="P4" s="88" t="s">
        <v>20</v>
      </c>
      <c r="Q4" s="88" t="s">
        <v>21</v>
      </c>
      <c r="R4" s="88" t="s">
        <v>27</v>
      </c>
      <c r="S4" s="89" t="s">
        <v>14</v>
      </c>
      <c r="T4" s="14" t="s">
        <v>24</v>
      </c>
      <c r="U4" s="14" t="s">
        <v>27</v>
      </c>
      <c r="V4" s="14" t="s">
        <v>25</v>
      </c>
      <c r="W4" s="14" t="s">
        <v>26</v>
      </c>
      <c r="X4" s="15" t="s">
        <v>23</v>
      </c>
      <c r="Z4" s="90" t="s">
        <v>29</v>
      </c>
      <c r="AA4" s="90" t="s">
        <v>30</v>
      </c>
      <c r="AB4" s="90" t="s">
        <v>31</v>
      </c>
      <c r="AD4" s="118" t="s">
        <v>1289</v>
      </c>
      <c r="AE4" s="118" t="s">
        <v>1290</v>
      </c>
    </row>
    <row r="5" spans="1:31" ht="16.5" customHeight="1" x14ac:dyDescent="0.25">
      <c r="A5" s="98" t="s">
        <v>1054</v>
      </c>
      <c r="B5" s="99">
        <v>0.33333333333333331</v>
      </c>
      <c r="C5" s="16"/>
      <c r="D5" s="93"/>
      <c r="E5" s="94"/>
      <c r="F5" s="94"/>
      <c r="G5" s="94"/>
      <c r="H5" s="94"/>
      <c r="I5" s="94"/>
      <c r="J5" s="94"/>
      <c r="K5" s="94"/>
      <c r="L5" s="95"/>
      <c r="M5" s="96"/>
      <c r="N5" s="96"/>
      <c r="O5" s="96"/>
      <c r="P5" s="97"/>
      <c r="Q5" s="97"/>
      <c r="R5" s="97"/>
      <c r="S5" s="96"/>
      <c r="T5" s="11"/>
      <c r="U5" s="11"/>
      <c r="V5" s="11"/>
      <c r="W5" s="11"/>
      <c r="X5" s="76"/>
      <c r="Y5" s="1"/>
      <c r="Z5" s="11"/>
      <c r="AA5" s="11"/>
      <c r="AB5" s="11"/>
      <c r="AD5" s="119"/>
      <c r="AE5" s="119"/>
    </row>
    <row r="6" spans="1:31" ht="14.25" customHeight="1" x14ac:dyDescent="0.25">
      <c r="A6" s="23" t="s">
        <v>33</v>
      </c>
      <c r="B6" s="69">
        <v>0.33333333333333331</v>
      </c>
      <c r="C6" s="23"/>
      <c r="D6" s="25" t="s">
        <v>34</v>
      </c>
      <c r="E6" s="39"/>
      <c r="F6" s="39"/>
      <c r="G6" s="39"/>
      <c r="H6" s="26"/>
      <c r="I6" s="26"/>
      <c r="J6" s="26"/>
      <c r="K6" s="18"/>
      <c r="L6" s="12">
        <v>179.24</v>
      </c>
      <c r="M6" s="39"/>
      <c r="N6" s="39"/>
      <c r="O6" s="39"/>
      <c r="P6" s="41"/>
      <c r="Q6" s="41"/>
      <c r="R6" s="70"/>
      <c r="S6" s="13">
        <v>90.4</v>
      </c>
      <c r="T6" s="91"/>
      <c r="U6" s="91"/>
      <c r="V6" s="91"/>
      <c r="W6" s="91"/>
      <c r="X6" s="92"/>
      <c r="Z6" s="91"/>
      <c r="AA6" s="91"/>
      <c r="AB6" s="91"/>
      <c r="AD6" s="121"/>
      <c r="AE6" s="121"/>
    </row>
    <row r="7" spans="1:31" ht="14.25" customHeight="1" x14ac:dyDescent="0.25">
      <c r="A7" s="5" t="s">
        <v>18</v>
      </c>
      <c r="B7" s="6">
        <v>0.54166666666666663</v>
      </c>
      <c r="C7" s="2">
        <v>0</v>
      </c>
      <c r="D7" s="10" t="s">
        <v>9</v>
      </c>
      <c r="E7" s="40"/>
      <c r="F7" s="40"/>
      <c r="G7" s="40"/>
      <c r="H7" s="2">
        <v>0</v>
      </c>
      <c r="I7" s="13">
        <v>0.4</v>
      </c>
      <c r="J7" s="13">
        <v>0.4</v>
      </c>
      <c r="K7" s="13"/>
      <c r="L7" s="4">
        <f t="shared" ref="L7:L34" si="0">+IF(C7="","",L6-(H7+I7+J7))</f>
        <v>178.44</v>
      </c>
      <c r="M7" s="40"/>
      <c r="N7" s="40">
        <v>0.5</v>
      </c>
      <c r="O7" s="40">
        <v>0.4</v>
      </c>
      <c r="P7" s="40"/>
      <c r="Q7" s="40"/>
      <c r="R7" s="40"/>
      <c r="S7" s="78">
        <v>89.5</v>
      </c>
      <c r="T7" s="2"/>
      <c r="U7" s="2"/>
      <c r="V7" s="2"/>
      <c r="W7" s="2"/>
      <c r="X7" s="2">
        <v>183</v>
      </c>
      <c r="Z7" s="1"/>
      <c r="AA7" s="1"/>
      <c r="AB7" s="2"/>
      <c r="AD7" s="121"/>
      <c r="AE7" s="121"/>
    </row>
    <row r="8" spans="1:31" x14ac:dyDescent="0.25">
      <c r="A8" s="2" t="s">
        <v>19</v>
      </c>
      <c r="B8" s="7">
        <v>0.125</v>
      </c>
      <c r="C8" s="2">
        <v>14</v>
      </c>
      <c r="D8" s="10" t="s">
        <v>10</v>
      </c>
      <c r="E8" s="40">
        <v>20</v>
      </c>
      <c r="F8" s="40">
        <v>4</v>
      </c>
      <c r="G8" s="40">
        <v>1.5</v>
      </c>
      <c r="H8" s="3">
        <f>+IF(E8="","",(E8/24)*C8)</f>
        <v>11.666666666666668</v>
      </c>
      <c r="I8" s="3">
        <f t="shared" ref="I8:I34" si="1">+IF(F8="","",(F8/24)*C8)</f>
        <v>2.333333333333333</v>
      </c>
      <c r="J8" s="3">
        <f t="shared" ref="J8:J34" si="2">+IF(G8="","",(G8/24)*C8)</f>
        <v>0.875</v>
      </c>
      <c r="K8" s="3"/>
      <c r="L8" s="4">
        <f t="shared" si="0"/>
        <v>163.565</v>
      </c>
      <c r="M8" s="40">
        <v>1.5</v>
      </c>
      <c r="N8" s="40">
        <v>0.1</v>
      </c>
      <c r="O8" s="40">
        <v>0.1</v>
      </c>
      <c r="P8" s="40"/>
      <c r="Q8" s="40"/>
      <c r="R8" s="40"/>
      <c r="S8" s="2">
        <f t="shared" ref="S8:S40" si="3">IF(C8="","",S7-(M8+N8+O8+P8+Q8))</f>
        <v>87.8</v>
      </c>
      <c r="T8" s="2">
        <v>11</v>
      </c>
      <c r="U8" s="2">
        <v>0</v>
      </c>
      <c r="V8" s="2">
        <v>4</v>
      </c>
      <c r="W8" s="2">
        <v>1</v>
      </c>
      <c r="X8" s="2">
        <f>IF(V8="","",((X7+T8+U8)-(V8+W8)))</f>
        <v>189</v>
      </c>
      <c r="Z8" s="1"/>
      <c r="AA8" s="1"/>
      <c r="AB8" s="2"/>
      <c r="AD8" s="121">
        <v>12.1</v>
      </c>
      <c r="AE8" s="121" t="s">
        <v>1295</v>
      </c>
    </row>
    <row r="9" spans="1:31" x14ac:dyDescent="0.25">
      <c r="A9" s="2" t="s">
        <v>19</v>
      </c>
      <c r="B9" s="65">
        <v>0.33333333333333331</v>
      </c>
      <c r="C9" s="2">
        <v>5</v>
      </c>
      <c r="D9" s="10" t="s">
        <v>17</v>
      </c>
      <c r="E9" s="40">
        <v>0</v>
      </c>
      <c r="F9" s="40">
        <v>4.2</v>
      </c>
      <c r="G9" s="40">
        <v>2.2000000000000002</v>
      </c>
      <c r="H9" s="3">
        <v>0.8</v>
      </c>
      <c r="I9" s="3">
        <f t="shared" si="1"/>
        <v>0.87500000000000011</v>
      </c>
      <c r="J9" s="3">
        <f t="shared" si="2"/>
        <v>0.45833333333333337</v>
      </c>
      <c r="K9" s="3"/>
      <c r="L9" s="4">
        <f t="shared" si="0"/>
        <v>161.43166666666667</v>
      </c>
      <c r="M9" s="40">
        <v>0</v>
      </c>
      <c r="N9" s="40">
        <v>0.1</v>
      </c>
      <c r="O9" s="40">
        <v>0.1</v>
      </c>
      <c r="P9" s="40"/>
      <c r="Q9" s="40">
        <v>0.2</v>
      </c>
      <c r="R9" s="40"/>
      <c r="S9" s="2">
        <f t="shared" si="3"/>
        <v>87.399999999999991</v>
      </c>
      <c r="T9" s="2">
        <v>0</v>
      </c>
      <c r="U9" s="2">
        <v>0</v>
      </c>
      <c r="V9" s="2">
        <v>1</v>
      </c>
      <c r="W9" s="2">
        <v>0</v>
      </c>
      <c r="X9" s="2">
        <f t="shared" ref="X9:X146" si="4">IF(V9="","",((X8+T9+U9)-(V9+W9)))</f>
        <v>188</v>
      </c>
      <c r="Z9" s="2">
        <v>129</v>
      </c>
      <c r="AA9" s="2">
        <v>61</v>
      </c>
      <c r="AB9" s="2">
        <f>SUM(Z9:AA9)</f>
        <v>190</v>
      </c>
      <c r="AD9" s="121"/>
      <c r="AE9" s="121"/>
    </row>
    <row r="10" spans="1:31" x14ac:dyDescent="0.25">
      <c r="A10" s="2" t="s">
        <v>19</v>
      </c>
      <c r="B10" s="7">
        <v>0.375</v>
      </c>
      <c r="C10" s="2">
        <v>1</v>
      </c>
      <c r="D10" s="10" t="s">
        <v>39</v>
      </c>
      <c r="E10" s="40">
        <v>20</v>
      </c>
      <c r="F10" s="40">
        <v>4</v>
      </c>
      <c r="G10" s="40">
        <v>2.2000000000000002</v>
      </c>
      <c r="H10" s="3">
        <v>0</v>
      </c>
      <c r="I10" s="3">
        <f t="shared" si="1"/>
        <v>0.16666666666666666</v>
      </c>
      <c r="J10" s="3">
        <f t="shared" si="2"/>
        <v>9.1666666666666674E-2</v>
      </c>
      <c r="K10" s="3"/>
      <c r="L10" s="4">
        <f t="shared" si="0"/>
        <v>161.17333333333335</v>
      </c>
      <c r="M10" s="40">
        <v>0</v>
      </c>
      <c r="N10" s="40">
        <v>0</v>
      </c>
      <c r="O10" s="40">
        <v>0</v>
      </c>
      <c r="P10" s="40"/>
      <c r="Q10" s="40">
        <v>0</v>
      </c>
      <c r="R10" s="40"/>
      <c r="S10" s="2">
        <f t="shared" si="3"/>
        <v>87.399999999999991</v>
      </c>
      <c r="T10" s="2">
        <v>0</v>
      </c>
      <c r="U10" s="2">
        <v>0</v>
      </c>
      <c r="V10" s="2">
        <v>1</v>
      </c>
      <c r="W10" s="2">
        <v>0</v>
      </c>
      <c r="X10" s="2">
        <f t="shared" si="4"/>
        <v>187</v>
      </c>
      <c r="Z10" s="1"/>
      <c r="AA10" s="1"/>
      <c r="AB10" s="2"/>
      <c r="AD10" s="121"/>
      <c r="AE10" s="121"/>
    </row>
    <row r="11" spans="1:31" x14ac:dyDescent="0.25">
      <c r="A11" s="2" t="s">
        <v>35</v>
      </c>
      <c r="B11" s="7">
        <v>0.16666666666666666</v>
      </c>
      <c r="C11" s="2">
        <v>19</v>
      </c>
      <c r="D11" s="10" t="s">
        <v>38</v>
      </c>
      <c r="E11" s="40">
        <v>0</v>
      </c>
      <c r="F11" s="40">
        <v>3.6</v>
      </c>
      <c r="G11" s="40">
        <v>2.2000000000000002</v>
      </c>
      <c r="H11" s="3">
        <f t="shared" ref="H11:H34" si="5">+IF(E11="","",(E11/24)*C11)</f>
        <v>0</v>
      </c>
      <c r="I11" s="3">
        <f t="shared" si="1"/>
        <v>2.85</v>
      </c>
      <c r="J11" s="3">
        <f t="shared" si="2"/>
        <v>1.7416666666666667</v>
      </c>
      <c r="K11" s="3"/>
      <c r="L11" s="4">
        <f t="shared" si="0"/>
        <v>156.58166666666668</v>
      </c>
      <c r="M11" s="40">
        <v>0</v>
      </c>
      <c r="N11" s="40">
        <v>0.2</v>
      </c>
      <c r="O11" s="40">
        <v>0.1</v>
      </c>
      <c r="P11" s="40"/>
      <c r="Q11" s="40">
        <v>3.1</v>
      </c>
      <c r="R11" s="40"/>
      <c r="S11" s="4">
        <f t="shared" si="3"/>
        <v>83.999999999999986</v>
      </c>
      <c r="T11" s="2">
        <v>0</v>
      </c>
      <c r="U11" s="2">
        <v>0</v>
      </c>
      <c r="V11" s="2">
        <v>5</v>
      </c>
      <c r="W11" s="2">
        <v>0</v>
      </c>
      <c r="X11" s="2">
        <f t="shared" si="4"/>
        <v>182</v>
      </c>
      <c r="Z11" s="2"/>
      <c r="AA11" s="2"/>
      <c r="AB11" s="2"/>
      <c r="AD11" s="121"/>
      <c r="AE11" s="121"/>
    </row>
    <row r="12" spans="1:31" x14ac:dyDescent="0.25">
      <c r="A12" s="2" t="s">
        <v>35</v>
      </c>
      <c r="B12" s="65">
        <v>0.33333333333333331</v>
      </c>
      <c r="C12" s="2">
        <v>4</v>
      </c>
      <c r="D12" s="10" t="s">
        <v>17</v>
      </c>
      <c r="E12" s="40">
        <v>0</v>
      </c>
      <c r="F12" s="40">
        <v>3.8</v>
      </c>
      <c r="G12" s="40">
        <v>2</v>
      </c>
      <c r="H12" s="3">
        <f t="shared" si="5"/>
        <v>0</v>
      </c>
      <c r="I12" s="3">
        <f t="shared" si="1"/>
        <v>0.6333333333333333</v>
      </c>
      <c r="J12" s="3">
        <f t="shared" si="2"/>
        <v>0.33333333333333331</v>
      </c>
      <c r="K12" s="3"/>
      <c r="L12" s="4">
        <f t="shared" si="0"/>
        <v>155.61500000000001</v>
      </c>
      <c r="M12" s="40">
        <v>0</v>
      </c>
      <c r="N12" s="40">
        <v>0.2</v>
      </c>
      <c r="O12" s="40">
        <v>0</v>
      </c>
      <c r="P12" s="40"/>
      <c r="Q12" s="40">
        <v>0.5</v>
      </c>
      <c r="R12" s="40"/>
      <c r="S12" s="2">
        <f t="shared" si="3"/>
        <v>83.299999999999983</v>
      </c>
      <c r="T12" s="2">
        <v>0</v>
      </c>
      <c r="U12" s="2">
        <v>0</v>
      </c>
      <c r="V12" s="2">
        <v>4</v>
      </c>
      <c r="W12" s="2">
        <v>0</v>
      </c>
      <c r="X12" s="2">
        <f t="shared" si="4"/>
        <v>178</v>
      </c>
      <c r="Z12" s="1">
        <v>61</v>
      </c>
      <c r="AA12" s="1">
        <v>124</v>
      </c>
      <c r="AB12" s="2">
        <f>SUM(Z12:AA12)</f>
        <v>185</v>
      </c>
      <c r="AD12" s="121"/>
      <c r="AE12" s="121"/>
    </row>
    <row r="13" spans="1:31" x14ac:dyDescent="0.25">
      <c r="A13" s="2" t="s">
        <v>35</v>
      </c>
      <c r="B13" s="7">
        <v>0.66666666666666663</v>
      </c>
      <c r="C13" s="2">
        <v>8</v>
      </c>
      <c r="D13" s="10" t="s">
        <v>36</v>
      </c>
      <c r="E13" s="40">
        <v>20</v>
      </c>
      <c r="F13" s="40">
        <v>4</v>
      </c>
      <c r="G13" s="40">
        <v>2</v>
      </c>
      <c r="H13" s="3">
        <f t="shared" si="5"/>
        <v>6.666666666666667</v>
      </c>
      <c r="I13" s="3">
        <f t="shared" si="1"/>
        <v>1.3333333333333333</v>
      </c>
      <c r="J13" s="3">
        <f t="shared" si="2"/>
        <v>0.66666666666666663</v>
      </c>
      <c r="K13" s="3"/>
      <c r="L13" s="4">
        <f t="shared" si="0"/>
        <v>146.94833333333335</v>
      </c>
      <c r="M13" s="40">
        <v>0</v>
      </c>
      <c r="N13" s="40">
        <v>0.2</v>
      </c>
      <c r="O13" s="40">
        <v>0.2</v>
      </c>
      <c r="P13" s="40"/>
      <c r="Q13" s="40">
        <v>0</v>
      </c>
      <c r="R13" s="40"/>
      <c r="S13" s="2">
        <f t="shared" si="3"/>
        <v>82.899999999999977</v>
      </c>
      <c r="T13" s="2">
        <v>8</v>
      </c>
      <c r="U13" s="2">
        <v>0</v>
      </c>
      <c r="V13" s="2">
        <v>4</v>
      </c>
      <c r="W13" s="2">
        <v>0</v>
      </c>
      <c r="X13" s="2">
        <f t="shared" si="4"/>
        <v>182</v>
      </c>
      <c r="Z13" s="1"/>
      <c r="AA13" s="1"/>
      <c r="AB13" s="2"/>
      <c r="AD13" s="121">
        <v>12.2</v>
      </c>
      <c r="AE13" s="121" t="s">
        <v>1296</v>
      </c>
    </row>
    <row r="14" spans="1:31" x14ac:dyDescent="0.25">
      <c r="A14" s="2" t="s">
        <v>35</v>
      </c>
      <c r="B14" s="7">
        <v>0.77916666666666667</v>
      </c>
      <c r="C14" s="2">
        <v>3</v>
      </c>
      <c r="D14" s="10" t="s">
        <v>37</v>
      </c>
      <c r="E14" s="40">
        <v>8</v>
      </c>
      <c r="F14" s="40">
        <v>4</v>
      </c>
      <c r="G14" s="40">
        <v>2.2000000000000002</v>
      </c>
      <c r="H14" s="3">
        <f t="shared" si="5"/>
        <v>1</v>
      </c>
      <c r="I14" s="3">
        <f t="shared" si="1"/>
        <v>0.5</v>
      </c>
      <c r="J14" s="3">
        <f t="shared" si="2"/>
        <v>0.27500000000000002</v>
      </c>
      <c r="K14" s="3"/>
      <c r="L14" s="4">
        <f t="shared" si="0"/>
        <v>145.17333333333335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/>
      <c r="S14" s="2">
        <f t="shared" si="3"/>
        <v>82.899999999999977</v>
      </c>
      <c r="T14" s="2">
        <v>0</v>
      </c>
      <c r="U14" s="2">
        <v>0</v>
      </c>
      <c r="V14" s="2">
        <v>1</v>
      </c>
      <c r="W14" s="2">
        <v>0</v>
      </c>
      <c r="X14" s="2">
        <f t="shared" si="4"/>
        <v>181</v>
      </c>
      <c r="Z14" s="1"/>
      <c r="AA14" s="1"/>
      <c r="AB14" s="2"/>
      <c r="AD14" s="121"/>
      <c r="AE14" s="121"/>
    </row>
    <row r="15" spans="1:31" x14ac:dyDescent="0.25">
      <c r="A15" s="2" t="s">
        <v>40</v>
      </c>
      <c r="B15" s="65">
        <v>0.33333333333333331</v>
      </c>
      <c r="C15" s="2">
        <v>13</v>
      </c>
      <c r="D15" s="10" t="s">
        <v>17</v>
      </c>
      <c r="E15" s="40">
        <v>0</v>
      </c>
      <c r="F15" s="40">
        <v>4</v>
      </c>
      <c r="G15" s="40">
        <v>2.2000000000000002</v>
      </c>
      <c r="H15" s="3">
        <f t="shared" si="5"/>
        <v>0</v>
      </c>
      <c r="I15" s="3">
        <f t="shared" si="1"/>
        <v>2.1666666666666665</v>
      </c>
      <c r="J15" s="3">
        <f t="shared" si="2"/>
        <v>1.1916666666666669</v>
      </c>
      <c r="K15" s="3"/>
      <c r="L15" s="4">
        <f t="shared" si="0"/>
        <v>141.81500000000003</v>
      </c>
      <c r="M15" s="40">
        <v>0</v>
      </c>
      <c r="N15" s="40">
        <v>0.3</v>
      </c>
      <c r="O15" s="40">
        <v>0.2</v>
      </c>
      <c r="P15" s="40">
        <v>0</v>
      </c>
      <c r="Q15" s="40">
        <v>2.1</v>
      </c>
      <c r="R15" s="40"/>
      <c r="S15" s="2">
        <f t="shared" si="3"/>
        <v>80.299999999999983</v>
      </c>
      <c r="T15" s="2">
        <v>6</v>
      </c>
      <c r="U15" s="2">
        <v>0</v>
      </c>
      <c r="V15" s="2">
        <v>5</v>
      </c>
      <c r="W15" s="2">
        <v>0</v>
      </c>
      <c r="X15" s="2">
        <f t="shared" si="4"/>
        <v>182</v>
      </c>
      <c r="Z15" s="1">
        <v>61</v>
      </c>
      <c r="AA15" s="1">
        <v>122</v>
      </c>
      <c r="AB15" s="2">
        <f>SUM(Z15:AA15)</f>
        <v>183</v>
      </c>
      <c r="AD15" s="121"/>
      <c r="AE15" s="121"/>
    </row>
    <row r="16" spans="1:31" x14ac:dyDescent="0.25">
      <c r="A16" s="2" t="s">
        <v>41</v>
      </c>
      <c r="B16" s="65">
        <v>0.33333333333333331</v>
      </c>
      <c r="C16" s="2">
        <v>24</v>
      </c>
      <c r="D16" s="10" t="s">
        <v>17</v>
      </c>
      <c r="E16" s="40">
        <v>20</v>
      </c>
      <c r="F16" s="40">
        <v>3.8</v>
      </c>
      <c r="G16" s="40">
        <v>1.5</v>
      </c>
      <c r="H16" s="3">
        <f t="shared" si="5"/>
        <v>20</v>
      </c>
      <c r="I16" s="3">
        <f t="shared" si="1"/>
        <v>3.8</v>
      </c>
      <c r="J16" s="3">
        <f t="shared" si="2"/>
        <v>1.5</v>
      </c>
      <c r="K16" s="3"/>
      <c r="L16" s="4">
        <f t="shared" si="0"/>
        <v>116.51500000000003</v>
      </c>
      <c r="M16" s="40">
        <v>0</v>
      </c>
      <c r="N16" s="40">
        <v>0.2</v>
      </c>
      <c r="O16" s="40">
        <v>0.2</v>
      </c>
      <c r="P16" s="40">
        <v>0</v>
      </c>
      <c r="Q16" s="40">
        <v>1</v>
      </c>
      <c r="R16" s="40"/>
      <c r="S16" s="2">
        <f t="shared" si="3"/>
        <v>78.899999999999977</v>
      </c>
      <c r="T16" s="2">
        <v>10</v>
      </c>
      <c r="U16" s="2">
        <v>0</v>
      </c>
      <c r="V16" s="2">
        <v>6</v>
      </c>
      <c r="W16" s="2">
        <v>0</v>
      </c>
      <c r="X16" s="2">
        <f t="shared" si="4"/>
        <v>186</v>
      </c>
      <c r="Z16" s="1">
        <v>61</v>
      </c>
      <c r="AA16" s="1">
        <v>125</v>
      </c>
      <c r="AB16" s="2">
        <f>SUM(Z16:AA16)</f>
        <v>186</v>
      </c>
      <c r="AD16" s="121"/>
      <c r="AE16" s="121"/>
    </row>
    <row r="17" spans="1:31" x14ac:dyDescent="0.25">
      <c r="A17" s="2" t="s">
        <v>41</v>
      </c>
      <c r="B17" s="7">
        <v>0.66666666666666663</v>
      </c>
      <c r="C17" s="2">
        <v>8</v>
      </c>
      <c r="D17" s="10" t="s">
        <v>42</v>
      </c>
      <c r="E17" s="40">
        <v>18</v>
      </c>
      <c r="F17" s="40">
        <v>2.5</v>
      </c>
      <c r="G17" s="40">
        <v>1.2</v>
      </c>
      <c r="H17" s="3">
        <f t="shared" si="5"/>
        <v>6</v>
      </c>
      <c r="I17" s="3">
        <f t="shared" si="1"/>
        <v>0.83333333333333337</v>
      </c>
      <c r="J17" s="3">
        <f t="shared" si="2"/>
        <v>0.39999999999999997</v>
      </c>
      <c r="K17" s="3"/>
      <c r="L17" s="4">
        <f t="shared" si="0"/>
        <v>109.28166666666669</v>
      </c>
      <c r="M17" s="40">
        <v>0</v>
      </c>
      <c r="N17" s="40">
        <v>0.2</v>
      </c>
      <c r="O17" s="40">
        <v>0.2</v>
      </c>
      <c r="P17" s="40">
        <v>0</v>
      </c>
      <c r="Q17" s="40">
        <v>0</v>
      </c>
      <c r="R17" s="40"/>
      <c r="S17" s="2">
        <f t="shared" si="3"/>
        <v>78.499999999999972</v>
      </c>
      <c r="T17" s="2">
        <v>5</v>
      </c>
      <c r="U17" s="2">
        <v>0</v>
      </c>
      <c r="V17" s="2">
        <v>4</v>
      </c>
      <c r="W17" s="2">
        <v>0</v>
      </c>
      <c r="X17" s="2">
        <f t="shared" si="4"/>
        <v>187</v>
      </c>
      <c r="Z17" s="1"/>
      <c r="AA17" s="1"/>
      <c r="AB17" s="2"/>
      <c r="AD17" s="121">
        <v>12.5</v>
      </c>
      <c r="AE17" s="121" t="s">
        <v>1297</v>
      </c>
    </row>
    <row r="18" spans="1:31" x14ac:dyDescent="0.25">
      <c r="A18" s="19" t="s">
        <v>43</v>
      </c>
      <c r="B18" s="65">
        <v>0.33333333333333331</v>
      </c>
      <c r="C18" s="2">
        <v>16</v>
      </c>
      <c r="D18" s="10" t="s">
        <v>17</v>
      </c>
      <c r="E18" s="40">
        <v>0</v>
      </c>
      <c r="F18" s="40">
        <v>2.4</v>
      </c>
      <c r="G18" s="40">
        <v>2.2000000000000002</v>
      </c>
      <c r="H18" s="3">
        <f t="shared" si="5"/>
        <v>0</v>
      </c>
      <c r="I18" s="3">
        <f t="shared" si="1"/>
        <v>1.5999999999999999</v>
      </c>
      <c r="J18" s="3">
        <f t="shared" si="2"/>
        <v>1.4666666666666668</v>
      </c>
      <c r="K18" s="3"/>
      <c r="L18" s="4">
        <f>+IF(C18="","",L17-(H18+I18+J18))+K18</f>
        <v>106.21500000000003</v>
      </c>
      <c r="M18" s="40">
        <v>0</v>
      </c>
      <c r="N18" s="40">
        <v>0.4</v>
      </c>
      <c r="O18" s="40">
        <v>0.2</v>
      </c>
      <c r="P18" s="40">
        <v>0</v>
      </c>
      <c r="Q18" s="40">
        <v>0</v>
      </c>
      <c r="R18" s="40"/>
      <c r="S18" s="2">
        <f t="shared" si="3"/>
        <v>77.899999999999977</v>
      </c>
      <c r="T18" s="2">
        <v>0</v>
      </c>
      <c r="U18" s="2">
        <v>0</v>
      </c>
      <c r="V18" s="2">
        <v>4</v>
      </c>
      <c r="W18" s="2">
        <v>0</v>
      </c>
      <c r="X18" s="2">
        <f t="shared" si="4"/>
        <v>183</v>
      </c>
      <c r="Z18" s="1"/>
      <c r="AA18" s="1"/>
      <c r="AB18" s="2"/>
      <c r="AD18" s="121"/>
      <c r="AE18" s="121"/>
    </row>
    <row r="19" spans="1:31" x14ac:dyDescent="0.25">
      <c r="A19" s="2" t="s">
        <v>44</v>
      </c>
      <c r="B19" s="65">
        <v>0.33333333333333331</v>
      </c>
      <c r="C19" s="2">
        <v>24</v>
      </c>
      <c r="D19" s="10" t="s">
        <v>17</v>
      </c>
      <c r="E19" s="40">
        <v>0</v>
      </c>
      <c r="F19" s="40">
        <v>2.4</v>
      </c>
      <c r="G19" s="40">
        <v>2.2000000000000002</v>
      </c>
      <c r="H19" s="3">
        <f t="shared" si="5"/>
        <v>0</v>
      </c>
      <c r="I19" s="3">
        <f t="shared" si="1"/>
        <v>2.4</v>
      </c>
      <c r="J19" s="3">
        <f t="shared" si="2"/>
        <v>2.2000000000000002</v>
      </c>
      <c r="K19" s="20">
        <v>800</v>
      </c>
      <c r="L19" s="4">
        <f>+IF(C19="","",L18-(H19+I19+J19))+K19</f>
        <v>901.61500000000001</v>
      </c>
      <c r="M19" s="40">
        <v>0</v>
      </c>
      <c r="N19" s="40">
        <v>0.2</v>
      </c>
      <c r="O19" s="40">
        <v>0.1</v>
      </c>
      <c r="P19" s="40">
        <v>0</v>
      </c>
      <c r="Q19" s="40">
        <v>0</v>
      </c>
      <c r="R19" s="40"/>
      <c r="S19" s="2">
        <f t="shared" si="3"/>
        <v>77.59999999999998</v>
      </c>
      <c r="T19" s="2">
        <v>0</v>
      </c>
      <c r="U19" s="2">
        <v>150</v>
      </c>
      <c r="V19" s="2">
        <v>6</v>
      </c>
      <c r="W19" s="2">
        <v>0</v>
      </c>
      <c r="X19" s="2">
        <f t="shared" si="4"/>
        <v>327</v>
      </c>
      <c r="Z19" s="1"/>
      <c r="AA19" s="1"/>
      <c r="AB19" s="2"/>
      <c r="AD19" s="121"/>
      <c r="AE19" s="121"/>
    </row>
    <row r="20" spans="1:31" x14ac:dyDescent="0.25">
      <c r="A20" s="2" t="s">
        <v>45</v>
      </c>
      <c r="B20" s="65">
        <v>0.33333333333333331</v>
      </c>
      <c r="C20" s="2">
        <v>24</v>
      </c>
      <c r="D20" s="10" t="s">
        <v>17</v>
      </c>
      <c r="E20" s="40">
        <v>0</v>
      </c>
      <c r="F20" s="40">
        <v>2.8</v>
      </c>
      <c r="G20" s="40">
        <v>2.2000000000000002</v>
      </c>
      <c r="H20" s="3">
        <f t="shared" si="5"/>
        <v>0</v>
      </c>
      <c r="I20" s="3">
        <f t="shared" si="1"/>
        <v>2.8</v>
      </c>
      <c r="J20" s="3">
        <f t="shared" si="2"/>
        <v>2.2000000000000002</v>
      </c>
      <c r="K20" s="3"/>
      <c r="L20" s="4">
        <f t="shared" si="0"/>
        <v>896.61500000000001</v>
      </c>
      <c r="M20" s="40">
        <v>0</v>
      </c>
      <c r="N20" s="40">
        <v>0.2</v>
      </c>
      <c r="O20" s="40">
        <v>0.1</v>
      </c>
      <c r="P20" s="40">
        <v>0</v>
      </c>
      <c r="Q20" s="40">
        <v>0</v>
      </c>
      <c r="R20" s="40"/>
      <c r="S20" s="2">
        <f t="shared" si="3"/>
        <v>77.299999999999983</v>
      </c>
      <c r="T20" s="2">
        <v>0</v>
      </c>
      <c r="U20" s="2">
        <v>0</v>
      </c>
      <c r="V20" s="2">
        <v>6</v>
      </c>
      <c r="W20" s="2">
        <v>0</v>
      </c>
      <c r="X20" s="2">
        <f t="shared" si="4"/>
        <v>321</v>
      </c>
      <c r="Z20" s="1"/>
      <c r="AA20" s="1"/>
      <c r="AB20" s="2"/>
      <c r="AD20" s="121"/>
      <c r="AE20" s="121"/>
    </row>
    <row r="21" spans="1:31" x14ac:dyDescent="0.25">
      <c r="A21" s="2" t="s">
        <v>46</v>
      </c>
      <c r="B21" s="7">
        <v>0.25</v>
      </c>
      <c r="C21" s="2">
        <v>22</v>
      </c>
      <c r="D21" s="10" t="s">
        <v>47</v>
      </c>
      <c r="E21" s="40">
        <v>0</v>
      </c>
      <c r="F21" s="40">
        <v>2.6</v>
      </c>
      <c r="G21" s="40">
        <v>2.2000000000000002</v>
      </c>
      <c r="H21" s="3">
        <f t="shared" si="5"/>
        <v>0</v>
      </c>
      <c r="I21" s="3">
        <f t="shared" si="1"/>
        <v>2.3833333333333333</v>
      </c>
      <c r="J21" s="3">
        <f t="shared" si="2"/>
        <v>2.0166666666666666</v>
      </c>
      <c r="K21" s="3"/>
      <c r="L21" s="4">
        <f t="shared" si="0"/>
        <v>892.21500000000003</v>
      </c>
      <c r="M21" s="40">
        <v>0</v>
      </c>
      <c r="N21" s="40">
        <v>0.2</v>
      </c>
      <c r="O21" s="40">
        <v>0.1</v>
      </c>
      <c r="P21" s="40">
        <v>0</v>
      </c>
      <c r="Q21" s="40">
        <v>0</v>
      </c>
      <c r="R21" s="40"/>
      <c r="S21" s="4">
        <f t="shared" si="3"/>
        <v>76.999999999999986</v>
      </c>
      <c r="T21" s="2">
        <v>0</v>
      </c>
      <c r="U21" s="2">
        <v>0</v>
      </c>
      <c r="V21" s="2">
        <v>9</v>
      </c>
      <c r="W21" s="2">
        <v>1</v>
      </c>
      <c r="X21" s="2">
        <f t="shared" si="4"/>
        <v>311</v>
      </c>
      <c r="Z21" s="1"/>
      <c r="AA21" s="1"/>
      <c r="AB21" s="2"/>
      <c r="AD21" s="121"/>
      <c r="AE21" s="121"/>
    </row>
    <row r="22" spans="1:31" x14ac:dyDescent="0.25">
      <c r="A22" s="2" t="s">
        <v>46</v>
      </c>
      <c r="B22" s="65">
        <v>0.33333333333333331</v>
      </c>
      <c r="C22" s="2">
        <v>2</v>
      </c>
      <c r="D22" s="10" t="s">
        <v>17</v>
      </c>
      <c r="E22" s="40">
        <v>16</v>
      </c>
      <c r="F22" s="40">
        <v>3.8</v>
      </c>
      <c r="G22" s="40">
        <v>2</v>
      </c>
      <c r="H22" s="3">
        <f t="shared" si="5"/>
        <v>1.3333333333333333</v>
      </c>
      <c r="I22" s="3">
        <f t="shared" si="1"/>
        <v>0.31666666666666665</v>
      </c>
      <c r="J22" s="3">
        <f t="shared" si="2"/>
        <v>0.16666666666666666</v>
      </c>
      <c r="K22" s="3"/>
      <c r="L22" s="4">
        <f t="shared" si="0"/>
        <v>890.39833333333331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/>
      <c r="S22" s="4">
        <f t="shared" si="3"/>
        <v>76.999999999999986</v>
      </c>
      <c r="T22" s="2">
        <v>1</v>
      </c>
      <c r="U22" s="2">
        <v>0</v>
      </c>
      <c r="V22" s="2">
        <v>1</v>
      </c>
      <c r="W22" s="2">
        <v>0</v>
      </c>
      <c r="X22" s="2">
        <f t="shared" si="4"/>
        <v>311</v>
      </c>
      <c r="Z22" s="1">
        <v>120</v>
      </c>
      <c r="AA22" s="1">
        <v>144</v>
      </c>
      <c r="AB22" s="2">
        <f>SUM(Z22:AA22)</f>
        <v>264</v>
      </c>
      <c r="AD22" s="121"/>
      <c r="AE22" s="121"/>
    </row>
    <row r="23" spans="1:31" x14ac:dyDescent="0.25">
      <c r="A23" s="2" t="s">
        <v>46</v>
      </c>
      <c r="B23" s="7">
        <v>8.3333333333333329E-2</v>
      </c>
      <c r="C23" s="2">
        <v>14</v>
      </c>
      <c r="D23" s="10" t="s">
        <v>48</v>
      </c>
      <c r="E23" s="40">
        <v>0</v>
      </c>
      <c r="F23" s="40">
        <v>3.2</v>
      </c>
      <c r="G23" s="40">
        <v>2.2000000000000002</v>
      </c>
      <c r="H23" s="3">
        <f t="shared" si="5"/>
        <v>0</v>
      </c>
      <c r="I23" s="3">
        <f t="shared" si="1"/>
        <v>1.8666666666666667</v>
      </c>
      <c r="J23" s="3">
        <f t="shared" si="2"/>
        <v>1.2833333333333334</v>
      </c>
      <c r="K23" s="3"/>
      <c r="L23" s="4">
        <f t="shared" si="0"/>
        <v>887.24833333333333</v>
      </c>
      <c r="M23" s="40">
        <v>0</v>
      </c>
      <c r="N23" s="40">
        <v>0.2</v>
      </c>
      <c r="O23" s="40">
        <v>0.2</v>
      </c>
      <c r="P23" s="40">
        <v>0</v>
      </c>
      <c r="Q23" s="40">
        <v>2.2000000000000002</v>
      </c>
      <c r="R23" s="40"/>
      <c r="S23" s="2">
        <f t="shared" si="3"/>
        <v>74.399999999999991</v>
      </c>
      <c r="T23" s="2">
        <v>0</v>
      </c>
      <c r="U23" s="2">
        <v>0</v>
      </c>
      <c r="V23" s="2">
        <v>3</v>
      </c>
      <c r="W23" s="2">
        <v>0</v>
      </c>
      <c r="X23" s="2">
        <f t="shared" si="4"/>
        <v>308</v>
      </c>
      <c r="Z23" s="1"/>
      <c r="AA23" s="1"/>
      <c r="AB23" s="2"/>
      <c r="AD23" s="121"/>
      <c r="AE23" s="121"/>
    </row>
    <row r="24" spans="1:31" x14ac:dyDescent="0.25">
      <c r="A24" s="2" t="s">
        <v>49</v>
      </c>
      <c r="B24" s="7">
        <v>0.20833333333333334</v>
      </c>
      <c r="C24" s="2">
        <v>3</v>
      </c>
      <c r="D24" s="10" t="s">
        <v>50</v>
      </c>
      <c r="E24" s="40">
        <v>18</v>
      </c>
      <c r="F24" s="40">
        <v>3</v>
      </c>
      <c r="G24" s="40">
        <v>1.8</v>
      </c>
      <c r="H24" s="3">
        <f t="shared" si="5"/>
        <v>2.25</v>
      </c>
      <c r="I24" s="3">
        <f t="shared" si="1"/>
        <v>0.375</v>
      </c>
      <c r="J24" s="3">
        <f t="shared" si="2"/>
        <v>0.22499999999999998</v>
      </c>
      <c r="K24" s="3"/>
      <c r="L24" s="4">
        <f t="shared" si="0"/>
        <v>884.39833333333331</v>
      </c>
      <c r="M24" s="40">
        <v>0</v>
      </c>
      <c r="N24" s="40">
        <v>0.1</v>
      </c>
      <c r="O24" s="40">
        <v>0.1</v>
      </c>
      <c r="P24" s="40">
        <v>0.2</v>
      </c>
      <c r="Q24" s="40">
        <v>0</v>
      </c>
      <c r="R24" s="40"/>
      <c r="S24" s="2">
        <f t="shared" si="3"/>
        <v>73.999999999999986</v>
      </c>
      <c r="T24" s="2">
        <v>1</v>
      </c>
      <c r="U24" s="2">
        <v>0</v>
      </c>
      <c r="V24" s="2">
        <v>2</v>
      </c>
      <c r="W24" s="2">
        <v>0</v>
      </c>
      <c r="X24" s="2">
        <f t="shared" si="4"/>
        <v>307</v>
      </c>
      <c r="Z24" s="1"/>
      <c r="AA24" s="1"/>
      <c r="AB24" s="2"/>
      <c r="AD24" s="121">
        <v>12.5</v>
      </c>
      <c r="AE24" s="121" t="s">
        <v>1295</v>
      </c>
    </row>
    <row r="25" spans="1:31" x14ac:dyDescent="0.25">
      <c r="A25" s="2" t="s">
        <v>49</v>
      </c>
      <c r="B25" s="7">
        <v>0.33333333333333331</v>
      </c>
      <c r="C25" s="2">
        <v>3</v>
      </c>
      <c r="D25" s="10" t="s">
        <v>17</v>
      </c>
      <c r="E25" s="40">
        <v>0</v>
      </c>
      <c r="F25" s="40">
        <v>2.4</v>
      </c>
      <c r="G25" s="40">
        <v>2.2000000000000002</v>
      </c>
      <c r="H25" s="3">
        <f t="shared" si="5"/>
        <v>0</v>
      </c>
      <c r="I25" s="3">
        <f t="shared" si="1"/>
        <v>0.3</v>
      </c>
      <c r="J25" s="3">
        <f t="shared" si="2"/>
        <v>0.27500000000000002</v>
      </c>
      <c r="K25" s="3"/>
      <c r="L25" s="4">
        <f t="shared" si="0"/>
        <v>883.82333333333327</v>
      </c>
      <c r="M25" s="40">
        <v>0</v>
      </c>
      <c r="N25" s="40">
        <v>0</v>
      </c>
      <c r="O25" s="40">
        <v>0</v>
      </c>
      <c r="P25" s="40">
        <v>0.1</v>
      </c>
      <c r="Q25" s="40">
        <v>0</v>
      </c>
      <c r="R25" s="40"/>
      <c r="S25" s="2">
        <f t="shared" si="3"/>
        <v>73.899999999999991</v>
      </c>
      <c r="T25" s="2">
        <v>0</v>
      </c>
      <c r="U25" s="2">
        <v>0</v>
      </c>
      <c r="V25" s="2">
        <v>1</v>
      </c>
      <c r="W25" s="2">
        <v>0</v>
      </c>
      <c r="X25" s="2">
        <f t="shared" si="4"/>
        <v>306</v>
      </c>
      <c r="Z25" s="1">
        <v>142</v>
      </c>
      <c r="AA25" s="1">
        <v>144</v>
      </c>
      <c r="AB25" s="2">
        <f>SUM(Z25:AA25)</f>
        <v>286</v>
      </c>
      <c r="AD25" s="121"/>
      <c r="AE25" s="121"/>
    </row>
    <row r="26" spans="1:31" x14ac:dyDescent="0.25">
      <c r="A26" s="2" t="s">
        <v>49</v>
      </c>
      <c r="B26" s="7">
        <v>0.91666666666666663</v>
      </c>
      <c r="C26" s="2">
        <v>12</v>
      </c>
      <c r="D26" s="10" t="s">
        <v>47</v>
      </c>
      <c r="E26" s="40">
        <v>0</v>
      </c>
      <c r="F26" s="40">
        <v>2.4</v>
      </c>
      <c r="G26" s="40">
        <v>2.2000000000000002</v>
      </c>
      <c r="H26" s="3">
        <f t="shared" si="5"/>
        <v>0</v>
      </c>
      <c r="I26" s="3">
        <f t="shared" si="1"/>
        <v>1.2</v>
      </c>
      <c r="J26" s="3">
        <f t="shared" si="2"/>
        <v>1.1000000000000001</v>
      </c>
      <c r="K26" s="3"/>
      <c r="L26" s="4">
        <f t="shared" si="0"/>
        <v>881.52333333333331</v>
      </c>
      <c r="M26" s="40">
        <v>0</v>
      </c>
      <c r="N26" s="40">
        <v>0</v>
      </c>
      <c r="O26" s="40">
        <v>0.1</v>
      </c>
      <c r="P26" s="40">
        <v>0.1</v>
      </c>
      <c r="Q26" s="40">
        <v>0</v>
      </c>
      <c r="R26" s="40"/>
      <c r="S26" s="2">
        <f t="shared" si="3"/>
        <v>73.699999999999989</v>
      </c>
      <c r="T26" s="2">
        <v>0</v>
      </c>
      <c r="U26" s="2">
        <v>0</v>
      </c>
      <c r="V26" s="2">
        <v>4</v>
      </c>
      <c r="W26" s="2">
        <v>1</v>
      </c>
      <c r="X26" s="2">
        <f t="shared" si="4"/>
        <v>301</v>
      </c>
      <c r="Z26" s="1"/>
      <c r="AA26" s="1"/>
      <c r="AB26" s="2"/>
      <c r="AD26" s="121"/>
      <c r="AE26" s="121"/>
    </row>
    <row r="27" spans="1:31" x14ac:dyDescent="0.25">
      <c r="A27" s="2" t="s">
        <v>51</v>
      </c>
      <c r="B27" s="7">
        <v>0.33333333333333331</v>
      </c>
      <c r="C27" s="2">
        <v>10</v>
      </c>
      <c r="D27" s="10" t="s">
        <v>61</v>
      </c>
      <c r="E27" s="40">
        <v>18</v>
      </c>
      <c r="F27" s="40">
        <v>2.6</v>
      </c>
      <c r="G27" s="40">
        <v>0</v>
      </c>
      <c r="H27" s="3">
        <f t="shared" si="5"/>
        <v>7.5</v>
      </c>
      <c r="I27" s="3">
        <f t="shared" si="1"/>
        <v>1.0833333333333335</v>
      </c>
      <c r="J27" s="3">
        <f t="shared" si="2"/>
        <v>0</v>
      </c>
      <c r="K27" s="3"/>
      <c r="L27" s="4">
        <f t="shared" si="0"/>
        <v>872.93999999999994</v>
      </c>
      <c r="M27" s="40">
        <v>0</v>
      </c>
      <c r="N27" s="40">
        <v>0.2</v>
      </c>
      <c r="O27" s="40">
        <v>0.1</v>
      </c>
      <c r="P27" s="40">
        <v>0</v>
      </c>
      <c r="Q27" s="40">
        <v>0</v>
      </c>
      <c r="R27" s="40"/>
      <c r="S27" s="2">
        <f t="shared" si="3"/>
        <v>73.399999999999991</v>
      </c>
      <c r="T27" s="2">
        <v>4</v>
      </c>
      <c r="U27" s="2">
        <v>0</v>
      </c>
      <c r="V27" s="2">
        <v>4</v>
      </c>
      <c r="W27" s="2">
        <v>0</v>
      </c>
      <c r="X27" s="2">
        <f t="shared" si="4"/>
        <v>301</v>
      </c>
      <c r="Z27" s="1"/>
      <c r="AA27" s="1"/>
      <c r="AB27" s="2"/>
      <c r="AD27" s="121"/>
      <c r="AE27" s="121"/>
    </row>
    <row r="28" spans="1:31" x14ac:dyDescent="0.25">
      <c r="A28" s="2" t="s">
        <v>52</v>
      </c>
      <c r="B28" s="7">
        <v>0.33333333333333331</v>
      </c>
      <c r="C28" s="2">
        <v>24</v>
      </c>
      <c r="D28" s="10" t="s">
        <v>61</v>
      </c>
      <c r="E28" s="40">
        <v>18</v>
      </c>
      <c r="F28" s="40">
        <v>2.4</v>
      </c>
      <c r="G28" s="40">
        <v>0</v>
      </c>
      <c r="H28" s="3">
        <f t="shared" si="5"/>
        <v>18</v>
      </c>
      <c r="I28" s="3">
        <f t="shared" si="1"/>
        <v>2.4</v>
      </c>
      <c r="J28" s="3">
        <f t="shared" si="2"/>
        <v>0</v>
      </c>
      <c r="K28" s="3"/>
      <c r="L28" s="4">
        <f t="shared" si="0"/>
        <v>852.54</v>
      </c>
      <c r="M28" s="40">
        <v>0</v>
      </c>
      <c r="N28" s="40">
        <v>0.2</v>
      </c>
      <c r="O28" s="40">
        <v>0.1</v>
      </c>
      <c r="P28" s="40">
        <v>0</v>
      </c>
      <c r="Q28" s="40">
        <v>0</v>
      </c>
      <c r="R28" s="40"/>
      <c r="S28" s="2">
        <f t="shared" si="3"/>
        <v>73.099999999999994</v>
      </c>
      <c r="T28" s="2">
        <v>6</v>
      </c>
      <c r="U28" s="2">
        <v>0</v>
      </c>
      <c r="V28" s="2">
        <v>6</v>
      </c>
      <c r="W28" s="2">
        <v>1</v>
      </c>
      <c r="X28" s="2">
        <f t="shared" si="4"/>
        <v>300</v>
      </c>
      <c r="Z28" s="1"/>
      <c r="AA28" s="1"/>
      <c r="AB28" s="2"/>
      <c r="AD28" s="121"/>
      <c r="AE28" s="121"/>
    </row>
    <row r="29" spans="1:31" x14ac:dyDescent="0.25">
      <c r="A29" s="19" t="s">
        <v>53</v>
      </c>
      <c r="B29" s="7">
        <v>0.25</v>
      </c>
      <c r="C29" s="2">
        <v>22</v>
      </c>
      <c r="D29" s="10" t="s">
        <v>54</v>
      </c>
      <c r="E29" s="40">
        <v>18</v>
      </c>
      <c r="F29" s="40">
        <v>2.2000000000000002</v>
      </c>
      <c r="G29" s="40">
        <v>0</v>
      </c>
      <c r="H29" s="3">
        <f t="shared" si="5"/>
        <v>16.5</v>
      </c>
      <c r="I29" s="3">
        <f t="shared" si="1"/>
        <v>2.0166666666666666</v>
      </c>
      <c r="J29" s="3">
        <f t="shared" si="2"/>
        <v>0</v>
      </c>
      <c r="K29" s="3"/>
      <c r="L29" s="4">
        <f t="shared" si="0"/>
        <v>834.02333333333331</v>
      </c>
      <c r="M29" s="40">
        <v>0</v>
      </c>
      <c r="N29" s="40">
        <v>0.2</v>
      </c>
      <c r="O29" s="40">
        <v>0.1</v>
      </c>
      <c r="P29" s="40">
        <v>0</v>
      </c>
      <c r="Q29" s="40">
        <v>0</v>
      </c>
      <c r="R29" s="40"/>
      <c r="S29" s="2">
        <f t="shared" si="3"/>
        <v>72.8</v>
      </c>
      <c r="T29" s="2">
        <v>5</v>
      </c>
      <c r="U29" s="2">
        <v>0</v>
      </c>
      <c r="V29" s="2">
        <v>7</v>
      </c>
      <c r="W29" s="2">
        <v>1</v>
      </c>
      <c r="X29" s="2">
        <f t="shared" si="4"/>
        <v>297</v>
      </c>
      <c r="Z29" s="1"/>
      <c r="AA29" s="1"/>
      <c r="AB29" s="2"/>
      <c r="AD29" s="121">
        <v>11.4</v>
      </c>
      <c r="AE29" s="121" t="s">
        <v>1298</v>
      </c>
    </row>
    <row r="30" spans="1:31" x14ac:dyDescent="0.25">
      <c r="A30" s="19" t="s">
        <v>53</v>
      </c>
      <c r="B30" s="7">
        <v>0.33333333333333331</v>
      </c>
      <c r="C30" s="2">
        <v>2</v>
      </c>
      <c r="D30" s="10" t="s">
        <v>62</v>
      </c>
      <c r="E30" s="40">
        <v>0</v>
      </c>
      <c r="F30" s="40">
        <v>2.8</v>
      </c>
      <c r="G30" s="40">
        <v>1.8</v>
      </c>
      <c r="H30" s="3">
        <f t="shared" si="5"/>
        <v>0</v>
      </c>
      <c r="I30" s="3">
        <f t="shared" si="1"/>
        <v>0.23333333333333331</v>
      </c>
      <c r="J30" s="3">
        <f t="shared" si="2"/>
        <v>0.15</v>
      </c>
      <c r="K30" s="3"/>
      <c r="L30" s="4">
        <f t="shared" si="0"/>
        <v>833.64</v>
      </c>
      <c r="M30" s="40">
        <v>0</v>
      </c>
      <c r="N30" s="40">
        <v>0.1</v>
      </c>
      <c r="O30" s="40">
        <v>0.1</v>
      </c>
      <c r="P30" s="40">
        <v>0</v>
      </c>
      <c r="Q30" s="40">
        <v>0</v>
      </c>
      <c r="R30" s="40"/>
      <c r="S30" s="2">
        <f t="shared" si="3"/>
        <v>72.599999999999994</v>
      </c>
      <c r="T30" s="2">
        <v>0</v>
      </c>
      <c r="U30" s="2">
        <v>0</v>
      </c>
      <c r="V30" s="2">
        <v>1</v>
      </c>
      <c r="W30" s="2">
        <v>0</v>
      </c>
      <c r="X30" s="2">
        <f t="shared" si="4"/>
        <v>296</v>
      </c>
      <c r="Z30" s="1"/>
      <c r="AA30" s="1"/>
      <c r="AB30" s="2"/>
      <c r="AD30" s="121"/>
      <c r="AE30" s="121"/>
    </row>
    <row r="31" spans="1:31" x14ac:dyDescent="0.25">
      <c r="A31" s="19" t="s">
        <v>53</v>
      </c>
      <c r="B31" s="7">
        <v>0.75</v>
      </c>
      <c r="C31" s="2">
        <v>10</v>
      </c>
      <c r="D31" s="10" t="s">
        <v>55</v>
      </c>
      <c r="E31" s="40">
        <v>0</v>
      </c>
      <c r="F31" s="40">
        <v>2.8</v>
      </c>
      <c r="G31" s="40">
        <v>2</v>
      </c>
      <c r="H31" s="3">
        <f t="shared" si="5"/>
        <v>0</v>
      </c>
      <c r="I31" s="3">
        <f t="shared" si="1"/>
        <v>1.1666666666666665</v>
      </c>
      <c r="J31" s="3">
        <f t="shared" si="2"/>
        <v>0.83333333333333326</v>
      </c>
      <c r="K31" s="3"/>
      <c r="L31" s="4">
        <f t="shared" si="0"/>
        <v>831.64</v>
      </c>
      <c r="M31" s="40">
        <v>0</v>
      </c>
      <c r="N31" s="40">
        <v>0</v>
      </c>
      <c r="O31" s="40">
        <v>0.2</v>
      </c>
      <c r="P31" s="40">
        <v>0.4</v>
      </c>
      <c r="Q31" s="40">
        <v>0</v>
      </c>
      <c r="R31" s="40"/>
      <c r="S31" s="2">
        <f t="shared" si="3"/>
        <v>72</v>
      </c>
      <c r="T31" s="2">
        <v>0</v>
      </c>
      <c r="U31" s="2">
        <v>0</v>
      </c>
      <c r="V31" s="2">
        <v>4</v>
      </c>
      <c r="W31" s="2">
        <v>1</v>
      </c>
      <c r="X31" s="2">
        <f t="shared" si="4"/>
        <v>291</v>
      </c>
      <c r="Y31" s="22"/>
      <c r="Z31" s="1"/>
      <c r="AA31" s="1"/>
      <c r="AB31" s="2"/>
      <c r="AD31" s="121"/>
      <c r="AE31" s="121"/>
    </row>
    <row r="32" spans="1:31" x14ac:dyDescent="0.25">
      <c r="A32" s="2" t="s">
        <v>56</v>
      </c>
      <c r="B32" s="7">
        <v>0.20833333333333334</v>
      </c>
      <c r="C32" s="2">
        <v>11</v>
      </c>
      <c r="D32" s="10" t="s">
        <v>57</v>
      </c>
      <c r="E32" s="40">
        <v>0</v>
      </c>
      <c r="F32" s="40">
        <v>2.8</v>
      </c>
      <c r="G32" s="40">
        <v>2</v>
      </c>
      <c r="H32" s="3">
        <f t="shared" si="5"/>
        <v>0</v>
      </c>
      <c r="I32" s="3">
        <f t="shared" si="1"/>
        <v>1.2833333333333332</v>
      </c>
      <c r="J32" s="3">
        <f t="shared" si="2"/>
        <v>0.91666666666666663</v>
      </c>
      <c r="K32" s="3"/>
      <c r="L32" s="4">
        <f t="shared" si="0"/>
        <v>829.43999999999994</v>
      </c>
      <c r="M32" s="40">
        <v>0</v>
      </c>
      <c r="N32" s="40">
        <v>0.1</v>
      </c>
      <c r="O32" s="40">
        <v>0.2</v>
      </c>
      <c r="P32" s="40">
        <v>0</v>
      </c>
      <c r="Q32" s="40">
        <v>1.8</v>
      </c>
      <c r="R32" s="40"/>
      <c r="S32" s="2">
        <f t="shared" si="3"/>
        <v>69.900000000000006</v>
      </c>
      <c r="T32" s="2">
        <v>0</v>
      </c>
      <c r="U32" s="2">
        <v>0</v>
      </c>
      <c r="V32" s="2">
        <v>2</v>
      </c>
      <c r="W32" s="2">
        <v>0</v>
      </c>
      <c r="X32" s="2">
        <f t="shared" si="4"/>
        <v>289</v>
      </c>
      <c r="Z32" s="1"/>
      <c r="AA32" s="1"/>
      <c r="AB32" s="2"/>
      <c r="AD32" s="121"/>
      <c r="AE32" s="121"/>
    </row>
    <row r="33" spans="1:31" x14ac:dyDescent="0.25">
      <c r="A33" s="2" t="s">
        <v>56</v>
      </c>
      <c r="B33" s="7">
        <v>0.33333333333333331</v>
      </c>
      <c r="C33" s="2">
        <v>3</v>
      </c>
      <c r="D33" s="10" t="s">
        <v>59</v>
      </c>
      <c r="E33" s="40">
        <v>18</v>
      </c>
      <c r="F33" s="40">
        <v>2.4</v>
      </c>
      <c r="G33" s="40">
        <v>0</v>
      </c>
      <c r="H33" s="3">
        <f t="shared" si="5"/>
        <v>2.25</v>
      </c>
      <c r="I33" s="3">
        <f t="shared" si="1"/>
        <v>0.3</v>
      </c>
      <c r="J33" s="3">
        <f t="shared" si="2"/>
        <v>0</v>
      </c>
      <c r="K33" s="3"/>
      <c r="L33" s="4">
        <f t="shared" si="0"/>
        <v>826.89</v>
      </c>
      <c r="M33" s="40">
        <v>0</v>
      </c>
      <c r="N33" s="40">
        <v>0</v>
      </c>
      <c r="O33" s="40">
        <v>0.1</v>
      </c>
      <c r="P33" s="40">
        <v>0</v>
      </c>
      <c r="Q33" s="40">
        <v>0</v>
      </c>
      <c r="R33" s="40"/>
      <c r="S33" s="2">
        <f t="shared" si="3"/>
        <v>69.800000000000011</v>
      </c>
      <c r="T33" s="2">
        <v>0</v>
      </c>
      <c r="U33" s="2">
        <v>0</v>
      </c>
      <c r="V33" s="2">
        <v>2</v>
      </c>
      <c r="W33" s="2">
        <v>0</v>
      </c>
      <c r="X33" s="2">
        <f t="shared" si="4"/>
        <v>287</v>
      </c>
      <c r="Z33" s="1">
        <v>144</v>
      </c>
      <c r="AA33" s="1">
        <v>132</v>
      </c>
      <c r="AB33" s="2">
        <f>SUM(Z33:AA33)</f>
        <v>276</v>
      </c>
      <c r="AD33" s="121"/>
      <c r="AE33" s="121"/>
    </row>
    <row r="34" spans="1:31" x14ac:dyDescent="0.25">
      <c r="A34" s="2" t="s">
        <v>58</v>
      </c>
      <c r="B34" s="7">
        <v>0.33333333333333331</v>
      </c>
      <c r="C34" s="2">
        <v>24</v>
      </c>
      <c r="D34" s="10" t="s">
        <v>59</v>
      </c>
      <c r="E34" s="40">
        <v>18</v>
      </c>
      <c r="F34" s="40">
        <v>2.2000000000000002</v>
      </c>
      <c r="G34" s="40">
        <v>0</v>
      </c>
      <c r="H34" s="3">
        <f t="shared" si="5"/>
        <v>18</v>
      </c>
      <c r="I34" s="3">
        <f t="shared" si="1"/>
        <v>2.2000000000000002</v>
      </c>
      <c r="J34" s="3">
        <f t="shared" si="2"/>
        <v>0</v>
      </c>
      <c r="K34" s="3"/>
      <c r="L34" s="4">
        <f t="shared" si="0"/>
        <v>806.68999999999994</v>
      </c>
      <c r="M34" s="40">
        <v>0</v>
      </c>
      <c r="N34" s="40">
        <v>0.2</v>
      </c>
      <c r="O34" s="40">
        <v>0.1</v>
      </c>
      <c r="P34" s="40">
        <v>0.2</v>
      </c>
      <c r="Q34" s="40">
        <v>0</v>
      </c>
      <c r="R34" s="40"/>
      <c r="S34" s="2">
        <f t="shared" si="3"/>
        <v>69.300000000000011</v>
      </c>
      <c r="T34" s="2">
        <v>0</v>
      </c>
      <c r="U34" s="2">
        <v>0</v>
      </c>
      <c r="V34" s="2">
        <v>7</v>
      </c>
      <c r="W34" s="2">
        <v>1</v>
      </c>
      <c r="X34" s="2">
        <f t="shared" si="4"/>
        <v>279</v>
      </c>
      <c r="Z34" s="1">
        <v>144</v>
      </c>
      <c r="AA34" s="1">
        <v>123</v>
      </c>
      <c r="AB34" s="2">
        <f>SUM(Z34:AA34)</f>
        <v>267</v>
      </c>
      <c r="AD34" s="121"/>
      <c r="AE34" s="121"/>
    </row>
    <row r="35" spans="1:31" x14ac:dyDescent="0.25">
      <c r="A35" s="2" t="s">
        <v>58</v>
      </c>
      <c r="B35" s="7">
        <v>0.83333333333333337</v>
      </c>
      <c r="C35" s="2">
        <v>12</v>
      </c>
      <c r="D35" s="10" t="s">
        <v>63</v>
      </c>
      <c r="E35" s="40">
        <v>18</v>
      </c>
      <c r="F35" s="40">
        <v>2.4</v>
      </c>
      <c r="G35" s="40">
        <v>0</v>
      </c>
      <c r="H35" s="3">
        <f t="shared" ref="H35:H51" si="6">+IF(E35="","",(E35/24)*C35)</f>
        <v>9</v>
      </c>
      <c r="I35" s="3">
        <f t="shared" ref="I35:I56" si="7">+IF(F35="","",(F35/24)*C35)</f>
        <v>1.2</v>
      </c>
      <c r="J35" s="3">
        <f t="shared" ref="J35:J56" si="8">+IF(G35="","",(G35/24)*C35)</f>
        <v>0</v>
      </c>
      <c r="K35" s="3"/>
      <c r="L35" s="4">
        <f t="shared" ref="L35:L56" si="9">+IF(C35="","",L34-(H35+I35+J35))</f>
        <v>796.4899999999999</v>
      </c>
      <c r="M35" s="40">
        <v>0</v>
      </c>
      <c r="N35" s="40">
        <v>0.1</v>
      </c>
      <c r="O35" s="40">
        <v>0.1</v>
      </c>
      <c r="P35" s="40">
        <v>0.3</v>
      </c>
      <c r="Q35" s="40">
        <v>0</v>
      </c>
      <c r="R35" s="40"/>
      <c r="S35" s="2">
        <f t="shared" si="3"/>
        <v>68.800000000000011</v>
      </c>
      <c r="T35" s="2">
        <v>0</v>
      </c>
      <c r="U35" s="2">
        <v>0</v>
      </c>
      <c r="V35" s="2">
        <v>4</v>
      </c>
      <c r="W35" s="2">
        <v>0</v>
      </c>
      <c r="X35" s="2">
        <f t="shared" si="4"/>
        <v>275</v>
      </c>
      <c r="Z35" s="1"/>
      <c r="AA35" s="1"/>
      <c r="AB35" s="2"/>
      <c r="AD35" s="121">
        <v>12.6</v>
      </c>
      <c r="AE35" s="121" t="s">
        <v>1299</v>
      </c>
    </row>
    <row r="36" spans="1:31" x14ac:dyDescent="0.25">
      <c r="A36" s="2" t="s">
        <v>64</v>
      </c>
      <c r="B36" s="7">
        <v>0.125</v>
      </c>
      <c r="C36" s="2">
        <v>7</v>
      </c>
      <c r="D36" s="10" t="s">
        <v>65</v>
      </c>
      <c r="E36" s="40">
        <v>8</v>
      </c>
      <c r="F36" s="40">
        <v>3.8</v>
      </c>
      <c r="G36" s="40">
        <v>1.8</v>
      </c>
      <c r="H36" s="3">
        <f t="shared" si="6"/>
        <v>2.333333333333333</v>
      </c>
      <c r="I36" s="3">
        <f t="shared" si="7"/>
        <v>1.1083333333333334</v>
      </c>
      <c r="J36" s="3">
        <f t="shared" si="8"/>
        <v>0.52500000000000002</v>
      </c>
      <c r="K36" s="3"/>
      <c r="L36" s="4">
        <f t="shared" si="9"/>
        <v>792.5233333333332</v>
      </c>
      <c r="M36" s="40">
        <v>0</v>
      </c>
      <c r="N36" s="40">
        <v>0.2</v>
      </c>
      <c r="O36" s="40">
        <v>0.1</v>
      </c>
      <c r="P36" s="40">
        <v>0.3</v>
      </c>
      <c r="Q36" s="40">
        <v>0</v>
      </c>
      <c r="R36" s="40"/>
      <c r="S36" s="2">
        <f t="shared" si="3"/>
        <v>68.200000000000017</v>
      </c>
      <c r="T36" s="2">
        <v>0</v>
      </c>
      <c r="U36" s="2">
        <v>0</v>
      </c>
      <c r="V36" s="2">
        <v>3</v>
      </c>
      <c r="W36" s="2">
        <v>0</v>
      </c>
      <c r="X36" s="2">
        <f t="shared" si="4"/>
        <v>272</v>
      </c>
      <c r="Z36" s="1"/>
      <c r="AA36" s="1"/>
      <c r="AB36" s="2"/>
      <c r="AD36" s="121"/>
      <c r="AE36" s="121"/>
    </row>
    <row r="37" spans="1:31" x14ac:dyDescent="0.25">
      <c r="A37" s="2" t="s">
        <v>64</v>
      </c>
      <c r="B37" s="7">
        <v>0.33333333333333331</v>
      </c>
      <c r="C37" s="2">
        <v>5</v>
      </c>
      <c r="D37" s="10" t="s">
        <v>66</v>
      </c>
      <c r="E37" s="40">
        <v>0</v>
      </c>
      <c r="F37" s="40">
        <v>2.4</v>
      </c>
      <c r="G37" s="40">
        <v>2.2000000000000002</v>
      </c>
      <c r="H37" s="3">
        <f t="shared" si="6"/>
        <v>0</v>
      </c>
      <c r="I37" s="3">
        <f t="shared" si="7"/>
        <v>0.49999999999999994</v>
      </c>
      <c r="J37" s="3">
        <f t="shared" si="8"/>
        <v>0.45833333333333337</v>
      </c>
      <c r="K37" s="3"/>
      <c r="L37" s="4">
        <f t="shared" si="9"/>
        <v>791.56499999999983</v>
      </c>
      <c r="M37" s="40">
        <v>0</v>
      </c>
      <c r="N37" s="40">
        <v>0.1</v>
      </c>
      <c r="O37" s="40">
        <v>0</v>
      </c>
      <c r="P37" s="40">
        <v>0.3</v>
      </c>
      <c r="Q37" s="40">
        <v>0.6</v>
      </c>
      <c r="R37" s="40"/>
      <c r="S37" s="2">
        <f t="shared" si="3"/>
        <v>67.200000000000017</v>
      </c>
      <c r="T37" s="2">
        <v>0</v>
      </c>
      <c r="U37" s="2">
        <v>0</v>
      </c>
      <c r="V37" s="2">
        <v>2</v>
      </c>
      <c r="W37" s="2">
        <v>0</v>
      </c>
      <c r="X37" s="2">
        <f t="shared" si="4"/>
        <v>270</v>
      </c>
      <c r="Z37" s="1"/>
      <c r="AA37" s="1"/>
      <c r="AB37" s="2"/>
      <c r="AD37" s="121"/>
      <c r="AE37" s="121"/>
    </row>
    <row r="38" spans="1:31" x14ac:dyDescent="0.25">
      <c r="A38" s="2" t="s">
        <v>64</v>
      </c>
      <c r="B38" s="7">
        <v>0.97916666666666663</v>
      </c>
      <c r="C38" s="2">
        <v>15.5</v>
      </c>
      <c r="D38" s="10" t="s">
        <v>42</v>
      </c>
      <c r="E38" s="40">
        <v>20</v>
      </c>
      <c r="F38" s="40">
        <v>2.6</v>
      </c>
      <c r="G38" s="40">
        <v>1</v>
      </c>
      <c r="H38" s="3">
        <f t="shared" si="6"/>
        <v>12.916666666666668</v>
      </c>
      <c r="I38" s="3">
        <f t="shared" si="7"/>
        <v>1.6791666666666667</v>
      </c>
      <c r="J38" s="3">
        <f t="shared" si="8"/>
        <v>0.64583333333333326</v>
      </c>
      <c r="K38" s="3"/>
      <c r="L38" s="4">
        <f t="shared" si="9"/>
        <v>776.32333333333315</v>
      </c>
      <c r="M38" s="40">
        <v>0</v>
      </c>
      <c r="N38" s="40">
        <v>0.2</v>
      </c>
      <c r="O38" s="40">
        <v>0.1</v>
      </c>
      <c r="P38" s="40">
        <v>0.2</v>
      </c>
      <c r="Q38" s="40">
        <v>0</v>
      </c>
      <c r="R38" s="40"/>
      <c r="S38" s="2">
        <f t="shared" si="3"/>
        <v>66.700000000000017</v>
      </c>
      <c r="T38" s="2">
        <v>0</v>
      </c>
      <c r="U38" s="2">
        <v>0</v>
      </c>
      <c r="V38" s="2">
        <v>4</v>
      </c>
      <c r="W38" s="2">
        <v>0</v>
      </c>
      <c r="X38" s="2">
        <f t="shared" si="4"/>
        <v>266</v>
      </c>
      <c r="Z38" s="1"/>
      <c r="AA38" s="1"/>
      <c r="AB38" s="2"/>
      <c r="AD38" s="121">
        <v>12.6</v>
      </c>
      <c r="AE38" s="121" t="s">
        <v>1300</v>
      </c>
    </row>
    <row r="39" spans="1:31" x14ac:dyDescent="0.25">
      <c r="A39" s="2" t="s">
        <v>70</v>
      </c>
      <c r="B39" s="7">
        <v>0.20833333333333334</v>
      </c>
      <c r="C39" s="2">
        <v>5.5</v>
      </c>
      <c r="D39" s="10" t="s">
        <v>67</v>
      </c>
      <c r="E39" s="40">
        <v>0</v>
      </c>
      <c r="F39" s="40">
        <v>2.4</v>
      </c>
      <c r="G39" s="40">
        <v>2.2000000000000002</v>
      </c>
      <c r="H39" s="3">
        <f t="shared" si="6"/>
        <v>0</v>
      </c>
      <c r="I39" s="3">
        <f t="shared" si="7"/>
        <v>0.54999999999999993</v>
      </c>
      <c r="J39" s="3">
        <f t="shared" si="8"/>
        <v>0.50416666666666665</v>
      </c>
      <c r="K39" s="3"/>
      <c r="L39" s="4">
        <f t="shared" si="9"/>
        <v>775.26916666666648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/>
      <c r="S39" s="2">
        <f t="shared" si="3"/>
        <v>66.700000000000017</v>
      </c>
      <c r="T39" s="2">
        <v>0</v>
      </c>
      <c r="U39" s="2">
        <v>0</v>
      </c>
      <c r="V39" s="2">
        <v>1</v>
      </c>
      <c r="W39" s="2">
        <v>0</v>
      </c>
      <c r="X39" s="2">
        <f t="shared" si="4"/>
        <v>265</v>
      </c>
      <c r="Z39" s="1"/>
      <c r="AA39" s="1"/>
      <c r="AB39" s="2"/>
      <c r="AD39" s="121"/>
      <c r="AE39" s="121"/>
    </row>
    <row r="40" spans="1:31" x14ac:dyDescent="0.25">
      <c r="A40" s="2" t="s">
        <v>70</v>
      </c>
      <c r="B40" s="7">
        <v>0.27083333333333331</v>
      </c>
      <c r="C40" s="2">
        <v>1.5</v>
      </c>
      <c r="D40" s="10" t="s">
        <v>68</v>
      </c>
      <c r="E40" s="40">
        <v>16</v>
      </c>
      <c r="F40" s="40">
        <v>2.8</v>
      </c>
      <c r="G40" s="40">
        <v>2</v>
      </c>
      <c r="H40" s="3">
        <f t="shared" si="6"/>
        <v>1</v>
      </c>
      <c r="I40" s="3">
        <f t="shared" si="7"/>
        <v>0.17499999999999999</v>
      </c>
      <c r="J40" s="3">
        <f t="shared" si="8"/>
        <v>0.125</v>
      </c>
      <c r="K40" s="3"/>
      <c r="L40" s="4">
        <f t="shared" si="9"/>
        <v>773.96916666666652</v>
      </c>
      <c r="M40" s="40">
        <v>0</v>
      </c>
      <c r="N40" s="40">
        <v>0</v>
      </c>
      <c r="O40" s="40">
        <v>0.1</v>
      </c>
      <c r="P40" s="40">
        <v>0</v>
      </c>
      <c r="Q40" s="40">
        <v>0</v>
      </c>
      <c r="R40" s="40"/>
      <c r="S40" s="2">
        <f t="shared" si="3"/>
        <v>66.600000000000023</v>
      </c>
      <c r="T40" s="2">
        <v>0</v>
      </c>
      <c r="U40" s="2">
        <v>0</v>
      </c>
      <c r="V40" s="2">
        <v>1</v>
      </c>
      <c r="W40" s="2">
        <v>0</v>
      </c>
      <c r="X40" s="2">
        <f t="shared" si="4"/>
        <v>264</v>
      </c>
      <c r="Z40" s="1"/>
      <c r="AA40" s="1"/>
      <c r="AB40" s="2"/>
      <c r="AD40" s="121"/>
      <c r="AE40" s="121"/>
    </row>
    <row r="41" spans="1:31" x14ac:dyDescent="0.25">
      <c r="A41" s="2" t="s">
        <v>70</v>
      </c>
      <c r="B41" s="7">
        <v>0.33333333333333331</v>
      </c>
      <c r="C41" s="2">
        <v>1.5</v>
      </c>
      <c r="D41" s="10" t="s">
        <v>69</v>
      </c>
      <c r="E41" s="40">
        <v>0</v>
      </c>
      <c r="F41" s="40">
        <v>2.5</v>
      </c>
      <c r="G41" s="40">
        <v>2.2000000000000002</v>
      </c>
      <c r="H41" s="3">
        <f t="shared" si="6"/>
        <v>0</v>
      </c>
      <c r="I41" s="3">
        <f t="shared" si="7"/>
        <v>0.15625</v>
      </c>
      <c r="J41" s="3">
        <f t="shared" si="8"/>
        <v>0.13750000000000001</v>
      </c>
      <c r="K41" s="3"/>
      <c r="L41" s="4">
        <f t="shared" si="9"/>
        <v>773.67541666666648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/>
      <c r="S41" s="2">
        <f>IF(C41="","",(S40+R41)-(M41+N41+O41+P41+Q41))</f>
        <v>66.600000000000023</v>
      </c>
      <c r="T41" s="2">
        <v>0</v>
      </c>
      <c r="U41" s="2">
        <v>0</v>
      </c>
      <c r="V41" s="2">
        <v>0</v>
      </c>
      <c r="W41" s="2">
        <v>0</v>
      </c>
      <c r="X41" s="2">
        <f t="shared" si="4"/>
        <v>264</v>
      </c>
      <c r="Z41" s="1"/>
      <c r="AA41" s="1"/>
      <c r="AB41" s="2"/>
      <c r="AD41" s="121"/>
      <c r="AE41" s="121"/>
    </row>
    <row r="42" spans="1:31" x14ac:dyDescent="0.25">
      <c r="A42" s="2" t="s">
        <v>71</v>
      </c>
      <c r="B42" s="7">
        <v>0</v>
      </c>
      <c r="C42" s="2">
        <v>16</v>
      </c>
      <c r="D42" s="10" t="s">
        <v>72</v>
      </c>
      <c r="E42" s="40">
        <v>0</v>
      </c>
      <c r="F42" s="40">
        <v>2.4</v>
      </c>
      <c r="G42" s="40">
        <v>2.2000000000000002</v>
      </c>
      <c r="H42" s="3">
        <f t="shared" si="6"/>
        <v>0</v>
      </c>
      <c r="I42" s="3">
        <f t="shared" si="7"/>
        <v>1.5999999999999999</v>
      </c>
      <c r="J42" s="3">
        <f t="shared" si="8"/>
        <v>1.4666666666666668</v>
      </c>
      <c r="K42" s="3"/>
      <c r="L42" s="4">
        <f t="shared" si="9"/>
        <v>770.60874999999976</v>
      </c>
      <c r="M42" s="40">
        <v>0</v>
      </c>
      <c r="N42" s="40">
        <v>0.2</v>
      </c>
      <c r="O42" s="40">
        <v>0.2</v>
      </c>
      <c r="P42" s="40">
        <v>0</v>
      </c>
      <c r="Q42" s="40">
        <v>0</v>
      </c>
      <c r="R42" s="40">
        <v>100</v>
      </c>
      <c r="S42" s="2">
        <f t="shared" ref="S42:S146" si="10">IF(C42="","",(S41+R42)-(M42+N42+O42+P42+Q42))</f>
        <v>166.20000000000002</v>
      </c>
      <c r="T42" s="2">
        <v>0</v>
      </c>
      <c r="U42" s="2">
        <v>0</v>
      </c>
      <c r="V42" s="2">
        <v>2</v>
      </c>
      <c r="W42" s="2">
        <v>0</v>
      </c>
      <c r="X42" s="2">
        <f t="shared" si="4"/>
        <v>262</v>
      </c>
      <c r="Z42" s="1"/>
      <c r="AA42" s="1"/>
      <c r="AB42" s="2"/>
      <c r="AD42" s="121"/>
      <c r="AE42" s="121"/>
    </row>
    <row r="43" spans="1:31" x14ac:dyDescent="0.25">
      <c r="A43" s="2" t="s">
        <v>71</v>
      </c>
      <c r="B43" s="7">
        <v>0.33333333333333331</v>
      </c>
      <c r="C43" s="2">
        <v>8</v>
      </c>
      <c r="D43" s="10" t="s">
        <v>69</v>
      </c>
      <c r="E43" s="40">
        <v>0</v>
      </c>
      <c r="F43" s="40">
        <v>2.4</v>
      </c>
      <c r="G43" s="40">
        <v>2.2000000000000002</v>
      </c>
      <c r="H43" s="3">
        <f t="shared" si="6"/>
        <v>0</v>
      </c>
      <c r="I43" s="3">
        <f t="shared" si="7"/>
        <v>0.79999999999999993</v>
      </c>
      <c r="J43" s="3">
        <f t="shared" si="8"/>
        <v>0.73333333333333339</v>
      </c>
      <c r="K43" s="3"/>
      <c r="L43" s="4">
        <f t="shared" si="9"/>
        <v>769.07541666666646</v>
      </c>
      <c r="M43" s="40">
        <v>0</v>
      </c>
      <c r="N43" s="40">
        <v>0.2</v>
      </c>
      <c r="O43" s="40">
        <v>0.2</v>
      </c>
      <c r="P43" s="40">
        <v>0</v>
      </c>
      <c r="Q43" s="40">
        <v>0</v>
      </c>
      <c r="R43" s="40"/>
      <c r="S43" s="2">
        <f t="shared" si="10"/>
        <v>165.8</v>
      </c>
      <c r="T43" s="2">
        <v>0</v>
      </c>
      <c r="U43" s="2">
        <v>0</v>
      </c>
      <c r="V43" s="2">
        <v>2</v>
      </c>
      <c r="W43" s="2">
        <v>0</v>
      </c>
      <c r="X43" s="2">
        <f t="shared" si="4"/>
        <v>260</v>
      </c>
      <c r="Z43" s="1">
        <v>144</v>
      </c>
      <c r="AA43" s="1">
        <v>114</v>
      </c>
      <c r="AB43" s="2">
        <f>SUM(Z43:AA43)</f>
        <v>258</v>
      </c>
      <c r="AD43" s="121"/>
      <c r="AE43" s="121"/>
    </row>
    <row r="44" spans="1:31" x14ac:dyDescent="0.25">
      <c r="A44" s="2" t="s">
        <v>73</v>
      </c>
      <c r="B44" s="7">
        <v>0.33333333333333331</v>
      </c>
      <c r="C44" s="2">
        <v>24</v>
      </c>
      <c r="D44" s="10" t="s">
        <v>74</v>
      </c>
      <c r="E44" s="40">
        <v>21</v>
      </c>
      <c r="F44" s="40">
        <v>2.4</v>
      </c>
      <c r="G44" s="40">
        <v>0</v>
      </c>
      <c r="H44" s="3">
        <f t="shared" si="6"/>
        <v>21</v>
      </c>
      <c r="I44" s="3">
        <f t="shared" si="7"/>
        <v>2.4</v>
      </c>
      <c r="J44" s="3">
        <f t="shared" si="8"/>
        <v>0</v>
      </c>
      <c r="K44" s="3"/>
      <c r="L44" s="4">
        <f t="shared" si="9"/>
        <v>745.67541666666648</v>
      </c>
      <c r="M44" s="40">
        <v>0</v>
      </c>
      <c r="N44" s="40">
        <v>0.2</v>
      </c>
      <c r="O44" s="40">
        <v>0.1</v>
      </c>
      <c r="P44" s="40">
        <v>0</v>
      </c>
      <c r="Q44" s="40">
        <v>0</v>
      </c>
      <c r="R44" s="40"/>
      <c r="S44" s="2">
        <f t="shared" si="10"/>
        <v>165.5</v>
      </c>
      <c r="T44" s="2">
        <v>8</v>
      </c>
      <c r="U44" s="2">
        <v>0</v>
      </c>
      <c r="V44" s="2">
        <v>6</v>
      </c>
      <c r="W44" s="2">
        <v>0</v>
      </c>
      <c r="X44" s="2">
        <f t="shared" si="4"/>
        <v>262</v>
      </c>
      <c r="Z44" s="1"/>
      <c r="AA44" s="1"/>
      <c r="AB44" s="2"/>
      <c r="AD44" s="121"/>
      <c r="AE44" s="121"/>
    </row>
    <row r="45" spans="1:31" x14ac:dyDescent="0.25">
      <c r="A45" s="19" t="s">
        <v>75</v>
      </c>
      <c r="B45" s="7">
        <v>0.33333333333333331</v>
      </c>
      <c r="C45" s="2">
        <v>24</v>
      </c>
      <c r="D45" s="10" t="s">
        <v>74</v>
      </c>
      <c r="E45" s="40">
        <v>22</v>
      </c>
      <c r="F45" s="40">
        <v>2.4</v>
      </c>
      <c r="G45" s="40">
        <v>0.5</v>
      </c>
      <c r="H45" s="3">
        <f t="shared" si="6"/>
        <v>22</v>
      </c>
      <c r="I45" s="3">
        <f t="shared" si="7"/>
        <v>2.4</v>
      </c>
      <c r="J45" s="3">
        <f t="shared" si="8"/>
        <v>0.5</v>
      </c>
      <c r="K45" s="3"/>
      <c r="L45" s="4">
        <f t="shared" si="9"/>
        <v>720.7754166666665</v>
      </c>
      <c r="M45" s="40">
        <v>0</v>
      </c>
      <c r="N45" s="40">
        <v>0.2</v>
      </c>
      <c r="O45" s="40">
        <v>0.2</v>
      </c>
      <c r="P45" s="40">
        <v>0</v>
      </c>
      <c r="Q45" s="40">
        <v>0</v>
      </c>
      <c r="R45" s="40"/>
      <c r="S45" s="2">
        <f t="shared" si="10"/>
        <v>165.1</v>
      </c>
      <c r="T45" s="2">
        <v>5</v>
      </c>
      <c r="U45" s="2">
        <v>0</v>
      </c>
      <c r="V45" s="2">
        <v>6</v>
      </c>
      <c r="W45" s="2">
        <v>1</v>
      </c>
      <c r="X45" s="2">
        <f t="shared" si="4"/>
        <v>260</v>
      </c>
      <c r="Z45" s="1">
        <v>144</v>
      </c>
      <c r="AA45" s="1">
        <v>115</v>
      </c>
      <c r="AB45" s="2">
        <f>SUM(Z45:AA45)</f>
        <v>259</v>
      </c>
      <c r="AD45" s="121"/>
      <c r="AE45" s="121"/>
    </row>
    <row r="46" spans="1:31" x14ac:dyDescent="0.25">
      <c r="A46" s="2" t="s">
        <v>76</v>
      </c>
      <c r="B46" s="7">
        <v>4.1666666666666664E-2</v>
      </c>
      <c r="C46" s="2">
        <v>17</v>
      </c>
      <c r="D46" s="10" t="s">
        <v>77</v>
      </c>
      <c r="E46" s="40">
        <v>22</v>
      </c>
      <c r="F46" s="40">
        <v>2.4</v>
      </c>
      <c r="G46" s="40">
        <v>0.5</v>
      </c>
      <c r="H46" s="3">
        <f t="shared" si="6"/>
        <v>15.583333333333332</v>
      </c>
      <c r="I46" s="3">
        <f t="shared" si="7"/>
        <v>1.7</v>
      </c>
      <c r="J46" s="3">
        <f t="shared" si="8"/>
        <v>0.35416666666666663</v>
      </c>
      <c r="K46" s="3"/>
      <c r="L46" s="4">
        <f t="shared" si="9"/>
        <v>703.13791666666646</v>
      </c>
      <c r="M46" s="40">
        <v>0</v>
      </c>
      <c r="N46" s="40">
        <v>0.2</v>
      </c>
      <c r="O46" s="40">
        <v>0.2</v>
      </c>
      <c r="P46" s="40">
        <v>0</v>
      </c>
      <c r="Q46" s="40">
        <v>0</v>
      </c>
      <c r="R46" s="40"/>
      <c r="S46" s="2">
        <f t="shared" si="10"/>
        <v>164.7</v>
      </c>
      <c r="T46" s="2">
        <v>2</v>
      </c>
      <c r="U46" s="2">
        <v>0</v>
      </c>
      <c r="V46" s="2">
        <v>3</v>
      </c>
      <c r="W46" s="2">
        <v>0</v>
      </c>
      <c r="X46" s="2">
        <f t="shared" si="4"/>
        <v>259</v>
      </c>
      <c r="Z46" s="1"/>
      <c r="AA46" s="1"/>
      <c r="AB46" s="2"/>
      <c r="AD46" s="121">
        <v>12.2</v>
      </c>
      <c r="AE46" s="121" t="s">
        <v>1301</v>
      </c>
    </row>
    <row r="47" spans="1:31" x14ac:dyDescent="0.25">
      <c r="A47" s="2" t="s">
        <v>76</v>
      </c>
      <c r="B47" s="7">
        <v>0.33333333333333331</v>
      </c>
      <c r="C47" s="2">
        <v>7</v>
      </c>
      <c r="D47" s="10" t="s">
        <v>78</v>
      </c>
      <c r="E47" s="40">
        <v>0</v>
      </c>
      <c r="F47" s="40">
        <v>2.5</v>
      </c>
      <c r="G47" s="40">
        <v>2.2000000000000002</v>
      </c>
      <c r="H47" s="3">
        <f t="shared" si="6"/>
        <v>0</v>
      </c>
      <c r="I47" s="3">
        <f t="shared" si="7"/>
        <v>0.72916666666666674</v>
      </c>
      <c r="J47" s="3">
        <f t="shared" si="8"/>
        <v>0.64166666666666672</v>
      </c>
      <c r="K47" s="3"/>
      <c r="L47" s="4">
        <f t="shared" si="9"/>
        <v>701.76708333333318</v>
      </c>
      <c r="M47" s="40">
        <v>0</v>
      </c>
      <c r="N47" s="40">
        <v>0.1</v>
      </c>
      <c r="O47" s="40">
        <v>0.2</v>
      </c>
      <c r="P47" s="40">
        <v>0</v>
      </c>
      <c r="Q47" s="40">
        <v>0</v>
      </c>
      <c r="R47" s="40"/>
      <c r="S47" s="2">
        <f t="shared" si="10"/>
        <v>164.39999999999998</v>
      </c>
      <c r="T47" s="2">
        <v>0</v>
      </c>
      <c r="U47" s="2">
        <v>0</v>
      </c>
      <c r="V47" s="2">
        <v>4</v>
      </c>
      <c r="W47" s="2">
        <v>1</v>
      </c>
      <c r="X47" s="2">
        <f t="shared" si="4"/>
        <v>254</v>
      </c>
      <c r="Z47" s="1"/>
      <c r="AA47" s="1"/>
      <c r="AB47" s="2"/>
      <c r="AD47" s="121"/>
      <c r="AE47" s="121"/>
    </row>
    <row r="48" spans="1:31" x14ac:dyDescent="0.25">
      <c r="A48" s="2" t="s">
        <v>79</v>
      </c>
      <c r="B48" s="7">
        <v>0.33333333333333331</v>
      </c>
      <c r="C48" s="2">
        <v>24</v>
      </c>
      <c r="D48" s="10" t="s">
        <v>78</v>
      </c>
      <c r="E48" s="40">
        <v>0</v>
      </c>
      <c r="F48" s="40">
        <v>2.6</v>
      </c>
      <c r="G48" s="40">
        <v>2.4</v>
      </c>
      <c r="H48" s="3">
        <f t="shared" si="6"/>
        <v>0</v>
      </c>
      <c r="I48" s="3">
        <f t="shared" si="7"/>
        <v>2.6</v>
      </c>
      <c r="J48" s="3">
        <f t="shared" si="8"/>
        <v>2.4</v>
      </c>
      <c r="K48" s="3"/>
      <c r="L48" s="4">
        <f t="shared" si="9"/>
        <v>696.76708333333318</v>
      </c>
      <c r="M48" s="40">
        <v>0</v>
      </c>
      <c r="N48" s="40">
        <v>0.2</v>
      </c>
      <c r="O48" s="40">
        <v>0.2</v>
      </c>
      <c r="P48" s="40">
        <v>0</v>
      </c>
      <c r="Q48" s="40">
        <v>0.5</v>
      </c>
      <c r="R48" s="40"/>
      <c r="S48" s="2">
        <f t="shared" si="10"/>
        <v>163.49999999999997</v>
      </c>
      <c r="T48" s="2">
        <v>0</v>
      </c>
      <c r="U48" s="2">
        <v>0</v>
      </c>
      <c r="V48" s="2">
        <v>4</v>
      </c>
      <c r="W48" s="2">
        <v>0</v>
      </c>
      <c r="X48" s="2">
        <f t="shared" si="4"/>
        <v>250</v>
      </c>
      <c r="Z48" s="1">
        <v>144</v>
      </c>
      <c r="AA48" s="1">
        <v>118</v>
      </c>
      <c r="AB48" s="2">
        <f>SUM(Z48:AA48)</f>
        <v>262</v>
      </c>
      <c r="AD48" s="121"/>
      <c r="AE48" s="121"/>
    </row>
    <row r="49" spans="1:31" x14ac:dyDescent="0.25">
      <c r="A49" s="2" t="s">
        <v>80</v>
      </c>
      <c r="B49" s="7">
        <v>0.33333333333333331</v>
      </c>
      <c r="C49" s="2">
        <v>24</v>
      </c>
      <c r="D49" s="10" t="s">
        <v>78</v>
      </c>
      <c r="E49" s="40">
        <v>0</v>
      </c>
      <c r="F49" s="40">
        <v>2.5</v>
      </c>
      <c r="G49" s="40">
        <v>2.2000000000000002</v>
      </c>
      <c r="H49" s="3">
        <f t="shared" si="6"/>
        <v>0</v>
      </c>
      <c r="I49" s="3">
        <f t="shared" si="7"/>
        <v>2.5</v>
      </c>
      <c r="J49" s="3">
        <f t="shared" si="8"/>
        <v>2.2000000000000002</v>
      </c>
      <c r="K49" s="3"/>
      <c r="L49" s="4">
        <f t="shared" si="9"/>
        <v>692.06708333333313</v>
      </c>
      <c r="M49" s="40">
        <v>0.4</v>
      </c>
      <c r="N49" s="40">
        <v>0.2</v>
      </c>
      <c r="O49" s="40">
        <v>0.2</v>
      </c>
      <c r="P49" s="40">
        <v>0</v>
      </c>
      <c r="Q49" s="40">
        <v>0</v>
      </c>
      <c r="R49" s="40"/>
      <c r="S49" s="2">
        <f t="shared" si="10"/>
        <v>162.69999999999996</v>
      </c>
      <c r="T49" s="2">
        <v>0</v>
      </c>
      <c r="U49" s="2">
        <v>0</v>
      </c>
      <c r="V49" s="2">
        <v>4</v>
      </c>
      <c r="W49" s="2">
        <v>0</v>
      </c>
      <c r="X49" s="2">
        <f t="shared" si="4"/>
        <v>246</v>
      </c>
      <c r="Z49" s="1"/>
      <c r="AA49" s="1"/>
      <c r="AB49" s="2"/>
      <c r="AD49" s="121"/>
      <c r="AE49" s="121"/>
    </row>
    <row r="50" spans="1:31" x14ac:dyDescent="0.25">
      <c r="A50" s="2" t="s">
        <v>81</v>
      </c>
      <c r="B50" s="7">
        <v>0.33333333333333331</v>
      </c>
      <c r="C50" s="2">
        <v>24</v>
      </c>
      <c r="D50" s="10" t="s">
        <v>78</v>
      </c>
      <c r="E50" s="40">
        <v>0</v>
      </c>
      <c r="F50" s="40">
        <v>2.8</v>
      </c>
      <c r="G50" s="40">
        <v>2.2000000000000002</v>
      </c>
      <c r="H50" s="3">
        <f t="shared" si="6"/>
        <v>0</v>
      </c>
      <c r="I50" s="3">
        <f t="shared" si="7"/>
        <v>2.8</v>
      </c>
      <c r="J50" s="3">
        <f t="shared" si="8"/>
        <v>2.2000000000000002</v>
      </c>
      <c r="K50" s="3"/>
      <c r="L50" s="4">
        <f t="shared" si="9"/>
        <v>687.06708333333313</v>
      </c>
      <c r="M50" s="40">
        <v>0</v>
      </c>
      <c r="N50" s="40">
        <v>0.2</v>
      </c>
      <c r="O50" s="40">
        <v>0.4</v>
      </c>
      <c r="P50" s="40">
        <v>0</v>
      </c>
      <c r="Q50" s="40">
        <v>0</v>
      </c>
      <c r="R50" s="40"/>
      <c r="S50" s="2">
        <f t="shared" si="10"/>
        <v>162.09999999999997</v>
      </c>
      <c r="T50" s="2">
        <v>0</v>
      </c>
      <c r="U50" s="2">
        <v>0</v>
      </c>
      <c r="V50" s="2">
        <v>6</v>
      </c>
      <c r="W50" s="2">
        <v>0</v>
      </c>
      <c r="X50" s="2">
        <f t="shared" si="4"/>
        <v>240</v>
      </c>
      <c r="Z50" s="1">
        <v>144</v>
      </c>
      <c r="AA50" s="1">
        <v>95</v>
      </c>
      <c r="AB50" s="2">
        <f>SUM(Z50:AA50)</f>
        <v>239</v>
      </c>
      <c r="AD50" s="121"/>
      <c r="AE50" s="121"/>
    </row>
    <row r="51" spans="1:31" x14ac:dyDescent="0.25">
      <c r="A51" s="2" t="s">
        <v>82</v>
      </c>
      <c r="B51" s="7">
        <v>0.33333333333333331</v>
      </c>
      <c r="C51" s="2">
        <v>24</v>
      </c>
      <c r="D51" s="10" t="s">
        <v>78</v>
      </c>
      <c r="E51" s="40">
        <v>0</v>
      </c>
      <c r="F51" s="40">
        <v>2.4</v>
      </c>
      <c r="G51" s="40">
        <v>2.2000000000000002</v>
      </c>
      <c r="H51" s="3">
        <f t="shared" si="6"/>
        <v>0</v>
      </c>
      <c r="I51" s="3">
        <f t="shared" si="7"/>
        <v>2.4</v>
      </c>
      <c r="J51" s="3">
        <f t="shared" si="8"/>
        <v>2.2000000000000002</v>
      </c>
      <c r="K51" s="3"/>
      <c r="L51" s="4">
        <v>682.9</v>
      </c>
      <c r="M51" s="40">
        <v>0</v>
      </c>
      <c r="N51" s="40">
        <v>0.2</v>
      </c>
      <c r="O51" s="40">
        <v>0.3</v>
      </c>
      <c r="P51" s="40">
        <v>0</v>
      </c>
      <c r="Q51" s="40">
        <v>0</v>
      </c>
      <c r="R51" s="40"/>
      <c r="S51" s="2">
        <f t="shared" si="10"/>
        <v>161.59999999999997</v>
      </c>
      <c r="T51" s="2">
        <v>0</v>
      </c>
      <c r="U51" s="2">
        <v>0</v>
      </c>
      <c r="V51" s="2">
        <v>6</v>
      </c>
      <c r="W51" s="2">
        <v>0</v>
      </c>
      <c r="X51" s="2">
        <f t="shared" si="4"/>
        <v>234</v>
      </c>
      <c r="Z51" s="1">
        <v>144</v>
      </c>
      <c r="AA51" s="1">
        <v>91</v>
      </c>
      <c r="AB51" s="2">
        <f>SUM(Z51:AA51)</f>
        <v>235</v>
      </c>
      <c r="AD51" s="121"/>
      <c r="AE51" s="121"/>
    </row>
    <row r="52" spans="1:31" x14ac:dyDescent="0.25">
      <c r="A52" s="2" t="s">
        <v>83</v>
      </c>
      <c r="B52" s="7">
        <v>0.33333333333333331</v>
      </c>
      <c r="C52" s="2">
        <v>24</v>
      </c>
      <c r="D52" s="10" t="s">
        <v>78</v>
      </c>
      <c r="E52" s="40">
        <v>0</v>
      </c>
      <c r="F52" s="40">
        <v>2.2000000000000002</v>
      </c>
      <c r="G52" s="40">
        <v>2</v>
      </c>
      <c r="H52" s="3">
        <f>+IF(E52="","",(E52/24)*C52)</f>
        <v>0</v>
      </c>
      <c r="I52" s="3">
        <f t="shared" si="7"/>
        <v>2.2000000000000002</v>
      </c>
      <c r="J52" s="3">
        <f t="shared" si="8"/>
        <v>2</v>
      </c>
      <c r="K52" s="3"/>
      <c r="L52" s="4">
        <f t="shared" si="9"/>
        <v>678.69999999999993</v>
      </c>
      <c r="M52" s="40">
        <v>0</v>
      </c>
      <c r="N52" s="40">
        <v>0.2</v>
      </c>
      <c r="O52" s="40">
        <v>0.3</v>
      </c>
      <c r="P52" s="40">
        <v>0</v>
      </c>
      <c r="Q52" s="40">
        <v>0</v>
      </c>
      <c r="R52" s="40"/>
      <c r="S52" s="2">
        <f t="shared" si="10"/>
        <v>161.09999999999997</v>
      </c>
      <c r="T52" s="2">
        <v>0</v>
      </c>
      <c r="U52" s="2">
        <v>0</v>
      </c>
      <c r="V52" s="2">
        <v>6</v>
      </c>
      <c r="W52" s="2">
        <v>0</v>
      </c>
      <c r="X52" s="2">
        <f t="shared" si="4"/>
        <v>228</v>
      </c>
      <c r="Z52" s="1">
        <v>144</v>
      </c>
      <c r="AA52" s="1">
        <v>87</v>
      </c>
      <c r="AB52" s="2">
        <f>SUM(Z52:AA52)</f>
        <v>231</v>
      </c>
      <c r="AD52" s="121"/>
      <c r="AE52" s="121"/>
    </row>
    <row r="53" spans="1:31" x14ac:dyDescent="0.25">
      <c r="A53" s="2" t="s">
        <v>84</v>
      </c>
      <c r="B53" s="7">
        <v>0.33333333333333331</v>
      </c>
      <c r="C53" s="2">
        <v>24</v>
      </c>
      <c r="D53" s="10" t="s">
        <v>78</v>
      </c>
      <c r="E53" s="40">
        <v>0</v>
      </c>
      <c r="F53" s="40">
        <v>2.2000000000000002</v>
      </c>
      <c r="G53" s="40">
        <v>2</v>
      </c>
      <c r="H53" s="3">
        <f>+IF(E53="","",(E53/24)*C53)</f>
        <v>0</v>
      </c>
      <c r="I53" s="3">
        <f t="shared" si="7"/>
        <v>2.2000000000000002</v>
      </c>
      <c r="J53" s="3">
        <f t="shared" si="8"/>
        <v>2</v>
      </c>
      <c r="K53" s="3"/>
      <c r="L53" s="4">
        <f t="shared" si="9"/>
        <v>674.49999999999989</v>
      </c>
      <c r="M53" s="40">
        <v>0</v>
      </c>
      <c r="N53" s="40">
        <v>0.2</v>
      </c>
      <c r="O53" s="40">
        <v>0.2</v>
      </c>
      <c r="P53" s="40">
        <v>0</v>
      </c>
      <c r="Q53" s="40">
        <v>0</v>
      </c>
      <c r="R53" s="40"/>
      <c r="S53" s="2">
        <f t="shared" si="10"/>
        <v>160.69999999999996</v>
      </c>
      <c r="T53" s="2">
        <v>0</v>
      </c>
      <c r="U53" s="2">
        <v>0</v>
      </c>
      <c r="V53" s="2">
        <v>6</v>
      </c>
      <c r="W53" s="2">
        <v>0</v>
      </c>
      <c r="X53" s="2">
        <f t="shared" si="4"/>
        <v>222</v>
      </c>
      <c r="Z53" s="1"/>
      <c r="AA53" s="1"/>
      <c r="AB53" s="2"/>
      <c r="AD53" s="121"/>
      <c r="AE53" s="121"/>
    </row>
    <row r="54" spans="1:31" x14ac:dyDescent="0.25">
      <c r="A54" s="2" t="s">
        <v>85</v>
      </c>
      <c r="B54" s="7">
        <v>0.33333333333333331</v>
      </c>
      <c r="C54" s="2">
        <v>24</v>
      </c>
      <c r="D54" s="10" t="s">
        <v>78</v>
      </c>
      <c r="E54" s="40">
        <v>0</v>
      </c>
      <c r="F54" s="40">
        <v>2.2000000000000002</v>
      </c>
      <c r="G54" s="40">
        <v>2</v>
      </c>
      <c r="H54" s="3">
        <f>+IF(E54="","",(E54/24)*C54)</f>
        <v>0</v>
      </c>
      <c r="I54" s="3">
        <f t="shared" si="7"/>
        <v>2.2000000000000002</v>
      </c>
      <c r="J54" s="3">
        <f t="shared" si="8"/>
        <v>2</v>
      </c>
      <c r="K54" s="3"/>
      <c r="L54" s="4">
        <f t="shared" si="9"/>
        <v>670.29999999999984</v>
      </c>
      <c r="M54" s="40">
        <v>0</v>
      </c>
      <c r="N54" s="40">
        <v>0.2</v>
      </c>
      <c r="O54" s="40">
        <v>0.2</v>
      </c>
      <c r="P54" s="40">
        <v>0</v>
      </c>
      <c r="Q54" s="40">
        <v>0</v>
      </c>
      <c r="R54" s="40"/>
      <c r="S54" s="2">
        <f t="shared" si="10"/>
        <v>160.29999999999995</v>
      </c>
      <c r="T54" s="2">
        <v>0</v>
      </c>
      <c r="U54" s="2">
        <v>0</v>
      </c>
      <c r="V54" s="2">
        <v>6</v>
      </c>
      <c r="W54" s="2">
        <v>0</v>
      </c>
      <c r="X54" s="2">
        <f t="shared" si="4"/>
        <v>216</v>
      </c>
      <c r="Z54" s="1"/>
      <c r="AA54" s="1"/>
      <c r="AB54" s="2"/>
      <c r="AD54" s="121"/>
      <c r="AE54" s="121"/>
    </row>
    <row r="55" spans="1:31" x14ac:dyDescent="0.25">
      <c r="A55" s="2" t="s">
        <v>86</v>
      </c>
      <c r="B55" s="7">
        <v>0.33333333333333331</v>
      </c>
      <c r="C55" s="2">
        <v>24</v>
      </c>
      <c r="D55" s="10" t="s">
        <v>78</v>
      </c>
      <c r="E55" s="40">
        <v>0</v>
      </c>
      <c r="F55" s="40">
        <v>2.2000000000000002</v>
      </c>
      <c r="G55" s="40">
        <v>2</v>
      </c>
      <c r="H55" s="3">
        <f>+IF(E55="","",(E55/24)*C55)</f>
        <v>0</v>
      </c>
      <c r="I55" s="3">
        <f t="shared" si="7"/>
        <v>2.2000000000000002</v>
      </c>
      <c r="J55" s="3">
        <f t="shared" si="8"/>
        <v>2</v>
      </c>
      <c r="K55" s="3"/>
      <c r="L55" s="4">
        <f t="shared" si="9"/>
        <v>666.0999999999998</v>
      </c>
      <c r="M55" s="40">
        <v>0</v>
      </c>
      <c r="N55" s="40">
        <v>0.2</v>
      </c>
      <c r="O55" s="40">
        <v>0.2</v>
      </c>
      <c r="P55" s="40">
        <v>0</v>
      </c>
      <c r="Q55" s="40">
        <v>0</v>
      </c>
      <c r="R55" s="40"/>
      <c r="S55" s="2">
        <f t="shared" si="10"/>
        <v>159.89999999999995</v>
      </c>
      <c r="T55" s="2">
        <v>0</v>
      </c>
      <c r="U55" s="2">
        <v>0</v>
      </c>
      <c r="V55" s="2">
        <v>10</v>
      </c>
      <c r="W55" s="2">
        <v>2</v>
      </c>
      <c r="X55" s="2">
        <f t="shared" si="4"/>
        <v>204</v>
      </c>
      <c r="Z55" s="1">
        <v>144</v>
      </c>
      <c r="AA55" s="1">
        <v>58</v>
      </c>
      <c r="AB55" s="2">
        <f>SUM(Z55:AA55)</f>
        <v>202</v>
      </c>
      <c r="AD55" s="121"/>
      <c r="AE55" s="121"/>
    </row>
    <row r="56" spans="1:31" x14ac:dyDescent="0.25">
      <c r="A56" s="2" t="s">
        <v>87</v>
      </c>
      <c r="B56" s="7">
        <v>0.33333333333333331</v>
      </c>
      <c r="C56" s="2">
        <v>24</v>
      </c>
      <c r="D56" s="10" t="s">
        <v>78</v>
      </c>
      <c r="E56" s="40">
        <v>0</v>
      </c>
      <c r="F56" s="40">
        <v>2.2000000000000002</v>
      </c>
      <c r="G56" s="40">
        <v>2</v>
      </c>
      <c r="H56" s="3">
        <f>+IF(E56="","",(E56/24)*C56)</f>
        <v>0</v>
      </c>
      <c r="I56" s="3">
        <f t="shared" si="7"/>
        <v>2.2000000000000002</v>
      </c>
      <c r="J56" s="3">
        <f t="shared" si="8"/>
        <v>2</v>
      </c>
      <c r="K56" s="3"/>
      <c r="L56" s="4">
        <f t="shared" si="9"/>
        <v>661.89999999999975</v>
      </c>
      <c r="M56" s="40">
        <v>0</v>
      </c>
      <c r="N56" s="40">
        <v>0.2</v>
      </c>
      <c r="O56" s="40">
        <v>0.2</v>
      </c>
      <c r="P56" s="40">
        <v>0</v>
      </c>
      <c r="Q56" s="40">
        <v>0</v>
      </c>
      <c r="R56" s="40"/>
      <c r="S56" s="2">
        <f t="shared" si="10"/>
        <v>159.49999999999994</v>
      </c>
      <c r="T56" s="2">
        <v>0</v>
      </c>
      <c r="U56" s="2">
        <v>0</v>
      </c>
      <c r="V56" s="2">
        <v>5</v>
      </c>
      <c r="W56" s="2">
        <v>0</v>
      </c>
      <c r="X56" s="2">
        <f t="shared" si="4"/>
        <v>199</v>
      </c>
      <c r="Z56" s="1">
        <v>144</v>
      </c>
      <c r="AA56" s="1">
        <v>55</v>
      </c>
      <c r="AB56" s="2">
        <f>SUM(Z56:AA56)</f>
        <v>199</v>
      </c>
      <c r="AD56" s="121"/>
      <c r="AE56" s="121"/>
    </row>
    <row r="57" spans="1:31" x14ac:dyDescent="0.25">
      <c r="A57" s="2" t="s">
        <v>87</v>
      </c>
      <c r="B57" s="7">
        <v>0.75</v>
      </c>
      <c r="C57" s="2">
        <v>10</v>
      </c>
      <c r="D57" s="10" t="s">
        <v>88</v>
      </c>
      <c r="E57" s="40">
        <v>0</v>
      </c>
      <c r="F57" s="40">
        <v>2.4</v>
      </c>
      <c r="G57" s="40">
        <v>2.2000000000000002</v>
      </c>
      <c r="H57" s="3">
        <f t="shared" ref="H57:H122" si="11">+IF(E57="","",(E57/24)*C57)</f>
        <v>0</v>
      </c>
      <c r="I57" s="3">
        <f t="shared" ref="I57:I122" si="12">+IF(F57="","",(F57/24)*C57)</f>
        <v>0.99999999999999989</v>
      </c>
      <c r="J57" s="3">
        <f t="shared" ref="J57:J122" si="13">+IF(G57="","",(G57/24)*C57)</f>
        <v>0.91666666666666674</v>
      </c>
      <c r="K57" s="3"/>
      <c r="L57" s="4">
        <f t="shared" ref="L57:L122" si="14">+IF(C57="","",L56-(H57+I57+J57))</f>
        <v>659.98333333333312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/>
      <c r="S57" s="2">
        <f t="shared" si="10"/>
        <v>159.49999999999994</v>
      </c>
      <c r="T57" s="2">
        <v>0</v>
      </c>
      <c r="U57" s="2">
        <v>0</v>
      </c>
      <c r="V57" s="2">
        <v>3</v>
      </c>
      <c r="W57" s="2">
        <v>0</v>
      </c>
      <c r="X57" s="2">
        <f t="shared" si="4"/>
        <v>196</v>
      </c>
      <c r="Z57" s="1"/>
      <c r="AA57" s="1"/>
      <c r="AB57" s="2"/>
      <c r="AD57" s="121"/>
      <c r="AE57" s="121"/>
    </row>
    <row r="58" spans="1:31" x14ac:dyDescent="0.25">
      <c r="A58" s="2" t="s">
        <v>87</v>
      </c>
      <c r="B58" s="7">
        <v>0.875</v>
      </c>
      <c r="C58" s="2">
        <v>3</v>
      </c>
      <c r="D58" s="10" t="s">
        <v>89</v>
      </c>
      <c r="E58" s="40">
        <v>10</v>
      </c>
      <c r="F58" s="40">
        <v>2.8</v>
      </c>
      <c r="G58" s="40">
        <v>2.2000000000000002</v>
      </c>
      <c r="H58" s="3">
        <f t="shared" si="11"/>
        <v>1.25</v>
      </c>
      <c r="I58" s="3">
        <f t="shared" si="12"/>
        <v>0.35</v>
      </c>
      <c r="J58" s="3">
        <f t="shared" si="13"/>
        <v>0.27500000000000002</v>
      </c>
      <c r="K58" s="3"/>
      <c r="L58" s="4">
        <f t="shared" si="14"/>
        <v>658.10833333333312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/>
      <c r="S58" s="2">
        <f t="shared" si="10"/>
        <v>159.49999999999994</v>
      </c>
      <c r="T58" s="2">
        <v>0</v>
      </c>
      <c r="U58" s="2">
        <v>0</v>
      </c>
      <c r="V58" s="2">
        <v>1</v>
      </c>
      <c r="W58" s="2">
        <v>0</v>
      </c>
      <c r="X58" s="2">
        <f t="shared" si="4"/>
        <v>195</v>
      </c>
      <c r="Z58" s="1"/>
      <c r="AA58" s="1"/>
      <c r="AB58" s="2"/>
      <c r="AD58" s="121"/>
      <c r="AE58" s="121"/>
    </row>
    <row r="59" spans="1:31" x14ac:dyDescent="0.25">
      <c r="A59" s="2"/>
      <c r="B59" s="7"/>
      <c r="C59" s="2"/>
      <c r="D59" s="10"/>
      <c r="E59" s="40"/>
      <c r="F59" s="40"/>
      <c r="G59" s="40"/>
      <c r="H59" s="3"/>
      <c r="I59" s="3"/>
      <c r="J59" s="3"/>
      <c r="K59" s="3"/>
      <c r="L59" s="4"/>
      <c r="M59" s="40"/>
      <c r="N59" s="40"/>
      <c r="O59" s="40"/>
      <c r="P59" s="40"/>
      <c r="Q59" s="40"/>
      <c r="R59" s="40"/>
      <c r="S59" s="2"/>
      <c r="T59" s="2"/>
      <c r="U59" s="2"/>
      <c r="V59" s="2"/>
      <c r="W59" s="2"/>
      <c r="X59" s="2"/>
      <c r="Z59" s="1"/>
      <c r="AA59" s="1"/>
      <c r="AB59" s="2"/>
      <c r="AD59" s="121"/>
      <c r="AE59" s="121"/>
    </row>
    <row r="60" spans="1:31" x14ac:dyDescent="0.25">
      <c r="A60" s="9" t="s">
        <v>90</v>
      </c>
      <c r="B60" s="7">
        <v>0.33333333333333331</v>
      </c>
      <c r="C60" s="2">
        <v>11</v>
      </c>
      <c r="D60" s="10" t="s">
        <v>89</v>
      </c>
      <c r="E60" s="40">
        <v>0</v>
      </c>
      <c r="F60" s="40">
        <v>3</v>
      </c>
      <c r="G60" s="40">
        <v>2.2000000000000002</v>
      </c>
      <c r="H60" s="3">
        <f t="shared" si="11"/>
        <v>0</v>
      </c>
      <c r="I60" s="3">
        <f t="shared" si="12"/>
        <v>1.375</v>
      </c>
      <c r="J60" s="3">
        <f t="shared" si="13"/>
        <v>1.0083333333333333</v>
      </c>
      <c r="K60" s="3"/>
      <c r="L60" s="4">
        <f>+IF(C60="","",L58-(H60+I60+J60))</f>
        <v>655.7249999999998</v>
      </c>
      <c r="M60" s="40">
        <v>0</v>
      </c>
      <c r="N60" s="40">
        <v>0.2</v>
      </c>
      <c r="O60" s="40">
        <v>0</v>
      </c>
      <c r="P60" s="40">
        <v>0</v>
      </c>
      <c r="Q60" s="40">
        <v>1.2</v>
      </c>
      <c r="R60" s="40"/>
      <c r="S60" s="2">
        <f>IF(C60="","",(S58+R60)-(M60+N60+O60+P60+Q60))</f>
        <v>158.09999999999994</v>
      </c>
      <c r="T60" s="2">
        <v>0</v>
      </c>
      <c r="U60" s="2">
        <v>0</v>
      </c>
      <c r="V60" s="2">
        <v>1</v>
      </c>
      <c r="W60" s="2">
        <v>0</v>
      </c>
      <c r="X60" s="2">
        <f>IF(V60="","",((X58+T60+U60)-(V60+W60)))</f>
        <v>194</v>
      </c>
      <c r="Z60" s="1">
        <v>141</v>
      </c>
      <c r="AA60" s="1">
        <v>53</v>
      </c>
      <c r="AB60" s="2">
        <f>SUM(Z60:AA60)</f>
        <v>194</v>
      </c>
      <c r="AD60" s="121"/>
      <c r="AE60" s="121"/>
    </row>
    <row r="61" spans="1:31" x14ac:dyDescent="0.25">
      <c r="A61" s="2" t="s">
        <v>91</v>
      </c>
      <c r="B61" s="7">
        <v>0.33333333333333331</v>
      </c>
      <c r="C61" s="2">
        <v>24</v>
      </c>
      <c r="D61" s="10" t="s">
        <v>89</v>
      </c>
      <c r="E61" s="40">
        <v>0</v>
      </c>
      <c r="F61" s="40">
        <v>3</v>
      </c>
      <c r="G61" s="40">
        <v>2.2000000000000002</v>
      </c>
      <c r="H61" s="3">
        <f t="shared" si="11"/>
        <v>0</v>
      </c>
      <c r="I61" s="3">
        <f t="shared" si="12"/>
        <v>3</v>
      </c>
      <c r="J61" s="3">
        <f t="shared" si="13"/>
        <v>2.2000000000000002</v>
      </c>
      <c r="K61" s="3"/>
      <c r="L61" s="4">
        <f t="shared" si="14"/>
        <v>650.52499999999975</v>
      </c>
      <c r="M61" s="40">
        <v>0</v>
      </c>
      <c r="N61" s="40">
        <v>0.2</v>
      </c>
      <c r="O61" s="40">
        <v>0</v>
      </c>
      <c r="P61" s="40">
        <v>0</v>
      </c>
      <c r="Q61" s="43">
        <v>1</v>
      </c>
      <c r="R61" s="40"/>
      <c r="S61" s="2">
        <f t="shared" si="10"/>
        <v>156.89999999999995</v>
      </c>
      <c r="T61" s="2">
        <v>0</v>
      </c>
      <c r="U61" s="2">
        <v>0</v>
      </c>
      <c r="V61" s="2">
        <v>6</v>
      </c>
      <c r="W61" s="2">
        <v>0</v>
      </c>
      <c r="X61" s="2">
        <f t="shared" si="4"/>
        <v>188</v>
      </c>
      <c r="Z61" s="1"/>
      <c r="AA61" s="1"/>
      <c r="AB61" s="2"/>
      <c r="AD61" s="121"/>
      <c r="AE61" s="121"/>
    </row>
    <row r="62" spans="1:31" x14ac:dyDescent="0.25">
      <c r="A62" s="2" t="s">
        <v>91</v>
      </c>
      <c r="B62" s="7">
        <v>0.625</v>
      </c>
      <c r="C62" s="2">
        <v>7</v>
      </c>
      <c r="D62" s="10" t="s">
        <v>92</v>
      </c>
      <c r="E62" s="40">
        <v>0</v>
      </c>
      <c r="F62" s="40">
        <v>3</v>
      </c>
      <c r="G62" s="40">
        <v>2.2000000000000002</v>
      </c>
      <c r="H62" s="3">
        <f t="shared" si="11"/>
        <v>0</v>
      </c>
      <c r="I62" s="3">
        <f t="shared" si="12"/>
        <v>0.875</v>
      </c>
      <c r="J62" s="3">
        <f t="shared" si="13"/>
        <v>0.64166666666666672</v>
      </c>
      <c r="K62" s="3"/>
      <c r="L62" s="4">
        <f t="shared" si="14"/>
        <v>649.0083333333331</v>
      </c>
      <c r="M62" s="40">
        <v>0</v>
      </c>
      <c r="N62" s="40">
        <v>0</v>
      </c>
      <c r="O62" s="40">
        <v>0.3</v>
      </c>
      <c r="P62" s="40">
        <v>0</v>
      </c>
      <c r="Q62" s="40">
        <v>0</v>
      </c>
      <c r="R62" s="40"/>
      <c r="S62" s="2">
        <f t="shared" si="10"/>
        <v>156.59999999999994</v>
      </c>
      <c r="T62" s="2">
        <v>0</v>
      </c>
      <c r="U62" s="2">
        <v>0</v>
      </c>
      <c r="V62" s="2">
        <v>3</v>
      </c>
      <c r="W62" s="2">
        <v>0</v>
      </c>
      <c r="X62" s="2">
        <f t="shared" si="4"/>
        <v>185</v>
      </c>
      <c r="Z62" s="1"/>
      <c r="AA62" s="1"/>
      <c r="AB62" s="2"/>
      <c r="AD62" s="121"/>
      <c r="AE62" s="121"/>
    </row>
    <row r="63" spans="1:31" x14ac:dyDescent="0.25">
      <c r="A63" s="2" t="s">
        <v>93</v>
      </c>
      <c r="B63" s="7">
        <v>0.33333333333333331</v>
      </c>
      <c r="C63" s="2">
        <v>17</v>
      </c>
      <c r="D63" s="10" t="s">
        <v>94</v>
      </c>
      <c r="E63" s="40">
        <v>18</v>
      </c>
      <c r="F63" s="40">
        <v>2.4</v>
      </c>
      <c r="G63" s="40">
        <v>0</v>
      </c>
      <c r="H63" s="3">
        <f t="shared" si="11"/>
        <v>12.75</v>
      </c>
      <c r="I63" s="3">
        <f t="shared" si="12"/>
        <v>1.7</v>
      </c>
      <c r="J63" s="3">
        <f t="shared" si="13"/>
        <v>0</v>
      </c>
      <c r="K63" s="3"/>
      <c r="L63" s="4">
        <f t="shared" si="14"/>
        <v>634.55833333333305</v>
      </c>
      <c r="M63" s="40">
        <v>0</v>
      </c>
      <c r="N63" s="40">
        <v>0</v>
      </c>
      <c r="O63" s="40">
        <v>0.2</v>
      </c>
      <c r="P63" s="40">
        <v>0</v>
      </c>
      <c r="Q63" s="40">
        <v>0</v>
      </c>
      <c r="R63" s="40"/>
      <c r="S63" s="2">
        <f t="shared" si="10"/>
        <v>156.39999999999995</v>
      </c>
      <c r="T63" s="2">
        <v>0</v>
      </c>
      <c r="U63" s="2">
        <v>0</v>
      </c>
      <c r="V63" s="2">
        <v>7</v>
      </c>
      <c r="W63" s="2">
        <v>0</v>
      </c>
      <c r="X63" s="2">
        <f t="shared" si="4"/>
        <v>178</v>
      </c>
      <c r="Z63" s="1">
        <v>87</v>
      </c>
      <c r="AA63" s="1">
        <v>87</v>
      </c>
      <c r="AB63" s="2">
        <f>SUM(Z63:AA63)</f>
        <v>174</v>
      </c>
      <c r="AD63" s="121"/>
      <c r="AE63" s="121"/>
    </row>
    <row r="64" spans="1:31" x14ac:dyDescent="0.25">
      <c r="A64" s="2" t="s">
        <v>95</v>
      </c>
      <c r="B64" s="7">
        <v>0.33333333333333331</v>
      </c>
      <c r="C64" s="2">
        <v>24</v>
      </c>
      <c r="D64" s="10" t="s">
        <v>94</v>
      </c>
      <c r="E64" s="40">
        <v>22</v>
      </c>
      <c r="F64" s="40">
        <v>2.6</v>
      </c>
      <c r="G64" s="40">
        <v>1</v>
      </c>
      <c r="H64" s="3">
        <f t="shared" si="11"/>
        <v>22</v>
      </c>
      <c r="I64" s="3">
        <f t="shared" si="12"/>
        <v>2.6</v>
      </c>
      <c r="J64" s="3">
        <f t="shared" si="13"/>
        <v>1</v>
      </c>
      <c r="K64" s="3"/>
      <c r="L64" s="4">
        <f t="shared" si="14"/>
        <v>608.95833333333303</v>
      </c>
      <c r="M64" s="40">
        <v>0</v>
      </c>
      <c r="N64" s="40">
        <v>0</v>
      </c>
      <c r="O64" s="40">
        <v>0.2</v>
      </c>
      <c r="P64" s="40">
        <v>0</v>
      </c>
      <c r="Q64" s="40">
        <v>1.5</v>
      </c>
      <c r="R64" s="40"/>
      <c r="S64" s="2">
        <f t="shared" si="10"/>
        <v>154.69999999999996</v>
      </c>
      <c r="T64" s="2">
        <v>0</v>
      </c>
      <c r="U64" s="2">
        <v>0</v>
      </c>
      <c r="V64" s="2">
        <v>7</v>
      </c>
      <c r="W64" s="2">
        <v>0</v>
      </c>
      <c r="X64" s="2">
        <f t="shared" si="4"/>
        <v>171</v>
      </c>
      <c r="Z64" s="1">
        <v>87</v>
      </c>
      <c r="AA64" s="1">
        <v>83</v>
      </c>
      <c r="AB64" s="2">
        <f>SUM(Z64:AA64)</f>
        <v>170</v>
      </c>
      <c r="AD64" s="121"/>
      <c r="AE64" s="121"/>
    </row>
    <row r="65" spans="1:31" x14ac:dyDescent="0.25">
      <c r="A65" s="2" t="s">
        <v>96</v>
      </c>
      <c r="B65" s="7">
        <v>0.33333333333333331</v>
      </c>
      <c r="C65" s="2">
        <v>24</v>
      </c>
      <c r="D65" s="10" t="s">
        <v>94</v>
      </c>
      <c r="E65" s="40">
        <v>22</v>
      </c>
      <c r="F65" s="40">
        <v>2.8</v>
      </c>
      <c r="G65" s="40">
        <v>0</v>
      </c>
      <c r="H65" s="3">
        <f t="shared" si="11"/>
        <v>22</v>
      </c>
      <c r="I65" s="3">
        <f t="shared" si="12"/>
        <v>2.8</v>
      </c>
      <c r="J65" s="3">
        <f t="shared" si="13"/>
        <v>0</v>
      </c>
      <c r="K65" s="3"/>
      <c r="L65" s="4">
        <f t="shared" si="14"/>
        <v>584.15833333333308</v>
      </c>
      <c r="M65" s="40">
        <v>0</v>
      </c>
      <c r="N65" s="40">
        <v>0</v>
      </c>
      <c r="O65" s="40">
        <v>0.2</v>
      </c>
      <c r="P65" s="40">
        <v>0</v>
      </c>
      <c r="Q65" s="40">
        <v>2</v>
      </c>
      <c r="R65" s="40"/>
      <c r="S65" s="2">
        <f t="shared" si="10"/>
        <v>152.49999999999997</v>
      </c>
      <c r="T65" s="2">
        <v>0</v>
      </c>
      <c r="U65" s="2">
        <v>0</v>
      </c>
      <c r="V65" s="2">
        <v>6</v>
      </c>
      <c r="W65" s="2">
        <v>0</v>
      </c>
      <c r="X65" s="2">
        <f t="shared" si="4"/>
        <v>165</v>
      </c>
      <c r="Z65" s="1">
        <v>85</v>
      </c>
      <c r="AA65" s="1">
        <v>80</v>
      </c>
      <c r="AB65" s="2">
        <f>SUM(Z65:AA65)</f>
        <v>165</v>
      </c>
      <c r="AD65" s="121"/>
      <c r="AE65" s="121"/>
    </row>
    <row r="66" spans="1:31" x14ac:dyDescent="0.25">
      <c r="A66" s="2" t="s">
        <v>96</v>
      </c>
      <c r="B66" s="7">
        <v>0.58333333333333337</v>
      </c>
      <c r="C66" s="2">
        <v>6</v>
      </c>
      <c r="D66" s="10" t="s">
        <v>97</v>
      </c>
      <c r="E66" s="40">
        <v>22</v>
      </c>
      <c r="F66" s="40">
        <v>3</v>
      </c>
      <c r="G66" s="40">
        <v>0</v>
      </c>
      <c r="H66" s="3">
        <f t="shared" si="11"/>
        <v>5.5</v>
      </c>
      <c r="I66" s="3">
        <f t="shared" si="12"/>
        <v>0.75</v>
      </c>
      <c r="J66" s="3">
        <f t="shared" si="13"/>
        <v>0</v>
      </c>
      <c r="K66" s="3"/>
      <c r="L66" s="4">
        <f t="shared" si="14"/>
        <v>577.90833333333308</v>
      </c>
      <c r="M66" s="40">
        <v>0</v>
      </c>
      <c r="N66" s="40">
        <v>0</v>
      </c>
      <c r="O66" s="40">
        <v>0</v>
      </c>
      <c r="P66" s="40">
        <v>0</v>
      </c>
      <c r="Q66" s="40">
        <v>1.5</v>
      </c>
      <c r="R66" s="40"/>
      <c r="S66" s="2">
        <f t="shared" si="10"/>
        <v>150.99999999999997</v>
      </c>
      <c r="T66" s="2">
        <v>0</v>
      </c>
      <c r="U66" s="2">
        <v>0</v>
      </c>
      <c r="V66" s="2">
        <v>3</v>
      </c>
      <c r="W66" s="2">
        <v>0</v>
      </c>
      <c r="X66" s="2">
        <f t="shared" si="4"/>
        <v>162</v>
      </c>
      <c r="Z66" s="1"/>
      <c r="AA66" s="1"/>
      <c r="AB66" s="2"/>
      <c r="AD66" s="121">
        <v>12</v>
      </c>
      <c r="AE66" s="121" t="s">
        <v>1302</v>
      </c>
    </row>
    <row r="67" spans="1:31" x14ac:dyDescent="0.25">
      <c r="A67" s="2" t="s">
        <v>98</v>
      </c>
      <c r="B67" s="7">
        <v>0.33333333333333331</v>
      </c>
      <c r="C67" s="2">
        <v>18</v>
      </c>
      <c r="D67" s="10" t="s">
        <v>97</v>
      </c>
      <c r="E67" s="40">
        <v>0</v>
      </c>
      <c r="F67" s="40">
        <v>2.6</v>
      </c>
      <c r="G67" s="40">
        <v>2.2000000000000002</v>
      </c>
      <c r="H67" s="3">
        <f t="shared" si="11"/>
        <v>0</v>
      </c>
      <c r="I67" s="3">
        <f t="shared" si="12"/>
        <v>1.9500000000000002</v>
      </c>
      <c r="J67" s="3">
        <f t="shared" si="13"/>
        <v>1.6500000000000001</v>
      </c>
      <c r="K67" s="3"/>
      <c r="L67" s="4">
        <f t="shared" si="14"/>
        <v>574.30833333333305</v>
      </c>
      <c r="M67" s="40">
        <v>0</v>
      </c>
      <c r="N67" s="40">
        <v>0</v>
      </c>
      <c r="O67" s="40">
        <v>0.2</v>
      </c>
      <c r="P67" s="40">
        <v>0</v>
      </c>
      <c r="Q67" s="43">
        <v>1</v>
      </c>
      <c r="R67" s="40"/>
      <c r="S67" s="2">
        <f t="shared" si="10"/>
        <v>149.79999999999998</v>
      </c>
      <c r="T67" s="2">
        <v>0</v>
      </c>
      <c r="U67" s="2">
        <v>0</v>
      </c>
      <c r="V67" s="2">
        <v>3</v>
      </c>
      <c r="W67" s="2">
        <v>0</v>
      </c>
      <c r="X67" s="2">
        <f t="shared" si="4"/>
        <v>159</v>
      </c>
      <c r="Z67" s="1"/>
      <c r="AA67" s="1"/>
      <c r="AB67" s="2"/>
      <c r="AD67" s="121"/>
      <c r="AE67" s="121"/>
    </row>
    <row r="68" spans="1:31" x14ac:dyDescent="0.25">
      <c r="A68" s="2" t="s">
        <v>99</v>
      </c>
      <c r="B68" s="7">
        <v>0.33333333333333331</v>
      </c>
      <c r="C68" s="2">
        <v>24</v>
      </c>
      <c r="D68" s="10" t="s">
        <v>97</v>
      </c>
      <c r="E68" s="40">
        <v>0</v>
      </c>
      <c r="F68" s="40">
        <v>2.4</v>
      </c>
      <c r="G68" s="40">
        <v>2.2000000000000002</v>
      </c>
      <c r="H68" s="3">
        <f t="shared" si="11"/>
        <v>0</v>
      </c>
      <c r="I68" s="3">
        <f t="shared" si="12"/>
        <v>2.4</v>
      </c>
      <c r="J68" s="3">
        <f t="shared" si="13"/>
        <v>2.2000000000000002</v>
      </c>
      <c r="K68" s="3"/>
      <c r="L68" s="4">
        <f t="shared" si="14"/>
        <v>569.70833333333303</v>
      </c>
      <c r="M68" s="40">
        <v>0</v>
      </c>
      <c r="N68" s="40">
        <v>0</v>
      </c>
      <c r="O68" s="40">
        <v>0.2</v>
      </c>
      <c r="P68" s="40">
        <v>0</v>
      </c>
      <c r="Q68" s="40">
        <v>1</v>
      </c>
      <c r="R68" s="40"/>
      <c r="S68" s="2">
        <f t="shared" si="10"/>
        <v>148.6</v>
      </c>
      <c r="T68" s="2">
        <v>0</v>
      </c>
      <c r="U68" s="2">
        <v>140</v>
      </c>
      <c r="V68" s="2">
        <v>6</v>
      </c>
      <c r="W68" s="2">
        <v>0</v>
      </c>
      <c r="X68" s="2">
        <f t="shared" si="4"/>
        <v>293</v>
      </c>
      <c r="Z68" s="1"/>
      <c r="AA68" s="1"/>
      <c r="AB68" s="2"/>
      <c r="AD68" s="121"/>
      <c r="AE68" s="121"/>
    </row>
    <row r="69" spans="1:31" x14ac:dyDescent="0.25">
      <c r="A69" s="2" t="s">
        <v>99</v>
      </c>
      <c r="B69" s="7">
        <v>0.33333333333333331</v>
      </c>
      <c r="C69" s="2">
        <v>24</v>
      </c>
      <c r="D69" s="10" t="s">
        <v>97</v>
      </c>
      <c r="E69" s="40">
        <v>0</v>
      </c>
      <c r="F69" s="40">
        <v>2.4</v>
      </c>
      <c r="G69" s="40">
        <v>2.2000000000000002</v>
      </c>
      <c r="H69" s="3">
        <f t="shared" si="11"/>
        <v>0</v>
      </c>
      <c r="I69" s="3">
        <f t="shared" si="12"/>
        <v>2.4</v>
      </c>
      <c r="J69" s="3">
        <f t="shared" si="13"/>
        <v>2.2000000000000002</v>
      </c>
      <c r="K69" s="3"/>
      <c r="L69" s="4">
        <f t="shared" si="14"/>
        <v>565.10833333333301</v>
      </c>
      <c r="M69" s="40">
        <v>0</v>
      </c>
      <c r="N69" s="40">
        <v>0</v>
      </c>
      <c r="O69" s="40">
        <v>0.4</v>
      </c>
      <c r="P69" s="40">
        <v>0</v>
      </c>
      <c r="Q69" s="40">
        <v>1</v>
      </c>
      <c r="R69" s="40"/>
      <c r="S69" s="2">
        <f t="shared" si="10"/>
        <v>147.19999999999999</v>
      </c>
      <c r="T69" s="2">
        <v>0</v>
      </c>
      <c r="U69" s="2">
        <v>0</v>
      </c>
      <c r="V69" s="2">
        <v>6</v>
      </c>
      <c r="W69" s="2">
        <v>0</v>
      </c>
      <c r="X69" s="2">
        <f t="shared" si="4"/>
        <v>287</v>
      </c>
      <c r="Z69" s="1"/>
      <c r="AA69" s="1"/>
      <c r="AB69" s="2"/>
      <c r="AD69" s="121"/>
      <c r="AE69" s="121"/>
    </row>
    <row r="70" spans="1:31" x14ac:dyDescent="0.25">
      <c r="A70" s="2" t="s">
        <v>99</v>
      </c>
      <c r="B70" s="7">
        <v>0.54166666666666663</v>
      </c>
      <c r="C70" s="2">
        <v>5</v>
      </c>
      <c r="D70" s="10" t="s">
        <v>97</v>
      </c>
      <c r="E70" s="40">
        <v>0</v>
      </c>
      <c r="F70" s="40">
        <v>2.4</v>
      </c>
      <c r="G70" s="40">
        <v>2.2000000000000002</v>
      </c>
      <c r="H70" s="3">
        <f t="shared" si="11"/>
        <v>0</v>
      </c>
      <c r="I70" s="3">
        <f t="shared" si="12"/>
        <v>0.49999999999999994</v>
      </c>
      <c r="J70" s="3">
        <f t="shared" si="13"/>
        <v>0.45833333333333337</v>
      </c>
      <c r="K70" s="3"/>
      <c r="L70" s="4">
        <f t="shared" si="14"/>
        <v>564.14999999999964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/>
      <c r="S70" s="2">
        <f t="shared" si="10"/>
        <v>147.19999999999999</v>
      </c>
      <c r="T70" s="2">
        <v>0</v>
      </c>
      <c r="U70" s="2">
        <v>0</v>
      </c>
      <c r="V70" s="2">
        <v>2</v>
      </c>
      <c r="W70" s="2">
        <v>0</v>
      </c>
      <c r="X70" s="2">
        <f t="shared" si="4"/>
        <v>285</v>
      </c>
      <c r="Z70" s="1"/>
      <c r="AA70" s="1"/>
      <c r="AB70" s="2"/>
      <c r="AD70" s="121"/>
      <c r="AE70" s="121"/>
    </row>
    <row r="71" spans="1:31" x14ac:dyDescent="0.25">
      <c r="A71" s="2" t="s">
        <v>99</v>
      </c>
      <c r="B71" s="7">
        <v>0.625</v>
      </c>
      <c r="C71" s="2">
        <v>2</v>
      </c>
      <c r="D71" s="10" t="s">
        <v>100</v>
      </c>
      <c r="E71" s="40">
        <v>18</v>
      </c>
      <c r="F71" s="40">
        <v>2.8</v>
      </c>
      <c r="G71" s="40">
        <v>2</v>
      </c>
      <c r="H71" s="3">
        <f t="shared" si="11"/>
        <v>1.5</v>
      </c>
      <c r="I71" s="3">
        <f t="shared" si="12"/>
        <v>0.23333333333333331</v>
      </c>
      <c r="J71" s="3">
        <f t="shared" si="13"/>
        <v>0.16666666666666666</v>
      </c>
      <c r="K71" s="3"/>
      <c r="L71" s="4">
        <f t="shared" si="14"/>
        <v>562.24999999999966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/>
      <c r="S71" s="2">
        <f t="shared" si="10"/>
        <v>147.19999999999999</v>
      </c>
      <c r="T71" s="2">
        <v>0</v>
      </c>
      <c r="U71" s="2">
        <v>0</v>
      </c>
      <c r="V71" s="2">
        <v>1</v>
      </c>
      <c r="W71" s="2">
        <v>0</v>
      </c>
      <c r="X71" s="2">
        <f t="shared" si="4"/>
        <v>284</v>
      </c>
      <c r="Z71" s="1"/>
      <c r="AA71" s="1"/>
      <c r="AB71" s="2"/>
      <c r="AD71" s="121"/>
      <c r="AE71" s="121"/>
    </row>
    <row r="72" spans="1:31" x14ac:dyDescent="0.25">
      <c r="A72" s="2" t="s">
        <v>99</v>
      </c>
      <c r="B72" s="7">
        <v>0.91666666666666663</v>
      </c>
      <c r="C72" s="2">
        <v>7</v>
      </c>
      <c r="D72" s="10" t="s">
        <v>101</v>
      </c>
      <c r="E72" s="40">
        <v>0</v>
      </c>
      <c r="F72" s="40">
        <v>3.2</v>
      </c>
      <c r="G72" s="40">
        <v>2.2000000000000002</v>
      </c>
      <c r="H72" s="3">
        <f t="shared" si="11"/>
        <v>0</v>
      </c>
      <c r="I72" s="3">
        <f t="shared" si="12"/>
        <v>0.93333333333333335</v>
      </c>
      <c r="J72" s="3">
        <f t="shared" si="13"/>
        <v>0.64166666666666672</v>
      </c>
      <c r="K72" s="3"/>
      <c r="L72" s="4">
        <f t="shared" si="14"/>
        <v>560.67499999999961</v>
      </c>
      <c r="M72" s="40">
        <v>0</v>
      </c>
      <c r="N72" s="40">
        <v>0</v>
      </c>
      <c r="O72" s="40">
        <v>0.1</v>
      </c>
      <c r="P72" s="40">
        <v>0</v>
      </c>
      <c r="Q72" s="40">
        <v>1.2</v>
      </c>
      <c r="R72" s="40"/>
      <c r="S72" s="2">
        <f t="shared" si="10"/>
        <v>145.89999999999998</v>
      </c>
      <c r="T72" s="2">
        <v>0</v>
      </c>
      <c r="U72" s="2">
        <v>0</v>
      </c>
      <c r="V72" s="2">
        <v>1</v>
      </c>
      <c r="W72" s="2">
        <v>0</v>
      </c>
      <c r="X72" s="2">
        <f t="shared" si="4"/>
        <v>283</v>
      </c>
      <c r="Z72" s="1"/>
      <c r="AA72" s="1"/>
      <c r="AB72" s="2"/>
      <c r="AD72" s="121"/>
      <c r="AE72" s="121"/>
    </row>
    <row r="73" spans="1:31" x14ac:dyDescent="0.25">
      <c r="A73" s="2" t="s">
        <v>102</v>
      </c>
      <c r="B73" s="7">
        <v>0.33333333333333331</v>
      </c>
      <c r="C73" s="2">
        <v>14</v>
      </c>
      <c r="D73" s="10" t="s">
        <v>100</v>
      </c>
      <c r="E73" s="40">
        <v>0</v>
      </c>
      <c r="F73" s="40">
        <v>3</v>
      </c>
      <c r="G73" s="40">
        <v>2.2000000000000002</v>
      </c>
      <c r="H73" s="3">
        <f t="shared" si="11"/>
        <v>0</v>
      </c>
      <c r="I73" s="3">
        <f t="shared" si="12"/>
        <v>1.75</v>
      </c>
      <c r="J73" s="3">
        <f t="shared" si="13"/>
        <v>1.2833333333333334</v>
      </c>
      <c r="K73" s="3"/>
      <c r="L73" s="4">
        <f t="shared" si="14"/>
        <v>557.64166666666631</v>
      </c>
      <c r="M73" s="40">
        <v>0</v>
      </c>
      <c r="N73" s="40">
        <v>0</v>
      </c>
      <c r="O73" s="40">
        <v>0.2</v>
      </c>
      <c r="P73" s="40">
        <v>0</v>
      </c>
      <c r="Q73" s="40">
        <v>2.2000000000000002</v>
      </c>
      <c r="R73" s="40"/>
      <c r="S73" s="2">
        <f t="shared" si="10"/>
        <v>143.49999999999997</v>
      </c>
      <c r="T73" s="2">
        <v>0</v>
      </c>
      <c r="U73" s="2">
        <v>0</v>
      </c>
      <c r="V73" s="2">
        <v>1</v>
      </c>
      <c r="W73" s="2">
        <v>0</v>
      </c>
      <c r="X73" s="2">
        <f t="shared" si="4"/>
        <v>282</v>
      </c>
      <c r="Z73" s="1">
        <v>141</v>
      </c>
      <c r="AA73" s="1">
        <v>144</v>
      </c>
      <c r="AB73" s="2">
        <f>SUM(Z73:AA73)</f>
        <v>285</v>
      </c>
      <c r="AD73" s="121"/>
      <c r="AE73" s="121"/>
    </row>
    <row r="74" spans="1:31" x14ac:dyDescent="0.25">
      <c r="A74" s="2" t="s">
        <v>104</v>
      </c>
      <c r="B74" s="7">
        <v>0</v>
      </c>
      <c r="C74" s="2">
        <v>16</v>
      </c>
      <c r="D74" s="10" t="s">
        <v>103</v>
      </c>
      <c r="E74" s="40">
        <v>0</v>
      </c>
      <c r="F74" s="40">
        <v>3</v>
      </c>
      <c r="G74" s="40">
        <v>2.2000000000000002</v>
      </c>
      <c r="H74" s="3">
        <f t="shared" si="11"/>
        <v>0</v>
      </c>
      <c r="I74" s="3">
        <f t="shared" si="12"/>
        <v>2</v>
      </c>
      <c r="J74" s="3">
        <f t="shared" si="13"/>
        <v>1.4666666666666668</v>
      </c>
      <c r="K74" s="3"/>
      <c r="L74" s="4">
        <f t="shared" si="14"/>
        <v>554.17499999999961</v>
      </c>
      <c r="M74" s="40">
        <v>0</v>
      </c>
      <c r="N74" s="40">
        <v>0</v>
      </c>
      <c r="O74" s="40">
        <v>0.2</v>
      </c>
      <c r="P74" s="40">
        <v>0</v>
      </c>
      <c r="Q74" s="40">
        <v>2.6</v>
      </c>
      <c r="R74" s="40"/>
      <c r="S74" s="2">
        <f t="shared" si="10"/>
        <v>140.69999999999996</v>
      </c>
      <c r="T74" s="2">
        <v>0</v>
      </c>
      <c r="U74" s="2">
        <v>0</v>
      </c>
      <c r="V74" s="2">
        <v>3</v>
      </c>
      <c r="W74" s="2">
        <v>0</v>
      </c>
      <c r="X74" s="2">
        <f t="shared" si="4"/>
        <v>279</v>
      </c>
      <c r="Z74" s="1"/>
      <c r="AA74" s="1"/>
      <c r="AB74" s="2"/>
      <c r="AD74" s="121"/>
      <c r="AE74" s="121"/>
    </row>
    <row r="75" spans="1:31" x14ac:dyDescent="0.25">
      <c r="A75" s="2" t="s">
        <v>104</v>
      </c>
      <c r="B75" s="7">
        <v>0.25</v>
      </c>
      <c r="C75" s="2">
        <v>6</v>
      </c>
      <c r="D75" s="10" t="s">
        <v>105</v>
      </c>
      <c r="E75" s="40">
        <v>0</v>
      </c>
      <c r="F75" s="40">
        <v>3</v>
      </c>
      <c r="G75" s="40">
        <v>2.2000000000000002</v>
      </c>
      <c r="H75" s="3">
        <v>0.5</v>
      </c>
      <c r="I75" s="3">
        <f t="shared" si="12"/>
        <v>0.75</v>
      </c>
      <c r="J75" s="3">
        <f t="shared" si="13"/>
        <v>0.55000000000000004</v>
      </c>
      <c r="K75" s="3"/>
      <c r="L75" s="4">
        <f t="shared" si="14"/>
        <v>552.37499999999966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/>
      <c r="S75" s="2">
        <f t="shared" si="10"/>
        <v>140.69999999999996</v>
      </c>
      <c r="T75" s="2">
        <v>0</v>
      </c>
      <c r="U75" s="2">
        <v>0</v>
      </c>
      <c r="V75" s="2">
        <v>1</v>
      </c>
      <c r="W75" s="2">
        <v>0</v>
      </c>
      <c r="X75" s="2">
        <f t="shared" si="4"/>
        <v>278</v>
      </c>
      <c r="Z75" s="1"/>
      <c r="AA75" s="1"/>
      <c r="AB75" s="2"/>
      <c r="AD75" s="121"/>
      <c r="AE75" s="121"/>
    </row>
    <row r="76" spans="1:31" x14ac:dyDescent="0.25">
      <c r="A76" s="2" t="s">
        <v>104</v>
      </c>
      <c r="B76" s="7">
        <v>0.33333333333333331</v>
      </c>
      <c r="C76" s="2">
        <v>2</v>
      </c>
      <c r="D76" s="10" t="s">
        <v>17</v>
      </c>
      <c r="E76" s="40">
        <v>20</v>
      </c>
      <c r="F76" s="40">
        <v>3</v>
      </c>
      <c r="G76" s="40">
        <v>1.2</v>
      </c>
      <c r="H76" s="3">
        <f t="shared" si="11"/>
        <v>1.6666666666666667</v>
      </c>
      <c r="I76" s="3">
        <f t="shared" si="12"/>
        <v>0.25</v>
      </c>
      <c r="J76" s="3">
        <f t="shared" si="13"/>
        <v>9.9999999999999992E-2</v>
      </c>
      <c r="K76" s="3"/>
      <c r="L76" s="4">
        <f t="shared" si="14"/>
        <v>550.35833333333301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/>
      <c r="S76" s="2">
        <f t="shared" si="10"/>
        <v>140.69999999999996</v>
      </c>
      <c r="T76" s="2">
        <v>2</v>
      </c>
      <c r="U76" s="2">
        <v>0</v>
      </c>
      <c r="V76" s="2">
        <v>0</v>
      </c>
      <c r="W76" s="2">
        <v>0</v>
      </c>
      <c r="X76" s="2">
        <f t="shared" si="4"/>
        <v>280</v>
      </c>
      <c r="Z76" s="1">
        <v>138</v>
      </c>
      <c r="AA76" s="1">
        <v>144</v>
      </c>
      <c r="AB76" s="2">
        <f>SUM(Z76:AA76)</f>
        <v>282</v>
      </c>
      <c r="AD76" s="121"/>
      <c r="AE76" s="121"/>
    </row>
    <row r="77" spans="1:31" x14ac:dyDescent="0.25">
      <c r="A77" s="19" t="s">
        <v>106</v>
      </c>
      <c r="B77" s="7">
        <v>0.33333333333333331</v>
      </c>
      <c r="C77" s="2">
        <v>24</v>
      </c>
      <c r="D77" s="10" t="s">
        <v>107</v>
      </c>
      <c r="E77" s="40">
        <v>20</v>
      </c>
      <c r="F77" s="40">
        <v>2.4</v>
      </c>
      <c r="G77" s="40">
        <v>0</v>
      </c>
      <c r="H77" s="3">
        <f t="shared" si="11"/>
        <v>20</v>
      </c>
      <c r="I77" s="3">
        <f t="shared" si="12"/>
        <v>2.4</v>
      </c>
      <c r="J77" s="3">
        <f t="shared" si="13"/>
        <v>0</v>
      </c>
      <c r="K77" s="3"/>
      <c r="L77" s="4">
        <f t="shared" si="14"/>
        <v>527.95833333333303</v>
      </c>
      <c r="M77" s="40">
        <v>0</v>
      </c>
      <c r="N77" s="40">
        <v>0</v>
      </c>
      <c r="O77" s="40">
        <v>0.2</v>
      </c>
      <c r="P77" s="40">
        <v>0</v>
      </c>
      <c r="Q77" s="40">
        <v>0.5</v>
      </c>
      <c r="R77" s="40"/>
      <c r="S77" s="4">
        <f t="shared" si="10"/>
        <v>139.99999999999997</v>
      </c>
      <c r="T77" s="2">
        <v>11</v>
      </c>
      <c r="U77" s="2">
        <v>0</v>
      </c>
      <c r="V77" s="2">
        <v>6</v>
      </c>
      <c r="W77" s="2">
        <v>0</v>
      </c>
      <c r="X77" s="2">
        <f t="shared" si="4"/>
        <v>285</v>
      </c>
      <c r="Z77" s="1">
        <v>141</v>
      </c>
      <c r="AA77" s="1">
        <v>144</v>
      </c>
      <c r="AB77" s="2">
        <f>SUM(Z77:AA77)</f>
        <v>285</v>
      </c>
      <c r="AD77" s="121"/>
      <c r="AE77" s="121"/>
    </row>
    <row r="78" spans="1:31" x14ac:dyDescent="0.25">
      <c r="A78" s="2" t="s">
        <v>108</v>
      </c>
      <c r="B78" s="7">
        <v>0.33333333333333331</v>
      </c>
      <c r="C78" s="2">
        <v>24</v>
      </c>
      <c r="D78" s="10" t="s">
        <v>74</v>
      </c>
      <c r="E78" s="40">
        <v>19</v>
      </c>
      <c r="F78" s="40">
        <v>2.4</v>
      </c>
      <c r="G78" s="40">
        <v>0</v>
      </c>
      <c r="H78" s="3">
        <f t="shared" si="11"/>
        <v>19</v>
      </c>
      <c r="I78" s="3">
        <f t="shared" si="12"/>
        <v>2.4</v>
      </c>
      <c r="J78" s="3">
        <f t="shared" si="13"/>
        <v>0</v>
      </c>
      <c r="K78" s="3"/>
      <c r="L78" s="4">
        <f t="shared" si="14"/>
        <v>506.55833333333305</v>
      </c>
      <c r="M78" s="40">
        <v>0</v>
      </c>
      <c r="N78" s="40">
        <v>0</v>
      </c>
      <c r="O78" s="40">
        <v>0.2</v>
      </c>
      <c r="P78" s="40">
        <v>0</v>
      </c>
      <c r="Q78" s="40">
        <v>0</v>
      </c>
      <c r="R78" s="40"/>
      <c r="S78" s="2">
        <f t="shared" si="10"/>
        <v>139.79999999999998</v>
      </c>
      <c r="T78" s="2">
        <v>8</v>
      </c>
      <c r="U78" s="2">
        <v>0</v>
      </c>
      <c r="V78" s="2">
        <v>6</v>
      </c>
      <c r="W78" s="2">
        <v>0</v>
      </c>
      <c r="X78" s="2">
        <f t="shared" si="4"/>
        <v>287</v>
      </c>
      <c r="Z78" s="1">
        <v>143</v>
      </c>
      <c r="AA78" s="1">
        <v>144</v>
      </c>
      <c r="AB78" s="2">
        <f>SUM(Z78:AA78)</f>
        <v>287</v>
      </c>
      <c r="AD78" s="121"/>
      <c r="AE78" s="121"/>
    </row>
    <row r="79" spans="1:31" x14ac:dyDescent="0.25">
      <c r="A79" s="2" t="s">
        <v>108</v>
      </c>
      <c r="B79" s="7">
        <v>0.39583333333333331</v>
      </c>
      <c r="C79" s="2">
        <v>1.5</v>
      </c>
      <c r="D79" s="10" t="s">
        <v>109</v>
      </c>
      <c r="E79" s="40">
        <v>19</v>
      </c>
      <c r="F79" s="40">
        <v>2.4</v>
      </c>
      <c r="G79" s="40">
        <v>0</v>
      </c>
      <c r="H79" s="3">
        <v>2.19</v>
      </c>
      <c r="I79" s="3">
        <f t="shared" si="12"/>
        <v>0.15</v>
      </c>
      <c r="J79" s="3">
        <f t="shared" si="13"/>
        <v>0</v>
      </c>
      <c r="K79" s="3"/>
      <c r="L79" s="4">
        <f t="shared" si="14"/>
        <v>504.21833333333308</v>
      </c>
      <c r="M79" s="40">
        <v>0</v>
      </c>
      <c r="N79" s="40">
        <v>0</v>
      </c>
      <c r="O79" s="40">
        <v>0.1</v>
      </c>
      <c r="P79" s="40">
        <v>0</v>
      </c>
      <c r="Q79" s="40">
        <v>0</v>
      </c>
      <c r="R79" s="40"/>
      <c r="S79" s="2">
        <f t="shared" si="10"/>
        <v>139.69999999999999</v>
      </c>
      <c r="T79" s="2">
        <v>0</v>
      </c>
      <c r="U79" s="2">
        <v>0</v>
      </c>
      <c r="V79" s="2">
        <v>1</v>
      </c>
      <c r="W79" s="2">
        <v>0</v>
      </c>
      <c r="X79" s="2">
        <f t="shared" si="4"/>
        <v>286</v>
      </c>
      <c r="Z79" s="1"/>
      <c r="AA79" s="1"/>
      <c r="AB79" s="2"/>
      <c r="AD79" s="121">
        <v>12.6</v>
      </c>
      <c r="AE79" s="121" t="s">
        <v>1303</v>
      </c>
    </row>
    <row r="80" spans="1:31" x14ac:dyDescent="0.25">
      <c r="A80" s="2" t="s">
        <v>110</v>
      </c>
      <c r="B80" s="7">
        <v>0.33333333333333331</v>
      </c>
      <c r="C80" s="2">
        <v>22.5</v>
      </c>
      <c r="D80" s="10" t="s">
        <v>17</v>
      </c>
      <c r="E80" s="40">
        <v>0</v>
      </c>
      <c r="F80" s="40">
        <v>2.4</v>
      </c>
      <c r="G80" s="40">
        <v>2.2000000000000002</v>
      </c>
      <c r="H80" s="3">
        <f t="shared" si="11"/>
        <v>0</v>
      </c>
      <c r="I80" s="3">
        <f t="shared" si="12"/>
        <v>2.25</v>
      </c>
      <c r="J80" s="3">
        <f t="shared" si="13"/>
        <v>2.0625</v>
      </c>
      <c r="K80" s="3"/>
      <c r="L80" s="4">
        <f t="shared" si="14"/>
        <v>499.90583333333308</v>
      </c>
      <c r="M80" s="40">
        <v>0</v>
      </c>
      <c r="N80" s="40">
        <v>0</v>
      </c>
      <c r="O80" s="40">
        <v>0.2</v>
      </c>
      <c r="P80" s="40">
        <v>0</v>
      </c>
      <c r="Q80" s="40">
        <v>0</v>
      </c>
      <c r="R80" s="40"/>
      <c r="S80" s="2">
        <f t="shared" si="10"/>
        <v>139.5</v>
      </c>
      <c r="T80" s="2">
        <v>0</v>
      </c>
      <c r="U80" s="2">
        <v>0</v>
      </c>
      <c r="V80" s="2">
        <v>6</v>
      </c>
      <c r="W80" s="2">
        <v>0</v>
      </c>
      <c r="X80" s="2">
        <f t="shared" si="4"/>
        <v>280</v>
      </c>
      <c r="Z80" s="1">
        <v>139</v>
      </c>
      <c r="AA80" s="1">
        <v>114</v>
      </c>
      <c r="AB80" s="2">
        <f>SUM(Z80:AA80)</f>
        <v>253</v>
      </c>
      <c r="AD80" s="121"/>
      <c r="AE80" s="121"/>
    </row>
    <row r="81" spans="1:31" x14ac:dyDescent="0.25">
      <c r="A81" s="2" t="s">
        <v>111</v>
      </c>
      <c r="B81" s="7">
        <v>0.33333333333333331</v>
      </c>
      <c r="C81" s="2">
        <v>24</v>
      </c>
      <c r="D81" s="10" t="s">
        <v>113</v>
      </c>
      <c r="E81" s="40">
        <v>0</v>
      </c>
      <c r="F81" s="40">
        <v>2.4</v>
      </c>
      <c r="G81" s="40">
        <v>2.2000000000000002</v>
      </c>
      <c r="H81" s="3">
        <f t="shared" si="11"/>
        <v>0</v>
      </c>
      <c r="I81" s="3">
        <f t="shared" si="12"/>
        <v>2.4</v>
      </c>
      <c r="J81" s="3">
        <f t="shared" si="13"/>
        <v>2.2000000000000002</v>
      </c>
      <c r="K81" s="3"/>
      <c r="L81" s="4">
        <f t="shared" si="14"/>
        <v>495.30583333333306</v>
      </c>
      <c r="M81" s="40">
        <v>0</v>
      </c>
      <c r="N81" s="40">
        <v>0</v>
      </c>
      <c r="O81" s="40">
        <v>0.2</v>
      </c>
      <c r="P81" s="40">
        <v>0</v>
      </c>
      <c r="Q81" s="40">
        <v>0</v>
      </c>
      <c r="R81" s="40"/>
      <c r="S81" s="2">
        <f t="shared" si="10"/>
        <v>139.30000000000001</v>
      </c>
      <c r="T81" s="2">
        <v>0</v>
      </c>
      <c r="U81" s="2">
        <v>0</v>
      </c>
      <c r="V81" s="2">
        <v>20</v>
      </c>
      <c r="W81" s="2">
        <v>0</v>
      </c>
      <c r="X81" s="2">
        <f t="shared" si="4"/>
        <v>260</v>
      </c>
      <c r="Z81" s="1"/>
      <c r="AA81" s="1"/>
      <c r="AB81" s="2"/>
      <c r="AD81" s="121"/>
      <c r="AE81" s="121"/>
    </row>
    <row r="82" spans="1:31" x14ac:dyDescent="0.25">
      <c r="A82" s="2" t="s">
        <v>112</v>
      </c>
      <c r="B82" s="7">
        <v>0.33333333333333331</v>
      </c>
      <c r="C82" s="2">
        <v>24</v>
      </c>
      <c r="D82" s="10" t="s">
        <v>113</v>
      </c>
      <c r="E82" s="40">
        <v>0</v>
      </c>
      <c r="F82" s="40">
        <v>2.4</v>
      </c>
      <c r="G82" s="40">
        <v>2.2000000000000002</v>
      </c>
      <c r="H82" s="3">
        <f t="shared" si="11"/>
        <v>0</v>
      </c>
      <c r="I82" s="3">
        <f t="shared" si="12"/>
        <v>2.4</v>
      </c>
      <c r="J82" s="3">
        <f t="shared" si="13"/>
        <v>2.2000000000000002</v>
      </c>
      <c r="K82" s="3"/>
      <c r="L82" s="4">
        <f t="shared" si="14"/>
        <v>490.70583333333303</v>
      </c>
      <c r="M82" s="40">
        <v>0</v>
      </c>
      <c r="N82" s="40">
        <v>0</v>
      </c>
      <c r="O82" s="40">
        <v>0.2</v>
      </c>
      <c r="P82" s="40">
        <v>0</v>
      </c>
      <c r="Q82" s="40">
        <v>0</v>
      </c>
      <c r="R82" s="40"/>
      <c r="S82" s="2">
        <f t="shared" si="10"/>
        <v>139.10000000000002</v>
      </c>
      <c r="T82" s="2">
        <v>0</v>
      </c>
      <c r="U82" s="2">
        <v>0</v>
      </c>
      <c r="V82" s="2">
        <v>15</v>
      </c>
      <c r="W82" s="2">
        <v>0</v>
      </c>
      <c r="X82" s="2">
        <f t="shared" si="4"/>
        <v>245</v>
      </c>
      <c r="Z82" s="1"/>
      <c r="AA82" s="1"/>
      <c r="AB82" s="2"/>
      <c r="AD82" s="121"/>
      <c r="AE82" s="121"/>
    </row>
    <row r="83" spans="1:31" x14ac:dyDescent="0.25">
      <c r="A83" s="2" t="s">
        <v>114</v>
      </c>
      <c r="B83" s="7">
        <v>0.33333333333333331</v>
      </c>
      <c r="C83" s="2">
        <v>24</v>
      </c>
      <c r="D83" s="10" t="s">
        <v>113</v>
      </c>
      <c r="E83" s="40">
        <v>0</v>
      </c>
      <c r="F83" s="40">
        <v>2.4</v>
      </c>
      <c r="G83" s="40">
        <v>2.2000000000000002</v>
      </c>
      <c r="H83" s="3">
        <f t="shared" si="11"/>
        <v>0</v>
      </c>
      <c r="I83" s="3">
        <f t="shared" si="12"/>
        <v>2.4</v>
      </c>
      <c r="J83" s="3">
        <f t="shared" si="13"/>
        <v>2.2000000000000002</v>
      </c>
      <c r="K83" s="3"/>
      <c r="L83" s="4">
        <f t="shared" si="14"/>
        <v>486.10583333333301</v>
      </c>
      <c r="M83" s="40">
        <v>0</v>
      </c>
      <c r="N83" s="40">
        <v>0</v>
      </c>
      <c r="O83" s="40">
        <v>0.2</v>
      </c>
      <c r="P83" s="40">
        <v>0</v>
      </c>
      <c r="Q83" s="40">
        <v>0</v>
      </c>
      <c r="R83" s="40"/>
      <c r="S83" s="2">
        <f t="shared" si="10"/>
        <v>138.90000000000003</v>
      </c>
      <c r="T83" s="2">
        <v>0</v>
      </c>
      <c r="U83" s="2">
        <v>0</v>
      </c>
      <c r="V83" s="2">
        <v>10</v>
      </c>
      <c r="W83" s="2">
        <v>0</v>
      </c>
      <c r="X83" s="2">
        <f t="shared" si="4"/>
        <v>235</v>
      </c>
      <c r="Z83" s="1">
        <v>127</v>
      </c>
      <c r="AA83" s="1">
        <v>145</v>
      </c>
      <c r="AB83" s="2">
        <f>SUM(Z83:AA83)</f>
        <v>272</v>
      </c>
      <c r="AD83" s="121"/>
      <c r="AE83" s="121"/>
    </row>
    <row r="84" spans="1:31" x14ac:dyDescent="0.25">
      <c r="A84" s="2" t="s">
        <v>115</v>
      </c>
      <c r="B84" s="7">
        <v>0.33333333333333331</v>
      </c>
      <c r="C84" s="2">
        <v>24</v>
      </c>
      <c r="D84" s="10" t="s">
        <v>113</v>
      </c>
      <c r="E84" s="40">
        <v>0</v>
      </c>
      <c r="F84" s="40">
        <v>2.4</v>
      </c>
      <c r="G84" s="40">
        <v>2.2000000000000002</v>
      </c>
      <c r="H84" s="3">
        <f t="shared" si="11"/>
        <v>0</v>
      </c>
      <c r="I84" s="3">
        <f t="shared" si="12"/>
        <v>2.4</v>
      </c>
      <c r="J84" s="3">
        <f t="shared" si="13"/>
        <v>2.2000000000000002</v>
      </c>
      <c r="K84" s="3"/>
      <c r="L84" s="4">
        <f t="shared" si="14"/>
        <v>481.50583333333299</v>
      </c>
      <c r="M84" s="40">
        <v>0</v>
      </c>
      <c r="N84" s="40">
        <v>0</v>
      </c>
      <c r="O84" s="40">
        <v>0.2</v>
      </c>
      <c r="P84" s="40">
        <v>0</v>
      </c>
      <c r="Q84" s="40">
        <v>0</v>
      </c>
      <c r="R84" s="40"/>
      <c r="S84" s="2">
        <f t="shared" si="10"/>
        <v>138.70000000000005</v>
      </c>
      <c r="T84" s="2">
        <v>0</v>
      </c>
      <c r="U84" s="2">
        <v>0</v>
      </c>
      <c r="V84" s="2">
        <v>5</v>
      </c>
      <c r="W84" s="2">
        <v>0</v>
      </c>
      <c r="X84" s="2">
        <f t="shared" si="4"/>
        <v>230</v>
      </c>
      <c r="Z84" s="1"/>
      <c r="AA84" s="1"/>
      <c r="AB84" s="2"/>
      <c r="AD84" s="121"/>
      <c r="AE84" s="121"/>
    </row>
    <row r="85" spans="1:31" x14ac:dyDescent="0.25">
      <c r="A85" s="2" t="s">
        <v>115</v>
      </c>
      <c r="B85" s="7">
        <v>0.79166666666666663</v>
      </c>
      <c r="C85" s="2">
        <v>11</v>
      </c>
      <c r="D85" s="10" t="s">
        <v>88</v>
      </c>
      <c r="E85" s="40">
        <v>0</v>
      </c>
      <c r="F85" s="40">
        <v>2.4</v>
      </c>
      <c r="G85" s="40">
        <v>2.2000000000000002</v>
      </c>
      <c r="H85" s="3">
        <f t="shared" si="11"/>
        <v>0</v>
      </c>
      <c r="I85" s="3">
        <f t="shared" si="12"/>
        <v>1.0999999999999999</v>
      </c>
      <c r="J85" s="3">
        <f t="shared" si="13"/>
        <v>1.0083333333333333</v>
      </c>
      <c r="K85" s="3"/>
      <c r="L85" s="4">
        <f t="shared" si="14"/>
        <v>479.39749999999964</v>
      </c>
      <c r="M85" s="40">
        <v>0</v>
      </c>
      <c r="N85" s="40">
        <v>0</v>
      </c>
      <c r="O85" s="40">
        <v>0.2</v>
      </c>
      <c r="P85" s="40">
        <v>0</v>
      </c>
      <c r="Q85" s="40">
        <v>0</v>
      </c>
      <c r="R85" s="40"/>
      <c r="S85" s="2">
        <f t="shared" si="10"/>
        <v>138.50000000000006</v>
      </c>
      <c r="T85" s="2">
        <v>0</v>
      </c>
      <c r="U85" s="2">
        <v>0</v>
      </c>
      <c r="V85" s="2">
        <v>2</v>
      </c>
      <c r="W85" s="2">
        <v>0</v>
      </c>
      <c r="X85" s="2">
        <f t="shared" si="4"/>
        <v>228</v>
      </c>
      <c r="Z85" s="1"/>
      <c r="AA85" s="1"/>
      <c r="AB85" s="2"/>
      <c r="AD85" s="121"/>
      <c r="AE85" s="121"/>
    </row>
    <row r="86" spans="1:31" x14ac:dyDescent="0.25">
      <c r="A86" s="2" t="s">
        <v>115</v>
      </c>
      <c r="B86" s="7">
        <v>0.95833333333333337</v>
      </c>
      <c r="C86" s="2">
        <v>4</v>
      </c>
      <c r="D86" s="10" t="s">
        <v>116</v>
      </c>
      <c r="E86" s="40">
        <v>10</v>
      </c>
      <c r="F86" s="40">
        <v>3</v>
      </c>
      <c r="G86" s="40">
        <v>2.2000000000000002</v>
      </c>
      <c r="H86" s="3">
        <f t="shared" si="11"/>
        <v>1.6666666666666667</v>
      </c>
      <c r="I86" s="3">
        <f t="shared" si="12"/>
        <v>0.5</v>
      </c>
      <c r="J86" s="3">
        <f t="shared" si="13"/>
        <v>0.3666666666666667</v>
      </c>
      <c r="K86" s="3"/>
      <c r="L86" s="4">
        <f t="shared" si="14"/>
        <v>476.86416666666628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/>
      <c r="S86" s="2">
        <f t="shared" si="10"/>
        <v>138.50000000000006</v>
      </c>
      <c r="T86" s="2">
        <v>0</v>
      </c>
      <c r="U86" s="2">
        <v>0</v>
      </c>
      <c r="V86" s="2">
        <v>0</v>
      </c>
      <c r="W86" s="2">
        <v>0</v>
      </c>
      <c r="X86" s="2">
        <f t="shared" si="4"/>
        <v>228</v>
      </c>
      <c r="Z86" s="1"/>
      <c r="AA86" s="1"/>
      <c r="AB86" s="2"/>
      <c r="AD86" s="121"/>
      <c r="AE86" s="121"/>
    </row>
    <row r="87" spans="1:31" x14ac:dyDescent="0.25">
      <c r="A87" s="2" t="s">
        <v>117</v>
      </c>
      <c r="B87" s="7">
        <v>0.33333333333333331</v>
      </c>
      <c r="C87" s="2">
        <v>9</v>
      </c>
      <c r="D87" s="10" t="s">
        <v>118</v>
      </c>
      <c r="E87" s="40">
        <v>0</v>
      </c>
      <c r="F87" s="40">
        <v>3</v>
      </c>
      <c r="G87" s="40">
        <v>2.2000000000000002</v>
      </c>
      <c r="H87" s="3">
        <f t="shared" si="11"/>
        <v>0</v>
      </c>
      <c r="I87" s="3">
        <f t="shared" si="12"/>
        <v>1.125</v>
      </c>
      <c r="J87" s="3">
        <f t="shared" si="13"/>
        <v>0.82500000000000007</v>
      </c>
      <c r="K87" s="3"/>
      <c r="L87" s="4">
        <v>474.8</v>
      </c>
      <c r="M87" s="40">
        <v>0</v>
      </c>
      <c r="N87" s="40">
        <v>0</v>
      </c>
      <c r="O87" s="40">
        <v>0.2</v>
      </c>
      <c r="P87" s="40">
        <v>0</v>
      </c>
      <c r="Q87" s="40">
        <v>0</v>
      </c>
      <c r="R87" s="40"/>
      <c r="S87" s="2">
        <f t="shared" si="10"/>
        <v>138.30000000000007</v>
      </c>
      <c r="T87" s="2">
        <v>0</v>
      </c>
      <c r="U87" s="2">
        <v>0</v>
      </c>
      <c r="V87" s="2">
        <v>1</v>
      </c>
      <c r="W87" s="2">
        <v>0</v>
      </c>
      <c r="X87" s="2">
        <f t="shared" si="4"/>
        <v>227</v>
      </c>
      <c r="Z87" s="1">
        <v>121</v>
      </c>
      <c r="AA87" s="1">
        <v>137</v>
      </c>
      <c r="AB87" s="2">
        <f>SUM(Z87:AA87)</f>
        <v>258</v>
      </c>
      <c r="AD87" s="121"/>
      <c r="AE87" s="121"/>
    </row>
    <row r="88" spans="1:31" x14ac:dyDescent="0.25">
      <c r="A88" s="2" t="s">
        <v>119</v>
      </c>
      <c r="B88" s="7">
        <v>0.33333333333333331</v>
      </c>
      <c r="C88" s="2">
        <v>24</v>
      </c>
      <c r="D88" s="10" t="s">
        <v>118</v>
      </c>
      <c r="E88" s="40">
        <v>0</v>
      </c>
      <c r="F88" s="40">
        <v>3</v>
      </c>
      <c r="G88" s="40">
        <v>2.2000000000000002</v>
      </c>
      <c r="H88" s="3">
        <f t="shared" si="11"/>
        <v>0</v>
      </c>
      <c r="I88" s="3">
        <v>2.4</v>
      </c>
      <c r="J88" s="3">
        <f t="shared" si="13"/>
        <v>2.2000000000000002</v>
      </c>
      <c r="K88" s="3"/>
      <c r="L88" s="4">
        <f t="shared" si="14"/>
        <v>470.2</v>
      </c>
      <c r="M88" s="40">
        <v>0</v>
      </c>
      <c r="N88" s="40">
        <v>0</v>
      </c>
      <c r="O88" s="40">
        <v>0.4</v>
      </c>
      <c r="P88" s="40">
        <v>0</v>
      </c>
      <c r="Q88" s="40">
        <v>2</v>
      </c>
      <c r="R88" s="40"/>
      <c r="S88" s="2">
        <f t="shared" si="10"/>
        <v>135.90000000000006</v>
      </c>
      <c r="T88" s="2">
        <v>0</v>
      </c>
      <c r="U88" s="2">
        <v>0</v>
      </c>
      <c r="V88" s="2">
        <v>4</v>
      </c>
      <c r="W88" s="2">
        <v>0</v>
      </c>
      <c r="X88" s="2">
        <f t="shared" si="4"/>
        <v>223</v>
      </c>
      <c r="Z88" s="1">
        <v>117</v>
      </c>
      <c r="AA88" s="1">
        <v>137</v>
      </c>
      <c r="AB88" s="2">
        <f>SUM(Z88:AA88)</f>
        <v>254</v>
      </c>
      <c r="AD88" s="121"/>
      <c r="AE88" s="121"/>
    </row>
    <row r="89" spans="1:31" x14ac:dyDescent="0.25">
      <c r="A89" s="2" t="s">
        <v>119</v>
      </c>
      <c r="B89" s="7">
        <v>0.39583333333333331</v>
      </c>
      <c r="C89" s="2">
        <v>1.5</v>
      </c>
      <c r="D89" s="10" t="s">
        <v>120</v>
      </c>
      <c r="E89" s="40">
        <v>0</v>
      </c>
      <c r="F89" s="40">
        <v>3</v>
      </c>
      <c r="G89" s="40">
        <v>2.2000000000000002</v>
      </c>
      <c r="H89" s="3">
        <f t="shared" si="11"/>
        <v>0</v>
      </c>
      <c r="I89" s="3">
        <f t="shared" si="12"/>
        <v>0.1875</v>
      </c>
      <c r="J89" s="3">
        <f t="shared" si="13"/>
        <v>0.13750000000000001</v>
      </c>
      <c r="K89" s="3"/>
      <c r="L89" s="4">
        <f t="shared" si="14"/>
        <v>469.875</v>
      </c>
      <c r="M89" s="40">
        <v>0</v>
      </c>
      <c r="N89" s="40">
        <v>0</v>
      </c>
      <c r="O89" s="40">
        <v>0</v>
      </c>
      <c r="P89" s="40">
        <v>0</v>
      </c>
      <c r="Q89" s="40">
        <v>0</v>
      </c>
      <c r="R89" s="40"/>
      <c r="S89" s="2">
        <f t="shared" si="10"/>
        <v>135.90000000000006</v>
      </c>
      <c r="T89" s="2">
        <v>0</v>
      </c>
      <c r="U89" s="2">
        <v>0</v>
      </c>
      <c r="V89" s="2">
        <v>1</v>
      </c>
      <c r="W89" s="2">
        <v>0</v>
      </c>
      <c r="X89" s="2">
        <f t="shared" si="4"/>
        <v>222</v>
      </c>
      <c r="Z89" s="1"/>
      <c r="AA89" s="1"/>
      <c r="AB89" s="2"/>
      <c r="AD89" s="121"/>
      <c r="AE89" s="121"/>
    </row>
    <row r="90" spans="1:31" x14ac:dyDescent="0.25">
      <c r="A90" s="2" t="s">
        <v>119</v>
      </c>
      <c r="B90" s="7">
        <v>0.625</v>
      </c>
      <c r="C90" s="2">
        <v>5.5</v>
      </c>
      <c r="D90" s="10" t="s">
        <v>105</v>
      </c>
      <c r="E90" s="40">
        <v>5</v>
      </c>
      <c r="F90" s="40">
        <v>3</v>
      </c>
      <c r="G90" s="40">
        <v>2.2000000000000002</v>
      </c>
      <c r="H90" s="3">
        <v>1.5</v>
      </c>
      <c r="I90" s="3">
        <f t="shared" si="12"/>
        <v>0.6875</v>
      </c>
      <c r="J90" s="3">
        <f t="shared" si="13"/>
        <v>0.50416666666666665</v>
      </c>
      <c r="K90" s="3"/>
      <c r="L90" s="4">
        <f t="shared" si="14"/>
        <v>467.18333333333334</v>
      </c>
      <c r="M90" s="40">
        <v>0</v>
      </c>
      <c r="N90" s="40">
        <v>0</v>
      </c>
      <c r="O90" s="40">
        <v>0.2</v>
      </c>
      <c r="P90" s="40">
        <v>0</v>
      </c>
      <c r="Q90" s="40">
        <v>0</v>
      </c>
      <c r="R90" s="40"/>
      <c r="S90" s="2">
        <f t="shared" si="10"/>
        <v>135.70000000000007</v>
      </c>
      <c r="T90" s="2">
        <v>0</v>
      </c>
      <c r="U90" s="2">
        <v>0</v>
      </c>
      <c r="V90" s="2">
        <v>1</v>
      </c>
      <c r="W90" s="2">
        <v>0</v>
      </c>
      <c r="X90" s="2">
        <f t="shared" si="4"/>
        <v>221</v>
      </c>
      <c r="Z90" s="1"/>
      <c r="AA90" s="1"/>
      <c r="AB90" s="2"/>
      <c r="AD90" s="121"/>
      <c r="AE90" s="121"/>
    </row>
    <row r="91" spans="1:31" x14ac:dyDescent="0.25">
      <c r="A91" s="2" t="s">
        <v>121</v>
      </c>
      <c r="B91" s="7">
        <v>0.33333333333333331</v>
      </c>
      <c r="C91" s="2">
        <v>17</v>
      </c>
      <c r="D91" s="10" t="s">
        <v>122</v>
      </c>
      <c r="E91" s="40">
        <v>22</v>
      </c>
      <c r="F91" s="40">
        <v>2.4</v>
      </c>
      <c r="G91" s="40">
        <v>2.2000000000000002</v>
      </c>
      <c r="H91" s="3">
        <f t="shared" si="11"/>
        <v>15.583333333333332</v>
      </c>
      <c r="I91" s="3">
        <f t="shared" si="12"/>
        <v>1.7</v>
      </c>
      <c r="J91" s="3">
        <f t="shared" si="13"/>
        <v>1.5583333333333336</v>
      </c>
      <c r="K91" s="3"/>
      <c r="L91" s="4">
        <f t="shared" si="14"/>
        <v>448.3416666666667</v>
      </c>
      <c r="M91" s="40">
        <v>0</v>
      </c>
      <c r="N91" s="40">
        <v>0.2</v>
      </c>
      <c r="O91" s="40">
        <v>0.2</v>
      </c>
      <c r="P91" s="40">
        <v>0</v>
      </c>
      <c r="Q91" s="40">
        <v>0</v>
      </c>
      <c r="R91" s="40"/>
      <c r="S91" s="2">
        <f t="shared" si="10"/>
        <v>135.30000000000007</v>
      </c>
      <c r="T91" s="2">
        <v>10</v>
      </c>
      <c r="U91" s="2">
        <v>0</v>
      </c>
      <c r="V91" s="2">
        <v>4</v>
      </c>
      <c r="W91" s="2">
        <v>0</v>
      </c>
      <c r="X91" s="2">
        <f t="shared" si="4"/>
        <v>227</v>
      </c>
      <c r="Z91" s="1">
        <v>118</v>
      </c>
      <c r="AA91" s="1">
        <v>123</v>
      </c>
      <c r="AB91" s="2">
        <f>SUM(Z91:AA91)</f>
        <v>241</v>
      </c>
      <c r="AD91" s="121"/>
      <c r="AE91" s="121"/>
    </row>
    <row r="92" spans="1:31" x14ac:dyDescent="0.25">
      <c r="A92" s="2" t="s">
        <v>123</v>
      </c>
      <c r="B92" s="7">
        <v>0.33333333333333331</v>
      </c>
      <c r="C92" s="2">
        <v>24</v>
      </c>
      <c r="D92" s="10" t="s">
        <v>122</v>
      </c>
      <c r="E92" s="40">
        <v>22</v>
      </c>
      <c r="F92" s="40">
        <v>2.4</v>
      </c>
      <c r="G92" s="40">
        <v>0</v>
      </c>
      <c r="H92" s="3">
        <f t="shared" si="11"/>
        <v>22</v>
      </c>
      <c r="I92" s="3">
        <f t="shared" si="12"/>
        <v>2.4</v>
      </c>
      <c r="J92" s="3">
        <f t="shared" si="13"/>
        <v>0</v>
      </c>
      <c r="K92" s="3"/>
      <c r="L92" s="4">
        <v>424</v>
      </c>
      <c r="M92" s="40">
        <v>0</v>
      </c>
      <c r="N92" s="40">
        <v>0.2</v>
      </c>
      <c r="O92" s="40">
        <v>0.2</v>
      </c>
      <c r="P92" s="40">
        <v>0</v>
      </c>
      <c r="Q92" s="40">
        <v>0</v>
      </c>
      <c r="R92" s="40"/>
      <c r="S92" s="2">
        <f t="shared" si="10"/>
        <v>134.90000000000006</v>
      </c>
      <c r="T92" s="2">
        <v>12</v>
      </c>
      <c r="U92" s="2">
        <v>0</v>
      </c>
      <c r="V92" s="2">
        <v>6</v>
      </c>
      <c r="W92" s="2">
        <v>0</v>
      </c>
      <c r="X92" s="2">
        <f t="shared" si="4"/>
        <v>233</v>
      </c>
      <c r="Z92" s="1">
        <v>111</v>
      </c>
      <c r="AA92" s="1">
        <v>122</v>
      </c>
      <c r="AB92" s="2">
        <f>SUM(Z92:AA92)</f>
        <v>233</v>
      </c>
      <c r="AD92" s="121"/>
      <c r="AE92" s="121"/>
    </row>
    <row r="93" spans="1:31" x14ac:dyDescent="0.25">
      <c r="A93" s="2" t="s">
        <v>123</v>
      </c>
      <c r="B93" s="7">
        <v>0</v>
      </c>
      <c r="C93" s="2">
        <v>16</v>
      </c>
      <c r="D93" s="10" t="s">
        <v>42</v>
      </c>
      <c r="E93" s="40">
        <v>22</v>
      </c>
      <c r="F93" s="40">
        <v>2.4</v>
      </c>
      <c r="G93" s="40">
        <v>0</v>
      </c>
      <c r="H93" s="3">
        <f t="shared" si="11"/>
        <v>14.666666666666666</v>
      </c>
      <c r="I93" s="3">
        <f t="shared" si="12"/>
        <v>1.5999999999999999</v>
      </c>
      <c r="J93" s="3">
        <f t="shared" si="13"/>
        <v>0</v>
      </c>
      <c r="K93" s="3"/>
      <c r="L93" s="4">
        <f t="shared" si="14"/>
        <v>407.73333333333335</v>
      </c>
      <c r="M93" s="40">
        <v>0</v>
      </c>
      <c r="N93" s="40">
        <v>0.2</v>
      </c>
      <c r="O93" s="40">
        <v>0.2</v>
      </c>
      <c r="P93" s="40">
        <v>0</v>
      </c>
      <c r="Q93" s="40">
        <v>0</v>
      </c>
      <c r="R93" s="40"/>
      <c r="S93" s="2">
        <f t="shared" si="10"/>
        <v>134.50000000000006</v>
      </c>
      <c r="T93" s="2">
        <v>8</v>
      </c>
      <c r="U93" s="2">
        <v>0</v>
      </c>
      <c r="V93" s="2">
        <v>4</v>
      </c>
      <c r="W93" s="2">
        <v>0</v>
      </c>
      <c r="X93" s="2">
        <f t="shared" si="4"/>
        <v>237</v>
      </c>
      <c r="Z93" s="1"/>
      <c r="AA93" s="1"/>
      <c r="AB93" s="2"/>
      <c r="AD93" s="121">
        <v>12.2</v>
      </c>
      <c r="AE93" s="121" t="s">
        <v>1304</v>
      </c>
    </row>
    <row r="94" spans="1:31" x14ac:dyDescent="0.25">
      <c r="A94" s="2" t="s">
        <v>124</v>
      </c>
      <c r="B94" s="7">
        <v>0.14583333333333334</v>
      </c>
      <c r="C94" s="2">
        <v>3.5</v>
      </c>
      <c r="D94" s="10" t="s">
        <v>97</v>
      </c>
      <c r="E94" s="40">
        <v>0</v>
      </c>
      <c r="F94" s="40">
        <v>2.6</v>
      </c>
      <c r="G94" s="40">
        <v>2.2000000000000002</v>
      </c>
      <c r="H94" s="3">
        <f t="shared" si="11"/>
        <v>0</v>
      </c>
      <c r="I94" s="3">
        <f t="shared" si="12"/>
        <v>0.37916666666666665</v>
      </c>
      <c r="J94" s="3">
        <f t="shared" si="13"/>
        <v>0.32083333333333336</v>
      </c>
      <c r="K94" s="3"/>
      <c r="L94" s="4">
        <f t="shared" si="14"/>
        <v>407.03333333333336</v>
      </c>
      <c r="M94" s="40">
        <v>0</v>
      </c>
      <c r="N94" s="40">
        <v>0</v>
      </c>
      <c r="O94" s="40">
        <v>0</v>
      </c>
      <c r="P94" s="40">
        <v>0</v>
      </c>
      <c r="Q94" s="40">
        <v>0</v>
      </c>
      <c r="R94" s="40"/>
      <c r="S94" s="2">
        <f t="shared" si="10"/>
        <v>134.50000000000006</v>
      </c>
      <c r="T94" s="2">
        <v>0</v>
      </c>
      <c r="U94" s="2">
        <v>0</v>
      </c>
      <c r="V94" s="2">
        <v>1</v>
      </c>
      <c r="W94" s="2">
        <v>0</v>
      </c>
      <c r="X94" s="2">
        <f t="shared" si="4"/>
        <v>236</v>
      </c>
      <c r="Z94" s="1"/>
      <c r="AA94" s="1"/>
      <c r="AB94" s="2"/>
      <c r="AD94" s="121"/>
      <c r="AE94" s="121"/>
    </row>
    <row r="95" spans="1:31" x14ac:dyDescent="0.25">
      <c r="A95" s="2" t="s">
        <v>124</v>
      </c>
      <c r="B95" s="7">
        <v>0.33333333333333331</v>
      </c>
      <c r="C95" s="2">
        <v>4.5</v>
      </c>
      <c r="D95" s="10" t="s">
        <v>125</v>
      </c>
      <c r="E95" s="40">
        <v>18</v>
      </c>
      <c r="F95" s="40">
        <v>2.6</v>
      </c>
      <c r="G95" s="40">
        <v>2.2000000000000002</v>
      </c>
      <c r="H95" s="3">
        <v>2.2999999999999998</v>
      </c>
      <c r="I95" s="3">
        <f t="shared" si="12"/>
        <v>0.48750000000000004</v>
      </c>
      <c r="J95" s="3">
        <f t="shared" si="13"/>
        <v>0.41250000000000003</v>
      </c>
      <c r="K95" s="3"/>
      <c r="L95" s="4">
        <f t="shared" si="14"/>
        <v>403.83333333333337</v>
      </c>
      <c r="M95" s="40">
        <v>0</v>
      </c>
      <c r="N95" s="40">
        <v>0</v>
      </c>
      <c r="O95" s="40">
        <v>0.2</v>
      </c>
      <c r="P95" s="40">
        <v>0</v>
      </c>
      <c r="Q95" s="40">
        <v>0.5</v>
      </c>
      <c r="R95" s="40"/>
      <c r="S95" s="2">
        <f t="shared" si="10"/>
        <v>133.80000000000007</v>
      </c>
      <c r="T95" s="2">
        <v>0</v>
      </c>
      <c r="U95" s="2">
        <v>0</v>
      </c>
      <c r="V95" s="2">
        <v>5</v>
      </c>
      <c r="W95" s="2">
        <v>0</v>
      </c>
      <c r="X95" s="2">
        <f t="shared" si="4"/>
        <v>231</v>
      </c>
      <c r="Z95" s="1">
        <v>95</v>
      </c>
      <c r="AA95" s="1">
        <v>122</v>
      </c>
      <c r="AB95" s="2">
        <f>SUM(Z95:AA95)</f>
        <v>217</v>
      </c>
      <c r="AD95" s="121"/>
      <c r="AE95" s="121"/>
    </row>
    <row r="96" spans="1:31" x14ac:dyDescent="0.25">
      <c r="A96" s="2" t="s">
        <v>126</v>
      </c>
      <c r="B96" s="7">
        <v>0.33333333333333331</v>
      </c>
      <c r="C96" s="2">
        <v>24</v>
      </c>
      <c r="D96" s="10" t="s">
        <v>69</v>
      </c>
      <c r="E96" s="40">
        <v>0</v>
      </c>
      <c r="F96" s="40">
        <v>3.5</v>
      </c>
      <c r="G96" s="40">
        <v>2.2000000000000002</v>
      </c>
      <c r="H96" s="3">
        <f t="shared" si="11"/>
        <v>0</v>
      </c>
      <c r="I96" s="3">
        <f t="shared" si="12"/>
        <v>3.5</v>
      </c>
      <c r="J96" s="3">
        <f t="shared" si="13"/>
        <v>2.2000000000000002</v>
      </c>
      <c r="K96" s="3"/>
      <c r="L96" s="4">
        <f t="shared" si="14"/>
        <v>398.13333333333338</v>
      </c>
      <c r="M96" s="40">
        <v>0</v>
      </c>
      <c r="N96" s="40">
        <v>0</v>
      </c>
      <c r="O96" s="40">
        <v>0.2</v>
      </c>
      <c r="P96" s="40">
        <v>0</v>
      </c>
      <c r="Q96" s="40">
        <v>6</v>
      </c>
      <c r="R96" s="40"/>
      <c r="S96" s="2">
        <f t="shared" si="10"/>
        <v>127.60000000000007</v>
      </c>
      <c r="T96" s="2">
        <v>0</v>
      </c>
      <c r="U96" s="2">
        <v>0</v>
      </c>
      <c r="V96" s="2">
        <v>8</v>
      </c>
      <c r="W96" s="2">
        <v>2</v>
      </c>
      <c r="X96" s="2">
        <f t="shared" si="4"/>
        <v>221</v>
      </c>
      <c r="Z96" s="1">
        <v>85</v>
      </c>
      <c r="AA96" s="1">
        <v>121</v>
      </c>
      <c r="AB96" s="2">
        <f>SUM(Z96:AA96)</f>
        <v>206</v>
      </c>
      <c r="AD96" s="121"/>
      <c r="AE96" s="121"/>
    </row>
    <row r="97" spans="1:31" x14ac:dyDescent="0.25">
      <c r="A97" s="2" t="s">
        <v>126</v>
      </c>
      <c r="B97" s="7">
        <v>0.95833333333333337</v>
      </c>
      <c r="C97" s="2">
        <v>15</v>
      </c>
      <c r="D97" s="10" t="s">
        <v>128</v>
      </c>
      <c r="E97" s="40">
        <v>0</v>
      </c>
      <c r="F97" s="40">
        <v>4</v>
      </c>
      <c r="G97" s="40">
        <v>2.2000000000000002</v>
      </c>
      <c r="H97" s="3">
        <f t="shared" si="11"/>
        <v>0</v>
      </c>
      <c r="I97" s="3">
        <f t="shared" si="12"/>
        <v>2.5</v>
      </c>
      <c r="J97" s="3">
        <f t="shared" si="13"/>
        <v>1.375</v>
      </c>
      <c r="K97" s="3"/>
      <c r="L97" s="4">
        <f t="shared" si="14"/>
        <v>394.25833333333338</v>
      </c>
      <c r="M97" s="40">
        <v>0</v>
      </c>
      <c r="N97" s="40">
        <v>0</v>
      </c>
      <c r="O97" s="40">
        <v>0.2</v>
      </c>
      <c r="P97" s="40">
        <v>0</v>
      </c>
      <c r="Q97" s="40">
        <v>3.5</v>
      </c>
      <c r="R97" s="40"/>
      <c r="S97" s="2">
        <f t="shared" si="10"/>
        <v>123.90000000000006</v>
      </c>
      <c r="T97" s="2">
        <v>0</v>
      </c>
      <c r="U97" s="2">
        <v>0</v>
      </c>
      <c r="V97" s="2">
        <v>4</v>
      </c>
      <c r="W97" s="2">
        <v>0</v>
      </c>
      <c r="X97" s="2">
        <f t="shared" si="4"/>
        <v>217</v>
      </c>
      <c r="Z97" s="1"/>
      <c r="AA97" s="1"/>
      <c r="AB97" s="2"/>
      <c r="AD97" s="121"/>
      <c r="AE97" s="121"/>
    </row>
    <row r="98" spans="1:31" x14ac:dyDescent="0.25">
      <c r="A98" s="2" t="s">
        <v>127</v>
      </c>
      <c r="B98" s="7">
        <v>0.33333333333333331</v>
      </c>
      <c r="C98" s="2">
        <v>9</v>
      </c>
      <c r="D98" s="10" t="s">
        <v>69</v>
      </c>
      <c r="E98" s="40">
        <v>0</v>
      </c>
      <c r="F98" s="40">
        <v>2.4</v>
      </c>
      <c r="G98" s="40">
        <v>2.2000000000000002</v>
      </c>
      <c r="H98" s="3">
        <f t="shared" si="11"/>
        <v>0</v>
      </c>
      <c r="I98" s="3">
        <f t="shared" si="12"/>
        <v>0.89999999999999991</v>
      </c>
      <c r="J98" s="3">
        <f t="shared" si="13"/>
        <v>0.82500000000000007</v>
      </c>
      <c r="K98" s="3"/>
      <c r="L98" s="4">
        <f t="shared" si="14"/>
        <v>392.53333333333336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/>
      <c r="S98" s="2">
        <f t="shared" si="10"/>
        <v>123.90000000000006</v>
      </c>
      <c r="T98" s="2">
        <v>0</v>
      </c>
      <c r="U98" s="2">
        <v>0</v>
      </c>
      <c r="V98" s="2">
        <v>4</v>
      </c>
      <c r="W98" s="2">
        <v>0</v>
      </c>
      <c r="X98" s="2">
        <f t="shared" si="4"/>
        <v>213</v>
      </c>
      <c r="Z98" s="1"/>
      <c r="AA98" s="1"/>
      <c r="AB98" s="2"/>
      <c r="AD98" s="121"/>
      <c r="AE98" s="121"/>
    </row>
    <row r="99" spans="1:31" x14ac:dyDescent="0.25">
      <c r="A99" s="2" t="s">
        <v>127</v>
      </c>
      <c r="B99" s="7">
        <v>0.41666666666666669</v>
      </c>
      <c r="C99" s="2">
        <v>2</v>
      </c>
      <c r="D99" s="10" t="s">
        <v>129</v>
      </c>
      <c r="E99" s="40">
        <v>14</v>
      </c>
      <c r="F99" s="40">
        <v>3</v>
      </c>
      <c r="G99" s="40">
        <v>2.2000000000000002</v>
      </c>
      <c r="H99" s="3">
        <f t="shared" si="11"/>
        <v>1.1666666666666667</v>
      </c>
      <c r="I99" s="3">
        <f t="shared" si="12"/>
        <v>0.25</v>
      </c>
      <c r="J99" s="3">
        <f t="shared" si="13"/>
        <v>0.18333333333333335</v>
      </c>
      <c r="K99" s="3"/>
      <c r="L99" s="4">
        <f t="shared" si="14"/>
        <v>390.93333333333334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  <c r="R99" s="40"/>
      <c r="S99" s="2">
        <f t="shared" si="10"/>
        <v>123.90000000000006</v>
      </c>
      <c r="T99" s="2">
        <v>0</v>
      </c>
      <c r="U99" s="2">
        <v>0</v>
      </c>
      <c r="V99" s="2">
        <v>1</v>
      </c>
      <c r="W99" s="2">
        <v>0</v>
      </c>
      <c r="X99" s="2">
        <f t="shared" si="4"/>
        <v>212</v>
      </c>
      <c r="Z99" s="1"/>
      <c r="AA99" s="1"/>
      <c r="AB99" s="2"/>
      <c r="AD99" s="121"/>
      <c r="AE99" s="121"/>
    </row>
    <row r="100" spans="1:31" x14ac:dyDescent="0.25">
      <c r="A100" s="2" t="s">
        <v>130</v>
      </c>
      <c r="B100" s="7">
        <v>0.33333333333333331</v>
      </c>
      <c r="C100" s="2">
        <v>22</v>
      </c>
      <c r="D100" s="10" t="s">
        <v>129</v>
      </c>
      <c r="E100" s="40">
        <v>0</v>
      </c>
      <c r="F100" s="40">
        <v>3</v>
      </c>
      <c r="G100" s="40">
        <v>2.2000000000000002</v>
      </c>
      <c r="H100" s="3">
        <f t="shared" si="11"/>
        <v>0</v>
      </c>
      <c r="I100" s="3">
        <f t="shared" si="12"/>
        <v>2.75</v>
      </c>
      <c r="J100" s="3">
        <f t="shared" si="13"/>
        <v>2.0166666666666666</v>
      </c>
      <c r="K100" s="3"/>
      <c r="L100" s="4">
        <v>386.1</v>
      </c>
      <c r="M100" s="40">
        <v>0</v>
      </c>
      <c r="N100" s="40">
        <v>0</v>
      </c>
      <c r="O100" s="40">
        <v>0.2</v>
      </c>
      <c r="P100" s="40">
        <v>0</v>
      </c>
      <c r="Q100" s="40">
        <v>3</v>
      </c>
      <c r="R100" s="40"/>
      <c r="S100" s="2">
        <f t="shared" si="10"/>
        <v>120.70000000000006</v>
      </c>
      <c r="T100" s="2">
        <v>0</v>
      </c>
      <c r="U100" s="2">
        <v>0</v>
      </c>
      <c r="V100" s="2">
        <v>6</v>
      </c>
      <c r="W100" s="2">
        <v>0</v>
      </c>
      <c r="X100" s="2">
        <f t="shared" si="4"/>
        <v>206</v>
      </c>
      <c r="Z100" s="1"/>
      <c r="AA100" s="1"/>
      <c r="AB100" s="2"/>
      <c r="AD100" s="121"/>
      <c r="AE100" s="121"/>
    </row>
    <row r="101" spans="1:31" x14ac:dyDescent="0.25">
      <c r="A101" s="2" t="s">
        <v>131</v>
      </c>
      <c r="B101" s="7">
        <v>0.33333333333333331</v>
      </c>
      <c r="C101" s="2">
        <v>24</v>
      </c>
      <c r="D101" s="10" t="s">
        <v>129</v>
      </c>
      <c r="E101" s="40">
        <v>0</v>
      </c>
      <c r="F101" s="40">
        <v>3</v>
      </c>
      <c r="G101" s="40">
        <v>2.2000000000000002</v>
      </c>
      <c r="H101" s="3">
        <f t="shared" si="11"/>
        <v>0</v>
      </c>
      <c r="I101" s="3">
        <f t="shared" si="12"/>
        <v>3</v>
      </c>
      <c r="J101" s="3">
        <f t="shared" si="13"/>
        <v>2.2000000000000002</v>
      </c>
      <c r="K101" s="3"/>
      <c r="L101" s="4">
        <f t="shared" si="14"/>
        <v>380.90000000000003</v>
      </c>
      <c r="M101" s="40">
        <v>0</v>
      </c>
      <c r="N101" s="40">
        <v>0</v>
      </c>
      <c r="O101" s="40">
        <v>0.2</v>
      </c>
      <c r="P101" s="40">
        <v>0</v>
      </c>
      <c r="Q101" s="40">
        <v>3</v>
      </c>
      <c r="R101" s="40"/>
      <c r="S101" s="2">
        <f t="shared" si="10"/>
        <v>117.50000000000006</v>
      </c>
      <c r="T101" s="2">
        <v>0</v>
      </c>
      <c r="U101" s="2">
        <v>0</v>
      </c>
      <c r="V101" s="2">
        <v>7</v>
      </c>
      <c r="W101" s="2">
        <v>0</v>
      </c>
      <c r="X101" s="2">
        <f t="shared" si="4"/>
        <v>199</v>
      </c>
      <c r="Z101" s="1"/>
      <c r="AA101" s="1"/>
      <c r="AB101" s="2"/>
      <c r="AD101" s="121"/>
      <c r="AE101" s="121"/>
    </row>
    <row r="102" spans="1:31" x14ac:dyDescent="0.25">
      <c r="A102" s="2" t="s">
        <v>132</v>
      </c>
      <c r="B102" s="7">
        <v>0.33333333333333331</v>
      </c>
      <c r="C102" s="2">
        <v>24</v>
      </c>
      <c r="D102" s="10" t="s">
        <v>129</v>
      </c>
      <c r="E102" s="40">
        <v>0</v>
      </c>
      <c r="F102" s="40">
        <v>2.4</v>
      </c>
      <c r="G102" s="40">
        <v>2.2000000000000002</v>
      </c>
      <c r="H102" s="3">
        <f t="shared" si="11"/>
        <v>0</v>
      </c>
      <c r="I102" s="3">
        <f t="shared" si="12"/>
        <v>2.4</v>
      </c>
      <c r="J102" s="3">
        <f t="shared" si="13"/>
        <v>2.2000000000000002</v>
      </c>
      <c r="K102" s="3"/>
      <c r="L102" s="4">
        <f t="shared" si="14"/>
        <v>376.3</v>
      </c>
      <c r="M102" s="40">
        <v>0</v>
      </c>
      <c r="N102" s="40">
        <v>0</v>
      </c>
      <c r="O102" s="40">
        <v>0.2</v>
      </c>
      <c r="P102" s="40">
        <v>0</v>
      </c>
      <c r="Q102" s="40">
        <v>0</v>
      </c>
      <c r="R102" s="40"/>
      <c r="S102" s="2">
        <f t="shared" si="10"/>
        <v>117.30000000000005</v>
      </c>
      <c r="T102" s="2">
        <v>0</v>
      </c>
      <c r="U102" s="2">
        <v>0</v>
      </c>
      <c r="V102" s="2">
        <v>6</v>
      </c>
      <c r="W102" s="2">
        <v>0</v>
      </c>
      <c r="X102" s="2">
        <f t="shared" si="4"/>
        <v>193</v>
      </c>
      <c r="Z102" s="1"/>
      <c r="AA102" s="1"/>
      <c r="AB102" s="2"/>
      <c r="AD102" s="121"/>
      <c r="AE102" s="121"/>
    </row>
    <row r="103" spans="1:31" x14ac:dyDescent="0.25">
      <c r="A103" s="2" t="s">
        <v>180</v>
      </c>
      <c r="B103" s="7">
        <v>0.33333333333333331</v>
      </c>
      <c r="C103" s="2">
        <v>24</v>
      </c>
      <c r="D103" s="10" t="s">
        <v>129</v>
      </c>
      <c r="E103" s="40">
        <v>0</v>
      </c>
      <c r="F103" s="40">
        <v>2.4</v>
      </c>
      <c r="G103" s="40">
        <v>2.2000000000000002</v>
      </c>
      <c r="H103" s="3">
        <f t="shared" si="11"/>
        <v>0</v>
      </c>
      <c r="I103" s="3">
        <f t="shared" si="12"/>
        <v>2.4</v>
      </c>
      <c r="J103" s="3">
        <f t="shared" si="13"/>
        <v>2.2000000000000002</v>
      </c>
      <c r="K103" s="3"/>
      <c r="L103" s="4">
        <f t="shared" si="14"/>
        <v>371.7</v>
      </c>
      <c r="M103" s="40">
        <v>0</v>
      </c>
      <c r="N103" s="40">
        <v>0</v>
      </c>
      <c r="O103" s="40">
        <v>0.2</v>
      </c>
      <c r="P103" s="40">
        <v>0</v>
      </c>
      <c r="Q103" s="40">
        <v>0</v>
      </c>
      <c r="R103" s="40"/>
      <c r="S103" s="2">
        <f t="shared" si="10"/>
        <v>117.10000000000005</v>
      </c>
      <c r="T103" s="2">
        <v>0</v>
      </c>
      <c r="U103" s="2">
        <v>100</v>
      </c>
      <c r="V103" s="2">
        <v>6</v>
      </c>
      <c r="W103" s="2">
        <v>0</v>
      </c>
      <c r="X103" s="2">
        <f t="shared" si="4"/>
        <v>287</v>
      </c>
      <c r="Z103" s="1">
        <v>160</v>
      </c>
      <c r="AA103" s="1">
        <v>130</v>
      </c>
      <c r="AB103" s="2">
        <f>SUM(Z103:AA103)</f>
        <v>290</v>
      </c>
      <c r="AD103" s="121"/>
      <c r="AE103" s="121"/>
    </row>
    <row r="104" spans="1:31" x14ac:dyDescent="0.25">
      <c r="A104" s="2"/>
      <c r="B104" s="7"/>
      <c r="C104" s="2"/>
      <c r="D104" s="10"/>
      <c r="E104" s="40"/>
      <c r="F104" s="40"/>
      <c r="G104" s="40"/>
      <c r="H104" s="3"/>
      <c r="I104" s="3"/>
      <c r="J104" s="3"/>
      <c r="K104" s="3"/>
      <c r="L104" s="4"/>
      <c r="M104" s="40"/>
      <c r="N104" s="40"/>
      <c r="O104" s="40"/>
      <c r="P104" s="40"/>
      <c r="Q104" s="40"/>
      <c r="R104" s="40"/>
      <c r="S104" s="2"/>
      <c r="T104" s="2"/>
      <c r="U104" s="2"/>
      <c r="V104" s="2"/>
      <c r="W104" s="2"/>
      <c r="X104" s="2"/>
      <c r="Z104" s="1"/>
      <c r="AA104" s="1"/>
      <c r="AB104" s="2"/>
      <c r="AD104" s="121"/>
      <c r="AE104" s="121"/>
    </row>
    <row r="105" spans="1:31" x14ac:dyDescent="0.25">
      <c r="A105" s="9" t="s">
        <v>133</v>
      </c>
      <c r="B105" s="7">
        <v>0.33333333333333331</v>
      </c>
      <c r="C105" s="2">
        <v>24</v>
      </c>
      <c r="D105" s="10" t="s">
        <v>129</v>
      </c>
      <c r="E105" s="40">
        <v>0</v>
      </c>
      <c r="F105" s="40">
        <v>2.4</v>
      </c>
      <c r="G105" s="40">
        <v>2.2000000000000002</v>
      </c>
      <c r="H105" s="3">
        <f t="shared" si="11"/>
        <v>0</v>
      </c>
      <c r="I105" s="3">
        <f t="shared" si="12"/>
        <v>2.4</v>
      </c>
      <c r="J105" s="3">
        <f t="shared" si="13"/>
        <v>2.2000000000000002</v>
      </c>
      <c r="K105" s="3"/>
      <c r="L105" s="4">
        <f>+IF(C105="","",L103-(H105+I105+J105))</f>
        <v>367.09999999999997</v>
      </c>
      <c r="M105" s="40">
        <v>0</v>
      </c>
      <c r="N105" s="40">
        <v>0</v>
      </c>
      <c r="O105" s="40">
        <v>0.2</v>
      </c>
      <c r="P105" s="40">
        <v>0</v>
      </c>
      <c r="Q105" s="40">
        <v>0</v>
      </c>
      <c r="R105" s="40"/>
      <c r="S105" s="2">
        <f>IF(C105="","",(S103+R105)-(M105+N105+O105+P105+Q105))</f>
        <v>116.90000000000005</v>
      </c>
      <c r="T105" s="2">
        <v>0</v>
      </c>
      <c r="U105" s="2">
        <v>0</v>
      </c>
      <c r="V105" s="2">
        <v>6</v>
      </c>
      <c r="W105" s="2">
        <v>0</v>
      </c>
      <c r="X105" s="2">
        <f>IF(V105="","",((X103+T105+U105)-(V105+W105)))</f>
        <v>281</v>
      </c>
      <c r="Z105" s="1">
        <v>160</v>
      </c>
      <c r="AA105" s="1">
        <v>127</v>
      </c>
      <c r="AB105" s="2">
        <f>SUM(Z105:AA105)</f>
        <v>287</v>
      </c>
      <c r="AD105" s="121"/>
      <c r="AE105" s="121" t="s">
        <v>1301</v>
      </c>
    </row>
    <row r="106" spans="1:31" x14ac:dyDescent="0.25">
      <c r="A106" s="2" t="s">
        <v>134</v>
      </c>
      <c r="B106" s="7">
        <v>0.33333333333333331</v>
      </c>
      <c r="C106" s="2">
        <v>24</v>
      </c>
      <c r="D106" s="10" t="s">
        <v>129</v>
      </c>
      <c r="E106" s="40">
        <v>0</v>
      </c>
      <c r="F106" s="40">
        <v>2.4</v>
      </c>
      <c r="G106" s="40">
        <v>2.2000000000000002</v>
      </c>
      <c r="H106" s="3">
        <f t="shared" si="11"/>
        <v>0</v>
      </c>
      <c r="I106" s="3">
        <f t="shared" si="12"/>
        <v>2.4</v>
      </c>
      <c r="J106" s="3">
        <f t="shared" si="13"/>
        <v>2.2000000000000002</v>
      </c>
      <c r="K106" s="3"/>
      <c r="L106" s="4">
        <f t="shared" si="14"/>
        <v>362.49999999999994</v>
      </c>
      <c r="M106" s="40">
        <v>0</v>
      </c>
      <c r="N106" s="40">
        <v>0</v>
      </c>
      <c r="O106" s="40">
        <v>0.2</v>
      </c>
      <c r="P106" s="40">
        <v>0</v>
      </c>
      <c r="Q106" s="40">
        <v>0</v>
      </c>
      <c r="R106" s="40"/>
      <c r="S106" s="2">
        <f t="shared" si="10"/>
        <v>116.70000000000005</v>
      </c>
      <c r="T106" s="2">
        <v>0</v>
      </c>
      <c r="U106" s="2">
        <v>0</v>
      </c>
      <c r="V106" s="2">
        <v>6</v>
      </c>
      <c r="W106" s="2">
        <v>0</v>
      </c>
      <c r="X106" s="2">
        <f t="shared" si="4"/>
        <v>275</v>
      </c>
      <c r="Z106" s="1"/>
      <c r="AA106" s="1"/>
      <c r="AB106" s="2">
        <f>SUM(Z106:AA106)</f>
        <v>0</v>
      </c>
      <c r="AD106" s="121"/>
      <c r="AE106" s="121"/>
    </row>
    <row r="107" spans="1:31" x14ac:dyDescent="0.25">
      <c r="A107" s="2" t="s">
        <v>136</v>
      </c>
      <c r="B107" s="7">
        <v>0.33333333333333331</v>
      </c>
      <c r="C107" s="2">
        <v>24</v>
      </c>
      <c r="D107" s="10" t="s">
        <v>129</v>
      </c>
      <c r="E107" s="40">
        <v>0</v>
      </c>
      <c r="F107" s="40">
        <v>2.4</v>
      </c>
      <c r="G107" s="40">
        <v>2.2000000000000002</v>
      </c>
      <c r="H107" s="3">
        <f t="shared" si="11"/>
        <v>0</v>
      </c>
      <c r="I107" s="3">
        <f t="shared" si="12"/>
        <v>2.4</v>
      </c>
      <c r="J107" s="3">
        <f t="shared" si="13"/>
        <v>2.2000000000000002</v>
      </c>
      <c r="K107" s="3"/>
      <c r="L107" s="4">
        <f t="shared" si="14"/>
        <v>357.89999999999992</v>
      </c>
      <c r="M107" s="40">
        <v>0</v>
      </c>
      <c r="N107" s="40">
        <v>0</v>
      </c>
      <c r="O107" s="40">
        <v>0.2</v>
      </c>
      <c r="P107" s="40">
        <v>0</v>
      </c>
      <c r="Q107" s="40">
        <v>0</v>
      </c>
      <c r="R107" s="40"/>
      <c r="S107" s="2">
        <f t="shared" si="10"/>
        <v>116.50000000000004</v>
      </c>
      <c r="T107" s="2">
        <v>0</v>
      </c>
      <c r="U107" s="2">
        <v>0</v>
      </c>
      <c r="V107" s="2">
        <v>6</v>
      </c>
      <c r="W107" s="2">
        <v>0</v>
      </c>
      <c r="X107" s="2">
        <f t="shared" si="4"/>
        <v>269</v>
      </c>
      <c r="Z107" s="1"/>
      <c r="AA107" s="1"/>
      <c r="AB107" s="2"/>
      <c r="AD107" s="121"/>
      <c r="AE107" s="121"/>
    </row>
    <row r="108" spans="1:31" x14ac:dyDescent="0.25">
      <c r="A108" s="2" t="s">
        <v>137</v>
      </c>
      <c r="B108" s="7">
        <v>0.33333333333333331</v>
      </c>
      <c r="C108" s="2">
        <v>24</v>
      </c>
      <c r="D108" s="10" t="s">
        <v>129</v>
      </c>
      <c r="E108" s="40">
        <v>0</v>
      </c>
      <c r="F108" s="40">
        <v>2.4</v>
      </c>
      <c r="G108" s="40">
        <v>2.2000000000000002</v>
      </c>
      <c r="H108" s="3">
        <f t="shared" si="11"/>
        <v>0</v>
      </c>
      <c r="I108" s="3">
        <f t="shared" si="12"/>
        <v>2.4</v>
      </c>
      <c r="J108" s="3">
        <f t="shared" si="13"/>
        <v>2.2000000000000002</v>
      </c>
      <c r="K108" s="3"/>
      <c r="L108" s="4">
        <f t="shared" si="14"/>
        <v>353.2999999999999</v>
      </c>
      <c r="M108" s="40">
        <v>0</v>
      </c>
      <c r="N108" s="40">
        <v>0</v>
      </c>
      <c r="O108" s="40">
        <v>0.2</v>
      </c>
      <c r="P108" s="40">
        <v>0</v>
      </c>
      <c r="Q108" s="40">
        <v>0</v>
      </c>
      <c r="R108" s="40"/>
      <c r="S108" s="2">
        <f t="shared" si="10"/>
        <v>116.30000000000004</v>
      </c>
      <c r="T108" s="2">
        <v>0</v>
      </c>
      <c r="U108" s="2">
        <v>0</v>
      </c>
      <c r="V108" s="2">
        <v>6</v>
      </c>
      <c r="W108" s="2">
        <v>0</v>
      </c>
      <c r="X108" s="2">
        <f t="shared" si="4"/>
        <v>263</v>
      </c>
      <c r="Z108" s="1"/>
      <c r="AA108" s="1"/>
      <c r="AB108" s="2"/>
      <c r="AD108" s="121"/>
      <c r="AE108" s="121"/>
    </row>
    <row r="109" spans="1:31" x14ac:dyDescent="0.25">
      <c r="A109" s="2" t="s">
        <v>138</v>
      </c>
      <c r="B109" s="7">
        <v>0.33333333333333331</v>
      </c>
      <c r="C109" s="2">
        <v>24</v>
      </c>
      <c r="D109" s="10" t="s">
        <v>129</v>
      </c>
      <c r="E109" s="40">
        <v>0</v>
      </c>
      <c r="F109" s="40">
        <v>2.4</v>
      </c>
      <c r="G109" s="40">
        <v>2.2000000000000002</v>
      </c>
      <c r="H109" s="3">
        <f t="shared" si="11"/>
        <v>0</v>
      </c>
      <c r="I109" s="3">
        <f t="shared" si="12"/>
        <v>2.4</v>
      </c>
      <c r="J109" s="3">
        <f t="shared" si="13"/>
        <v>2.2000000000000002</v>
      </c>
      <c r="K109" s="3"/>
      <c r="L109" s="4">
        <f t="shared" si="14"/>
        <v>348.69999999999987</v>
      </c>
      <c r="M109" s="40">
        <v>0</v>
      </c>
      <c r="N109" s="40">
        <v>0</v>
      </c>
      <c r="O109" s="40">
        <v>0.2</v>
      </c>
      <c r="P109" s="40">
        <v>0</v>
      </c>
      <c r="Q109" s="40">
        <v>0</v>
      </c>
      <c r="R109" s="40"/>
      <c r="S109" s="2">
        <f t="shared" si="10"/>
        <v>116.10000000000004</v>
      </c>
      <c r="T109" s="2">
        <v>0</v>
      </c>
      <c r="U109" s="2">
        <v>0</v>
      </c>
      <c r="V109" s="2">
        <v>4</v>
      </c>
      <c r="W109" s="2">
        <v>0</v>
      </c>
      <c r="X109" s="2">
        <f t="shared" si="4"/>
        <v>259</v>
      </c>
      <c r="Z109" s="1">
        <v>160</v>
      </c>
      <c r="AA109" s="1">
        <v>130</v>
      </c>
      <c r="AB109" s="2">
        <f>SUM(Z109:AA109)</f>
        <v>290</v>
      </c>
      <c r="AD109" s="121"/>
      <c r="AE109" s="121"/>
    </row>
    <row r="110" spans="1:31" x14ac:dyDescent="0.25">
      <c r="A110" s="2" t="s">
        <v>139</v>
      </c>
      <c r="B110" s="7">
        <v>0.33333333333333331</v>
      </c>
      <c r="C110" s="2">
        <v>24</v>
      </c>
      <c r="D110" s="10" t="s">
        <v>129</v>
      </c>
      <c r="E110" s="40">
        <v>0</v>
      </c>
      <c r="F110" s="40">
        <v>2.4</v>
      </c>
      <c r="G110" s="40">
        <v>2.2000000000000002</v>
      </c>
      <c r="H110" s="3">
        <f t="shared" si="11"/>
        <v>0</v>
      </c>
      <c r="I110" s="3">
        <f t="shared" si="12"/>
        <v>2.4</v>
      </c>
      <c r="J110" s="3">
        <f t="shared" si="13"/>
        <v>2.2000000000000002</v>
      </c>
      <c r="K110" s="3"/>
      <c r="L110" s="4">
        <f t="shared" si="14"/>
        <v>344.09999999999985</v>
      </c>
      <c r="M110" s="40">
        <v>0</v>
      </c>
      <c r="N110" s="40">
        <v>0</v>
      </c>
      <c r="O110" s="40">
        <v>0.2</v>
      </c>
      <c r="P110" s="40">
        <v>0</v>
      </c>
      <c r="Q110" s="40">
        <v>0</v>
      </c>
      <c r="R110" s="40"/>
      <c r="S110" s="2">
        <f t="shared" si="10"/>
        <v>115.90000000000003</v>
      </c>
      <c r="T110" s="2">
        <v>0</v>
      </c>
      <c r="U110" s="2">
        <v>0</v>
      </c>
      <c r="V110" s="2">
        <v>4</v>
      </c>
      <c r="W110" s="2">
        <v>0</v>
      </c>
      <c r="X110" s="2">
        <f t="shared" si="4"/>
        <v>255</v>
      </c>
      <c r="Z110" s="1"/>
      <c r="AA110" s="1"/>
      <c r="AB110" s="2"/>
      <c r="AD110" s="121"/>
      <c r="AE110" s="121"/>
    </row>
    <row r="111" spans="1:31" x14ac:dyDescent="0.25">
      <c r="A111" s="2" t="s">
        <v>140</v>
      </c>
      <c r="B111" s="7">
        <v>0.33333333333333331</v>
      </c>
      <c r="C111" s="2">
        <v>24</v>
      </c>
      <c r="D111" s="10" t="s">
        <v>129</v>
      </c>
      <c r="E111" s="40">
        <v>0</v>
      </c>
      <c r="F111" s="40">
        <v>2.4</v>
      </c>
      <c r="G111" s="40">
        <v>2.2000000000000002</v>
      </c>
      <c r="H111" s="3">
        <f t="shared" si="11"/>
        <v>0</v>
      </c>
      <c r="I111" s="3">
        <f t="shared" si="12"/>
        <v>2.4</v>
      </c>
      <c r="J111" s="3">
        <f t="shared" si="13"/>
        <v>2.2000000000000002</v>
      </c>
      <c r="K111" s="3"/>
      <c r="L111" s="4">
        <f t="shared" si="14"/>
        <v>339.49999999999983</v>
      </c>
      <c r="M111" s="40">
        <v>0</v>
      </c>
      <c r="N111" s="40">
        <v>0</v>
      </c>
      <c r="O111" s="40">
        <v>0.2</v>
      </c>
      <c r="P111" s="40">
        <v>0</v>
      </c>
      <c r="Q111" s="40">
        <v>0</v>
      </c>
      <c r="R111" s="40"/>
      <c r="S111" s="2">
        <f t="shared" si="10"/>
        <v>115.70000000000003</v>
      </c>
      <c r="T111" s="2">
        <v>0</v>
      </c>
      <c r="U111" s="2">
        <v>0</v>
      </c>
      <c r="V111" s="2">
        <v>5</v>
      </c>
      <c r="W111" s="2">
        <v>0</v>
      </c>
      <c r="X111" s="2">
        <f t="shared" si="4"/>
        <v>250</v>
      </c>
      <c r="Z111" s="1"/>
      <c r="AA111" s="1"/>
      <c r="AB111" s="2"/>
      <c r="AD111" s="121"/>
      <c r="AE111" s="121"/>
    </row>
    <row r="112" spans="1:31" x14ac:dyDescent="0.25">
      <c r="A112" s="2" t="s">
        <v>141</v>
      </c>
      <c r="B112" s="7">
        <v>0.33333333333333331</v>
      </c>
      <c r="C112" s="2">
        <v>24</v>
      </c>
      <c r="D112" s="10" t="s">
        <v>129</v>
      </c>
      <c r="E112" s="40">
        <v>0</v>
      </c>
      <c r="F112" s="40">
        <v>2.4</v>
      </c>
      <c r="G112" s="40">
        <v>2.2000000000000002</v>
      </c>
      <c r="H112" s="3">
        <f t="shared" si="11"/>
        <v>0</v>
      </c>
      <c r="I112" s="3">
        <f t="shared" si="12"/>
        <v>2.4</v>
      </c>
      <c r="J112" s="3">
        <f t="shared" si="13"/>
        <v>2.2000000000000002</v>
      </c>
      <c r="K112" s="3"/>
      <c r="L112" s="4">
        <f t="shared" si="14"/>
        <v>334.89999999999981</v>
      </c>
      <c r="M112" s="40">
        <v>0</v>
      </c>
      <c r="N112" s="40">
        <v>0</v>
      </c>
      <c r="O112" s="40">
        <v>0.2</v>
      </c>
      <c r="P112" s="40">
        <v>0</v>
      </c>
      <c r="Q112" s="40">
        <v>0</v>
      </c>
      <c r="R112" s="40"/>
      <c r="S112" s="2">
        <f t="shared" si="10"/>
        <v>115.50000000000003</v>
      </c>
      <c r="T112" s="2">
        <v>0</v>
      </c>
      <c r="U112" s="2">
        <v>0</v>
      </c>
      <c r="V112" s="2">
        <v>6</v>
      </c>
      <c r="W112" s="2">
        <v>0</v>
      </c>
      <c r="X112" s="2">
        <f t="shared" si="4"/>
        <v>244</v>
      </c>
      <c r="Z112" s="1"/>
      <c r="AA112" s="1"/>
      <c r="AB112" s="2"/>
      <c r="AD112" s="121"/>
      <c r="AE112" s="121"/>
    </row>
    <row r="113" spans="1:31" x14ac:dyDescent="0.25">
      <c r="A113" s="2" t="s">
        <v>142</v>
      </c>
      <c r="B113" s="7">
        <v>0.33333333333333331</v>
      </c>
      <c r="C113" s="2">
        <v>24</v>
      </c>
      <c r="D113" s="10" t="s">
        <v>129</v>
      </c>
      <c r="E113" s="40">
        <v>0</v>
      </c>
      <c r="F113" s="40">
        <v>2.5</v>
      </c>
      <c r="G113" s="40">
        <v>2.2000000000000002</v>
      </c>
      <c r="H113" s="3">
        <f t="shared" si="11"/>
        <v>0</v>
      </c>
      <c r="I113" s="3">
        <f t="shared" si="12"/>
        <v>2.5</v>
      </c>
      <c r="J113" s="3">
        <f t="shared" si="13"/>
        <v>2.2000000000000002</v>
      </c>
      <c r="K113" s="3"/>
      <c r="L113" s="4">
        <f t="shared" si="14"/>
        <v>330.19999999999982</v>
      </c>
      <c r="M113" s="40">
        <v>0</v>
      </c>
      <c r="N113" s="40">
        <v>0</v>
      </c>
      <c r="O113" s="40">
        <v>0.2</v>
      </c>
      <c r="P113" s="40">
        <v>0</v>
      </c>
      <c r="Q113" s="40">
        <v>0</v>
      </c>
      <c r="R113" s="40"/>
      <c r="S113" s="2">
        <f t="shared" si="10"/>
        <v>115.30000000000003</v>
      </c>
      <c r="T113" s="2">
        <v>0</v>
      </c>
      <c r="U113" s="2">
        <v>0</v>
      </c>
      <c r="V113" s="2">
        <v>6</v>
      </c>
      <c r="W113" s="2">
        <v>0</v>
      </c>
      <c r="X113" s="2">
        <f t="shared" si="4"/>
        <v>238</v>
      </c>
      <c r="Z113" s="1"/>
      <c r="AA113" s="1"/>
      <c r="AB113" s="2"/>
      <c r="AD113" s="121"/>
      <c r="AE113" s="121"/>
    </row>
    <row r="114" spans="1:31" x14ac:dyDescent="0.25">
      <c r="A114" s="2" t="s">
        <v>143</v>
      </c>
      <c r="B114" s="7">
        <v>0.33333333333333331</v>
      </c>
      <c r="C114" s="2">
        <v>24</v>
      </c>
      <c r="D114" s="10" t="s">
        <v>129</v>
      </c>
      <c r="E114" s="40">
        <v>0</v>
      </c>
      <c r="F114" s="40">
        <v>2.8</v>
      </c>
      <c r="G114" s="40">
        <v>2.2000000000000002</v>
      </c>
      <c r="H114" s="3">
        <f t="shared" si="11"/>
        <v>0</v>
      </c>
      <c r="I114" s="3">
        <f t="shared" si="12"/>
        <v>2.8</v>
      </c>
      <c r="J114" s="3">
        <f t="shared" si="13"/>
        <v>2.2000000000000002</v>
      </c>
      <c r="K114" s="3"/>
      <c r="L114" s="4">
        <f t="shared" si="14"/>
        <v>325.19999999999982</v>
      </c>
      <c r="M114" s="40">
        <v>0</v>
      </c>
      <c r="N114" s="40">
        <v>0</v>
      </c>
      <c r="O114" s="40">
        <v>0.2</v>
      </c>
      <c r="P114" s="40">
        <v>0</v>
      </c>
      <c r="Q114" s="40">
        <v>1.25</v>
      </c>
      <c r="R114" s="40"/>
      <c r="S114" s="2">
        <f t="shared" si="10"/>
        <v>113.85000000000002</v>
      </c>
      <c r="T114" s="2">
        <v>0</v>
      </c>
      <c r="U114" s="2">
        <v>0</v>
      </c>
      <c r="V114" s="2">
        <v>6</v>
      </c>
      <c r="W114" s="2">
        <v>0</v>
      </c>
      <c r="X114" s="2">
        <f t="shared" si="4"/>
        <v>232</v>
      </c>
      <c r="Z114" s="1">
        <v>120</v>
      </c>
      <c r="AA114" s="1">
        <v>129</v>
      </c>
      <c r="AB114" s="2">
        <v>249</v>
      </c>
      <c r="AD114" s="121"/>
      <c r="AE114" s="121"/>
    </row>
    <row r="115" spans="1:31" x14ac:dyDescent="0.25">
      <c r="A115" s="2" t="s">
        <v>143</v>
      </c>
      <c r="B115" s="7">
        <v>0.54166666666666663</v>
      </c>
      <c r="C115" s="2">
        <v>5</v>
      </c>
      <c r="D115" s="10" t="s">
        <v>129</v>
      </c>
      <c r="E115" s="40">
        <v>0</v>
      </c>
      <c r="F115" s="40">
        <v>2.4</v>
      </c>
      <c r="G115" s="40">
        <v>2.2000000000000002</v>
      </c>
      <c r="H115" s="3">
        <f t="shared" si="11"/>
        <v>0</v>
      </c>
      <c r="I115" s="3">
        <f t="shared" si="12"/>
        <v>0.49999999999999994</v>
      </c>
      <c r="J115" s="3">
        <f t="shared" si="13"/>
        <v>0.45833333333333337</v>
      </c>
      <c r="K115" s="3"/>
      <c r="L115" s="4">
        <f t="shared" si="14"/>
        <v>324.2416666666665</v>
      </c>
      <c r="M115" s="40">
        <v>0</v>
      </c>
      <c r="N115" s="40">
        <v>0</v>
      </c>
      <c r="O115" s="40">
        <v>0.2</v>
      </c>
      <c r="P115" s="40">
        <v>0</v>
      </c>
      <c r="Q115" s="40">
        <v>0</v>
      </c>
      <c r="R115" s="40"/>
      <c r="S115" s="2">
        <f t="shared" si="10"/>
        <v>113.65000000000002</v>
      </c>
      <c r="T115" s="2">
        <v>0</v>
      </c>
      <c r="U115" s="2">
        <v>0</v>
      </c>
      <c r="V115" s="2">
        <v>2</v>
      </c>
      <c r="W115" s="2">
        <v>0</v>
      </c>
      <c r="X115" s="2">
        <f t="shared" si="4"/>
        <v>230</v>
      </c>
      <c r="Z115" s="1"/>
      <c r="AA115" s="1"/>
      <c r="AB115" s="2"/>
      <c r="AD115" s="121"/>
      <c r="AE115" s="121"/>
    </row>
    <row r="116" spans="1:31" x14ac:dyDescent="0.25">
      <c r="A116" s="2" t="s">
        <v>143</v>
      </c>
      <c r="B116" s="7">
        <v>0.6875</v>
      </c>
      <c r="C116" s="2">
        <v>3.5</v>
      </c>
      <c r="D116" s="10" t="s">
        <v>69</v>
      </c>
      <c r="E116" s="40">
        <v>17</v>
      </c>
      <c r="F116" s="40">
        <v>4</v>
      </c>
      <c r="G116" s="40">
        <v>2.1</v>
      </c>
      <c r="H116" s="3">
        <f t="shared" si="11"/>
        <v>2.479166666666667</v>
      </c>
      <c r="I116" s="3">
        <f t="shared" si="12"/>
        <v>0.58333333333333326</v>
      </c>
      <c r="J116" s="3">
        <f t="shared" si="13"/>
        <v>0.30625000000000002</v>
      </c>
      <c r="K116" s="3"/>
      <c r="L116" s="4">
        <f t="shared" si="14"/>
        <v>320.87291666666653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/>
      <c r="S116" s="2">
        <f t="shared" si="10"/>
        <v>113.65000000000002</v>
      </c>
      <c r="T116" s="2">
        <v>0</v>
      </c>
      <c r="U116" s="2">
        <v>0</v>
      </c>
      <c r="V116" s="2">
        <v>2</v>
      </c>
      <c r="W116" s="2">
        <v>0</v>
      </c>
      <c r="X116" s="2">
        <f t="shared" si="4"/>
        <v>228</v>
      </c>
      <c r="Z116" s="1"/>
      <c r="AA116" s="1"/>
      <c r="AB116" s="2"/>
      <c r="AD116" s="121"/>
      <c r="AE116" s="121"/>
    </row>
    <row r="117" spans="1:31" x14ac:dyDescent="0.25">
      <c r="A117" s="2" t="s">
        <v>144</v>
      </c>
      <c r="B117" s="7">
        <v>0.33333333333333331</v>
      </c>
      <c r="C117" s="2">
        <v>15.5</v>
      </c>
      <c r="D117" s="10" t="s">
        <v>69</v>
      </c>
      <c r="E117" s="40">
        <v>0</v>
      </c>
      <c r="F117" s="40">
        <v>3.3</v>
      </c>
      <c r="G117" s="40">
        <v>2.2000000000000002</v>
      </c>
      <c r="H117" s="3">
        <f t="shared" si="11"/>
        <v>0</v>
      </c>
      <c r="I117" s="3">
        <f t="shared" si="12"/>
        <v>2.1312499999999996</v>
      </c>
      <c r="J117" s="3">
        <f t="shared" si="13"/>
        <v>1.4208333333333334</v>
      </c>
      <c r="K117" s="3"/>
      <c r="L117" s="4">
        <f t="shared" si="14"/>
        <v>317.32083333333321</v>
      </c>
      <c r="M117" s="40">
        <v>0</v>
      </c>
      <c r="N117" s="40">
        <v>0</v>
      </c>
      <c r="O117" s="40">
        <v>0.2</v>
      </c>
      <c r="P117" s="40">
        <v>0</v>
      </c>
      <c r="Q117" s="40">
        <v>0</v>
      </c>
      <c r="R117" s="40"/>
      <c r="S117" s="2">
        <f t="shared" si="10"/>
        <v>113.45000000000002</v>
      </c>
      <c r="T117" s="2">
        <v>0</v>
      </c>
      <c r="U117" s="2">
        <v>0</v>
      </c>
      <c r="V117" s="2">
        <v>2</v>
      </c>
      <c r="W117" s="2">
        <v>0</v>
      </c>
      <c r="X117" s="2">
        <f t="shared" si="4"/>
        <v>226</v>
      </c>
      <c r="Z117" s="1">
        <v>113</v>
      </c>
      <c r="AA117" s="1">
        <v>129</v>
      </c>
      <c r="AB117" s="2">
        <v>242</v>
      </c>
      <c r="AD117" s="121"/>
      <c r="AE117" s="121"/>
    </row>
    <row r="118" spans="1:31" x14ac:dyDescent="0.25">
      <c r="A118" s="2" t="s">
        <v>145</v>
      </c>
      <c r="B118" s="7">
        <v>0.33333333333333331</v>
      </c>
      <c r="C118" s="2">
        <v>24</v>
      </c>
      <c r="D118" s="10" t="s">
        <v>69</v>
      </c>
      <c r="E118" s="40">
        <v>0</v>
      </c>
      <c r="F118" s="40">
        <v>2.2000000000000002</v>
      </c>
      <c r="G118" s="40">
        <v>2.1</v>
      </c>
      <c r="H118" s="3">
        <f t="shared" si="11"/>
        <v>0</v>
      </c>
      <c r="I118" s="3">
        <f t="shared" si="12"/>
        <v>2.2000000000000002</v>
      </c>
      <c r="J118" s="3">
        <f t="shared" si="13"/>
        <v>2.1</v>
      </c>
      <c r="K118" s="3"/>
      <c r="L118" s="4">
        <f t="shared" si="14"/>
        <v>313.0208333333332</v>
      </c>
      <c r="M118" s="40">
        <v>0</v>
      </c>
      <c r="N118" s="40">
        <v>0</v>
      </c>
      <c r="O118" s="40">
        <v>0.2</v>
      </c>
      <c r="P118" s="40">
        <v>0</v>
      </c>
      <c r="Q118" s="40">
        <v>0</v>
      </c>
      <c r="R118" s="40"/>
      <c r="S118" s="2">
        <f t="shared" si="10"/>
        <v>113.25000000000001</v>
      </c>
      <c r="T118" s="2">
        <v>0</v>
      </c>
      <c r="U118" s="2">
        <v>0</v>
      </c>
      <c r="V118" s="2">
        <v>6</v>
      </c>
      <c r="W118" s="2">
        <v>0</v>
      </c>
      <c r="X118" s="2">
        <f t="shared" si="4"/>
        <v>220</v>
      </c>
      <c r="Z118" s="1"/>
      <c r="AA118" s="1"/>
      <c r="AB118" s="2"/>
      <c r="AD118" s="121"/>
      <c r="AE118" s="121"/>
    </row>
    <row r="119" spans="1:31" x14ac:dyDescent="0.25">
      <c r="A119" s="2" t="s">
        <v>146</v>
      </c>
      <c r="B119" s="7">
        <v>0.33333333333333331</v>
      </c>
      <c r="C119" s="2">
        <v>24</v>
      </c>
      <c r="D119" s="10" t="s">
        <v>69</v>
      </c>
      <c r="E119" s="40">
        <v>0</v>
      </c>
      <c r="F119" s="40">
        <v>3.2</v>
      </c>
      <c r="G119" s="40">
        <v>2.2000000000000002</v>
      </c>
      <c r="H119" s="3">
        <f t="shared" si="11"/>
        <v>0</v>
      </c>
      <c r="I119" s="3">
        <v>2.4</v>
      </c>
      <c r="J119" s="3">
        <v>2.1</v>
      </c>
      <c r="K119" s="3"/>
      <c r="L119" s="4">
        <f t="shared" si="14"/>
        <v>308.5208333333332</v>
      </c>
      <c r="M119" s="40">
        <v>0</v>
      </c>
      <c r="N119" s="40">
        <v>0</v>
      </c>
      <c r="O119" s="40">
        <v>0.2</v>
      </c>
      <c r="P119" s="40">
        <v>0</v>
      </c>
      <c r="Q119" s="40">
        <v>0</v>
      </c>
      <c r="R119" s="40"/>
      <c r="S119" s="2">
        <f t="shared" si="10"/>
        <v>113.05000000000001</v>
      </c>
      <c r="T119" s="2">
        <v>0</v>
      </c>
      <c r="U119" s="2">
        <v>0</v>
      </c>
      <c r="V119" s="2">
        <v>6</v>
      </c>
      <c r="W119" s="2">
        <v>0</v>
      </c>
      <c r="X119" s="2">
        <f t="shared" si="4"/>
        <v>214</v>
      </c>
      <c r="Z119" s="1">
        <v>105</v>
      </c>
      <c r="AA119" s="1">
        <v>130</v>
      </c>
      <c r="AB119" s="2">
        <v>235</v>
      </c>
      <c r="AD119" s="121"/>
      <c r="AE119" s="121"/>
    </row>
    <row r="120" spans="1:31" x14ac:dyDescent="0.25">
      <c r="A120" s="2" t="s">
        <v>147</v>
      </c>
      <c r="B120" s="7">
        <v>0.33333333333333331</v>
      </c>
      <c r="C120" s="2">
        <v>24</v>
      </c>
      <c r="D120" s="10" t="s">
        <v>69</v>
      </c>
      <c r="E120" s="40">
        <v>0</v>
      </c>
      <c r="F120" s="40">
        <v>2.4</v>
      </c>
      <c r="G120" s="40">
        <v>2.1</v>
      </c>
      <c r="H120" s="3">
        <f t="shared" si="11"/>
        <v>0</v>
      </c>
      <c r="I120" s="3">
        <f t="shared" si="12"/>
        <v>2.4</v>
      </c>
      <c r="J120" s="3">
        <f t="shared" si="13"/>
        <v>2.1</v>
      </c>
      <c r="K120" s="3"/>
      <c r="L120" s="4">
        <f t="shared" si="14"/>
        <v>304.0208333333332</v>
      </c>
      <c r="M120" s="40">
        <v>0</v>
      </c>
      <c r="N120" s="40">
        <v>0</v>
      </c>
      <c r="O120" s="40">
        <v>0.2</v>
      </c>
      <c r="P120" s="40">
        <v>0</v>
      </c>
      <c r="Q120" s="40">
        <v>0</v>
      </c>
      <c r="R120" s="40"/>
      <c r="S120" s="2">
        <f t="shared" si="10"/>
        <v>112.85000000000001</v>
      </c>
      <c r="T120" s="2">
        <v>0</v>
      </c>
      <c r="U120" s="2">
        <v>0</v>
      </c>
      <c r="V120" s="2">
        <v>6</v>
      </c>
      <c r="W120" s="2">
        <v>0</v>
      </c>
      <c r="X120" s="2">
        <f t="shared" si="4"/>
        <v>208</v>
      </c>
      <c r="Z120" s="1">
        <v>93</v>
      </c>
      <c r="AA120" s="1">
        <v>135</v>
      </c>
      <c r="AB120" s="2">
        <v>228</v>
      </c>
      <c r="AD120" s="121"/>
      <c r="AE120" s="121"/>
    </row>
    <row r="121" spans="1:31" x14ac:dyDescent="0.25">
      <c r="A121" s="2" t="s">
        <v>148</v>
      </c>
      <c r="B121" s="7">
        <v>0.33333333333333331</v>
      </c>
      <c r="C121" s="2">
        <v>24</v>
      </c>
      <c r="D121" s="10" t="s">
        <v>69</v>
      </c>
      <c r="E121" s="40">
        <v>0</v>
      </c>
      <c r="F121" s="40">
        <v>2.4</v>
      </c>
      <c r="G121" s="40">
        <v>2.1</v>
      </c>
      <c r="H121" s="3">
        <f t="shared" si="11"/>
        <v>0</v>
      </c>
      <c r="I121" s="3">
        <f t="shared" si="12"/>
        <v>2.4</v>
      </c>
      <c r="J121" s="3">
        <f t="shared" si="13"/>
        <v>2.1</v>
      </c>
      <c r="K121" s="3"/>
      <c r="L121" s="4">
        <f t="shared" si="14"/>
        <v>299.5208333333332</v>
      </c>
      <c r="M121" s="40">
        <v>0</v>
      </c>
      <c r="N121" s="40">
        <v>0</v>
      </c>
      <c r="O121" s="40">
        <v>0.2</v>
      </c>
      <c r="P121" s="40">
        <v>0</v>
      </c>
      <c r="Q121" s="40">
        <v>0</v>
      </c>
      <c r="R121" s="40"/>
      <c r="S121" s="2">
        <f t="shared" si="10"/>
        <v>112.65</v>
      </c>
      <c r="T121" s="2">
        <v>0</v>
      </c>
      <c r="U121" s="2">
        <v>0</v>
      </c>
      <c r="V121" s="2">
        <v>7</v>
      </c>
      <c r="W121" s="2">
        <v>0</v>
      </c>
      <c r="X121" s="2">
        <f t="shared" si="4"/>
        <v>201</v>
      </c>
      <c r="Z121" s="1">
        <v>88</v>
      </c>
      <c r="AA121" s="1">
        <v>128</v>
      </c>
      <c r="AB121" s="2">
        <v>216</v>
      </c>
      <c r="AD121" s="121"/>
      <c r="AE121" s="121"/>
    </row>
    <row r="122" spans="1:31" x14ac:dyDescent="0.25">
      <c r="A122" s="2" t="s">
        <v>148</v>
      </c>
      <c r="B122" s="7">
        <v>0.4916666666666667</v>
      </c>
      <c r="C122" s="2">
        <v>4</v>
      </c>
      <c r="D122" s="10" t="s">
        <v>69</v>
      </c>
      <c r="E122" s="40">
        <v>0</v>
      </c>
      <c r="F122" s="40">
        <v>2.4</v>
      </c>
      <c r="G122" s="40">
        <v>2.1</v>
      </c>
      <c r="H122" s="3">
        <f t="shared" si="11"/>
        <v>0</v>
      </c>
      <c r="I122" s="3">
        <f t="shared" si="12"/>
        <v>0.39999999999999997</v>
      </c>
      <c r="J122" s="3">
        <f t="shared" si="13"/>
        <v>0.35000000000000003</v>
      </c>
      <c r="K122" s="3"/>
      <c r="L122" s="4">
        <f t="shared" si="14"/>
        <v>298.7708333333332</v>
      </c>
      <c r="M122" s="40">
        <v>0</v>
      </c>
      <c r="N122" s="40">
        <v>0</v>
      </c>
      <c r="O122" s="40">
        <v>0.1</v>
      </c>
      <c r="P122" s="40">
        <v>0</v>
      </c>
      <c r="Q122" s="40">
        <v>0</v>
      </c>
      <c r="R122" s="40"/>
      <c r="S122" s="2">
        <f t="shared" si="10"/>
        <v>112.55000000000001</v>
      </c>
      <c r="T122" s="2">
        <v>0</v>
      </c>
      <c r="U122" s="2">
        <v>0</v>
      </c>
      <c r="V122" s="2">
        <v>2</v>
      </c>
      <c r="W122" s="2">
        <v>0</v>
      </c>
      <c r="X122" s="2">
        <f t="shared" si="4"/>
        <v>199</v>
      </c>
      <c r="Z122" s="1"/>
      <c r="AA122" s="1"/>
      <c r="AB122" s="2"/>
      <c r="AD122" s="121"/>
      <c r="AE122" s="121"/>
    </row>
    <row r="123" spans="1:31" x14ac:dyDescent="0.25">
      <c r="A123" s="2" t="s">
        <v>148</v>
      </c>
      <c r="B123" s="7">
        <v>0.70833333333333337</v>
      </c>
      <c r="C123" s="2">
        <v>5</v>
      </c>
      <c r="D123" s="10" t="s">
        <v>149</v>
      </c>
      <c r="E123" s="40">
        <v>0</v>
      </c>
      <c r="F123" s="40">
        <v>2.4</v>
      </c>
      <c r="G123" s="40">
        <v>2.1</v>
      </c>
      <c r="H123" s="3">
        <f t="shared" ref="H123:H180" si="15">+IF(E123="","",(E123/24)*C123)</f>
        <v>0</v>
      </c>
      <c r="I123" s="3">
        <f t="shared" ref="I123:I180" si="16">+IF(F123="","",(F123/24)*C123)</f>
        <v>0.49999999999999994</v>
      </c>
      <c r="J123" s="3">
        <f t="shared" ref="J123:J180" si="17">+IF(G123="","",(G123/24)*C123)</f>
        <v>0.43750000000000006</v>
      </c>
      <c r="K123" s="3"/>
      <c r="L123" s="4">
        <f t="shared" ref="L123:L180" si="18">+IF(C123="","",L122-(H123+I123+J123))</f>
        <v>297.8333333333332</v>
      </c>
      <c r="M123" s="40">
        <v>0</v>
      </c>
      <c r="N123" s="40">
        <v>0</v>
      </c>
      <c r="O123" s="40">
        <v>0</v>
      </c>
      <c r="P123" s="40">
        <v>0</v>
      </c>
      <c r="Q123" s="40">
        <v>0</v>
      </c>
      <c r="R123" s="40"/>
      <c r="S123" s="2">
        <f t="shared" si="10"/>
        <v>112.55000000000001</v>
      </c>
      <c r="T123" s="2">
        <v>0</v>
      </c>
      <c r="U123" s="2">
        <v>0</v>
      </c>
      <c r="V123" s="2">
        <v>1</v>
      </c>
      <c r="W123" s="2">
        <v>0</v>
      </c>
      <c r="X123" s="2">
        <f t="shared" si="4"/>
        <v>198</v>
      </c>
      <c r="Z123" s="1"/>
      <c r="AA123" s="1"/>
      <c r="AB123" s="2"/>
      <c r="AD123" s="121"/>
      <c r="AE123" s="121"/>
    </row>
    <row r="124" spans="1:31" x14ac:dyDescent="0.25">
      <c r="A124" s="2" t="s">
        <v>148</v>
      </c>
      <c r="B124" s="7">
        <v>0.77083333333333337</v>
      </c>
      <c r="C124" s="2">
        <v>1.5</v>
      </c>
      <c r="D124" s="10" t="s">
        <v>129</v>
      </c>
      <c r="E124" s="40">
        <v>1</v>
      </c>
      <c r="F124" s="40">
        <v>2.4</v>
      </c>
      <c r="G124" s="40">
        <v>2.1</v>
      </c>
      <c r="H124" s="3">
        <f t="shared" si="15"/>
        <v>6.25E-2</v>
      </c>
      <c r="I124" s="3">
        <f t="shared" si="16"/>
        <v>0.15</v>
      </c>
      <c r="J124" s="3">
        <f t="shared" si="17"/>
        <v>0.13125000000000001</v>
      </c>
      <c r="K124" s="3"/>
      <c r="L124" s="4">
        <f t="shared" si="18"/>
        <v>297.4895833333332</v>
      </c>
      <c r="M124" s="40">
        <v>0</v>
      </c>
      <c r="N124" s="40">
        <v>0</v>
      </c>
      <c r="O124" s="40">
        <v>0</v>
      </c>
      <c r="P124" s="40">
        <v>0</v>
      </c>
      <c r="Q124" s="40">
        <v>0</v>
      </c>
      <c r="R124" s="40"/>
      <c r="S124" s="2">
        <f t="shared" si="10"/>
        <v>112.55000000000001</v>
      </c>
      <c r="T124" s="2">
        <v>0</v>
      </c>
      <c r="U124" s="2">
        <v>0</v>
      </c>
      <c r="V124" s="2">
        <v>1</v>
      </c>
      <c r="W124" s="2">
        <v>0</v>
      </c>
      <c r="X124" s="2">
        <f t="shared" si="4"/>
        <v>197</v>
      </c>
      <c r="Z124" s="1"/>
      <c r="AA124" s="1"/>
      <c r="AB124" s="2"/>
      <c r="AD124" s="121"/>
      <c r="AE124" s="121"/>
    </row>
    <row r="125" spans="1:31" x14ac:dyDescent="0.25">
      <c r="A125" s="2" t="s">
        <v>150</v>
      </c>
      <c r="B125" s="7">
        <v>0.33333333333333331</v>
      </c>
      <c r="C125" s="2">
        <v>13.5</v>
      </c>
      <c r="D125" s="10" t="s">
        <v>151</v>
      </c>
      <c r="E125" s="40">
        <v>22</v>
      </c>
      <c r="F125" s="40">
        <v>2.4</v>
      </c>
      <c r="G125" s="40">
        <v>2.2000000000000002</v>
      </c>
      <c r="H125" s="3">
        <f t="shared" si="15"/>
        <v>12.375</v>
      </c>
      <c r="I125" s="3">
        <f t="shared" si="16"/>
        <v>1.3499999999999999</v>
      </c>
      <c r="J125" s="3">
        <f t="shared" si="17"/>
        <v>1.2375</v>
      </c>
      <c r="K125" s="3"/>
      <c r="L125" s="4">
        <f t="shared" si="18"/>
        <v>282.52708333333322</v>
      </c>
      <c r="M125" s="40">
        <v>0</v>
      </c>
      <c r="N125" s="40">
        <v>0</v>
      </c>
      <c r="O125" s="40">
        <v>0.2</v>
      </c>
      <c r="P125" s="40">
        <v>0</v>
      </c>
      <c r="Q125" s="40">
        <v>0</v>
      </c>
      <c r="R125" s="40"/>
      <c r="S125" s="2">
        <f t="shared" si="10"/>
        <v>112.35000000000001</v>
      </c>
      <c r="T125" s="2">
        <v>3</v>
      </c>
      <c r="U125" s="2">
        <v>0</v>
      </c>
      <c r="V125" s="2">
        <v>3</v>
      </c>
      <c r="W125" s="2">
        <v>0</v>
      </c>
      <c r="X125" s="2">
        <f t="shared" si="4"/>
        <v>197</v>
      </c>
      <c r="Z125" s="1"/>
      <c r="AA125" s="1"/>
      <c r="AB125" s="2"/>
      <c r="AD125" s="121"/>
      <c r="AE125" s="121"/>
    </row>
    <row r="126" spans="1:31" x14ac:dyDescent="0.25">
      <c r="A126" s="2">
        <v>17.0318</v>
      </c>
      <c r="B126" s="7">
        <v>0.15</v>
      </c>
      <c r="C126" s="2">
        <v>19.5</v>
      </c>
      <c r="D126" s="10" t="s">
        <v>152</v>
      </c>
      <c r="E126" s="40">
        <v>22</v>
      </c>
      <c r="F126" s="40">
        <v>2.4</v>
      </c>
      <c r="G126" s="40">
        <v>2.2000000000000002</v>
      </c>
      <c r="H126" s="3">
        <f t="shared" si="15"/>
        <v>17.875</v>
      </c>
      <c r="I126" s="3">
        <f t="shared" si="16"/>
        <v>1.9499999999999997</v>
      </c>
      <c r="J126" s="3">
        <f t="shared" si="17"/>
        <v>1.7875000000000001</v>
      </c>
      <c r="K126" s="3"/>
      <c r="L126" s="4">
        <f t="shared" si="18"/>
        <v>260.91458333333321</v>
      </c>
      <c r="M126" s="40">
        <v>0</v>
      </c>
      <c r="N126" s="40">
        <v>0</v>
      </c>
      <c r="O126" s="40">
        <v>0.2</v>
      </c>
      <c r="P126" s="40">
        <v>0</v>
      </c>
      <c r="Q126" s="40">
        <v>0</v>
      </c>
      <c r="R126" s="40"/>
      <c r="S126" s="2">
        <f t="shared" si="10"/>
        <v>112.15</v>
      </c>
      <c r="T126" s="2">
        <v>4</v>
      </c>
      <c r="U126" s="2">
        <v>0</v>
      </c>
      <c r="V126" s="2">
        <v>6</v>
      </c>
      <c r="W126" s="2">
        <v>0</v>
      </c>
      <c r="X126" s="2">
        <f t="shared" si="4"/>
        <v>195</v>
      </c>
      <c r="Z126" s="1"/>
      <c r="AA126" s="1"/>
      <c r="AB126" s="2"/>
      <c r="AD126" s="121">
        <v>12.8</v>
      </c>
      <c r="AE126" s="121" t="s">
        <v>1303</v>
      </c>
    </row>
    <row r="127" spans="1:31" x14ac:dyDescent="0.25">
      <c r="A127" s="2" t="s">
        <v>154</v>
      </c>
      <c r="B127" s="7">
        <v>0.33333333333333331</v>
      </c>
      <c r="C127" s="2">
        <v>4.5</v>
      </c>
      <c r="D127" s="10" t="s">
        <v>153</v>
      </c>
      <c r="E127" s="40">
        <v>0</v>
      </c>
      <c r="F127" s="40">
        <v>2.4</v>
      </c>
      <c r="G127" s="40">
        <v>2.2000000000000002</v>
      </c>
      <c r="H127" s="3">
        <f t="shared" si="15"/>
        <v>0</v>
      </c>
      <c r="I127" s="3">
        <f t="shared" si="16"/>
        <v>0.44999999999999996</v>
      </c>
      <c r="J127" s="3">
        <f t="shared" si="17"/>
        <v>0.41250000000000003</v>
      </c>
      <c r="K127" s="3"/>
      <c r="L127" s="4">
        <f t="shared" si="18"/>
        <v>260.0520833333332</v>
      </c>
      <c r="M127" s="40">
        <v>0</v>
      </c>
      <c r="N127" s="40">
        <v>0</v>
      </c>
      <c r="O127" s="40">
        <v>0.1</v>
      </c>
      <c r="P127" s="40">
        <v>0</v>
      </c>
      <c r="Q127" s="40">
        <v>0</v>
      </c>
      <c r="R127" s="40"/>
      <c r="S127" s="2">
        <f t="shared" si="10"/>
        <v>112.05000000000001</v>
      </c>
      <c r="T127" s="2">
        <v>0</v>
      </c>
      <c r="U127" s="2">
        <v>0</v>
      </c>
      <c r="V127" s="2">
        <v>2</v>
      </c>
      <c r="W127" s="2">
        <v>0</v>
      </c>
      <c r="X127" s="2">
        <f t="shared" si="4"/>
        <v>193</v>
      </c>
      <c r="Z127" s="1">
        <v>84</v>
      </c>
      <c r="AA127" s="1">
        <v>128</v>
      </c>
      <c r="AB127" s="2">
        <v>212</v>
      </c>
      <c r="AD127" s="121"/>
      <c r="AE127" s="121"/>
    </row>
    <row r="128" spans="1:31" x14ac:dyDescent="0.25">
      <c r="A128" s="2" t="s">
        <v>155</v>
      </c>
      <c r="B128" s="7">
        <v>0.33333333333333331</v>
      </c>
      <c r="C128" s="2">
        <v>24</v>
      </c>
      <c r="D128" s="10" t="s">
        <v>153</v>
      </c>
      <c r="E128" s="40">
        <v>0</v>
      </c>
      <c r="F128" s="40">
        <v>2.4</v>
      </c>
      <c r="G128" s="40">
        <v>2.1</v>
      </c>
      <c r="H128" s="3">
        <f t="shared" si="15"/>
        <v>0</v>
      </c>
      <c r="I128" s="3">
        <f t="shared" si="16"/>
        <v>2.4</v>
      </c>
      <c r="J128" s="3">
        <f t="shared" si="17"/>
        <v>2.1</v>
      </c>
      <c r="K128" s="3"/>
      <c r="L128" s="4">
        <f t="shared" si="18"/>
        <v>255.5520833333332</v>
      </c>
      <c r="M128" s="40">
        <v>0</v>
      </c>
      <c r="N128" s="40">
        <v>0</v>
      </c>
      <c r="O128" s="40">
        <v>0.2</v>
      </c>
      <c r="P128" s="40">
        <v>0</v>
      </c>
      <c r="Q128" s="40">
        <v>0</v>
      </c>
      <c r="R128" s="40"/>
      <c r="S128" s="2">
        <f t="shared" si="10"/>
        <v>111.85000000000001</v>
      </c>
      <c r="T128" s="2">
        <v>0</v>
      </c>
      <c r="U128" s="2">
        <v>0</v>
      </c>
      <c r="V128" s="2">
        <v>6</v>
      </c>
      <c r="W128" s="2">
        <v>0</v>
      </c>
      <c r="X128" s="2">
        <f t="shared" si="4"/>
        <v>187</v>
      </c>
      <c r="Z128" s="1">
        <v>78</v>
      </c>
      <c r="AA128" s="1">
        <v>130</v>
      </c>
      <c r="AB128" s="2">
        <v>208</v>
      </c>
      <c r="AD128" s="121"/>
      <c r="AE128" s="121"/>
    </row>
    <row r="129" spans="1:31" x14ac:dyDescent="0.25">
      <c r="A129" s="2" t="s">
        <v>156</v>
      </c>
      <c r="B129" s="7">
        <v>0.33333333333333331</v>
      </c>
      <c r="C129" s="2">
        <v>24</v>
      </c>
      <c r="D129" s="10" t="s">
        <v>153</v>
      </c>
      <c r="E129" s="40">
        <v>0</v>
      </c>
      <c r="F129" s="40">
        <v>2.4</v>
      </c>
      <c r="G129" s="40">
        <v>2.1</v>
      </c>
      <c r="H129" s="3">
        <f t="shared" si="15"/>
        <v>0</v>
      </c>
      <c r="I129" s="3">
        <f t="shared" si="16"/>
        <v>2.4</v>
      </c>
      <c r="J129" s="3">
        <f t="shared" si="17"/>
        <v>2.1</v>
      </c>
      <c r="K129" s="3"/>
      <c r="L129" s="4">
        <f t="shared" si="18"/>
        <v>251.0520833333332</v>
      </c>
      <c r="M129" s="40">
        <v>0</v>
      </c>
      <c r="N129" s="40">
        <v>0</v>
      </c>
      <c r="O129" s="40">
        <v>0.2</v>
      </c>
      <c r="P129" s="40">
        <v>0</v>
      </c>
      <c r="Q129" s="40">
        <v>0</v>
      </c>
      <c r="R129" s="40"/>
      <c r="S129" s="2">
        <f t="shared" si="10"/>
        <v>111.65</v>
      </c>
      <c r="T129" s="2">
        <v>0</v>
      </c>
      <c r="U129" s="2">
        <v>0</v>
      </c>
      <c r="V129" s="2">
        <v>6</v>
      </c>
      <c r="W129" s="2">
        <v>0</v>
      </c>
      <c r="X129" s="2">
        <f t="shared" si="4"/>
        <v>181</v>
      </c>
      <c r="Z129" s="1">
        <v>72</v>
      </c>
      <c r="AA129" s="1">
        <v>130</v>
      </c>
      <c r="AB129" s="2">
        <v>202</v>
      </c>
      <c r="AD129" s="121"/>
      <c r="AE129" s="121"/>
    </row>
    <row r="130" spans="1:31" x14ac:dyDescent="0.25">
      <c r="A130" s="2" t="s">
        <v>157</v>
      </c>
      <c r="B130" s="7">
        <v>0.33333333333333331</v>
      </c>
      <c r="C130" s="2">
        <v>24</v>
      </c>
      <c r="D130" s="10" t="s">
        <v>153</v>
      </c>
      <c r="E130" s="40">
        <v>0</v>
      </c>
      <c r="F130" s="40">
        <v>2.4</v>
      </c>
      <c r="G130" s="40">
        <v>2.1</v>
      </c>
      <c r="H130" s="3">
        <f t="shared" si="15"/>
        <v>0</v>
      </c>
      <c r="I130" s="3">
        <f t="shared" si="16"/>
        <v>2.4</v>
      </c>
      <c r="J130" s="3">
        <f t="shared" si="17"/>
        <v>2.1</v>
      </c>
      <c r="K130" s="3"/>
      <c r="L130" s="4">
        <f t="shared" si="18"/>
        <v>246.5520833333332</v>
      </c>
      <c r="M130" s="40">
        <v>0</v>
      </c>
      <c r="N130" s="40">
        <v>0</v>
      </c>
      <c r="O130" s="40">
        <v>0.3</v>
      </c>
      <c r="P130" s="40">
        <v>0</v>
      </c>
      <c r="Q130" s="40">
        <v>0</v>
      </c>
      <c r="R130" s="40"/>
      <c r="S130" s="2">
        <f t="shared" si="10"/>
        <v>111.35000000000001</v>
      </c>
      <c r="T130" s="2">
        <v>0</v>
      </c>
      <c r="U130" s="2">
        <v>0</v>
      </c>
      <c r="V130" s="2">
        <v>7</v>
      </c>
      <c r="W130" s="2">
        <v>0</v>
      </c>
      <c r="X130" s="2">
        <f t="shared" si="4"/>
        <v>174</v>
      </c>
      <c r="Z130" s="1">
        <v>65</v>
      </c>
      <c r="AA130" s="1">
        <v>130</v>
      </c>
      <c r="AB130" s="2">
        <v>195</v>
      </c>
      <c r="AD130" s="121"/>
      <c r="AE130" s="121"/>
    </row>
    <row r="131" spans="1:31" x14ac:dyDescent="0.25">
      <c r="A131" s="2" t="s">
        <v>158</v>
      </c>
      <c r="B131" s="7">
        <v>0.33333333333333331</v>
      </c>
      <c r="C131" s="2">
        <v>24</v>
      </c>
      <c r="D131" s="10" t="s">
        <v>153</v>
      </c>
      <c r="E131" s="40">
        <v>0</v>
      </c>
      <c r="F131" s="40">
        <v>2.2999999999999998</v>
      </c>
      <c r="G131" s="40">
        <v>2.1</v>
      </c>
      <c r="H131" s="3">
        <f t="shared" si="15"/>
        <v>0</v>
      </c>
      <c r="I131" s="3">
        <f t="shared" si="16"/>
        <v>2.2999999999999998</v>
      </c>
      <c r="J131" s="3">
        <f t="shared" si="17"/>
        <v>2.1</v>
      </c>
      <c r="K131" s="3"/>
      <c r="L131" s="4">
        <f t="shared" si="18"/>
        <v>242.1520833333332</v>
      </c>
      <c r="M131" s="40">
        <v>0</v>
      </c>
      <c r="N131" s="40">
        <v>0</v>
      </c>
      <c r="O131" s="40">
        <v>0.3</v>
      </c>
      <c r="P131" s="40">
        <v>0</v>
      </c>
      <c r="Q131" s="40">
        <v>0</v>
      </c>
      <c r="R131" s="40"/>
      <c r="S131" s="2">
        <f t="shared" si="10"/>
        <v>111.05000000000001</v>
      </c>
      <c r="T131" s="2">
        <v>0</v>
      </c>
      <c r="U131" s="2">
        <v>0</v>
      </c>
      <c r="V131" s="2">
        <v>6</v>
      </c>
      <c r="W131" s="2">
        <v>0</v>
      </c>
      <c r="X131" s="2">
        <f t="shared" si="4"/>
        <v>168</v>
      </c>
      <c r="Z131" s="1">
        <v>60</v>
      </c>
      <c r="AA131" s="1">
        <v>130</v>
      </c>
      <c r="AB131" s="2">
        <v>190</v>
      </c>
      <c r="AD131" s="121"/>
      <c r="AE131" s="121"/>
    </row>
    <row r="132" spans="1:31" x14ac:dyDescent="0.25">
      <c r="A132" s="2" t="s">
        <v>159</v>
      </c>
      <c r="B132" s="7">
        <v>0.33333333333333331</v>
      </c>
      <c r="C132" s="2">
        <v>24</v>
      </c>
      <c r="D132" s="10" t="s">
        <v>153</v>
      </c>
      <c r="E132" s="40">
        <v>0</v>
      </c>
      <c r="F132" s="40">
        <v>2.2999999999999998</v>
      </c>
      <c r="G132" s="40">
        <v>2.1</v>
      </c>
      <c r="H132" s="3">
        <f t="shared" si="15"/>
        <v>0</v>
      </c>
      <c r="I132" s="3">
        <f t="shared" si="16"/>
        <v>2.2999999999999998</v>
      </c>
      <c r="J132" s="3">
        <f t="shared" si="17"/>
        <v>2.1</v>
      </c>
      <c r="K132" s="3"/>
      <c r="L132" s="4">
        <f t="shared" si="18"/>
        <v>237.75208333333319</v>
      </c>
      <c r="M132" s="40">
        <v>0</v>
      </c>
      <c r="N132" s="40">
        <v>0</v>
      </c>
      <c r="O132" s="40">
        <v>0.3</v>
      </c>
      <c r="P132" s="40">
        <v>0</v>
      </c>
      <c r="Q132" s="40">
        <v>0</v>
      </c>
      <c r="R132" s="40"/>
      <c r="S132" s="2">
        <f t="shared" si="10"/>
        <v>110.75000000000001</v>
      </c>
      <c r="T132" s="2">
        <v>0</v>
      </c>
      <c r="U132" s="2">
        <v>0</v>
      </c>
      <c r="V132" s="2">
        <v>6</v>
      </c>
      <c r="W132" s="2">
        <v>0</v>
      </c>
      <c r="X132" s="2">
        <f t="shared" si="4"/>
        <v>162</v>
      </c>
      <c r="Z132" s="1">
        <v>55</v>
      </c>
      <c r="AA132" s="1">
        <v>130</v>
      </c>
      <c r="AB132" s="2">
        <v>185</v>
      </c>
      <c r="AD132" s="121"/>
      <c r="AE132" s="121"/>
    </row>
    <row r="133" spans="1:31" x14ac:dyDescent="0.25">
      <c r="A133" s="35" t="s">
        <v>160</v>
      </c>
      <c r="B133" s="7">
        <v>0.33333333333333331</v>
      </c>
      <c r="C133" s="2">
        <v>24</v>
      </c>
      <c r="D133" s="10" t="s">
        <v>153</v>
      </c>
      <c r="E133" s="40">
        <v>0</v>
      </c>
      <c r="F133" s="40">
        <v>2.2999999999999998</v>
      </c>
      <c r="G133" s="40">
        <v>2.1</v>
      </c>
      <c r="H133" s="3">
        <f t="shared" si="15"/>
        <v>0</v>
      </c>
      <c r="I133" s="3">
        <f t="shared" si="16"/>
        <v>2.2999999999999998</v>
      </c>
      <c r="J133" s="3">
        <f t="shared" si="17"/>
        <v>2.1</v>
      </c>
      <c r="K133" s="3"/>
      <c r="L133" s="4">
        <f t="shared" si="18"/>
        <v>233.35208333333318</v>
      </c>
      <c r="M133" s="40">
        <v>0</v>
      </c>
      <c r="N133" s="40">
        <v>0</v>
      </c>
      <c r="O133" s="40">
        <v>0.2</v>
      </c>
      <c r="P133" s="40">
        <v>0</v>
      </c>
      <c r="Q133" s="40">
        <v>0</v>
      </c>
      <c r="R133" s="40"/>
      <c r="S133" s="2">
        <f t="shared" si="10"/>
        <v>110.55000000000001</v>
      </c>
      <c r="T133" s="2">
        <v>0</v>
      </c>
      <c r="U133" s="2">
        <v>0</v>
      </c>
      <c r="V133" s="2">
        <v>6</v>
      </c>
      <c r="W133" s="2">
        <v>0</v>
      </c>
      <c r="X133" s="2">
        <f t="shared" si="4"/>
        <v>156</v>
      </c>
      <c r="Z133" s="1">
        <v>51</v>
      </c>
      <c r="AA133" s="1">
        <v>130</v>
      </c>
      <c r="AB133" s="2">
        <v>181</v>
      </c>
      <c r="AD133" s="121"/>
      <c r="AE133" s="121"/>
    </row>
    <row r="134" spans="1:31" x14ac:dyDescent="0.25">
      <c r="A134" s="2" t="s">
        <v>160</v>
      </c>
      <c r="B134" s="7">
        <v>0.64583333333333337</v>
      </c>
      <c r="C134" s="2">
        <v>7.5</v>
      </c>
      <c r="D134" s="10" t="s">
        <v>161</v>
      </c>
      <c r="E134" s="40">
        <v>0</v>
      </c>
      <c r="F134" s="40">
        <v>2.2999999999999998</v>
      </c>
      <c r="G134" s="40">
        <v>2.1</v>
      </c>
      <c r="H134" s="3">
        <f t="shared" si="15"/>
        <v>0</v>
      </c>
      <c r="I134" s="3">
        <f t="shared" si="16"/>
        <v>0.71875</v>
      </c>
      <c r="J134" s="3">
        <f t="shared" si="17"/>
        <v>0.65625000000000011</v>
      </c>
      <c r="K134" s="3"/>
      <c r="L134" s="4">
        <f t="shared" si="18"/>
        <v>231.97708333333318</v>
      </c>
      <c r="M134" s="40">
        <v>0</v>
      </c>
      <c r="N134" s="40">
        <v>0</v>
      </c>
      <c r="O134" s="40">
        <v>0.1</v>
      </c>
      <c r="P134" s="40">
        <v>0</v>
      </c>
      <c r="Q134" s="40">
        <v>0</v>
      </c>
      <c r="R134" s="40"/>
      <c r="S134" s="2">
        <f t="shared" si="10"/>
        <v>110.45000000000002</v>
      </c>
      <c r="T134" s="2">
        <v>0</v>
      </c>
      <c r="U134" s="2">
        <v>0</v>
      </c>
      <c r="V134" s="2">
        <v>2</v>
      </c>
      <c r="W134" s="2">
        <v>0</v>
      </c>
      <c r="X134" s="2">
        <f t="shared" si="4"/>
        <v>154</v>
      </c>
      <c r="Z134" s="1"/>
      <c r="AA134" s="1"/>
      <c r="AB134" s="2"/>
      <c r="AD134" s="121"/>
      <c r="AE134" s="121"/>
    </row>
    <row r="135" spans="1:31" x14ac:dyDescent="0.25">
      <c r="A135" s="2" t="s">
        <v>160</v>
      </c>
      <c r="B135" s="7">
        <v>0.71666666666666667</v>
      </c>
      <c r="C135" s="2">
        <v>1.5</v>
      </c>
      <c r="D135" s="10" t="s">
        <v>162</v>
      </c>
      <c r="E135" s="40">
        <v>17</v>
      </c>
      <c r="F135" s="40">
        <v>2.2999999999999998</v>
      </c>
      <c r="G135" s="40">
        <v>2.1</v>
      </c>
      <c r="H135" s="3">
        <f t="shared" si="15"/>
        <v>1.0625</v>
      </c>
      <c r="I135" s="3">
        <f t="shared" si="16"/>
        <v>0.14374999999999999</v>
      </c>
      <c r="J135" s="3">
        <f t="shared" si="17"/>
        <v>0.13125000000000001</v>
      </c>
      <c r="K135" s="3"/>
      <c r="L135" s="4">
        <f t="shared" si="18"/>
        <v>230.63958333333318</v>
      </c>
      <c r="M135" s="40">
        <v>0</v>
      </c>
      <c r="N135" s="40">
        <v>0</v>
      </c>
      <c r="O135" s="40">
        <v>0.1</v>
      </c>
      <c r="P135" s="40">
        <v>0</v>
      </c>
      <c r="Q135" s="40">
        <v>0</v>
      </c>
      <c r="R135" s="40"/>
      <c r="S135" s="2">
        <f t="shared" si="10"/>
        <v>110.35000000000002</v>
      </c>
      <c r="T135" s="2">
        <v>0</v>
      </c>
      <c r="U135" s="2">
        <v>0</v>
      </c>
      <c r="V135" s="2">
        <v>1</v>
      </c>
      <c r="W135" s="2">
        <v>0</v>
      </c>
      <c r="X135" s="2">
        <f t="shared" si="4"/>
        <v>153</v>
      </c>
      <c r="Z135" s="1"/>
      <c r="AA135" s="1"/>
      <c r="AB135" s="2"/>
      <c r="AD135" s="121"/>
      <c r="AE135" s="121"/>
    </row>
    <row r="136" spans="1:31" x14ac:dyDescent="0.25">
      <c r="A136" s="2" t="s">
        <v>163</v>
      </c>
      <c r="B136" s="7">
        <v>0.33333333333333331</v>
      </c>
      <c r="C136" s="2">
        <v>15</v>
      </c>
      <c r="D136" s="10" t="s">
        <v>164</v>
      </c>
      <c r="E136" s="40">
        <v>0</v>
      </c>
      <c r="F136" s="40">
        <v>4.5</v>
      </c>
      <c r="G136" s="40">
        <v>2.1</v>
      </c>
      <c r="H136" s="3">
        <f t="shared" si="15"/>
        <v>0</v>
      </c>
      <c r="I136" s="3">
        <f t="shared" si="16"/>
        <v>2.8125</v>
      </c>
      <c r="J136" s="3">
        <f t="shared" si="17"/>
        <v>1.3125000000000002</v>
      </c>
      <c r="K136" s="3"/>
      <c r="L136" s="4">
        <f t="shared" si="18"/>
        <v>226.51458333333318</v>
      </c>
      <c r="M136" s="40">
        <v>0</v>
      </c>
      <c r="N136" s="40">
        <v>0</v>
      </c>
      <c r="O136" s="40">
        <v>0.1</v>
      </c>
      <c r="P136" s="40">
        <v>0</v>
      </c>
      <c r="Q136" s="40">
        <v>3.25</v>
      </c>
      <c r="R136" s="40"/>
      <c r="S136" s="2">
        <f t="shared" si="10"/>
        <v>107.00000000000003</v>
      </c>
      <c r="T136" s="2">
        <v>0</v>
      </c>
      <c r="U136" s="2">
        <v>0</v>
      </c>
      <c r="V136" s="2">
        <v>5</v>
      </c>
      <c r="W136" s="2">
        <v>0</v>
      </c>
      <c r="X136" s="2">
        <f t="shared" si="4"/>
        <v>148</v>
      </c>
      <c r="Z136" s="1">
        <v>45</v>
      </c>
      <c r="AA136" s="1">
        <v>130</v>
      </c>
      <c r="AB136" s="2">
        <v>175</v>
      </c>
      <c r="AD136" s="121"/>
      <c r="AE136" s="121"/>
    </row>
    <row r="137" spans="1:31" x14ac:dyDescent="0.25">
      <c r="A137" s="2" t="s">
        <v>165</v>
      </c>
      <c r="B137" s="7">
        <v>0</v>
      </c>
      <c r="C137" s="2">
        <v>16</v>
      </c>
      <c r="D137" s="10" t="s">
        <v>166</v>
      </c>
      <c r="E137" s="40">
        <v>0</v>
      </c>
      <c r="F137" s="40">
        <v>4.5</v>
      </c>
      <c r="G137" s="40">
        <v>2.1</v>
      </c>
      <c r="H137" s="3">
        <f t="shared" si="15"/>
        <v>0</v>
      </c>
      <c r="I137" s="3">
        <f t="shared" si="16"/>
        <v>3</v>
      </c>
      <c r="J137" s="3">
        <f t="shared" si="17"/>
        <v>1.4000000000000001</v>
      </c>
      <c r="K137" s="3"/>
      <c r="L137" s="4">
        <f t="shared" si="18"/>
        <v>222.11458333333317</v>
      </c>
      <c r="M137" s="40">
        <v>0</v>
      </c>
      <c r="N137" s="40">
        <v>0</v>
      </c>
      <c r="O137" s="40">
        <v>0.2</v>
      </c>
      <c r="P137" s="40">
        <v>0</v>
      </c>
      <c r="Q137" s="40">
        <v>4</v>
      </c>
      <c r="R137" s="40"/>
      <c r="S137" s="2">
        <f t="shared" si="10"/>
        <v>102.80000000000003</v>
      </c>
      <c r="T137" s="2">
        <v>0</v>
      </c>
      <c r="U137" s="2">
        <v>0</v>
      </c>
      <c r="V137" s="2">
        <v>6</v>
      </c>
      <c r="W137" s="2">
        <v>0</v>
      </c>
      <c r="X137" s="2">
        <f t="shared" si="4"/>
        <v>142</v>
      </c>
      <c r="Z137" s="1"/>
      <c r="AA137" s="1"/>
      <c r="AB137" s="2"/>
      <c r="AD137" s="121"/>
      <c r="AE137" s="121"/>
    </row>
    <row r="138" spans="1:31" x14ac:dyDescent="0.25">
      <c r="A138" s="2" t="s">
        <v>165</v>
      </c>
      <c r="B138" s="7">
        <v>0.33333333333333331</v>
      </c>
      <c r="C138" s="2">
        <v>8</v>
      </c>
      <c r="D138" s="10" t="s">
        <v>167</v>
      </c>
      <c r="E138" s="40">
        <v>21</v>
      </c>
      <c r="F138" s="40">
        <v>2.4</v>
      </c>
      <c r="G138" s="40">
        <v>2.2000000000000002</v>
      </c>
      <c r="H138" s="3">
        <f t="shared" si="15"/>
        <v>7</v>
      </c>
      <c r="I138" s="3">
        <f t="shared" si="16"/>
        <v>0.79999999999999993</v>
      </c>
      <c r="J138" s="3">
        <f t="shared" si="17"/>
        <v>0.73333333333333339</v>
      </c>
      <c r="K138" s="3"/>
      <c r="L138" s="4">
        <f t="shared" si="18"/>
        <v>213.58124999999984</v>
      </c>
      <c r="M138" s="40">
        <v>0</v>
      </c>
      <c r="N138" s="40">
        <v>0</v>
      </c>
      <c r="O138" s="40">
        <v>0.3</v>
      </c>
      <c r="P138" s="40">
        <v>0</v>
      </c>
      <c r="Q138" s="40">
        <v>0</v>
      </c>
      <c r="R138" s="40"/>
      <c r="S138" s="2">
        <f t="shared" si="10"/>
        <v>102.50000000000003</v>
      </c>
      <c r="T138" s="2">
        <v>0</v>
      </c>
      <c r="U138" s="2">
        <v>0</v>
      </c>
      <c r="V138" s="2">
        <v>6</v>
      </c>
      <c r="W138" s="2">
        <v>0</v>
      </c>
      <c r="X138" s="2">
        <f t="shared" si="4"/>
        <v>136</v>
      </c>
      <c r="Z138" s="1"/>
      <c r="AA138" s="1"/>
      <c r="AB138" s="2"/>
      <c r="AD138" s="121">
        <v>12.6</v>
      </c>
      <c r="AE138" s="121" t="s">
        <v>1296</v>
      </c>
    </row>
    <row r="139" spans="1:31" x14ac:dyDescent="0.25">
      <c r="A139" s="36" t="s">
        <v>165</v>
      </c>
      <c r="B139" s="7">
        <v>0.5083333333333333</v>
      </c>
      <c r="C139" s="2">
        <v>4</v>
      </c>
      <c r="D139" s="10" t="s">
        <v>170</v>
      </c>
      <c r="E139" s="40">
        <v>20</v>
      </c>
      <c r="F139" s="40">
        <v>2.4</v>
      </c>
      <c r="G139" s="40">
        <v>2.1</v>
      </c>
      <c r="H139" s="3">
        <f t="shared" si="15"/>
        <v>3.3333333333333335</v>
      </c>
      <c r="I139" s="3">
        <f t="shared" si="16"/>
        <v>0.39999999999999997</v>
      </c>
      <c r="J139" s="3">
        <f t="shared" si="17"/>
        <v>0.35000000000000003</v>
      </c>
      <c r="K139" s="3"/>
      <c r="L139" s="4">
        <f t="shared" si="18"/>
        <v>209.4979166666665</v>
      </c>
      <c r="M139" s="40">
        <v>0</v>
      </c>
      <c r="N139" s="40">
        <v>0</v>
      </c>
      <c r="O139" s="40">
        <v>0</v>
      </c>
      <c r="P139" s="40">
        <v>0</v>
      </c>
      <c r="Q139" s="40">
        <v>0</v>
      </c>
      <c r="R139" s="40"/>
      <c r="S139" s="2">
        <f t="shared" si="10"/>
        <v>102.50000000000003</v>
      </c>
      <c r="T139" s="2">
        <v>0</v>
      </c>
      <c r="U139" s="2">
        <v>0</v>
      </c>
      <c r="V139" s="2">
        <v>1</v>
      </c>
      <c r="W139" s="2">
        <v>0</v>
      </c>
      <c r="X139" s="2">
        <f t="shared" si="4"/>
        <v>135</v>
      </c>
      <c r="Z139" s="1"/>
      <c r="AA139" s="1"/>
      <c r="AB139" s="2"/>
      <c r="AD139" s="121"/>
      <c r="AE139" s="121"/>
    </row>
    <row r="140" spans="1:31" x14ac:dyDescent="0.25">
      <c r="A140" s="36" t="s">
        <v>165</v>
      </c>
      <c r="B140" s="7">
        <v>0.66666666666666663</v>
      </c>
      <c r="C140" s="2">
        <v>4</v>
      </c>
      <c r="D140" s="10" t="s">
        <v>168</v>
      </c>
      <c r="E140" s="40">
        <v>14</v>
      </c>
      <c r="F140" s="40">
        <v>2.4</v>
      </c>
      <c r="G140" s="40">
        <v>2.1</v>
      </c>
      <c r="H140" s="3">
        <f t="shared" si="15"/>
        <v>2.3333333333333335</v>
      </c>
      <c r="I140" s="3">
        <f t="shared" si="16"/>
        <v>0.39999999999999997</v>
      </c>
      <c r="J140" s="3">
        <f t="shared" si="17"/>
        <v>0.35000000000000003</v>
      </c>
      <c r="K140" s="3"/>
      <c r="L140" s="4">
        <f t="shared" si="18"/>
        <v>206.41458333333316</v>
      </c>
      <c r="M140" s="40">
        <v>0</v>
      </c>
      <c r="N140" s="40">
        <v>0</v>
      </c>
      <c r="O140" s="40">
        <v>0.1</v>
      </c>
      <c r="P140" s="40">
        <v>0</v>
      </c>
      <c r="Q140" s="40">
        <v>0</v>
      </c>
      <c r="R140" s="40"/>
      <c r="S140" s="2">
        <f t="shared" si="10"/>
        <v>102.40000000000003</v>
      </c>
      <c r="T140" s="2">
        <v>0</v>
      </c>
      <c r="U140" s="2">
        <v>0</v>
      </c>
      <c r="V140" s="2">
        <v>2</v>
      </c>
      <c r="W140" s="2">
        <v>0</v>
      </c>
      <c r="X140" s="2">
        <f t="shared" si="4"/>
        <v>133</v>
      </c>
      <c r="Z140" s="1"/>
      <c r="AA140" s="1"/>
      <c r="AB140" s="2"/>
      <c r="AD140" s="121"/>
      <c r="AE140" s="121"/>
    </row>
    <row r="141" spans="1:31" x14ac:dyDescent="0.25">
      <c r="A141" s="2" t="s">
        <v>169</v>
      </c>
      <c r="B141" s="7">
        <v>0.33333333333333331</v>
      </c>
      <c r="C141" s="2">
        <v>16</v>
      </c>
      <c r="D141" s="10" t="s">
        <v>171</v>
      </c>
      <c r="E141" s="40">
        <v>0</v>
      </c>
      <c r="F141" s="40">
        <v>3.5</v>
      </c>
      <c r="G141" s="40">
        <v>2.1</v>
      </c>
      <c r="H141" s="3">
        <f t="shared" si="15"/>
        <v>0</v>
      </c>
      <c r="I141" s="3">
        <f t="shared" si="16"/>
        <v>2.3333333333333335</v>
      </c>
      <c r="J141" s="3">
        <f t="shared" si="17"/>
        <v>1.4000000000000001</v>
      </c>
      <c r="K141" s="3"/>
      <c r="L141" s="4">
        <f t="shared" si="18"/>
        <v>202.68124999999984</v>
      </c>
      <c r="M141" s="40">
        <v>0</v>
      </c>
      <c r="N141" s="40">
        <v>0</v>
      </c>
      <c r="O141" s="40">
        <v>0.2</v>
      </c>
      <c r="P141" s="40">
        <v>0</v>
      </c>
      <c r="Q141" s="40">
        <v>4</v>
      </c>
      <c r="R141" s="40"/>
      <c r="S141" s="2">
        <f t="shared" si="10"/>
        <v>98.200000000000031</v>
      </c>
      <c r="T141" s="2">
        <v>0</v>
      </c>
      <c r="U141" s="2">
        <v>0</v>
      </c>
      <c r="V141" s="2">
        <v>6</v>
      </c>
      <c r="W141" s="2">
        <v>0</v>
      </c>
      <c r="X141" s="2">
        <f t="shared" si="4"/>
        <v>127</v>
      </c>
      <c r="Z141" s="1">
        <v>45</v>
      </c>
      <c r="AA141" s="1">
        <v>124</v>
      </c>
      <c r="AB141" s="2">
        <f>SUM(Z141:AA141)</f>
        <v>169</v>
      </c>
      <c r="AD141" s="121"/>
      <c r="AE141" s="121"/>
    </row>
    <row r="142" spans="1:31" x14ac:dyDescent="0.25">
      <c r="A142" s="2" t="s">
        <v>169</v>
      </c>
      <c r="B142" s="7">
        <v>0.79166666666666663</v>
      </c>
      <c r="C142" s="2">
        <v>11</v>
      </c>
      <c r="D142" s="10" t="s">
        <v>172</v>
      </c>
      <c r="E142" s="40">
        <v>0</v>
      </c>
      <c r="F142" s="40">
        <v>3.5</v>
      </c>
      <c r="G142" s="40">
        <v>2.2000000000000002</v>
      </c>
      <c r="H142" s="3">
        <f t="shared" si="15"/>
        <v>0</v>
      </c>
      <c r="I142" s="3">
        <f t="shared" si="16"/>
        <v>1.6041666666666667</v>
      </c>
      <c r="J142" s="3">
        <f t="shared" si="17"/>
        <v>1.0083333333333333</v>
      </c>
      <c r="K142" s="3"/>
      <c r="L142" s="4">
        <f t="shared" si="18"/>
        <v>200.06874999999982</v>
      </c>
      <c r="M142" s="40">
        <v>0</v>
      </c>
      <c r="N142" s="40">
        <v>0</v>
      </c>
      <c r="O142" s="40">
        <v>0.1</v>
      </c>
      <c r="P142" s="40">
        <v>0</v>
      </c>
      <c r="Q142" s="40">
        <v>2.6</v>
      </c>
      <c r="R142" s="40"/>
      <c r="S142" s="2">
        <f t="shared" si="10"/>
        <v>95.500000000000028</v>
      </c>
      <c r="T142" s="2">
        <v>0</v>
      </c>
      <c r="U142" s="2">
        <v>0</v>
      </c>
      <c r="V142" s="2">
        <v>2</v>
      </c>
      <c r="W142" s="2">
        <v>0</v>
      </c>
      <c r="X142" s="2">
        <f t="shared" si="4"/>
        <v>125</v>
      </c>
      <c r="Z142" s="1"/>
      <c r="AA142" s="1"/>
      <c r="AB142" s="2"/>
      <c r="AD142" s="121"/>
      <c r="AE142" s="121"/>
    </row>
    <row r="143" spans="1:31" x14ac:dyDescent="0.25">
      <c r="A143" s="2" t="s">
        <v>169</v>
      </c>
      <c r="B143" s="7">
        <v>0.89583333333333337</v>
      </c>
      <c r="C143" s="2">
        <v>2.5</v>
      </c>
      <c r="D143" s="10" t="s">
        <v>105</v>
      </c>
      <c r="E143" s="40">
        <v>12</v>
      </c>
      <c r="F143" s="40">
        <v>3.5</v>
      </c>
      <c r="G143" s="40">
        <v>2.2000000000000002</v>
      </c>
      <c r="H143" s="3">
        <f t="shared" si="15"/>
        <v>1.25</v>
      </c>
      <c r="I143" s="3">
        <f t="shared" si="16"/>
        <v>0.36458333333333337</v>
      </c>
      <c r="J143" s="3">
        <f t="shared" si="17"/>
        <v>0.22916666666666669</v>
      </c>
      <c r="K143" s="3"/>
      <c r="L143" s="4">
        <f t="shared" si="18"/>
        <v>198.22499999999982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/>
      <c r="S143" s="2">
        <f t="shared" si="10"/>
        <v>95.500000000000028</v>
      </c>
      <c r="T143" s="2">
        <v>0</v>
      </c>
      <c r="U143" s="2">
        <v>0</v>
      </c>
      <c r="V143" s="2">
        <v>1</v>
      </c>
      <c r="W143" s="2">
        <v>0</v>
      </c>
      <c r="X143" s="2">
        <f t="shared" si="4"/>
        <v>124</v>
      </c>
      <c r="Z143" s="1"/>
      <c r="AA143" s="1"/>
      <c r="AB143" s="2"/>
      <c r="AD143" s="121"/>
      <c r="AE143" s="121"/>
    </row>
    <row r="144" spans="1:31" x14ac:dyDescent="0.25">
      <c r="A144" s="2" t="s">
        <v>173</v>
      </c>
      <c r="B144" s="7">
        <v>0.33333333333333331</v>
      </c>
      <c r="C144" s="2">
        <v>10.5</v>
      </c>
      <c r="D144" s="10" t="s">
        <v>94</v>
      </c>
      <c r="E144" s="40">
        <v>22</v>
      </c>
      <c r="F144" s="40">
        <v>3.5</v>
      </c>
      <c r="G144" s="40">
        <v>0</v>
      </c>
      <c r="H144" s="3">
        <f t="shared" si="15"/>
        <v>9.625</v>
      </c>
      <c r="I144" s="3">
        <f t="shared" si="16"/>
        <v>1.53125</v>
      </c>
      <c r="J144" s="3">
        <f t="shared" si="17"/>
        <v>0</v>
      </c>
      <c r="K144" s="3"/>
      <c r="L144" s="4">
        <f t="shared" si="18"/>
        <v>187.06874999999982</v>
      </c>
      <c r="M144" s="40">
        <v>0</v>
      </c>
      <c r="N144" s="40">
        <v>0</v>
      </c>
      <c r="O144" s="40">
        <v>0</v>
      </c>
      <c r="P144" s="40">
        <v>0</v>
      </c>
      <c r="Q144" s="40">
        <v>0</v>
      </c>
      <c r="R144" s="40"/>
      <c r="S144" s="2">
        <f t="shared" si="10"/>
        <v>95.500000000000028</v>
      </c>
      <c r="T144" s="2">
        <v>0</v>
      </c>
      <c r="U144" s="2">
        <v>0</v>
      </c>
      <c r="V144" s="2">
        <v>2</v>
      </c>
      <c r="W144" s="2">
        <v>0</v>
      </c>
      <c r="X144" s="2">
        <f t="shared" si="4"/>
        <v>122</v>
      </c>
      <c r="Z144" s="1">
        <v>40</v>
      </c>
      <c r="AA144" s="1">
        <v>120</v>
      </c>
      <c r="AB144" s="2">
        <f>SUM(Z144:AA144)</f>
        <v>160</v>
      </c>
      <c r="AD144" s="121"/>
      <c r="AE144" s="121"/>
    </row>
    <row r="145" spans="1:31" x14ac:dyDescent="0.25">
      <c r="A145" s="2" t="s">
        <v>173</v>
      </c>
      <c r="B145" s="7">
        <v>0.83333333333333337</v>
      </c>
      <c r="C145" s="2">
        <v>12</v>
      </c>
      <c r="D145" s="10" t="s">
        <v>42</v>
      </c>
      <c r="E145" s="40">
        <v>21</v>
      </c>
      <c r="F145" s="40">
        <v>2.2000000000000002</v>
      </c>
      <c r="G145" s="40">
        <v>0</v>
      </c>
      <c r="H145" s="3">
        <f t="shared" si="15"/>
        <v>10.5</v>
      </c>
      <c r="I145" s="3">
        <f t="shared" si="16"/>
        <v>1.1000000000000001</v>
      </c>
      <c r="J145" s="3">
        <f t="shared" si="17"/>
        <v>0</v>
      </c>
      <c r="K145" s="3"/>
      <c r="L145" s="4">
        <f t="shared" si="18"/>
        <v>175.46874999999983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40"/>
      <c r="S145" s="2">
        <f t="shared" si="10"/>
        <v>95.500000000000028</v>
      </c>
      <c r="T145" s="2">
        <v>0</v>
      </c>
      <c r="U145" s="2">
        <v>0</v>
      </c>
      <c r="V145" s="2">
        <v>2</v>
      </c>
      <c r="W145" s="2">
        <v>0</v>
      </c>
      <c r="X145" s="2">
        <f t="shared" si="4"/>
        <v>120</v>
      </c>
      <c r="Z145" s="1"/>
      <c r="AA145" s="1"/>
      <c r="AB145" s="2"/>
      <c r="AD145" s="121">
        <v>12.1</v>
      </c>
      <c r="AE145" s="121" t="s">
        <v>1301</v>
      </c>
    </row>
    <row r="146" spans="1:31" x14ac:dyDescent="0.25">
      <c r="A146" s="2" t="s">
        <v>174</v>
      </c>
      <c r="B146" s="7">
        <v>0.33333333333333331</v>
      </c>
      <c r="C146" s="2">
        <v>12</v>
      </c>
      <c r="D146" s="10" t="s">
        <v>97</v>
      </c>
      <c r="E146" s="40">
        <v>0</v>
      </c>
      <c r="F146" s="40">
        <v>2.2000000000000002</v>
      </c>
      <c r="G146" s="40">
        <v>2.2000000000000002</v>
      </c>
      <c r="H146" s="3">
        <f t="shared" si="15"/>
        <v>0</v>
      </c>
      <c r="I146" s="3">
        <f t="shared" si="16"/>
        <v>1.1000000000000001</v>
      </c>
      <c r="J146" s="3">
        <f t="shared" si="17"/>
        <v>1.1000000000000001</v>
      </c>
      <c r="K146" s="3"/>
      <c r="L146" s="4">
        <f t="shared" si="18"/>
        <v>173.26874999999984</v>
      </c>
      <c r="M146" s="40">
        <v>0</v>
      </c>
      <c r="N146" s="40">
        <v>0</v>
      </c>
      <c r="O146" s="40">
        <v>0.2</v>
      </c>
      <c r="P146" s="40">
        <v>0</v>
      </c>
      <c r="Q146" s="40">
        <v>0</v>
      </c>
      <c r="R146" s="40"/>
      <c r="S146" s="2">
        <f t="shared" si="10"/>
        <v>95.300000000000026</v>
      </c>
      <c r="T146" s="2">
        <v>0</v>
      </c>
      <c r="U146" s="2">
        <v>0</v>
      </c>
      <c r="V146" s="2">
        <v>2</v>
      </c>
      <c r="W146" s="2">
        <v>0</v>
      </c>
      <c r="X146" s="2">
        <f t="shared" si="4"/>
        <v>118</v>
      </c>
      <c r="Z146" s="1"/>
      <c r="AA146" s="1"/>
      <c r="AB146" s="2"/>
      <c r="AD146" s="121"/>
      <c r="AE146" s="121"/>
    </row>
    <row r="147" spans="1:31" x14ac:dyDescent="0.25">
      <c r="A147" s="2" t="s">
        <v>175</v>
      </c>
      <c r="B147" s="7">
        <v>0.33333333333333331</v>
      </c>
      <c r="C147" s="2">
        <v>24</v>
      </c>
      <c r="D147" s="10" t="s">
        <v>97</v>
      </c>
      <c r="E147" s="40">
        <v>0</v>
      </c>
      <c r="F147" s="40">
        <v>2.2000000000000002</v>
      </c>
      <c r="G147" s="40">
        <v>2.2000000000000002</v>
      </c>
      <c r="H147" s="3">
        <f t="shared" si="15"/>
        <v>0</v>
      </c>
      <c r="I147" s="3">
        <f t="shared" si="16"/>
        <v>2.2000000000000002</v>
      </c>
      <c r="J147" s="3">
        <f t="shared" si="17"/>
        <v>2.2000000000000002</v>
      </c>
      <c r="K147" s="3"/>
      <c r="L147" s="4">
        <f t="shared" si="18"/>
        <v>168.86874999999984</v>
      </c>
      <c r="M147" s="40">
        <v>0</v>
      </c>
      <c r="N147" s="40">
        <v>0</v>
      </c>
      <c r="O147" s="40">
        <v>0.2</v>
      </c>
      <c r="P147" s="40">
        <v>0</v>
      </c>
      <c r="Q147" s="40">
        <v>0</v>
      </c>
      <c r="R147" s="40"/>
      <c r="S147" s="2">
        <f t="shared" ref="S147:S257" si="19">IF(C147="","",(S146+R147)-(M147+N147+O147+P147+Q147))</f>
        <v>95.100000000000023</v>
      </c>
      <c r="T147" s="2">
        <v>0</v>
      </c>
      <c r="U147" s="2">
        <v>0</v>
      </c>
      <c r="V147" s="2">
        <v>6</v>
      </c>
      <c r="W147" s="2">
        <v>0</v>
      </c>
      <c r="X147" s="2">
        <f t="shared" ref="X147:X257" si="20">IF(V147="","",((X146+T147+U147)-(V147+W147)))</f>
        <v>112</v>
      </c>
      <c r="Z147" s="1"/>
      <c r="AA147" s="1"/>
      <c r="AB147" s="2"/>
      <c r="AD147" s="121"/>
      <c r="AE147" s="121"/>
    </row>
    <row r="148" spans="1:31" x14ac:dyDescent="0.25">
      <c r="A148" s="2" t="s">
        <v>175</v>
      </c>
      <c r="B148" s="7">
        <v>0.79166666666666663</v>
      </c>
      <c r="C148" s="2">
        <v>11</v>
      </c>
      <c r="D148" s="10" t="s">
        <v>125</v>
      </c>
      <c r="E148" s="40">
        <v>0</v>
      </c>
      <c r="F148" s="40">
        <v>2.2000000000000002</v>
      </c>
      <c r="G148" s="40">
        <v>2.2000000000000002</v>
      </c>
      <c r="H148" s="3">
        <f t="shared" si="15"/>
        <v>0</v>
      </c>
      <c r="I148" s="3">
        <f t="shared" si="16"/>
        <v>1.0083333333333333</v>
      </c>
      <c r="J148" s="3">
        <f t="shared" si="17"/>
        <v>1.0083333333333333</v>
      </c>
      <c r="K148" s="3"/>
      <c r="L148" s="4">
        <f t="shared" si="18"/>
        <v>166.85208333333316</v>
      </c>
      <c r="M148" s="40">
        <v>0</v>
      </c>
      <c r="N148" s="40">
        <v>0</v>
      </c>
      <c r="O148" s="40">
        <v>0</v>
      </c>
      <c r="P148" s="40">
        <v>0</v>
      </c>
      <c r="Q148" s="40">
        <v>0</v>
      </c>
      <c r="R148" s="40"/>
      <c r="S148" s="2">
        <f t="shared" si="19"/>
        <v>95.100000000000023</v>
      </c>
      <c r="T148" s="2">
        <v>0</v>
      </c>
      <c r="U148" s="2">
        <v>0</v>
      </c>
      <c r="V148" s="2">
        <v>2</v>
      </c>
      <c r="W148" s="2">
        <v>0</v>
      </c>
      <c r="X148" s="2">
        <f t="shared" si="20"/>
        <v>110</v>
      </c>
      <c r="Z148" s="1"/>
      <c r="AA148" s="1"/>
      <c r="AB148" s="2"/>
      <c r="AD148" s="121"/>
      <c r="AE148" s="121"/>
    </row>
    <row r="149" spans="1:31" x14ac:dyDescent="0.25">
      <c r="A149" s="2" t="s">
        <v>175</v>
      </c>
      <c r="B149" s="7">
        <v>0.9375</v>
      </c>
      <c r="C149" s="2">
        <v>3.5</v>
      </c>
      <c r="D149" s="10" t="s">
        <v>176</v>
      </c>
      <c r="E149" s="40">
        <v>14</v>
      </c>
      <c r="F149" s="40">
        <v>2.8</v>
      </c>
      <c r="G149" s="40">
        <v>2.2000000000000002</v>
      </c>
      <c r="H149" s="3">
        <f t="shared" si="15"/>
        <v>2.041666666666667</v>
      </c>
      <c r="I149" s="3">
        <f t="shared" si="16"/>
        <v>0.40833333333333327</v>
      </c>
      <c r="J149" s="3">
        <f t="shared" si="17"/>
        <v>0.32083333333333336</v>
      </c>
      <c r="K149" s="3"/>
      <c r="L149" s="4">
        <f t="shared" si="18"/>
        <v>164.08124999999981</v>
      </c>
      <c r="M149" s="40">
        <v>0</v>
      </c>
      <c r="N149" s="40">
        <v>0</v>
      </c>
      <c r="O149" s="40">
        <v>0.1</v>
      </c>
      <c r="P149" s="40">
        <v>0</v>
      </c>
      <c r="Q149" s="40">
        <v>0</v>
      </c>
      <c r="R149" s="40"/>
      <c r="S149" s="2">
        <f t="shared" si="19"/>
        <v>95.000000000000028</v>
      </c>
      <c r="T149" s="2">
        <v>0</v>
      </c>
      <c r="U149" s="2">
        <v>0</v>
      </c>
      <c r="V149" s="2">
        <v>1</v>
      </c>
      <c r="W149" s="2">
        <v>0</v>
      </c>
      <c r="X149" s="2">
        <f t="shared" si="20"/>
        <v>109</v>
      </c>
      <c r="Z149" s="1"/>
      <c r="AA149" s="1"/>
      <c r="AB149" s="2"/>
      <c r="AD149" s="121"/>
      <c r="AE149" s="121"/>
    </row>
    <row r="150" spans="1:31" x14ac:dyDescent="0.25">
      <c r="A150" s="2" t="s">
        <v>177</v>
      </c>
      <c r="B150" s="7">
        <v>0</v>
      </c>
      <c r="C150" s="2">
        <v>1.5</v>
      </c>
      <c r="D150" s="10" t="s">
        <v>37</v>
      </c>
      <c r="E150" s="40">
        <v>0</v>
      </c>
      <c r="F150" s="40">
        <v>2.8</v>
      </c>
      <c r="G150" s="40">
        <v>2.2000000000000002</v>
      </c>
      <c r="H150" s="3">
        <f t="shared" si="15"/>
        <v>0</v>
      </c>
      <c r="I150" s="3">
        <f t="shared" si="16"/>
        <v>0.17499999999999999</v>
      </c>
      <c r="J150" s="3">
        <f t="shared" si="17"/>
        <v>0.13750000000000001</v>
      </c>
      <c r="K150" s="3"/>
      <c r="L150" s="4">
        <f t="shared" si="18"/>
        <v>163.76874999999981</v>
      </c>
      <c r="M150" s="40">
        <v>0</v>
      </c>
      <c r="N150" s="40">
        <v>0</v>
      </c>
      <c r="O150" s="40">
        <v>0.1</v>
      </c>
      <c r="P150" s="40">
        <v>0</v>
      </c>
      <c r="Q150" s="40">
        <v>0</v>
      </c>
      <c r="R150" s="40"/>
      <c r="S150" s="2">
        <f t="shared" si="19"/>
        <v>94.900000000000034</v>
      </c>
      <c r="T150" s="2">
        <v>0</v>
      </c>
      <c r="U150" s="2">
        <v>0</v>
      </c>
      <c r="V150" s="2">
        <v>1</v>
      </c>
      <c r="W150" s="2">
        <v>0</v>
      </c>
      <c r="X150" s="2">
        <f t="shared" si="20"/>
        <v>108</v>
      </c>
      <c r="Z150" s="1"/>
      <c r="AA150" s="1"/>
      <c r="AB150" s="2"/>
      <c r="AD150" s="121"/>
      <c r="AE150" s="121"/>
    </row>
    <row r="151" spans="1:31" x14ac:dyDescent="0.25">
      <c r="A151" s="2" t="s">
        <v>177</v>
      </c>
      <c r="B151" s="7">
        <v>0.33333333333333331</v>
      </c>
      <c r="C151" s="2">
        <v>8</v>
      </c>
      <c r="D151" s="10" t="s">
        <v>69</v>
      </c>
      <c r="E151" s="40">
        <v>0</v>
      </c>
      <c r="F151" s="40">
        <v>2.4</v>
      </c>
      <c r="G151" s="40">
        <v>2</v>
      </c>
      <c r="H151" s="3">
        <f t="shared" si="15"/>
        <v>0</v>
      </c>
      <c r="I151" s="3">
        <f t="shared" si="16"/>
        <v>0.79999999999999993</v>
      </c>
      <c r="J151" s="3">
        <f t="shared" si="17"/>
        <v>0.66666666666666663</v>
      </c>
      <c r="K151" s="3"/>
      <c r="L151" s="4">
        <f t="shared" si="18"/>
        <v>162.30208333333314</v>
      </c>
      <c r="M151" s="40">
        <v>0</v>
      </c>
      <c r="N151" s="40">
        <v>0</v>
      </c>
      <c r="O151" s="40">
        <v>0.2</v>
      </c>
      <c r="P151" s="40">
        <v>0</v>
      </c>
      <c r="Q151" s="40">
        <v>0</v>
      </c>
      <c r="R151" s="40"/>
      <c r="S151" s="2">
        <f t="shared" si="19"/>
        <v>94.700000000000031</v>
      </c>
      <c r="T151" s="2">
        <v>0</v>
      </c>
      <c r="U151" s="2">
        <v>0</v>
      </c>
      <c r="V151" s="2">
        <v>1</v>
      </c>
      <c r="W151" s="2">
        <v>0</v>
      </c>
      <c r="X151" s="2">
        <f t="shared" si="20"/>
        <v>107</v>
      </c>
      <c r="Z151" s="1">
        <v>70</v>
      </c>
      <c r="AA151" s="1">
        <v>72</v>
      </c>
      <c r="AB151" s="2">
        <f>SUM(Z151:AA151)</f>
        <v>142</v>
      </c>
      <c r="AD151" s="121"/>
      <c r="AE151" s="121"/>
    </row>
    <row r="152" spans="1:31" x14ac:dyDescent="0.25">
      <c r="A152" s="2" t="s">
        <v>178</v>
      </c>
      <c r="B152" s="7">
        <v>0.33333333333333331</v>
      </c>
      <c r="C152" s="2">
        <v>24</v>
      </c>
      <c r="D152" s="10" t="s">
        <v>179</v>
      </c>
      <c r="E152" s="40">
        <v>0</v>
      </c>
      <c r="F152" s="40">
        <v>2.4</v>
      </c>
      <c r="G152" s="40">
        <v>2</v>
      </c>
      <c r="H152" s="3">
        <f t="shared" si="15"/>
        <v>0</v>
      </c>
      <c r="I152" s="3">
        <f t="shared" si="16"/>
        <v>2.4</v>
      </c>
      <c r="J152" s="3">
        <f t="shared" si="17"/>
        <v>2</v>
      </c>
      <c r="K152" s="3"/>
      <c r="L152" s="4">
        <f t="shared" si="18"/>
        <v>157.90208333333314</v>
      </c>
      <c r="M152" s="40">
        <v>0</v>
      </c>
      <c r="N152" s="40">
        <v>0</v>
      </c>
      <c r="O152" s="40">
        <v>0.2</v>
      </c>
      <c r="P152" s="40">
        <v>0</v>
      </c>
      <c r="Q152" s="40">
        <v>0</v>
      </c>
      <c r="R152" s="40"/>
      <c r="S152" s="2">
        <f t="shared" si="19"/>
        <v>94.500000000000028</v>
      </c>
      <c r="T152" s="2">
        <v>0</v>
      </c>
      <c r="U152" s="2">
        <v>0</v>
      </c>
      <c r="V152" s="2">
        <v>5</v>
      </c>
      <c r="W152" s="2">
        <v>0</v>
      </c>
      <c r="X152" s="2">
        <f t="shared" si="20"/>
        <v>102</v>
      </c>
      <c r="Z152" s="1">
        <v>68</v>
      </c>
      <c r="AA152" s="1">
        <v>72</v>
      </c>
      <c r="AB152" s="2">
        <f>SUM(Z152:AA152)</f>
        <v>140</v>
      </c>
      <c r="AD152" s="121"/>
      <c r="AE152" s="121"/>
    </row>
    <row r="153" spans="1:31" x14ac:dyDescent="0.25">
      <c r="A153" s="2"/>
      <c r="B153" s="7"/>
      <c r="C153" s="2"/>
      <c r="D153" s="10"/>
      <c r="E153" s="40"/>
      <c r="F153" s="40"/>
      <c r="G153" s="40"/>
      <c r="H153" s="3"/>
      <c r="I153" s="3"/>
      <c r="J153" s="3"/>
      <c r="K153" s="3"/>
      <c r="L153" s="4"/>
      <c r="M153" s="40"/>
      <c r="N153" s="40"/>
      <c r="O153" s="40"/>
      <c r="P153" s="40"/>
      <c r="Q153" s="40"/>
      <c r="R153" s="40"/>
      <c r="S153" s="2"/>
      <c r="T153" s="2"/>
      <c r="U153" s="2"/>
      <c r="V153" s="2"/>
      <c r="W153" s="2"/>
      <c r="X153" s="2"/>
      <c r="Z153" s="1"/>
      <c r="AA153" s="1"/>
      <c r="AB153" s="2"/>
      <c r="AD153" s="121"/>
      <c r="AE153" s="121"/>
    </row>
    <row r="154" spans="1:31" x14ac:dyDescent="0.25">
      <c r="A154" s="9" t="s">
        <v>181</v>
      </c>
      <c r="B154" s="7">
        <v>0.125</v>
      </c>
      <c r="C154" s="2">
        <v>19</v>
      </c>
      <c r="D154" s="10" t="s">
        <v>182</v>
      </c>
      <c r="E154" s="40">
        <v>0</v>
      </c>
      <c r="F154" s="40">
        <v>2.4</v>
      </c>
      <c r="G154" s="40">
        <v>2</v>
      </c>
      <c r="H154" s="3">
        <f t="shared" si="15"/>
        <v>0</v>
      </c>
      <c r="I154" s="3">
        <f t="shared" si="16"/>
        <v>1.9</v>
      </c>
      <c r="J154" s="3">
        <f t="shared" si="17"/>
        <v>1.5833333333333333</v>
      </c>
      <c r="K154" s="3"/>
      <c r="L154" s="4">
        <f>+IF(C154="","",L152-(H154+I154+J154))</f>
        <v>154.41874999999982</v>
      </c>
      <c r="M154" s="40">
        <v>0</v>
      </c>
      <c r="N154" s="40">
        <v>0</v>
      </c>
      <c r="O154" s="40">
        <v>0.2</v>
      </c>
      <c r="P154" s="40">
        <v>0</v>
      </c>
      <c r="Q154" s="40">
        <v>0</v>
      </c>
      <c r="R154" s="40"/>
      <c r="S154" s="2">
        <f>IF(C154="","",(S152+R154)-(M154+N154+O154+P154+Q154))</f>
        <v>94.300000000000026</v>
      </c>
      <c r="T154" s="2">
        <v>0</v>
      </c>
      <c r="U154" s="2">
        <v>0</v>
      </c>
      <c r="V154" s="2">
        <v>4</v>
      </c>
      <c r="W154" s="2">
        <v>0</v>
      </c>
      <c r="X154" s="2">
        <f>IF(V154="","",((X152+T154+U154)-(V154+W154)))</f>
        <v>98</v>
      </c>
      <c r="Z154" s="1"/>
      <c r="AA154" s="1"/>
      <c r="AB154" s="2"/>
      <c r="AD154" s="121"/>
      <c r="AE154" s="121"/>
    </row>
    <row r="155" spans="1:31" x14ac:dyDescent="0.25">
      <c r="A155" s="2" t="s">
        <v>183</v>
      </c>
      <c r="B155" s="7">
        <v>0.33333333333333331</v>
      </c>
      <c r="C155" s="2">
        <v>5</v>
      </c>
      <c r="D155" s="10" t="s">
        <v>176</v>
      </c>
      <c r="E155" s="40">
        <v>0</v>
      </c>
      <c r="F155" s="40">
        <v>2.4</v>
      </c>
      <c r="G155" s="40">
        <v>2</v>
      </c>
      <c r="H155" s="3">
        <f t="shared" si="15"/>
        <v>0</v>
      </c>
      <c r="I155" s="3">
        <f t="shared" si="16"/>
        <v>0.49999999999999994</v>
      </c>
      <c r="J155" s="3">
        <f t="shared" si="17"/>
        <v>0.41666666666666663</v>
      </c>
      <c r="K155" s="3"/>
      <c r="L155" s="4">
        <f t="shared" si="18"/>
        <v>153.50208333333316</v>
      </c>
      <c r="M155" s="40">
        <v>0</v>
      </c>
      <c r="N155" s="40">
        <v>0</v>
      </c>
      <c r="O155" s="40">
        <v>0.1</v>
      </c>
      <c r="P155" s="40">
        <v>0</v>
      </c>
      <c r="Q155" s="40">
        <v>0</v>
      </c>
      <c r="R155" s="40"/>
      <c r="S155" s="2">
        <f t="shared" si="19"/>
        <v>94.200000000000031</v>
      </c>
      <c r="T155" s="2">
        <v>0</v>
      </c>
      <c r="U155" s="2">
        <v>0</v>
      </c>
      <c r="V155" s="2">
        <v>1</v>
      </c>
      <c r="W155" s="2">
        <v>0</v>
      </c>
      <c r="X155" s="2">
        <f t="shared" si="20"/>
        <v>97</v>
      </c>
      <c r="Z155" s="1">
        <v>68</v>
      </c>
      <c r="AA155" s="1">
        <v>66</v>
      </c>
      <c r="AB155" s="2">
        <f>SUM(Z155:AA155)</f>
        <v>134</v>
      </c>
      <c r="AD155" s="121"/>
      <c r="AE155" s="121"/>
    </row>
    <row r="156" spans="1:31" x14ac:dyDescent="0.25">
      <c r="A156" s="2" t="s">
        <v>181</v>
      </c>
      <c r="B156" s="7">
        <v>0.41666666666666669</v>
      </c>
      <c r="C156" s="2">
        <v>2</v>
      </c>
      <c r="D156" s="10" t="s">
        <v>182</v>
      </c>
      <c r="E156" s="40">
        <v>0</v>
      </c>
      <c r="F156" s="40">
        <v>2.4</v>
      </c>
      <c r="G156" s="40">
        <v>2</v>
      </c>
      <c r="H156" s="3">
        <f t="shared" si="15"/>
        <v>0</v>
      </c>
      <c r="I156" s="3">
        <f t="shared" si="16"/>
        <v>0.19999999999999998</v>
      </c>
      <c r="J156" s="3">
        <f t="shared" si="17"/>
        <v>0.16666666666666666</v>
      </c>
      <c r="K156" s="3"/>
      <c r="L156" s="4">
        <f t="shared" si="18"/>
        <v>153.13541666666649</v>
      </c>
      <c r="M156" s="40">
        <v>0</v>
      </c>
      <c r="N156" s="40">
        <v>0</v>
      </c>
      <c r="O156" s="40">
        <v>0.1</v>
      </c>
      <c r="P156" s="40">
        <v>0</v>
      </c>
      <c r="Q156" s="40">
        <v>0</v>
      </c>
      <c r="R156" s="40">
        <v>40</v>
      </c>
      <c r="S156" s="2">
        <f t="shared" si="19"/>
        <v>134.10000000000005</v>
      </c>
      <c r="T156" s="2">
        <v>0</v>
      </c>
      <c r="U156" s="2">
        <v>0</v>
      </c>
      <c r="V156" s="2">
        <v>1</v>
      </c>
      <c r="W156" s="2"/>
      <c r="X156" s="2">
        <f t="shared" si="20"/>
        <v>96</v>
      </c>
      <c r="Z156" s="1"/>
      <c r="AA156" s="1"/>
      <c r="AB156" s="2"/>
      <c r="AD156" s="121"/>
      <c r="AE156" s="121"/>
    </row>
    <row r="157" spans="1:31" x14ac:dyDescent="0.25">
      <c r="A157" s="2" t="s">
        <v>184</v>
      </c>
      <c r="B157" s="7">
        <v>0.16666666666666666</v>
      </c>
      <c r="C157" s="2">
        <v>18</v>
      </c>
      <c r="D157" s="10" t="s">
        <v>185</v>
      </c>
      <c r="E157" s="40">
        <v>22</v>
      </c>
      <c r="F157" s="40">
        <v>2.4</v>
      </c>
      <c r="G157" s="40">
        <v>0</v>
      </c>
      <c r="H157" s="3">
        <f t="shared" si="15"/>
        <v>16.5</v>
      </c>
      <c r="I157" s="3">
        <f t="shared" si="16"/>
        <v>1.7999999999999998</v>
      </c>
      <c r="J157" s="3">
        <f t="shared" si="17"/>
        <v>0</v>
      </c>
      <c r="K157" s="3"/>
      <c r="L157" s="4">
        <f t="shared" si="18"/>
        <v>134.83541666666648</v>
      </c>
      <c r="M157" s="40">
        <v>0</v>
      </c>
      <c r="N157" s="40">
        <v>0</v>
      </c>
      <c r="O157" s="40">
        <v>0</v>
      </c>
      <c r="P157" s="40">
        <v>0</v>
      </c>
      <c r="Q157" s="40">
        <v>0</v>
      </c>
      <c r="R157" s="40"/>
      <c r="S157" s="2">
        <f t="shared" si="19"/>
        <v>134.10000000000005</v>
      </c>
      <c r="T157" s="2">
        <v>0</v>
      </c>
      <c r="U157" s="2">
        <v>0</v>
      </c>
      <c r="V157" s="2">
        <v>3</v>
      </c>
      <c r="W157" s="2">
        <v>0</v>
      </c>
      <c r="X157" s="2">
        <f t="shared" si="20"/>
        <v>93</v>
      </c>
      <c r="Z157" s="1"/>
      <c r="AA157" s="1"/>
      <c r="AB157" s="2"/>
      <c r="AD157" s="121">
        <v>12.7</v>
      </c>
      <c r="AE157" s="121" t="s">
        <v>1305</v>
      </c>
    </row>
    <row r="158" spans="1:31" x14ac:dyDescent="0.25">
      <c r="A158" s="2" t="s">
        <v>186</v>
      </c>
      <c r="B158" s="7">
        <v>0.33333333333333331</v>
      </c>
      <c r="C158" s="2">
        <v>4</v>
      </c>
      <c r="D158" s="10" t="s">
        <v>187</v>
      </c>
      <c r="E158" s="40">
        <v>8</v>
      </c>
      <c r="F158" s="40">
        <v>2.4</v>
      </c>
      <c r="G158" s="40">
        <v>2</v>
      </c>
      <c r="H158" s="3">
        <f t="shared" si="15"/>
        <v>1.3333333333333333</v>
      </c>
      <c r="I158" s="3">
        <f t="shared" si="16"/>
        <v>0.39999999999999997</v>
      </c>
      <c r="J158" s="3">
        <f t="shared" si="17"/>
        <v>0.33333333333333331</v>
      </c>
      <c r="K158" s="3"/>
      <c r="L158" s="4">
        <f t="shared" si="18"/>
        <v>132.76874999999981</v>
      </c>
      <c r="M158" s="40">
        <v>0</v>
      </c>
      <c r="N158" s="40">
        <v>0</v>
      </c>
      <c r="O158" s="40">
        <v>0</v>
      </c>
      <c r="P158" s="40">
        <v>0</v>
      </c>
      <c r="Q158" s="40">
        <v>0</v>
      </c>
      <c r="R158" s="40"/>
      <c r="S158" s="2">
        <f t="shared" si="19"/>
        <v>134.10000000000005</v>
      </c>
      <c r="T158" s="2">
        <v>0</v>
      </c>
      <c r="U158" s="2">
        <v>0</v>
      </c>
      <c r="V158" s="2">
        <v>1</v>
      </c>
      <c r="W158" s="2">
        <v>0</v>
      </c>
      <c r="X158" s="2">
        <f t="shared" si="20"/>
        <v>92</v>
      </c>
      <c r="Z158" s="1">
        <v>67</v>
      </c>
      <c r="AA158" s="1">
        <v>62</v>
      </c>
      <c r="AB158" s="2">
        <f>SUM(Z158:AA158)</f>
        <v>129</v>
      </c>
      <c r="AD158" s="121"/>
      <c r="AE158" s="121"/>
    </row>
    <row r="159" spans="1:31" x14ac:dyDescent="0.25">
      <c r="A159" s="2" t="s">
        <v>189</v>
      </c>
      <c r="B159" s="7">
        <v>0.33333333333333331</v>
      </c>
      <c r="C159" s="2">
        <v>24</v>
      </c>
      <c r="D159" s="10" t="s">
        <v>188</v>
      </c>
      <c r="E159" s="40">
        <v>0</v>
      </c>
      <c r="F159" s="40">
        <v>2.4</v>
      </c>
      <c r="G159" s="40">
        <v>2</v>
      </c>
      <c r="H159" s="3">
        <f t="shared" si="15"/>
        <v>0</v>
      </c>
      <c r="I159" s="3">
        <f t="shared" si="16"/>
        <v>2.4</v>
      </c>
      <c r="J159" s="3">
        <f t="shared" si="17"/>
        <v>2</v>
      </c>
      <c r="K159" s="3"/>
      <c r="L159" s="4">
        <f t="shared" si="18"/>
        <v>128.36874999999981</v>
      </c>
      <c r="M159" s="40">
        <v>0</v>
      </c>
      <c r="N159" s="40">
        <v>0</v>
      </c>
      <c r="O159" s="40">
        <v>0.2</v>
      </c>
      <c r="P159" s="40">
        <v>0</v>
      </c>
      <c r="Q159" s="40">
        <v>5</v>
      </c>
      <c r="R159" s="40"/>
      <c r="S159" s="2">
        <f t="shared" si="19"/>
        <v>128.90000000000006</v>
      </c>
      <c r="T159" s="2">
        <v>0</v>
      </c>
      <c r="U159" s="2">
        <v>0</v>
      </c>
      <c r="V159" s="2">
        <v>5</v>
      </c>
      <c r="W159" s="2">
        <v>0</v>
      </c>
      <c r="X159" s="2">
        <f t="shared" si="20"/>
        <v>87</v>
      </c>
      <c r="Z159" s="1"/>
      <c r="AA159" s="1"/>
      <c r="AB159" s="2"/>
      <c r="AD159" s="121"/>
      <c r="AE159" s="121"/>
    </row>
    <row r="160" spans="1:31" x14ac:dyDescent="0.25">
      <c r="A160" s="2" t="s">
        <v>189</v>
      </c>
      <c r="B160" s="7">
        <v>0.41666666666666669</v>
      </c>
      <c r="C160" s="2">
        <v>2</v>
      </c>
      <c r="D160" s="10" t="s">
        <v>182</v>
      </c>
      <c r="E160" s="40">
        <v>0</v>
      </c>
      <c r="F160" s="40">
        <v>2.4</v>
      </c>
      <c r="G160" s="40">
        <v>2</v>
      </c>
      <c r="H160" s="3">
        <f t="shared" si="15"/>
        <v>0</v>
      </c>
      <c r="I160" s="3">
        <f t="shared" si="16"/>
        <v>0.19999999999999998</v>
      </c>
      <c r="J160" s="3">
        <f t="shared" si="17"/>
        <v>0.16666666666666666</v>
      </c>
      <c r="K160" s="3"/>
      <c r="L160" s="4">
        <f t="shared" si="18"/>
        <v>128.00208333333313</v>
      </c>
      <c r="M160" s="40">
        <v>0</v>
      </c>
      <c r="N160" s="40">
        <v>0</v>
      </c>
      <c r="O160" s="40">
        <v>0</v>
      </c>
      <c r="P160" s="40">
        <v>0</v>
      </c>
      <c r="Q160" s="40">
        <v>0</v>
      </c>
      <c r="R160" s="40"/>
      <c r="S160" s="2">
        <f t="shared" si="19"/>
        <v>128.90000000000006</v>
      </c>
      <c r="T160" s="2">
        <v>0</v>
      </c>
      <c r="U160" s="2">
        <v>0</v>
      </c>
      <c r="V160" s="2">
        <v>1</v>
      </c>
      <c r="W160" s="2">
        <v>0</v>
      </c>
      <c r="X160" s="2">
        <f t="shared" si="20"/>
        <v>86</v>
      </c>
      <c r="Z160" s="1"/>
      <c r="AA160" s="1"/>
      <c r="AB160" s="2"/>
      <c r="AD160" s="121"/>
      <c r="AE160" s="121"/>
    </row>
    <row r="161" spans="1:31" x14ac:dyDescent="0.25">
      <c r="A161" s="2" t="s">
        <v>189</v>
      </c>
      <c r="B161" s="7">
        <v>0.5</v>
      </c>
      <c r="C161" s="2">
        <v>2</v>
      </c>
      <c r="D161" s="10" t="s">
        <v>190</v>
      </c>
      <c r="E161" s="40">
        <v>0</v>
      </c>
      <c r="F161" s="40">
        <v>2.8</v>
      </c>
      <c r="G161" s="40">
        <v>2</v>
      </c>
      <c r="H161" s="3">
        <f t="shared" si="15"/>
        <v>0</v>
      </c>
      <c r="I161" s="3">
        <f t="shared" si="16"/>
        <v>0.23333333333333331</v>
      </c>
      <c r="J161" s="3">
        <f t="shared" si="17"/>
        <v>0.16666666666666666</v>
      </c>
      <c r="K161" s="3"/>
      <c r="L161" s="4">
        <f t="shared" si="18"/>
        <v>127.60208333333313</v>
      </c>
      <c r="M161" s="40">
        <v>0</v>
      </c>
      <c r="N161" s="40">
        <v>0</v>
      </c>
      <c r="O161" s="40">
        <v>0.1</v>
      </c>
      <c r="P161" s="40">
        <v>0</v>
      </c>
      <c r="Q161" s="40">
        <v>0</v>
      </c>
      <c r="R161" s="40"/>
      <c r="S161" s="2">
        <f t="shared" si="19"/>
        <v>128.80000000000007</v>
      </c>
      <c r="T161" s="2">
        <v>0</v>
      </c>
      <c r="U161" s="2">
        <v>0</v>
      </c>
      <c r="V161" s="2">
        <v>1</v>
      </c>
      <c r="W161" s="2">
        <v>0</v>
      </c>
      <c r="X161" s="2">
        <f t="shared" si="20"/>
        <v>85</v>
      </c>
      <c r="Z161" s="1"/>
      <c r="AA161" s="1"/>
      <c r="AB161" s="2"/>
      <c r="AD161" s="121"/>
      <c r="AE161" s="121"/>
    </row>
    <row r="162" spans="1:31" x14ac:dyDescent="0.25">
      <c r="A162" s="2" t="s">
        <v>189</v>
      </c>
      <c r="B162" s="7">
        <v>0.54166666666666663</v>
      </c>
      <c r="C162" s="2">
        <v>1</v>
      </c>
      <c r="D162" s="10" t="s">
        <v>105</v>
      </c>
      <c r="E162" s="40">
        <v>11</v>
      </c>
      <c r="F162" s="40">
        <v>2.8</v>
      </c>
      <c r="G162" s="40">
        <v>2</v>
      </c>
      <c r="H162" s="3">
        <f t="shared" si="15"/>
        <v>0.45833333333333331</v>
      </c>
      <c r="I162" s="3">
        <f t="shared" si="16"/>
        <v>0.11666666666666665</v>
      </c>
      <c r="J162" s="3">
        <f t="shared" si="17"/>
        <v>8.3333333333333329E-2</v>
      </c>
      <c r="K162" s="3"/>
      <c r="L162" s="4">
        <f t="shared" si="18"/>
        <v>126.9437499999998</v>
      </c>
      <c r="M162" s="40">
        <v>0</v>
      </c>
      <c r="N162" s="40">
        <v>0</v>
      </c>
      <c r="O162" s="40">
        <v>0</v>
      </c>
      <c r="P162" s="40">
        <v>0</v>
      </c>
      <c r="Q162" s="40">
        <v>0</v>
      </c>
      <c r="R162" s="40"/>
      <c r="S162" s="2">
        <f t="shared" si="19"/>
        <v>128.80000000000007</v>
      </c>
      <c r="T162" s="2">
        <v>0</v>
      </c>
      <c r="U162" s="2">
        <v>0</v>
      </c>
      <c r="V162" s="2">
        <v>0</v>
      </c>
      <c r="W162" s="2">
        <v>0</v>
      </c>
      <c r="X162" s="2">
        <f t="shared" si="20"/>
        <v>85</v>
      </c>
      <c r="Z162" s="1"/>
      <c r="AA162" s="1"/>
      <c r="AB162" s="2"/>
      <c r="AD162" s="121"/>
      <c r="AE162" s="121"/>
    </row>
    <row r="163" spans="1:31" x14ac:dyDescent="0.25">
      <c r="A163" s="2" t="s">
        <v>191</v>
      </c>
      <c r="B163" s="7">
        <v>0.33333333333333331</v>
      </c>
      <c r="C163" s="2">
        <v>19</v>
      </c>
      <c r="D163" s="10" t="s">
        <v>192</v>
      </c>
      <c r="E163" s="40">
        <v>22</v>
      </c>
      <c r="F163" s="40">
        <v>2.4</v>
      </c>
      <c r="G163" s="40">
        <v>0</v>
      </c>
      <c r="H163" s="3">
        <f t="shared" si="15"/>
        <v>17.416666666666664</v>
      </c>
      <c r="I163" s="3">
        <f t="shared" si="16"/>
        <v>1.9</v>
      </c>
      <c r="J163" s="3">
        <f t="shared" si="17"/>
        <v>0</v>
      </c>
      <c r="K163" s="3"/>
      <c r="L163" s="4">
        <v>107.7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0"/>
      <c r="S163" s="2">
        <f t="shared" si="19"/>
        <v>128.80000000000007</v>
      </c>
      <c r="T163" s="2">
        <v>9</v>
      </c>
      <c r="U163" s="2">
        <v>0</v>
      </c>
      <c r="V163" s="2">
        <v>4</v>
      </c>
      <c r="W163" s="2">
        <v>0</v>
      </c>
      <c r="X163" s="2">
        <f t="shared" si="20"/>
        <v>90</v>
      </c>
      <c r="Z163" s="1">
        <v>62</v>
      </c>
      <c r="AA163" s="1">
        <v>59</v>
      </c>
      <c r="AB163" s="2">
        <f>SUM(Z163:AA163)</f>
        <v>121</v>
      </c>
      <c r="AD163" s="121"/>
      <c r="AE163" s="121"/>
    </row>
    <row r="164" spans="1:31" x14ac:dyDescent="0.25">
      <c r="A164" s="2" t="s">
        <v>193</v>
      </c>
      <c r="B164" s="7">
        <v>0.66666666666666663</v>
      </c>
      <c r="C164" s="2">
        <v>8</v>
      </c>
      <c r="D164" s="10" t="s">
        <v>10</v>
      </c>
      <c r="E164" s="40">
        <v>22</v>
      </c>
      <c r="F164" s="40">
        <v>2.4</v>
      </c>
      <c r="G164" s="40">
        <v>2.2000000000000002</v>
      </c>
      <c r="H164" s="3">
        <f t="shared" si="15"/>
        <v>7.333333333333333</v>
      </c>
      <c r="I164" s="3">
        <f t="shared" si="16"/>
        <v>0.79999999999999993</v>
      </c>
      <c r="J164" s="3">
        <f t="shared" si="17"/>
        <v>0.73333333333333339</v>
      </c>
      <c r="K164" s="3"/>
      <c r="L164" s="4">
        <f t="shared" si="18"/>
        <v>98.833333333333343</v>
      </c>
      <c r="M164" s="40">
        <v>0</v>
      </c>
      <c r="N164" s="40">
        <v>0</v>
      </c>
      <c r="O164" s="40">
        <v>0</v>
      </c>
      <c r="P164" s="40">
        <v>0</v>
      </c>
      <c r="Q164" s="40">
        <v>0</v>
      </c>
      <c r="R164" s="40"/>
      <c r="S164" s="2">
        <f t="shared" si="19"/>
        <v>128.80000000000007</v>
      </c>
      <c r="T164" s="2">
        <v>5</v>
      </c>
      <c r="U164" s="2">
        <v>0</v>
      </c>
      <c r="V164" s="2">
        <v>2</v>
      </c>
      <c r="W164" s="2">
        <v>0</v>
      </c>
      <c r="X164" s="2">
        <f t="shared" si="20"/>
        <v>93</v>
      </c>
      <c r="Z164" s="1"/>
      <c r="AA164" s="1"/>
      <c r="AB164" s="2"/>
      <c r="AD164" s="121">
        <v>12.5</v>
      </c>
      <c r="AE164" s="121" t="s">
        <v>1295</v>
      </c>
    </row>
    <row r="165" spans="1:31" x14ac:dyDescent="0.25">
      <c r="A165" s="2" t="s">
        <v>191</v>
      </c>
      <c r="B165" s="7">
        <v>0.8125</v>
      </c>
      <c r="C165" s="2">
        <v>3.5</v>
      </c>
      <c r="D165" s="10" t="s">
        <v>190</v>
      </c>
      <c r="E165" s="40">
        <v>0</v>
      </c>
      <c r="F165" s="40">
        <v>2.4</v>
      </c>
      <c r="G165" s="40">
        <v>2.2000000000000002</v>
      </c>
      <c r="H165" s="3">
        <f t="shared" si="15"/>
        <v>0</v>
      </c>
      <c r="I165" s="3">
        <f t="shared" si="16"/>
        <v>0.35</v>
      </c>
      <c r="J165" s="3">
        <f t="shared" si="17"/>
        <v>0.32083333333333336</v>
      </c>
      <c r="K165" s="3"/>
      <c r="L165" s="4">
        <f t="shared" si="18"/>
        <v>98.162500000000009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/>
      <c r="S165" s="2">
        <f t="shared" si="19"/>
        <v>128.80000000000007</v>
      </c>
      <c r="T165" s="2">
        <v>0</v>
      </c>
      <c r="U165" s="2">
        <v>0</v>
      </c>
      <c r="V165" s="2">
        <v>1</v>
      </c>
      <c r="W165" s="2">
        <v>0</v>
      </c>
      <c r="X165" s="2">
        <f t="shared" si="20"/>
        <v>92</v>
      </c>
      <c r="Z165" s="1"/>
      <c r="AA165" s="1"/>
      <c r="AB165" s="2"/>
      <c r="AD165" s="121"/>
      <c r="AE165" s="121"/>
    </row>
    <row r="166" spans="1:31" x14ac:dyDescent="0.25">
      <c r="A166" s="2" t="s">
        <v>191</v>
      </c>
      <c r="B166" s="7">
        <v>0.875</v>
      </c>
      <c r="C166" s="2">
        <v>1.5</v>
      </c>
      <c r="D166" s="10" t="s">
        <v>194</v>
      </c>
      <c r="E166" s="40">
        <v>10</v>
      </c>
      <c r="F166" s="40">
        <v>2.6</v>
      </c>
      <c r="G166" s="40">
        <v>2.2000000000000002</v>
      </c>
      <c r="H166" s="3">
        <f t="shared" si="15"/>
        <v>0.625</v>
      </c>
      <c r="I166" s="3">
        <f t="shared" si="16"/>
        <v>0.16250000000000001</v>
      </c>
      <c r="J166" s="3">
        <f t="shared" si="17"/>
        <v>0.13750000000000001</v>
      </c>
      <c r="K166" s="3"/>
      <c r="L166" s="4">
        <f t="shared" si="18"/>
        <v>97.237500000000011</v>
      </c>
      <c r="M166" s="40">
        <v>0</v>
      </c>
      <c r="N166" s="40">
        <v>0</v>
      </c>
      <c r="O166" s="40">
        <v>0</v>
      </c>
      <c r="P166" s="40">
        <v>0</v>
      </c>
      <c r="Q166" s="40">
        <v>0</v>
      </c>
      <c r="R166" s="40"/>
      <c r="S166" s="2">
        <f t="shared" si="19"/>
        <v>128.80000000000007</v>
      </c>
      <c r="T166" s="2">
        <v>0</v>
      </c>
      <c r="U166" s="2">
        <v>0</v>
      </c>
      <c r="V166" s="2">
        <v>0</v>
      </c>
      <c r="W166" s="2">
        <v>0</v>
      </c>
      <c r="X166" s="2">
        <f t="shared" si="20"/>
        <v>92</v>
      </c>
      <c r="Z166" s="1"/>
      <c r="AA166" s="1"/>
      <c r="AB166" s="2"/>
      <c r="AD166" s="121"/>
      <c r="AE166" s="121"/>
    </row>
    <row r="167" spans="1:31" x14ac:dyDescent="0.25">
      <c r="A167" s="2" t="s">
        <v>195</v>
      </c>
      <c r="B167" s="7">
        <v>0.22916666666666666</v>
      </c>
      <c r="C167" s="2">
        <v>8.5</v>
      </c>
      <c r="D167" s="10" t="s">
        <v>197</v>
      </c>
      <c r="E167" s="40">
        <v>0</v>
      </c>
      <c r="F167" s="40">
        <v>2.6</v>
      </c>
      <c r="G167" s="40">
        <v>2</v>
      </c>
      <c r="H167" s="3">
        <f t="shared" si="15"/>
        <v>0</v>
      </c>
      <c r="I167" s="3">
        <f t="shared" si="16"/>
        <v>0.92083333333333339</v>
      </c>
      <c r="J167" s="3">
        <f t="shared" si="17"/>
        <v>0.70833333333333326</v>
      </c>
      <c r="K167" s="3"/>
      <c r="L167" s="4">
        <f t="shared" si="18"/>
        <v>95.608333333333348</v>
      </c>
      <c r="M167" s="40">
        <v>0</v>
      </c>
      <c r="N167" s="40">
        <v>0</v>
      </c>
      <c r="O167" s="40">
        <v>0.2</v>
      </c>
      <c r="P167" s="40">
        <v>0</v>
      </c>
      <c r="Q167" s="40">
        <v>2</v>
      </c>
      <c r="R167" s="40"/>
      <c r="S167" s="2">
        <f t="shared" si="19"/>
        <v>126.60000000000007</v>
      </c>
      <c r="T167" s="2">
        <v>0</v>
      </c>
      <c r="U167" s="2">
        <v>0</v>
      </c>
      <c r="V167" s="2">
        <v>2</v>
      </c>
      <c r="W167" s="2">
        <v>0</v>
      </c>
      <c r="X167" s="2">
        <f t="shared" si="20"/>
        <v>90</v>
      </c>
      <c r="Z167" s="1"/>
      <c r="AA167" s="1"/>
      <c r="AB167" s="2"/>
      <c r="AD167" s="121"/>
      <c r="AE167" s="121"/>
    </row>
    <row r="168" spans="1:31" x14ac:dyDescent="0.25">
      <c r="A168" s="2" t="s">
        <v>195</v>
      </c>
      <c r="B168" s="7">
        <v>0.33333333333333331</v>
      </c>
      <c r="C168" s="2">
        <v>2.5</v>
      </c>
      <c r="D168" s="10" t="s">
        <v>196</v>
      </c>
      <c r="E168" s="40">
        <v>0</v>
      </c>
      <c r="F168" s="40">
        <v>2.6</v>
      </c>
      <c r="G168" s="40">
        <v>2</v>
      </c>
      <c r="H168" s="3">
        <f t="shared" si="15"/>
        <v>0</v>
      </c>
      <c r="I168" s="3">
        <f t="shared" si="16"/>
        <v>0.27083333333333337</v>
      </c>
      <c r="J168" s="3">
        <f t="shared" si="17"/>
        <v>0.20833333333333331</v>
      </c>
      <c r="K168" s="3"/>
      <c r="L168" s="4">
        <f t="shared" si="18"/>
        <v>95.129166666666677</v>
      </c>
      <c r="M168" s="40">
        <v>0</v>
      </c>
      <c r="N168" s="40">
        <v>0</v>
      </c>
      <c r="O168" s="40">
        <v>0</v>
      </c>
      <c r="P168" s="40">
        <v>0</v>
      </c>
      <c r="Q168" s="40">
        <v>0</v>
      </c>
      <c r="R168" s="40"/>
      <c r="S168" s="2">
        <f t="shared" si="19"/>
        <v>126.60000000000007</v>
      </c>
      <c r="T168" s="2">
        <v>0</v>
      </c>
      <c r="U168" s="2">
        <v>0</v>
      </c>
      <c r="V168" s="2">
        <v>0</v>
      </c>
      <c r="W168" s="2">
        <v>0</v>
      </c>
      <c r="X168" s="2">
        <f t="shared" si="20"/>
        <v>90</v>
      </c>
      <c r="Z168" s="1">
        <v>52</v>
      </c>
      <c r="AA168" s="1">
        <v>62</v>
      </c>
      <c r="AB168" s="2">
        <f>SUM(Z168:AA168)</f>
        <v>114</v>
      </c>
      <c r="AD168" s="121"/>
      <c r="AE168" s="121"/>
    </row>
    <row r="169" spans="1:31" x14ac:dyDescent="0.25">
      <c r="A169" s="2" t="s">
        <v>198</v>
      </c>
      <c r="B169" s="7">
        <v>0.4375</v>
      </c>
      <c r="C169" s="2">
        <v>2.5</v>
      </c>
      <c r="D169" s="10" t="s">
        <v>199</v>
      </c>
      <c r="E169" s="40">
        <v>0</v>
      </c>
      <c r="F169" s="40">
        <v>2.6</v>
      </c>
      <c r="G169" s="40">
        <v>2</v>
      </c>
      <c r="H169" s="3">
        <f t="shared" si="15"/>
        <v>0</v>
      </c>
      <c r="I169" s="3">
        <f t="shared" si="16"/>
        <v>0.27083333333333337</v>
      </c>
      <c r="J169" s="3">
        <f t="shared" si="17"/>
        <v>0.20833333333333331</v>
      </c>
      <c r="K169" s="3"/>
      <c r="L169" s="4">
        <f t="shared" si="18"/>
        <v>94.65</v>
      </c>
      <c r="M169" s="40">
        <v>0</v>
      </c>
      <c r="N169" s="40">
        <v>0</v>
      </c>
      <c r="O169" s="40">
        <v>0</v>
      </c>
      <c r="P169" s="40">
        <v>0</v>
      </c>
      <c r="Q169" s="40">
        <v>0</v>
      </c>
      <c r="R169" s="40"/>
      <c r="S169" s="2">
        <f t="shared" si="19"/>
        <v>126.60000000000007</v>
      </c>
      <c r="T169" s="2">
        <v>0</v>
      </c>
      <c r="U169" s="2">
        <v>0</v>
      </c>
      <c r="V169" s="2">
        <v>1</v>
      </c>
      <c r="W169" s="2">
        <v>0</v>
      </c>
      <c r="X169" s="2">
        <f t="shared" si="20"/>
        <v>89</v>
      </c>
      <c r="Z169" s="1"/>
      <c r="AA169" s="1"/>
      <c r="AB169" s="2"/>
      <c r="AD169" s="121"/>
      <c r="AE169" s="121"/>
    </row>
    <row r="170" spans="1:31" x14ac:dyDescent="0.25">
      <c r="A170" s="2" t="s">
        <v>200</v>
      </c>
      <c r="B170" s="7">
        <v>0.3125</v>
      </c>
      <c r="C170" s="2">
        <v>21</v>
      </c>
      <c r="D170" s="10" t="s">
        <v>201</v>
      </c>
      <c r="E170" s="40">
        <v>20</v>
      </c>
      <c r="F170" s="40">
        <v>2.2000000000000002</v>
      </c>
      <c r="G170" s="40">
        <v>2</v>
      </c>
      <c r="H170" s="3">
        <f t="shared" si="15"/>
        <v>17.5</v>
      </c>
      <c r="I170" s="3">
        <f t="shared" si="16"/>
        <v>1.9250000000000003</v>
      </c>
      <c r="J170" s="3">
        <f t="shared" si="17"/>
        <v>1.75</v>
      </c>
      <c r="K170" s="3"/>
      <c r="L170" s="4">
        <f t="shared" si="18"/>
        <v>73.475000000000009</v>
      </c>
      <c r="M170" s="40">
        <v>0</v>
      </c>
      <c r="N170" s="40">
        <v>0</v>
      </c>
      <c r="O170" s="40">
        <v>0.2</v>
      </c>
      <c r="P170" s="40">
        <v>0</v>
      </c>
      <c r="Q170" s="40">
        <v>0</v>
      </c>
      <c r="R170" s="40"/>
      <c r="S170" s="2">
        <f t="shared" si="19"/>
        <v>126.40000000000006</v>
      </c>
      <c r="T170" s="2">
        <v>8</v>
      </c>
      <c r="U170" s="2">
        <v>0</v>
      </c>
      <c r="V170" s="2">
        <v>4</v>
      </c>
      <c r="W170" s="2">
        <v>0</v>
      </c>
      <c r="X170" s="2">
        <f t="shared" si="20"/>
        <v>93</v>
      </c>
      <c r="Z170" s="1"/>
      <c r="AA170" s="1"/>
      <c r="AB170" s="2"/>
      <c r="AD170" s="121">
        <v>12.3</v>
      </c>
      <c r="AE170" s="121" t="s">
        <v>1296</v>
      </c>
    </row>
    <row r="171" spans="1:31" x14ac:dyDescent="0.25">
      <c r="A171" s="2" t="s">
        <v>202</v>
      </c>
      <c r="B171" s="7">
        <v>0.33333333333333331</v>
      </c>
      <c r="C171" s="2">
        <v>0.5</v>
      </c>
      <c r="D171" s="10" t="s">
        <v>97</v>
      </c>
      <c r="E171" s="40">
        <v>0</v>
      </c>
      <c r="F171" s="40">
        <v>2.2000000000000002</v>
      </c>
      <c r="G171" s="40">
        <v>2</v>
      </c>
      <c r="H171" s="3">
        <f t="shared" si="15"/>
        <v>0</v>
      </c>
      <c r="I171" s="3">
        <f t="shared" si="16"/>
        <v>4.5833333333333337E-2</v>
      </c>
      <c r="J171" s="3">
        <f t="shared" si="17"/>
        <v>4.1666666666666664E-2</v>
      </c>
      <c r="K171" s="3"/>
      <c r="L171" s="4">
        <f t="shared" si="18"/>
        <v>73.387500000000003</v>
      </c>
      <c r="M171" s="40">
        <v>0</v>
      </c>
      <c r="N171" s="40">
        <v>0</v>
      </c>
      <c r="O171" s="40">
        <v>0</v>
      </c>
      <c r="P171" s="40">
        <v>0</v>
      </c>
      <c r="Q171" s="40">
        <v>0</v>
      </c>
      <c r="R171" s="40"/>
      <c r="S171" s="2">
        <f t="shared" si="19"/>
        <v>126.40000000000006</v>
      </c>
      <c r="T171" s="2">
        <v>0</v>
      </c>
      <c r="U171" s="2">
        <v>0</v>
      </c>
      <c r="V171" s="2">
        <v>2</v>
      </c>
      <c r="W171" s="2">
        <v>0</v>
      </c>
      <c r="X171" s="2">
        <f t="shared" si="20"/>
        <v>91</v>
      </c>
      <c r="Z171" s="1">
        <v>45</v>
      </c>
      <c r="AA171" s="1">
        <v>38</v>
      </c>
      <c r="AB171" s="2">
        <f>SUM(Z171:AA171)</f>
        <v>83</v>
      </c>
      <c r="AD171" s="121"/>
      <c r="AE171" s="121"/>
    </row>
    <row r="172" spans="1:31" x14ac:dyDescent="0.25">
      <c r="A172" s="2" t="s">
        <v>203</v>
      </c>
      <c r="B172" s="7">
        <v>0.33333333333333331</v>
      </c>
      <c r="C172" s="2">
        <v>24</v>
      </c>
      <c r="D172" s="10" t="s">
        <v>97</v>
      </c>
      <c r="E172" s="40">
        <v>0</v>
      </c>
      <c r="F172" s="40">
        <v>2.2000000000000002</v>
      </c>
      <c r="G172" s="40">
        <v>2</v>
      </c>
      <c r="H172" s="3">
        <f t="shared" si="15"/>
        <v>0</v>
      </c>
      <c r="I172" s="3">
        <f t="shared" si="16"/>
        <v>2.2000000000000002</v>
      </c>
      <c r="J172" s="3">
        <f t="shared" si="17"/>
        <v>2</v>
      </c>
      <c r="K172" s="3"/>
      <c r="L172" s="4">
        <v>69.099999999999994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0"/>
      <c r="S172" s="2">
        <f t="shared" si="19"/>
        <v>126.40000000000006</v>
      </c>
      <c r="T172" s="2">
        <v>0</v>
      </c>
      <c r="U172" s="2">
        <v>200</v>
      </c>
      <c r="V172" s="2">
        <v>6</v>
      </c>
      <c r="W172" s="2">
        <v>0</v>
      </c>
      <c r="X172" s="2">
        <f t="shared" si="20"/>
        <v>285</v>
      </c>
      <c r="Z172" s="1"/>
      <c r="AA172" s="1"/>
      <c r="AB172" s="2"/>
      <c r="AD172" s="121"/>
      <c r="AE172" s="121"/>
    </row>
    <row r="173" spans="1:31" x14ac:dyDescent="0.25">
      <c r="A173" s="2" t="s">
        <v>204</v>
      </c>
      <c r="B173" s="7">
        <v>0.33333333333333331</v>
      </c>
      <c r="C173" s="2">
        <v>24</v>
      </c>
      <c r="D173" s="10" t="s">
        <v>97</v>
      </c>
      <c r="E173" s="40">
        <v>0</v>
      </c>
      <c r="F173" s="40">
        <v>2.2000000000000002</v>
      </c>
      <c r="G173" s="40">
        <v>0</v>
      </c>
      <c r="H173" s="3">
        <f t="shared" si="15"/>
        <v>0</v>
      </c>
      <c r="I173" s="3">
        <f t="shared" si="16"/>
        <v>2.2000000000000002</v>
      </c>
      <c r="J173" s="3">
        <f t="shared" si="17"/>
        <v>0</v>
      </c>
      <c r="K173" s="3"/>
      <c r="L173" s="4">
        <f t="shared" si="18"/>
        <v>66.899999999999991</v>
      </c>
      <c r="M173" s="40">
        <v>0</v>
      </c>
      <c r="N173" s="40">
        <v>0</v>
      </c>
      <c r="O173" s="40">
        <v>0</v>
      </c>
      <c r="P173" s="40">
        <v>0</v>
      </c>
      <c r="Q173" s="40">
        <v>0</v>
      </c>
      <c r="R173" s="40"/>
      <c r="S173" s="2">
        <f t="shared" si="19"/>
        <v>126.40000000000006</v>
      </c>
      <c r="T173" s="2">
        <v>0</v>
      </c>
      <c r="U173" s="2">
        <v>0</v>
      </c>
      <c r="V173" s="2">
        <v>6</v>
      </c>
      <c r="W173" s="2">
        <v>8</v>
      </c>
      <c r="X173" s="2">
        <f t="shared" si="20"/>
        <v>271</v>
      </c>
      <c r="Z173" s="1"/>
      <c r="AA173" s="1"/>
      <c r="AB173" s="2"/>
      <c r="AD173" s="121"/>
      <c r="AE173" s="121"/>
    </row>
    <row r="174" spans="1:31" x14ac:dyDescent="0.25">
      <c r="A174" s="2" t="s">
        <v>205</v>
      </c>
      <c r="B174" s="7">
        <v>0.33333333333333331</v>
      </c>
      <c r="C174" s="2">
        <v>24</v>
      </c>
      <c r="D174" s="10" t="s">
        <v>97</v>
      </c>
      <c r="E174" s="40">
        <v>0</v>
      </c>
      <c r="F174" s="40">
        <v>2.2000000000000002</v>
      </c>
      <c r="G174" s="40">
        <v>2</v>
      </c>
      <c r="H174" s="3">
        <f t="shared" si="15"/>
        <v>0</v>
      </c>
      <c r="I174" s="3">
        <f t="shared" si="16"/>
        <v>2.2000000000000002</v>
      </c>
      <c r="J174" s="3">
        <f t="shared" si="17"/>
        <v>2</v>
      </c>
      <c r="K174" s="3"/>
      <c r="L174" s="4">
        <f t="shared" si="18"/>
        <v>62.699999999999989</v>
      </c>
      <c r="M174" s="40">
        <v>0</v>
      </c>
      <c r="N174" s="40">
        <v>0</v>
      </c>
      <c r="O174" s="40">
        <v>0.5</v>
      </c>
      <c r="P174" s="40">
        <v>0</v>
      </c>
      <c r="Q174" s="40">
        <v>0</v>
      </c>
      <c r="R174" s="40"/>
      <c r="S174" s="2">
        <f t="shared" si="19"/>
        <v>125.90000000000006</v>
      </c>
      <c r="T174" s="2">
        <v>0</v>
      </c>
      <c r="U174" s="2">
        <v>0</v>
      </c>
      <c r="V174" s="2">
        <v>6</v>
      </c>
      <c r="W174" s="2">
        <v>0</v>
      </c>
      <c r="X174" s="2">
        <f t="shared" si="20"/>
        <v>265</v>
      </c>
      <c r="Z174" s="1"/>
      <c r="AA174" s="1"/>
      <c r="AB174" s="2"/>
      <c r="AD174" s="121"/>
      <c r="AE174" s="121"/>
    </row>
    <row r="175" spans="1:31" x14ac:dyDescent="0.25">
      <c r="A175" s="2" t="s">
        <v>206</v>
      </c>
      <c r="B175" s="7">
        <v>0.33333333333333331</v>
      </c>
      <c r="C175" s="2">
        <v>24</v>
      </c>
      <c r="D175" s="10" t="s">
        <v>97</v>
      </c>
      <c r="E175" s="40">
        <v>0</v>
      </c>
      <c r="F175" s="40">
        <v>2.2000000000000002</v>
      </c>
      <c r="G175" s="40">
        <v>2</v>
      </c>
      <c r="H175" s="3">
        <f t="shared" si="15"/>
        <v>0</v>
      </c>
      <c r="I175" s="3">
        <f t="shared" si="16"/>
        <v>2.2000000000000002</v>
      </c>
      <c r="J175" s="3">
        <f t="shared" si="17"/>
        <v>2</v>
      </c>
      <c r="K175" s="3"/>
      <c r="L175" s="4">
        <f t="shared" si="18"/>
        <v>58.499999999999986</v>
      </c>
      <c r="M175" s="40">
        <v>0</v>
      </c>
      <c r="N175" s="40">
        <v>0</v>
      </c>
      <c r="O175" s="40">
        <v>0</v>
      </c>
      <c r="P175" s="40">
        <v>0</v>
      </c>
      <c r="Q175" s="40">
        <v>0</v>
      </c>
      <c r="R175" s="40"/>
      <c r="S175" s="2">
        <f t="shared" si="19"/>
        <v>125.90000000000006</v>
      </c>
      <c r="T175" s="2">
        <v>0</v>
      </c>
      <c r="U175" s="2">
        <v>0</v>
      </c>
      <c r="V175" s="2">
        <v>6</v>
      </c>
      <c r="W175" s="2">
        <v>0</v>
      </c>
      <c r="X175" s="2">
        <f t="shared" si="20"/>
        <v>259</v>
      </c>
      <c r="Z175" s="1"/>
      <c r="AA175" s="1"/>
      <c r="AB175" s="2"/>
      <c r="AD175" s="121"/>
      <c r="AE175" s="121"/>
    </row>
    <row r="176" spans="1:31" x14ac:dyDescent="0.25">
      <c r="A176" s="2" t="s">
        <v>206</v>
      </c>
      <c r="B176" s="7">
        <v>0.875</v>
      </c>
      <c r="C176" s="2">
        <v>13</v>
      </c>
      <c r="D176" s="10" t="s">
        <v>190</v>
      </c>
      <c r="E176" s="40">
        <v>0</v>
      </c>
      <c r="F176" s="40">
        <v>2.2000000000000002</v>
      </c>
      <c r="G176" s="40">
        <v>2</v>
      </c>
      <c r="H176" s="3">
        <f t="shared" si="15"/>
        <v>0</v>
      </c>
      <c r="I176" s="3">
        <f t="shared" si="16"/>
        <v>1.1916666666666669</v>
      </c>
      <c r="J176" s="3">
        <f t="shared" si="17"/>
        <v>1.0833333333333333</v>
      </c>
      <c r="K176" s="3">
        <v>450</v>
      </c>
      <c r="L176" s="4">
        <f>+IF(C176="","",(L175+K176)-(H176+I176+J176))</f>
        <v>506.22500000000002</v>
      </c>
      <c r="M176" s="40">
        <v>0</v>
      </c>
      <c r="N176" s="40">
        <v>0</v>
      </c>
      <c r="O176" s="40">
        <v>0</v>
      </c>
      <c r="P176" s="40">
        <v>0</v>
      </c>
      <c r="Q176" s="40">
        <v>0</v>
      </c>
      <c r="R176" s="40"/>
      <c r="S176" s="2">
        <f t="shared" si="19"/>
        <v>125.90000000000006</v>
      </c>
      <c r="T176" s="2">
        <v>0</v>
      </c>
      <c r="U176" s="2">
        <v>0</v>
      </c>
      <c r="V176" s="2">
        <v>4</v>
      </c>
      <c r="W176" s="2">
        <v>0</v>
      </c>
      <c r="X176" s="2">
        <f t="shared" si="20"/>
        <v>255</v>
      </c>
      <c r="Z176" s="1"/>
      <c r="AA176" s="1"/>
      <c r="AB176" s="2"/>
      <c r="AD176" s="121"/>
      <c r="AE176" s="121"/>
    </row>
    <row r="177" spans="1:31" x14ac:dyDescent="0.25">
      <c r="A177" s="2" t="s">
        <v>207</v>
      </c>
      <c r="B177" s="7">
        <v>0.91666666666666663</v>
      </c>
      <c r="C177" s="2">
        <v>1</v>
      </c>
      <c r="D177" s="10" t="s">
        <v>105</v>
      </c>
      <c r="E177" s="40">
        <v>10</v>
      </c>
      <c r="F177" s="40">
        <v>2.2000000000000002</v>
      </c>
      <c r="G177" s="40">
        <v>2</v>
      </c>
      <c r="H177" s="3">
        <f t="shared" si="15"/>
        <v>0.41666666666666669</v>
      </c>
      <c r="I177" s="3">
        <f t="shared" si="16"/>
        <v>9.1666666666666674E-2</v>
      </c>
      <c r="J177" s="3">
        <f t="shared" si="17"/>
        <v>8.3333333333333329E-2</v>
      </c>
      <c r="K177" s="3"/>
      <c r="L177" s="4">
        <f t="shared" si="18"/>
        <v>505.63333333333338</v>
      </c>
      <c r="M177" s="40">
        <v>0</v>
      </c>
      <c r="N177" s="40">
        <v>0</v>
      </c>
      <c r="O177" s="40">
        <v>0</v>
      </c>
      <c r="P177" s="40">
        <v>0</v>
      </c>
      <c r="Q177" s="40">
        <v>0</v>
      </c>
      <c r="R177" s="40"/>
      <c r="S177" s="2">
        <f t="shared" si="19"/>
        <v>125.90000000000006</v>
      </c>
      <c r="T177" s="2">
        <v>0</v>
      </c>
      <c r="U177" s="2">
        <v>0</v>
      </c>
      <c r="V177" s="2">
        <v>0</v>
      </c>
      <c r="W177" s="2">
        <v>0</v>
      </c>
      <c r="X177" s="2">
        <f t="shared" si="20"/>
        <v>255</v>
      </c>
      <c r="Z177" s="1">
        <v>133</v>
      </c>
      <c r="AA177" s="1">
        <v>98</v>
      </c>
      <c r="AB177" s="2">
        <f>SUM(Z177:AA177)</f>
        <v>231</v>
      </c>
      <c r="AD177" s="121"/>
      <c r="AE177" s="121"/>
    </row>
    <row r="178" spans="1:31" x14ac:dyDescent="0.25">
      <c r="A178" s="2" t="s">
        <v>208</v>
      </c>
      <c r="B178" s="7">
        <v>0.33333333333333331</v>
      </c>
      <c r="C178" s="2">
        <v>10</v>
      </c>
      <c r="D178" s="10" t="s">
        <v>209</v>
      </c>
      <c r="E178" s="40">
        <v>20</v>
      </c>
      <c r="F178" s="40">
        <v>2.2000000000000002</v>
      </c>
      <c r="G178" s="40">
        <v>0</v>
      </c>
      <c r="H178" s="3">
        <f t="shared" si="15"/>
        <v>8.3333333333333339</v>
      </c>
      <c r="I178" s="3">
        <f t="shared" si="16"/>
        <v>0.91666666666666674</v>
      </c>
      <c r="J178" s="3">
        <f t="shared" si="17"/>
        <v>0</v>
      </c>
      <c r="K178" s="3"/>
      <c r="L178" s="4">
        <f t="shared" si="18"/>
        <v>496.38333333333338</v>
      </c>
      <c r="M178" s="40">
        <v>0</v>
      </c>
      <c r="N178" s="40">
        <v>0</v>
      </c>
      <c r="O178" s="40">
        <v>0</v>
      </c>
      <c r="P178" s="40">
        <v>0</v>
      </c>
      <c r="Q178" s="40">
        <v>0</v>
      </c>
      <c r="R178" s="40"/>
      <c r="S178" s="2">
        <f t="shared" si="19"/>
        <v>125.90000000000006</v>
      </c>
      <c r="T178" s="2">
        <v>0</v>
      </c>
      <c r="U178" s="2">
        <v>0</v>
      </c>
      <c r="V178" s="2">
        <v>4</v>
      </c>
      <c r="W178" s="2">
        <v>3</v>
      </c>
      <c r="X178" s="2">
        <f t="shared" si="20"/>
        <v>248</v>
      </c>
      <c r="Z178" s="1">
        <v>133</v>
      </c>
      <c r="AA178" s="1">
        <v>97</v>
      </c>
      <c r="AB178" s="2">
        <f>SUM(Z178:AA178)</f>
        <v>230</v>
      </c>
      <c r="AD178" s="121"/>
      <c r="AE178" s="121"/>
    </row>
    <row r="179" spans="1:31" x14ac:dyDescent="0.25">
      <c r="A179" s="2" t="s">
        <v>210</v>
      </c>
      <c r="B179" s="7">
        <v>0.33333333333333331</v>
      </c>
      <c r="C179" s="2">
        <v>24</v>
      </c>
      <c r="D179" s="10" t="s">
        <v>209</v>
      </c>
      <c r="E179" s="40">
        <v>20</v>
      </c>
      <c r="F179" s="40">
        <v>2.2000000000000002</v>
      </c>
      <c r="G179" s="40">
        <v>0</v>
      </c>
      <c r="H179" s="3">
        <f t="shared" si="15"/>
        <v>20</v>
      </c>
      <c r="I179" s="3">
        <f t="shared" si="16"/>
        <v>2.2000000000000002</v>
      </c>
      <c r="J179" s="3">
        <f t="shared" si="17"/>
        <v>0</v>
      </c>
      <c r="K179" s="3"/>
      <c r="L179" s="4">
        <f t="shared" si="18"/>
        <v>474.18333333333339</v>
      </c>
      <c r="M179" s="40">
        <v>0</v>
      </c>
      <c r="N179" s="40">
        <v>0</v>
      </c>
      <c r="O179" s="40">
        <v>0</v>
      </c>
      <c r="P179" s="40">
        <v>0</v>
      </c>
      <c r="Q179" s="40">
        <v>0</v>
      </c>
      <c r="R179" s="40"/>
      <c r="S179" s="2">
        <f t="shared" si="19"/>
        <v>125.90000000000006</v>
      </c>
      <c r="T179" s="2">
        <v>0</v>
      </c>
      <c r="U179" s="2">
        <v>0</v>
      </c>
      <c r="V179" s="2">
        <v>8</v>
      </c>
      <c r="W179" s="2">
        <v>0</v>
      </c>
      <c r="X179" s="2">
        <f t="shared" si="20"/>
        <v>240</v>
      </c>
      <c r="Z179" s="1">
        <v>131</v>
      </c>
      <c r="AA179" s="1">
        <v>90</v>
      </c>
      <c r="AB179" s="2">
        <f>SUM(Z179:AA179)</f>
        <v>221</v>
      </c>
      <c r="AD179" s="121"/>
      <c r="AE179" s="121"/>
    </row>
    <row r="180" spans="1:31" x14ac:dyDescent="0.25">
      <c r="A180" s="2" t="s">
        <v>211</v>
      </c>
      <c r="B180" s="7">
        <v>0.33333333333333331</v>
      </c>
      <c r="C180" s="2">
        <v>24</v>
      </c>
      <c r="D180" s="10" t="s">
        <v>209</v>
      </c>
      <c r="E180" s="40">
        <v>20</v>
      </c>
      <c r="F180" s="40">
        <v>2.2000000000000002</v>
      </c>
      <c r="G180" s="40">
        <v>0</v>
      </c>
      <c r="H180" s="3">
        <f t="shared" si="15"/>
        <v>20</v>
      </c>
      <c r="I180" s="3">
        <f t="shared" si="16"/>
        <v>2.2000000000000002</v>
      </c>
      <c r="J180" s="3">
        <f t="shared" si="17"/>
        <v>0</v>
      </c>
      <c r="K180" s="3"/>
      <c r="L180" s="4">
        <f t="shared" si="18"/>
        <v>451.98333333333341</v>
      </c>
      <c r="M180" s="40">
        <v>0</v>
      </c>
      <c r="N180" s="40">
        <v>0</v>
      </c>
      <c r="O180" s="40">
        <v>0</v>
      </c>
      <c r="P180" s="40">
        <v>0</v>
      </c>
      <c r="Q180" s="40">
        <v>0</v>
      </c>
      <c r="R180" s="40"/>
      <c r="S180" s="2">
        <f t="shared" si="19"/>
        <v>125.90000000000006</v>
      </c>
      <c r="T180" s="2">
        <v>0</v>
      </c>
      <c r="U180" s="2">
        <v>0</v>
      </c>
      <c r="V180" s="2">
        <v>8</v>
      </c>
      <c r="W180" s="2">
        <v>0</v>
      </c>
      <c r="X180" s="2">
        <f t="shared" si="20"/>
        <v>232</v>
      </c>
      <c r="Z180" s="1">
        <v>130</v>
      </c>
      <c r="AA180" s="1">
        <v>87</v>
      </c>
      <c r="AB180" s="2">
        <f>IF(Z180="","",Z180+AA180)</f>
        <v>217</v>
      </c>
      <c r="AD180" s="121"/>
      <c r="AE180" s="121"/>
    </row>
    <row r="181" spans="1:31" x14ac:dyDescent="0.25">
      <c r="A181" s="2" t="s">
        <v>212</v>
      </c>
      <c r="B181" s="7">
        <v>0.33333333333333331</v>
      </c>
      <c r="C181" s="2">
        <v>24</v>
      </c>
      <c r="D181" s="10" t="s">
        <v>209</v>
      </c>
      <c r="E181" s="40">
        <v>20</v>
      </c>
      <c r="F181" s="40">
        <v>2.2000000000000002</v>
      </c>
      <c r="G181" s="40">
        <v>0</v>
      </c>
      <c r="H181" s="3">
        <f t="shared" ref="H181:H244" si="21">+IF(E181="","",(E181/24)*C181)</f>
        <v>20</v>
      </c>
      <c r="I181" s="3">
        <f t="shared" ref="I181:I244" si="22">+IF(F181="","",(F181/24)*C181)</f>
        <v>2.2000000000000002</v>
      </c>
      <c r="J181" s="3">
        <f t="shared" ref="J181:J244" si="23">+IF(G181="","",(G181/24)*C181)</f>
        <v>0</v>
      </c>
      <c r="K181" s="3"/>
      <c r="L181" s="4">
        <f t="shared" ref="L181:L244" si="24">+IF(C181="","",L180-(H181+I181+J181))</f>
        <v>429.78333333333342</v>
      </c>
      <c r="M181" s="40">
        <v>0</v>
      </c>
      <c r="N181" s="40">
        <v>0</v>
      </c>
      <c r="O181" s="40">
        <v>0</v>
      </c>
      <c r="P181" s="40">
        <v>0</v>
      </c>
      <c r="Q181" s="40">
        <v>0</v>
      </c>
      <c r="R181" s="40"/>
      <c r="S181" s="2">
        <f t="shared" si="19"/>
        <v>125.90000000000006</v>
      </c>
      <c r="T181" s="2">
        <v>0</v>
      </c>
      <c r="U181" s="2">
        <v>0</v>
      </c>
      <c r="V181" s="2">
        <v>10</v>
      </c>
      <c r="W181" s="2">
        <v>0</v>
      </c>
      <c r="X181" s="2">
        <f t="shared" si="20"/>
        <v>222</v>
      </c>
      <c r="Z181" s="1">
        <v>130</v>
      </c>
      <c r="AA181" s="1">
        <v>71</v>
      </c>
      <c r="AB181" s="2">
        <f t="shared" ref="AB181:AB244" si="25">IF(Z181="","",Z181+AA181)</f>
        <v>201</v>
      </c>
      <c r="AD181" s="121"/>
      <c r="AE181" s="121"/>
    </row>
    <row r="182" spans="1:31" x14ac:dyDescent="0.25">
      <c r="A182" s="2" t="s">
        <v>213</v>
      </c>
      <c r="B182" s="7">
        <v>0.33333333333333331</v>
      </c>
      <c r="C182" s="2">
        <v>24</v>
      </c>
      <c r="D182" s="10" t="s">
        <v>209</v>
      </c>
      <c r="E182" s="40">
        <v>20</v>
      </c>
      <c r="F182" s="40">
        <v>2.2000000000000002</v>
      </c>
      <c r="G182" s="40">
        <v>0</v>
      </c>
      <c r="H182" s="3">
        <f t="shared" si="21"/>
        <v>20</v>
      </c>
      <c r="I182" s="3">
        <f t="shared" si="22"/>
        <v>2.2000000000000002</v>
      </c>
      <c r="J182" s="3">
        <f t="shared" si="23"/>
        <v>0</v>
      </c>
      <c r="K182" s="3"/>
      <c r="L182" s="4">
        <f t="shared" si="24"/>
        <v>407.58333333333343</v>
      </c>
      <c r="M182" s="40">
        <v>0</v>
      </c>
      <c r="N182" s="40">
        <v>0</v>
      </c>
      <c r="O182" s="40">
        <v>0</v>
      </c>
      <c r="P182" s="40">
        <v>0</v>
      </c>
      <c r="Q182" s="40">
        <v>0</v>
      </c>
      <c r="R182" s="40"/>
      <c r="S182" s="2">
        <f t="shared" si="19"/>
        <v>125.90000000000006</v>
      </c>
      <c r="T182" s="2">
        <v>0</v>
      </c>
      <c r="U182" s="2">
        <v>0</v>
      </c>
      <c r="V182" s="2">
        <v>8</v>
      </c>
      <c r="W182" s="2">
        <v>6</v>
      </c>
      <c r="X182" s="2">
        <f t="shared" si="20"/>
        <v>208</v>
      </c>
      <c r="Z182" s="1">
        <v>130</v>
      </c>
      <c r="AA182" s="1">
        <v>68</v>
      </c>
      <c r="AB182" s="2">
        <f t="shared" si="25"/>
        <v>198</v>
      </c>
      <c r="AD182" s="121"/>
      <c r="AE182" s="121"/>
    </row>
    <row r="183" spans="1:31" x14ac:dyDescent="0.25">
      <c r="A183" s="2" t="s">
        <v>213</v>
      </c>
      <c r="B183" s="7">
        <v>0.45833333333333331</v>
      </c>
      <c r="C183" s="2">
        <v>3</v>
      </c>
      <c r="D183" s="10" t="s">
        <v>214</v>
      </c>
      <c r="E183" s="40">
        <v>20</v>
      </c>
      <c r="F183" s="40">
        <v>2.2000000000000002</v>
      </c>
      <c r="G183" s="40">
        <v>0</v>
      </c>
      <c r="H183" s="3">
        <f t="shared" si="21"/>
        <v>2.5</v>
      </c>
      <c r="I183" s="3">
        <f t="shared" si="22"/>
        <v>0.27500000000000002</v>
      </c>
      <c r="J183" s="3">
        <f t="shared" si="23"/>
        <v>0</v>
      </c>
      <c r="K183" s="3"/>
      <c r="L183" s="4">
        <f t="shared" si="24"/>
        <v>404.80833333333345</v>
      </c>
      <c r="M183" s="40">
        <v>0</v>
      </c>
      <c r="N183" s="40">
        <v>0</v>
      </c>
      <c r="O183" s="40">
        <v>0</v>
      </c>
      <c r="P183" s="40">
        <v>0</v>
      </c>
      <c r="Q183" s="40">
        <v>0</v>
      </c>
      <c r="R183" s="40"/>
      <c r="S183" s="2">
        <f t="shared" si="19"/>
        <v>125.90000000000006</v>
      </c>
      <c r="T183" s="2">
        <v>0</v>
      </c>
      <c r="U183" s="2">
        <v>0</v>
      </c>
      <c r="V183" s="2">
        <v>2</v>
      </c>
      <c r="W183" s="2">
        <v>0</v>
      </c>
      <c r="X183" s="2">
        <f t="shared" si="20"/>
        <v>206</v>
      </c>
      <c r="Z183" s="1"/>
      <c r="AA183" s="1"/>
      <c r="AB183" s="2" t="str">
        <f t="shared" si="25"/>
        <v/>
      </c>
      <c r="AD183" s="121"/>
      <c r="AE183" s="121"/>
    </row>
    <row r="184" spans="1:31" x14ac:dyDescent="0.25">
      <c r="A184" s="2" t="s">
        <v>213</v>
      </c>
      <c r="B184" s="7" t="s">
        <v>215</v>
      </c>
      <c r="C184" s="2">
        <v>2.2999999999999998</v>
      </c>
      <c r="D184" s="10" t="s">
        <v>201</v>
      </c>
      <c r="E184" s="40">
        <v>20</v>
      </c>
      <c r="F184" s="40">
        <v>2.6</v>
      </c>
      <c r="G184" s="40">
        <v>0</v>
      </c>
      <c r="H184" s="3">
        <v>0</v>
      </c>
      <c r="I184" s="3">
        <f t="shared" si="22"/>
        <v>0.24916666666666665</v>
      </c>
      <c r="J184" s="3">
        <f t="shared" si="23"/>
        <v>0</v>
      </c>
      <c r="K184" s="3"/>
      <c r="L184" s="4">
        <f t="shared" si="24"/>
        <v>404.55916666666678</v>
      </c>
      <c r="M184" s="40">
        <v>2</v>
      </c>
      <c r="N184" s="40">
        <v>0</v>
      </c>
      <c r="O184" s="40">
        <v>0.2</v>
      </c>
      <c r="P184" s="40">
        <v>0</v>
      </c>
      <c r="Q184" s="40">
        <v>0</v>
      </c>
      <c r="R184" s="40"/>
      <c r="S184" s="2">
        <f t="shared" si="19"/>
        <v>123.70000000000006</v>
      </c>
      <c r="T184" s="2">
        <v>0</v>
      </c>
      <c r="U184" s="2">
        <v>0</v>
      </c>
      <c r="V184" s="2">
        <v>1</v>
      </c>
      <c r="W184" s="2">
        <v>0</v>
      </c>
      <c r="X184" s="2">
        <f t="shared" si="20"/>
        <v>205</v>
      </c>
      <c r="Z184" s="1"/>
      <c r="AA184" s="1"/>
      <c r="AB184" s="2" t="str">
        <f t="shared" si="25"/>
        <v/>
      </c>
      <c r="AD184" s="121">
        <v>12</v>
      </c>
      <c r="AE184" s="121" t="s">
        <v>1296</v>
      </c>
    </row>
    <row r="185" spans="1:31" x14ac:dyDescent="0.25">
      <c r="A185" s="2" t="s">
        <v>216</v>
      </c>
      <c r="B185" s="7">
        <v>0.33333333333333331</v>
      </c>
      <c r="C185" s="2">
        <v>18.7</v>
      </c>
      <c r="D185" s="10" t="s">
        <v>217</v>
      </c>
      <c r="E185" s="40">
        <v>0</v>
      </c>
      <c r="F185" s="40">
        <v>2.2000000000000002</v>
      </c>
      <c r="G185" s="40">
        <v>2</v>
      </c>
      <c r="H185" s="3">
        <f t="shared" si="21"/>
        <v>0</v>
      </c>
      <c r="I185" s="3">
        <f t="shared" si="22"/>
        <v>1.7141666666666668</v>
      </c>
      <c r="J185" s="3">
        <f t="shared" si="23"/>
        <v>1.5583333333333331</v>
      </c>
      <c r="K185" s="3"/>
      <c r="L185" s="4">
        <f t="shared" si="24"/>
        <v>401.2866666666668</v>
      </c>
      <c r="M185" s="40">
        <v>0</v>
      </c>
      <c r="N185" s="40">
        <v>0</v>
      </c>
      <c r="O185" s="40">
        <v>0</v>
      </c>
      <c r="P185" s="40">
        <v>0</v>
      </c>
      <c r="Q185" s="40">
        <v>0</v>
      </c>
      <c r="R185" s="40"/>
      <c r="S185" s="2">
        <f t="shared" si="19"/>
        <v>123.70000000000006</v>
      </c>
      <c r="T185" s="2">
        <v>0</v>
      </c>
      <c r="U185" s="2">
        <v>0</v>
      </c>
      <c r="V185" s="2">
        <v>6</v>
      </c>
      <c r="W185" s="2">
        <v>0</v>
      </c>
      <c r="X185" s="2">
        <f t="shared" si="20"/>
        <v>199</v>
      </c>
      <c r="Z185" s="1">
        <v>130</v>
      </c>
      <c r="AA185" s="1">
        <v>64</v>
      </c>
      <c r="AB185" s="2">
        <f t="shared" si="25"/>
        <v>194</v>
      </c>
      <c r="AD185" s="121"/>
      <c r="AE185" s="121"/>
    </row>
    <row r="186" spans="1:31" x14ac:dyDescent="0.25">
      <c r="A186" s="7" t="s">
        <v>218</v>
      </c>
      <c r="B186" s="7">
        <v>0.875</v>
      </c>
      <c r="C186" s="2">
        <v>11</v>
      </c>
      <c r="D186" s="10" t="s">
        <v>219</v>
      </c>
      <c r="E186" s="40">
        <v>0</v>
      </c>
      <c r="F186" s="40">
        <v>0</v>
      </c>
      <c r="G186" s="40">
        <v>0</v>
      </c>
      <c r="H186" s="3">
        <v>0</v>
      </c>
      <c r="I186" s="3">
        <f t="shared" si="22"/>
        <v>0</v>
      </c>
      <c r="J186" s="3">
        <f t="shared" si="23"/>
        <v>0</v>
      </c>
      <c r="K186" s="3"/>
      <c r="L186" s="4">
        <f t="shared" si="24"/>
        <v>401.2866666666668</v>
      </c>
      <c r="M186" s="40">
        <v>3.5</v>
      </c>
      <c r="N186" s="40">
        <v>1.4</v>
      </c>
      <c r="O186" s="40">
        <v>1.2</v>
      </c>
      <c r="P186" s="40">
        <v>0.3</v>
      </c>
      <c r="Q186" s="40">
        <v>0</v>
      </c>
      <c r="R186" s="40"/>
      <c r="S186" s="2">
        <f t="shared" si="19"/>
        <v>117.30000000000005</v>
      </c>
      <c r="T186" s="2">
        <v>0</v>
      </c>
      <c r="U186" s="2">
        <v>0</v>
      </c>
      <c r="V186" s="2">
        <v>5</v>
      </c>
      <c r="W186" s="2">
        <v>0</v>
      </c>
      <c r="X186" s="2">
        <f t="shared" si="20"/>
        <v>194</v>
      </c>
      <c r="Z186" s="1"/>
      <c r="AA186" s="1"/>
      <c r="AB186" s="2" t="str">
        <f t="shared" si="25"/>
        <v/>
      </c>
      <c r="AD186" s="121"/>
      <c r="AE186" s="121"/>
    </row>
    <row r="187" spans="1:31" x14ac:dyDescent="0.25">
      <c r="A187" s="2" t="s">
        <v>220</v>
      </c>
      <c r="B187" s="7">
        <v>0.66666666666666663</v>
      </c>
      <c r="C187" s="2">
        <v>0</v>
      </c>
      <c r="D187" s="10" t="s">
        <v>221</v>
      </c>
      <c r="E187" s="40">
        <v>0</v>
      </c>
      <c r="F187" s="40">
        <v>0</v>
      </c>
      <c r="G187" s="40">
        <v>0</v>
      </c>
      <c r="H187" s="3">
        <f t="shared" si="21"/>
        <v>0</v>
      </c>
      <c r="I187" s="3">
        <f t="shared" si="22"/>
        <v>0</v>
      </c>
      <c r="J187" s="3">
        <f t="shared" si="23"/>
        <v>0</v>
      </c>
      <c r="K187" s="3"/>
      <c r="L187" s="4">
        <f t="shared" si="24"/>
        <v>401.2866666666668</v>
      </c>
      <c r="M187" s="40">
        <v>9.1</v>
      </c>
      <c r="N187" s="40">
        <v>2.8</v>
      </c>
      <c r="O187" s="40">
        <v>0.8</v>
      </c>
      <c r="P187" s="40">
        <v>0.4</v>
      </c>
      <c r="Q187" s="40">
        <v>0</v>
      </c>
      <c r="R187" s="40"/>
      <c r="S187" s="2">
        <f t="shared" si="19"/>
        <v>104.20000000000006</v>
      </c>
      <c r="T187" s="2">
        <v>0</v>
      </c>
      <c r="U187" s="2">
        <v>100</v>
      </c>
      <c r="V187" s="2">
        <v>52</v>
      </c>
      <c r="W187" s="2">
        <v>14</v>
      </c>
      <c r="X187" s="2">
        <f t="shared" si="20"/>
        <v>228</v>
      </c>
      <c r="Z187" s="1">
        <v>114</v>
      </c>
      <c r="AA187" s="1">
        <v>114</v>
      </c>
      <c r="AB187" s="2">
        <f t="shared" si="25"/>
        <v>228</v>
      </c>
      <c r="AD187" s="121"/>
      <c r="AE187" s="121"/>
    </row>
    <row r="188" spans="1:31" x14ac:dyDescent="0.25">
      <c r="A188" s="2" t="s">
        <v>220</v>
      </c>
      <c r="B188" s="7">
        <v>0.83333333333333337</v>
      </c>
      <c r="C188" s="2">
        <v>3</v>
      </c>
      <c r="D188" s="10" t="s">
        <v>105</v>
      </c>
      <c r="E188" s="40">
        <v>0</v>
      </c>
      <c r="F188" s="40">
        <v>0</v>
      </c>
      <c r="G188" s="40">
        <v>0</v>
      </c>
      <c r="H188" s="3">
        <f t="shared" si="21"/>
        <v>0</v>
      </c>
      <c r="I188" s="3">
        <f t="shared" si="22"/>
        <v>0</v>
      </c>
      <c r="J188" s="3">
        <f t="shared" si="23"/>
        <v>0</v>
      </c>
      <c r="K188" s="3"/>
      <c r="L188" s="4">
        <f t="shared" si="24"/>
        <v>401.2866666666668</v>
      </c>
      <c r="M188" s="40">
        <v>1.6</v>
      </c>
      <c r="N188" s="40">
        <v>0.3</v>
      </c>
      <c r="O188" s="40">
        <v>0.4</v>
      </c>
      <c r="P188" s="40">
        <v>0.2</v>
      </c>
      <c r="Q188" s="40">
        <v>0</v>
      </c>
      <c r="R188" s="40"/>
      <c r="S188" s="2">
        <f t="shared" si="19"/>
        <v>101.70000000000006</v>
      </c>
      <c r="T188" s="2">
        <v>0</v>
      </c>
      <c r="U188" s="2">
        <v>0</v>
      </c>
      <c r="V188" s="2">
        <v>1</v>
      </c>
      <c r="W188" s="2">
        <v>1</v>
      </c>
      <c r="X188" s="2">
        <f t="shared" si="20"/>
        <v>226</v>
      </c>
      <c r="Z188" s="1"/>
      <c r="AA188" s="1"/>
      <c r="AB188" s="2" t="str">
        <f t="shared" si="25"/>
        <v/>
      </c>
      <c r="AD188" s="121"/>
      <c r="AE188" s="121"/>
    </row>
    <row r="189" spans="1:31" x14ac:dyDescent="0.25">
      <c r="A189" s="2" t="s">
        <v>222</v>
      </c>
      <c r="B189" s="7">
        <v>0.33333333333333331</v>
      </c>
      <c r="C189" s="2">
        <v>12</v>
      </c>
      <c r="D189" s="10" t="s">
        <v>94</v>
      </c>
      <c r="E189" s="40">
        <v>14</v>
      </c>
      <c r="F189" s="40">
        <v>2.2000000000000002</v>
      </c>
      <c r="G189" s="40">
        <v>0</v>
      </c>
      <c r="H189" s="3">
        <f t="shared" si="21"/>
        <v>7</v>
      </c>
      <c r="I189" s="3">
        <f t="shared" si="22"/>
        <v>1.1000000000000001</v>
      </c>
      <c r="J189" s="3">
        <f t="shared" si="23"/>
        <v>0</v>
      </c>
      <c r="K189" s="3"/>
      <c r="L189" s="4">
        <f t="shared" si="24"/>
        <v>393.18666666666678</v>
      </c>
      <c r="M189" s="40">
        <v>0</v>
      </c>
      <c r="N189" s="40">
        <v>0</v>
      </c>
      <c r="O189" s="40">
        <v>0</v>
      </c>
      <c r="P189" s="40">
        <v>0</v>
      </c>
      <c r="Q189" s="40">
        <v>0</v>
      </c>
      <c r="R189" s="40"/>
      <c r="S189" s="2">
        <f t="shared" si="19"/>
        <v>101.70000000000006</v>
      </c>
      <c r="T189" s="2">
        <v>0</v>
      </c>
      <c r="U189" s="2">
        <v>0</v>
      </c>
      <c r="V189" s="2">
        <v>5</v>
      </c>
      <c r="W189" s="2">
        <v>0</v>
      </c>
      <c r="X189" s="2">
        <f t="shared" si="20"/>
        <v>221</v>
      </c>
      <c r="Z189" s="1">
        <v>110</v>
      </c>
      <c r="AA189" s="1">
        <v>110</v>
      </c>
      <c r="AB189" s="2">
        <f t="shared" si="25"/>
        <v>220</v>
      </c>
      <c r="AD189" s="121"/>
      <c r="AE189" s="121"/>
    </row>
    <row r="190" spans="1:31" x14ac:dyDescent="0.25">
      <c r="A190" s="2" t="s">
        <v>223</v>
      </c>
      <c r="B190" s="7">
        <v>0.33333333333333331</v>
      </c>
      <c r="C190" s="2">
        <v>24</v>
      </c>
      <c r="D190" s="10" t="s">
        <v>94</v>
      </c>
      <c r="E190" s="40">
        <v>18</v>
      </c>
      <c r="F190" s="40">
        <v>2.2000000000000002</v>
      </c>
      <c r="G190" s="40">
        <v>0</v>
      </c>
      <c r="H190" s="3">
        <f t="shared" si="21"/>
        <v>18</v>
      </c>
      <c r="I190" s="3">
        <f t="shared" si="22"/>
        <v>2.2000000000000002</v>
      </c>
      <c r="J190" s="3">
        <f t="shared" si="23"/>
        <v>0</v>
      </c>
      <c r="K190" s="3"/>
      <c r="L190" s="4">
        <f t="shared" si="24"/>
        <v>372.98666666666679</v>
      </c>
      <c r="M190" s="40">
        <v>0</v>
      </c>
      <c r="N190" s="40">
        <v>0</v>
      </c>
      <c r="O190" s="40">
        <v>0</v>
      </c>
      <c r="P190" s="40">
        <v>0</v>
      </c>
      <c r="Q190" s="40">
        <v>0</v>
      </c>
      <c r="R190" s="40"/>
      <c r="S190" s="2">
        <f t="shared" si="19"/>
        <v>101.70000000000006</v>
      </c>
      <c r="T190" s="2">
        <v>0</v>
      </c>
      <c r="U190" s="2">
        <v>0</v>
      </c>
      <c r="V190" s="2">
        <v>8</v>
      </c>
      <c r="W190" s="2">
        <v>1</v>
      </c>
      <c r="X190" s="2">
        <f t="shared" si="20"/>
        <v>212</v>
      </c>
      <c r="Z190" s="1">
        <v>106</v>
      </c>
      <c r="AA190" s="1">
        <v>106</v>
      </c>
      <c r="AB190" s="2">
        <f t="shared" si="25"/>
        <v>212</v>
      </c>
      <c r="AD190" s="121"/>
      <c r="AE190" s="121"/>
    </row>
    <row r="191" spans="1:31" x14ac:dyDescent="0.25">
      <c r="A191" s="2" t="s">
        <v>224</v>
      </c>
      <c r="B191" s="7">
        <v>0.33333333333333331</v>
      </c>
      <c r="C191" s="2">
        <v>24</v>
      </c>
      <c r="D191" s="10" t="s">
        <v>94</v>
      </c>
      <c r="E191" s="40">
        <v>18</v>
      </c>
      <c r="F191" s="40">
        <v>2.2000000000000002</v>
      </c>
      <c r="G191" s="40">
        <v>0</v>
      </c>
      <c r="H191" s="3">
        <f t="shared" si="21"/>
        <v>18</v>
      </c>
      <c r="I191" s="3">
        <f t="shared" si="22"/>
        <v>2.2000000000000002</v>
      </c>
      <c r="J191" s="3">
        <f t="shared" si="23"/>
        <v>0</v>
      </c>
      <c r="K191" s="3"/>
      <c r="L191" s="4">
        <f t="shared" si="24"/>
        <v>352.7866666666668</v>
      </c>
      <c r="M191" s="40">
        <v>0</v>
      </c>
      <c r="N191" s="40">
        <v>0</v>
      </c>
      <c r="O191" s="40">
        <v>0</v>
      </c>
      <c r="P191" s="40">
        <v>0</v>
      </c>
      <c r="Q191" s="40">
        <v>0</v>
      </c>
      <c r="R191" s="40"/>
      <c r="S191" s="2">
        <f t="shared" si="19"/>
        <v>101.70000000000006</v>
      </c>
      <c r="T191" s="2">
        <v>0</v>
      </c>
      <c r="U191" s="2">
        <v>0</v>
      </c>
      <c r="V191" s="2">
        <v>6</v>
      </c>
      <c r="W191" s="2">
        <v>0</v>
      </c>
      <c r="X191" s="2">
        <f t="shared" si="20"/>
        <v>206</v>
      </c>
      <c r="Z191" s="1">
        <v>104</v>
      </c>
      <c r="AA191" s="1">
        <v>102</v>
      </c>
      <c r="AB191" s="2">
        <f t="shared" si="25"/>
        <v>206</v>
      </c>
      <c r="AD191" s="121"/>
      <c r="AE191" s="121"/>
    </row>
    <row r="192" spans="1:31" x14ac:dyDescent="0.25">
      <c r="A192" s="2" t="s">
        <v>225</v>
      </c>
      <c r="B192" s="7">
        <v>0.54999999999999993</v>
      </c>
      <c r="C192" s="2">
        <v>5.2</v>
      </c>
      <c r="D192" s="10" t="s">
        <v>77</v>
      </c>
      <c r="E192" s="40">
        <v>18</v>
      </c>
      <c r="F192" s="40">
        <v>2.4</v>
      </c>
      <c r="G192" s="40">
        <v>0</v>
      </c>
      <c r="H192" s="3">
        <f t="shared" si="21"/>
        <v>3.9000000000000004</v>
      </c>
      <c r="I192" s="3">
        <f t="shared" si="22"/>
        <v>0.52</v>
      </c>
      <c r="J192" s="3">
        <f t="shared" si="23"/>
        <v>0</v>
      </c>
      <c r="K192" s="3"/>
      <c r="L192" s="4">
        <f t="shared" si="24"/>
        <v>348.36666666666679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  <c r="R192" s="40"/>
      <c r="S192" s="2">
        <f t="shared" si="19"/>
        <v>101.70000000000006</v>
      </c>
      <c r="T192" s="2">
        <v>0</v>
      </c>
      <c r="U192" s="2">
        <v>0</v>
      </c>
      <c r="V192" s="2">
        <v>3</v>
      </c>
      <c r="W192" s="2">
        <v>0</v>
      </c>
      <c r="X192" s="2">
        <f t="shared" si="20"/>
        <v>203</v>
      </c>
      <c r="Z192" s="1"/>
      <c r="AA192" s="1"/>
      <c r="AB192" s="2" t="str">
        <f t="shared" si="25"/>
        <v/>
      </c>
      <c r="AD192" s="121">
        <v>12.7</v>
      </c>
      <c r="AE192" s="121" t="s">
        <v>1296</v>
      </c>
    </row>
    <row r="193" spans="1:31" x14ac:dyDescent="0.25">
      <c r="A193" s="2" t="s">
        <v>226</v>
      </c>
      <c r="B193" s="7">
        <v>0.33333333333333331</v>
      </c>
      <c r="C193" s="2">
        <v>18.8</v>
      </c>
      <c r="D193" s="10" t="s">
        <v>78</v>
      </c>
      <c r="E193" s="40">
        <v>0</v>
      </c>
      <c r="F193" s="40">
        <v>2.4</v>
      </c>
      <c r="G193" s="40">
        <v>2.2000000000000002</v>
      </c>
      <c r="H193" s="3">
        <f t="shared" si="21"/>
        <v>0</v>
      </c>
      <c r="I193" s="3">
        <f t="shared" si="22"/>
        <v>1.88</v>
      </c>
      <c r="J193" s="3">
        <f t="shared" si="23"/>
        <v>1.7233333333333336</v>
      </c>
      <c r="K193" s="3"/>
      <c r="L193" s="4">
        <f t="shared" si="24"/>
        <v>344.76333333333343</v>
      </c>
      <c r="M193" s="40">
        <v>0</v>
      </c>
      <c r="N193" s="40">
        <v>0</v>
      </c>
      <c r="O193" s="40">
        <v>0.2</v>
      </c>
      <c r="P193" s="40">
        <v>0</v>
      </c>
      <c r="Q193" s="40">
        <v>0</v>
      </c>
      <c r="R193" s="40"/>
      <c r="S193" s="2">
        <f t="shared" si="19"/>
        <v>101.50000000000006</v>
      </c>
      <c r="T193" s="2">
        <v>0</v>
      </c>
      <c r="U193" s="2">
        <v>0</v>
      </c>
      <c r="V193" s="2">
        <v>3</v>
      </c>
      <c r="W193" s="2">
        <v>0</v>
      </c>
      <c r="X193" s="2">
        <f t="shared" si="20"/>
        <v>200</v>
      </c>
      <c r="Z193" s="1">
        <v>103</v>
      </c>
      <c r="AA193" s="1">
        <v>100</v>
      </c>
      <c r="AB193" s="2">
        <f t="shared" si="25"/>
        <v>203</v>
      </c>
      <c r="AD193" s="121"/>
      <c r="AE193" s="121"/>
    </row>
    <row r="194" spans="1:31" x14ac:dyDescent="0.25">
      <c r="A194" s="2"/>
      <c r="B194" s="7"/>
      <c r="C194" s="2"/>
      <c r="D194" s="10"/>
      <c r="E194" s="40"/>
      <c r="F194" s="40"/>
      <c r="G194" s="40"/>
      <c r="H194" s="3" t="str">
        <f t="shared" si="21"/>
        <v/>
      </c>
      <c r="I194" s="3" t="str">
        <f t="shared" si="22"/>
        <v/>
      </c>
      <c r="J194" s="3" t="str">
        <f t="shared" si="23"/>
        <v/>
      </c>
      <c r="K194" s="3"/>
      <c r="L194" s="4" t="str">
        <f t="shared" si="24"/>
        <v/>
      </c>
      <c r="M194" s="40"/>
      <c r="N194" s="40"/>
      <c r="O194" s="40"/>
      <c r="P194" s="40"/>
      <c r="Q194" s="40"/>
      <c r="R194" s="40"/>
      <c r="S194" s="2" t="str">
        <f t="shared" si="19"/>
        <v/>
      </c>
      <c r="T194" s="2">
        <f>SUM(T154:T193)</f>
        <v>22</v>
      </c>
      <c r="U194" s="2"/>
      <c r="V194" s="2"/>
      <c r="W194" s="2"/>
      <c r="X194" s="2" t="str">
        <f t="shared" si="20"/>
        <v/>
      </c>
      <c r="Z194" s="1"/>
      <c r="AA194" s="1"/>
      <c r="AB194" s="2" t="str">
        <f t="shared" si="25"/>
        <v/>
      </c>
      <c r="AD194" s="121"/>
      <c r="AE194" s="121"/>
    </row>
    <row r="195" spans="1:31" x14ac:dyDescent="0.25">
      <c r="A195" s="9" t="s">
        <v>227</v>
      </c>
      <c r="B195" s="7">
        <v>0.33333333333333331</v>
      </c>
      <c r="C195" s="2">
        <v>24</v>
      </c>
      <c r="D195" s="10" t="s">
        <v>78</v>
      </c>
      <c r="E195" s="40">
        <v>0</v>
      </c>
      <c r="F195" s="40">
        <v>2.4</v>
      </c>
      <c r="G195" s="40">
        <v>2.2000000000000002</v>
      </c>
      <c r="H195" s="3">
        <f t="shared" si="21"/>
        <v>0</v>
      </c>
      <c r="I195" s="3">
        <f t="shared" si="22"/>
        <v>2.4</v>
      </c>
      <c r="J195" s="3">
        <f t="shared" si="23"/>
        <v>2.2000000000000002</v>
      </c>
      <c r="K195" s="3"/>
      <c r="L195" s="4">
        <f>+IF(C195="","",L193-(H195+I195+J195))</f>
        <v>340.16333333333341</v>
      </c>
      <c r="M195" s="40">
        <v>0</v>
      </c>
      <c r="N195" s="40">
        <v>0</v>
      </c>
      <c r="O195" s="40">
        <v>0.2</v>
      </c>
      <c r="P195" s="40">
        <v>0</v>
      </c>
      <c r="Q195" s="40">
        <v>0</v>
      </c>
      <c r="R195" s="40"/>
      <c r="S195" s="2">
        <f>IF(C195="","",(S193+R195)-(M195+N195+O195+P195+Q195))</f>
        <v>101.30000000000005</v>
      </c>
      <c r="T195" s="2">
        <v>0</v>
      </c>
      <c r="U195" s="2">
        <v>0</v>
      </c>
      <c r="V195" s="2">
        <v>5</v>
      </c>
      <c r="W195" s="2">
        <v>0</v>
      </c>
      <c r="X195" s="2">
        <f>IF(V195="","",((X193+T195+U195)-(V195+W195)))</f>
        <v>195</v>
      </c>
      <c r="Z195" s="1">
        <v>102</v>
      </c>
      <c r="AA195" s="1">
        <v>100</v>
      </c>
      <c r="AB195" s="2">
        <f t="shared" si="25"/>
        <v>202</v>
      </c>
      <c r="AD195" s="121"/>
      <c r="AE195" s="121"/>
    </row>
    <row r="196" spans="1:31" x14ac:dyDescent="0.25">
      <c r="A196" s="2" t="s">
        <v>227</v>
      </c>
      <c r="B196" s="7">
        <v>0.8666666666666667</v>
      </c>
      <c r="C196" s="2">
        <v>12.8</v>
      </c>
      <c r="D196" s="10" t="s">
        <v>228</v>
      </c>
      <c r="E196" s="40">
        <v>0</v>
      </c>
      <c r="F196" s="40">
        <v>2.6</v>
      </c>
      <c r="G196" s="40">
        <v>2.2000000000000002</v>
      </c>
      <c r="H196" s="3">
        <v>1.8</v>
      </c>
      <c r="I196" s="3">
        <f t="shared" si="22"/>
        <v>1.3866666666666667</v>
      </c>
      <c r="J196" s="3">
        <f t="shared" si="23"/>
        <v>1.1733333333333336</v>
      </c>
      <c r="K196" s="3"/>
      <c r="L196" s="4">
        <f t="shared" si="24"/>
        <v>335.8033333333334</v>
      </c>
      <c r="M196" s="40">
        <v>0</v>
      </c>
      <c r="N196" s="40">
        <v>0</v>
      </c>
      <c r="O196" s="40">
        <v>0.2</v>
      </c>
      <c r="P196" s="40">
        <v>0</v>
      </c>
      <c r="Q196" s="40">
        <v>0</v>
      </c>
      <c r="R196" s="40"/>
      <c r="S196" s="2">
        <f t="shared" si="19"/>
        <v>101.10000000000005</v>
      </c>
      <c r="T196" s="2">
        <v>0</v>
      </c>
      <c r="U196" s="2">
        <v>0</v>
      </c>
      <c r="V196" s="2">
        <v>3</v>
      </c>
      <c r="W196" s="2">
        <v>0</v>
      </c>
      <c r="X196" s="2">
        <f t="shared" si="20"/>
        <v>192</v>
      </c>
      <c r="Z196" s="1"/>
      <c r="AA196" s="1"/>
      <c r="AB196" s="2" t="str">
        <f t="shared" si="25"/>
        <v/>
      </c>
      <c r="AD196" s="121"/>
      <c r="AE196" s="121"/>
    </row>
    <row r="197" spans="1:31" x14ac:dyDescent="0.25">
      <c r="A197" s="2" t="s">
        <v>229</v>
      </c>
      <c r="B197" s="7">
        <v>0.33333333333333331</v>
      </c>
      <c r="C197" s="2">
        <v>11.2</v>
      </c>
      <c r="D197" s="10" t="s">
        <v>228</v>
      </c>
      <c r="E197" s="40">
        <v>0</v>
      </c>
      <c r="F197" s="40">
        <v>2.6</v>
      </c>
      <c r="G197" s="40">
        <v>2.2000000000000002</v>
      </c>
      <c r="H197" s="3">
        <f t="shared" si="21"/>
        <v>0</v>
      </c>
      <c r="I197" s="3">
        <f t="shared" si="22"/>
        <v>1.2133333333333334</v>
      </c>
      <c r="J197" s="3">
        <f t="shared" si="23"/>
        <v>1.0266666666666666</v>
      </c>
      <c r="K197" s="3"/>
      <c r="L197" s="4">
        <f t="shared" si="24"/>
        <v>333.56333333333339</v>
      </c>
      <c r="M197" s="40">
        <v>0</v>
      </c>
      <c r="N197" s="40">
        <v>0</v>
      </c>
      <c r="O197" s="40">
        <v>0.2</v>
      </c>
      <c r="P197" s="40">
        <v>0</v>
      </c>
      <c r="Q197" s="40">
        <v>0</v>
      </c>
      <c r="R197" s="40"/>
      <c r="S197" s="2">
        <f t="shared" si="19"/>
        <v>100.90000000000005</v>
      </c>
      <c r="T197" s="2">
        <v>0</v>
      </c>
      <c r="U197" s="2">
        <v>0</v>
      </c>
      <c r="V197" s="2">
        <v>3</v>
      </c>
      <c r="W197" s="2">
        <v>0</v>
      </c>
      <c r="X197" s="2">
        <f t="shared" si="20"/>
        <v>189</v>
      </c>
      <c r="Z197" s="1">
        <v>99</v>
      </c>
      <c r="AA197" s="1">
        <v>97</v>
      </c>
      <c r="AB197" s="2">
        <f t="shared" si="25"/>
        <v>196</v>
      </c>
      <c r="AD197" s="121"/>
      <c r="AE197" s="121"/>
    </row>
    <row r="198" spans="1:31" x14ac:dyDescent="0.25">
      <c r="A198" s="2" t="s">
        <v>230</v>
      </c>
      <c r="B198" s="7">
        <v>0.33333333333333331</v>
      </c>
      <c r="C198" s="2">
        <v>24</v>
      </c>
      <c r="D198" s="10" t="s">
        <v>228</v>
      </c>
      <c r="E198" s="40">
        <v>0</v>
      </c>
      <c r="F198" s="40">
        <v>2.6</v>
      </c>
      <c r="G198" s="40">
        <v>2.2000000000000002</v>
      </c>
      <c r="H198" s="3">
        <f t="shared" si="21"/>
        <v>0</v>
      </c>
      <c r="I198" s="3">
        <f t="shared" si="22"/>
        <v>2.6</v>
      </c>
      <c r="J198" s="3">
        <f t="shared" si="23"/>
        <v>2.2000000000000002</v>
      </c>
      <c r="K198" s="3"/>
      <c r="L198" s="4">
        <f t="shared" si="24"/>
        <v>328.76333333333338</v>
      </c>
      <c r="M198" s="40">
        <v>0</v>
      </c>
      <c r="N198" s="40">
        <v>0</v>
      </c>
      <c r="O198" s="40">
        <v>0.2</v>
      </c>
      <c r="P198" s="40">
        <v>0</v>
      </c>
      <c r="Q198" s="40">
        <v>0</v>
      </c>
      <c r="R198" s="40"/>
      <c r="S198" s="2">
        <f t="shared" si="19"/>
        <v>100.70000000000005</v>
      </c>
      <c r="T198" s="2">
        <v>0</v>
      </c>
      <c r="U198" s="2">
        <v>0</v>
      </c>
      <c r="V198" s="2">
        <v>4</v>
      </c>
      <c r="W198" s="2">
        <v>0</v>
      </c>
      <c r="X198" s="2">
        <f t="shared" si="20"/>
        <v>185</v>
      </c>
      <c r="Z198" s="1">
        <v>95</v>
      </c>
      <c r="AA198" s="1">
        <v>97</v>
      </c>
      <c r="AB198" s="2">
        <f t="shared" si="25"/>
        <v>192</v>
      </c>
      <c r="AD198" s="121"/>
      <c r="AE198" s="121"/>
    </row>
    <row r="199" spans="1:31" x14ac:dyDescent="0.25">
      <c r="A199" s="2" t="s">
        <v>230</v>
      </c>
      <c r="B199" s="7">
        <v>0.5</v>
      </c>
      <c r="C199" s="2">
        <v>4</v>
      </c>
      <c r="D199" s="10" t="s">
        <v>231</v>
      </c>
      <c r="E199" s="40">
        <v>0</v>
      </c>
      <c r="F199" s="40">
        <v>2.6</v>
      </c>
      <c r="G199" s="40">
        <v>2.2000000000000002</v>
      </c>
      <c r="H199" s="3">
        <f t="shared" si="21"/>
        <v>0</v>
      </c>
      <c r="I199" s="3">
        <f t="shared" si="22"/>
        <v>0.43333333333333335</v>
      </c>
      <c r="J199" s="3">
        <f t="shared" si="23"/>
        <v>0.3666666666666667</v>
      </c>
      <c r="K199" s="3"/>
      <c r="L199" s="4">
        <f t="shared" si="24"/>
        <v>327.96333333333337</v>
      </c>
      <c r="M199" s="40">
        <v>0</v>
      </c>
      <c r="N199" s="40">
        <v>0</v>
      </c>
      <c r="O199" s="40">
        <v>0.1</v>
      </c>
      <c r="P199" s="40">
        <v>0</v>
      </c>
      <c r="Q199" s="40">
        <v>0</v>
      </c>
      <c r="R199" s="40"/>
      <c r="S199" s="2">
        <f t="shared" si="19"/>
        <v>100.60000000000005</v>
      </c>
      <c r="T199" s="2">
        <v>0</v>
      </c>
      <c r="U199" s="2">
        <v>0</v>
      </c>
      <c r="V199" s="2">
        <v>2</v>
      </c>
      <c r="W199" s="2">
        <v>0</v>
      </c>
      <c r="X199" s="2">
        <f t="shared" si="20"/>
        <v>183</v>
      </c>
      <c r="Z199" s="1"/>
      <c r="AA199" s="1"/>
      <c r="AB199" s="2" t="str">
        <f t="shared" si="25"/>
        <v/>
      </c>
      <c r="AD199" s="121"/>
      <c r="AE199" s="121"/>
    </row>
    <row r="200" spans="1:31" x14ac:dyDescent="0.25">
      <c r="A200" s="2" t="s">
        <v>230</v>
      </c>
      <c r="B200" s="7">
        <v>0.72916666666666663</v>
      </c>
      <c r="C200" s="2">
        <v>5.5</v>
      </c>
      <c r="D200" s="10" t="s">
        <v>190</v>
      </c>
      <c r="E200" s="40">
        <v>0</v>
      </c>
      <c r="F200" s="40">
        <v>2.6</v>
      </c>
      <c r="G200" s="40">
        <v>2.2000000000000002</v>
      </c>
      <c r="H200" s="3">
        <f t="shared" si="21"/>
        <v>0</v>
      </c>
      <c r="I200" s="3">
        <f t="shared" si="22"/>
        <v>0.59583333333333333</v>
      </c>
      <c r="J200" s="3">
        <f t="shared" si="23"/>
        <v>0.50416666666666665</v>
      </c>
      <c r="K200" s="3"/>
      <c r="L200" s="4">
        <f t="shared" si="24"/>
        <v>326.86333333333334</v>
      </c>
      <c r="M200" s="40">
        <v>0</v>
      </c>
      <c r="N200" s="40">
        <v>0</v>
      </c>
      <c r="O200" s="40">
        <v>0</v>
      </c>
      <c r="P200" s="40">
        <v>0</v>
      </c>
      <c r="Q200" s="40">
        <v>0.2</v>
      </c>
      <c r="R200" s="40"/>
      <c r="S200" s="2">
        <f t="shared" si="19"/>
        <v>100.40000000000005</v>
      </c>
      <c r="T200" s="2">
        <v>0</v>
      </c>
      <c r="U200" s="2">
        <v>0</v>
      </c>
      <c r="V200" s="2">
        <v>2</v>
      </c>
      <c r="W200" s="2">
        <v>0</v>
      </c>
      <c r="X200" s="2">
        <f t="shared" si="20"/>
        <v>181</v>
      </c>
      <c r="Z200" s="1"/>
      <c r="AA200" s="1"/>
      <c r="AB200" s="2" t="str">
        <f t="shared" si="25"/>
        <v/>
      </c>
      <c r="AD200" s="121"/>
      <c r="AE200" s="121"/>
    </row>
    <row r="201" spans="1:31" x14ac:dyDescent="0.25">
      <c r="A201" s="2" t="s">
        <v>230</v>
      </c>
      <c r="B201" s="7">
        <v>0.77083333333333337</v>
      </c>
      <c r="C201" s="2">
        <v>1</v>
      </c>
      <c r="D201" s="10" t="s">
        <v>105</v>
      </c>
      <c r="E201" s="40">
        <v>10</v>
      </c>
      <c r="F201" s="40">
        <v>2.6</v>
      </c>
      <c r="G201" s="40">
        <v>2.2000000000000002</v>
      </c>
      <c r="H201" s="3">
        <f t="shared" si="21"/>
        <v>0.41666666666666669</v>
      </c>
      <c r="I201" s="3">
        <f t="shared" si="22"/>
        <v>0.10833333333333334</v>
      </c>
      <c r="J201" s="3">
        <f t="shared" si="23"/>
        <v>9.1666666666666674E-2</v>
      </c>
      <c r="K201" s="3"/>
      <c r="L201" s="4">
        <f t="shared" si="24"/>
        <v>326.24666666666667</v>
      </c>
      <c r="M201" s="40">
        <v>0</v>
      </c>
      <c r="N201" s="40">
        <v>0</v>
      </c>
      <c r="O201" s="40">
        <v>0</v>
      </c>
      <c r="P201" s="40">
        <v>0</v>
      </c>
      <c r="Q201" s="40">
        <v>0</v>
      </c>
      <c r="R201" s="40"/>
      <c r="S201" s="2">
        <f t="shared" si="19"/>
        <v>100.40000000000005</v>
      </c>
      <c r="T201" s="2">
        <v>0</v>
      </c>
      <c r="U201" s="2">
        <v>0</v>
      </c>
      <c r="V201" s="2">
        <v>0</v>
      </c>
      <c r="W201" s="2">
        <v>0</v>
      </c>
      <c r="X201" s="2">
        <f t="shared" si="20"/>
        <v>181</v>
      </c>
      <c r="Z201" s="1"/>
      <c r="AA201" s="1"/>
      <c r="AB201" s="2" t="str">
        <f t="shared" si="25"/>
        <v/>
      </c>
      <c r="AD201" s="121"/>
      <c r="AE201" s="121"/>
    </row>
    <row r="202" spans="1:31" x14ac:dyDescent="0.25">
      <c r="A202" s="2" t="s">
        <v>232</v>
      </c>
      <c r="B202" s="7">
        <v>0.33333333333333331</v>
      </c>
      <c r="C202" s="2">
        <v>13.5</v>
      </c>
      <c r="D202" s="10" t="s">
        <v>94</v>
      </c>
      <c r="E202" s="40">
        <v>21</v>
      </c>
      <c r="F202" s="40">
        <v>2.4</v>
      </c>
      <c r="G202" s="40">
        <v>2.2000000000000002</v>
      </c>
      <c r="H202" s="3">
        <f t="shared" si="21"/>
        <v>11.8125</v>
      </c>
      <c r="I202" s="3">
        <f t="shared" si="22"/>
        <v>1.3499999999999999</v>
      </c>
      <c r="J202" s="3">
        <f t="shared" si="23"/>
        <v>1.2375</v>
      </c>
      <c r="K202" s="3"/>
      <c r="L202" s="4">
        <v>311.89999999999998</v>
      </c>
      <c r="M202" s="40">
        <v>0</v>
      </c>
      <c r="N202" s="40">
        <v>0</v>
      </c>
      <c r="O202" s="40">
        <v>0</v>
      </c>
      <c r="P202" s="40">
        <v>0</v>
      </c>
      <c r="Q202" s="40">
        <v>0</v>
      </c>
      <c r="R202" s="40"/>
      <c r="S202" s="2">
        <f t="shared" si="19"/>
        <v>100.40000000000005</v>
      </c>
      <c r="T202" s="2">
        <v>0</v>
      </c>
      <c r="U202" s="2">
        <v>0</v>
      </c>
      <c r="V202" s="2">
        <v>4</v>
      </c>
      <c r="W202" s="2">
        <v>0</v>
      </c>
      <c r="X202" s="2">
        <f t="shared" si="20"/>
        <v>177</v>
      </c>
      <c r="Z202" s="1">
        <v>92</v>
      </c>
      <c r="AA202" s="1">
        <v>95</v>
      </c>
      <c r="AB202" s="2">
        <f t="shared" si="25"/>
        <v>187</v>
      </c>
      <c r="AD202" s="121"/>
      <c r="AE202" s="121"/>
    </row>
    <row r="203" spans="1:31" x14ac:dyDescent="0.25">
      <c r="A203" s="2" t="s">
        <v>233</v>
      </c>
      <c r="B203" s="7">
        <v>0.33333333333333331</v>
      </c>
      <c r="C203" s="2">
        <v>24</v>
      </c>
      <c r="D203" s="10" t="s">
        <v>94</v>
      </c>
      <c r="E203" s="40">
        <v>18</v>
      </c>
      <c r="F203" s="40">
        <v>2.4</v>
      </c>
      <c r="G203" s="40">
        <v>0</v>
      </c>
      <c r="H203" s="3">
        <f t="shared" si="21"/>
        <v>18</v>
      </c>
      <c r="I203" s="3">
        <f t="shared" si="22"/>
        <v>2.4</v>
      </c>
      <c r="J203" s="3">
        <f t="shared" si="23"/>
        <v>0</v>
      </c>
      <c r="K203" s="3"/>
      <c r="L203" s="4">
        <f t="shared" si="24"/>
        <v>291.5</v>
      </c>
      <c r="M203" s="40">
        <v>0</v>
      </c>
      <c r="N203" s="40">
        <v>0</v>
      </c>
      <c r="O203" s="40">
        <v>0</v>
      </c>
      <c r="P203" s="40">
        <v>0</v>
      </c>
      <c r="Q203" s="40">
        <v>1.2</v>
      </c>
      <c r="R203" s="40"/>
      <c r="S203" s="2">
        <f t="shared" si="19"/>
        <v>99.200000000000045</v>
      </c>
      <c r="T203" s="2">
        <v>0</v>
      </c>
      <c r="U203" s="2">
        <v>0</v>
      </c>
      <c r="V203" s="2">
        <v>5</v>
      </c>
      <c r="W203" s="2">
        <v>0</v>
      </c>
      <c r="X203" s="2">
        <f t="shared" si="20"/>
        <v>172</v>
      </c>
      <c r="Z203" s="1">
        <v>90</v>
      </c>
      <c r="AA203" s="1">
        <v>93</v>
      </c>
      <c r="AB203" s="2">
        <f t="shared" si="25"/>
        <v>183</v>
      </c>
      <c r="AD203" s="121"/>
      <c r="AE203" s="121"/>
    </row>
    <row r="204" spans="1:31" x14ac:dyDescent="0.25">
      <c r="A204" s="2" t="s">
        <v>233</v>
      </c>
      <c r="B204" s="7">
        <v>0.64583333333333337</v>
      </c>
      <c r="C204" s="2">
        <v>7.5</v>
      </c>
      <c r="D204" s="10" t="s">
        <v>234</v>
      </c>
      <c r="E204" s="40">
        <v>18</v>
      </c>
      <c r="F204" s="40">
        <v>2.4</v>
      </c>
      <c r="G204" s="40">
        <v>0</v>
      </c>
      <c r="H204" s="3">
        <f t="shared" si="21"/>
        <v>5.625</v>
      </c>
      <c r="I204" s="3">
        <f t="shared" si="22"/>
        <v>0.74999999999999989</v>
      </c>
      <c r="J204" s="3">
        <f t="shared" si="23"/>
        <v>0</v>
      </c>
      <c r="K204" s="3"/>
      <c r="L204" s="4">
        <f t="shared" si="24"/>
        <v>285.125</v>
      </c>
      <c r="M204" s="40">
        <v>0</v>
      </c>
      <c r="N204" s="40">
        <v>0</v>
      </c>
      <c r="O204" s="40">
        <v>0</v>
      </c>
      <c r="P204" s="40">
        <v>0</v>
      </c>
      <c r="Q204" s="40">
        <v>0.4</v>
      </c>
      <c r="R204" s="40"/>
      <c r="S204" s="2">
        <f t="shared" si="19"/>
        <v>98.80000000000004</v>
      </c>
      <c r="T204" s="2">
        <v>0</v>
      </c>
      <c r="U204" s="2">
        <v>0</v>
      </c>
      <c r="V204" s="2">
        <v>3</v>
      </c>
      <c r="W204" s="2">
        <v>0</v>
      </c>
      <c r="X204" s="2">
        <f t="shared" si="20"/>
        <v>169</v>
      </c>
      <c r="Z204" s="1"/>
      <c r="AA204" s="1"/>
      <c r="AB204" s="2" t="str">
        <f t="shared" si="25"/>
        <v/>
      </c>
      <c r="AD204" s="121">
        <v>12.5</v>
      </c>
      <c r="AE204" s="121" t="s">
        <v>1296</v>
      </c>
    </row>
    <row r="205" spans="1:31" x14ac:dyDescent="0.25">
      <c r="A205" s="2" t="s">
        <v>235</v>
      </c>
      <c r="B205" s="7">
        <v>0.33333333333333331</v>
      </c>
      <c r="C205" s="2">
        <v>16.5</v>
      </c>
      <c r="D205" s="10" t="s">
        <v>236</v>
      </c>
      <c r="E205" s="40">
        <v>0</v>
      </c>
      <c r="F205" s="40">
        <v>2.2000000000000002</v>
      </c>
      <c r="G205" s="40">
        <v>2</v>
      </c>
      <c r="H205" s="3">
        <f t="shared" si="21"/>
        <v>0</v>
      </c>
      <c r="I205" s="3">
        <f t="shared" si="22"/>
        <v>1.5125000000000002</v>
      </c>
      <c r="J205" s="3">
        <f t="shared" si="23"/>
        <v>1.375</v>
      </c>
      <c r="K205" s="3"/>
      <c r="L205" s="4">
        <f t="shared" si="24"/>
        <v>282.23750000000001</v>
      </c>
      <c r="M205" s="40">
        <v>0</v>
      </c>
      <c r="N205" s="40">
        <v>0</v>
      </c>
      <c r="O205" s="40">
        <v>0.3</v>
      </c>
      <c r="P205" s="40">
        <v>0</v>
      </c>
      <c r="Q205" s="40">
        <v>0</v>
      </c>
      <c r="R205" s="40"/>
      <c r="S205" s="2">
        <f t="shared" si="19"/>
        <v>98.500000000000043</v>
      </c>
      <c r="T205" s="2">
        <v>0</v>
      </c>
      <c r="U205" s="2">
        <v>0</v>
      </c>
      <c r="V205" s="2">
        <v>3</v>
      </c>
      <c r="W205" s="2">
        <v>0</v>
      </c>
      <c r="X205" s="2">
        <f t="shared" si="20"/>
        <v>166</v>
      </c>
      <c r="Z205" s="1"/>
      <c r="AA205" s="1"/>
      <c r="AB205" s="2" t="str">
        <f t="shared" si="25"/>
        <v/>
      </c>
      <c r="AD205" s="121"/>
      <c r="AE205" s="121"/>
    </row>
    <row r="206" spans="1:31" x14ac:dyDescent="0.25">
      <c r="A206" s="2" t="s">
        <v>237</v>
      </c>
      <c r="B206" s="7">
        <v>0.33333333333333331</v>
      </c>
      <c r="C206" s="2">
        <v>24</v>
      </c>
      <c r="D206" s="10" t="s">
        <v>236</v>
      </c>
      <c r="E206" s="40">
        <v>0</v>
      </c>
      <c r="F206" s="40">
        <v>2.2000000000000002</v>
      </c>
      <c r="G206" s="40">
        <v>2</v>
      </c>
      <c r="H206" s="3">
        <f t="shared" si="21"/>
        <v>0</v>
      </c>
      <c r="I206" s="3">
        <f t="shared" si="22"/>
        <v>2.2000000000000002</v>
      </c>
      <c r="J206" s="3">
        <f t="shared" si="23"/>
        <v>2</v>
      </c>
      <c r="K206" s="3"/>
      <c r="L206" s="4">
        <f t="shared" si="24"/>
        <v>278.03750000000002</v>
      </c>
      <c r="M206" s="40">
        <v>0</v>
      </c>
      <c r="N206" s="40">
        <v>0</v>
      </c>
      <c r="O206" s="40">
        <v>0.2</v>
      </c>
      <c r="P206" s="40">
        <v>0</v>
      </c>
      <c r="Q206" s="40">
        <v>0</v>
      </c>
      <c r="R206" s="40"/>
      <c r="S206" s="2">
        <f t="shared" si="19"/>
        <v>98.30000000000004</v>
      </c>
      <c r="T206" s="2">
        <v>0</v>
      </c>
      <c r="U206" s="2">
        <v>0</v>
      </c>
      <c r="V206" s="2">
        <v>5</v>
      </c>
      <c r="W206" s="2">
        <v>0</v>
      </c>
      <c r="X206" s="2">
        <f t="shared" si="20"/>
        <v>161</v>
      </c>
      <c r="Z206" s="1"/>
      <c r="AA206" s="1"/>
      <c r="AB206" s="2" t="str">
        <f t="shared" si="25"/>
        <v/>
      </c>
      <c r="AD206" s="121"/>
      <c r="AE206" s="121"/>
    </row>
    <row r="207" spans="1:31" x14ac:dyDescent="0.25">
      <c r="A207" s="2" t="s">
        <v>238</v>
      </c>
      <c r="B207" s="7">
        <v>0.33333333333333331</v>
      </c>
      <c r="C207" s="2">
        <v>24</v>
      </c>
      <c r="D207" s="10" t="s">
        <v>236</v>
      </c>
      <c r="E207" s="40">
        <v>0</v>
      </c>
      <c r="F207" s="40">
        <v>2.2000000000000002</v>
      </c>
      <c r="G207" s="40">
        <v>2</v>
      </c>
      <c r="H207" s="3">
        <f t="shared" si="21"/>
        <v>0</v>
      </c>
      <c r="I207" s="3">
        <f t="shared" si="22"/>
        <v>2.2000000000000002</v>
      </c>
      <c r="J207" s="3">
        <f t="shared" si="23"/>
        <v>2</v>
      </c>
      <c r="K207" s="3"/>
      <c r="L207" s="4">
        <f t="shared" si="24"/>
        <v>273.83750000000003</v>
      </c>
      <c r="M207" s="40">
        <v>0</v>
      </c>
      <c r="N207" s="40">
        <v>0</v>
      </c>
      <c r="O207" s="40">
        <v>0.2</v>
      </c>
      <c r="P207" s="40">
        <v>0.4</v>
      </c>
      <c r="Q207" s="40">
        <v>0</v>
      </c>
      <c r="R207" s="40"/>
      <c r="S207" s="2">
        <f t="shared" si="19"/>
        <v>97.700000000000045</v>
      </c>
      <c r="T207" s="2">
        <v>0</v>
      </c>
      <c r="U207" s="2">
        <v>0</v>
      </c>
      <c r="V207" s="2">
        <v>5</v>
      </c>
      <c r="W207" s="2">
        <v>0</v>
      </c>
      <c r="X207" s="2">
        <f t="shared" si="20"/>
        <v>156</v>
      </c>
      <c r="Z207" s="1"/>
      <c r="AA207" s="1"/>
      <c r="AB207" s="2" t="str">
        <f t="shared" si="25"/>
        <v/>
      </c>
      <c r="AD207" s="121"/>
      <c r="AE207" s="121"/>
    </row>
    <row r="208" spans="1:31" x14ac:dyDescent="0.25">
      <c r="A208" s="2" t="s">
        <v>239</v>
      </c>
      <c r="B208" s="7">
        <v>0.33333333333333331</v>
      </c>
      <c r="C208" s="2">
        <v>24</v>
      </c>
      <c r="D208" s="10" t="s">
        <v>236</v>
      </c>
      <c r="E208" s="40">
        <v>0</v>
      </c>
      <c r="F208" s="40">
        <v>2.2000000000000002</v>
      </c>
      <c r="G208" s="40">
        <v>2</v>
      </c>
      <c r="H208" s="3">
        <f t="shared" si="21"/>
        <v>0</v>
      </c>
      <c r="I208" s="3">
        <f t="shared" si="22"/>
        <v>2.2000000000000002</v>
      </c>
      <c r="J208" s="3">
        <f t="shared" si="23"/>
        <v>2</v>
      </c>
      <c r="K208" s="3"/>
      <c r="L208" s="4">
        <f t="shared" si="24"/>
        <v>269.63750000000005</v>
      </c>
      <c r="M208" s="40">
        <v>0</v>
      </c>
      <c r="N208" s="40">
        <v>0</v>
      </c>
      <c r="O208" s="40">
        <v>0.2</v>
      </c>
      <c r="P208" s="40">
        <v>0.2</v>
      </c>
      <c r="Q208" s="40">
        <v>0</v>
      </c>
      <c r="R208" s="40"/>
      <c r="S208" s="2">
        <f t="shared" si="19"/>
        <v>97.30000000000004</v>
      </c>
      <c r="T208" s="2">
        <v>0</v>
      </c>
      <c r="U208" s="2">
        <v>0</v>
      </c>
      <c r="V208" s="2">
        <v>5</v>
      </c>
      <c r="W208" s="2">
        <v>0</v>
      </c>
      <c r="X208" s="2">
        <f t="shared" si="20"/>
        <v>151</v>
      </c>
      <c r="Z208" s="1"/>
      <c r="AA208" s="1"/>
      <c r="AB208" s="2" t="str">
        <f t="shared" si="25"/>
        <v/>
      </c>
      <c r="AD208" s="121"/>
      <c r="AE208" s="121"/>
    </row>
    <row r="209" spans="1:31" x14ac:dyDescent="0.25">
      <c r="A209" s="2" t="s">
        <v>240</v>
      </c>
      <c r="B209" s="7">
        <v>0.33333333333333331</v>
      </c>
      <c r="C209" s="2">
        <v>24</v>
      </c>
      <c r="D209" s="10" t="s">
        <v>236</v>
      </c>
      <c r="E209" s="40">
        <v>0</v>
      </c>
      <c r="F209" s="40">
        <v>2.2000000000000002</v>
      </c>
      <c r="G209" s="40">
        <v>2</v>
      </c>
      <c r="H209" s="3">
        <f t="shared" si="21"/>
        <v>0</v>
      </c>
      <c r="I209" s="3">
        <f t="shared" si="22"/>
        <v>2.2000000000000002</v>
      </c>
      <c r="J209" s="3">
        <f t="shared" si="23"/>
        <v>2</v>
      </c>
      <c r="K209" s="3"/>
      <c r="L209" s="4">
        <f t="shared" si="24"/>
        <v>265.43750000000006</v>
      </c>
      <c r="M209" s="40">
        <v>0</v>
      </c>
      <c r="N209" s="40">
        <v>0</v>
      </c>
      <c r="O209" s="40">
        <v>0.2</v>
      </c>
      <c r="P209" s="40">
        <v>0</v>
      </c>
      <c r="Q209" s="40">
        <v>0</v>
      </c>
      <c r="R209" s="40"/>
      <c r="S209" s="2">
        <f t="shared" si="19"/>
        <v>97.100000000000037</v>
      </c>
      <c r="T209" s="2">
        <v>0</v>
      </c>
      <c r="U209" s="2">
        <v>0</v>
      </c>
      <c r="V209" s="2">
        <v>5</v>
      </c>
      <c r="W209" s="2">
        <v>0</v>
      </c>
      <c r="X209" s="2">
        <f t="shared" si="20"/>
        <v>146</v>
      </c>
      <c r="Z209" s="1"/>
      <c r="AA209" s="1"/>
      <c r="AB209" s="2" t="str">
        <f t="shared" si="25"/>
        <v/>
      </c>
      <c r="AD209" s="121"/>
      <c r="AE209" s="121"/>
    </row>
    <row r="210" spans="1:31" x14ac:dyDescent="0.25">
      <c r="A210" s="2" t="s">
        <v>242</v>
      </c>
      <c r="B210" s="7">
        <v>0.33333333333333331</v>
      </c>
      <c r="C210" s="2">
        <v>24</v>
      </c>
      <c r="D210" s="10" t="s">
        <v>236</v>
      </c>
      <c r="E210" s="40">
        <v>0</v>
      </c>
      <c r="F210" s="40">
        <v>2.2000000000000002</v>
      </c>
      <c r="G210" s="40">
        <v>2</v>
      </c>
      <c r="H210" s="3">
        <f t="shared" si="21"/>
        <v>0</v>
      </c>
      <c r="I210" s="3">
        <f t="shared" si="22"/>
        <v>2.2000000000000002</v>
      </c>
      <c r="J210" s="3">
        <f t="shared" si="23"/>
        <v>2</v>
      </c>
      <c r="K210" s="3"/>
      <c r="L210" s="4">
        <f t="shared" si="24"/>
        <v>261.23750000000007</v>
      </c>
      <c r="M210" s="40">
        <v>0</v>
      </c>
      <c r="N210" s="40">
        <v>0</v>
      </c>
      <c r="O210" s="40">
        <v>0.2</v>
      </c>
      <c r="P210" s="40">
        <v>0</v>
      </c>
      <c r="Q210" s="40">
        <v>0</v>
      </c>
      <c r="R210" s="40"/>
      <c r="S210" s="2">
        <f t="shared" si="19"/>
        <v>96.900000000000034</v>
      </c>
      <c r="T210" s="2">
        <v>0</v>
      </c>
      <c r="U210" s="2">
        <v>0</v>
      </c>
      <c r="V210" s="2">
        <v>4</v>
      </c>
      <c r="W210" s="2"/>
      <c r="X210" s="2">
        <f t="shared" si="20"/>
        <v>142</v>
      </c>
      <c r="Z210" s="1"/>
      <c r="AA210" s="1"/>
      <c r="AB210" s="2" t="str">
        <f t="shared" si="25"/>
        <v/>
      </c>
      <c r="AD210" s="121"/>
      <c r="AE210" s="121"/>
    </row>
    <row r="211" spans="1:31" x14ac:dyDescent="0.25">
      <c r="A211" s="2" t="s">
        <v>243</v>
      </c>
      <c r="B211" s="7">
        <v>0.33333333333333331</v>
      </c>
      <c r="C211" s="2">
        <v>24</v>
      </c>
      <c r="D211" s="10" t="s">
        <v>236</v>
      </c>
      <c r="E211" s="40">
        <v>0</v>
      </c>
      <c r="F211" s="40">
        <v>2.2000000000000002</v>
      </c>
      <c r="G211" s="40">
        <v>2</v>
      </c>
      <c r="H211" s="3">
        <f t="shared" si="21"/>
        <v>0</v>
      </c>
      <c r="I211" s="3">
        <f t="shared" si="22"/>
        <v>2.2000000000000002</v>
      </c>
      <c r="J211" s="3">
        <f t="shared" si="23"/>
        <v>2</v>
      </c>
      <c r="K211" s="3"/>
      <c r="L211" s="4">
        <f t="shared" si="24"/>
        <v>257.03750000000008</v>
      </c>
      <c r="M211" s="40">
        <v>0</v>
      </c>
      <c r="N211" s="40">
        <v>0</v>
      </c>
      <c r="O211" s="40">
        <v>0.2</v>
      </c>
      <c r="P211" s="40">
        <v>0</v>
      </c>
      <c r="Q211" s="40">
        <v>0</v>
      </c>
      <c r="R211" s="40"/>
      <c r="S211" s="2">
        <f t="shared" si="19"/>
        <v>96.700000000000031</v>
      </c>
      <c r="T211" s="2">
        <v>0</v>
      </c>
      <c r="U211" s="2">
        <v>0</v>
      </c>
      <c r="V211" s="2">
        <v>4</v>
      </c>
      <c r="W211" s="2">
        <v>0</v>
      </c>
      <c r="X211" s="2">
        <f t="shared" si="20"/>
        <v>138</v>
      </c>
      <c r="Z211" s="1"/>
      <c r="AA211" s="1"/>
      <c r="AB211" s="2" t="str">
        <f t="shared" si="25"/>
        <v/>
      </c>
      <c r="AD211" s="121"/>
      <c r="AE211" s="121"/>
    </row>
    <row r="212" spans="1:31" x14ac:dyDescent="0.25">
      <c r="A212" s="2" t="s">
        <v>241</v>
      </c>
      <c r="B212" s="7">
        <v>0.33333333333333331</v>
      </c>
      <c r="C212" s="2">
        <v>24</v>
      </c>
      <c r="D212" s="10" t="s">
        <v>236</v>
      </c>
      <c r="E212" s="40">
        <v>0</v>
      </c>
      <c r="F212" s="40">
        <v>2.2000000000000002</v>
      </c>
      <c r="G212" s="40">
        <v>2</v>
      </c>
      <c r="H212" s="3">
        <f t="shared" si="21"/>
        <v>0</v>
      </c>
      <c r="I212" s="3">
        <f t="shared" si="22"/>
        <v>2.2000000000000002</v>
      </c>
      <c r="J212" s="3">
        <f t="shared" si="23"/>
        <v>2</v>
      </c>
      <c r="K212" s="3"/>
      <c r="L212" s="4">
        <f t="shared" si="24"/>
        <v>252.83750000000009</v>
      </c>
      <c r="M212" s="40">
        <v>0</v>
      </c>
      <c r="N212" s="40">
        <v>0</v>
      </c>
      <c r="O212" s="40">
        <v>0.2</v>
      </c>
      <c r="P212" s="40">
        <v>0</v>
      </c>
      <c r="Q212" s="40">
        <v>0</v>
      </c>
      <c r="R212" s="40"/>
      <c r="S212" s="2">
        <f t="shared" si="19"/>
        <v>96.500000000000028</v>
      </c>
      <c r="T212" s="2">
        <v>0</v>
      </c>
      <c r="U212" s="2">
        <v>0</v>
      </c>
      <c r="V212" s="2">
        <v>4</v>
      </c>
      <c r="W212" s="2">
        <v>0</v>
      </c>
      <c r="X212" s="2">
        <f t="shared" si="20"/>
        <v>134</v>
      </c>
      <c r="Z212" s="1"/>
      <c r="AA212" s="1"/>
      <c r="AB212" s="2" t="str">
        <f t="shared" si="25"/>
        <v/>
      </c>
      <c r="AD212" s="121"/>
      <c r="AE212" s="121"/>
    </row>
    <row r="213" spans="1:31" x14ac:dyDescent="0.25">
      <c r="A213" s="2" t="s">
        <v>244</v>
      </c>
      <c r="B213" s="7">
        <v>0.33333333333333331</v>
      </c>
      <c r="C213" s="2">
        <v>24</v>
      </c>
      <c r="D213" s="10" t="s">
        <v>236</v>
      </c>
      <c r="E213" s="40">
        <v>0</v>
      </c>
      <c r="F213" s="40">
        <v>2.2000000000000002</v>
      </c>
      <c r="G213" s="40">
        <v>2</v>
      </c>
      <c r="H213" s="3">
        <f t="shared" si="21"/>
        <v>0</v>
      </c>
      <c r="I213" s="3">
        <f t="shared" si="22"/>
        <v>2.2000000000000002</v>
      </c>
      <c r="J213" s="3">
        <f t="shared" si="23"/>
        <v>2</v>
      </c>
      <c r="K213" s="3"/>
      <c r="L213" s="4">
        <f t="shared" si="24"/>
        <v>248.6375000000001</v>
      </c>
      <c r="M213" s="40">
        <v>0</v>
      </c>
      <c r="N213" s="40">
        <v>0</v>
      </c>
      <c r="O213" s="40">
        <v>0.2</v>
      </c>
      <c r="P213" s="40">
        <v>0</v>
      </c>
      <c r="Q213" s="40">
        <v>0</v>
      </c>
      <c r="R213" s="40"/>
      <c r="S213" s="2">
        <f t="shared" si="19"/>
        <v>96.300000000000026</v>
      </c>
      <c r="T213" s="2">
        <v>0</v>
      </c>
      <c r="U213" s="2">
        <v>0</v>
      </c>
      <c r="V213" s="2">
        <v>4</v>
      </c>
      <c r="W213" s="2">
        <v>0</v>
      </c>
      <c r="X213" s="2">
        <f t="shared" si="20"/>
        <v>130</v>
      </c>
      <c r="Z213" s="1">
        <v>75</v>
      </c>
      <c r="AA213" s="1">
        <v>75</v>
      </c>
      <c r="AB213" s="2">
        <f t="shared" si="25"/>
        <v>150</v>
      </c>
      <c r="AD213" s="121"/>
      <c r="AE213" s="121"/>
    </row>
    <row r="214" spans="1:31" x14ac:dyDescent="0.25">
      <c r="A214" s="2" t="s">
        <v>245</v>
      </c>
      <c r="B214" s="7">
        <v>0.33333333333333331</v>
      </c>
      <c r="C214" s="2">
        <v>24</v>
      </c>
      <c r="D214" s="10" t="s">
        <v>236</v>
      </c>
      <c r="E214" s="40">
        <v>0</v>
      </c>
      <c r="F214" s="40">
        <v>2.2000000000000002</v>
      </c>
      <c r="G214" s="40">
        <v>2</v>
      </c>
      <c r="H214" s="3">
        <f t="shared" si="21"/>
        <v>0</v>
      </c>
      <c r="I214" s="3">
        <f t="shared" si="22"/>
        <v>2.2000000000000002</v>
      </c>
      <c r="J214" s="3">
        <f t="shared" si="23"/>
        <v>2</v>
      </c>
      <c r="K214" s="3"/>
      <c r="L214" s="4">
        <f t="shared" si="24"/>
        <v>244.43750000000011</v>
      </c>
      <c r="M214" s="40">
        <v>0</v>
      </c>
      <c r="N214" s="40">
        <v>0</v>
      </c>
      <c r="O214" s="40">
        <v>0.2</v>
      </c>
      <c r="P214" s="40">
        <v>0</v>
      </c>
      <c r="Q214" s="40">
        <v>0</v>
      </c>
      <c r="R214" s="40"/>
      <c r="S214" s="2">
        <f t="shared" si="19"/>
        <v>96.100000000000023</v>
      </c>
      <c r="T214" s="2">
        <v>0</v>
      </c>
      <c r="U214" s="2">
        <v>0</v>
      </c>
      <c r="V214" s="2">
        <v>4</v>
      </c>
      <c r="W214" s="2">
        <v>0</v>
      </c>
      <c r="X214" s="2">
        <f t="shared" si="20"/>
        <v>126</v>
      </c>
      <c r="Z214" s="1"/>
      <c r="AA214" s="1"/>
      <c r="AB214" s="2" t="str">
        <f t="shared" si="25"/>
        <v/>
      </c>
      <c r="AD214" s="121"/>
      <c r="AE214" s="121"/>
    </row>
    <row r="215" spans="1:31" x14ac:dyDescent="0.25">
      <c r="A215" s="2" t="s">
        <v>246</v>
      </c>
      <c r="B215" s="7">
        <v>0.33333333333333331</v>
      </c>
      <c r="C215" s="2">
        <v>24</v>
      </c>
      <c r="D215" s="10" t="s">
        <v>236</v>
      </c>
      <c r="E215" s="40">
        <v>0</v>
      </c>
      <c r="F215" s="40">
        <v>2.2000000000000002</v>
      </c>
      <c r="G215" s="40">
        <v>2</v>
      </c>
      <c r="H215" s="3">
        <f t="shared" si="21"/>
        <v>0</v>
      </c>
      <c r="I215" s="3">
        <f t="shared" si="22"/>
        <v>2.2000000000000002</v>
      </c>
      <c r="J215" s="3">
        <f t="shared" si="23"/>
        <v>2</v>
      </c>
      <c r="K215" s="3"/>
      <c r="L215" s="4">
        <f t="shared" si="24"/>
        <v>240.23750000000013</v>
      </c>
      <c r="M215" s="40">
        <v>0</v>
      </c>
      <c r="N215" s="40">
        <v>0</v>
      </c>
      <c r="O215" s="40">
        <v>0.2</v>
      </c>
      <c r="P215" s="40">
        <v>0</v>
      </c>
      <c r="Q215" s="40">
        <v>0</v>
      </c>
      <c r="R215" s="40"/>
      <c r="S215" s="2">
        <f t="shared" si="19"/>
        <v>95.90000000000002</v>
      </c>
      <c r="T215" s="2">
        <v>0</v>
      </c>
      <c r="U215" s="2">
        <v>0</v>
      </c>
      <c r="V215" s="2">
        <v>4</v>
      </c>
      <c r="W215" s="2">
        <v>0</v>
      </c>
      <c r="X215" s="2">
        <f t="shared" si="20"/>
        <v>122</v>
      </c>
      <c r="Z215" s="1">
        <v>130</v>
      </c>
      <c r="AA215" s="1">
        <v>0</v>
      </c>
      <c r="AB215" s="2">
        <f t="shared" si="25"/>
        <v>130</v>
      </c>
      <c r="AD215" s="121"/>
      <c r="AE215" s="121"/>
    </row>
    <row r="216" spans="1:31" x14ac:dyDescent="0.25">
      <c r="A216" s="2" t="s">
        <v>247</v>
      </c>
      <c r="B216" s="7">
        <v>0</v>
      </c>
      <c r="C216" s="2">
        <v>16</v>
      </c>
      <c r="D216" s="10" t="s">
        <v>190</v>
      </c>
      <c r="E216" s="40">
        <v>0</v>
      </c>
      <c r="F216" s="40">
        <v>2.2000000000000002</v>
      </c>
      <c r="G216" s="40">
        <v>2</v>
      </c>
      <c r="H216" s="3">
        <f t="shared" si="21"/>
        <v>0</v>
      </c>
      <c r="I216" s="3">
        <f t="shared" si="22"/>
        <v>1.4666666666666668</v>
      </c>
      <c r="J216" s="3">
        <f t="shared" si="23"/>
        <v>1.3333333333333333</v>
      </c>
      <c r="K216" s="3"/>
      <c r="L216" s="4">
        <f t="shared" si="24"/>
        <v>237.43750000000011</v>
      </c>
      <c r="M216" s="40">
        <v>0</v>
      </c>
      <c r="N216" s="40">
        <v>0</v>
      </c>
      <c r="O216" s="40">
        <v>0.1</v>
      </c>
      <c r="P216" s="40">
        <v>0</v>
      </c>
      <c r="Q216" s="40">
        <v>2</v>
      </c>
      <c r="R216" s="40"/>
      <c r="S216" s="2">
        <f t="shared" si="19"/>
        <v>93.800000000000026</v>
      </c>
      <c r="T216" s="2">
        <v>0</v>
      </c>
      <c r="U216" s="2">
        <v>0</v>
      </c>
      <c r="V216" s="2">
        <v>3</v>
      </c>
      <c r="W216" s="2">
        <v>0</v>
      </c>
      <c r="X216" s="2">
        <f t="shared" si="20"/>
        <v>119</v>
      </c>
      <c r="Z216" s="1"/>
      <c r="AA216" s="1"/>
      <c r="AB216" s="2" t="str">
        <f t="shared" si="25"/>
        <v/>
      </c>
      <c r="AD216" s="121"/>
      <c r="AE216" s="121"/>
    </row>
    <row r="217" spans="1:31" x14ac:dyDescent="0.25">
      <c r="A217" s="2" t="s">
        <v>248</v>
      </c>
      <c r="B217" s="7">
        <v>0.13333333333333333</v>
      </c>
      <c r="C217" s="2">
        <v>3.2</v>
      </c>
      <c r="D217" s="10" t="s">
        <v>69</v>
      </c>
      <c r="E217" s="40">
        <v>12</v>
      </c>
      <c r="F217" s="40">
        <v>2.8</v>
      </c>
      <c r="G217" s="40">
        <v>2</v>
      </c>
      <c r="H217" s="3">
        <f t="shared" si="21"/>
        <v>1.6</v>
      </c>
      <c r="I217" s="3">
        <f t="shared" si="22"/>
        <v>0.37333333333333329</v>
      </c>
      <c r="J217" s="3">
        <f t="shared" si="23"/>
        <v>0.26666666666666666</v>
      </c>
      <c r="K217" s="3"/>
      <c r="L217" s="4">
        <f t="shared" si="24"/>
        <v>235.1975000000001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/>
      <c r="S217" s="2">
        <f t="shared" si="19"/>
        <v>93.800000000000026</v>
      </c>
      <c r="T217" s="2">
        <v>0</v>
      </c>
      <c r="U217" s="2">
        <v>0</v>
      </c>
      <c r="V217" s="2">
        <v>1</v>
      </c>
      <c r="W217" s="2">
        <v>0</v>
      </c>
      <c r="X217" s="2">
        <f t="shared" si="20"/>
        <v>118</v>
      </c>
      <c r="Z217" s="1"/>
      <c r="AA217" s="1"/>
      <c r="AB217" s="2" t="str">
        <f t="shared" si="25"/>
        <v/>
      </c>
      <c r="AD217" s="121"/>
      <c r="AE217" s="121"/>
    </row>
    <row r="218" spans="1:31" x14ac:dyDescent="0.25">
      <c r="A218" s="2" t="s">
        <v>249</v>
      </c>
      <c r="B218" s="7">
        <v>0.33333333333333331</v>
      </c>
      <c r="C218" s="2">
        <v>4.8</v>
      </c>
      <c r="D218" s="10" t="s">
        <v>69</v>
      </c>
      <c r="E218" s="40">
        <v>0</v>
      </c>
      <c r="F218" s="40">
        <v>2.8</v>
      </c>
      <c r="G218" s="40">
        <v>2</v>
      </c>
      <c r="H218" s="3">
        <f t="shared" si="21"/>
        <v>0</v>
      </c>
      <c r="I218" s="3">
        <f t="shared" si="22"/>
        <v>0.55999999999999994</v>
      </c>
      <c r="J218" s="3">
        <f t="shared" si="23"/>
        <v>0.39999999999999997</v>
      </c>
      <c r="K218" s="3"/>
      <c r="L218" s="4">
        <f t="shared" si="24"/>
        <v>234.2375000000001</v>
      </c>
      <c r="M218" s="40">
        <v>0</v>
      </c>
      <c r="N218" s="40">
        <v>0</v>
      </c>
      <c r="O218" s="40">
        <v>0.1</v>
      </c>
      <c r="P218" s="40">
        <v>0</v>
      </c>
      <c r="Q218" s="40">
        <v>0</v>
      </c>
      <c r="R218" s="40"/>
      <c r="S218" s="2">
        <f t="shared" si="19"/>
        <v>93.700000000000031</v>
      </c>
      <c r="T218" s="2">
        <v>0</v>
      </c>
      <c r="U218" s="2">
        <v>0</v>
      </c>
      <c r="V218" s="2">
        <v>1</v>
      </c>
      <c r="W218" s="2">
        <v>0</v>
      </c>
      <c r="X218" s="2">
        <f t="shared" si="20"/>
        <v>117</v>
      </c>
      <c r="Z218" s="1"/>
      <c r="AA218" s="1"/>
      <c r="AB218" s="2" t="str">
        <f t="shared" si="25"/>
        <v/>
      </c>
      <c r="AD218" s="121"/>
      <c r="AE218" s="121"/>
    </row>
    <row r="219" spans="1:31" x14ac:dyDescent="0.25">
      <c r="A219" s="2" t="s">
        <v>250</v>
      </c>
      <c r="B219" s="7">
        <v>0.33333333333333331</v>
      </c>
      <c r="C219" s="2">
        <v>24</v>
      </c>
      <c r="D219" s="10" t="s">
        <v>69</v>
      </c>
      <c r="E219" s="40">
        <v>0</v>
      </c>
      <c r="F219" s="40">
        <v>2.8</v>
      </c>
      <c r="G219" s="40">
        <v>2</v>
      </c>
      <c r="H219" s="3">
        <f t="shared" si="21"/>
        <v>0</v>
      </c>
      <c r="I219" s="3">
        <f t="shared" si="22"/>
        <v>2.8</v>
      </c>
      <c r="J219" s="3">
        <f t="shared" si="23"/>
        <v>2</v>
      </c>
      <c r="K219" s="3"/>
      <c r="L219" s="4">
        <f t="shared" si="24"/>
        <v>229.43750000000009</v>
      </c>
      <c r="M219" s="40">
        <v>0</v>
      </c>
      <c r="N219" s="40">
        <v>0</v>
      </c>
      <c r="O219" s="40">
        <v>0.2</v>
      </c>
      <c r="P219" s="40">
        <v>0</v>
      </c>
      <c r="Q219" s="40">
        <v>0.5</v>
      </c>
      <c r="R219" s="40"/>
      <c r="S219" s="2">
        <f t="shared" si="19"/>
        <v>93.000000000000028</v>
      </c>
      <c r="T219" s="2">
        <v>0</v>
      </c>
      <c r="U219" s="2">
        <v>0</v>
      </c>
      <c r="V219" s="2">
        <v>5</v>
      </c>
      <c r="W219" s="2">
        <v>0</v>
      </c>
      <c r="X219" s="2">
        <f t="shared" si="20"/>
        <v>112</v>
      </c>
      <c r="Z219" s="1">
        <v>122</v>
      </c>
      <c r="AA219" s="1">
        <v>0</v>
      </c>
      <c r="AB219" s="2">
        <f t="shared" si="25"/>
        <v>122</v>
      </c>
      <c r="AD219" s="121"/>
      <c r="AE219" s="121"/>
    </row>
    <row r="220" spans="1:31" x14ac:dyDescent="0.25">
      <c r="A220" s="2" t="s">
        <v>251</v>
      </c>
      <c r="B220" s="7">
        <v>0.33333333333333331</v>
      </c>
      <c r="C220" s="2">
        <v>24</v>
      </c>
      <c r="D220" s="10" t="s">
        <v>69</v>
      </c>
      <c r="E220" s="40">
        <v>0</v>
      </c>
      <c r="F220" s="40">
        <v>2.8</v>
      </c>
      <c r="G220" s="40">
        <v>2</v>
      </c>
      <c r="H220" s="3">
        <f t="shared" si="21"/>
        <v>0</v>
      </c>
      <c r="I220" s="3">
        <f t="shared" si="22"/>
        <v>2.8</v>
      </c>
      <c r="J220" s="3">
        <f t="shared" si="23"/>
        <v>2</v>
      </c>
      <c r="K220" s="3"/>
      <c r="L220" s="4">
        <f t="shared" si="24"/>
        <v>224.63750000000007</v>
      </c>
      <c r="M220" s="40">
        <v>0</v>
      </c>
      <c r="N220" s="40">
        <v>0</v>
      </c>
      <c r="O220" s="40">
        <v>0.2</v>
      </c>
      <c r="P220" s="40">
        <v>0</v>
      </c>
      <c r="Q220" s="40">
        <v>0.4</v>
      </c>
      <c r="R220" s="40"/>
      <c r="S220" s="2">
        <f t="shared" si="19"/>
        <v>92.400000000000034</v>
      </c>
      <c r="T220" s="2">
        <v>0</v>
      </c>
      <c r="U220" s="2">
        <v>0</v>
      </c>
      <c r="V220" s="2">
        <v>4</v>
      </c>
      <c r="W220" s="2">
        <v>0</v>
      </c>
      <c r="X220" s="2">
        <f t="shared" si="20"/>
        <v>108</v>
      </c>
      <c r="Z220" s="1">
        <v>118</v>
      </c>
      <c r="AA220" s="1">
        <v>0</v>
      </c>
      <c r="AB220" s="2">
        <f t="shared" si="25"/>
        <v>118</v>
      </c>
      <c r="AD220" s="121"/>
      <c r="AE220" s="121"/>
    </row>
    <row r="221" spans="1:31" x14ac:dyDescent="0.25">
      <c r="A221" s="2" t="s">
        <v>251</v>
      </c>
      <c r="B221" s="7">
        <v>0.95833333333333337</v>
      </c>
      <c r="C221" s="2">
        <v>15</v>
      </c>
      <c r="D221" s="10" t="s">
        <v>252</v>
      </c>
      <c r="E221" s="40">
        <v>0</v>
      </c>
      <c r="F221" s="40">
        <v>3</v>
      </c>
      <c r="G221" s="40">
        <v>2</v>
      </c>
      <c r="H221" s="3">
        <f t="shared" si="21"/>
        <v>0</v>
      </c>
      <c r="I221" s="3">
        <f t="shared" si="22"/>
        <v>1.875</v>
      </c>
      <c r="J221" s="3">
        <f t="shared" si="23"/>
        <v>1.25</v>
      </c>
      <c r="K221" s="3"/>
      <c r="L221" s="4">
        <f t="shared" si="24"/>
        <v>221.51250000000007</v>
      </c>
      <c r="M221" s="40">
        <v>0</v>
      </c>
      <c r="N221" s="40">
        <v>0</v>
      </c>
      <c r="O221" s="40">
        <v>0.2</v>
      </c>
      <c r="P221" s="40">
        <v>0</v>
      </c>
      <c r="Q221" s="40">
        <v>0.8</v>
      </c>
      <c r="R221" s="40"/>
      <c r="S221" s="2">
        <f t="shared" si="19"/>
        <v>91.400000000000034</v>
      </c>
      <c r="T221" s="2">
        <v>0</v>
      </c>
      <c r="U221" s="2">
        <v>0</v>
      </c>
      <c r="V221" s="2">
        <v>3</v>
      </c>
      <c r="W221" s="2">
        <v>0</v>
      </c>
      <c r="X221" s="2">
        <f t="shared" si="20"/>
        <v>105</v>
      </c>
      <c r="Z221" s="1"/>
      <c r="AA221" s="1"/>
      <c r="AB221" s="2" t="str">
        <f t="shared" si="25"/>
        <v/>
      </c>
      <c r="AD221" s="121"/>
      <c r="AE221" s="121"/>
    </row>
    <row r="222" spans="1:31" x14ac:dyDescent="0.25">
      <c r="A222" s="2" t="s">
        <v>253</v>
      </c>
      <c r="B222" s="7">
        <v>8.3333333333333329E-2</v>
      </c>
      <c r="C222" s="2">
        <v>3</v>
      </c>
      <c r="D222" s="10" t="s">
        <v>50</v>
      </c>
      <c r="E222" s="40">
        <v>14</v>
      </c>
      <c r="F222" s="40">
        <v>2.8</v>
      </c>
      <c r="G222" s="40">
        <v>2</v>
      </c>
      <c r="H222" s="3">
        <f t="shared" si="21"/>
        <v>1.75</v>
      </c>
      <c r="I222" s="3">
        <f t="shared" si="22"/>
        <v>0.35</v>
      </c>
      <c r="J222" s="3">
        <f t="shared" si="23"/>
        <v>0.25</v>
      </c>
      <c r="K222" s="3"/>
      <c r="L222" s="4">
        <f t="shared" si="24"/>
        <v>219.16250000000008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/>
      <c r="S222" s="2">
        <f t="shared" si="19"/>
        <v>91.400000000000034</v>
      </c>
      <c r="T222" s="2">
        <v>0</v>
      </c>
      <c r="U222" s="2">
        <v>0</v>
      </c>
      <c r="V222" s="2">
        <v>2</v>
      </c>
      <c r="W222" s="2">
        <v>0</v>
      </c>
      <c r="X222" s="2">
        <f t="shared" si="20"/>
        <v>103</v>
      </c>
      <c r="Z222" s="1"/>
      <c r="AA222" s="1"/>
      <c r="AB222" s="2" t="str">
        <f t="shared" si="25"/>
        <v/>
      </c>
      <c r="AD222" s="121"/>
      <c r="AE222" s="121"/>
    </row>
    <row r="223" spans="1:31" x14ac:dyDescent="0.25">
      <c r="A223" s="2" t="s">
        <v>253</v>
      </c>
      <c r="B223" s="7">
        <v>0.33333333333333331</v>
      </c>
      <c r="C223" s="2">
        <v>6</v>
      </c>
      <c r="D223" s="10" t="s">
        <v>50</v>
      </c>
      <c r="E223" s="40">
        <v>0</v>
      </c>
      <c r="F223" s="40">
        <v>2.6</v>
      </c>
      <c r="G223" s="40">
        <v>2</v>
      </c>
      <c r="H223" s="3">
        <f t="shared" si="21"/>
        <v>0</v>
      </c>
      <c r="I223" s="3">
        <f t="shared" si="22"/>
        <v>0.65</v>
      </c>
      <c r="J223" s="3">
        <f t="shared" si="23"/>
        <v>0.5</v>
      </c>
      <c r="K223" s="3"/>
      <c r="L223" s="4">
        <f t="shared" si="24"/>
        <v>218.01250000000007</v>
      </c>
      <c r="M223" s="40">
        <v>0</v>
      </c>
      <c r="N223" s="40">
        <v>0</v>
      </c>
      <c r="O223" s="40">
        <v>0</v>
      </c>
      <c r="P223" s="40">
        <v>0</v>
      </c>
      <c r="Q223" s="40">
        <v>0.3</v>
      </c>
      <c r="R223" s="40"/>
      <c r="S223" s="2">
        <f t="shared" si="19"/>
        <v>91.100000000000037</v>
      </c>
      <c r="T223" s="2">
        <v>0</v>
      </c>
      <c r="U223" s="2">
        <v>0</v>
      </c>
      <c r="V223" s="2">
        <v>1</v>
      </c>
      <c r="W223" s="2">
        <v>0</v>
      </c>
      <c r="X223" s="2">
        <f t="shared" si="20"/>
        <v>102</v>
      </c>
      <c r="Z223" s="1"/>
      <c r="AA223" s="1"/>
      <c r="AB223" s="2" t="str">
        <f t="shared" si="25"/>
        <v/>
      </c>
      <c r="AD223" s="121"/>
      <c r="AE223" s="121"/>
    </row>
    <row r="224" spans="1:31" x14ac:dyDescent="0.25">
      <c r="A224" s="2" t="s">
        <v>254</v>
      </c>
      <c r="B224" s="7">
        <v>0.33333333333333331</v>
      </c>
      <c r="C224" s="2">
        <v>24</v>
      </c>
      <c r="D224" s="10" t="s">
        <v>50</v>
      </c>
      <c r="E224" s="40">
        <v>0</v>
      </c>
      <c r="F224" s="40">
        <v>2.6</v>
      </c>
      <c r="G224" s="40">
        <v>2</v>
      </c>
      <c r="H224" s="3">
        <f t="shared" si="21"/>
        <v>0</v>
      </c>
      <c r="I224" s="3">
        <f t="shared" si="22"/>
        <v>2.6</v>
      </c>
      <c r="J224" s="3">
        <f t="shared" si="23"/>
        <v>2</v>
      </c>
      <c r="K224" s="3"/>
      <c r="L224" s="4">
        <f t="shared" si="24"/>
        <v>213.41250000000008</v>
      </c>
      <c r="M224" s="40">
        <v>0</v>
      </c>
      <c r="N224" s="40">
        <v>0</v>
      </c>
      <c r="O224" s="40">
        <v>0.2</v>
      </c>
      <c r="P224" s="40">
        <v>0</v>
      </c>
      <c r="Q224" s="40">
        <v>1.2</v>
      </c>
      <c r="R224" s="40"/>
      <c r="S224" s="2">
        <f t="shared" si="19"/>
        <v>89.700000000000031</v>
      </c>
      <c r="T224" s="2">
        <v>0</v>
      </c>
      <c r="U224" s="2">
        <v>0</v>
      </c>
      <c r="V224" s="2">
        <v>5</v>
      </c>
      <c r="W224" s="2">
        <v>0</v>
      </c>
      <c r="X224" s="2">
        <f t="shared" si="20"/>
        <v>97</v>
      </c>
      <c r="Z224" s="1"/>
      <c r="AA224" s="1"/>
      <c r="AB224" s="2" t="str">
        <f t="shared" si="25"/>
        <v/>
      </c>
      <c r="AD224" s="121"/>
      <c r="AE224" s="121"/>
    </row>
    <row r="225" spans="1:31" x14ac:dyDescent="0.25">
      <c r="A225" s="2" t="s">
        <v>255</v>
      </c>
      <c r="B225" s="7">
        <v>0.33333333333333331</v>
      </c>
      <c r="C225" s="2">
        <v>24</v>
      </c>
      <c r="D225" s="10" t="s">
        <v>50</v>
      </c>
      <c r="E225" s="40">
        <v>0</v>
      </c>
      <c r="F225" s="40">
        <v>2.2000000000000002</v>
      </c>
      <c r="G225" s="40">
        <v>2</v>
      </c>
      <c r="H225" s="3">
        <f t="shared" si="21"/>
        <v>0</v>
      </c>
      <c r="I225" s="3">
        <f t="shared" si="22"/>
        <v>2.2000000000000002</v>
      </c>
      <c r="J225" s="3">
        <f t="shared" si="23"/>
        <v>2</v>
      </c>
      <c r="K225" s="3"/>
      <c r="L225" s="4">
        <f t="shared" si="24"/>
        <v>209.21250000000009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/>
      <c r="S225" s="2">
        <f t="shared" si="19"/>
        <v>89.700000000000031</v>
      </c>
      <c r="T225" s="2">
        <v>0</v>
      </c>
      <c r="U225" s="2">
        <v>100</v>
      </c>
      <c r="V225" s="2">
        <v>4</v>
      </c>
      <c r="W225" s="2">
        <v>0</v>
      </c>
      <c r="X225" s="2">
        <f t="shared" si="20"/>
        <v>193</v>
      </c>
      <c r="Z225" s="1">
        <v>133</v>
      </c>
      <c r="AA225" s="1">
        <v>80</v>
      </c>
      <c r="AB225" s="2">
        <f t="shared" si="25"/>
        <v>213</v>
      </c>
      <c r="AD225" s="121"/>
      <c r="AE225" s="121"/>
    </row>
    <row r="226" spans="1:31" x14ac:dyDescent="0.25">
      <c r="A226" s="2" t="s">
        <v>256</v>
      </c>
      <c r="B226" s="7">
        <v>0.33333333333333331</v>
      </c>
      <c r="C226" s="2">
        <v>24</v>
      </c>
      <c r="D226" s="10" t="s">
        <v>50</v>
      </c>
      <c r="E226" s="40">
        <v>0</v>
      </c>
      <c r="F226" s="40">
        <v>2.2000000000000002</v>
      </c>
      <c r="G226" s="40">
        <v>2</v>
      </c>
      <c r="H226" s="3">
        <f t="shared" si="21"/>
        <v>0</v>
      </c>
      <c r="I226" s="3">
        <f t="shared" si="22"/>
        <v>2.2000000000000002</v>
      </c>
      <c r="J226" s="3">
        <f t="shared" si="23"/>
        <v>2</v>
      </c>
      <c r="K226" s="3"/>
      <c r="L226" s="4">
        <f t="shared" si="24"/>
        <v>205.0125000000001</v>
      </c>
      <c r="M226" s="40">
        <v>0</v>
      </c>
      <c r="N226" s="40">
        <v>0</v>
      </c>
      <c r="O226" s="40">
        <v>0.2</v>
      </c>
      <c r="P226" s="40">
        <v>0</v>
      </c>
      <c r="Q226" s="40">
        <v>0</v>
      </c>
      <c r="R226" s="40"/>
      <c r="S226" s="2">
        <f t="shared" si="19"/>
        <v>89.500000000000028</v>
      </c>
      <c r="T226" s="2">
        <v>0</v>
      </c>
      <c r="U226" s="2">
        <v>0</v>
      </c>
      <c r="V226" s="2">
        <v>4</v>
      </c>
      <c r="W226" s="2">
        <v>0</v>
      </c>
      <c r="X226" s="2">
        <f t="shared" si="20"/>
        <v>189</v>
      </c>
      <c r="Z226" s="1"/>
      <c r="AA226" s="1"/>
      <c r="AB226" s="2" t="str">
        <f t="shared" si="25"/>
        <v/>
      </c>
      <c r="AD226" s="121"/>
      <c r="AE226" s="121"/>
    </row>
    <row r="227" spans="1:31" x14ac:dyDescent="0.25">
      <c r="A227" s="2" t="s">
        <v>256</v>
      </c>
      <c r="B227" s="7">
        <v>0.75</v>
      </c>
      <c r="C227" s="2">
        <v>10</v>
      </c>
      <c r="D227" s="10" t="s">
        <v>190</v>
      </c>
      <c r="E227" s="40">
        <v>0</v>
      </c>
      <c r="F227" s="40">
        <v>2.2000000000000002</v>
      </c>
      <c r="G227" s="40">
        <v>2</v>
      </c>
      <c r="H227" s="3">
        <f t="shared" si="21"/>
        <v>0</v>
      </c>
      <c r="I227" s="3">
        <f t="shared" si="22"/>
        <v>0.91666666666666674</v>
      </c>
      <c r="J227" s="3">
        <f t="shared" si="23"/>
        <v>0.83333333333333326</v>
      </c>
      <c r="K227" s="3"/>
      <c r="L227" s="4">
        <f t="shared" si="24"/>
        <v>203.2625000000001</v>
      </c>
      <c r="M227" s="40">
        <v>0</v>
      </c>
      <c r="N227" s="40">
        <v>0</v>
      </c>
      <c r="O227" s="40">
        <v>0.1</v>
      </c>
      <c r="P227" s="40">
        <v>0</v>
      </c>
      <c r="Q227" s="40">
        <v>2</v>
      </c>
      <c r="R227" s="40"/>
      <c r="S227" s="2">
        <f t="shared" si="19"/>
        <v>87.400000000000034</v>
      </c>
      <c r="T227" s="2">
        <v>0</v>
      </c>
      <c r="U227" s="2">
        <v>0</v>
      </c>
      <c r="V227" s="2">
        <v>2</v>
      </c>
      <c r="W227" s="2">
        <v>0</v>
      </c>
      <c r="X227" s="2">
        <f t="shared" si="20"/>
        <v>187</v>
      </c>
      <c r="Z227" s="1"/>
      <c r="AA227" s="1"/>
      <c r="AB227" s="2" t="str">
        <f t="shared" si="25"/>
        <v/>
      </c>
      <c r="AD227" s="121"/>
      <c r="AE227" s="121"/>
    </row>
    <row r="228" spans="1:31" x14ac:dyDescent="0.25">
      <c r="A228" s="2" t="s">
        <v>256</v>
      </c>
      <c r="B228" s="7">
        <v>0.83333333333333337</v>
      </c>
      <c r="C228" s="2">
        <v>2</v>
      </c>
      <c r="D228" s="10" t="s">
        <v>257</v>
      </c>
      <c r="E228" s="40">
        <v>14</v>
      </c>
      <c r="F228" s="40">
        <v>2.6</v>
      </c>
      <c r="G228" s="40">
        <v>2</v>
      </c>
      <c r="H228" s="3">
        <f t="shared" si="21"/>
        <v>1.1666666666666667</v>
      </c>
      <c r="I228" s="3">
        <f t="shared" si="22"/>
        <v>0.21666666666666667</v>
      </c>
      <c r="J228" s="3">
        <f t="shared" si="23"/>
        <v>0.16666666666666666</v>
      </c>
      <c r="K228" s="3"/>
      <c r="L228" s="4">
        <f t="shared" si="24"/>
        <v>201.71250000000009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/>
      <c r="S228" s="2">
        <f t="shared" si="19"/>
        <v>87.400000000000034</v>
      </c>
      <c r="T228" s="2">
        <v>0</v>
      </c>
      <c r="U228" s="2">
        <v>0</v>
      </c>
      <c r="V228" s="2">
        <v>1</v>
      </c>
      <c r="W228" s="2">
        <v>0</v>
      </c>
      <c r="X228" s="2">
        <f t="shared" si="20"/>
        <v>186</v>
      </c>
      <c r="Z228" s="1"/>
      <c r="AA228" s="1"/>
      <c r="AB228" s="2" t="str">
        <f t="shared" si="25"/>
        <v/>
      </c>
      <c r="AD228" s="121"/>
      <c r="AE228" s="121"/>
    </row>
    <row r="229" spans="1:31" x14ac:dyDescent="0.25">
      <c r="A229" s="2" t="s">
        <v>258</v>
      </c>
      <c r="B229" s="7">
        <v>0.33333333333333331</v>
      </c>
      <c r="C229" s="2">
        <v>12</v>
      </c>
      <c r="D229" s="10" t="s">
        <v>69</v>
      </c>
      <c r="E229" s="40">
        <v>0</v>
      </c>
      <c r="F229" s="40">
        <v>2.6</v>
      </c>
      <c r="G229" s="40">
        <v>2</v>
      </c>
      <c r="H229" s="3">
        <f t="shared" si="21"/>
        <v>0</v>
      </c>
      <c r="I229" s="3">
        <f t="shared" si="22"/>
        <v>1.3</v>
      </c>
      <c r="J229" s="3">
        <f t="shared" si="23"/>
        <v>1</v>
      </c>
      <c r="K229" s="3"/>
      <c r="L229" s="4">
        <f t="shared" si="24"/>
        <v>199.41250000000008</v>
      </c>
      <c r="M229" s="40">
        <v>0</v>
      </c>
      <c r="N229" s="40">
        <v>0</v>
      </c>
      <c r="O229" s="40">
        <v>0.1</v>
      </c>
      <c r="P229" s="40">
        <v>0</v>
      </c>
      <c r="Q229" s="40">
        <v>1.5</v>
      </c>
      <c r="R229" s="40"/>
      <c r="S229" s="2">
        <f t="shared" si="19"/>
        <v>85.80000000000004</v>
      </c>
      <c r="T229" s="2">
        <v>0</v>
      </c>
      <c r="U229" s="2">
        <v>0</v>
      </c>
      <c r="V229" s="2">
        <v>2</v>
      </c>
      <c r="W229" s="2">
        <v>0</v>
      </c>
      <c r="X229" s="2">
        <f t="shared" si="20"/>
        <v>184</v>
      </c>
      <c r="Z229" s="1">
        <v>122</v>
      </c>
      <c r="AA229" s="1">
        <v>80</v>
      </c>
      <c r="AB229" s="2">
        <f t="shared" si="25"/>
        <v>202</v>
      </c>
      <c r="AD229" s="121"/>
      <c r="AE229" s="121"/>
    </row>
    <row r="230" spans="1:31" x14ac:dyDescent="0.25">
      <c r="A230" s="2" t="s">
        <v>259</v>
      </c>
      <c r="B230" s="7">
        <v>0.33333333333333331</v>
      </c>
      <c r="C230" s="2">
        <v>24</v>
      </c>
      <c r="D230" s="10" t="s">
        <v>69</v>
      </c>
      <c r="E230" s="40">
        <v>0</v>
      </c>
      <c r="F230" s="40">
        <v>2.6</v>
      </c>
      <c r="G230" s="40">
        <v>2</v>
      </c>
      <c r="H230" s="3">
        <f t="shared" si="21"/>
        <v>0</v>
      </c>
      <c r="I230" s="3">
        <f t="shared" si="22"/>
        <v>2.6</v>
      </c>
      <c r="J230" s="3">
        <f t="shared" si="23"/>
        <v>2</v>
      </c>
      <c r="K230" s="3"/>
      <c r="L230" s="4">
        <f t="shared" si="24"/>
        <v>194.81250000000009</v>
      </c>
      <c r="M230" s="40">
        <v>0</v>
      </c>
      <c r="N230" s="40">
        <v>0</v>
      </c>
      <c r="O230" s="40">
        <v>0</v>
      </c>
      <c r="P230" s="40">
        <v>0</v>
      </c>
      <c r="Q230" s="40">
        <v>3</v>
      </c>
      <c r="R230" s="40"/>
      <c r="S230" s="2">
        <f t="shared" si="19"/>
        <v>82.80000000000004</v>
      </c>
      <c r="T230" s="2">
        <v>0</v>
      </c>
      <c r="U230" s="2">
        <v>0</v>
      </c>
      <c r="V230" s="2">
        <v>4</v>
      </c>
      <c r="W230" s="2">
        <v>0</v>
      </c>
      <c r="X230" s="2">
        <f t="shared" si="20"/>
        <v>180</v>
      </c>
      <c r="Z230" s="1">
        <v>112</v>
      </c>
      <c r="AA230" s="1">
        <v>80</v>
      </c>
      <c r="AB230" s="2">
        <f t="shared" si="25"/>
        <v>192</v>
      </c>
      <c r="AD230" s="121"/>
      <c r="AE230" s="121"/>
    </row>
    <row r="231" spans="1:31" x14ac:dyDescent="0.25">
      <c r="A231" s="2" t="s">
        <v>259</v>
      </c>
      <c r="B231" s="7">
        <v>0.83333333333333337</v>
      </c>
      <c r="C231" s="2">
        <v>12</v>
      </c>
      <c r="D231" s="10" t="s">
        <v>72</v>
      </c>
      <c r="E231" s="40">
        <v>0</v>
      </c>
      <c r="F231" s="40">
        <v>2.6</v>
      </c>
      <c r="G231" s="40">
        <v>2</v>
      </c>
      <c r="H231" s="3">
        <f t="shared" si="21"/>
        <v>0</v>
      </c>
      <c r="I231" s="3">
        <f t="shared" si="22"/>
        <v>1.3</v>
      </c>
      <c r="J231" s="3">
        <f t="shared" si="23"/>
        <v>1</v>
      </c>
      <c r="K231" s="3"/>
      <c r="L231" s="4">
        <f t="shared" si="24"/>
        <v>192.51250000000007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/>
      <c r="S231" s="2">
        <f t="shared" si="19"/>
        <v>82.80000000000004</v>
      </c>
      <c r="T231" s="2">
        <v>0</v>
      </c>
      <c r="U231" s="2">
        <v>0</v>
      </c>
      <c r="V231" s="2">
        <v>2</v>
      </c>
      <c r="W231" s="2">
        <v>0</v>
      </c>
      <c r="X231" s="2">
        <f t="shared" si="20"/>
        <v>178</v>
      </c>
      <c r="Z231" s="1"/>
      <c r="AA231" s="1"/>
      <c r="AB231" s="2" t="str">
        <f t="shared" si="25"/>
        <v/>
      </c>
      <c r="AD231" s="121"/>
      <c r="AE231" s="121"/>
    </row>
    <row r="232" spans="1:31" x14ac:dyDescent="0.25">
      <c r="A232" s="2" t="s">
        <v>259</v>
      </c>
      <c r="B232" s="7">
        <v>0.875</v>
      </c>
      <c r="C232" s="2">
        <v>1</v>
      </c>
      <c r="D232" s="10" t="s">
        <v>260</v>
      </c>
      <c r="E232" s="40">
        <v>12</v>
      </c>
      <c r="F232" s="40">
        <v>2.5</v>
      </c>
      <c r="G232" s="40">
        <v>2</v>
      </c>
      <c r="H232" s="3">
        <f t="shared" si="21"/>
        <v>0.5</v>
      </c>
      <c r="I232" s="3">
        <f t="shared" si="22"/>
        <v>0.10416666666666667</v>
      </c>
      <c r="J232" s="3">
        <f t="shared" si="23"/>
        <v>8.3333333333333329E-2</v>
      </c>
      <c r="K232" s="3"/>
      <c r="L232" s="4">
        <f t="shared" si="24"/>
        <v>191.82500000000007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/>
      <c r="S232" s="2">
        <f t="shared" si="19"/>
        <v>82.80000000000004</v>
      </c>
      <c r="T232" s="2">
        <v>0</v>
      </c>
      <c r="U232" s="2">
        <v>0</v>
      </c>
      <c r="V232" s="2">
        <v>1</v>
      </c>
      <c r="W232" s="2">
        <v>0</v>
      </c>
      <c r="X232" s="2">
        <f t="shared" si="20"/>
        <v>177</v>
      </c>
      <c r="Z232" s="1"/>
      <c r="AA232" s="1"/>
      <c r="AB232" s="2" t="str">
        <f t="shared" si="25"/>
        <v/>
      </c>
      <c r="AD232" s="121"/>
      <c r="AE232" s="121"/>
    </row>
    <row r="233" spans="1:31" x14ac:dyDescent="0.25">
      <c r="A233" s="2" t="s">
        <v>261</v>
      </c>
      <c r="B233" s="7">
        <v>4.1666666666666664E-2</v>
      </c>
      <c r="C233" s="2">
        <v>4</v>
      </c>
      <c r="D233" s="10" t="s">
        <v>105</v>
      </c>
      <c r="E233" s="40">
        <v>0</v>
      </c>
      <c r="F233" s="40">
        <v>2.4</v>
      </c>
      <c r="G233" s="40">
        <v>2</v>
      </c>
      <c r="H233" s="3">
        <f t="shared" si="21"/>
        <v>0</v>
      </c>
      <c r="I233" s="3">
        <f t="shared" si="22"/>
        <v>0.39999999999999997</v>
      </c>
      <c r="J233" s="3">
        <f t="shared" si="23"/>
        <v>0.33333333333333331</v>
      </c>
      <c r="K233" s="3"/>
      <c r="L233" s="4">
        <f t="shared" si="24"/>
        <v>191.09166666666675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/>
      <c r="S233" s="2">
        <f t="shared" si="19"/>
        <v>82.80000000000004</v>
      </c>
      <c r="T233" s="2">
        <v>0</v>
      </c>
      <c r="U233" s="2">
        <v>0</v>
      </c>
      <c r="V233" s="2">
        <v>1</v>
      </c>
      <c r="W233" s="2">
        <v>0</v>
      </c>
      <c r="X233" s="2">
        <f t="shared" si="20"/>
        <v>176</v>
      </c>
      <c r="Z233" s="1"/>
      <c r="AA233" s="1"/>
      <c r="AB233" s="2" t="str">
        <f t="shared" si="25"/>
        <v/>
      </c>
      <c r="AD233" s="121"/>
      <c r="AE233" s="121"/>
    </row>
    <row r="234" spans="1:31" x14ac:dyDescent="0.25">
      <c r="A234" s="2" t="s">
        <v>261</v>
      </c>
      <c r="B234" s="7">
        <v>0.33333333333333331</v>
      </c>
      <c r="C234" s="2">
        <v>7</v>
      </c>
      <c r="D234" s="10" t="s">
        <v>262</v>
      </c>
      <c r="E234" s="40">
        <v>16</v>
      </c>
      <c r="F234" s="40">
        <v>2.2000000000000002</v>
      </c>
      <c r="G234" s="40">
        <v>0</v>
      </c>
      <c r="H234" s="3">
        <f t="shared" si="21"/>
        <v>4.6666666666666661</v>
      </c>
      <c r="I234" s="3">
        <f t="shared" si="22"/>
        <v>0.64166666666666672</v>
      </c>
      <c r="J234" s="3">
        <f t="shared" si="23"/>
        <v>0</v>
      </c>
      <c r="K234" s="3"/>
      <c r="L234" s="4">
        <v>185.7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/>
      <c r="S234" s="2">
        <f t="shared" si="19"/>
        <v>82.80000000000004</v>
      </c>
      <c r="T234" s="2">
        <v>0</v>
      </c>
      <c r="U234" s="2">
        <v>0</v>
      </c>
      <c r="V234" s="2">
        <v>2</v>
      </c>
      <c r="W234" s="2">
        <v>0</v>
      </c>
      <c r="X234" s="2">
        <f t="shared" si="20"/>
        <v>174</v>
      </c>
      <c r="Z234" s="1">
        <v>105</v>
      </c>
      <c r="AA234" s="1">
        <v>80</v>
      </c>
      <c r="AB234" s="2">
        <f t="shared" si="25"/>
        <v>185</v>
      </c>
      <c r="AD234" s="121"/>
      <c r="AE234" s="121"/>
    </row>
    <row r="235" spans="1:31" x14ac:dyDescent="0.25">
      <c r="A235" s="2" t="s">
        <v>261</v>
      </c>
      <c r="B235" s="7">
        <v>0.54166666666666663</v>
      </c>
      <c r="C235" s="2">
        <v>5</v>
      </c>
      <c r="D235" s="10" t="s">
        <v>190</v>
      </c>
      <c r="E235" s="40">
        <v>0</v>
      </c>
      <c r="F235" s="40">
        <v>2.2000000000000002</v>
      </c>
      <c r="G235" s="40">
        <v>1</v>
      </c>
      <c r="H235" s="3">
        <f t="shared" si="21"/>
        <v>0</v>
      </c>
      <c r="I235" s="3">
        <f t="shared" si="22"/>
        <v>0.45833333333333337</v>
      </c>
      <c r="J235" s="3">
        <f t="shared" si="23"/>
        <v>0.20833333333333331</v>
      </c>
      <c r="K235" s="3"/>
      <c r="L235" s="4">
        <f t="shared" si="24"/>
        <v>185.03333333333333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/>
      <c r="S235" s="2">
        <f t="shared" si="19"/>
        <v>82.80000000000004</v>
      </c>
      <c r="T235" s="2">
        <v>0</v>
      </c>
      <c r="U235" s="2">
        <v>0</v>
      </c>
      <c r="V235" s="2">
        <v>2</v>
      </c>
      <c r="W235" s="2">
        <v>0</v>
      </c>
      <c r="X235" s="2">
        <f t="shared" si="20"/>
        <v>172</v>
      </c>
      <c r="Z235" s="1"/>
      <c r="AA235" s="1"/>
      <c r="AB235" s="2" t="str">
        <f t="shared" si="25"/>
        <v/>
      </c>
      <c r="AD235" s="121"/>
      <c r="AE235" s="121"/>
    </row>
    <row r="236" spans="1:31" x14ac:dyDescent="0.25">
      <c r="A236" s="2" t="s">
        <v>261</v>
      </c>
      <c r="B236" s="7">
        <v>0.60416666666666663</v>
      </c>
      <c r="C236" s="2">
        <v>1.5</v>
      </c>
      <c r="D236" s="10" t="s">
        <v>264</v>
      </c>
      <c r="E236" s="40">
        <v>10</v>
      </c>
      <c r="F236" s="40">
        <v>2.2000000000000002</v>
      </c>
      <c r="G236" s="40">
        <v>1.5</v>
      </c>
      <c r="H236" s="3">
        <f t="shared" si="21"/>
        <v>0.625</v>
      </c>
      <c r="I236" s="3">
        <f t="shared" si="22"/>
        <v>0.13750000000000001</v>
      </c>
      <c r="J236" s="3">
        <f t="shared" si="23"/>
        <v>9.375E-2</v>
      </c>
      <c r="K236" s="3"/>
      <c r="L236" s="4">
        <f t="shared" si="24"/>
        <v>184.17708333333334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/>
      <c r="S236" s="2">
        <f t="shared" si="19"/>
        <v>82.80000000000004</v>
      </c>
      <c r="T236" s="2">
        <v>0</v>
      </c>
      <c r="U236" s="2">
        <v>0</v>
      </c>
      <c r="V236" s="2">
        <v>1</v>
      </c>
      <c r="W236" s="2">
        <v>0</v>
      </c>
      <c r="X236" s="2">
        <f t="shared" si="20"/>
        <v>171</v>
      </c>
      <c r="Z236" s="1"/>
      <c r="AA236" s="1"/>
      <c r="AB236" s="2" t="str">
        <f t="shared" si="25"/>
        <v/>
      </c>
      <c r="AD236" s="121">
        <v>12.8</v>
      </c>
      <c r="AE236" s="121" t="s">
        <v>1303</v>
      </c>
    </row>
    <row r="237" spans="1:31" x14ac:dyDescent="0.25">
      <c r="A237" s="2" t="s">
        <v>263</v>
      </c>
      <c r="B237" s="7">
        <v>0.33333333333333331</v>
      </c>
      <c r="C237" s="2">
        <v>17.5</v>
      </c>
      <c r="D237" s="10" t="s">
        <v>264</v>
      </c>
      <c r="E237" s="40">
        <v>0</v>
      </c>
      <c r="F237" s="40">
        <v>2.4</v>
      </c>
      <c r="G237" s="40">
        <v>2</v>
      </c>
      <c r="H237" s="3">
        <f t="shared" si="21"/>
        <v>0</v>
      </c>
      <c r="I237" s="3">
        <f t="shared" si="22"/>
        <v>1.7499999999999998</v>
      </c>
      <c r="J237" s="3">
        <f t="shared" si="23"/>
        <v>1.4583333333333333</v>
      </c>
      <c r="K237" s="3"/>
      <c r="L237" s="4">
        <v>181.1</v>
      </c>
      <c r="M237" s="40">
        <v>0</v>
      </c>
      <c r="N237" s="40">
        <v>0</v>
      </c>
      <c r="O237" s="40">
        <v>0</v>
      </c>
      <c r="P237" s="40">
        <v>0</v>
      </c>
      <c r="Q237" s="40">
        <v>4</v>
      </c>
      <c r="R237" s="40"/>
      <c r="S237" s="2">
        <f t="shared" si="19"/>
        <v>78.80000000000004</v>
      </c>
      <c r="T237" s="2">
        <v>0</v>
      </c>
      <c r="U237" s="2">
        <v>0</v>
      </c>
      <c r="V237" s="2">
        <v>2</v>
      </c>
      <c r="W237" s="2">
        <v>0</v>
      </c>
      <c r="X237" s="2">
        <f t="shared" si="20"/>
        <v>169</v>
      </c>
      <c r="Z237" s="1"/>
      <c r="AA237" s="1"/>
      <c r="AB237" s="2" t="str">
        <f t="shared" si="25"/>
        <v/>
      </c>
      <c r="AD237" s="121"/>
      <c r="AE237" s="121"/>
    </row>
    <row r="238" spans="1:31" x14ac:dyDescent="0.25">
      <c r="A238" s="2" t="s">
        <v>263</v>
      </c>
      <c r="B238" s="7">
        <v>0.875</v>
      </c>
      <c r="C238" s="2">
        <v>13</v>
      </c>
      <c r="D238" s="10" t="s">
        <v>265</v>
      </c>
      <c r="E238" s="40">
        <v>0</v>
      </c>
      <c r="F238" s="40">
        <v>2.4</v>
      </c>
      <c r="G238" s="40">
        <v>2</v>
      </c>
      <c r="H238" s="3">
        <f t="shared" si="21"/>
        <v>0</v>
      </c>
      <c r="I238" s="3">
        <f t="shared" si="22"/>
        <v>1.2999999999999998</v>
      </c>
      <c r="J238" s="3">
        <f t="shared" si="23"/>
        <v>1.0833333333333333</v>
      </c>
      <c r="K238" s="3"/>
      <c r="L238" s="4">
        <f t="shared" si="24"/>
        <v>178.71666666666667</v>
      </c>
      <c r="M238" s="40">
        <v>0</v>
      </c>
      <c r="N238" s="40">
        <v>0</v>
      </c>
      <c r="O238" s="40">
        <v>0</v>
      </c>
      <c r="P238" s="40">
        <v>0</v>
      </c>
      <c r="Q238" s="40">
        <v>1</v>
      </c>
      <c r="R238" s="40"/>
      <c r="S238" s="2">
        <f t="shared" si="19"/>
        <v>77.80000000000004</v>
      </c>
      <c r="T238" s="2">
        <v>0</v>
      </c>
      <c r="U238" s="2">
        <v>0</v>
      </c>
      <c r="V238" s="2">
        <v>2</v>
      </c>
      <c r="W238" s="2">
        <v>0</v>
      </c>
      <c r="X238" s="2">
        <f t="shared" si="20"/>
        <v>167</v>
      </c>
      <c r="Z238" s="1"/>
      <c r="AA238" s="1"/>
      <c r="AB238" s="2" t="str">
        <f t="shared" si="25"/>
        <v/>
      </c>
      <c r="AD238" s="121"/>
      <c r="AE238" s="121"/>
    </row>
    <row r="239" spans="1:31" x14ac:dyDescent="0.25">
      <c r="A239" s="2" t="s">
        <v>263</v>
      </c>
      <c r="B239" s="7">
        <v>0.91666666666666663</v>
      </c>
      <c r="C239" s="2">
        <v>1</v>
      </c>
      <c r="D239" s="10" t="s">
        <v>105</v>
      </c>
      <c r="E239" s="40">
        <v>14</v>
      </c>
      <c r="F239" s="40">
        <v>2.6</v>
      </c>
      <c r="G239" s="40">
        <v>2</v>
      </c>
      <c r="H239" s="3">
        <f t="shared" si="21"/>
        <v>0.58333333333333337</v>
      </c>
      <c r="I239" s="3">
        <f t="shared" si="22"/>
        <v>0.10833333333333334</v>
      </c>
      <c r="J239" s="3">
        <f t="shared" si="23"/>
        <v>8.3333333333333329E-2</v>
      </c>
      <c r="K239" s="3"/>
      <c r="L239" s="4">
        <f t="shared" si="24"/>
        <v>177.94166666666666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/>
      <c r="S239" s="2">
        <f t="shared" si="19"/>
        <v>77.80000000000004</v>
      </c>
      <c r="T239" s="2">
        <v>0</v>
      </c>
      <c r="U239" s="2">
        <v>0</v>
      </c>
      <c r="V239" s="2">
        <v>1</v>
      </c>
      <c r="W239" s="2">
        <v>0</v>
      </c>
      <c r="X239" s="2">
        <f t="shared" si="20"/>
        <v>166</v>
      </c>
      <c r="Z239" s="1"/>
      <c r="AA239" s="1"/>
      <c r="AB239" s="2" t="str">
        <f t="shared" si="25"/>
        <v/>
      </c>
      <c r="AD239" s="121"/>
      <c r="AE239" s="121"/>
    </row>
    <row r="240" spans="1:31" x14ac:dyDescent="0.25">
      <c r="A240" s="2" t="s">
        <v>266</v>
      </c>
      <c r="B240" s="7">
        <v>0.33333333333333331</v>
      </c>
      <c r="C240" s="2">
        <v>10</v>
      </c>
      <c r="D240" s="10" t="s">
        <v>267</v>
      </c>
      <c r="E240" s="40">
        <v>20</v>
      </c>
      <c r="F240" s="40">
        <v>2.4</v>
      </c>
      <c r="G240" s="40">
        <v>0</v>
      </c>
      <c r="H240" s="3">
        <f t="shared" si="21"/>
        <v>8.3333333333333339</v>
      </c>
      <c r="I240" s="3">
        <f t="shared" si="22"/>
        <v>0.99999999999999989</v>
      </c>
      <c r="J240" s="3">
        <f t="shared" si="23"/>
        <v>0</v>
      </c>
      <c r="K240" s="3"/>
      <c r="L240" s="4">
        <f t="shared" si="24"/>
        <v>168.60833333333332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/>
      <c r="S240" s="2">
        <f t="shared" si="19"/>
        <v>77.80000000000004</v>
      </c>
      <c r="T240" s="2">
        <v>0</v>
      </c>
      <c r="U240" s="2">
        <v>0</v>
      </c>
      <c r="V240" s="2">
        <v>2</v>
      </c>
      <c r="W240" s="2">
        <v>0</v>
      </c>
      <c r="X240" s="2">
        <f t="shared" si="20"/>
        <v>164</v>
      </c>
      <c r="Z240" s="1">
        <v>95</v>
      </c>
      <c r="AA240" s="1">
        <v>78</v>
      </c>
      <c r="AB240" s="2">
        <f t="shared" si="25"/>
        <v>173</v>
      </c>
      <c r="AD240" s="121"/>
      <c r="AE240" s="121"/>
    </row>
    <row r="241" spans="1:31" x14ac:dyDescent="0.25">
      <c r="A241" s="2" t="s">
        <v>266</v>
      </c>
      <c r="B241" s="7">
        <v>0.46666666666666662</v>
      </c>
      <c r="C241" s="2">
        <v>3.2</v>
      </c>
      <c r="D241" s="10" t="s">
        <v>36</v>
      </c>
      <c r="E241" s="40">
        <v>20</v>
      </c>
      <c r="F241" s="40">
        <v>2.4</v>
      </c>
      <c r="G241" s="40">
        <v>0</v>
      </c>
      <c r="H241" s="3">
        <f t="shared" si="21"/>
        <v>2.666666666666667</v>
      </c>
      <c r="I241" s="3">
        <f t="shared" si="22"/>
        <v>0.32</v>
      </c>
      <c r="J241" s="3">
        <f t="shared" si="23"/>
        <v>0</v>
      </c>
      <c r="K241" s="3"/>
      <c r="L241" s="4">
        <f t="shared" si="24"/>
        <v>165.62166666666664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/>
      <c r="S241" s="2">
        <f t="shared" si="19"/>
        <v>77.80000000000004</v>
      </c>
      <c r="T241" s="2">
        <v>0</v>
      </c>
      <c r="U241" s="2">
        <v>0</v>
      </c>
      <c r="V241" s="2">
        <v>1</v>
      </c>
      <c r="W241" s="2">
        <v>0</v>
      </c>
      <c r="X241" s="2">
        <f t="shared" si="20"/>
        <v>163</v>
      </c>
      <c r="Z241" s="1"/>
      <c r="AA241" s="1"/>
      <c r="AB241" s="2" t="str">
        <f t="shared" si="25"/>
        <v/>
      </c>
      <c r="AD241" s="121">
        <v>12.5</v>
      </c>
      <c r="AE241" s="121" t="s">
        <v>1296</v>
      </c>
    </row>
    <row r="242" spans="1:31" x14ac:dyDescent="0.25">
      <c r="A242" s="2" t="s">
        <v>268</v>
      </c>
      <c r="B242" s="7">
        <v>0.33333333333333331</v>
      </c>
      <c r="C242" s="2">
        <v>20.8</v>
      </c>
      <c r="D242" s="10" t="s">
        <v>167</v>
      </c>
      <c r="E242" s="40">
        <v>0</v>
      </c>
      <c r="F242" s="40">
        <v>2.4</v>
      </c>
      <c r="G242" s="40">
        <v>2</v>
      </c>
      <c r="H242" s="3">
        <f t="shared" si="21"/>
        <v>0</v>
      </c>
      <c r="I242" s="3">
        <f t="shared" si="22"/>
        <v>2.08</v>
      </c>
      <c r="J242" s="3">
        <f t="shared" si="23"/>
        <v>1.7333333333333334</v>
      </c>
      <c r="K242" s="3"/>
      <c r="L242" s="4">
        <f t="shared" si="24"/>
        <v>161.80833333333331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/>
      <c r="S242" s="2">
        <f t="shared" si="19"/>
        <v>77.80000000000004</v>
      </c>
      <c r="T242" s="2">
        <v>0</v>
      </c>
      <c r="U242" s="2">
        <v>0</v>
      </c>
      <c r="V242" s="2">
        <v>4</v>
      </c>
      <c r="W242" s="2">
        <v>0</v>
      </c>
      <c r="X242" s="2">
        <f t="shared" si="20"/>
        <v>159</v>
      </c>
      <c r="Z242" s="1">
        <v>89</v>
      </c>
      <c r="AA242" s="1">
        <v>78</v>
      </c>
      <c r="AB242" s="2">
        <f t="shared" si="25"/>
        <v>167</v>
      </c>
      <c r="AD242" s="121"/>
      <c r="AE242" s="121"/>
    </row>
    <row r="243" spans="1:31" x14ac:dyDescent="0.25">
      <c r="A243" s="2" t="s">
        <v>269</v>
      </c>
      <c r="B243" s="7">
        <v>0.33333333333333331</v>
      </c>
      <c r="C243" s="2">
        <v>24</v>
      </c>
      <c r="D243" s="10" t="s">
        <v>167</v>
      </c>
      <c r="E243" s="40">
        <v>0</v>
      </c>
      <c r="F243" s="40">
        <v>2.4</v>
      </c>
      <c r="G243" s="40">
        <v>2</v>
      </c>
      <c r="H243" s="3">
        <f t="shared" si="21"/>
        <v>0</v>
      </c>
      <c r="I243" s="3">
        <f t="shared" si="22"/>
        <v>2.4</v>
      </c>
      <c r="J243" s="3">
        <f t="shared" si="23"/>
        <v>2</v>
      </c>
      <c r="K243" s="3"/>
      <c r="L243" s="4">
        <f t="shared" si="24"/>
        <v>157.4083333333333</v>
      </c>
      <c r="M243" s="40">
        <v>0</v>
      </c>
      <c r="N243" s="40">
        <v>0</v>
      </c>
      <c r="O243" s="40">
        <v>0</v>
      </c>
      <c r="P243" s="40">
        <v>0</v>
      </c>
      <c r="Q243" s="40">
        <v>1</v>
      </c>
      <c r="R243" s="40"/>
      <c r="S243" s="2">
        <f t="shared" si="19"/>
        <v>76.80000000000004</v>
      </c>
      <c r="T243" s="2">
        <v>0</v>
      </c>
      <c r="U243" s="2">
        <v>0</v>
      </c>
      <c r="V243" s="2">
        <v>4</v>
      </c>
      <c r="W243" s="2">
        <v>0</v>
      </c>
      <c r="X243" s="2">
        <f t="shared" si="20"/>
        <v>155</v>
      </c>
      <c r="Z243" s="1">
        <v>85</v>
      </c>
      <c r="AA243" s="1">
        <v>78</v>
      </c>
      <c r="AB243" s="2">
        <f t="shared" si="25"/>
        <v>163</v>
      </c>
      <c r="AD243" s="121"/>
      <c r="AE243" s="121"/>
    </row>
    <row r="244" spans="1:31" x14ac:dyDescent="0.25">
      <c r="A244" s="2" t="s">
        <v>270</v>
      </c>
      <c r="B244" s="7">
        <v>0.33333333333333331</v>
      </c>
      <c r="C244" s="2">
        <v>24</v>
      </c>
      <c r="D244" s="10" t="s">
        <v>167</v>
      </c>
      <c r="E244" s="40">
        <v>0</v>
      </c>
      <c r="F244" s="40">
        <v>2.4</v>
      </c>
      <c r="G244" s="40">
        <v>2</v>
      </c>
      <c r="H244" s="3">
        <f t="shared" si="21"/>
        <v>0</v>
      </c>
      <c r="I244" s="3">
        <f t="shared" si="22"/>
        <v>2.4</v>
      </c>
      <c r="J244" s="3">
        <f t="shared" si="23"/>
        <v>2</v>
      </c>
      <c r="K244" s="3"/>
      <c r="L244" s="4">
        <f t="shared" si="24"/>
        <v>153.0083333333333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/>
      <c r="S244" s="2">
        <f t="shared" si="19"/>
        <v>76.80000000000004</v>
      </c>
      <c r="T244" s="2">
        <v>0</v>
      </c>
      <c r="U244" s="2">
        <v>0</v>
      </c>
      <c r="V244" s="2">
        <v>4</v>
      </c>
      <c r="W244" s="2">
        <v>0</v>
      </c>
      <c r="X244" s="2">
        <f t="shared" si="20"/>
        <v>151</v>
      </c>
      <c r="Z244" s="1"/>
      <c r="AA244" s="1"/>
      <c r="AB244" s="2" t="str">
        <f t="shared" si="25"/>
        <v/>
      </c>
      <c r="AD244" s="121"/>
      <c r="AE244" s="121"/>
    </row>
    <row r="245" spans="1:31" x14ac:dyDescent="0.25">
      <c r="A245" s="2"/>
      <c r="B245" s="7"/>
      <c r="C245" s="2"/>
      <c r="D245" s="10"/>
      <c r="E245" s="40"/>
      <c r="F245" s="40"/>
      <c r="G245" s="40"/>
      <c r="H245" s="3" t="str">
        <f t="shared" ref="H245:H257" si="26">+IF(E245="","",(E245/24)*C245)</f>
        <v/>
      </c>
      <c r="I245" s="3" t="str">
        <f t="shared" ref="I245:I257" si="27">+IF(F245="","",(F245/24)*C245)</f>
        <v/>
      </c>
      <c r="J245" s="3" t="str">
        <f t="shared" ref="J245:J257" si="28">+IF(G245="","",(G245/24)*C245)</f>
        <v/>
      </c>
      <c r="K245" s="2"/>
      <c r="L245" s="4"/>
      <c r="M245" s="40"/>
      <c r="N245" s="40"/>
      <c r="O245" s="40"/>
      <c r="P245" s="40"/>
      <c r="Q245" s="40"/>
      <c r="R245" s="40">
        <f>SUM(R195:R244)</f>
        <v>0</v>
      </c>
      <c r="S245" s="2"/>
      <c r="T245" s="2">
        <f>SUM(T195:T244)</f>
        <v>0</v>
      </c>
      <c r="U245" s="2">
        <f>SUM(U195:U244)</f>
        <v>100</v>
      </c>
      <c r="V245" s="2">
        <f>SUM(V195:V244)</f>
        <v>149</v>
      </c>
      <c r="W245" s="2">
        <f>SUM(W195:W244)</f>
        <v>0</v>
      </c>
      <c r="X245" s="2"/>
      <c r="Z245" s="1"/>
      <c r="AA245" s="1"/>
      <c r="AB245" s="2" t="str">
        <f t="shared" ref="AB245:AB257" si="29">IF(Z245="","",Z245+AA245)</f>
        <v/>
      </c>
      <c r="AD245" s="121"/>
      <c r="AE245" s="121"/>
    </row>
    <row r="246" spans="1:31" x14ac:dyDescent="0.25">
      <c r="A246" s="9" t="s">
        <v>271</v>
      </c>
      <c r="B246" s="7">
        <v>0.33333333333333331</v>
      </c>
      <c r="C246" s="2">
        <v>24</v>
      </c>
      <c r="D246" s="10" t="s">
        <v>272</v>
      </c>
      <c r="E246" s="40">
        <v>0</v>
      </c>
      <c r="F246" s="40">
        <v>2.2000000000000002</v>
      </c>
      <c r="G246" s="40">
        <v>2</v>
      </c>
      <c r="H246" s="3">
        <f t="shared" si="26"/>
        <v>0</v>
      </c>
      <c r="I246" s="3">
        <f t="shared" si="27"/>
        <v>2.2000000000000002</v>
      </c>
      <c r="J246" s="3">
        <f t="shared" si="28"/>
        <v>2</v>
      </c>
      <c r="K246" s="3"/>
      <c r="L246" s="4">
        <f>+IF(C246="","",(L244+K246)-(H246+I246+J246))</f>
        <v>148.80833333333331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/>
      <c r="S246" s="2">
        <f>IF(C246="","",(S244+R246)-(M246+N246+O246+P246+Q246))</f>
        <v>76.80000000000004</v>
      </c>
      <c r="T246" s="2">
        <v>0</v>
      </c>
      <c r="U246" s="2">
        <v>0</v>
      </c>
      <c r="V246" s="2">
        <v>4</v>
      </c>
      <c r="W246" s="2">
        <v>0</v>
      </c>
      <c r="X246" s="2">
        <f>IF(V246="","",((X244+T246+U246)-(V246+W246)))</f>
        <v>147</v>
      </c>
      <c r="Z246" s="1">
        <v>75</v>
      </c>
      <c r="AA246" s="1">
        <v>78</v>
      </c>
      <c r="AB246" s="2">
        <f t="shared" si="29"/>
        <v>153</v>
      </c>
      <c r="AD246" s="121"/>
      <c r="AE246" s="121"/>
    </row>
    <row r="247" spans="1:31" x14ac:dyDescent="0.25">
      <c r="A247" s="2" t="s">
        <v>273</v>
      </c>
      <c r="B247" s="7">
        <v>0.33333333333333331</v>
      </c>
      <c r="C247" s="2">
        <v>24</v>
      </c>
      <c r="D247" s="10" t="s">
        <v>272</v>
      </c>
      <c r="E247" s="40">
        <v>0</v>
      </c>
      <c r="F247" s="40">
        <v>2.2000000000000002</v>
      </c>
      <c r="G247" s="40">
        <v>2</v>
      </c>
      <c r="H247" s="3">
        <f t="shared" si="26"/>
        <v>0</v>
      </c>
      <c r="I247" s="3">
        <f t="shared" si="27"/>
        <v>2.2000000000000002</v>
      </c>
      <c r="J247" s="3">
        <f t="shared" si="28"/>
        <v>2</v>
      </c>
      <c r="K247" s="3"/>
      <c r="L247" s="4">
        <f>+IF(C247="","",L246-(H247+I247+J247))+K247</f>
        <v>144.60833333333332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2">
        <f t="shared" si="19"/>
        <v>76.80000000000004</v>
      </c>
      <c r="T247" s="2">
        <v>0</v>
      </c>
      <c r="U247" s="2">
        <v>0</v>
      </c>
      <c r="V247" s="2">
        <v>4</v>
      </c>
      <c r="W247" s="2">
        <v>0</v>
      </c>
      <c r="X247" s="2">
        <f t="shared" si="20"/>
        <v>143</v>
      </c>
      <c r="Z247" s="1"/>
      <c r="AA247" s="1"/>
      <c r="AB247" s="2" t="str">
        <f t="shared" si="29"/>
        <v/>
      </c>
      <c r="AD247" s="121"/>
      <c r="AE247" s="121"/>
    </row>
    <row r="248" spans="1:31" x14ac:dyDescent="0.25">
      <c r="A248" s="2" t="s">
        <v>274</v>
      </c>
      <c r="B248" s="7">
        <v>0.5625</v>
      </c>
      <c r="C248" s="2">
        <v>5.5</v>
      </c>
      <c r="D248" s="10" t="s">
        <v>272</v>
      </c>
      <c r="E248" s="40">
        <v>0</v>
      </c>
      <c r="F248" s="40">
        <v>2.2000000000000002</v>
      </c>
      <c r="G248" s="40">
        <v>2</v>
      </c>
      <c r="H248" s="3">
        <f t="shared" si="26"/>
        <v>0</v>
      </c>
      <c r="I248" s="3">
        <f t="shared" si="27"/>
        <v>0.50416666666666665</v>
      </c>
      <c r="J248" s="3">
        <f t="shared" si="28"/>
        <v>0.45833333333333331</v>
      </c>
      <c r="K248" s="3"/>
      <c r="L248" s="4">
        <f t="shared" ref="L248:L273" si="30">+IF(C248="","",L247-(H248+I248+J248))+K248</f>
        <v>143.64583333333331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2">
        <f t="shared" si="19"/>
        <v>76.80000000000004</v>
      </c>
      <c r="T248" s="2">
        <v>0</v>
      </c>
      <c r="U248" s="2">
        <v>0</v>
      </c>
      <c r="V248" s="2">
        <v>2</v>
      </c>
      <c r="W248" s="2">
        <v>0</v>
      </c>
      <c r="X248" s="2">
        <f t="shared" si="20"/>
        <v>141</v>
      </c>
      <c r="Z248" s="1"/>
      <c r="AA248" s="1"/>
      <c r="AB248" s="2" t="str">
        <f t="shared" si="29"/>
        <v/>
      </c>
      <c r="AD248" s="121"/>
      <c r="AE248" s="121"/>
    </row>
    <row r="249" spans="1:31" x14ac:dyDescent="0.25">
      <c r="A249" s="2" t="s">
        <v>273</v>
      </c>
      <c r="B249" s="7" t="s">
        <v>276</v>
      </c>
      <c r="C249" s="2">
        <v>2.2000000000000002</v>
      </c>
      <c r="D249" s="10" t="s">
        <v>275</v>
      </c>
      <c r="E249" s="40">
        <v>12</v>
      </c>
      <c r="F249" s="40">
        <v>2.2000000000000002</v>
      </c>
      <c r="G249" s="40">
        <v>2</v>
      </c>
      <c r="H249" s="3">
        <f t="shared" si="26"/>
        <v>1.1000000000000001</v>
      </c>
      <c r="I249" s="3">
        <f t="shared" si="27"/>
        <v>0.20166666666666669</v>
      </c>
      <c r="J249" s="3">
        <f t="shared" si="28"/>
        <v>0.18333333333333335</v>
      </c>
      <c r="K249" s="3"/>
      <c r="L249" s="4">
        <f t="shared" si="30"/>
        <v>142.1608333333333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2">
        <f t="shared" si="19"/>
        <v>76.80000000000004</v>
      </c>
      <c r="T249" s="2">
        <v>0</v>
      </c>
      <c r="U249" s="2">
        <v>0</v>
      </c>
      <c r="V249" s="2">
        <v>1</v>
      </c>
      <c r="W249" s="2">
        <v>0</v>
      </c>
      <c r="X249" s="2">
        <f t="shared" si="20"/>
        <v>140</v>
      </c>
      <c r="Z249" s="1"/>
      <c r="AA249" s="1"/>
      <c r="AB249" s="2" t="str">
        <f t="shared" si="29"/>
        <v/>
      </c>
      <c r="AD249" s="121"/>
      <c r="AE249" s="121"/>
    </row>
    <row r="250" spans="1:31" x14ac:dyDescent="0.25">
      <c r="A250" s="2" t="s">
        <v>277</v>
      </c>
      <c r="B250" s="7">
        <v>0.33333333333333331</v>
      </c>
      <c r="C250" s="2">
        <v>16.3</v>
      </c>
      <c r="D250" s="10" t="s">
        <v>168</v>
      </c>
      <c r="E250" s="40">
        <v>0</v>
      </c>
      <c r="F250" s="40">
        <v>2.4</v>
      </c>
      <c r="G250" s="40">
        <v>2</v>
      </c>
      <c r="H250" s="3">
        <f t="shared" si="26"/>
        <v>0</v>
      </c>
      <c r="I250" s="3">
        <f t="shared" si="27"/>
        <v>1.63</v>
      </c>
      <c r="J250" s="3">
        <f t="shared" si="28"/>
        <v>1.3583333333333334</v>
      </c>
      <c r="K250" s="3"/>
      <c r="L250" s="4">
        <f t="shared" si="30"/>
        <v>139.17249999999996</v>
      </c>
      <c r="M250" s="40">
        <v>0</v>
      </c>
      <c r="N250" s="40">
        <v>0</v>
      </c>
      <c r="O250" s="40">
        <v>0</v>
      </c>
      <c r="P250" s="40">
        <v>0</v>
      </c>
      <c r="Q250" s="40">
        <v>3.5</v>
      </c>
      <c r="R250" s="40">
        <v>0</v>
      </c>
      <c r="S250" s="2">
        <f t="shared" si="19"/>
        <v>73.30000000000004</v>
      </c>
      <c r="T250" s="2">
        <v>0</v>
      </c>
      <c r="U250" s="2">
        <v>0</v>
      </c>
      <c r="V250" s="2">
        <v>2</v>
      </c>
      <c r="W250" s="2">
        <v>0</v>
      </c>
      <c r="X250" s="2">
        <f t="shared" si="20"/>
        <v>138</v>
      </c>
      <c r="Z250" s="1"/>
      <c r="AA250" s="1"/>
      <c r="AB250" s="2" t="str">
        <f t="shared" si="29"/>
        <v/>
      </c>
      <c r="AD250" s="121"/>
      <c r="AE250" s="121"/>
    </row>
    <row r="251" spans="1:31" x14ac:dyDescent="0.25">
      <c r="A251" s="2" t="s">
        <v>278</v>
      </c>
      <c r="B251" s="7">
        <v>0.45833333333333331</v>
      </c>
      <c r="C251" s="2">
        <v>3</v>
      </c>
      <c r="D251" s="10" t="s">
        <v>265</v>
      </c>
      <c r="E251" s="40">
        <v>0</v>
      </c>
      <c r="F251" s="40">
        <v>2.4</v>
      </c>
      <c r="G251" s="40">
        <v>2</v>
      </c>
      <c r="H251" s="3">
        <f t="shared" si="26"/>
        <v>0</v>
      </c>
      <c r="I251" s="3">
        <f t="shared" si="27"/>
        <v>0.3</v>
      </c>
      <c r="J251" s="3">
        <f t="shared" si="28"/>
        <v>0.25</v>
      </c>
      <c r="K251" s="3"/>
      <c r="L251" s="4">
        <f t="shared" si="30"/>
        <v>138.62249999999995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2">
        <f t="shared" si="19"/>
        <v>73.30000000000004</v>
      </c>
      <c r="T251" s="2">
        <v>0</v>
      </c>
      <c r="U251" s="2">
        <v>0</v>
      </c>
      <c r="V251" s="2">
        <v>1</v>
      </c>
      <c r="W251" s="2">
        <v>0</v>
      </c>
      <c r="X251" s="2">
        <f t="shared" si="20"/>
        <v>137</v>
      </c>
      <c r="Z251" s="1"/>
      <c r="AA251" s="1"/>
      <c r="AB251" s="2" t="str">
        <f t="shared" si="29"/>
        <v/>
      </c>
      <c r="AD251" s="121"/>
      <c r="AE251" s="121"/>
    </row>
    <row r="252" spans="1:31" x14ac:dyDescent="0.25">
      <c r="A252" s="2" t="s">
        <v>230</v>
      </c>
      <c r="B252" s="7">
        <v>0.54166666666666663</v>
      </c>
      <c r="C252" s="2">
        <v>2</v>
      </c>
      <c r="D252" s="10" t="s">
        <v>105</v>
      </c>
      <c r="E252" s="40">
        <v>10</v>
      </c>
      <c r="F252" s="40">
        <v>2.4</v>
      </c>
      <c r="G252" s="40">
        <v>2</v>
      </c>
      <c r="H252" s="3">
        <f t="shared" si="26"/>
        <v>0.83333333333333337</v>
      </c>
      <c r="I252" s="3">
        <f t="shared" si="27"/>
        <v>0.19999999999999998</v>
      </c>
      <c r="J252" s="3">
        <f t="shared" si="28"/>
        <v>0.16666666666666666</v>
      </c>
      <c r="K252" s="3"/>
      <c r="L252" s="4">
        <f t="shared" si="30"/>
        <v>137.42249999999996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2">
        <f t="shared" si="19"/>
        <v>73.30000000000004</v>
      </c>
      <c r="T252" s="2">
        <v>0</v>
      </c>
      <c r="U252" s="2">
        <v>0</v>
      </c>
      <c r="V252" s="2">
        <v>1</v>
      </c>
      <c r="W252" s="2">
        <v>0</v>
      </c>
      <c r="X252" s="2">
        <f t="shared" si="20"/>
        <v>136</v>
      </c>
      <c r="Z252" s="1"/>
      <c r="AA252" s="1"/>
      <c r="AB252" s="2" t="str">
        <f t="shared" si="29"/>
        <v/>
      </c>
      <c r="AD252" s="121"/>
      <c r="AE252" s="121"/>
    </row>
    <row r="253" spans="1:31" x14ac:dyDescent="0.25">
      <c r="A253" s="2" t="s">
        <v>279</v>
      </c>
      <c r="B253" s="7">
        <v>0.8125</v>
      </c>
      <c r="C253" s="2">
        <v>6.5</v>
      </c>
      <c r="D253" s="10" t="s">
        <v>201</v>
      </c>
      <c r="E253" s="40">
        <v>16</v>
      </c>
      <c r="F253" s="40">
        <v>2.4</v>
      </c>
      <c r="G253" s="40">
        <v>2</v>
      </c>
      <c r="H253" s="3">
        <f t="shared" si="26"/>
        <v>4.333333333333333</v>
      </c>
      <c r="I253" s="3">
        <f t="shared" si="27"/>
        <v>0.64999999999999991</v>
      </c>
      <c r="J253" s="3">
        <f t="shared" si="28"/>
        <v>0.54166666666666663</v>
      </c>
      <c r="K253" s="3"/>
      <c r="L253" s="4">
        <f t="shared" si="30"/>
        <v>131.89749999999995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2">
        <f t="shared" si="19"/>
        <v>73.30000000000004</v>
      </c>
      <c r="T253" s="2">
        <v>0</v>
      </c>
      <c r="U253" s="2">
        <v>0</v>
      </c>
      <c r="V253" s="2">
        <v>2</v>
      </c>
      <c r="W253" s="2">
        <v>0</v>
      </c>
      <c r="X253" s="2">
        <f t="shared" si="20"/>
        <v>134</v>
      </c>
      <c r="Z253" s="1"/>
      <c r="AA253" s="1"/>
      <c r="AB253" s="2" t="str">
        <f t="shared" si="29"/>
        <v/>
      </c>
      <c r="AD253" s="121">
        <v>12.8</v>
      </c>
      <c r="AE253" s="121" t="s">
        <v>1296</v>
      </c>
    </row>
    <row r="254" spans="1:31" x14ac:dyDescent="0.25">
      <c r="A254" s="2" t="s">
        <v>280</v>
      </c>
      <c r="B254" s="7">
        <v>0.33333333333333331</v>
      </c>
      <c r="C254" s="2">
        <v>12.5</v>
      </c>
      <c r="D254" s="10" t="s">
        <v>281</v>
      </c>
      <c r="E254" s="40">
        <v>0</v>
      </c>
      <c r="F254" s="40">
        <v>2.4</v>
      </c>
      <c r="G254" s="40">
        <v>2</v>
      </c>
      <c r="H254" s="3">
        <f t="shared" si="26"/>
        <v>0</v>
      </c>
      <c r="I254" s="3">
        <f t="shared" si="27"/>
        <v>1.25</v>
      </c>
      <c r="J254" s="3">
        <f t="shared" si="28"/>
        <v>1.0416666666666665</v>
      </c>
      <c r="K254" s="3"/>
      <c r="L254" s="4">
        <f t="shared" si="30"/>
        <v>129.60583333333329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2">
        <f t="shared" si="19"/>
        <v>73.30000000000004</v>
      </c>
      <c r="T254" s="2">
        <v>0</v>
      </c>
      <c r="U254" s="2">
        <v>0</v>
      </c>
      <c r="V254" s="2">
        <v>2</v>
      </c>
      <c r="W254" s="2">
        <v>0</v>
      </c>
      <c r="X254" s="2">
        <f t="shared" si="20"/>
        <v>132</v>
      </c>
      <c r="Z254" s="1">
        <v>64</v>
      </c>
      <c r="AA254" s="1">
        <v>78</v>
      </c>
      <c r="AB254" s="2">
        <f t="shared" si="29"/>
        <v>142</v>
      </c>
      <c r="AD254" s="121"/>
      <c r="AE254" s="121"/>
    </row>
    <row r="255" spans="1:31" x14ac:dyDescent="0.25">
      <c r="A255" s="2" t="s">
        <v>280</v>
      </c>
      <c r="B255" s="7">
        <v>0.47916666666666669</v>
      </c>
      <c r="C255" s="2">
        <v>3.5</v>
      </c>
      <c r="D255" s="10" t="s">
        <v>190</v>
      </c>
      <c r="E255" s="40">
        <v>0</v>
      </c>
      <c r="F255" s="40">
        <v>2.4</v>
      </c>
      <c r="G255" s="40">
        <v>2</v>
      </c>
      <c r="H255" s="3">
        <f t="shared" si="26"/>
        <v>0</v>
      </c>
      <c r="I255" s="3">
        <f t="shared" si="27"/>
        <v>0.35</v>
      </c>
      <c r="J255" s="3">
        <f t="shared" si="28"/>
        <v>0.29166666666666663</v>
      </c>
      <c r="K255" s="3"/>
      <c r="L255" s="4">
        <f t="shared" si="30"/>
        <v>128.96416666666661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2">
        <f t="shared" si="19"/>
        <v>73.30000000000004</v>
      </c>
      <c r="T255" s="2">
        <v>0</v>
      </c>
      <c r="U255" s="2">
        <v>0</v>
      </c>
      <c r="V255" s="2">
        <v>1</v>
      </c>
      <c r="W255" s="2">
        <v>0</v>
      </c>
      <c r="X255" s="2">
        <f t="shared" si="20"/>
        <v>131</v>
      </c>
      <c r="Z255" s="1"/>
      <c r="AA255" s="1"/>
      <c r="AB255" s="2" t="str">
        <f t="shared" si="29"/>
        <v/>
      </c>
      <c r="AD255" s="121"/>
      <c r="AE255" s="121"/>
    </row>
    <row r="256" spans="1:31" x14ac:dyDescent="0.25">
      <c r="A256" s="2" t="s">
        <v>282</v>
      </c>
      <c r="B256" s="7">
        <v>0.50416666666666665</v>
      </c>
      <c r="C256" s="2">
        <v>0.6</v>
      </c>
      <c r="D256" s="10" t="s">
        <v>116</v>
      </c>
      <c r="E256" s="40">
        <v>10</v>
      </c>
      <c r="F256" s="40">
        <v>2.4</v>
      </c>
      <c r="G256" s="40">
        <v>2</v>
      </c>
      <c r="H256" s="3">
        <f t="shared" si="26"/>
        <v>0.25</v>
      </c>
      <c r="I256" s="3">
        <f t="shared" si="27"/>
        <v>5.9999999999999991E-2</v>
      </c>
      <c r="J256" s="3">
        <f t="shared" si="28"/>
        <v>4.9999999999999996E-2</v>
      </c>
      <c r="K256" s="3"/>
      <c r="L256" s="4">
        <f t="shared" si="30"/>
        <v>128.6041666666666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2">
        <f t="shared" si="19"/>
        <v>73.30000000000004</v>
      </c>
      <c r="T256" s="2">
        <v>0</v>
      </c>
      <c r="U256" s="2">
        <v>0</v>
      </c>
      <c r="V256" s="2">
        <v>0</v>
      </c>
      <c r="W256" s="2">
        <v>0</v>
      </c>
      <c r="X256" s="2">
        <f t="shared" si="20"/>
        <v>131</v>
      </c>
      <c r="Z256" s="1"/>
      <c r="AA256" s="1"/>
      <c r="AB256" s="2" t="str">
        <f t="shared" si="29"/>
        <v/>
      </c>
      <c r="AD256" s="121"/>
      <c r="AE256" s="121"/>
    </row>
    <row r="257" spans="1:31" x14ac:dyDescent="0.25">
      <c r="A257" s="2" t="s">
        <v>283</v>
      </c>
      <c r="B257" s="7">
        <v>0.20833333333333334</v>
      </c>
      <c r="C257" s="2">
        <v>16.899999999999999</v>
      </c>
      <c r="D257" s="10" t="s">
        <v>265</v>
      </c>
      <c r="E257" s="40">
        <v>0</v>
      </c>
      <c r="F257" s="40">
        <v>2.4</v>
      </c>
      <c r="G257" s="40">
        <v>2</v>
      </c>
      <c r="H257" s="3">
        <f t="shared" si="26"/>
        <v>0</v>
      </c>
      <c r="I257" s="3">
        <f t="shared" si="27"/>
        <v>1.6899999999999997</v>
      </c>
      <c r="J257" s="3">
        <f t="shared" si="28"/>
        <v>1.4083333333333332</v>
      </c>
      <c r="K257" s="3"/>
      <c r="L257" s="4">
        <f t="shared" si="30"/>
        <v>125.50583333333327</v>
      </c>
      <c r="M257" s="40">
        <v>0</v>
      </c>
      <c r="N257" s="40">
        <v>0</v>
      </c>
      <c r="O257" s="40">
        <v>0</v>
      </c>
      <c r="P257" s="40">
        <v>0</v>
      </c>
      <c r="Q257" s="40">
        <v>1.5</v>
      </c>
      <c r="R257" s="40">
        <v>0</v>
      </c>
      <c r="S257" s="2">
        <f t="shared" si="19"/>
        <v>71.80000000000004</v>
      </c>
      <c r="T257" s="2">
        <v>0</v>
      </c>
      <c r="U257" s="2">
        <v>0</v>
      </c>
      <c r="V257" s="2">
        <v>2</v>
      </c>
      <c r="W257" s="2">
        <v>0</v>
      </c>
      <c r="X257" s="2">
        <f t="shared" si="20"/>
        <v>129</v>
      </c>
      <c r="Z257" s="1"/>
      <c r="AA257" s="1"/>
      <c r="AB257" s="2" t="str">
        <f t="shared" si="29"/>
        <v/>
      </c>
      <c r="AD257" s="121"/>
      <c r="AE257" s="121"/>
    </row>
    <row r="258" spans="1:31" x14ac:dyDescent="0.25">
      <c r="A258" s="2" t="s">
        <v>283</v>
      </c>
      <c r="B258" s="7">
        <v>0.33333333333333331</v>
      </c>
      <c r="C258" s="2">
        <v>3</v>
      </c>
      <c r="D258" s="10" t="s">
        <v>94</v>
      </c>
      <c r="E258" s="40">
        <v>18</v>
      </c>
      <c r="F258" s="40">
        <v>2.2000000000000002</v>
      </c>
      <c r="G258" s="40">
        <v>0</v>
      </c>
      <c r="H258" s="3">
        <f t="shared" ref="H258:H334" si="31">+IF(E258="","",(E258/24)*C258)</f>
        <v>2.25</v>
      </c>
      <c r="I258" s="3">
        <f t="shared" ref="I258:I334" si="32">+IF(F258="","",(F258/24)*C258)</f>
        <v>0.27500000000000002</v>
      </c>
      <c r="J258" s="3">
        <f t="shared" ref="J258:J334" si="33">+IF(G258="","",(G258/24)*C258)</f>
        <v>0</v>
      </c>
      <c r="K258" s="3"/>
      <c r="L258" s="4">
        <f t="shared" si="30"/>
        <v>122.98083333333327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2">
        <f t="shared" ref="S258:S322" si="34">IF(C258="","",(S257+R258)-(M258+N258+O258+P258+Q258))</f>
        <v>71.80000000000004</v>
      </c>
      <c r="T258" s="2">
        <v>0</v>
      </c>
      <c r="U258" s="2">
        <v>0</v>
      </c>
      <c r="V258" s="2">
        <v>2</v>
      </c>
      <c r="W258" s="2">
        <v>0</v>
      </c>
      <c r="X258" s="2">
        <f t="shared" ref="X258:X322" si="35">IF(V258="","",((X257+T258+U258)-(V258+W258)))</f>
        <v>127</v>
      </c>
      <c r="Z258" s="1"/>
      <c r="AA258" s="1"/>
      <c r="AB258" s="2" t="str">
        <f t="shared" ref="AB258:AB322" si="36">IF(Z258="","",Z258+AA258)</f>
        <v/>
      </c>
      <c r="AD258" s="121"/>
      <c r="AE258" s="121"/>
    </row>
    <row r="259" spans="1:31" x14ac:dyDescent="0.25">
      <c r="A259" s="2" t="s">
        <v>284</v>
      </c>
      <c r="B259" s="7">
        <v>0.33333333333333331</v>
      </c>
      <c r="C259" s="2">
        <v>24</v>
      </c>
      <c r="D259" s="10" t="s">
        <v>201</v>
      </c>
      <c r="E259" s="40">
        <v>19</v>
      </c>
      <c r="F259" s="40">
        <v>2.2000000000000002</v>
      </c>
      <c r="G259" s="40">
        <v>0</v>
      </c>
      <c r="H259" s="3">
        <f t="shared" si="31"/>
        <v>19</v>
      </c>
      <c r="I259" s="3">
        <f t="shared" si="32"/>
        <v>2.2000000000000002</v>
      </c>
      <c r="J259" s="3">
        <f t="shared" si="33"/>
        <v>0</v>
      </c>
      <c r="K259" s="3"/>
      <c r="L259" s="4">
        <f t="shared" si="30"/>
        <v>101.78083333333326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2">
        <f t="shared" si="34"/>
        <v>71.80000000000004</v>
      </c>
      <c r="T259" s="2">
        <v>0</v>
      </c>
      <c r="U259" s="2">
        <v>0</v>
      </c>
      <c r="V259" s="2">
        <v>5</v>
      </c>
      <c r="W259" s="2">
        <v>0</v>
      </c>
      <c r="X259" s="2">
        <f t="shared" si="35"/>
        <v>122</v>
      </c>
      <c r="Z259" s="1">
        <v>55</v>
      </c>
      <c r="AA259" s="1">
        <v>78</v>
      </c>
      <c r="AB259" s="2">
        <f t="shared" si="36"/>
        <v>133</v>
      </c>
      <c r="AD259" s="121">
        <v>12.9</v>
      </c>
      <c r="AE259" s="121" t="s">
        <v>1298</v>
      </c>
    </row>
    <row r="260" spans="1:31" x14ac:dyDescent="0.25">
      <c r="A260" s="2" t="s">
        <v>284</v>
      </c>
      <c r="B260" s="7">
        <v>0.54166666666666663</v>
      </c>
      <c r="C260" s="2">
        <v>5</v>
      </c>
      <c r="D260" s="10" t="s">
        <v>190</v>
      </c>
      <c r="E260" s="40">
        <v>0</v>
      </c>
      <c r="F260" s="40">
        <v>2.2000000000000002</v>
      </c>
      <c r="G260" s="40">
        <v>0</v>
      </c>
      <c r="H260" s="3">
        <f t="shared" si="31"/>
        <v>0</v>
      </c>
      <c r="I260" s="3">
        <f t="shared" si="32"/>
        <v>0.45833333333333337</v>
      </c>
      <c r="J260" s="3">
        <f t="shared" si="33"/>
        <v>0</v>
      </c>
      <c r="K260" s="3"/>
      <c r="L260" s="4">
        <f t="shared" si="30"/>
        <v>101.32249999999993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2">
        <f t="shared" si="34"/>
        <v>71.80000000000004</v>
      </c>
      <c r="T260" s="2">
        <v>0</v>
      </c>
      <c r="U260" s="2">
        <v>0</v>
      </c>
      <c r="V260" s="2">
        <v>1</v>
      </c>
      <c r="W260" s="2">
        <v>0</v>
      </c>
      <c r="X260" s="2">
        <f t="shared" si="35"/>
        <v>121</v>
      </c>
      <c r="Z260" s="1"/>
      <c r="AA260" s="1"/>
      <c r="AB260" s="2" t="str">
        <f t="shared" si="36"/>
        <v/>
      </c>
      <c r="AD260" s="121"/>
      <c r="AE260" s="121"/>
    </row>
    <row r="261" spans="1:31" x14ac:dyDescent="0.25">
      <c r="A261" s="2" t="s">
        <v>285</v>
      </c>
      <c r="B261" s="7">
        <v>0.61527777777777781</v>
      </c>
      <c r="C261" s="2">
        <v>1.7</v>
      </c>
      <c r="D261" s="10" t="s">
        <v>69</v>
      </c>
      <c r="E261" s="40">
        <v>12</v>
      </c>
      <c r="F261" s="40">
        <v>2.2000000000000002</v>
      </c>
      <c r="G261" s="40">
        <v>0</v>
      </c>
      <c r="H261" s="3">
        <f t="shared" si="31"/>
        <v>0.85</v>
      </c>
      <c r="I261" s="3">
        <f t="shared" si="32"/>
        <v>0.15583333333333335</v>
      </c>
      <c r="J261" s="3">
        <f t="shared" si="33"/>
        <v>0</v>
      </c>
      <c r="K261" s="3"/>
      <c r="L261" s="4">
        <f t="shared" si="30"/>
        <v>100.31666666666661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2">
        <f t="shared" si="34"/>
        <v>71.80000000000004</v>
      </c>
      <c r="T261" s="2">
        <v>0</v>
      </c>
      <c r="U261" s="2">
        <v>0</v>
      </c>
      <c r="V261" s="2">
        <v>0</v>
      </c>
      <c r="W261" s="2">
        <v>0</v>
      </c>
      <c r="X261" s="2">
        <f t="shared" si="35"/>
        <v>121</v>
      </c>
      <c r="Z261" s="1"/>
      <c r="AA261" s="1"/>
      <c r="AB261" s="2" t="str">
        <f t="shared" si="36"/>
        <v/>
      </c>
      <c r="AD261" s="121"/>
      <c r="AE261" s="121"/>
    </row>
    <row r="262" spans="1:31" x14ac:dyDescent="0.25">
      <c r="A262" s="2" t="s">
        <v>286</v>
      </c>
      <c r="B262" s="7">
        <v>0.33333333333333331</v>
      </c>
      <c r="C262" s="2">
        <v>17.3</v>
      </c>
      <c r="D262" s="10" t="s">
        <v>69</v>
      </c>
      <c r="E262" s="40">
        <v>0</v>
      </c>
      <c r="F262" s="40">
        <v>2.4</v>
      </c>
      <c r="G262" s="40">
        <v>2</v>
      </c>
      <c r="H262" s="3">
        <f t="shared" si="31"/>
        <v>0</v>
      </c>
      <c r="I262" s="3">
        <f t="shared" si="32"/>
        <v>1.73</v>
      </c>
      <c r="J262" s="3">
        <f t="shared" si="33"/>
        <v>1.4416666666666667</v>
      </c>
      <c r="K262" s="3"/>
      <c r="L262" s="4">
        <f t="shared" si="30"/>
        <v>97.144999999999939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2">
        <f t="shared" si="34"/>
        <v>71.80000000000004</v>
      </c>
      <c r="T262" s="2">
        <v>0</v>
      </c>
      <c r="U262" s="2">
        <v>0</v>
      </c>
      <c r="V262" s="2">
        <v>4</v>
      </c>
      <c r="W262" s="2">
        <v>0</v>
      </c>
      <c r="X262" s="2">
        <f t="shared" si="35"/>
        <v>117</v>
      </c>
      <c r="Z262" s="1">
        <v>48</v>
      </c>
      <c r="AA262" s="1">
        <v>78</v>
      </c>
      <c r="AB262" s="2">
        <f t="shared" si="36"/>
        <v>126</v>
      </c>
      <c r="AD262" s="121"/>
      <c r="AE262" s="121"/>
    </row>
    <row r="263" spans="1:31" x14ac:dyDescent="0.25">
      <c r="A263" s="2" t="s">
        <v>287</v>
      </c>
      <c r="B263" s="7">
        <v>0.33333333333333331</v>
      </c>
      <c r="C263" s="2">
        <v>24</v>
      </c>
      <c r="D263" s="10" t="s">
        <v>69</v>
      </c>
      <c r="E263" s="40">
        <v>0</v>
      </c>
      <c r="F263" s="40">
        <v>2.4</v>
      </c>
      <c r="G263" s="40">
        <v>2</v>
      </c>
      <c r="H263" s="3">
        <f t="shared" si="31"/>
        <v>0</v>
      </c>
      <c r="I263" s="3">
        <f t="shared" si="32"/>
        <v>2.4</v>
      </c>
      <c r="J263" s="3">
        <f t="shared" si="33"/>
        <v>2</v>
      </c>
      <c r="K263" s="3"/>
      <c r="L263" s="4">
        <f t="shared" si="30"/>
        <v>92.744999999999933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2">
        <f t="shared" si="34"/>
        <v>71.80000000000004</v>
      </c>
      <c r="T263" s="2">
        <v>0</v>
      </c>
      <c r="U263" s="2">
        <v>0</v>
      </c>
      <c r="V263" s="2">
        <v>4</v>
      </c>
      <c r="W263" s="2">
        <v>0</v>
      </c>
      <c r="X263" s="2">
        <f t="shared" si="35"/>
        <v>113</v>
      </c>
      <c r="Z263" s="1">
        <v>43</v>
      </c>
      <c r="AA263" s="1">
        <v>78</v>
      </c>
      <c r="AB263" s="2">
        <f t="shared" si="36"/>
        <v>121</v>
      </c>
      <c r="AD263" s="121"/>
      <c r="AE263" s="121"/>
    </row>
    <row r="264" spans="1:31" x14ac:dyDescent="0.25">
      <c r="A264" s="2" t="s">
        <v>288</v>
      </c>
      <c r="B264" s="7">
        <v>0.64583333333333337</v>
      </c>
      <c r="C264" s="2">
        <v>7.5</v>
      </c>
      <c r="D264" s="10" t="s">
        <v>289</v>
      </c>
      <c r="E264" s="40">
        <v>0</v>
      </c>
      <c r="F264" s="40">
        <v>2.4</v>
      </c>
      <c r="G264" s="40">
        <v>2</v>
      </c>
      <c r="H264" s="3">
        <f t="shared" si="31"/>
        <v>0</v>
      </c>
      <c r="I264" s="3">
        <f t="shared" si="32"/>
        <v>0.74999999999999989</v>
      </c>
      <c r="J264" s="3">
        <f t="shared" si="33"/>
        <v>0.625</v>
      </c>
      <c r="K264" s="3"/>
      <c r="L264" s="4">
        <f t="shared" si="30"/>
        <v>91.369999999999933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2">
        <f t="shared" si="34"/>
        <v>71.80000000000004</v>
      </c>
      <c r="T264" s="2">
        <v>0</v>
      </c>
      <c r="U264" s="2">
        <v>0</v>
      </c>
      <c r="V264" s="2">
        <v>1</v>
      </c>
      <c r="W264" s="2">
        <v>0</v>
      </c>
      <c r="X264" s="2">
        <f t="shared" si="35"/>
        <v>112</v>
      </c>
      <c r="Z264" s="1"/>
      <c r="AA264" s="1"/>
      <c r="AB264" s="2" t="str">
        <f t="shared" si="36"/>
        <v/>
      </c>
      <c r="AD264" s="121"/>
      <c r="AE264" s="121"/>
    </row>
    <row r="265" spans="1:31" x14ac:dyDescent="0.25">
      <c r="A265" s="2" t="s">
        <v>287</v>
      </c>
      <c r="B265" s="7">
        <v>0</v>
      </c>
      <c r="C265" s="2">
        <v>8.5</v>
      </c>
      <c r="D265" s="10" t="s">
        <v>69</v>
      </c>
      <c r="E265" s="40">
        <v>0</v>
      </c>
      <c r="F265" s="40">
        <v>2.4</v>
      </c>
      <c r="G265" s="40">
        <v>2</v>
      </c>
      <c r="H265" s="3">
        <f t="shared" si="31"/>
        <v>0</v>
      </c>
      <c r="I265" s="3">
        <f t="shared" si="32"/>
        <v>0.85</v>
      </c>
      <c r="J265" s="3">
        <f t="shared" si="33"/>
        <v>0.70833333333333326</v>
      </c>
      <c r="K265" s="3"/>
      <c r="L265" s="4">
        <f t="shared" si="30"/>
        <v>89.811666666666596</v>
      </c>
      <c r="M265" s="40">
        <v>0</v>
      </c>
      <c r="N265" s="40">
        <v>0</v>
      </c>
      <c r="O265" s="40">
        <v>0</v>
      </c>
      <c r="P265" s="40">
        <v>0</v>
      </c>
      <c r="Q265" s="40">
        <v>1</v>
      </c>
      <c r="R265" s="40">
        <v>0</v>
      </c>
      <c r="S265" s="2">
        <f t="shared" si="34"/>
        <v>70.80000000000004</v>
      </c>
      <c r="T265" s="2">
        <v>0</v>
      </c>
      <c r="U265" s="2">
        <v>0</v>
      </c>
      <c r="V265" s="2">
        <v>2</v>
      </c>
      <c r="W265" s="2">
        <v>0</v>
      </c>
      <c r="X265" s="2">
        <f t="shared" si="35"/>
        <v>110</v>
      </c>
      <c r="Z265" s="1"/>
      <c r="AA265" s="1"/>
      <c r="AB265" s="2" t="str">
        <f t="shared" si="36"/>
        <v/>
      </c>
      <c r="AD265" s="121"/>
      <c r="AE265" s="121"/>
    </row>
    <row r="266" spans="1:31" x14ac:dyDescent="0.25">
      <c r="A266" s="2" t="s">
        <v>287</v>
      </c>
      <c r="B266" s="7">
        <v>4.1666666666666664E-2</v>
      </c>
      <c r="C266" s="2">
        <v>1</v>
      </c>
      <c r="D266" s="10" t="s">
        <v>236</v>
      </c>
      <c r="E266" s="40">
        <v>16</v>
      </c>
      <c r="F266" s="40">
        <v>2.4</v>
      </c>
      <c r="G266" s="40">
        <v>0</v>
      </c>
      <c r="H266" s="3">
        <f t="shared" si="31"/>
        <v>0.66666666666666663</v>
      </c>
      <c r="I266" s="3">
        <f t="shared" si="32"/>
        <v>9.9999999999999992E-2</v>
      </c>
      <c r="J266" s="3">
        <f t="shared" si="33"/>
        <v>0</v>
      </c>
      <c r="K266" s="3"/>
      <c r="L266" s="4">
        <f t="shared" si="30"/>
        <v>89.044999999999931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2">
        <f t="shared" si="34"/>
        <v>70.80000000000004</v>
      </c>
      <c r="T266" s="2">
        <v>0</v>
      </c>
      <c r="U266" s="2">
        <v>0</v>
      </c>
      <c r="V266" s="2">
        <v>0</v>
      </c>
      <c r="W266" s="2">
        <v>0</v>
      </c>
      <c r="X266" s="2">
        <f t="shared" si="35"/>
        <v>110</v>
      </c>
      <c r="Z266" s="1"/>
      <c r="AA266" s="1"/>
      <c r="AB266" s="2" t="str">
        <f t="shared" si="36"/>
        <v/>
      </c>
      <c r="AD266" s="121"/>
      <c r="AE266" s="121"/>
    </row>
    <row r="267" spans="1:31" x14ac:dyDescent="0.25">
      <c r="A267" s="2" t="s">
        <v>287</v>
      </c>
      <c r="B267" s="7">
        <v>0.33333333333333331</v>
      </c>
      <c r="C267" s="2">
        <v>7</v>
      </c>
      <c r="D267" s="10" t="s">
        <v>236</v>
      </c>
      <c r="E267" s="40">
        <v>0</v>
      </c>
      <c r="F267" s="40">
        <v>2.2000000000000002</v>
      </c>
      <c r="G267" s="40">
        <v>2</v>
      </c>
      <c r="H267" s="3">
        <f t="shared" si="31"/>
        <v>0</v>
      </c>
      <c r="I267" s="3">
        <f t="shared" si="32"/>
        <v>0.64166666666666672</v>
      </c>
      <c r="J267" s="3">
        <f t="shared" si="33"/>
        <v>0.58333333333333326</v>
      </c>
      <c r="K267" s="3"/>
      <c r="L267" s="4">
        <f t="shared" si="30"/>
        <v>87.819999999999936</v>
      </c>
      <c r="M267" s="40">
        <v>0</v>
      </c>
      <c r="N267" s="40">
        <v>0</v>
      </c>
      <c r="O267" s="40">
        <v>0</v>
      </c>
      <c r="P267" s="40">
        <v>0</v>
      </c>
      <c r="Q267" s="40">
        <v>0.5</v>
      </c>
      <c r="R267" s="40">
        <v>0</v>
      </c>
      <c r="S267" s="2">
        <f t="shared" si="34"/>
        <v>70.30000000000004</v>
      </c>
      <c r="T267" s="2">
        <v>0</v>
      </c>
      <c r="U267" s="2">
        <v>0</v>
      </c>
      <c r="V267" s="2">
        <v>2</v>
      </c>
      <c r="W267" s="2">
        <v>0</v>
      </c>
      <c r="X267" s="2">
        <f t="shared" si="35"/>
        <v>108</v>
      </c>
      <c r="Z267" s="1"/>
      <c r="AA267" s="1"/>
      <c r="AB267" s="2" t="str">
        <f t="shared" si="36"/>
        <v/>
      </c>
      <c r="AD267" s="121"/>
      <c r="AE267" s="121"/>
    </row>
    <row r="268" spans="1:31" x14ac:dyDescent="0.25">
      <c r="A268" s="2" t="s">
        <v>290</v>
      </c>
      <c r="B268" s="7">
        <v>0.33333333333333331</v>
      </c>
      <c r="C268" s="2">
        <v>24</v>
      </c>
      <c r="D268" s="10" t="s">
        <v>236</v>
      </c>
      <c r="E268" s="40">
        <v>0</v>
      </c>
      <c r="F268" s="40">
        <v>2.2000000000000002</v>
      </c>
      <c r="G268" s="40">
        <v>2</v>
      </c>
      <c r="H268" s="3">
        <f t="shared" si="31"/>
        <v>0</v>
      </c>
      <c r="I268" s="3">
        <f t="shared" si="32"/>
        <v>2.2000000000000002</v>
      </c>
      <c r="J268" s="3">
        <f t="shared" si="33"/>
        <v>2</v>
      </c>
      <c r="K268" s="3"/>
      <c r="L268" s="4">
        <f t="shared" si="30"/>
        <v>83.619999999999933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2">
        <f t="shared" si="34"/>
        <v>70.30000000000004</v>
      </c>
      <c r="T268" s="2">
        <v>0</v>
      </c>
      <c r="U268" s="2">
        <v>0</v>
      </c>
      <c r="V268" s="2">
        <v>4</v>
      </c>
      <c r="W268" s="2">
        <v>0</v>
      </c>
      <c r="X268" s="2">
        <f t="shared" si="35"/>
        <v>104</v>
      </c>
      <c r="Z268" s="1"/>
      <c r="AA268" s="1"/>
      <c r="AB268" s="2" t="str">
        <f t="shared" si="36"/>
        <v/>
      </c>
      <c r="AD268" s="121"/>
      <c r="AE268" s="121"/>
    </row>
    <row r="269" spans="1:31" x14ac:dyDescent="0.25">
      <c r="A269" s="2" t="s">
        <v>240</v>
      </c>
      <c r="B269" s="7">
        <v>0.33333333333333331</v>
      </c>
      <c r="C269" s="2">
        <v>24</v>
      </c>
      <c r="D269" s="10" t="s">
        <v>236</v>
      </c>
      <c r="E269" s="40">
        <v>0</v>
      </c>
      <c r="F269" s="40">
        <v>2.2000000000000002</v>
      </c>
      <c r="G269" s="40">
        <v>2</v>
      </c>
      <c r="H269" s="3">
        <f t="shared" si="31"/>
        <v>0</v>
      </c>
      <c r="I269" s="3">
        <f t="shared" si="32"/>
        <v>2.2000000000000002</v>
      </c>
      <c r="J269" s="3">
        <f t="shared" si="33"/>
        <v>2</v>
      </c>
      <c r="K269" s="3"/>
      <c r="L269" s="4">
        <f t="shared" si="30"/>
        <v>79.419999999999931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2">
        <f t="shared" si="34"/>
        <v>70.30000000000004</v>
      </c>
      <c r="T269" s="2">
        <v>0</v>
      </c>
      <c r="U269" s="2">
        <v>100</v>
      </c>
      <c r="V269" s="2">
        <v>4</v>
      </c>
      <c r="W269" s="2">
        <v>0</v>
      </c>
      <c r="X269" s="2">
        <f t="shared" si="35"/>
        <v>200</v>
      </c>
      <c r="Z269" s="1"/>
      <c r="AA269" s="1"/>
      <c r="AB269" s="2" t="str">
        <f t="shared" si="36"/>
        <v/>
      </c>
      <c r="AD269" s="121"/>
      <c r="AE269" s="121"/>
    </row>
    <row r="270" spans="1:31" x14ac:dyDescent="0.25">
      <c r="A270" s="2" t="s">
        <v>242</v>
      </c>
      <c r="B270" s="7">
        <v>0.33333333333333331</v>
      </c>
      <c r="C270" s="2">
        <v>24</v>
      </c>
      <c r="D270" s="10" t="s">
        <v>291</v>
      </c>
      <c r="E270" s="40">
        <v>0</v>
      </c>
      <c r="F270" s="40">
        <v>2.2000000000000002</v>
      </c>
      <c r="G270" s="40">
        <v>2</v>
      </c>
      <c r="H270" s="3">
        <f t="shared" si="31"/>
        <v>0</v>
      </c>
      <c r="I270" s="3">
        <f t="shared" si="32"/>
        <v>2.2000000000000002</v>
      </c>
      <c r="J270" s="3">
        <f t="shared" si="33"/>
        <v>2</v>
      </c>
      <c r="K270" s="3"/>
      <c r="L270" s="4">
        <f t="shared" si="30"/>
        <v>75.219999999999928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0</v>
      </c>
      <c r="S270" s="2">
        <f t="shared" si="34"/>
        <v>70.30000000000004</v>
      </c>
      <c r="T270" s="2">
        <v>0</v>
      </c>
      <c r="U270" s="2">
        <v>0</v>
      </c>
      <c r="V270" s="2">
        <v>4</v>
      </c>
      <c r="W270" s="2">
        <v>0</v>
      </c>
      <c r="X270" s="2">
        <f t="shared" si="35"/>
        <v>196</v>
      </c>
      <c r="Z270" s="1"/>
      <c r="AA270" s="1"/>
      <c r="AB270" s="2" t="str">
        <f t="shared" si="36"/>
        <v/>
      </c>
      <c r="AD270" s="121"/>
      <c r="AE270" s="121"/>
    </row>
    <row r="271" spans="1:31" x14ac:dyDescent="0.25">
      <c r="A271" s="2" t="s">
        <v>243</v>
      </c>
      <c r="B271" s="7">
        <v>0.33333333333333331</v>
      </c>
      <c r="C271" s="2">
        <v>24</v>
      </c>
      <c r="D271" s="10" t="s">
        <v>236</v>
      </c>
      <c r="E271" s="40">
        <v>0</v>
      </c>
      <c r="F271" s="40">
        <v>2.2000000000000002</v>
      </c>
      <c r="G271" s="40">
        <v>2</v>
      </c>
      <c r="H271" s="3">
        <f t="shared" si="31"/>
        <v>0</v>
      </c>
      <c r="I271" s="3">
        <f t="shared" si="32"/>
        <v>2.2000000000000002</v>
      </c>
      <c r="J271" s="3">
        <f t="shared" si="33"/>
        <v>2</v>
      </c>
      <c r="K271" s="3"/>
      <c r="L271" s="4">
        <f t="shared" si="30"/>
        <v>71.019999999999925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2">
        <f t="shared" si="34"/>
        <v>70.30000000000004</v>
      </c>
      <c r="T271" s="2">
        <v>0</v>
      </c>
      <c r="U271" s="2">
        <v>0</v>
      </c>
      <c r="V271" s="2">
        <v>4</v>
      </c>
      <c r="W271" s="2">
        <v>0</v>
      </c>
      <c r="X271" s="2">
        <f t="shared" si="35"/>
        <v>192</v>
      </c>
      <c r="Z271" s="1"/>
      <c r="AA271" s="1"/>
      <c r="AB271" s="2" t="str">
        <f t="shared" si="36"/>
        <v/>
      </c>
      <c r="AD271" s="121"/>
      <c r="AE271" s="121"/>
    </row>
    <row r="272" spans="1:31" x14ac:dyDescent="0.25">
      <c r="A272" s="2" t="s">
        <v>292</v>
      </c>
      <c r="B272" s="7">
        <v>0.33333333333333331</v>
      </c>
      <c r="C272" s="2">
        <v>24</v>
      </c>
      <c r="D272" s="10" t="s">
        <v>236</v>
      </c>
      <c r="E272" s="40">
        <v>0</v>
      </c>
      <c r="F272" s="40">
        <v>2.2000000000000002</v>
      </c>
      <c r="G272" s="40">
        <v>2</v>
      </c>
      <c r="H272" s="3">
        <f t="shared" si="31"/>
        <v>0</v>
      </c>
      <c r="I272" s="3">
        <f t="shared" si="32"/>
        <v>2.2000000000000002</v>
      </c>
      <c r="J272" s="3">
        <f t="shared" si="33"/>
        <v>2</v>
      </c>
      <c r="K272" s="3"/>
      <c r="L272" s="4">
        <f t="shared" si="30"/>
        <v>66.819999999999922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2">
        <f t="shared" si="34"/>
        <v>70.30000000000004</v>
      </c>
      <c r="T272" s="2">
        <v>0</v>
      </c>
      <c r="U272" s="2">
        <v>0</v>
      </c>
      <c r="V272" s="2">
        <v>6</v>
      </c>
      <c r="W272" s="2">
        <v>0</v>
      </c>
      <c r="X272" s="2">
        <f t="shared" si="35"/>
        <v>186</v>
      </c>
      <c r="Z272" s="1"/>
      <c r="AA272" s="1"/>
      <c r="AB272" s="2" t="str">
        <f t="shared" si="36"/>
        <v/>
      </c>
      <c r="AD272" s="121"/>
      <c r="AE272" s="121"/>
    </row>
    <row r="273" spans="1:31" x14ac:dyDescent="0.25">
      <c r="A273" s="2" t="s">
        <v>293</v>
      </c>
      <c r="B273" s="7">
        <v>0.33333333333333331</v>
      </c>
      <c r="C273" s="2">
        <v>24</v>
      </c>
      <c r="D273" s="10" t="s">
        <v>236</v>
      </c>
      <c r="E273" s="40">
        <v>0</v>
      </c>
      <c r="F273" s="40">
        <v>2.2000000000000002</v>
      </c>
      <c r="G273" s="40">
        <v>2</v>
      </c>
      <c r="H273" s="3">
        <f t="shared" si="31"/>
        <v>0</v>
      </c>
      <c r="I273" s="3">
        <f t="shared" si="32"/>
        <v>2.2000000000000002</v>
      </c>
      <c r="J273" s="3">
        <f t="shared" si="33"/>
        <v>2</v>
      </c>
      <c r="K273" s="3">
        <v>230</v>
      </c>
      <c r="L273" s="4">
        <f t="shared" si="30"/>
        <v>292.61999999999989</v>
      </c>
      <c r="M273" s="40">
        <v>0</v>
      </c>
      <c r="N273" s="40">
        <v>0</v>
      </c>
      <c r="O273" s="40">
        <v>0.2</v>
      </c>
      <c r="P273" s="40">
        <v>0</v>
      </c>
      <c r="Q273" s="40">
        <v>0</v>
      </c>
      <c r="R273" s="40">
        <v>0</v>
      </c>
      <c r="S273" s="2">
        <f t="shared" si="34"/>
        <v>70.100000000000037</v>
      </c>
      <c r="T273" s="2">
        <v>0</v>
      </c>
      <c r="U273" s="2">
        <v>0</v>
      </c>
      <c r="V273" s="2">
        <v>6</v>
      </c>
      <c r="W273" s="2">
        <v>0</v>
      </c>
      <c r="X273" s="2">
        <f t="shared" si="35"/>
        <v>180</v>
      </c>
      <c r="Z273" s="1"/>
      <c r="AA273" s="1"/>
      <c r="AB273" s="2" t="str">
        <f t="shared" si="36"/>
        <v/>
      </c>
      <c r="AD273" s="121"/>
      <c r="AE273" s="121"/>
    </row>
    <row r="274" spans="1:31" x14ac:dyDescent="0.25">
      <c r="A274" s="2" t="s">
        <v>294</v>
      </c>
      <c r="B274" s="7">
        <v>0.33333333333333331</v>
      </c>
      <c r="C274" s="2">
        <v>24</v>
      </c>
      <c r="D274" s="10" t="s">
        <v>236</v>
      </c>
      <c r="E274" s="40">
        <v>0</v>
      </c>
      <c r="F274" s="40">
        <v>2.2000000000000002</v>
      </c>
      <c r="G274" s="40">
        <v>2</v>
      </c>
      <c r="H274" s="3">
        <f t="shared" si="31"/>
        <v>0</v>
      </c>
      <c r="I274" s="3">
        <f t="shared" si="32"/>
        <v>2.2000000000000002</v>
      </c>
      <c r="J274" s="3">
        <f t="shared" si="33"/>
        <v>2</v>
      </c>
      <c r="K274" s="3"/>
      <c r="L274" s="4">
        <f t="shared" ref="L274:L332" si="37">+IF(C274="","",L273-(H274+I274+J274))</f>
        <v>288.4199999999999</v>
      </c>
      <c r="M274" s="40">
        <v>0</v>
      </c>
      <c r="N274" s="40">
        <v>0</v>
      </c>
      <c r="O274" s="40">
        <v>0.2</v>
      </c>
      <c r="P274" s="40">
        <v>0</v>
      </c>
      <c r="Q274" s="40">
        <v>0</v>
      </c>
      <c r="R274" s="40">
        <v>0</v>
      </c>
      <c r="S274" s="2">
        <f t="shared" si="34"/>
        <v>69.900000000000034</v>
      </c>
      <c r="T274" s="2">
        <v>0</v>
      </c>
      <c r="U274" s="2">
        <v>0</v>
      </c>
      <c r="V274" s="2">
        <v>5</v>
      </c>
      <c r="W274" s="2">
        <v>0</v>
      </c>
      <c r="X274" s="2">
        <f t="shared" si="35"/>
        <v>175</v>
      </c>
      <c r="Z274" s="1"/>
      <c r="AA274" s="1"/>
      <c r="AB274" s="2" t="str">
        <f t="shared" si="36"/>
        <v/>
      </c>
      <c r="AD274" s="121"/>
      <c r="AE274" s="121"/>
    </row>
    <row r="275" spans="1:31" x14ac:dyDescent="0.25">
      <c r="A275" s="2" t="s">
        <v>294</v>
      </c>
      <c r="B275" s="7">
        <v>0.89583333333333337</v>
      </c>
      <c r="C275" s="2">
        <v>13.5</v>
      </c>
      <c r="D275" s="10" t="s">
        <v>190</v>
      </c>
      <c r="E275" s="40">
        <v>0</v>
      </c>
      <c r="F275" s="40">
        <v>2.2000000000000002</v>
      </c>
      <c r="G275" s="40">
        <v>2</v>
      </c>
      <c r="H275" s="3">
        <f t="shared" si="31"/>
        <v>0</v>
      </c>
      <c r="I275" s="3">
        <f t="shared" si="32"/>
        <v>1.2375</v>
      </c>
      <c r="J275" s="3">
        <f t="shared" si="33"/>
        <v>1.125</v>
      </c>
      <c r="K275" s="3"/>
      <c r="L275" s="4">
        <f t="shared" si="37"/>
        <v>286.05749999999989</v>
      </c>
      <c r="M275" s="40">
        <v>0</v>
      </c>
      <c r="N275" s="40">
        <v>0</v>
      </c>
      <c r="O275" s="40">
        <v>0.2</v>
      </c>
      <c r="P275" s="40">
        <v>0</v>
      </c>
      <c r="Q275" s="40">
        <v>0</v>
      </c>
      <c r="R275" s="40">
        <v>0</v>
      </c>
      <c r="S275" s="2">
        <f t="shared" si="34"/>
        <v>69.700000000000031</v>
      </c>
      <c r="T275" s="2">
        <v>0</v>
      </c>
      <c r="U275" s="2">
        <v>0</v>
      </c>
      <c r="V275" s="2">
        <v>3</v>
      </c>
      <c r="W275" s="2">
        <v>0</v>
      </c>
      <c r="X275" s="2">
        <f t="shared" si="35"/>
        <v>172</v>
      </c>
      <c r="Z275" s="1"/>
      <c r="AA275" s="1"/>
      <c r="AB275" s="2" t="str">
        <f t="shared" si="36"/>
        <v/>
      </c>
      <c r="AD275" s="121"/>
      <c r="AE275" s="121"/>
    </row>
    <row r="276" spans="1:31" x14ac:dyDescent="0.25">
      <c r="A276" s="2" t="s">
        <v>295</v>
      </c>
      <c r="B276" s="7" t="s">
        <v>296</v>
      </c>
      <c r="C276" s="2">
        <v>2.33</v>
      </c>
      <c r="D276" s="10" t="s">
        <v>69</v>
      </c>
      <c r="E276" s="40">
        <v>12</v>
      </c>
      <c r="F276" s="40">
        <v>2.4</v>
      </c>
      <c r="G276" s="40">
        <v>2</v>
      </c>
      <c r="H276" s="3">
        <f t="shared" si="31"/>
        <v>1.165</v>
      </c>
      <c r="I276" s="3">
        <f t="shared" si="32"/>
        <v>0.23299999999999998</v>
      </c>
      <c r="J276" s="3">
        <f t="shared" si="33"/>
        <v>0.19416666666666665</v>
      </c>
      <c r="K276" s="3"/>
      <c r="L276" s="4">
        <f t="shared" si="37"/>
        <v>284.46533333333321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2">
        <f t="shared" si="34"/>
        <v>69.700000000000031</v>
      </c>
      <c r="T276" s="2">
        <v>0</v>
      </c>
      <c r="U276" s="2">
        <v>0</v>
      </c>
      <c r="V276" s="2">
        <v>0</v>
      </c>
      <c r="W276" s="2">
        <v>0</v>
      </c>
      <c r="X276" s="2">
        <f t="shared" si="35"/>
        <v>172</v>
      </c>
      <c r="Z276" s="1"/>
      <c r="AA276" s="1"/>
      <c r="AB276" s="2" t="str">
        <f t="shared" si="36"/>
        <v/>
      </c>
      <c r="AD276" s="121"/>
      <c r="AE276" s="121"/>
    </row>
    <row r="277" spans="1:31" x14ac:dyDescent="0.25">
      <c r="A277" s="2" t="s">
        <v>295</v>
      </c>
      <c r="B277" s="7">
        <v>0.33333333333333331</v>
      </c>
      <c r="C277" s="2">
        <v>8.67</v>
      </c>
      <c r="D277" s="10" t="s">
        <v>297</v>
      </c>
      <c r="E277" s="40">
        <v>0</v>
      </c>
      <c r="F277" s="40">
        <v>2.4</v>
      </c>
      <c r="G277" s="40">
        <v>2</v>
      </c>
      <c r="H277" s="3">
        <f t="shared" si="31"/>
        <v>0</v>
      </c>
      <c r="I277" s="3">
        <f t="shared" si="32"/>
        <v>0.86699999999999988</v>
      </c>
      <c r="J277" s="3">
        <f t="shared" si="33"/>
        <v>0.72249999999999992</v>
      </c>
      <c r="K277" s="3"/>
      <c r="L277" s="4">
        <f t="shared" si="37"/>
        <v>282.87583333333322</v>
      </c>
      <c r="M277" s="40">
        <v>0</v>
      </c>
      <c r="N277" s="40">
        <v>0</v>
      </c>
      <c r="O277" s="40">
        <v>0</v>
      </c>
      <c r="P277" s="40">
        <v>0</v>
      </c>
      <c r="Q277" s="40">
        <v>0</v>
      </c>
      <c r="R277" s="40">
        <v>0</v>
      </c>
      <c r="S277" s="2">
        <f t="shared" si="34"/>
        <v>69.700000000000031</v>
      </c>
      <c r="T277" s="2">
        <v>0</v>
      </c>
      <c r="U277" s="2">
        <v>0</v>
      </c>
      <c r="V277" s="2">
        <v>1</v>
      </c>
      <c r="W277" s="2">
        <v>0</v>
      </c>
      <c r="X277" s="2">
        <f t="shared" si="35"/>
        <v>171</v>
      </c>
      <c r="Z277" s="1">
        <v>90</v>
      </c>
      <c r="AA277" s="1">
        <v>84</v>
      </c>
      <c r="AB277" s="2">
        <f t="shared" si="36"/>
        <v>174</v>
      </c>
      <c r="AD277" s="121"/>
      <c r="AE277" s="121"/>
    </row>
    <row r="278" spans="1:31" x14ac:dyDescent="0.25">
      <c r="A278" s="2" t="s">
        <v>298</v>
      </c>
      <c r="B278" s="7">
        <v>0.33333333333333331</v>
      </c>
      <c r="C278" s="2">
        <v>24</v>
      </c>
      <c r="D278" s="10" t="s">
        <v>69</v>
      </c>
      <c r="E278" s="40">
        <v>0</v>
      </c>
      <c r="F278" s="40">
        <v>2.2000000000000002</v>
      </c>
      <c r="G278" s="40">
        <v>2</v>
      </c>
      <c r="H278" s="3">
        <f t="shared" si="31"/>
        <v>0</v>
      </c>
      <c r="I278" s="3">
        <f t="shared" si="32"/>
        <v>2.2000000000000002</v>
      </c>
      <c r="J278" s="3">
        <f t="shared" si="33"/>
        <v>2</v>
      </c>
      <c r="K278" s="3"/>
      <c r="L278" s="4">
        <f t="shared" si="37"/>
        <v>278.67583333333323</v>
      </c>
      <c r="M278" s="40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60</v>
      </c>
      <c r="S278" s="2">
        <f t="shared" si="34"/>
        <v>129.70000000000005</v>
      </c>
      <c r="T278" s="2">
        <v>0</v>
      </c>
      <c r="U278" s="2">
        <v>0</v>
      </c>
      <c r="V278" s="2">
        <v>5</v>
      </c>
      <c r="W278" s="2">
        <v>0</v>
      </c>
      <c r="X278" s="2">
        <f t="shared" si="35"/>
        <v>166</v>
      </c>
      <c r="Z278" s="1">
        <v>90</v>
      </c>
      <c r="AA278" s="1">
        <v>76</v>
      </c>
      <c r="AB278" s="2">
        <f t="shared" si="36"/>
        <v>166</v>
      </c>
      <c r="AD278" s="121"/>
      <c r="AE278" s="121"/>
    </row>
    <row r="279" spans="1:31" x14ac:dyDescent="0.25">
      <c r="A279" s="2" t="s">
        <v>299</v>
      </c>
      <c r="B279" s="7">
        <v>0.20833333333333334</v>
      </c>
      <c r="C279" s="2">
        <v>21</v>
      </c>
      <c r="D279" s="10" t="s">
        <v>120</v>
      </c>
      <c r="E279" s="40">
        <v>0</v>
      </c>
      <c r="F279" s="40">
        <v>2.2000000000000002</v>
      </c>
      <c r="G279" s="40">
        <v>2</v>
      </c>
      <c r="H279" s="3">
        <f t="shared" si="31"/>
        <v>0</v>
      </c>
      <c r="I279" s="3">
        <f t="shared" si="32"/>
        <v>1.9250000000000003</v>
      </c>
      <c r="J279" s="3">
        <f t="shared" si="33"/>
        <v>1.75</v>
      </c>
      <c r="K279" s="3"/>
      <c r="L279" s="4">
        <f t="shared" si="37"/>
        <v>275.00083333333322</v>
      </c>
      <c r="M279" s="40">
        <v>0</v>
      </c>
      <c r="N279" s="40">
        <v>0</v>
      </c>
      <c r="O279" s="40">
        <v>0.2</v>
      </c>
      <c r="P279" s="40">
        <v>0</v>
      </c>
      <c r="Q279" s="40">
        <v>0</v>
      </c>
      <c r="R279" s="40">
        <v>7</v>
      </c>
      <c r="S279" s="2">
        <f t="shared" si="34"/>
        <v>136.50000000000006</v>
      </c>
      <c r="T279" s="2">
        <v>0</v>
      </c>
      <c r="U279" s="2">
        <v>0</v>
      </c>
      <c r="V279" s="2">
        <v>4</v>
      </c>
      <c r="W279" s="2">
        <v>0</v>
      </c>
      <c r="X279" s="2">
        <f t="shared" si="35"/>
        <v>162</v>
      </c>
      <c r="Z279" s="1"/>
      <c r="AA279" s="1"/>
      <c r="AB279" s="2" t="str">
        <f t="shared" si="36"/>
        <v/>
      </c>
      <c r="AD279" s="121"/>
      <c r="AE279" s="121"/>
    </row>
    <row r="280" spans="1:31" x14ac:dyDescent="0.25">
      <c r="A280" s="2" t="s">
        <v>299</v>
      </c>
      <c r="B280" s="7">
        <v>0.25</v>
      </c>
      <c r="C280" s="2">
        <v>1</v>
      </c>
      <c r="D280" s="10" t="s">
        <v>190</v>
      </c>
      <c r="E280" s="40">
        <v>0</v>
      </c>
      <c r="F280" s="40">
        <v>2.2000000000000002</v>
      </c>
      <c r="G280" s="40">
        <v>2</v>
      </c>
      <c r="H280" s="3">
        <f t="shared" si="31"/>
        <v>0</v>
      </c>
      <c r="I280" s="3">
        <f t="shared" si="32"/>
        <v>9.1666666666666674E-2</v>
      </c>
      <c r="J280" s="3">
        <f t="shared" si="33"/>
        <v>8.3333333333333329E-2</v>
      </c>
      <c r="K280" s="3"/>
      <c r="L280" s="4">
        <f t="shared" si="37"/>
        <v>274.82583333333321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0</v>
      </c>
      <c r="S280" s="2">
        <f t="shared" si="34"/>
        <v>136.50000000000006</v>
      </c>
      <c r="T280" s="2">
        <v>0</v>
      </c>
      <c r="U280" s="2">
        <v>0</v>
      </c>
      <c r="V280" s="2">
        <v>0</v>
      </c>
      <c r="W280" s="2">
        <v>0</v>
      </c>
      <c r="X280" s="2">
        <f t="shared" si="35"/>
        <v>162</v>
      </c>
      <c r="Z280" s="1"/>
      <c r="AA280" s="1"/>
      <c r="AB280" s="2" t="str">
        <f t="shared" si="36"/>
        <v/>
      </c>
      <c r="AD280" s="121"/>
      <c r="AE280" s="121"/>
    </row>
    <row r="281" spans="1:31" x14ac:dyDescent="0.25">
      <c r="A281" s="2" t="s">
        <v>299</v>
      </c>
      <c r="B281" s="7">
        <v>0.33333333333333331</v>
      </c>
      <c r="C281" s="2">
        <v>2</v>
      </c>
      <c r="D281" s="10" t="s">
        <v>50</v>
      </c>
      <c r="E281" s="40">
        <v>10</v>
      </c>
      <c r="F281" s="40">
        <v>2.4</v>
      </c>
      <c r="G281" s="40">
        <v>2</v>
      </c>
      <c r="H281" s="3">
        <f t="shared" si="31"/>
        <v>0.83333333333333337</v>
      </c>
      <c r="I281" s="3">
        <f t="shared" si="32"/>
        <v>0.19999999999999998</v>
      </c>
      <c r="J281" s="3">
        <f t="shared" si="33"/>
        <v>0.16666666666666666</v>
      </c>
      <c r="K281" s="3"/>
      <c r="L281" s="4">
        <f t="shared" si="37"/>
        <v>273.62583333333322</v>
      </c>
      <c r="M281" s="40">
        <v>0</v>
      </c>
      <c r="N281" s="40">
        <v>0</v>
      </c>
      <c r="O281" s="40">
        <v>0</v>
      </c>
      <c r="P281" s="40">
        <v>0</v>
      </c>
      <c r="Q281" s="40">
        <v>0</v>
      </c>
      <c r="R281" s="40">
        <v>0</v>
      </c>
      <c r="S281" s="2">
        <f t="shared" si="34"/>
        <v>136.50000000000006</v>
      </c>
      <c r="T281" s="2">
        <v>0</v>
      </c>
      <c r="U281" s="2">
        <v>0</v>
      </c>
      <c r="V281" s="2">
        <v>2</v>
      </c>
      <c r="W281" s="2">
        <v>0</v>
      </c>
      <c r="X281" s="2">
        <f t="shared" si="35"/>
        <v>160</v>
      </c>
      <c r="Z281" s="1">
        <v>88</v>
      </c>
      <c r="AA281" s="1">
        <v>72</v>
      </c>
      <c r="AB281" s="2">
        <f t="shared" si="36"/>
        <v>160</v>
      </c>
      <c r="AD281" s="121"/>
      <c r="AE281" s="121"/>
    </row>
    <row r="282" spans="1:31" x14ac:dyDescent="0.25">
      <c r="A282" s="2" t="s">
        <v>299</v>
      </c>
      <c r="B282" s="7">
        <v>0.58333333333333337</v>
      </c>
      <c r="C282" s="2">
        <v>6</v>
      </c>
      <c r="D282" s="10" t="s">
        <v>105</v>
      </c>
      <c r="E282" s="40">
        <v>0</v>
      </c>
      <c r="F282" s="40">
        <v>2.4</v>
      </c>
      <c r="G282" s="40">
        <v>2</v>
      </c>
      <c r="H282" s="3">
        <f t="shared" si="31"/>
        <v>0</v>
      </c>
      <c r="I282" s="3">
        <f t="shared" si="32"/>
        <v>0.6</v>
      </c>
      <c r="J282" s="3">
        <f t="shared" si="33"/>
        <v>0.5</v>
      </c>
      <c r="K282" s="3"/>
      <c r="L282" s="4">
        <f t="shared" si="37"/>
        <v>272.5258333333332</v>
      </c>
      <c r="M282" s="40">
        <v>0</v>
      </c>
      <c r="N282" s="40">
        <v>0</v>
      </c>
      <c r="O282" s="40">
        <v>0</v>
      </c>
      <c r="P282" s="40">
        <v>0</v>
      </c>
      <c r="Q282" s="40">
        <v>0</v>
      </c>
      <c r="R282" s="40">
        <v>0</v>
      </c>
      <c r="S282" s="2">
        <f t="shared" si="34"/>
        <v>136.50000000000006</v>
      </c>
      <c r="T282" s="2">
        <v>0</v>
      </c>
      <c r="U282" s="2">
        <v>0</v>
      </c>
      <c r="V282" s="2">
        <v>2</v>
      </c>
      <c r="W282" s="2">
        <v>0</v>
      </c>
      <c r="X282" s="2">
        <f t="shared" si="35"/>
        <v>158</v>
      </c>
      <c r="Z282" s="1"/>
      <c r="AA282" s="1"/>
      <c r="AB282" s="2" t="str">
        <f t="shared" si="36"/>
        <v/>
      </c>
      <c r="AD282" s="121"/>
      <c r="AE282" s="121"/>
    </row>
    <row r="283" spans="1:31" x14ac:dyDescent="0.25">
      <c r="A283" s="2" t="s">
        <v>300</v>
      </c>
      <c r="B283" s="7">
        <v>0.33333333333333331</v>
      </c>
      <c r="C283" s="2">
        <v>18</v>
      </c>
      <c r="D283" s="10" t="s">
        <v>301</v>
      </c>
      <c r="E283" s="40">
        <v>18</v>
      </c>
      <c r="F283" s="40">
        <v>2.2000000000000002</v>
      </c>
      <c r="G283" s="40">
        <v>0</v>
      </c>
      <c r="H283" s="3">
        <f t="shared" si="31"/>
        <v>13.5</v>
      </c>
      <c r="I283" s="3">
        <f t="shared" si="32"/>
        <v>1.6500000000000001</v>
      </c>
      <c r="J283" s="3">
        <f t="shared" si="33"/>
        <v>0</v>
      </c>
      <c r="K283" s="3"/>
      <c r="L283" s="4">
        <f t="shared" si="37"/>
        <v>257.37583333333322</v>
      </c>
      <c r="M283" s="40">
        <v>0</v>
      </c>
      <c r="N283" s="40">
        <v>0</v>
      </c>
      <c r="O283" s="40">
        <v>0</v>
      </c>
      <c r="P283" s="40">
        <v>0</v>
      </c>
      <c r="Q283" s="40">
        <v>0</v>
      </c>
      <c r="R283" s="40">
        <v>0</v>
      </c>
      <c r="S283" s="2">
        <f t="shared" si="34"/>
        <v>136.50000000000006</v>
      </c>
      <c r="T283" s="2">
        <v>0</v>
      </c>
      <c r="U283" s="2">
        <v>0</v>
      </c>
      <c r="V283" s="2">
        <v>4</v>
      </c>
      <c r="W283" s="2">
        <v>0</v>
      </c>
      <c r="X283" s="2">
        <f t="shared" si="35"/>
        <v>154</v>
      </c>
      <c r="Z283" s="1"/>
      <c r="AA283" s="1"/>
      <c r="AB283" s="2" t="str">
        <f t="shared" si="36"/>
        <v/>
      </c>
      <c r="AD283" s="121"/>
      <c r="AE283" s="121"/>
    </row>
    <row r="284" spans="1:31" x14ac:dyDescent="0.25">
      <c r="A284" s="2" t="s">
        <v>302</v>
      </c>
      <c r="B284" s="7">
        <v>0.13749999999999998</v>
      </c>
      <c r="C284" s="2">
        <v>17.3</v>
      </c>
      <c r="D284" s="10" t="s">
        <v>201</v>
      </c>
      <c r="E284" s="40">
        <v>18</v>
      </c>
      <c r="F284" s="40">
        <v>2.2000000000000002</v>
      </c>
      <c r="G284" s="40">
        <v>0</v>
      </c>
      <c r="H284" s="3">
        <f t="shared" si="31"/>
        <v>12.975000000000001</v>
      </c>
      <c r="I284" s="3">
        <f t="shared" si="32"/>
        <v>1.5858333333333334</v>
      </c>
      <c r="J284" s="3">
        <f t="shared" si="33"/>
        <v>0</v>
      </c>
      <c r="K284" s="3"/>
      <c r="L284" s="4">
        <f t="shared" si="37"/>
        <v>242.81499999999988</v>
      </c>
      <c r="M284" s="40">
        <v>0</v>
      </c>
      <c r="N284" s="40">
        <v>0</v>
      </c>
      <c r="O284" s="40">
        <v>0</v>
      </c>
      <c r="P284" s="40">
        <v>0</v>
      </c>
      <c r="Q284" s="40">
        <v>0</v>
      </c>
      <c r="R284" s="40">
        <v>0</v>
      </c>
      <c r="S284" s="2">
        <f t="shared" si="34"/>
        <v>136.50000000000006</v>
      </c>
      <c r="T284" s="2">
        <v>0</v>
      </c>
      <c r="U284" s="2">
        <v>0</v>
      </c>
      <c r="V284" s="2">
        <v>4</v>
      </c>
      <c r="W284" s="2">
        <v>0</v>
      </c>
      <c r="X284" s="2">
        <f t="shared" si="35"/>
        <v>150</v>
      </c>
      <c r="Z284" s="1"/>
      <c r="AA284" s="1"/>
      <c r="AB284" s="2" t="str">
        <f t="shared" si="36"/>
        <v/>
      </c>
      <c r="AD284" s="121">
        <v>12.5</v>
      </c>
      <c r="AE284" s="121" t="s">
        <v>1303</v>
      </c>
    </row>
    <row r="285" spans="1:31" x14ac:dyDescent="0.25">
      <c r="A285" s="2" t="s">
        <v>302</v>
      </c>
      <c r="B285" s="7">
        <v>0.33333333333333331</v>
      </c>
      <c r="C285" s="2">
        <v>6.7</v>
      </c>
      <c r="D285" s="10" t="s">
        <v>303</v>
      </c>
      <c r="E285" s="40">
        <v>0</v>
      </c>
      <c r="F285" s="40">
        <v>2.2000000000000002</v>
      </c>
      <c r="G285" s="40">
        <v>2</v>
      </c>
      <c r="H285" s="3">
        <f t="shared" si="31"/>
        <v>0</v>
      </c>
      <c r="I285" s="3">
        <f t="shared" si="32"/>
        <v>0.61416666666666675</v>
      </c>
      <c r="J285" s="3">
        <f t="shared" si="33"/>
        <v>0.55833333333333335</v>
      </c>
      <c r="K285" s="3"/>
      <c r="L285" s="4">
        <f t="shared" si="37"/>
        <v>241.64249999999987</v>
      </c>
      <c r="M285" s="40">
        <v>0</v>
      </c>
      <c r="N285" s="40">
        <v>0</v>
      </c>
      <c r="O285" s="40">
        <v>0.2</v>
      </c>
      <c r="P285" s="40">
        <v>0</v>
      </c>
      <c r="Q285" s="40">
        <v>0</v>
      </c>
      <c r="R285" s="40">
        <v>0</v>
      </c>
      <c r="S285" s="2">
        <f t="shared" si="34"/>
        <v>136.30000000000007</v>
      </c>
      <c r="T285" s="2">
        <v>0</v>
      </c>
      <c r="U285" s="2">
        <v>0</v>
      </c>
      <c r="V285" s="2">
        <v>2</v>
      </c>
      <c r="W285" s="2">
        <v>0</v>
      </c>
      <c r="X285" s="2">
        <f t="shared" si="35"/>
        <v>148</v>
      </c>
      <c r="Z285" s="1">
        <v>88</v>
      </c>
      <c r="AA285" s="1">
        <v>63</v>
      </c>
      <c r="AB285" s="2">
        <f t="shared" si="36"/>
        <v>151</v>
      </c>
      <c r="AD285" s="121"/>
      <c r="AE285" s="121"/>
    </row>
    <row r="286" spans="1:31" x14ac:dyDescent="0.25">
      <c r="A286" s="2" t="s">
        <v>302</v>
      </c>
      <c r="B286" s="7">
        <v>0.54166666666666663</v>
      </c>
      <c r="C286" s="2">
        <v>5</v>
      </c>
      <c r="D286" s="10" t="s">
        <v>190</v>
      </c>
      <c r="E286" s="40">
        <v>0</v>
      </c>
      <c r="F286" s="40">
        <v>2.2000000000000002</v>
      </c>
      <c r="G286" s="40">
        <v>2</v>
      </c>
      <c r="H286" s="3">
        <f t="shared" si="31"/>
        <v>0</v>
      </c>
      <c r="I286" s="3">
        <f t="shared" si="32"/>
        <v>0.45833333333333337</v>
      </c>
      <c r="J286" s="3">
        <f t="shared" si="33"/>
        <v>0.41666666666666663</v>
      </c>
      <c r="K286" s="3"/>
      <c r="L286" s="4">
        <f t="shared" si="37"/>
        <v>240.76749999999987</v>
      </c>
      <c r="M286" s="40">
        <v>0</v>
      </c>
      <c r="N286" s="40">
        <v>0</v>
      </c>
      <c r="O286" s="40">
        <v>0</v>
      </c>
      <c r="P286" s="40">
        <v>0</v>
      </c>
      <c r="Q286" s="40">
        <v>0</v>
      </c>
      <c r="R286" s="40">
        <v>0</v>
      </c>
      <c r="S286" s="2">
        <f t="shared" si="34"/>
        <v>136.30000000000007</v>
      </c>
      <c r="T286" s="2">
        <v>0</v>
      </c>
      <c r="U286" s="2">
        <v>0</v>
      </c>
      <c r="V286" s="2">
        <v>2</v>
      </c>
      <c r="W286" s="2">
        <v>0</v>
      </c>
      <c r="X286" s="2">
        <f t="shared" si="35"/>
        <v>146</v>
      </c>
      <c r="Z286" s="1"/>
      <c r="AA286" s="1"/>
      <c r="AB286" s="2" t="str">
        <f t="shared" si="36"/>
        <v/>
      </c>
      <c r="AD286" s="121"/>
      <c r="AE286" s="121"/>
    </row>
    <row r="287" spans="1:31" x14ac:dyDescent="0.25">
      <c r="A287" s="2" t="s">
        <v>302</v>
      </c>
      <c r="B287" s="7">
        <v>0.64583333333333337</v>
      </c>
      <c r="C287" s="2">
        <v>2.5</v>
      </c>
      <c r="D287" s="10" t="s">
        <v>304</v>
      </c>
      <c r="E287" s="40">
        <v>12</v>
      </c>
      <c r="F287" s="40">
        <v>2.4</v>
      </c>
      <c r="G287" s="40">
        <v>2</v>
      </c>
      <c r="H287" s="3">
        <f t="shared" si="31"/>
        <v>1.25</v>
      </c>
      <c r="I287" s="3">
        <f t="shared" si="32"/>
        <v>0.24999999999999997</v>
      </c>
      <c r="J287" s="3">
        <f t="shared" si="33"/>
        <v>0.20833333333333331</v>
      </c>
      <c r="K287" s="3"/>
      <c r="L287" s="4">
        <f t="shared" si="37"/>
        <v>239.05916666666653</v>
      </c>
      <c r="M287" s="40">
        <v>0</v>
      </c>
      <c r="N287" s="40">
        <v>0</v>
      </c>
      <c r="O287" s="40">
        <v>0</v>
      </c>
      <c r="P287" s="40">
        <v>0</v>
      </c>
      <c r="Q287" s="40">
        <v>0</v>
      </c>
      <c r="R287" s="40">
        <v>0</v>
      </c>
      <c r="S287" s="2">
        <f t="shared" si="34"/>
        <v>136.30000000000007</v>
      </c>
      <c r="T287" s="2">
        <v>0</v>
      </c>
      <c r="U287" s="2">
        <v>0</v>
      </c>
      <c r="V287" s="2">
        <v>1</v>
      </c>
      <c r="W287" s="2">
        <v>0</v>
      </c>
      <c r="X287" s="2">
        <f t="shared" si="35"/>
        <v>145</v>
      </c>
      <c r="Z287" s="1"/>
      <c r="AA287" s="1"/>
      <c r="AB287" s="2" t="str">
        <f t="shared" si="36"/>
        <v/>
      </c>
      <c r="AD287" s="121"/>
      <c r="AE287" s="121"/>
    </row>
    <row r="288" spans="1:31" x14ac:dyDescent="0.25">
      <c r="A288" s="2" t="s">
        <v>302</v>
      </c>
      <c r="B288" s="7">
        <v>0.72916666666666663</v>
      </c>
      <c r="C288" s="2">
        <v>2</v>
      </c>
      <c r="D288" s="10" t="s">
        <v>305</v>
      </c>
      <c r="E288" s="40">
        <v>0</v>
      </c>
      <c r="F288" s="40">
        <v>2.4</v>
      </c>
      <c r="G288" s="40">
        <v>2</v>
      </c>
      <c r="H288" s="3">
        <f t="shared" si="31"/>
        <v>0</v>
      </c>
      <c r="I288" s="3">
        <f t="shared" si="32"/>
        <v>0.19999999999999998</v>
      </c>
      <c r="J288" s="3">
        <f t="shared" si="33"/>
        <v>0.16666666666666666</v>
      </c>
      <c r="K288" s="3"/>
      <c r="L288" s="4">
        <f t="shared" si="37"/>
        <v>238.69249999999985</v>
      </c>
      <c r="M288" s="40">
        <v>0</v>
      </c>
      <c r="N288" s="40">
        <v>0</v>
      </c>
      <c r="O288" s="40">
        <v>0.2</v>
      </c>
      <c r="P288" s="40">
        <v>0</v>
      </c>
      <c r="Q288" s="40">
        <v>0.5</v>
      </c>
      <c r="R288" s="40">
        <v>0</v>
      </c>
      <c r="S288" s="2">
        <f t="shared" si="34"/>
        <v>135.60000000000008</v>
      </c>
      <c r="T288" s="2">
        <v>0</v>
      </c>
      <c r="U288" s="2">
        <v>0</v>
      </c>
      <c r="V288" s="2">
        <v>1</v>
      </c>
      <c r="W288" s="2">
        <v>0</v>
      </c>
      <c r="X288" s="2">
        <f t="shared" si="35"/>
        <v>144</v>
      </c>
      <c r="Z288" s="1"/>
      <c r="AA288" s="1"/>
      <c r="AB288" s="2" t="str">
        <f t="shared" si="36"/>
        <v/>
      </c>
      <c r="AD288" s="121"/>
      <c r="AE288" s="121"/>
    </row>
    <row r="289" spans="1:31" x14ac:dyDescent="0.25">
      <c r="A289" s="2" t="s">
        <v>302</v>
      </c>
      <c r="B289" s="7">
        <v>0.83333333333333337</v>
      </c>
      <c r="C289" s="2">
        <v>2.5</v>
      </c>
      <c r="D289" s="10" t="s">
        <v>190</v>
      </c>
      <c r="E289" s="40">
        <v>0</v>
      </c>
      <c r="F289" s="40">
        <v>2.4</v>
      </c>
      <c r="G289" s="40">
        <v>2</v>
      </c>
      <c r="H289" s="3">
        <f t="shared" si="31"/>
        <v>0</v>
      </c>
      <c r="I289" s="3">
        <f t="shared" si="32"/>
        <v>0.24999999999999997</v>
      </c>
      <c r="J289" s="3">
        <f t="shared" si="33"/>
        <v>0.20833333333333331</v>
      </c>
      <c r="K289" s="3"/>
      <c r="L289" s="4">
        <f t="shared" si="37"/>
        <v>238.23416666666651</v>
      </c>
      <c r="M289" s="40">
        <v>0</v>
      </c>
      <c r="N289" s="40">
        <v>0</v>
      </c>
      <c r="O289" s="40">
        <v>0</v>
      </c>
      <c r="P289" s="40">
        <v>0</v>
      </c>
      <c r="Q289" s="40">
        <v>0</v>
      </c>
      <c r="R289" s="40">
        <v>0</v>
      </c>
      <c r="S289" s="2">
        <f t="shared" si="34"/>
        <v>135.60000000000008</v>
      </c>
      <c r="T289" s="2">
        <v>0</v>
      </c>
      <c r="U289" s="2">
        <v>0</v>
      </c>
      <c r="V289" s="2">
        <v>2</v>
      </c>
      <c r="W289" s="2">
        <v>0</v>
      </c>
      <c r="X289" s="2">
        <f t="shared" si="35"/>
        <v>142</v>
      </c>
      <c r="Z289" s="1"/>
      <c r="AA289" s="1"/>
      <c r="AB289" s="2" t="str">
        <f t="shared" si="36"/>
        <v/>
      </c>
      <c r="AD289" s="121"/>
      <c r="AE289" s="121"/>
    </row>
    <row r="290" spans="1:31" x14ac:dyDescent="0.25">
      <c r="A290" s="7" t="s">
        <v>302</v>
      </c>
      <c r="B290" s="7">
        <v>0.91666666666666663</v>
      </c>
      <c r="C290" s="2">
        <v>2</v>
      </c>
      <c r="D290" s="10" t="s">
        <v>308</v>
      </c>
      <c r="E290" s="40">
        <v>12</v>
      </c>
      <c r="F290" s="40">
        <v>2.4</v>
      </c>
      <c r="G290" s="40">
        <v>2</v>
      </c>
      <c r="H290" s="3">
        <f t="shared" si="31"/>
        <v>1</v>
      </c>
      <c r="I290" s="3">
        <f t="shared" si="32"/>
        <v>0.19999999999999998</v>
      </c>
      <c r="J290" s="3">
        <f t="shared" si="33"/>
        <v>0.16666666666666666</v>
      </c>
      <c r="K290" s="3"/>
      <c r="L290" s="4">
        <f t="shared" si="37"/>
        <v>236.86749999999984</v>
      </c>
      <c r="M290" s="40">
        <v>0</v>
      </c>
      <c r="N290" s="40">
        <v>0</v>
      </c>
      <c r="O290" s="40">
        <v>0</v>
      </c>
      <c r="P290" s="40">
        <v>0</v>
      </c>
      <c r="Q290" s="40">
        <v>0</v>
      </c>
      <c r="R290" s="40">
        <v>0</v>
      </c>
      <c r="S290" s="2">
        <f t="shared" si="34"/>
        <v>135.60000000000008</v>
      </c>
      <c r="T290" s="2">
        <v>0</v>
      </c>
      <c r="U290" s="2">
        <v>0</v>
      </c>
      <c r="V290" s="2">
        <v>0</v>
      </c>
      <c r="W290" s="2">
        <v>0</v>
      </c>
      <c r="X290" s="2">
        <f t="shared" si="35"/>
        <v>142</v>
      </c>
      <c r="Z290" s="1"/>
      <c r="AA290" s="1"/>
      <c r="AB290" s="2" t="str">
        <f t="shared" si="36"/>
        <v/>
      </c>
      <c r="AD290" s="121"/>
      <c r="AE290" s="121"/>
    </row>
    <row r="291" spans="1:31" x14ac:dyDescent="0.25">
      <c r="A291" s="7" t="s">
        <v>307</v>
      </c>
      <c r="B291" s="7">
        <v>0.33333333333333331</v>
      </c>
      <c r="C291" s="2">
        <v>10</v>
      </c>
      <c r="D291" s="10" t="s">
        <v>306</v>
      </c>
      <c r="E291" s="40">
        <v>0</v>
      </c>
      <c r="F291" s="40">
        <v>2.2000000000000002</v>
      </c>
      <c r="G291" s="40">
        <v>2</v>
      </c>
      <c r="H291" s="3">
        <f t="shared" si="31"/>
        <v>0</v>
      </c>
      <c r="I291" s="3">
        <f t="shared" si="32"/>
        <v>0.91666666666666674</v>
      </c>
      <c r="J291" s="3">
        <f t="shared" si="33"/>
        <v>0.83333333333333326</v>
      </c>
      <c r="K291" s="3"/>
      <c r="L291" s="4">
        <v>235.2</v>
      </c>
      <c r="M291" s="40">
        <v>0</v>
      </c>
      <c r="N291" s="40">
        <v>0</v>
      </c>
      <c r="O291" s="40">
        <v>0.4</v>
      </c>
      <c r="P291" s="40">
        <v>0</v>
      </c>
      <c r="Q291" s="40">
        <v>0</v>
      </c>
      <c r="R291" s="40">
        <v>0</v>
      </c>
      <c r="S291" s="2">
        <f t="shared" si="34"/>
        <v>135.20000000000007</v>
      </c>
      <c r="T291" s="2">
        <v>0</v>
      </c>
      <c r="U291" s="2">
        <v>0</v>
      </c>
      <c r="V291" s="2">
        <v>0</v>
      </c>
      <c r="W291" s="2">
        <v>0</v>
      </c>
      <c r="X291" s="2">
        <f t="shared" si="35"/>
        <v>142</v>
      </c>
      <c r="Z291" s="1">
        <v>59</v>
      </c>
      <c r="AA291" s="1">
        <v>88</v>
      </c>
      <c r="AB291" s="2">
        <f t="shared" si="36"/>
        <v>147</v>
      </c>
      <c r="AD291" s="121">
        <v>12.5</v>
      </c>
      <c r="AE291" s="121" t="s">
        <v>1303</v>
      </c>
    </row>
    <row r="292" spans="1:31" x14ac:dyDescent="0.25">
      <c r="A292" s="2" t="s">
        <v>331</v>
      </c>
      <c r="B292" s="7">
        <v>0.33333333333333331</v>
      </c>
      <c r="C292" s="2">
        <v>24</v>
      </c>
      <c r="D292" s="10" t="s">
        <v>306</v>
      </c>
      <c r="E292" s="40">
        <v>0</v>
      </c>
      <c r="F292" s="40">
        <v>2.2000000000000002</v>
      </c>
      <c r="G292" s="40">
        <v>0.4</v>
      </c>
      <c r="H292" s="3">
        <f t="shared" si="31"/>
        <v>0</v>
      </c>
      <c r="I292" s="3">
        <f t="shared" si="32"/>
        <v>2.2000000000000002</v>
      </c>
      <c r="J292" s="3">
        <v>0.2</v>
      </c>
      <c r="K292" s="3"/>
      <c r="L292" s="4">
        <f t="shared" si="37"/>
        <v>232.79999999999998</v>
      </c>
      <c r="M292" s="40">
        <v>0</v>
      </c>
      <c r="N292" s="40">
        <v>0</v>
      </c>
      <c r="O292" s="40">
        <v>0.4</v>
      </c>
      <c r="P292" s="40">
        <v>0</v>
      </c>
      <c r="Q292" s="40">
        <v>0</v>
      </c>
      <c r="R292" s="40">
        <v>0</v>
      </c>
      <c r="S292" s="2">
        <f t="shared" si="34"/>
        <v>134.80000000000007</v>
      </c>
      <c r="T292" s="2">
        <v>0</v>
      </c>
      <c r="U292" s="2">
        <v>0</v>
      </c>
      <c r="V292" s="2">
        <v>4</v>
      </c>
      <c r="W292" s="2">
        <v>0</v>
      </c>
      <c r="X292" s="2">
        <f t="shared" si="35"/>
        <v>138</v>
      </c>
      <c r="Z292" s="1">
        <v>56</v>
      </c>
      <c r="AA292" s="1">
        <v>88</v>
      </c>
      <c r="AB292" s="2">
        <f t="shared" si="36"/>
        <v>144</v>
      </c>
      <c r="AD292" s="121"/>
      <c r="AE292" s="121"/>
    </row>
    <row r="293" spans="1:31" x14ac:dyDescent="0.25">
      <c r="A293" s="2" t="s">
        <v>332</v>
      </c>
      <c r="B293" s="7">
        <v>0.33333333333333331</v>
      </c>
      <c r="C293" s="2">
        <v>24</v>
      </c>
      <c r="D293" s="10" t="s">
        <v>306</v>
      </c>
      <c r="E293" s="40">
        <v>0</v>
      </c>
      <c r="F293" s="40">
        <v>2.2000000000000002</v>
      </c>
      <c r="G293" s="40">
        <v>0</v>
      </c>
      <c r="H293" s="3">
        <f t="shared" si="31"/>
        <v>0</v>
      </c>
      <c r="I293" s="3">
        <f t="shared" si="32"/>
        <v>2.2000000000000002</v>
      </c>
      <c r="J293" s="3">
        <f t="shared" si="33"/>
        <v>0</v>
      </c>
      <c r="K293" s="3"/>
      <c r="L293" s="4">
        <f t="shared" si="37"/>
        <v>230.6</v>
      </c>
      <c r="M293" s="40">
        <v>0</v>
      </c>
      <c r="N293" s="40">
        <v>0</v>
      </c>
      <c r="O293" s="40">
        <v>0</v>
      </c>
      <c r="P293" s="40">
        <v>0</v>
      </c>
      <c r="Q293" s="40">
        <v>0</v>
      </c>
      <c r="R293" s="40">
        <v>0</v>
      </c>
      <c r="S293" s="2">
        <f t="shared" si="34"/>
        <v>134.80000000000007</v>
      </c>
      <c r="T293" s="2">
        <v>0</v>
      </c>
      <c r="U293" s="2">
        <v>0</v>
      </c>
      <c r="V293" s="2">
        <v>6</v>
      </c>
      <c r="W293" s="2">
        <v>0</v>
      </c>
      <c r="X293" s="2">
        <f t="shared" si="35"/>
        <v>132</v>
      </c>
      <c r="Z293" s="1">
        <v>50</v>
      </c>
      <c r="AA293" s="1">
        <v>88</v>
      </c>
      <c r="AB293" s="2">
        <f t="shared" si="36"/>
        <v>138</v>
      </c>
      <c r="AD293" s="121"/>
      <c r="AE293" s="121"/>
    </row>
    <row r="294" spans="1:31" x14ac:dyDescent="0.25">
      <c r="A294" s="2" t="s">
        <v>309</v>
      </c>
      <c r="B294" s="7">
        <v>0.33333333333333331</v>
      </c>
      <c r="C294" s="2">
        <v>24</v>
      </c>
      <c r="D294" s="10" t="s">
        <v>306</v>
      </c>
      <c r="E294" s="40">
        <v>0</v>
      </c>
      <c r="F294" s="40">
        <v>2.2000000000000002</v>
      </c>
      <c r="G294" s="40">
        <v>2</v>
      </c>
      <c r="H294" s="3">
        <f t="shared" si="31"/>
        <v>0</v>
      </c>
      <c r="I294" s="3">
        <f t="shared" si="32"/>
        <v>2.2000000000000002</v>
      </c>
      <c r="J294" s="3">
        <f t="shared" si="33"/>
        <v>2</v>
      </c>
      <c r="K294" s="3"/>
      <c r="L294" s="4">
        <f t="shared" si="37"/>
        <v>226.4</v>
      </c>
      <c r="M294" s="40">
        <v>0</v>
      </c>
      <c r="N294" s="40">
        <v>0</v>
      </c>
      <c r="O294" s="40">
        <v>0</v>
      </c>
      <c r="P294" s="40">
        <v>0</v>
      </c>
      <c r="Q294" s="40">
        <v>0</v>
      </c>
      <c r="R294" s="40">
        <v>0</v>
      </c>
      <c r="S294" s="2">
        <f t="shared" si="34"/>
        <v>134.80000000000007</v>
      </c>
      <c r="T294" s="2">
        <v>0</v>
      </c>
      <c r="U294" s="2">
        <v>0</v>
      </c>
      <c r="V294" s="2">
        <v>5</v>
      </c>
      <c r="W294" s="2">
        <v>0</v>
      </c>
      <c r="X294" s="2">
        <f t="shared" si="35"/>
        <v>127</v>
      </c>
      <c r="Z294" s="1">
        <v>42</v>
      </c>
      <c r="AA294" s="1">
        <v>88</v>
      </c>
      <c r="AB294" s="2">
        <f t="shared" si="36"/>
        <v>130</v>
      </c>
      <c r="AD294" s="121"/>
      <c r="AE294" s="121"/>
    </row>
    <row r="295" spans="1:31" x14ac:dyDescent="0.25">
      <c r="A295" s="2" t="s">
        <v>310</v>
      </c>
      <c r="B295" s="7">
        <v>0.33333333333333331</v>
      </c>
      <c r="C295" s="2">
        <v>24</v>
      </c>
      <c r="D295" s="10" t="s">
        <v>306</v>
      </c>
      <c r="E295" s="40">
        <v>0</v>
      </c>
      <c r="F295" s="40">
        <v>2.2000000000000002</v>
      </c>
      <c r="G295" s="40">
        <v>2</v>
      </c>
      <c r="H295" s="3">
        <f t="shared" si="31"/>
        <v>0</v>
      </c>
      <c r="I295" s="3">
        <f t="shared" si="32"/>
        <v>2.2000000000000002</v>
      </c>
      <c r="J295" s="3">
        <f t="shared" si="33"/>
        <v>2</v>
      </c>
      <c r="K295" s="3"/>
      <c r="L295" s="4">
        <f t="shared" si="37"/>
        <v>222.20000000000002</v>
      </c>
      <c r="M295" s="40">
        <v>0</v>
      </c>
      <c r="N295" s="40">
        <v>0</v>
      </c>
      <c r="O295" s="40">
        <v>0.2</v>
      </c>
      <c r="P295" s="40">
        <v>0</v>
      </c>
      <c r="Q295" s="40">
        <v>0</v>
      </c>
      <c r="R295" s="40">
        <v>0</v>
      </c>
      <c r="S295" s="2">
        <f t="shared" si="34"/>
        <v>134.60000000000008</v>
      </c>
      <c r="T295" s="2">
        <v>0</v>
      </c>
      <c r="U295" s="2">
        <v>0</v>
      </c>
      <c r="V295" s="2">
        <v>6</v>
      </c>
      <c r="W295" s="2">
        <v>0</v>
      </c>
      <c r="X295" s="2">
        <f t="shared" si="35"/>
        <v>121</v>
      </c>
      <c r="Z295" s="1">
        <v>37</v>
      </c>
      <c r="AA295" s="1">
        <v>88</v>
      </c>
      <c r="AB295" s="2">
        <f t="shared" si="36"/>
        <v>125</v>
      </c>
      <c r="AD295" s="121"/>
      <c r="AE295" s="121"/>
    </row>
    <row r="296" spans="1:31" x14ac:dyDescent="0.25">
      <c r="A296" s="2" t="s">
        <v>310</v>
      </c>
      <c r="B296" s="7">
        <v>0.6875</v>
      </c>
      <c r="C296" s="2">
        <v>8.5</v>
      </c>
      <c r="D296" s="10" t="s">
        <v>190</v>
      </c>
      <c r="E296" s="40">
        <v>0</v>
      </c>
      <c r="F296" s="40">
        <v>2.2000000000000002</v>
      </c>
      <c r="G296" s="40">
        <v>2</v>
      </c>
      <c r="H296" s="3">
        <f t="shared" si="31"/>
        <v>0</v>
      </c>
      <c r="I296" s="3">
        <f t="shared" si="32"/>
        <v>0.77916666666666679</v>
      </c>
      <c r="J296" s="3">
        <f t="shared" si="33"/>
        <v>0.70833333333333326</v>
      </c>
      <c r="K296" s="3"/>
      <c r="L296" s="4">
        <f t="shared" si="37"/>
        <v>220.71250000000001</v>
      </c>
      <c r="M296" s="40">
        <v>0</v>
      </c>
      <c r="N296" s="40">
        <v>0</v>
      </c>
      <c r="O296" s="40">
        <v>0.1</v>
      </c>
      <c r="P296" s="40">
        <v>0</v>
      </c>
      <c r="Q296" s="40">
        <v>0</v>
      </c>
      <c r="R296" s="40">
        <v>0</v>
      </c>
      <c r="S296" s="2">
        <f t="shared" si="34"/>
        <v>134.50000000000009</v>
      </c>
      <c r="T296" s="2">
        <v>0</v>
      </c>
      <c r="U296" s="2">
        <v>0</v>
      </c>
      <c r="V296" s="2">
        <v>2</v>
      </c>
      <c r="W296" s="2">
        <v>0</v>
      </c>
      <c r="X296" s="2">
        <f t="shared" si="35"/>
        <v>119</v>
      </c>
      <c r="Z296" s="1"/>
      <c r="AA296" s="1"/>
      <c r="AB296" s="2" t="str">
        <f t="shared" si="36"/>
        <v/>
      </c>
      <c r="AD296" s="121"/>
      <c r="AE296" s="121"/>
    </row>
    <row r="297" spans="1:31" x14ac:dyDescent="0.25">
      <c r="A297" s="2" t="s">
        <v>310</v>
      </c>
      <c r="B297" s="7">
        <v>0.85416666666666663</v>
      </c>
      <c r="C297" s="2">
        <v>4</v>
      </c>
      <c r="D297" s="10" t="s">
        <v>311</v>
      </c>
      <c r="E297" s="40">
        <v>8</v>
      </c>
      <c r="F297" s="40">
        <v>2.4</v>
      </c>
      <c r="G297" s="40">
        <v>1</v>
      </c>
      <c r="H297" s="3">
        <f t="shared" si="31"/>
        <v>1.3333333333333333</v>
      </c>
      <c r="I297" s="3">
        <f t="shared" si="32"/>
        <v>0.39999999999999997</v>
      </c>
      <c r="J297" s="3">
        <f t="shared" si="33"/>
        <v>0.16666666666666666</v>
      </c>
      <c r="K297" s="3"/>
      <c r="L297" s="4">
        <f t="shared" si="37"/>
        <v>218.8125</v>
      </c>
      <c r="M297" s="40">
        <v>0</v>
      </c>
      <c r="N297" s="40">
        <v>0</v>
      </c>
      <c r="O297" s="40">
        <v>0</v>
      </c>
      <c r="P297" s="40">
        <v>0</v>
      </c>
      <c r="Q297" s="40">
        <v>0</v>
      </c>
      <c r="R297" s="40">
        <v>0</v>
      </c>
      <c r="S297" s="2">
        <f t="shared" si="34"/>
        <v>134.50000000000009</v>
      </c>
      <c r="T297" s="2">
        <v>0</v>
      </c>
      <c r="U297" s="2">
        <v>0</v>
      </c>
      <c r="V297" s="2">
        <v>1</v>
      </c>
      <c r="W297" s="2">
        <v>0</v>
      </c>
      <c r="X297" s="2">
        <f t="shared" si="35"/>
        <v>118</v>
      </c>
      <c r="Z297" s="1"/>
      <c r="AA297" s="1"/>
      <c r="AB297" s="2" t="str">
        <f t="shared" si="36"/>
        <v/>
      </c>
      <c r="AD297" s="121"/>
      <c r="AE297" s="121"/>
    </row>
    <row r="298" spans="1:31" x14ac:dyDescent="0.25">
      <c r="A298" s="2" t="s">
        <v>312</v>
      </c>
      <c r="B298" s="7">
        <v>0.33333333333333331</v>
      </c>
      <c r="C298" s="2">
        <v>11.5</v>
      </c>
      <c r="D298" s="10" t="s">
        <v>313</v>
      </c>
      <c r="E298" s="40">
        <v>0</v>
      </c>
      <c r="F298" s="40">
        <v>2.6</v>
      </c>
      <c r="G298" s="40">
        <v>1</v>
      </c>
      <c r="H298" s="3">
        <f t="shared" si="31"/>
        <v>0</v>
      </c>
      <c r="I298" s="3">
        <f t="shared" si="32"/>
        <v>1.2458333333333333</v>
      </c>
      <c r="J298" s="3">
        <f t="shared" si="33"/>
        <v>0.47916666666666663</v>
      </c>
      <c r="K298" s="3"/>
      <c r="L298" s="4">
        <f t="shared" si="37"/>
        <v>217.08750000000001</v>
      </c>
      <c r="M298" s="40">
        <v>0</v>
      </c>
      <c r="N298" s="40">
        <v>0</v>
      </c>
      <c r="O298" s="40">
        <v>0.2</v>
      </c>
      <c r="P298" s="40">
        <v>0</v>
      </c>
      <c r="Q298" s="40">
        <v>2.8</v>
      </c>
      <c r="R298" s="40">
        <v>0</v>
      </c>
      <c r="S298" s="2">
        <f t="shared" si="34"/>
        <v>131.50000000000009</v>
      </c>
      <c r="T298" s="2">
        <v>0</v>
      </c>
      <c r="U298" s="2">
        <v>0</v>
      </c>
      <c r="V298" s="2">
        <v>2</v>
      </c>
      <c r="W298" s="2">
        <v>0</v>
      </c>
      <c r="X298" s="2">
        <f t="shared" si="35"/>
        <v>116</v>
      </c>
      <c r="Z298" s="1">
        <v>33</v>
      </c>
      <c r="AA298" s="1">
        <v>88</v>
      </c>
      <c r="AB298" s="2">
        <f t="shared" si="36"/>
        <v>121</v>
      </c>
      <c r="AD298" s="121"/>
      <c r="AE298" s="121"/>
    </row>
    <row r="299" spans="1:31" x14ac:dyDescent="0.25">
      <c r="A299" s="2" t="s">
        <v>314</v>
      </c>
      <c r="B299" s="7">
        <v>0.33333333333333331</v>
      </c>
      <c r="C299" s="2">
        <v>24</v>
      </c>
      <c r="D299" s="10" t="s">
        <v>313</v>
      </c>
      <c r="E299" s="40">
        <v>0</v>
      </c>
      <c r="F299" s="40">
        <v>2.6</v>
      </c>
      <c r="G299" s="40">
        <v>2</v>
      </c>
      <c r="H299" s="3">
        <f t="shared" si="31"/>
        <v>0</v>
      </c>
      <c r="I299" s="3">
        <f t="shared" si="32"/>
        <v>2.6</v>
      </c>
      <c r="J299" s="3">
        <f t="shared" si="33"/>
        <v>2</v>
      </c>
      <c r="K299" s="3"/>
      <c r="L299" s="4">
        <f t="shared" si="37"/>
        <v>212.48750000000001</v>
      </c>
      <c r="M299" s="40">
        <v>0</v>
      </c>
      <c r="N299" s="40">
        <v>0</v>
      </c>
      <c r="O299" s="40">
        <v>0.2</v>
      </c>
      <c r="P299" s="40">
        <v>0</v>
      </c>
      <c r="Q299" s="40">
        <v>6</v>
      </c>
      <c r="R299" s="40">
        <v>0</v>
      </c>
      <c r="S299" s="2">
        <f t="shared" si="34"/>
        <v>125.30000000000008</v>
      </c>
      <c r="T299" s="2">
        <v>0</v>
      </c>
      <c r="U299" s="2">
        <v>0</v>
      </c>
      <c r="V299" s="2">
        <v>6</v>
      </c>
      <c r="W299" s="2">
        <v>0</v>
      </c>
      <c r="X299" s="2">
        <f t="shared" si="35"/>
        <v>110</v>
      </c>
      <c r="Z299" s="1"/>
      <c r="AA299" s="1"/>
      <c r="AB299" s="2" t="str">
        <f t="shared" si="36"/>
        <v/>
      </c>
      <c r="AD299" s="121"/>
      <c r="AE299" s="121"/>
    </row>
    <row r="300" spans="1:31" x14ac:dyDescent="0.25">
      <c r="A300" s="2" t="s">
        <v>314</v>
      </c>
      <c r="B300" s="7">
        <v>0.79166666666666663</v>
      </c>
      <c r="C300" s="2">
        <v>11</v>
      </c>
      <c r="D300" s="10" t="s">
        <v>265</v>
      </c>
      <c r="E300" s="40">
        <v>0</v>
      </c>
      <c r="F300" s="40">
        <v>2.6</v>
      </c>
      <c r="G300" s="40">
        <v>2</v>
      </c>
      <c r="H300" s="3">
        <f t="shared" si="31"/>
        <v>0</v>
      </c>
      <c r="I300" s="3">
        <f t="shared" si="32"/>
        <v>1.1916666666666667</v>
      </c>
      <c r="J300" s="3">
        <f t="shared" si="33"/>
        <v>0.91666666666666663</v>
      </c>
      <c r="K300" s="3"/>
      <c r="L300" s="4">
        <f t="shared" si="37"/>
        <v>210.37916666666669</v>
      </c>
      <c r="M300" s="40">
        <v>0</v>
      </c>
      <c r="N300" s="40">
        <v>0</v>
      </c>
      <c r="O300" s="40">
        <v>0</v>
      </c>
      <c r="P300" s="40">
        <v>0</v>
      </c>
      <c r="Q300" s="40">
        <v>2.5</v>
      </c>
      <c r="R300" s="40">
        <v>0</v>
      </c>
      <c r="S300" s="2">
        <f t="shared" si="34"/>
        <v>122.80000000000008</v>
      </c>
      <c r="T300" s="2">
        <v>0</v>
      </c>
      <c r="U300" s="2">
        <v>0</v>
      </c>
      <c r="V300" s="2">
        <v>3</v>
      </c>
      <c r="W300" s="2">
        <v>0</v>
      </c>
      <c r="X300" s="2">
        <f t="shared" si="35"/>
        <v>107</v>
      </c>
      <c r="Z300" s="1"/>
      <c r="AA300" s="1"/>
      <c r="AB300" s="2" t="str">
        <f t="shared" si="36"/>
        <v/>
      </c>
      <c r="AD300" s="121"/>
      <c r="AE300" s="121"/>
    </row>
    <row r="301" spans="1:31" x14ac:dyDescent="0.25">
      <c r="A301" s="2" t="s">
        <v>314</v>
      </c>
      <c r="B301" s="7">
        <v>0.85416666666666663</v>
      </c>
      <c r="C301" s="2">
        <v>1.5</v>
      </c>
      <c r="D301" s="10" t="s">
        <v>190</v>
      </c>
      <c r="E301" s="40">
        <v>0</v>
      </c>
      <c r="F301" s="40">
        <v>2.6</v>
      </c>
      <c r="G301" s="40">
        <v>2</v>
      </c>
      <c r="H301" s="3">
        <f t="shared" si="31"/>
        <v>0</v>
      </c>
      <c r="I301" s="3">
        <f t="shared" si="32"/>
        <v>0.16250000000000001</v>
      </c>
      <c r="J301" s="3">
        <f t="shared" si="33"/>
        <v>0.125</v>
      </c>
      <c r="K301" s="3"/>
      <c r="L301" s="4">
        <f t="shared" si="37"/>
        <v>210.0916666666667</v>
      </c>
      <c r="M301" s="40">
        <v>0</v>
      </c>
      <c r="N301" s="40">
        <v>0</v>
      </c>
      <c r="O301" s="40">
        <v>0</v>
      </c>
      <c r="P301" s="40">
        <v>0</v>
      </c>
      <c r="Q301" s="40">
        <v>0</v>
      </c>
      <c r="R301" s="40">
        <v>0</v>
      </c>
      <c r="S301" s="2">
        <f t="shared" si="34"/>
        <v>122.80000000000008</v>
      </c>
      <c r="T301" s="2">
        <v>0</v>
      </c>
      <c r="U301" s="2">
        <v>0</v>
      </c>
      <c r="V301" s="2">
        <v>0.5</v>
      </c>
      <c r="W301" s="2">
        <v>0</v>
      </c>
      <c r="X301" s="2">
        <f t="shared" si="35"/>
        <v>106.5</v>
      </c>
      <c r="Z301" s="1"/>
      <c r="AA301" s="1"/>
      <c r="AB301" s="2" t="str">
        <f t="shared" si="36"/>
        <v/>
      </c>
      <c r="AD301" s="121"/>
      <c r="AE301" s="121"/>
    </row>
    <row r="302" spans="1:31" x14ac:dyDescent="0.25">
      <c r="A302" s="2" t="s">
        <v>314</v>
      </c>
      <c r="B302" s="7" t="s">
        <v>315</v>
      </c>
      <c r="C302" s="2">
        <v>0.8</v>
      </c>
      <c r="D302" s="10" t="s">
        <v>105</v>
      </c>
      <c r="E302" s="40">
        <v>10</v>
      </c>
      <c r="F302" s="40">
        <v>2.6</v>
      </c>
      <c r="G302" s="40">
        <v>2</v>
      </c>
      <c r="H302" s="3">
        <f t="shared" si="31"/>
        <v>0.33333333333333337</v>
      </c>
      <c r="I302" s="3">
        <f t="shared" si="32"/>
        <v>8.666666666666667E-2</v>
      </c>
      <c r="J302" s="3">
        <f t="shared" si="33"/>
        <v>6.6666666666666666E-2</v>
      </c>
      <c r="K302" s="3"/>
      <c r="L302" s="4">
        <f t="shared" si="37"/>
        <v>209.60500000000002</v>
      </c>
      <c r="M302" s="40">
        <v>0</v>
      </c>
      <c r="N302" s="40">
        <v>0</v>
      </c>
      <c r="O302" s="40">
        <v>0</v>
      </c>
      <c r="P302" s="40">
        <v>0</v>
      </c>
      <c r="Q302" s="40">
        <v>0</v>
      </c>
      <c r="R302" s="40">
        <v>0</v>
      </c>
      <c r="S302" s="2">
        <f t="shared" si="34"/>
        <v>122.80000000000008</v>
      </c>
      <c r="T302" s="2">
        <v>0</v>
      </c>
      <c r="U302" s="2">
        <v>0</v>
      </c>
      <c r="V302" s="2">
        <v>0.5</v>
      </c>
      <c r="W302" s="2">
        <v>0</v>
      </c>
      <c r="X302" s="2">
        <f t="shared" si="35"/>
        <v>106</v>
      </c>
      <c r="Z302" s="1"/>
      <c r="AA302" s="1"/>
      <c r="AB302" s="2" t="str">
        <f t="shared" si="36"/>
        <v/>
      </c>
      <c r="AD302" s="121"/>
      <c r="AE302" s="121"/>
    </row>
    <row r="303" spans="1:31" x14ac:dyDescent="0.25">
      <c r="A303" s="2" t="s">
        <v>316</v>
      </c>
      <c r="B303" s="7">
        <v>6.25E-2</v>
      </c>
      <c r="C303" s="2">
        <v>4.2</v>
      </c>
      <c r="D303" s="10" t="s">
        <v>201</v>
      </c>
      <c r="E303" s="40">
        <v>16</v>
      </c>
      <c r="F303" s="40">
        <v>2.4</v>
      </c>
      <c r="G303" s="40">
        <v>0</v>
      </c>
      <c r="H303" s="3">
        <f t="shared" si="31"/>
        <v>2.8</v>
      </c>
      <c r="I303" s="3">
        <f t="shared" si="32"/>
        <v>0.42</v>
      </c>
      <c r="J303" s="3">
        <f t="shared" si="33"/>
        <v>0</v>
      </c>
      <c r="K303" s="3"/>
      <c r="L303" s="4">
        <f t="shared" si="37"/>
        <v>206.38500000000002</v>
      </c>
      <c r="M303" s="40">
        <v>0</v>
      </c>
      <c r="N303" s="40">
        <v>0</v>
      </c>
      <c r="O303" s="40">
        <v>0</v>
      </c>
      <c r="P303" s="40">
        <v>0</v>
      </c>
      <c r="Q303" s="40">
        <v>0</v>
      </c>
      <c r="R303" s="40">
        <v>0</v>
      </c>
      <c r="S303" s="2">
        <f t="shared" si="34"/>
        <v>122.80000000000008</v>
      </c>
      <c r="T303" s="2">
        <v>0</v>
      </c>
      <c r="U303" s="2">
        <v>0</v>
      </c>
      <c r="V303" s="2">
        <v>2</v>
      </c>
      <c r="W303" s="2">
        <v>0</v>
      </c>
      <c r="X303" s="2">
        <f t="shared" si="35"/>
        <v>104</v>
      </c>
      <c r="Z303" s="1"/>
      <c r="AA303" s="1"/>
      <c r="AB303" s="2" t="str">
        <f t="shared" si="36"/>
        <v/>
      </c>
      <c r="AD303" s="121">
        <v>12.8</v>
      </c>
      <c r="AE303" s="121" t="s">
        <v>1303</v>
      </c>
    </row>
    <row r="304" spans="1:31" x14ac:dyDescent="0.25">
      <c r="A304" s="2" t="s">
        <v>316</v>
      </c>
      <c r="B304" s="7">
        <v>0.27083333333333331</v>
      </c>
      <c r="C304" s="2">
        <v>5</v>
      </c>
      <c r="D304" s="10" t="s">
        <v>190</v>
      </c>
      <c r="E304" s="40">
        <v>0</v>
      </c>
      <c r="F304" s="40">
        <v>2.2000000000000002</v>
      </c>
      <c r="G304" s="40">
        <v>2</v>
      </c>
      <c r="H304" s="3">
        <f t="shared" si="31"/>
        <v>0</v>
      </c>
      <c r="I304" s="3">
        <f t="shared" si="32"/>
        <v>0.45833333333333337</v>
      </c>
      <c r="J304" s="3">
        <f t="shared" si="33"/>
        <v>0.41666666666666663</v>
      </c>
      <c r="K304" s="3"/>
      <c r="L304" s="4">
        <f t="shared" si="37"/>
        <v>205.51000000000002</v>
      </c>
      <c r="M304" s="40">
        <v>0</v>
      </c>
      <c r="N304" s="40">
        <v>0</v>
      </c>
      <c r="O304" s="40">
        <v>0</v>
      </c>
      <c r="P304" s="40">
        <v>0</v>
      </c>
      <c r="Q304" s="40">
        <v>0</v>
      </c>
      <c r="R304" s="40">
        <v>0</v>
      </c>
      <c r="S304" s="2">
        <f t="shared" si="34"/>
        <v>122.80000000000008</v>
      </c>
      <c r="T304" s="2">
        <v>0</v>
      </c>
      <c r="U304" s="2">
        <v>0</v>
      </c>
      <c r="V304" s="2">
        <v>1</v>
      </c>
      <c r="W304" s="2">
        <v>0</v>
      </c>
      <c r="X304" s="2">
        <f t="shared" si="35"/>
        <v>103</v>
      </c>
      <c r="Z304" s="1">
        <v>25</v>
      </c>
      <c r="AA304" s="1">
        <v>86</v>
      </c>
      <c r="AB304" s="2">
        <f t="shared" si="36"/>
        <v>111</v>
      </c>
      <c r="AD304" s="121"/>
      <c r="AE304" s="121"/>
    </row>
    <row r="305" spans="1:31" x14ac:dyDescent="0.25">
      <c r="A305" s="2" t="s">
        <v>316</v>
      </c>
      <c r="B305" s="7">
        <v>0.33333333333333331</v>
      </c>
      <c r="C305" s="2">
        <v>1.5</v>
      </c>
      <c r="D305" s="10" t="s">
        <v>317</v>
      </c>
      <c r="E305" s="40">
        <v>8</v>
      </c>
      <c r="F305" s="40">
        <v>2.2000000000000002</v>
      </c>
      <c r="G305" s="40">
        <v>2</v>
      </c>
      <c r="H305" s="3">
        <f t="shared" si="31"/>
        <v>0.5</v>
      </c>
      <c r="I305" s="3">
        <f t="shared" si="32"/>
        <v>0.13750000000000001</v>
      </c>
      <c r="J305" s="3">
        <f t="shared" si="33"/>
        <v>0.125</v>
      </c>
      <c r="K305" s="3"/>
      <c r="L305" s="4">
        <f t="shared" si="37"/>
        <v>204.74750000000003</v>
      </c>
      <c r="M305" s="40">
        <v>0</v>
      </c>
      <c r="N305" s="40">
        <v>0</v>
      </c>
      <c r="O305" s="40">
        <v>0</v>
      </c>
      <c r="P305" s="40">
        <v>0</v>
      </c>
      <c r="Q305" s="40">
        <v>0</v>
      </c>
      <c r="R305" s="40">
        <v>0</v>
      </c>
      <c r="S305" s="2">
        <f t="shared" si="34"/>
        <v>122.80000000000008</v>
      </c>
      <c r="T305" s="2">
        <v>0</v>
      </c>
      <c r="U305" s="2">
        <v>0</v>
      </c>
      <c r="V305" s="2">
        <v>1</v>
      </c>
      <c r="W305" s="2">
        <v>0</v>
      </c>
      <c r="X305" s="2">
        <f t="shared" si="35"/>
        <v>102</v>
      </c>
      <c r="Z305" s="1"/>
      <c r="AA305" s="1"/>
      <c r="AB305" s="2" t="str">
        <f t="shared" si="36"/>
        <v/>
      </c>
      <c r="AD305" s="121"/>
      <c r="AE305" s="121"/>
    </row>
    <row r="306" spans="1:31" x14ac:dyDescent="0.25">
      <c r="A306" s="2" t="s">
        <v>316</v>
      </c>
      <c r="B306" s="7">
        <v>0.75</v>
      </c>
      <c r="C306" s="2">
        <v>10</v>
      </c>
      <c r="D306" s="10" t="s">
        <v>265</v>
      </c>
      <c r="E306" s="40">
        <v>0</v>
      </c>
      <c r="F306" s="40">
        <v>2.4</v>
      </c>
      <c r="G306" s="40">
        <v>2</v>
      </c>
      <c r="H306" s="3">
        <f t="shared" si="31"/>
        <v>0</v>
      </c>
      <c r="I306" s="3">
        <f t="shared" si="32"/>
        <v>0.99999999999999989</v>
      </c>
      <c r="J306" s="3">
        <f t="shared" si="33"/>
        <v>0.83333333333333326</v>
      </c>
      <c r="K306" s="3"/>
      <c r="L306" s="4">
        <f t="shared" si="37"/>
        <v>202.91416666666669</v>
      </c>
      <c r="M306" s="40">
        <v>0</v>
      </c>
      <c r="N306" s="40">
        <v>0</v>
      </c>
      <c r="O306" s="40">
        <v>0</v>
      </c>
      <c r="P306" s="40">
        <v>0</v>
      </c>
      <c r="Q306" s="40">
        <v>2.5</v>
      </c>
      <c r="R306" s="40">
        <v>0</v>
      </c>
      <c r="S306" s="2">
        <f t="shared" si="34"/>
        <v>120.30000000000008</v>
      </c>
      <c r="T306" s="2">
        <v>0</v>
      </c>
      <c r="U306" s="2">
        <v>0</v>
      </c>
      <c r="V306" s="2">
        <v>2</v>
      </c>
      <c r="W306" s="2">
        <v>0</v>
      </c>
      <c r="X306" s="2">
        <f t="shared" si="35"/>
        <v>100</v>
      </c>
      <c r="Z306" s="1"/>
      <c r="AA306" s="1"/>
      <c r="AB306" s="2" t="str">
        <f t="shared" si="36"/>
        <v/>
      </c>
      <c r="AD306" s="121"/>
      <c r="AE306" s="121"/>
    </row>
    <row r="307" spans="1:31" x14ac:dyDescent="0.25">
      <c r="A307" s="2" t="s">
        <v>316</v>
      </c>
      <c r="B307" s="7">
        <v>0.85416666666666663</v>
      </c>
      <c r="C307" s="2">
        <v>2.5</v>
      </c>
      <c r="D307" s="10" t="s">
        <v>105</v>
      </c>
      <c r="E307" s="40">
        <v>10</v>
      </c>
      <c r="F307" s="40">
        <v>2.6</v>
      </c>
      <c r="G307" s="40">
        <v>2</v>
      </c>
      <c r="H307" s="3">
        <f t="shared" si="31"/>
        <v>1.0416666666666667</v>
      </c>
      <c r="I307" s="3">
        <f t="shared" si="32"/>
        <v>0.27083333333333337</v>
      </c>
      <c r="J307" s="3">
        <f t="shared" si="33"/>
        <v>0.20833333333333331</v>
      </c>
      <c r="K307" s="3"/>
      <c r="L307" s="4">
        <f t="shared" si="37"/>
        <v>201.39333333333335</v>
      </c>
      <c r="M307" s="40">
        <v>0</v>
      </c>
      <c r="N307" s="40">
        <v>0</v>
      </c>
      <c r="O307" s="40">
        <v>0</v>
      </c>
      <c r="P307" s="40">
        <v>0</v>
      </c>
      <c r="Q307" s="40">
        <v>0</v>
      </c>
      <c r="R307" s="40">
        <v>0</v>
      </c>
      <c r="S307" s="2">
        <f t="shared" si="34"/>
        <v>120.30000000000008</v>
      </c>
      <c r="T307" s="2">
        <v>0</v>
      </c>
      <c r="U307" s="2">
        <v>0</v>
      </c>
      <c r="V307" s="2">
        <v>1</v>
      </c>
      <c r="W307" s="2">
        <v>0</v>
      </c>
      <c r="X307" s="2">
        <f t="shared" si="35"/>
        <v>99</v>
      </c>
      <c r="Z307" s="1"/>
      <c r="AA307" s="1"/>
      <c r="AB307" s="2" t="str">
        <f t="shared" si="36"/>
        <v/>
      </c>
      <c r="AD307" s="121"/>
      <c r="AE307" s="121"/>
    </row>
    <row r="308" spans="1:31" x14ac:dyDescent="0.25">
      <c r="A308" s="2" t="s">
        <v>318</v>
      </c>
      <c r="B308" s="7">
        <v>0.33333333333333331</v>
      </c>
      <c r="C308" s="2">
        <v>11.5</v>
      </c>
      <c r="D308" s="10" t="s">
        <v>319</v>
      </c>
      <c r="E308" s="40">
        <v>18</v>
      </c>
      <c r="F308" s="40">
        <v>2.2000000000000002</v>
      </c>
      <c r="G308" s="40">
        <v>0</v>
      </c>
      <c r="H308" s="3">
        <f t="shared" si="31"/>
        <v>8.625</v>
      </c>
      <c r="I308" s="3">
        <f t="shared" si="32"/>
        <v>1.0541666666666667</v>
      </c>
      <c r="J308" s="3">
        <f t="shared" si="33"/>
        <v>0</v>
      </c>
      <c r="K308" s="3"/>
      <c r="L308" s="4">
        <f t="shared" si="37"/>
        <v>191.71416666666667</v>
      </c>
      <c r="M308" s="40">
        <v>0</v>
      </c>
      <c r="N308" s="40">
        <v>0</v>
      </c>
      <c r="O308" s="40">
        <v>0</v>
      </c>
      <c r="P308" s="40">
        <v>0</v>
      </c>
      <c r="Q308" s="40">
        <v>0</v>
      </c>
      <c r="R308" s="40">
        <v>0</v>
      </c>
      <c r="S308" s="2">
        <f t="shared" si="34"/>
        <v>120.30000000000008</v>
      </c>
      <c r="T308" s="2">
        <v>5</v>
      </c>
      <c r="U308" s="2">
        <v>0</v>
      </c>
      <c r="V308" s="2">
        <v>2</v>
      </c>
      <c r="W308" s="2">
        <v>0</v>
      </c>
      <c r="X308" s="2">
        <f t="shared" si="35"/>
        <v>102</v>
      </c>
      <c r="Z308" s="1">
        <v>25</v>
      </c>
      <c r="AA308" s="1">
        <v>83</v>
      </c>
      <c r="AB308" s="2">
        <f t="shared" si="36"/>
        <v>108</v>
      </c>
      <c r="AD308" s="121"/>
      <c r="AE308" s="121"/>
    </row>
    <row r="309" spans="1:31" x14ac:dyDescent="0.25">
      <c r="A309" s="2" t="s">
        <v>320</v>
      </c>
      <c r="B309" s="7">
        <v>0.1875</v>
      </c>
      <c r="C309" s="2">
        <v>20.5</v>
      </c>
      <c r="D309" s="10" t="s">
        <v>201</v>
      </c>
      <c r="E309" s="40">
        <v>18</v>
      </c>
      <c r="F309" s="40">
        <v>2.2000000000000002</v>
      </c>
      <c r="G309" s="40">
        <v>0</v>
      </c>
      <c r="H309" s="3">
        <f t="shared" si="31"/>
        <v>15.375</v>
      </c>
      <c r="I309" s="3">
        <f t="shared" si="32"/>
        <v>1.8791666666666669</v>
      </c>
      <c r="J309" s="3">
        <f t="shared" si="33"/>
        <v>0</v>
      </c>
      <c r="K309" s="3"/>
      <c r="L309" s="4">
        <f t="shared" si="37"/>
        <v>174.46</v>
      </c>
      <c r="M309" s="40">
        <v>0</v>
      </c>
      <c r="N309" s="40">
        <v>0</v>
      </c>
      <c r="O309" s="40">
        <v>0.2</v>
      </c>
      <c r="P309" s="40">
        <v>0</v>
      </c>
      <c r="Q309" s="40">
        <v>0</v>
      </c>
      <c r="R309" s="40">
        <v>0</v>
      </c>
      <c r="S309" s="2">
        <f t="shared" si="34"/>
        <v>120.10000000000008</v>
      </c>
      <c r="T309" s="2">
        <v>8</v>
      </c>
      <c r="U309" s="2">
        <v>0</v>
      </c>
      <c r="V309" s="2">
        <v>4</v>
      </c>
      <c r="W309" s="2">
        <v>0</v>
      </c>
      <c r="X309" s="2">
        <f t="shared" si="35"/>
        <v>106</v>
      </c>
      <c r="Z309" s="1"/>
      <c r="AA309" s="1"/>
      <c r="AB309" s="2" t="str">
        <f t="shared" si="36"/>
        <v/>
      </c>
      <c r="AD309" s="121">
        <v>13</v>
      </c>
      <c r="AE309" s="121" t="s">
        <v>1296</v>
      </c>
    </row>
    <row r="310" spans="1:31" x14ac:dyDescent="0.25">
      <c r="A310" s="2" t="s">
        <v>320</v>
      </c>
      <c r="B310" s="7">
        <v>0.20833333333333334</v>
      </c>
      <c r="C310" s="2">
        <v>0.5</v>
      </c>
      <c r="D310" s="10" t="s">
        <v>321</v>
      </c>
      <c r="E310" s="40">
        <v>10</v>
      </c>
      <c r="F310" s="40">
        <v>2.2000000000000002</v>
      </c>
      <c r="G310" s="40">
        <v>2</v>
      </c>
      <c r="H310" s="3">
        <f t="shared" si="31"/>
        <v>0.20833333333333334</v>
      </c>
      <c r="I310" s="3">
        <f t="shared" si="32"/>
        <v>4.5833333333333337E-2</v>
      </c>
      <c r="J310" s="3">
        <f t="shared" si="33"/>
        <v>4.1666666666666664E-2</v>
      </c>
      <c r="K310" s="3"/>
      <c r="L310" s="4">
        <f t="shared" si="37"/>
        <v>174.16416666666669</v>
      </c>
      <c r="M310" s="40">
        <v>0</v>
      </c>
      <c r="N310" s="40">
        <v>0</v>
      </c>
      <c r="O310" s="40">
        <v>0</v>
      </c>
      <c r="P310" s="40">
        <v>0</v>
      </c>
      <c r="Q310" s="40">
        <v>0</v>
      </c>
      <c r="R310" s="40">
        <v>0</v>
      </c>
      <c r="S310" s="2">
        <f t="shared" si="34"/>
        <v>120.10000000000008</v>
      </c>
      <c r="T310" s="2">
        <v>0</v>
      </c>
      <c r="U310" s="2">
        <v>0</v>
      </c>
      <c r="V310" s="2">
        <v>1</v>
      </c>
      <c r="W310" s="2">
        <v>0</v>
      </c>
      <c r="X310" s="2">
        <f t="shared" si="35"/>
        <v>105</v>
      </c>
      <c r="Z310" s="1"/>
      <c r="AA310" s="1"/>
      <c r="AB310" s="2"/>
      <c r="AD310" s="121"/>
      <c r="AE310" s="121"/>
    </row>
    <row r="311" spans="1:31" x14ac:dyDescent="0.25">
      <c r="A311" s="2" t="s">
        <v>320</v>
      </c>
      <c r="B311" s="7">
        <v>0.33333333333333331</v>
      </c>
      <c r="C311" s="2">
        <v>3</v>
      </c>
      <c r="D311" s="10" t="s">
        <v>321</v>
      </c>
      <c r="E311" s="40">
        <v>0</v>
      </c>
      <c r="F311" s="40">
        <v>2.2000000000000002</v>
      </c>
      <c r="G311" s="40">
        <v>2</v>
      </c>
      <c r="H311" s="3">
        <f t="shared" si="31"/>
        <v>0</v>
      </c>
      <c r="I311" s="3">
        <f t="shared" si="32"/>
        <v>0.27500000000000002</v>
      </c>
      <c r="J311" s="3">
        <f t="shared" si="33"/>
        <v>0.25</v>
      </c>
      <c r="K311" s="3"/>
      <c r="L311" s="4">
        <f t="shared" si="37"/>
        <v>173.63916666666668</v>
      </c>
      <c r="M311" s="40">
        <v>0</v>
      </c>
      <c r="N311" s="40">
        <v>0</v>
      </c>
      <c r="O311" s="40">
        <v>0</v>
      </c>
      <c r="P311" s="40">
        <v>0</v>
      </c>
      <c r="Q311" s="40">
        <v>0</v>
      </c>
      <c r="R311" s="40">
        <v>0</v>
      </c>
      <c r="S311" s="2">
        <f t="shared" si="34"/>
        <v>120.10000000000008</v>
      </c>
      <c r="T311" s="2">
        <v>0</v>
      </c>
      <c r="U311" s="2">
        <v>0</v>
      </c>
      <c r="V311" s="2">
        <v>1</v>
      </c>
      <c r="W311" s="2">
        <v>0</v>
      </c>
      <c r="X311" s="2">
        <f t="shared" si="35"/>
        <v>104</v>
      </c>
      <c r="Z311" s="1">
        <v>34</v>
      </c>
      <c r="AA311" s="1">
        <v>80</v>
      </c>
      <c r="AB311" s="2">
        <f t="shared" si="36"/>
        <v>114</v>
      </c>
      <c r="AD311" s="121"/>
      <c r="AE311" s="121"/>
    </row>
    <row r="312" spans="1:31" x14ac:dyDescent="0.25">
      <c r="A312" s="2" t="s">
        <v>320</v>
      </c>
      <c r="B312" s="7">
        <v>0.70833333333333337</v>
      </c>
      <c r="C312" s="2">
        <v>9</v>
      </c>
      <c r="D312" s="10" t="s">
        <v>190</v>
      </c>
      <c r="E312" s="40">
        <v>0</v>
      </c>
      <c r="F312" s="40">
        <v>2.2000000000000002</v>
      </c>
      <c r="G312" s="40">
        <v>2</v>
      </c>
      <c r="H312" s="3">
        <f t="shared" si="31"/>
        <v>0</v>
      </c>
      <c r="I312" s="3">
        <f t="shared" si="32"/>
        <v>0.82500000000000007</v>
      </c>
      <c r="J312" s="3">
        <f t="shared" si="33"/>
        <v>0.75</v>
      </c>
      <c r="K312" s="3"/>
      <c r="L312" s="4">
        <f t="shared" si="37"/>
        <v>172.06416666666669</v>
      </c>
      <c r="M312" s="40">
        <v>0</v>
      </c>
      <c r="N312" s="40">
        <v>0</v>
      </c>
      <c r="O312" s="40">
        <v>0</v>
      </c>
      <c r="P312" s="40">
        <v>0</v>
      </c>
      <c r="Q312" s="40">
        <v>0</v>
      </c>
      <c r="R312" s="40">
        <v>0</v>
      </c>
      <c r="S312" s="2">
        <f t="shared" si="34"/>
        <v>120.10000000000008</v>
      </c>
      <c r="T312" s="2">
        <v>0</v>
      </c>
      <c r="U312" s="2">
        <v>0</v>
      </c>
      <c r="V312" s="2">
        <v>3</v>
      </c>
      <c r="W312" s="2">
        <v>0</v>
      </c>
      <c r="X312" s="2">
        <f t="shared" si="35"/>
        <v>101</v>
      </c>
      <c r="Z312" s="1"/>
      <c r="AA312" s="1"/>
      <c r="AB312" s="2" t="str">
        <f t="shared" si="36"/>
        <v/>
      </c>
      <c r="AD312" s="121"/>
      <c r="AE312" s="121"/>
    </row>
    <row r="313" spans="1:31" x14ac:dyDescent="0.25">
      <c r="A313" s="2" t="s">
        <v>320</v>
      </c>
      <c r="B313" s="7">
        <v>0.77083333333333337</v>
      </c>
      <c r="C313" s="2">
        <v>1.5</v>
      </c>
      <c r="D313" s="10" t="s">
        <v>322</v>
      </c>
      <c r="E313" s="40">
        <v>8</v>
      </c>
      <c r="F313" s="40">
        <v>2.2000000000000002</v>
      </c>
      <c r="G313" s="40">
        <v>2</v>
      </c>
      <c r="H313" s="3">
        <f t="shared" si="31"/>
        <v>0.5</v>
      </c>
      <c r="I313" s="3">
        <f t="shared" si="32"/>
        <v>0.13750000000000001</v>
      </c>
      <c r="J313" s="3">
        <f t="shared" si="33"/>
        <v>0.125</v>
      </c>
      <c r="K313" s="3"/>
      <c r="L313" s="4">
        <f t="shared" si="37"/>
        <v>171.3016666666667</v>
      </c>
      <c r="M313" s="40">
        <v>0</v>
      </c>
      <c r="N313" s="40">
        <v>0</v>
      </c>
      <c r="O313" s="40">
        <v>0</v>
      </c>
      <c r="P313" s="40">
        <v>0</v>
      </c>
      <c r="Q313" s="40">
        <v>0</v>
      </c>
      <c r="R313" s="40">
        <v>0</v>
      </c>
      <c r="S313" s="2">
        <f t="shared" si="34"/>
        <v>120.10000000000008</v>
      </c>
      <c r="T313" s="2">
        <v>0</v>
      </c>
      <c r="U313" s="2">
        <v>0</v>
      </c>
      <c r="V313" s="2">
        <v>0</v>
      </c>
      <c r="W313" s="2">
        <v>0</v>
      </c>
      <c r="X313" s="2">
        <f t="shared" si="35"/>
        <v>101</v>
      </c>
      <c r="Z313" s="1"/>
      <c r="AA313" s="1"/>
      <c r="AB313" s="2" t="str">
        <f t="shared" si="36"/>
        <v/>
      </c>
      <c r="AD313" s="121"/>
      <c r="AE313" s="121"/>
    </row>
    <row r="314" spans="1:31" x14ac:dyDescent="0.25">
      <c r="A314" s="59"/>
      <c r="B314" s="7"/>
      <c r="C314" s="59"/>
      <c r="D314" s="10"/>
      <c r="E314" s="40"/>
      <c r="F314" s="40"/>
      <c r="G314" s="40"/>
      <c r="H314" s="3"/>
      <c r="I314" s="3"/>
      <c r="J314" s="3"/>
      <c r="K314" s="3"/>
      <c r="L314" s="4"/>
      <c r="M314" s="40"/>
      <c r="N314" s="40"/>
      <c r="O314" s="40"/>
      <c r="P314" s="40"/>
      <c r="Q314" s="40"/>
      <c r="R314" s="40"/>
      <c r="S314" s="59"/>
      <c r="T314" s="59"/>
      <c r="U314" s="59"/>
      <c r="V314" s="59"/>
      <c r="W314" s="59"/>
      <c r="X314" s="59"/>
      <c r="Z314" s="1"/>
      <c r="AA314" s="1"/>
      <c r="AB314" s="59"/>
      <c r="AD314" s="121"/>
      <c r="AE314" s="121"/>
    </row>
    <row r="315" spans="1:31" x14ac:dyDescent="0.25">
      <c r="A315" s="9" t="s">
        <v>323</v>
      </c>
      <c r="B315" s="7">
        <v>0.25</v>
      </c>
      <c r="C315" s="2">
        <v>13.5</v>
      </c>
      <c r="D315" s="10" t="s">
        <v>265</v>
      </c>
      <c r="E315" s="40">
        <v>0</v>
      </c>
      <c r="F315" s="40">
        <v>2.4</v>
      </c>
      <c r="G315" s="40">
        <v>2</v>
      </c>
      <c r="H315" s="3">
        <f t="shared" si="31"/>
        <v>0</v>
      </c>
      <c r="I315" s="3">
        <f t="shared" si="32"/>
        <v>1.3499999999999999</v>
      </c>
      <c r="J315" s="3">
        <f t="shared" si="33"/>
        <v>1.125</v>
      </c>
      <c r="K315" s="3"/>
      <c r="L315" s="4">
        <f>+IF(C315="","",L313-(H315+I315+J315))</f>
        <v>168.82666666666671</v>
      </c>
      <c r="M315" s="40">
        <v>0</v>
      </c>
      <c r="N315" s="40">
        <v>0</v>
      </c>
      <c r="O315" s="40">
        <v>0</v>
      </c>
      <c r="P315" s="40">
        <v>0</v>
      </c>
      <c r="Q315" s="40">
        <v>3.2</v>
      </c>
      <c r="R315" s="40">
        <v>0</v>
      </c>
      <c r="S315" s="2">
        <f>IF(C315="","",(S313+R315)-(M315+N315+O315+P315+Q315))</f>
        <v>116.90000000000008</v>
      </c>
      <c r="T315" s="2">
        <v>0</v>
      </c>
      <c r="U315" s="2">
        <v>0</v>
      </c>
      <c r="V315" s="2">
        <v>2</v>
      </c>
      <c r="W315" s="2">
        <v>0</v>
      </c>
      <c r="X315" s="2">
        <f>IF(V315="","",((X313+T315+U315)-(V315+W315)))</f>
        <v>99</v>
      </c>
      <c r="Z315" s="1"/>
      <c r="AA315" s="1"/>
      <c r="AB315" s="2" t="str">
        <f t="shared" si="36"/>
        <v/>
      </c>
      <c r="AD315" s="121"/>
      <c r="AE315" s="121"/>
    </row>
    <row r="316" spans="1:31" x14ac:dyDescent="0.25">
      <c r="A316" s="2" t="s">
        <v>323</v>
      </c>
      <c r="B316" s="7">
        <v>0.33333333333333331</v>
      </c>
      <c r="C316" s="2">
        <v>2</v>
      </c>
      <c r="D316" s="10" t="s">
        <v>321</v>
      </c>
      <c r="E316" s="40">
        <v>0</v>
      </c>
      <c r="F316" s="40">
        <v>2.4</v>
      </c>
      <c r="G316" s="40">
        <v>2</v>
      </c>
      <c r="H316" s="3">
        <f t="shared" si="31"/>
        <v>0</v>
      </c>
      <c r="I316" s="3">
        <f t="shared" si="32"/>
        <v>0.19999999999999998</v>
      </c>
      <c r="J316" s="3">
        <f t="shared" si="33"/>
        <v>0.16666666666666666</v>
      </c>
      <c r="K316" s="3"/>
      <c r="L316" s="4">
        <v>168.4</v>
      </c>
      <c r="M316" s="40">
        <v>0</v>
      </c>
      <c r="N316" s="40">
        <v>0</v>
      </c>
      <c r="O316" s="40">
        <v>0</v>
      </c>
      <c r="P316" s="40">
        <v>0</v>
      </c>
      <c r="Q316" s="40">
        <v>0</v>
      </c>
      <c r="R316" s="40">
        <v>0</v>
      </c>
      <c r="S316" s="2">
        <f t="shared" si="34"/>
        <v>116.90000000000008</v>
      </c>
      <c r="T316" s="2">
        <v>0</v>
      </c>
      <c r="U316" s="2">
        <v>0</v>
      </c>
      <c r="V316" s="2">
        <v>1</v>
      </c>
      <c r="W316" s="2">
        <v>0</v>
      </c>
      <c r="X316" s="2">
        <f t="shared" si="35"/>
        <v>98</v>
      </c>
      <c r="Z316" s="1">
        <v>34</v>
      </c>
      <c r="AA316" s="1">
        <v>76</v>
      </c>
      <c r="AB316" s="2">
        <f t="shared" si="36"/>
        <v>110</v>
      </c>
      <c r="AD316" s="121"/>
      <c r="AE316" s="121"/>
    </row>
    <row r="317" spans="1:31" x14ac:dyDescent="0.25">
      <c r="A317" s="2" t="s">
        <v>323</v>
      </c>
      <c r="B317" s="7">
        <v>0.58333333333333337</v>
      </c>
      <c r="C317" s="2">
        <v>6</v>
      </c>
      <c r="D317" s="10" t="s">
        <v>324</v>
      </c>
      <c r="E317" s="40">
        <v>0</v>
      </c>
      <c r="F317" s="40">
        <v>2.2000000000000002</v>
      </c>
      <c r="G317" s="40">
        <v>2</v>
      </c>
      <c r="H317" s="3">
        <f t="shared" si="31"/>
        <v>0</v>
      </c>
      <c r="I317" s="3">
        <f t="shared" si="32"/>
        <v>0.55000000000000004</v>
      </c>
      <c r="J317" s="3">
        <f t="shared" si="33"/>
        <v>0.5</v>
      </c>
      <c r="K317" s="3"/>
      <c r="L317" s="4">
        <f t="shared" si="37"/>
        <v>167.35</v>
      </c>
      <c r="M317" s="40">
        <v>0</v>
      </c>
      <c r="N317" s="40">
        <v>0</v>
      </c>
      <c r="O317" s="40">
        <v>0</v>
      </c>
      <c r="P317" s="40">
        <v>0</v>
      </c>
      <c r="Q317" s="40">
        <v>0</v>
      </c>
      <c r="R317" s="40">
        <v>0</v>
      </c>
      <c r="S317" s="2">
        <f t="shared" si="34"/>
        <v>116.90000000000008</v>
      </c>
      <c r="T317" s="2">
        <v>0</v>
      </c>
      <c r="U317" s="2">
        <v>0</v>
      </c>
      <c r="V317" s="2">
        <v>2</v>
      </c>
      <c r="W317" s="2">
        <v>0</v>
      </c>
      <c r="X317" s="2">
        <f t="shared" si="35"/>
        <v>96</v>
      </c>
      <c r="Z317" s="1"/>
      <c r="AA317" s="1"/>
      <c r="AB317" s="2" t="str">
        <f t="shared" si="36"/>
        <v/>
      </c>
      <c r="AD317" s="121"/>
      <c r="AE317" s="121"/>
    </row>
    <row r="318" spans="1:31" x14ac:dyDescent="0.25">
      <c r="A318" s="2" t="s">
        <v>323</v>
      </c>
      <c r="B318" s="7">
        <v>0.625</v>
      </c>
      <c r="C318" s="2">
        <v>1</v>
      </c>
      <c r="D318" s="10" t="s">
        <v>308</v>
      </c>
      <c r="E318" s="40">
        <v>0</v>
      </c>
      <c r="F318" s="40">
        <v>2.4</v>
      </c>
      <c r="G318" s="40">
        <v>2</v>
      </c>
      <c r="H318" s="3">
        <f t="shared" si="31"/>
        <v>0</v>
      </c>
      <c r="I318" s="3">
        <f t="shared" si="32"/>
        <v>9.9999999999999992E-2</v>
      </c>
      <c r="J318" s="3">
        <f t="shared" si="33"/>
        <v>8.3333333333333329E-2</v>
      </c>
      <c r="K318" s="3"/>
      <c r="L318" s="4">
        <f t="shared" si="37"/>
        <v>167.16666666666666</v>
      </c>
      <c r="M318" s="40">
        <v>0</v>
      </c>
      <c r="N318" s="40">
        <v>0</v>
      </c>
      <c r="O318" s="40">
        <v>0</v>
      </c>
      <c r="P318" s="40">
        <v>0</v>
      </c>
      <c r="Q318" s="40">
        <v>0</v>
      </c>
      <c r="R318" s="40">
        <v>0</v>
      </c>
      <c r="S318" s="2">
        <f t="shared" si="34"/>
        <v>116.90000000000008</v>
      </c>
      <c r="T318" s="2">
        <v>0</v>
      </c>
      <c r="U318" s="2">
        <v>0</v>
      </c>
      <c r="V318" s="2">
        <v>1</v>
      </c>
      <c r="W318" s="2">
        <v>0</v>
      </c>
      <c r="X318" s="2">
        <f t="shared" si="35"/>
        <v>95</v>
      </c>
      <c r="Z318" s="1"/>
      <c r="AA318" s="1"/>
      <c r="AB318" s="2" t="str">
        <f t="shared" si="36"/>
        <v/>
      </c>
      <c r="AD318" s="121"/>
      <c r="AE318" s="121"/>
    </row>
    <row r="319" spans="1:31" x14ac:dyDescent="0.25">
      <c r="A319" s="2" t="s">
        <v>325</v>
      </c>
      <c r="B319" s="7">
        <v>0.25</v>
      </c>
      <c r="C319" s="2">
        <v>15</v>
      </c>
      <c r="D319" s="10" t="s">
        <v>120</v>
      </c>
      <c r="E319" s="40">
        <v>0</v>
      </c>
      <c r="F319" s="40">
        <v>2.4</v>
      </c>
      <c r="G319" s="40">
        <v>2</v>
      </c>
      <c r="H319" s="3">
        <f t="shared" si="31"/>
        <v>0</v>
      </c>
      <c r="I319" s="3">
        <f t="shared" si="32"/>
        <v>1.4999999999999998</v>
      </c>
      <c r="J319" s="3">
        <f t="shared" si="33"/>
        <v>1.25</v>
      </c>
      <c r="K319" s="3"/>
      <c r="L319" s="4">
        <f t="shared" si="37"/>
        <v>164.41666666666666</v>
      </c>
      <c r="M319" s="40">
        <v>0</v>
      </c>
      <c r="N319" s="40">
        <v>0</v>
      </c>
      <c r="O319" s="40">
        <v>0.2</v>
      </c>
      <c r="P319" s="40">
        <v>0</v>
      </c>
      <c r="Q319" s="40">
        <v>0</v>
      </c>
      <c r="R319" s="40">
        <v>0</v>
      </c>
      <c r="S319" s="2">
        <f t="shared" si="34"/>
        <v>116.70000000000007</v>
      </c>
      <c r="T319" s="2">
        <v>0</v>
      </c>
      <c r="U319" s="2">
        <v>0</v>
      </c>
      <c r="V319" s="2">
        <v>2</v>
      </c>
      <c r="W319" s="2">
        <v>0</v>
      </c>
      <c r="X319" s="2">
        <f t="shared" si="35"/>
        <v>93</v>
      </c>
      <c r="Z319" s="1"/>
      <c r="AA319" s="1"/>
      <c r="AB319" s="2" t="str">
        <f t="shared" si="36"/>
        <v/>
      </c>
      <c r="AD319" s="121"/>
      <c r="AE319" s="121"/>
    </row>
    <row r="320" spans="1:31" x14ac:dyDescent="0.25">
      <c r="A320" s="2" t="s">
        <v>325</v>
      </c>
      <c r="B320" s="7">
        <v>0.33333333333333331</v>
      </c>
      <c r="C320" s="2">
        <v>2</v>
      </c>
      <c r="D320" s="10" t="s">
        <v>188</v>
      </c>
      <c r="E320" s="40">
        <v>0</v>
      </c>
      <c r="F320" s="40">
        <v>2.2000000000000002</v>
      </c>
      <c r="G320" s="40">
        <v>2</v>
      </c>
      <c r="H320" s="3">
        <f t="shared" si="31"/>
        <v>0</v>
      </c>
      <c r="I320" s="3">
        <f t="shared" si="32"/>
        <v>0.18333333333333335</v>
      </c>
      <c r="J320" s="3">
        <f t="shared" si="33"/>
        <v>0.16666666666666666</v>
      </c>
      <c r="K320" s="3"/>
      <c r="L320" s="4">
        <f t="shared" si="37"/>
        <v>164.06666666666666</v>
      </c>
      <c r="M320" s="40">
        <v>0</v>
      </c>
      <c r="N320" s="40">
        <v>0</v>
      </c>
      <c r="O320" s="40">
        <v>0</v>
      </c>
      <c r="P320" s="40">
        <v>0</v>
      </c>
      <c r="Q320" s="40">
        <v>0</v>
      </c>
      <c r="R320" s="40">
        <v>0</v>
      </c>
      <c r="S320" s="2">
        <f t="shared" si="34"/>
        <v>116.70000000000007</v>
      </c>
      <c r="T320" s="2">
        <v>0</v>
      </c>
      <c r="U320" s="2">
        <v>0</v>
      </c>
      <c r="V320" s="2">
        <v>0</v>
      </c>
      <c r="W320" s="2">
        <v>0</v>
      </c>
      <c r="X320" s="2">
        <f t="shared" si="35"/>
        <v>93</v>
      </c>
      <c r="Z320" s="1">
        <v>34</v>
      </c>
      <c r="AA320" s="1">
        <v>72</v>
      </c>
      <c r="AB320" s="2">
        <f t="shared" si="36"/>
        <v>106</v>
      </c>
      <c r="AD320" s="121"/>
      <c r="AE320" s="121"/>
    </row>
    <row r="321" spans="1:31" x14ac:dyDescent="0.25">
      <c r="A321" s="2" t="s">
        <v>325</v>
      </c>
      <c r="B321" s="7">
        <v>0.39583333333333331</v>
      </c>
      <c r="C321" s="2">
        <v>1.5</v>
      </c>
      <c r="D321" s="10" t="s">
        <v>105</v>
      </c>
      <c r="E321" s="40">
        <v>14</v>
      </c>
      <c r="F321" s="40">
        <v>2.2000000000000002</v>
      </c>
      <c r="G321" s="40">
        <v>2</v>
      </c>
      <c r="H321" s="3">
        <f t="shared" si="31"/>
        <v>0.875</v>
      </c>
      <c r="I321" s="3">
        <f t="shared" si="32"/>
        <v>0.13750000000000001</v>
      </c>
      <c r="J321" s="3">
        <f t="shared" si="33"/>
        <v>0.125</v>
      </c>
      <c r="K321" s="3"/>
      <c r="L321" s="4">
        <f t="shared" si="37"/>
        <v>162.92916666666667</v>
      </c>
      <c r="M321" s="40">
        <v>0</v>
      </c>
      <c r="N321" s="40">
        <v>0</v>
      </c>
      <c r="O321" s="40">
        <v>0</v>
      </c>
      <c r="P321" s="40">
        <v>0</v>
      </c>
      <c r="Q321" s="40">
        <v>0</v>
      </c>
      <c r="R321" s="40">
        <v>0</v>
      </c>
      <c r="S321" s="2">
        <f t="shared" si="34"/>
        <v>116.70000000000007</v>
      </c>
      <c r="T321" s="2">
        <v>0</v>
      </c>
      <c r="U321" s="2">
        <v>0</v>
      </c>
      <c r="V321" s="2">
        <v>1</v>
      </c>
      <c r="W321" s="2">
        <v>0</v>
      </c>
      <c r="X321" s="2">
        <f t="shared" si="35"/>
        <v>92</v>
      </c>
      <c r="Z321" s="1"/>
      <c r="AA321" s="1"/>
      <c r="AB321" s="2" t="str">
        <f t="shared" si="36"/>
        <v/>
      </c>
      <c r="AD321" s="121"/>
      <c r="AE321" s="121"/>
    </row>
    <row r="322" spans="1:31" x14ac:dyDescent="0.25">
      <c r="A322" s="2" t="s">
        <v>326</v>
      </c>
      <c r="B322" s="7">
        <v>0.33333333333333331</v>
      </c>
      <c r="C322" s="2">
        <v>22.5</v>
      </c>
      <c r="D322" s="10" t="s">
        <v>327</v>
      </c>
      <c r="E322" s="40">
        <v>17</v>
      </c>
      <c r="F322" s="40">
        <v>2.2000000000000002</v>
      </c>
      <c r="G322" s="40">
        <v>0</v>
      </c>
      <c r="H322" s="3">
        <f t="shared" si="31"/>
        <v>15.9375</v>
      </c>
      <c r="I322" s="3">
        <f t="shared" si="32"/>
        <v>2.0625</v>
      </c>
      <c r="J322" s="3">
        <f t="shared" si="33"/>
        <v>0</v>
      </c>
      <c r="K322" s="3"/>
      <c r="L322" s="4">
        <f t="shared" si="37"/>
        <v>144.92916666666667</v>
      </c>
      <c r="M322" s="40">
        <v>0</v>
      </c>
      <c r="N322" s="40">
        <v>0</v>
      </c>
      <c r="O322" s="40">
        <v>0.2</v>
      </c>
      <c r="P322" s="40">
        <v>0</v>
      </c>
      <c r="Q322" s="40">
        <v>0</v>
      </c>
      <c r="R322" s="40">
        <v>0</v>
      </c>
      <c r="S322" s="2">
        <f t="shared" si="34"/>
        <v>116.50000000000007</v>
      </c>
      <c r="T322" s="2">
        <v>0</v>
      </c>
      <c r="U322" s="2">
        <v>0</v>
      </c>
      <c r="V322" s="2">
        <v>3</v>
      </c>
      <c r="W322" s="2">
        <v>0</v>
      </c>
      <c r="X322" s="2">
        <f t="shared" si="35"/>
        <v>89</v>
      </c>
      <c r="Z322" s="1">
        <v>35</v>
      </c>
      <c r="AA322" s="1">
        <v>68</v>
      </c>
      <c r="AB322" s="2">
        <f t="shared" si="36"/>
        <v>103</v>
      </c>
      <c r="AD322" s="121"/>
      <c r="AE322" s="121"/>
    </row>
    <row r="323" spans="1:31" x14ac:dyDescent="0.25">
      <c r="A323" s="2" t="s">
        <v>326</v>
      </c>
      <c r="B323" s="7">
        <v>0.39583333333333331</v>
      </c>
      <c r="C323" s="2">
        <v>1.5</v>
      </c>
      <c r="D323" s="10" t="s">
        <v>201</v>
      </c>
      <c r="E323" s="40">
        <v>17</v>
      </c>
      <c r="F323" s="40">
        <v>2.2000000000000002</v>
      </c>
      <c r="G323" s="40">
        <v>0</v>
      </c>
      <c r="H323" s="3">
        <f t="shared" si="31"/>
        <v>1.0625</v>
      </c>
      <c r="I323" s="3">
        <f t="shared" si="32"/>
        <v>0.13750000000000001</v>
      </c>
      <c r="J323" s="3">
        <f t="shared" si="33"/>
        <v>0</v>
      </c>
      <c r="K323" s="3"/>
      <c r="L323" s="4">
        <f t="shared" si="37"/>
        <v>143.72916666666669</v>
      </c>
      <c r="M323" s="40">
        <v>0</v>
      </c>
      <c r="N323" s="40">
        <v>0</v>
      </c>
      <c r="O323" s="40">
        <v>0</v>
      </c>
      <c r="P323" s="40">
        <v>0</v>
      </c>
      <c r="Q323" s="40">
        <v>0</v>
      </c>
      <c r="R323" s="40">
        <v>0</v>
      </c>
      <c r="S323" s="2">
        <f t="shared" ref="S323:S387" si="38">IF(C323="","",(S322+R323)-(M323+N323+O323+P323+Q323))</f>
        <v>116.50000000000007</v>
      </c>
      <c r="T323" s="2">
        <v>0</v>
      </c>
      <c r="U323" s="2">
        <v>0</v>
      </c>
      <c r="V323" s="2">
        <v>1</v>
      </c>
      <c r="W323" s="2">
        <v>0</v>
      </c>
      <c r="X323" s="2">
        <f t="shared" ref="X323:X335" si="39">IF(V323="","",((X322+T323+U323)-(V323+W323)))</f>
        <v>88</v>
      </c>
      <c r="Z323" s="1"/>
      <c r="AA323" s="1"/>
      <c r="AB323" s="2" t="str">
        <f t="shared" ref="AB323:AB335" si="40">IF(Z323="","",Z323+AA323)</f>
        <v/>
      </c>
      <c r="AD323" s="121">
        <v>12.8</v>
      </c>
      <c r="AE323" s="121" t="s">
        <v>1303</v>
      </c>
    </row>
    <row r="324" spans="1:31" x14ac:dyDescent="0.25">
      <c r="A324" s="2" t="s">
        <v>326</v>
      </c>
      <c r="B324" s="7">
        <v>0.54999999999999993</v>
      </c>
      <c r="C324" s="2">
        <v>3.7</v>
      </c>
      <c r="D324" s="10" t="s">
        <v>190</v>
      </c>
      <c r="E324" s="40">
        <v>0</v>
      </c>
      <c r="F324" s="40">
        <v>2.2000000000000002</v>
      </c>
      <c r="G324" s="40">
        <v>2</v>
      </c>
      <c r="H324" s="3">
        <f t="shared" si="31"/>
        <v>0</v>
      </c>
      <c r="I324" s="3">
        <f t="shared" si="32"/>
        <v>0.33916666666666673</v>
      </c>
      <c r="J324" s="3">
        <f t="shared" si="33"/>
        <v>0.30833333333333335</v>
      </c>
      <c r="K324" s="3"/>
      <c r="L324" s="4">
        <f t="shared" si="37"/>
        <v>143.08166666666668</v>
      </c>
      <c r="M324" s="40">
        <v>0</v>
      </c>
      <c r="N324" s="40">
        <v>0</v>
      </c>
      <c r="O324" s="40">
        <v>0</v>
      </c>
      <c r="P324" s="40">
        <v>0</v>
      </c>
      <c r="Q324" s="40">
        <v>0</v>
      </c>
      <c r="R324" s="40">
        <v>0</v>
      </c>
      <c r="S324" s="2">
        <f t="shared" si="38"/>
        <v>116.50000000000007</v>
      </c>
      <c r="T324" s="2">
        <v>0</v>
      </c>
      <c r="U324" s="2">
        <v>0</v>
      </c>
      <c r="V324" s="2">
        <v>2</v>
      </c>
      <c r="W324" s="2">
        <v>0</v>
      </c>
      <c r="X324" s="2">
        <f t="shared" si="39"/>
        <v>86</v>
      </c>
      <c r="Z324" s="1"/>
      <c r="AA324" s="1"/>
      <c r="AB324" s="2" t="str">
        <f t="shared" si="40"/>
        <v/>
      </c>
      <c r="AD324" s="121"/>
      <c r="AE324" s="121"/>
    </row>
    <row r="325" spans="1:31" x14ac:dyDescent="0.25">
      <c r="A325" s="2" t="s">
        <v>326</v>
      </c>
      <c r="B325" s="7">
        <v>0.59166666666666667</v>
      </c>
      <c r="C325" s="2">
        <v>1</v>
      </c>
      <c r="D325" s="10" t="s">
        <v>328</v>
      </c>
      <c r="E325" s="40">
        <v>10</v>
      </c>
      <c r="F325" s="40">
        <v>2.4</v>
      </c>
      <c r="G325" s="40">
        <v>2</v>
      </c>
      <c r="H325" s="3">
        <f t="shared" si="31"/>
        <v>0.41666666666666669</v>
      </c>
      <c r="I325" s="3">
        <f t="shared" si="32"/>
        <v>9.9999999999999992E-2</v>
      </c>
      <c r="J325" s="3">
        <f t="shared" si="33"/>
        <v>8.3333333333333329E-2</v>
      </c>
      <c r="K325" s="3"/>
      <c r="L325" s="4">
        <f t="shared" si="37"/>
        <v>142.48166666666668</v>
      </c>
      <c r="M325" s="40">
        <v>0</v>
      </c>
      <c r="N325" s="40">
        <v>0</v>
      </c>
      <c r="O325" s="40">
        <v>0</v>
      </c>
      <c r="P325" s="40">
        <v>0</v>
      </c>
      <c r="Q325" s="40">
        <v>0</v>
      </c>
      <c r="R325" s="40">
        <v>0</v>
      </c>
      <c r="S325" s="2">
        <f t="shared" si="38"/>
        <v>116.50000000000007</v>
      </c>
      <c r="T325" s="2">
        <v>0</v>
      </c>
      <c r="U325" s="2">
        <v>0</v>
      </c>
      <c r="V325" s="2">
        <v>1</v>
      </c>
      <c r="W325" s="2">
        <v>0</v>
      </c>
      <c r="X325" s="2">
        <f t="shared" si="39"/>
        <v>85</v>
      </c>
      <c r="Z325" s="1"/>
      <c r="AA325" s="1"/>
      <c r="AB325" s="2" t="str">
        <f t="shared" si="40"/>
        <v/>
      </c>
      <c r="AD325" s="121"/>
      <c r="AE325" s="121"/>
    </row>
    <row r="326" spans="1:31" x14ac:dyDescent="0.25">
      <c r="A326" s="2" t="s">
        <v>326</v>
      </c>
      <c r="B326" s="7">
        <v>0.67499999999999993</v>
      </c>
      <c r="C326" s="2">
        <v>2</v>
      </c>
      <c r="D326" s="10" t="s">
        <v>190</v>
      </c>
      <c r="E326" s="40">
        <v>0</v>
      </c>
      <c r="F326" s="40">
        <v>2.4</v>
      </c>
      <c r="G326" s="40">
        <v>2</v>
      </c>
      <c r="H326" s="3">
        <f t="shared" si="31"/>
        <v>0</v>
      </c>
      <c r="I326" s="3">
        <f t="shared" si="32"/>
        <v>0.19999999999999998</v>
      </c>
      <c r="J326" s="3">
        <f t="shared" si="33"/>
        <v>0.16666666666666666</v>
      </c>
      <c r="K326" s="3"/>
      <c r="L326" s="4">
        <f t="shared" si="37"/>
        <v>142.11500000000001</v>
      </c>
      <c r="M326" s="40">
        <v>0</v>
      </c>
      <c r="N326" s="40">
        <v>0</v>
      </c>
      <c r="O326" s="40">
        <v>0</v>
      </c>
      <c r="P326" s="40">
        <v>0</v>
      </c>
      <c r="Q326" s="40">
        <v>0</v>
      </c>
      <c r="R326" s="40">
        <v>0</v>
      </c>
      <c r="S326" s="2">
        <f t="shared" si="38"/>
        <v>116.50000000000007</v>
      </c>
      <c r="T326" s="2">
        <v>0</v>
      </c>
      <c r="U326" s="2">
        <v>0</v>
      </c>
      <c r="V326" s="2">
        <v>0</v>
      </c>
      <c r="W326" s="2">
        <v>0</v>
      </c>
      <c r="X326" s="2">
        <f t="shared" si="39"/>
        <v>85</v>
      </c>
      <c r="Z326" s="1"/>
      <c r="AA326" s="1"/>
      <c r="AB326" s="2" t="str">
        <f t="shared" si="40"/>
        <v/>
      </c>
      <c r="AD326" s="121"/>
      <c r="AE326" s="121"/>
    </row>
    <row r="327" spans="1:31" x14ac:dyDescent="0.25">
      <c r="A327" s="2" t="s">
        <v>326</v>
      </c>
      <c r="B327" s="7">
        <v>0.70416666666666661</v>
      </c>
      <c r="C327" s="2">
        <v>0.7</v>
      </c>
      <c r="D327" s="10" t="s">
        <v>308</v>
      </c>
      <c r="E327" s="40">
        <v>12</v>
      </c>
      <c r="F327" s="40">
        <v>2.4</v>
      </c>
      <c r="G327" s="40">
        <v>2</v>
      </c>
      <c r="H327" s="3">
        <f t="shared" si="31"/>
        <v>0.35</v>
      </c>
      <c r="I327" s="3">
        <f t="shared" si="32"/>
        <v>6.9999999999999993E-2</v>
      </c>
      <c r="J327" s="3">
        <f t="shared" si="33"/>
        <v>5.8333333333333327E-2</v>
      </c>
      <c r="K327" s="3"/>
      <c r="L327" s="4">
        <f t="shared" si="37"/>
        <v>141.63666666666668</v>
      </c>
      <c r="M327" s="40">
        <v>0</v>
      </c>
      <c r="N327" s="40">
        <v>0</v>
      </c>
      <c r="O327" s="40">
        <v>0</v>
      </c>
      <c r="P327" s="40">
        <v>0</v>
      </c>
      <c r="Q327" s="40">
        <v>0</v>
      </c>
      <c r="R327" s="40">
        <v>0</v>
      </c>
      <c r="S327" s="2">
        <f t="shared" si="38"/>
        <v>116.50000000000007</v>
      </c>
      <c r="T327" s="2">
        <v>0</v>
      </c>
      <c r="U327" s="2">
        <v>0</v>
      </c>
      <c r="V327" s="2">
        <v>0</v>
      </c>
      <c r="W327" s="2">
        <v>0</v>
      </c>
      <c r="X327" s="2">
        <f t="shared" si="39"/>
        <v>85</v>
      </c>
      <c r="Z327" s="1"/>
      <c r="AA327" s="1"/>
      <c r="AB327" s="2" t="str">
        <f t="shared" si="40"/>
        <v/>
      </c>
      <c r="AD327" s="121"/>
      <c r="AE327" s="121"/>
    </row>
    <row r="328" spans="1:31" x14ac:dyDescent="0.25">
      <c r="A328" s="2" t="s">
        <v>330</v>
      </c>
      <c r="B328" s="7">
        <v>0.33333333333333331</v>
      </c>
      <c r="C328" s="2">
        <v>15.1</v>
      </c>
      <c r="D328" s="10" t="s">
        <v>329</v>
      </c>
      <c r="E328" s="40">
        <v>0</v>
      </c>
      <c r="F328" s="40">
        <v>2.2000000000000002</v>
      </c>
      <c r="G328" s="40">
        <v>2</v>
      </c>
      <c r="H328" s="3">
        <f t="shared" si="31"/>
        <v>0</v>
      </c>
      <c r="I328" s="3">
        <f t="shared" si="32"/>
        <v>1.3841666666666668</v>
      </c>
      <c r="J328" s="3">
        <f t="shared" si="33"/>
        <v>1.2583333333333333</v>
      </c>
      <c r="K328" s="3"/>
      <c r="L328" s="4">
        <v>139.1</v>
      </c>
      <c r="M328" s="40">
        <v>0</v>
      </c>
      <c r="N328" s="40">
        <v>0</v>
      </c>
      <c r="O328" s="40">
        <v>0</v>
      </c>
      <c r="P328" s="40">
        <v>0</v>
      </c>
      <c r="Q328" s="40">
        <v>0</v>
      </c>
      <c r="R328" s="40">
        <v>0</v>
      </c>
      <c r="S328" s="2">
        <f t="shared" si="38"/>
        <v>116.50000000000007</v>
      </c>
      <c r="T328" s="2">
        <v>0</v>
      </c>
      <c r="U328" s="2">
        <v>0</v>
      </c>
      <c r="V328" s="2">
        <v>0</v>
      </c>
      <c r="W328" s="2">
        <v>0</v>
      </c>
      <c r="X328" s="2">
        <f t="shared" si="39"/>
        <v>85</v>
      </c>
      <c r="Z328" s="1">
        <v>35</v>
      </c>
      <c r="AA328" s="1">
        <v>62</v>
      </c>
      <c r="AB328" s="2">
        <f t="shared" si="40"/>
        <v>97</v>
      </c>
      <c r="AD328" s="121"/>
      <c r="AE328" s="121"/>
    </row>
    <row r="329" spans="1:31" x14ac:dyDescent="0.25">
      <c r="A329" s="2" t="s">
        <v>330</v>
      </c>
      <c r="B329" s="7">
        <v>0.625</v>
      </c>
      <c r="C329" s="2">
        <v>7</v>
      </c>
      <c r="D329" s="10" t="s">
        <v>190</v>
      </c>
      <c r="E329" s="40">
        <v>0</v>
      </c>
      <c r="F329" s="40">
        <v>2.2000000000000002</v>
      </c>
      <c r="G329" s="40">
        <v>2</v>
      </c>
      <c r="H329" s="3">
        <f t="shared" si="31"/>
        <v>0</v>
      </c>
      <c r="I329" s="3">
        <f t="shared" si="32"/>
        <v>0.64166666666666672</v>
      </c>
      <c r="J329" s="3">
        <f t="shared" si="33"/>
        <v>0.58333333333333326</v>
      </c>
      <c r="K329" s="3"/>
      <c r="L329" s="4">
        <f t="shared" si="37"/>
        <v>137.875</v>
      </c>
      <c r="M329" s="40">
        <v>0</v>
      </c>
      <c r="N329" s="40">
        <v>0</v>
      </c>
      <c r="O329" s="40">
        <v>0</v>
      </c>
      <c r="P329" s="40">
        <v>0</v>
      </c>
      <c r="Q329" s="40">
        <v>0</v>
      </c>
      <c r="R329" s="40">
        <v>0</v>
      </c>
      <c r="S329" s="2">
        <f t="shared" si="38"/>
        <v>116.50000000000007</v>
      </c>
      <c r="T329" s="2">
        <v>0</v>
      </c>
      <c r="U329" s="2">
        <v>0</v>
      </c>
      <c r="V329" s="2">
        <v>2</v>
      </c>
      <c r="W329" s="2">
        <v>0</v>
      </c>
      <c r="X329" s="2">
        <f t="shared" si="39"/>
        <v>83</v>
      </c>
      <c r="Z329" s="1"/>
      <c r="AA329" s="1"/>
      <c r="AB329" s="2" t="str">
        <f t="shared" si="40"/>
        <v/>
      </c>
      <c r="AD329" s="121"/>
      <c r="AE329" s="121"/>
    </row>
    <row r="330" spans="1:31" x14ac:dyDescent="0.25">
      <c r="A330" s="2" t="s">
        <v>330</v>
      </c>
      <c r="B330" s="7">
        <v>0.66666666666666663</v>
      </c>
      <c r="C330" s="2">
        <v>1</v>
      </c>
      <c r="D330" s="10" t="s">
        <v>322</v>
      </c>
      <c r="E330" s="40">
        <v>10</v>
      </c>
      <c r="F330" s="40">
        <v>2.4</v>
      </c>
      <c r="G330" s="40">
        <v>2</v>
      </c>
      <c r="H330" s="3">
        <f t="shared" si="31"/>
        <v>0.41666666666666669</v>
      </c>
      <c r="I330" s="3">
        <f t="shared" si="32"/>
        <v>9.9999999999999992E-2</v>
      </c>
      <c r="J330" s="3">
        <f t="shared" si="33"/>
        <v>8.3333333333333329E-2</v>
      </c>
      <c r="K330" s="3"/>
      <c r="L330" s="4">
        <f t="shared" si="37"/>
        <v>137.27500000000001</v>
      </c>
      <c r="M330" s="40">
        <v>0</v>
      </c>
      <c r="N330" s="40">
        <v>0</v>
      </c>
      <c r="O330" s="40">
        <v>0</v>
      </c>
      <c r="P330" s="40">
        <v>0</v>
      </c>
      <c r="Q330" s="40">
        <v>0</v>
      </c>
      <c r="R330" s="40">
        <v>0</v>
      </c>
      <c r="S330" s="2">
        <f t="shared" si="38"/>
        <v>116.50000000000007</v>
      </c>
      <c r="T330" s="2">
        <v>0</v>
      </c>
      <c r="U330" s="2">
        <v>0</v>
      </c>
      <c r="V330" s="2">
        <v>0</v>
      </c>
      <c r="W330" s="2">
        <v>0</v>
      </c>
      <c r="X330" s="2">
        <f t="shared" si="39"/>
        <v>83</v>
      </c>
      <c r="Z330" s="1"/>
      <c r="AA330" s="1"/>
      <c r="AB330" s="2" t="str">
        <f t="shared" si="40"/>
        <v/>
      </c>
      <c r="AD330" s="121"/>
      <c r="AE330" s="121"/>
    </row>
    <row r="331" spans="1:31" x14ac:dyDescent="0.25">
      <c r="A331" s="2" t="s">
        <v>333</v>
      </c>
      <c r="B331" s="7">
        <v>0.33333333333333331</v>
      </c>
      <c r="C331" s="2">
        <v>16</v>
      </c>
      <c r="D331" s="10" t="s">
        <v>196</v>
      </c>
      <c r="E331" s="40">
        <v>0</v>
      </c>
      <c r="F331" s="40">
        <v>2.4</v>
      </c>
      <c r="G331" s="40">
        <v>2</v>
      </c>
      <c r="H331" s="3">
        <f t="shared" si="31"/>
        <v>0</v>
      </c>
      <c r="I331" s="3">
        <f t="shared" si="32"/>
        <v>1.5999999999999999</v>
      </c>
      <c r="J331" s="3">
        <f t="shared" si="33"/>
        <v>1.3333333333333333</v>
      </c>
      <c r="K331" s="3"/>
      <c r="L331" s="4">
        <f t="shared" si="37"/>
        <v>134.34166666666667</v>
      </c>
      <c r="M331" s="40">
        <v>0</v>
      </c>
      <c r="N331" s="40">
        <v>0</v>
      </c>
      <c r="O331" s="40">
        <v>0</v>
      </c>
      <c r="P331" s="40">
        <v>0</v>
      </c>
      <c r="Q331" s="40">
        <v>3</v>
      </c>
      <c r="R331" s="40">
        <v>0</v>
      </c>
      <c r="S331" s="2">
        <f t="shared" si="38"/>
        <v>113.50000000000007</v>
      </c>
      <c r="T331" s="2">
        <v>0</v>
      </c>
      <c r="U331" s="2">
        <v>0</v>
      </c>
      <c r="V331" s="2">
        <v>2</v>
      </c>
      <c r="W331" s="2">
        <v>0</v>
      </c>
      <c r="X331" s="2">
        <f t="shared" si="39"/>
        <v>81</v>
      </c>
      <c r="Z331" s="1">
        <v>35</v>
      </c>
      <c r="AA331" s="1">
        <v>57</v>
      </c>
      <c r="AB331" s="2">
        <f t="shared" si="40"/>
        <v>92</v>
      </c>
      <c r="AD331" s="121"/>
      <c r="AE331" s="121"/>
    </row>
    <row r="332" spans="1:31" x14ac:dyDescent="0.25">
      <c r="A332" s="2" t="s">
        <v>333</v>
      </c>
      <c r="B332" s="7">
        <v>0.4375</v>
      </c>
      <c r="C332" s="2">
        <v>2.5</v>
      </c>
      <c r="D332" s="10" t="s">
        <v>190</v>
      </c>
      <c r="E332" s="40">
        <v>0</v>
      </c>
      <c r="F332" s="40">
        <v>2.4</v>
      </c>
      <c r="G332" s="40">
        <v>2</v>
      </c>
      <c r="H332" s="3">
        <f t="shared" si="31"/>
        <v>0</v>
      </c>
      <c r="I332" s="3">
        <f t="shared" si="32"/>
        <v>0.24999999999999997</v>
      </c>
      <c r="J332" s="3">
        <f t="shared" si="33"/>
        <v>0.20833333333333331</v>
      </c>
      <c r="K332" s="3"/>
      <c r="L332" s="4">
        <f t="shared" si="37"/>
        <v>133.88333333333333</v>
      </c>
      <c r="M332" s="40">
        <v>0</v>
      </c>
      <c r="N332" s="40">
        <v>0</v>
      </c>
      <c r="O332" s="40">
        <v>0</v>
      </c>
      <c r="P332" s="40">
        <v>0</v>
      </c>
      <c r="Q332" s="40">
        <v>1</v>
      </c>
      <c r="R332" s="40">
        <v>0</v>
      </c>
      <c r="S332" s="2">
        <f t="shared" si="38"/>
        <v>112.50000000000007</v>
      </c>
      <c r="T332" s="2">
        <v>0</v>
      </c>
      <c r="U332" s="2">
        <v>0</v>
      </c>
      <c r="V332" s="2">
        <v>1</v>
      </c>
      <c r="W332" s="2">
        <v>0</v>
      </c>
      <c r="X332" s="2">
        <f t="shared" si="39"/>
        <v>80</v>
      </c>
      <c r="Z332" s="1"/>
      <c r="AA332" s="1"/>
      <c r="AB332" s="2" t="str">
        <f t="shared" si="40"/>
        <v/>
      </c>
      <c r="AD332" s="121"/>
      <c r="AE332" s="121"/>
    </row>
    <row r="333" spans="1:31" x14ac:dyDescent="0.25">
      <c r="A333" s="2" t="s">
        <v>333</v>
      </c>
      <c r="B333" s="7">
        <v>0.47916666666666669</v>
      </c>
      <c r="C333" s="2">
        <v>1</v>
      </c>
      <c r="D333" s="10" t="s">
        <v>105</v>
      </c>
      <c r="E333" s="40">
        <v>12</v>
      </c>
      <c r="F333" s="40">
        <v>2.4</v>
      </c>
      <c r="G333" s="40">
        <v>2</v>
      </c>
      <c r="H333" s="3">
        <f t="shared" si="31"/>
        <v>0.5</v>
      </c>
      <c r="I333" s="3">
        <f t="shared" si="32"/>
        <v>9.9999999999999992E-2</v>
      </c>
      <c r="J333" s="3">
        <f t="shared" si="33"/>
        <v>8.3333333333333329E-2</v>
      </c>
      <c r="K333" s="3"/>
      <c r="L333" s="4">
        <f>+IF(C333="","",((L332-(H333+I333+J333))+K333))</f>
        <v>133.19999999999999</v>
      </c>
      <c r="M333" s="40">
        <v>0</v>
      </c>
      <c r="N333" s="40">
        <v>0</v>
      </c>
      <c r="O333" s="40">
        <v>0</v>
      </c>
      <c r="P333" s="40">
        <v>0</v>
      </c>
      <c r="Q333" s="40">
        <v>0</v>
      </c>
      <c r="R333" s="40">
        <v>0</v>
      </c>
      <c r="S333" s="2">
        <f t="shared" si="38"/>
        <v>112.50000000000007</v>
      </c>
      <c r="T333" s="2">
        <v>0</v>
      </c>
      <c r="U333" s="2">
        <v>0</v>
      </c>
      <c r="V333" s="2">
        <v>1</v>
      </c>
      <c r="W333" s="2">
        <v>0</v>
      </c>
      <c r="X333" s="2">
        <f t="shared" si="39"/>
        <v>79</v>
      </c>
      <c r="Z333" s="1"/>
      <c r="AA333" s="1"/>
      <c r="AB333" s="2" t="str">
        <f t="shared" si="40"/>
        <v/>
      </c>
      <c r="AD333" s="121"/>
      <c r="AE333" s="121"/>
    </row>
    <row r="334" spans="1:31" x14ac:dyDescent="0.25">
      <c r="A334" s="2" t="s">
        <v>334</v>
      </c>
      <c r="B334" s="7">
        <v>0.125</v>
      </c>
      <c r="C334" s="2">
        <v>15.5</v>
      </c>
      <c r="D334" s="10" t="s">
        <v>335</v>
      </c>
      <c r="E334" s="40">
        <v>18</v>
      </c>
      <c r="F334" s="40">
        <v>2.2000000000000002</v>
      </c>
      <c r="G334" s="40">
        <v>0</v>
      </c>
      <c r="H334" s="3">
        <f t="shared" si="31"/>
        <v>11.625</v>
      </c>
      <c r="I334" s="3">
        <f t="shared" si="32"/>
        <v>1.4208333333333334</v>
      </c>
      <c r="J334" s="3">
        <f t="shared" si="33"/>
        <v>0</v>
      </c>
      <c r="K334" s="3"/>
      <c r="L334" s="4">
        <f>+IF(C334="","",((L333-(H334+I334+J334))+K334))</f>
        <v>120.15416666666665</v>
      </c>
      <c r="M334" s="40">
        <v>0</v>
      </c>
      <c r="N334" s="40">
        <v>0.2</v>
      </c>
      <c r="O334" s="40">
        <v>0.2</v>
      </c>
      <c r="P334" s="40">
        <v>0</v>
      </c>
      <c r="Q334" s="40">
        <v>0</v>
      </c>
      <c r="R334" s="40">
        <v>0</v>
      </c>
      <c r="S334" s="2">
        <f t="shared" si="38"/>
        <v>112.10000000000007</v>
      </c>
      <c r="T334" s="2">
        <v>0</v>
      </c>
      <c r="U334" s="2">
        <v>0</v>
      </c>
      <c r="V334" s="2">
        <v>1</v>
      </c>
      <c r="W334" s="2">
        <v>0</v>
      </c>
      <c r="X334" s="2">
        <f t="shared" si="39"/>
        <v>78</v>
      </c>
      <c r="Z334" s="1"/>
      <c r="AA334" s="1"/>
      <c r="AB334" s="2" t="str">
        <f t="shared" si="40"/>
        <v/>
      </c>
      <c r="AD334" s="121">
        <v>12.6</v>
      </c>
      <c r="AE334" s="121" t="s">
        <v>1296</v>
      </c>
    </row>
    <row r="335" spans="1:31" x14ac:dyDescent="0.25">
      <c r="A335" s="2" t="s">
        <v>334</v>
      </c>
      <c r="B335" s="7">
        <v>0.33333333333333331</v>
      </c>
      <c r="C335" s="2">
        <v>5</v>
      </c>
      <c r="D335" s="10" t="s">
        <v>236</v>
      </c>
      <c r="E335" s="40">
        <v>0</v>
      </c>
      <c r="F335" s="40">
        <v>2.2000000000000002</v>
      </c>
      <c r="G335" s="40">
        <v>2</v>
      </c>
      <c r="H335" s="3">
        <f t="shared" ref="H335:H399" si="41">+IF(E335="","",(E335/24)*C335)</f>
        <v>0</v>
      </c>
      <c r="I335" s="3">
        <f t="shared" ref="I335:I399" si="42">+IF(F335="","",(F335/24)*C335)</f>
        <v>0.45833333333333337</v>
      </c>
      <c r="J335" s="3">
        <f t="shared" ref="J335:J399" si="43">+IF(G335="","",(G335/24)*C335)</f>
        <v>0.41666666666666663</v>
      </c>
      <c r="K335" s="3"/>
      <c r="L335" s="4">
        <v>119.2</v>
      </c>
      <c r="M335" s="40">
        <v>0</v>
      </c>
      <c r="N335" s="40">
        <v>0</v>
      </c>
      <c r="O335" s="40">
        <v>0</v>
      </c>
      <c r="P335" s="40">
        <v>0</v>
      </c>
      <c r="Q335" s="40">
        <v>0</v>
      </c>
      <c r="R335" s="40">
        <v>0</v>
      </c>
      <c r="S335" s="2">
        <f t="shared" si="38"/>
        <v>112.10000000000007</v>
      </c>
      <c r="T335" s="2">
        <v>0</v>
      </c>
      <c r="U335" s="2">
        <v>0</v>
      </c>
      <c r="V335" s="2">
        <v>1</v>
      </c>
      <c r="W335" s="2">
        <v>0</v>
      </c>
      <c r="X335" s="2">
        <f t="shared" si="39"/>
        <v>77</v>
      </c>
      <c r="Z335" s="1"/>
      <c r="AA335" s="1"/>
      <c r="AB335" s="2" t="str">
        <f t="shared" si="40"/>
        <v/>
      </c>
      <c r="AD335" s="121"/>
      <c r="AE335" s="121"/>
    </row>
    <row r="336" spans="1:31" x14ac:dyDescent="0.25">
      <c r="A336" s="2" t="s">
        <v>336</v>
      </c>
      <c r="B336" s="7">
        <v>0.33333333333333331</v>
      </c>
      <c r="C336" s="2">
        <v>24</v>
      </c>
      <c r="D336" s="10" t="s">
        <v>236</v>
      </c>
      <c r="E336" s="40">
        <v>0</v>
      </c>
      <c r="F336" s="40">
        <v>2.2000000000000002</v>
      </c>
      <c r="G336" s="40">
        <v>2</v>
      </c>
      <c r="H336" s="3">
        <f t="shared" si="41"/>
        <v>0</v>
      </c>
      <c r="I336" s="3">
        <f t="shared" si="42"/>
        <v>2.2000000000000002</v>
      </c>
      <c r="J336" s="3">
        <f t="shared" si="43"/>
        <v>2</v>
      </c>
      <c r="K336" s="3"/>
      <c r="L336" s="4">
        <f t="shared" ref="L336:L400" si="44">+IF(C336="","",((L335-(H336+I336+J336))+K336))</f>
        <v>115</v>
      </c>
      <c r="M336" s="40">
        <v>0</v>
      </c>
      <c r="N336" s="40">
        <v>0</v>
      </c>
      <c r="O336" s="40">
        <v>0</v>
      </c>
      <c r="P336" s="40">
        <v>0</v>
      </c>
      <c r="Q336" s="40">
        <v>0</v>
      </c>
      <c r="R336" s="40">
        <v>0</v>
      </c>
      <c r="S336" s="2">
        <f t="shared" si="38"/>
        <v>112.10000000000007</v>
      </c>
      <c r="T336" s="2">
        <v>0</v>
      </c>
      <c r="U336" s="2">
        <v>0</v>
      </c>
      <c r="V336" s="2">
        <v>4</v>
      </c>
      <c r="W336" s="2">
        <v>0</v>
      </c>
      <c r="X336" s="2">
        <f t="shared" ref="X336:X400" si="45">IF(V336="","",((X335+T336+U336)-(V336+W336)))</f>
        <v>73</v>
      </c>
      <c r="Z336" s="1"/>
      <c r="AA336" s="1"/>
      <c r="AB336" s="2" t="str">
        <f t="shared" ref="AB336:AB400" si="46">IF(Z336="","",Z336+AA336)</f>
        <v/>
      </c>
      <c r="AD336" s="121"/>
      <c r="AE336" s="121"/>
    </row>
    <row r="337" spans="1:31" x14ac:dyDescent="0.25">
      <c r="A337" s="2" t="s">
        <v>337</v>
      </c>
      <c r="B337" s="7">
        <v>0.33333333333333331</v>
      </c>
      <c r="C337" s="2">
        <v>24</v>
      </c>
      <c r="D337" s="10" t="s">
        <v>236</v>
      </c>
      <c r="E337" s="40">
        <v>0</v>
      </c>
      <c r="F337" s="40">
        <v>2.2000000000000002</v>
      </c>
      <c r="G337" s="40">
        <v>2</v>
      </c>
      <c r="H337" s="3">
        <f t="shared" si="41"/>
        <v>0</v>
      </c>
      <c r="I337" s="3">
        <f t="shared" si="42"/>
        <v>2.2000000000000002</v>
      </c>
      <c r="J337" s="3">
        <f t="shared" si="43"/>
        <v>2</v>
      </c>
      <c r="K337" s="3"/>
      <c r="L337" s="4">
        <f t="shared" si="44"/>
        <v>110.8</v>
      </c>
      <c r="M337" s="40">
        <v>0</v>
      </c>
      <c r="N337" s="40">
        <v>0</v>
      </c>
      <c r="O337" s="40">
        <v>0.2</v>
      </c>
      <c r="P337" s="40">
        <v>0</v>
      </c>
      <c r="Q337" s="40">
        <v>0</v>
      </c>
      <c r="R337" s="40">
        <v>0</v>
      </c>
      <c r="S337" s="2">
        <f t="shared" si="38"/>
        <v>111.90000000000006</v>
      </c>
      <c r="T337" s="2">
        <v>0</v>
      </c>
      <c r="U337" s="2">
        <v>150</v>
      </c>
      <c r="V337" s="2">
        <v>4</v>
      </c>
      <c r="W337" s="2">
        <v>0</v>
      </c>
      <c r="X337" s="2">
        <f t="shared" si="45"/>
        <v>219</v>
      </c>
      <c r="Z337" s="1"/>
      <c r="AA337" s="1"/>
      <c r="AB337" s="2" t="str">
        <f t="shared" si="46"/>
        <v/>
      </c>
      <c r="AD337" s="121"/>
      <c r="AE337" s="121"/>
    </row>
    <row r="338" spans="1:31" x14ac:dyDescent="0.25">
      <c r="A338" s="2" t="s">
        <v>338</v>
      </c>
      <c r="B338" s="7">
        <v>0.33333333333333331</v>
      </c>
      <c r="C338" s="2">
        <v>24</v>
      </c>
      <c r="D338" s="10" t="s">
        <v>236</v>
      </c>
      <c r="E338" s="40">
        <v>0</v>
      </c>
      <c r="F338" s="40">
        <v>2.2000000000000002</v>
      </c>
      <c r="G338" s="40">
        <v>2</v>
      </c>
      <c r="H338" s="3">
        <f t="shared" si="41"/>
        <v>0</v>
      </c>
      <c r="I338" s="3">
        <f t="shared" si="42"/>
        <v>2.2000000000000002</v>
      </c>
      <c r="J338" s="3">
        <f t="shared" si="43"/>
        <v>2</v>
      </c>
      <c r="K338" s="3"/>
      <c r="L338" s="4">
        <f t="shared" si="44"/>
        <v>106.6</v>
      </c>
      <c r="M338" s="40">
        <v>0</v>
      </c>
      <c r="N338" s="40">
        <v>0</v>
      </c>
      <c r="O338" s="40">
        <v>0.2</v>
      </c>
      <c r="P338" s="40">
        <v>0</v>
      </c>
      <c r="Q338" s="40">
        <v>0</v>
      </c>
      <c r="R338" s="40">
        <v>0</v>
      </c>
      <c r="S338" s="2">
        <f t="shared" si="38"/>
        <v>111.70000000000006</v>
      </c>
      <c r="T338" s="2">
        <v>0</v>
      </c>
      <c r="U338" s="2">
        <v>0</v>
      </c>
      <c r="V338" s="2">
        <v>4</v>
      </c>
      <c r="W338" s="2">
        <v>0</v>
      </c>
      <c r="X338" s="2">
        <f t="shared" si="45"/>
        <v>215</v>
      </c>
      <c r="Z338" s="1"/>
      <c r="AA338" s="1"/>
      <c r="AB338" s="2" t="str">
        <f t="shared" si="46"/>
        <v/>
      </c>
      <c r="AD338" s="121"/>
      <c r="AE338" s="121"/>
    </row>
    <row r="339" spans="1:31" x14ac:dyDescent="0.25">
      <c r="A339" s="2" t="s">
        <v>339</v>
      </c>
      <c r="B339" s="7">
        <v>0.33333333333333331</v>
      </c>
      <c r="C339" s="2">
        <v>24</v>
      </c>
      <c r="D339" s="10" t="s">
        <v>236</v>
      </c>
      <c r="E339" s="40">
        <v>0</v>
      </c>
      <c r="F339" s="40">
        <v>2.2000000000000002</v>
      </c>
      <c r="G339" s="40">
        <v>2</v>
      </c>
      <c r="H339" s="3">
        <f t="shared" si="41"/>
        <v>0</v>
      </c>
      <c r="I339" s="3">
        <f t="shared" si="42"/>
        <v>2.2000000000000002</v>
      </c>
      <c r="J339" s="3">
        <f t="shared" si="43"/>
        <v>2</v>
      </c>
      <c r="K339" s="3"/>
      <c r="L339" s="4">
        <f t="shared" si="44"/>
        <v>102.39999999999999</v>
      </c>
      <c r="M339" s="40">
        <v>0</v>
      </c>
      <c r="N339" s="40">
        <v>0</v>
      </c>
      <c r="O339" s="40">
        <v>0.2</v>
      </c>
      <c r="P339" s="40">
        <v>0</v>
      </c>
      <c r="Q339" s="40">
        <v>0</v>
      </c>
      <c r="R339" s="40">
        <v>0</v>
      </c>
      <c r="S339" s="2">
        <f t="shared" si="38"/>
        <v>111.50000000000006</v>
      </c>
      <c r="T339" s="2">
        <v>0</v>
      </c>
      <c r="U339" s="2">
        <v>0</v>
      </c>
      <c r="V339" s="2">
        <v>4</v>
      </c>
      <c r="W339" s="2">
        <v>0</v>
      </c>
      <c r="X339" s="2">
        <f t="shared" si="45"/>
        <v>211</v>
      </c>
      <c r="Z339" s="1">
        <v>125</v>
      </c>
      <c r="AA339" s="1">
        <v>103</v>
      </c>
      <c r="AB339" s="2">
        <f t="shared" si="46"/>
        <v>228</v>
      </c>
      <c r="AD339" s="121"/>
      <c r="AE339" s="121"/>
    </row>
    <row r="340" spans="1:31" x14ac:dyDescent="0.25">
      <c r="A340" s="2" t="s">
        <v>340</v>
      </c>
      <c r="B340" s="7">
        <v>0.33333333333333331</v>
      </c>
      <c r="C340" s="2">
        <v>24</v>
      </c>
      <c r="D340" s="10" t="s">
        <v>342</v>
      </c>
      <c r="E340" s="40">
        <v>0</v>
      </c>
      <c r="F340" s="40">
        <v>1.2</v>
      </c>
      <c r="G340" s="40">
        <v>1</v>
      </c>
      <c r="H340" s="3">
        <f t="shared" si="41"/>
        <v>0</v>
      </c>
      <c r="I340" s="3">
        <f t="shared" si="42"/>
        <v>1.2</v>
      </c>
      <c r="J340" s="3">
        <f t="shared" si="43"/>
        <v>1</v>
      </c>
      <c r="K340" s="3"/>
      <c r="L340" s="4">
        <f t="shared" si="44"/>
        <v>100.19999999999999</v>
      </c>
      <c r="M340" s="40">
        <v>0</v>
      </c>
      <c r="N340" s="40">
        <v>0</v>
      </c>
      <c r="O340" s="40">
        <v>0.2</v>
      </c>
      <c r="P340" s="40">
        <v>0</v>
      </c>
      <c r="Q340" s="40">
        <v>0</v>
      </c>
      <c r="R340" s="40">
        <v>0</v>
      </c>
      <c r="S340" s="2">
        <f t="shared" si="38"/>
        <v>111.30000000000005</v>
      </c>
      <c r="T340" s="2">
        <v>0</v>
      </c>
      <c r="U340" s="2">
        <v>0</v>
      </c>
      <c r="V340" s="2">
        <v>3</v>
      </c>
      <c r="W340" s="2">
        <v>0</v>
      </c>
      <c r="X340" s="2">
        <f t="shared" si="45"/>
        <v>208</v>
      </c>
      <c r="Z340" s="1"/>
      <c r="AA340" s="1"/>
      <c r="AB340" s="2" t="str">
        <f t="shared" si="46"/>
        <v/>
      </c>
      <c r="AD340" s="121"/>
      <c r="AE340" s="121"/>
    </row>
    <row r="341" spans="1:31" x14ac:dyDescent="0.25">
      <c r="A341" s="2" t="s">
        <v>341</v>
      </c>
      <c r="B341" s="7">
        <v>0.33333333333333331</v>
      </c>
      <c r="C341" s="2">
        <v>24</v>
      </c>
      <c r="D341" s="10" t="s">
        <v>236</v>
      </c>
      <c r="E341" s="40">
        <v>0</v>
      </c>
      <c r="F341" s="40">
        <v>1.5</v>
      </c>
      <c r="G341" s="40">
        <v>1</v>
      </c>
      <c r="H341" s="3">
        <f t="shared" si="41"/>
        <v>0</v>
      </c>
      <c r="I341" s="3">
        <f t="shared" si="42"/>
        <v>1.5</v>
      </c>
      <c r="J341" s="3">
        <f t="shared" si="43"/>
        <v>1</v>
      </c>
      <c r="K341" s="3"/>
      <c r="L341" s="4">
        <f t="shared" si="44"/>
        <v>97.699999999999989</v>
      </c>
      <c r="M341" s="40">
        <v>0</v>
      </c>
      <c r="N341" s="40">
        <v>0</v>
      </c>
      <c r="O341" s="40">
        <v>0.2</v>
      </c>
      <c r="P341" s="40">
        <v>0</v>
      </c>
      <c r="Q341" s="40">
        <v>0</v>
      </c>
      <c r="R341" s="40">
        <v>0</v>
      </c>
      <c r="S341" s="2">
        <f t="shared" si="38"/>
        <v>111.10000000000005</v>
      </c>
      <c r="T341" s="2">
        <v>0</v>
      </c>
      <c r="U341" s="2">
        <v>0</v>
      </c>
      <c r="V341" s="2">
        <v>3</v>
      </c>
      <c r="W341" s="2">
        <v>0</v>
      </c>
      <c r="X341" s="2">
        <f t="shared" si="45"/>
        <v>205</v>
      </c>
      <c r="Z341" s="1">
        <v>125</v>
      </c>
      <c r="AA341" s="1">
        <v>100</v>
      </c>
      <c r="AB341" s="2">
        <f t="shared" si="46"/>
        <v>225</v>
      </c>
      <c r="AD341" s="121"/>
      <c r="AE341" s="121"/>
    </row>
    <row r="342" spans="1:31" x14ac:dyDescent="0.25">
      <c r="A342" s="2" t="s">
        <v>343</v>
      </c>
      <c r="B342" s="7">
        <v>0.33333333333333331</v>
      </c>
      <c r="C342" s="2">
        <v>24</v>
      </c>
      <c r="D342" s="10" t="s">
        <v>236</v>
      </c>
      <c r="E342" s="40">
        <v>0</v>
      </c>
      <c r="F342" s="40">
        <v>1.5</v>
      </c>
      <c r="G342" s="40">
        <v>1</v>
      </c>
      <c r="H342" s="3">
        <f t="shared" si="41"/>
        <v>0</v>
      </c>
      <c r="I342" s="3">
        <f t="shared" si="42"/>
        <v>1.5</v>
      </c>
      <c r="J342" s="3">
        <f t="shared" si="43"/>
        <v>1</v>
      </c>
      <c r="K342" s="3"/>
      <c r="L342" s="4">
        <f t="shared" si="44"/>
        <v>95.199999999999989</v>
      </c>
      <c r="M342" s="40">
        <v>0</v>
      </c>
      <c r="N342" s="40">
        <v>0</v>
      </c>
      <c r="O342" s="40">
        <v>0.2</v>
      </c>
      <c r="P342" s="40">
        <v>0</v>
      </c>
      <c r="Q342" s="40">
        <v>0</v>
      </c>
      <c r="R342" s="40">
        <v>0</v>
      </c>
      <c r="S342" s="2">
        <f t="shared" si="38"/>
        <v>110.90000000000005</v>
      </c>
      <c r="T342" s="2">
        <v>0</v>
      </c>
      <c r="U342" s="2">
        <v>0</v>
      </c>
      <c r="V342" s="2">
        <v>3</v>
      </c>
      <c r="W342" s="2">
        <v>0</v>
      </c>
      <c r="X342" s="2">
        <f t="shared" si="45"/>
        <v>202</v>
      </c>
      <c r="Z342" s="1">
        <v>125</v>
      </c>
      <c r="AA342" s="1">
        <v>98</v>
      </c>
      <c r="AB342" s="2">
        <f t="shared" si="46"/>
        <v>223</v>
      </c>
      <c r="AD342" s="121"/>
      <c r="AE342" s="121"/>
    </row>
    <row r="343" spans="1:31" x14ac:dyDescent="0.25">
      <c r="A343" s="2" t="s">
        <v>344</v>
      </c>
      <c r="B343" s="7">
        <v>0.1875</v>
      </c>
      <c r="C343" s="2">
        <v>20</v>
      </c>
      <c r="D343" s="10" t="s">
        <v>190</v>
      </c>
      <c r="E343" s="40">
        <v>0</v>
      </c>
      <c r="F343" s="40">
        <v>1.5</v>
      </c>
      <c r="G343" s="40">
        <v>1</v>
      </c>
      <c r="H343" s="3">
        <f t="shared" si="41"/>
        <v>0</v>
      </c>
      <c r="I343" s="3">
        <f t="shared" si="42"/>
        <v>1.25</v>
      </c>
      <c r="J343" s="3">
        <f t="shared" si="43"/>
        <v>0.83333333333333326</v>
      </c>
      <c r="K343" s="3"/>
      <c r="L343" s="4">
        <f t="shared" si="44"/>
        <v>93.11666666666666</v>
      </c>
      <c r="M343" s="40">
        <v>0</v>
      </c>
      <c r="N343" s="40">
        <v>0</v>
      </c>
      <c r="O343" s="40">
        <v>0.2</v>
      </c>
      <c r="P343" s="40">
        <v>0</v>
      </c>
      <c r="Q343" s="40">
        <v>0</v>
      </c>
      <c r="R343" s="40">
        <v>0</v>
      </c>
      <c r="S343" s="2">
        <f t="shared" si="38"/>
        <v>110.70000000000005</v>
      </c>
      <c r="T343" s="2">
        <v>0</v>
      </c>
      <c r="U343" s="2">
        <v>0</v>
      </c>
      <c r="V343" s="2">
        <v>13</v>
      </c>
      <c r="W343" s="2">
        <v>0</v>
      </c>
      <c r="X343" s="2">
        <f t="shared" si="45"/>
        <v>189</v>
      </c>
      <c r="Z343" s="1">
        <v>125</v>
      </c>
      <c r="AA343" s="1">
        <v>84</v>
      </c>
      <c r="AB343" s="2">
        <f t="shared" si="46"/>
        <v>209</v>
      </c>
      <c r="AD343" s="121"/>
      <c r="AE343" s="121"/>
    </row>
    <row r="344" spans="1:31" x14ac:dyDescent="0.25">
      <c r="A344" s="2" t="s">
        <v>344</v>
      </c>
      <c r="B344" s="7">
        <v>0.29166666666666669</v>
      </c>
      <c r="C344" s="2">
        <v>2.5</v>
      </c>
      <c r="D344" s="10" t="s">
        <v>311</v>
      </c>
      <c r="E344" s="40">
        <v>4.5</v>
      </c>
      <c r="F344" s="40">
        <v>2.2000000000000002</v>
      </c>
      <c r="G344" s="40">
        <v>1</v>
      </c>
      <c r="H344" s="3">
        <f t="shared" si="41"/>
        <v>0.46875</v>
      </c>
      <c r="I344" s="3">
        <f t="shared" si="42"/>
        <v>0.22916666666666669</v>
      </c>
      <c r="J344" s="3">
        <f t="shared" si="43"/>
        <v>0.10416666666666666</v>
      </c>
      <c r="K344" s="3"/>
      <c r="L344" s="4">
        <f t="shared" si="44"/>
        <v>92.314583333333331</v>
      </c>
      <c r="M344" s="40">
        <v>0</v>
      </c>
      <c r="N344" s="40">
        <v>0</v>
      </c>
      <c r="O344" s="40">
        <v>0</v>
      </c>
      <c r="P344" s="40">
        <v>0</v>
      </c>
      <c r="Q344" s="40">
        <v>0</v>
      </c>
      <c r="R344" s="40">
        <v>0</v>
      </c>
      <c r="S344" s="2">
        <f t="shared" si="38"/>
        <v>110.70000000000005</v>
      </c>
      <c r="T344" s="2">
        <v>0</v>
      </c>
      <c r="U344" s="2">
        <v>0</v>
      </c>
      <c r="V344" s="2">
        <v>0</v>
      </c>
      <c r="W344" s="2">
        <v>0</v>
      </c>
      <c r="X344" s="2">
        <f t="shared" si="45"/>
        <v>189</v>
      </c>
      <c r="Z344" s="1">
        <v>125</v>
      </c>
      <c r="AA344" s="1">
        <v>84</v>
      </c>
      <c r="AB344" s="2">
        <f t="shared" si="46"/>
        <v>209</v>
      </c>
      <c r="AD344" s="121"/>
      <c r="AE344" s="121"/>
    </row>
    <row r="345" spans="1:31" x14ac:dyDescent="0.25">
      <c r="A345" s="2" t="s">
        <v>344</v>
      </c>
      <c r="B345" s="7">
        <v>0.33333333333333331</v>
      </c>
      <c r="C345" s="2">
        <v>1</v>
      </c>
      <c r="D345" s="10" t="s">
        <v>179</v>
      </c>
      <c r="E345" s="40">
        <v>0</v>
      </c>
      <c r="F345" s="40">
        <v>2.2000000000000002</v>
      </c>
      <c r="G345" s="40">
        <v>2</v>
      </c>
      <c r="H345" s="3">
        <f t="shared" si="41"/>
        <v>0</v>
      </c>
      <c r="I345" s="3">
        <f t="shared" si="42"/>
        <v>9.1666666666666674E-2</v>
      </c>
      <c r="J345" s="3">
        <f t="shared" si="43"/>
        <v>8.3333333333333329E-2</v>
      </c>
      <c r="K345" s="3"/>
      <c r="L345" s="4">
        <f t="shared" si="44"/>
        <v>92.139583333333334</v>
      </c>
      <c r="M345" s="40">
        <v>0</v>
      </c>
      <c r="N345" s="40">
        <v>0</v>
      </c>
      <c r="O345" s="40">
        <v>0</v>
      </c>
      <c r="P345" s="40">
        <v>0</v>
      </c>
      <c r="Q345" s="40">
        <v>0</v>
      </c>
      <c r="R345" s="40">
        <v>0</v>
      </c>
      <c r="S345" s="2">
        <f t="shared" si="38"/>
        <v>110.70000000000005</v>
      </c>
      <c r="T345" s="2">
        <v>0</v>
      </c>
      <c r="U345" s="2">
        <v>0</v>
      </c>
      <c r="V345" s="2">
        <v>0</v>
      </c>
      <c r="W345" s="2">
        <v>0</v>
      </c>
      <c r="X345" s="2">
        <f t="shared" si="45"/>
        <v>189</v>
      </c>
      <c r="Z345" s="1">
        <v>125</v>
      </c>
      <c r="AA345" s="1">
        <v>84</v>
      </c>
      <c r="AB345" s="2">
        <f t="shared" si="46"/>
        <v>209</v>
      </c>
      <c r="AD345" s="121"/>
      <c r="AE345" s="121"/>
    </row>
    <row r="346" spans="1:31" x14ac:dyDescent="0.25">
      <c r="A346" s="2" t="s">
        <v>345</v>
      </c>
      <c r="B346" s="7">
        <v>0.33333333333333331</v>
      </c>
      <c r="C346" s="2">
        <v>24</v>
      </c>
      <c r="D346" s="10" t="s">
        <v>179</v>
      </c>
      <c r="E346" s="40">
        <v>0</v>
      </c>
      <c r="F346" s="40">
        <v>1.5</v>
      </c>
      <c r="G346" s="40">
        <v>1</v>
      </c>
      <c r="H346" s="3">
        <f t="shared" si="41"/>
        <v>0</v>
      </c>
      <c r="I346" s="3">
        <f t="shared" si="42"/>
        <v>1.5</v>
      </c>
      <c r="J346" s="3">
        <f t="shared" si="43"/>
        <v>1</v>
      </c>
      <c r="K346" s="3"/>
      <c r="L346" s="4">
        <f t="shared" si="44"/>
        <v>89.639583333333334</v>
      </c>
      <c r="M346" s="40">
        <v>0</v>
      </c>
      <c r="N346" s="40">
        <v>0</v>
      </c>
      <c r="O346" s="40">
        <v>0.2</v>
      </c>
      <c r="P346" s="40">
        <v>0</v>
      </c>
      <c r="Q346" s="40">
        <v>0</v>
      </c>
      <c r="R346" s="40">
        <v>0</v>
      </c>
      <c r="S346" s="2">
        <f t="shared" si="38"/>
        <v>110.50000000000004</v>
      </c>
      <c r="T346" s="2">
        <v>0</v>
      </c>
      <c r="U346" s="2">
        <v>0</v>
      </c>
      <c r="V346" s="2">
        <v>4</v>
      </c>
      <c r="W346" s="2">
        <v>0</v>
      </c>
      <c r="X346" s="2">
        <f t="shared" si="45"/>
        <v>185</v>
      </c>
      <c r="Z346" s="1">
        <v>125</v>
      </c>
      <c r="AA346" s="1">
        <v>81</v>
      </c>
      <c r="AB346" s="2">
        <f t="shared" si="46"/>
        <v>206</v>
      </c>
      <c r="AD346" s="121"/>
      <c r="AE346" s="121"/>
    </row>
    <row r="347" spans="1:31" x14ac:dyDescent="0.25">
      <c r="A347" s="2" t="s">
        <v>346</v>
      </c>
      <c r="B347" s="7">
        <v>0.33333333333333331</v>
      </c>
      <c r="C347" s="2">
        <v>24</v>
      </c>
      <c r="D347" s="10" t="s">
        <v>179</v>
      </c>
      <c r="E347" s="40">
        <v>0</v>
      </c>
      <c r="F347" s="40">
        <v>2.2000000000000002</v>
      </c>
      <c r="G347" s="40">
        <v>2</v>
      </c>
      <c r="H347" s="3">
        <f t="shared" si="41"/>
        <v>0</v>
      </c>
      <c r="I347" s="3">
        <f t="shared" si="42"/>
        <v>2.2000000000000002</v>
      </c>
      <c r="J347" s="3">
        <f t="shared" si="43"/>
        <v>2</v>
      </c>
      <c r="K347" s="3"/>
      <c r="L347" s="4">
        <f t="shared" si="44"/>
        <v>85.439583333333331</v>
      </c>
      <c r="M347" s="40">
        <v>0</v>
      </c>
      <c r="N347" s="40">
        <v>0</v>
      </c>
      <c r="O347" s="40">
        <v>0.2</v>
      </c>
      <c r="P347" s="40">
        <v>0</v>
      </c>
      <c r="Q347" s="40">
        <v>0</v>
      </c>
      <c r="R347" s="40">
        <v>0</v>
      </c>
      <c r="S347" s="2">
        <f t="shared" si="38"/>
        <v>110.30000000000004</v>
      </c>
      <c r="T347" s="2">
        <v>0</v>
      </c>
      <c r="U347" s="2">
        <v>0</v>
      </c>
      <c r="V347" s="2">
        <v>4</v>
      </c>
      <c r="W347" s="2">
        <v>0</v>
      </c>
      <c r="X347" s="2">
        <f t="shared" si="45"/>
        <v>181</v>
      </c>
      <c r="Z347" s="1">
        <v>125</v>
      </c>
      <c r="AA347" s="1">
        <v>77</v>
      </c>
      <c r="AB347" s="2">
        <f t="shared" si="46"/>
        <v>202</v>
      </c>
      <c r="AD347" s="121"/>
      <c r="AE347" s="121"/>
    </row>
    <row r="348" spans="1:31" x14ac:dyDescent="0.25">
      <c r="A348" s="2" t="s">
        <v>347</v>
      </c>
      <c r="B348" s="7">
        <v>0.33333333333333331</v>
      </c>
      <c r="C348" s="2">
        <v>24</v>
      </c>
      <c r="D348" s="10" t="s">
        <v>179</v>
      </c>
      <c r="E348" s="40">
        <v>0</v>
      </c>
      <c r="F348" s="40">
        <v>0.4</v>
      </c>
      <c r="G348" s="40">
        <v>0.3</v>
      </c>
      <c r="H348" s="3">
        <f t="shared" si="41"/>
        <v>0</v>
      </c>
      <c r="I348" s="3">
        <f t="shared" si="42"/>
        <v>0.4</v>
      </c>
      <c r="J348" s="3">
        <f t="shared" si="43"/>
        <v>0.3</v>
      </c>
      <c r="K348" s="3"/>
      <c r="L348" s="4">
        <f t="shared" si="44"/>
        <v>84.739583333333329</v>
      </c>
      <c r="M348" s="40">
        <v>0.2</v>
      </c>
      <c r="N348" s="40">
        <v>2</v>
      </c>
      <c r="O348" s="40">
        <v>1.8</v>
      </c>
      <c r="P348" s="40">
        <v>0</v>
      </c>
      <c r="Q348" s="40">
        <v>0</v>
      </c>
      <c r="R348" s="40">
        <v>0</v>
      </c>
      <c r="S348" s="2">
        <f t="shared" si="38"/>
        <v>106.30000000000004</v>
      </c>
      <c r="T348" s="2">
        <v>0</v>
      </c>
      <c r="U348" s="2">
        <v>0</v>
      </c>
      <c r="V348" s="2">
        <v>4</v>
      </c>
      <c r="W348" s="2">
        <v>0</v>
      </c>
      <c r="X348" s="2">
        <f t="shared" si="45"/>
        <v>177</v>
      </c>
      <c r="Z348" s="1">
        <v>125</v>
      </c>
      <c r="AA348" s="1">
        <v>73</v>
      </c>
      <c r="AB348" s="2">
        <f t="shared" si="46"/>
        <v>198</v>
      </c>
      <c r="AD348" s="121"/>
      <c r="AE348" s="121"/>
    </row>
    <row r="349" spans="1:31" x14ac:dyDescent="0.25">
      <c r="A349" s="2" t="s">
        <v>348</v>
      </c>
      <c r="B349" s="7">
        <v>0.33333333333333331</v>
      </c>
      <c r="C349" s="2">
        <v>24</v>
      </c>
      <c r="D349" s="10" t="s">
        <v>179</v>
      </c>
      <c r="E349" s="40">
        <v>0</v>
      </c>
      <c r="F349" s="40">
        <v>2.2000000000000002</v>
      </c>
      <c r="G349" s="40">
        <v>2</v>
      </c>
      <c r="H349" s="3">
        <f t="shared" si="41"/>
        <v>0</v>
      </c>
      <c r="I349" s="3">
        <f t="shared" si="42"/>
        <v>2.2000000000000002</v>
      </c>
      <c r="J349" s="3">
        <f t="shared" si="43"/>
        <v>2</v>
      </c>
      <c r="K349" s="3"/>
      <c r="L349" s="4">
        <f t="shared" si="44"/>
        <v>80.539583333333326</v>
      </c>
      <c r="M349" s="40">
        <v>0</v>
      </c>
      <c r="N349" s="40">
        <v>0</v>
      </c>
      <c r="O349" s="40">
        <v>0.2</v>
      </c>
      <c r="P349" s="40">
        <v>0</v>
      </c>
      <c r="Q349" s="40">
        <v>0</v>
      </c>
      <c r="R349" s="40">
        <v>0</v>
      </c>
      <c r="S349" s="2">
        <f t="shared" si="38"/>
        <v>106.10000000000004</v>
      </c>
      <c r="T349" s="2">
        <v>0</v>
      </c>
      <c r="U349" s="2">
        <v>0</v>
      </c>
      <c r="V349" s="2">
        <v>4</v>
      </c>
      <c r="W349" s="2">
        <v>0</v>
      </c>
      <c r="X349" s="2">
        <f t="shared" si="45"/>
        <v>173</v>
      </c>
      <c r="Z349" s="1">
        <v>125</v>
      </c>
      <c r="AA349" s="1">
        <v>68</v>
      </c>
      <c r="AB349" s="2">
        <f t="shared" si="46"/>
        <v>193</v>
      </c>
      <c r="AD349" s="121"/>
      <c r="AE349" s="121"/>
    </row>
    <row r="350" spans="1:31" x14ac:dyDescent="0.25">
      <c r="A350" s="2" t="s">
        <v>349</v>
      </c>
      <c r="B350" s="7">
        <v>0.33333333333333331</v>
      </c>
      <c r="C350" s="2">
        <v>24</v>
      </c>
      <c r="D350" s="10" t="s">
        <v>350</v>
      </c>
      <c r="E350" s="40">
        <v>0</v>
      </c>
      <c r="F350" s="40">
        <v>2.5</v>
      </c>
      <c r="G350" s="40">
        <v>2</v>
      </c>
      <c r="H350" s="3">
        <f t="shared" si="41"/>
        <v>0</v>
      </c>
      <c r="I350" s="3">
        <f t="shared" si="42"/>
        <v>2.5</v>
      </c>
      <c r="J350" s="3">
        <f t="shared" si="43"/>
        <v>2</v>
      </c>
      <c r="K350" s="3"/>
      <c r="L350" s="4">
        <f t="shared" si="44"/>
        <v>76.039583333333326</v>
      </c>
      <c r="M350" s="40">
        <v>0</v>
      </c>
      <c r="N350" s="40">
        <v>0</v>
      </c>
      <c r="O350" s="40">
        <v>0.4</v>
      </c>
      <c r="P350" s="40">
        <v>0</v>
      </c>
      <c r="Q350" s="40">
        <v>2</v>
      </c>
      <c r="R350" s="40">
        <v>0</v>
      </c>
      <c r="S350" s="2">
        <f t="shared" si="38"/>
        <v>103.70000000000003</v>
      </c>
      <c r="T350" s="2">
        <v>0</v>
      </c>
      <c r="U350" s="2">
        <v>0</v>
      </c>
      <c r="V350" s="2">
        <v>4</v>
      </c>
      <c r="W350" s="2">
        <v>0</v>
      </c>
      <c r="X350" s="2">
        <f t="shared" si="45"/>
        <v>169</v>
      </c>
      <c r="Z350" s="1">
        <v>125</v>
      </c>
      <c r="AA350" s="1">
        <v>64</v>
      </c>
      <c r="AB350" s="2">
        <f t="shared" si="46"/>
        <v>189</v>
      </c>
      <c r="AD350" s="121"/>
      <c r="AE350" s="121"/>
    </row>
    <row r="351" spans="1:31" x14ac:dyDescent="0.25">
      <c r="A351" s="2" t="s">
        <v>349</v>
      </c>
      <c r="B351" s="7">
        <v>0.4291666666666667</v>
      </c>
      <c r="C351" s="2">
        <v>2.2999999999999998</v>
      </c>
      <c r="D351" s="10" t="s">
        <v>351</v>
      </c>
      <c r="E351" s="40">
        <v>12</v>
      </c>
      <c r="F351" s="40">
        <v>2.2000000000000002</v>
      </c>
      <c r="G351" s="40">
        <v>2</v>
      </c>
      <c r="H351" s="3">
        <f t="shared" si="41"/>
        <v>1.1499999999999999</v>
      </c>
      <c r="I351" s="3">
        <f t="shared" si="42"/>
        <v>0.21083333333333334</v>
      </c>
      <c r="J351" s="3">
        <f t="shared" si="43"/>
        <v>0.19166666666666665</v>
      </c>
      <c r="K351" s="3"/>
      <c r="L351" s="4">
        <f t="shared" si="44"/>
        <v>74.487083333333331</v>
      </c>
      <c r="M351" s="40">
        <v>0</v>
      </c>
      <c r="N351" s="40">
        <v>0</v>
      </c>
      <c r="O351" s="40">
        <v>0</v>
      </c>
      <c r="P351" s="40">
        <v>0</v>
      </c>
      <c r="Q351" s="40">
        <v>0</v>
      </c>
      <c r="R351" s="40">
        <v>0</v>
      </c>
      <c r="S351" s="2">
        <f t="shared" si="38"/>
        <v>103.70000000000003</v>
      </c>
      <c r="T351" s="2">
        <v>0</v>
      </c>
      <c r="U351" s="2">
        <v>0</v>
      </c>
      <c r="V351" s="2">
        <v>0</v>
      </c>
      <c r="W351" s="2">
        <v>0</v>
      </c>
      <c r="X351" s="2">
        <f t="shared" si="45"/>
        <v>169</v>
      </c>
      <c r="Z351" s="1">
        <v>125</v>
      </c>
      <c r="AA351" s="1">
        <v>64</v>
      </c>
      <c r="AB351" s="2">
        <f t="shared" si="46"/>
        <v>189</v>
      </c>
      <c r="AD351" s="121"/>
      <c r="AE351" s="121"/>
    </row>
    <row r="352" spans="1:31" x14ac:dyDescent="0.25">
      <c r="A352" s="2" t="s">
        <v>349</v>
      </c>
      <c r="B352" s="7">
        <v>0.5</v>
      </c>
      <c r="C352" s="2">
        <v>1.7</v>
      </c>
      <c r="D352" s="10" t="s">
        <v>352</v>
      </c>
      <c r="E352" s="40">
        <v>0</v>
      </c>
      <c r="F352" s="40">
        <v>2.2000000000000002</v>
      </c>
      <c r="G352" s="40">
        <v>2</v>
      </c>
      <c r="H352" s="3">
        <f t="shared" si="41"/>
        <v>0</v>
      </c>
      <c r="I352" s="3">
        <f t="shared" si="42"/>
        <v>0.15583333333333335</v>
      </c>
      <c r="J352" s="3">
        <f t="shared" si="43"/>
        <v>0.14166666666666666</v>
      </c>
      <c r="K352" s="3"/>
      <c r="L352" s="4">
        <f t="shared" si="44"/>
        <v>74.189583333333331</v>
      </c>
      <c r="M352" s="40">
        <v>0</v>
      </c>
      <c r="N352" s="40">
        <v>0</v>
      </c>
      <c r="O352" s="40">
        <v>0</v>
      </c>
      <c r="P352" s="40">
        <v>0</v>
      </c>
      <c r="Q352" s="40">
        <v>0</v>
      </c>
      <c r="R352" s="40">
        <v>0</v>
      </c>
      <c r="S352" s="2">
        <f t="shared" si="38"/>
        <v>103.70000000000003</v>
      </c>
      <c r="T352" s="2">
        <v>0</v>
      </c>
      <c r="U352" s="2">
        <v>0</v>
      </c>
      <c r="V352" s="2">
        <v>0.3</v>
      </c>
      <c r="W352" s="2">
        <v>0</v>
      </c>
      <c r="X352" s="2">
        <f t="shared" si="45"/>
        <v>168.7</v>
      </c>
      <c r="Z352" s="1">
        <v>125</v>
      </c>
      <c r="AA352" s="1">
        <v>63.7</v>
      </c>
      <c r="AB352" s="2">
        <f t="shared" si="46"/>
        <v>188.7</v>
      </c>
      <c r="AD352" s="121"/>
      <c r="AE352" s="121"/>
    </row>
    <row r="353" spans="1:31" x14ac:dyDescent="0.25">
      <c r="A353" s="2" t="s">
        <v>349</v>
      </c>
      <c r="B353" s="7">
        <v>0.52083333333333337</v>
      </c>
      <c r="C353" s="2">
        <v>0.5</v>
      </c>
      <c r="D353" s="10" t="s">
        <v>351</v>
      </c>
      <c r="E353" s="40">
        <v>20</v>
      </c>
      <c r="F353" s="40">
        <v>2.2000000000000002</v>
      </c>
      <c r="G353" s="40">
        <v>2</v>
      </c>
      <c r="H353" s="3">
        <f t="shared" si="41"/>
        <v>0.41666666666666669</v>
      </c>
      <c r="I353" s="3">
        <f t="shared" si="42"/>
        <v>4.5833333333333337E-2</v>
      </c>
      <c r="J353" s="3">
        <f t="shared" si="43"/>
        <v>4.1666666666666664E-2</v>
      </c>
      <c r="K353" s="3"/>
      <c r="L353" s="4">
        <f t="shared" si="44"/>
        <v>73.685416666666669</v>
      </c>
      <c r="M353" s="40">
        <v>0</v>
      </c>
      <c r="N353" s="40">
        <v>0</v>
      </c>
      <c r="O353" s="40">
        <v>0</v>
      </c>
      <c r="P353" s="40">
        <v>0</v>
      </c>
      <c r="Q353" s="40">
        <v>0</v>
      </c>
      <c r="R353" s="40">
        <v>0</v>
      </c>
      <c r="S353" s="2">
        <f t="shared" si="38"/>
        <v>103.70000000000003</v>
      </c>
      <c r="T353" s="2">
        <v>0</v>
      </c>
      <c r="U353" s="2">
        <v>0</v>
      </c>
      <c r="V353" s="2">
        <v>0.1</v>
      </c>
      <c r="W353" s="2">
        <v>0</v>
      </c>
      <c r="X353" s="2">
        <f t="shared" si="45"/>
        <v>168.6</v>
      </c>
      <c r="Z353" s="1">
        <v>125</v>
      </c>
      <c r="AA353" s="1">
        <v>63.6</v>
      </c>
      <c r="AB353" s="2">
        <f t="shared" si="46"/>
        <v>188.6</v>
      </c>
      <c r="AD353" s="121"/>
      <c r="AE353" s="121"/>
    </row>
    <row r="354" spans="1:31" x14ac:dyDescent="0.25">
      <c r="A354" s="2" t="s">
        <v>349</v>
      </c>
      <c r="B354" s="7">
        <v>0.77083333333333337</v>
      </c>
      <c r="C354" s="2">
        <v>5.5</v>
      </c>
      <c r="D354" s="10" t="s">
        <v>190</v>
      </c>
      <c r="E354" s="40">
        <v>0</v>
      </c>
      <c r="F354" s="40">
        <v>2.2000000000000002</v>
      </c>
      <c r="G354" s="40">
        <v>2</v>
      </c>
      <c r="H354" s="3">
        <f t="shared" si="41"/>
        <v>0</v>
      </c>
      <c r="I354" s="3">
        <f t="shared" si="42"/>
        <v>0.50416666666666665</v>
      </c>
      <c r="J354" s="3">
        <f t="shared" si="43"/>
        <v>0.45833333333333331</v>
      </c>
      <c r="K354" s="3">
        <v>400</v>
      </c>
      <c r="L354" s="4">
        <f t="shared" si="44"/>
        <v>472.72291666666666</v>
      </c>
      <c r="M354" s="40">
        <v>0</v>
      </c>
      <c r="N354" s="40">
        <v>0</v>
      </c>
      <c r="O354" s="40">
        <v>0</v>
      </c>
      <c r="P354" s="40">
        <v>0</v>
      </c>
      <c r="Q354" s="40">
        <v>0</v>
      </c>
      <c r="R354" s="40">
        <v>0</v>
      </c>
      <c r="S354" s="2">
        <f t="shared" si="38"/>
        <v>103.70000000000003</v>
      </c>
      <c r="T354" s="2">
        <v>0</v>
      </c>
      <c r="U354" s="2">
        <v>0</v>
      </c>
      <c r="V354" s="2">
        <v>1.6</v>
      </c>
      <c r="W354" s="2">
        <v>0</v>
      </c>
      <c r="X354" s="2">
        <f t="shared" si="45"/>
        <v>167</v>
      </c>
      <c r="Z354" s="1">
        <v>125</v>
      </c>
      <c r="AA354" s="1">
        <v>61.8</v>
      </c>
      <c r="AB354" s="2">
        <f t="shared" si="46"/>
        <v>186.8</v>
      </c>
      <c r="AD354" s="121"/>
      <c r="AE354" s="121"/>
    </row>
    <row r="355" spans="1:31" x14ac:dyDescent="0.25">
      <c r="A355" s="2" t="s">
        <v>349</v>
      </c>
      <c r="B355" s="7">
        <v>0.8041666666666667</v>
      </c>
      <c r="C355" s="2">
        <v>0.8</v>
      </c>
      <c r="D355" s="10" t="s">
        <v>105</v>
      </c>
      <c r="E355" s="40">
        <v>24</v>
      </c>
      <c r="F355" s="40">
        <v>2.4</v>
      </c>
      <c r="G355" s="40">
        <v>2</v>
      </c>
      <c r="H355" s="3">
        <f t="shared" si="41"/>
        <v>0.8</v>
      </c>
      <c r="I355" s="3">
        <f t="shared" si="42"/>
        <v>0.08</v>
      </c>
      <c r="J355" s="3">
        <f t="shared" si="43"/>
        <v>6.6666666666666666E-2</v>
      </c>
      <c r="K355" s="3"/>
      <c r="L355" s="4">
        <f t="shared" si="44"/>
        <v>471.77625</v>
      </c>
      <c r="M355" s="40">
        <v>0</v>
      </c>
      <c r="N355" s="40">
        <v>0</v>
      </c>
      <c r="O355" s="40">
        <v>0</v>
      </c>
      <c r="P355" s="40">
        <v>0</v>
      </c>
      <c r="Q355" s="40">
        <v>0</v>
      </c>
      <c r="R355" s="40">
        <v>0</v>
      </c>
      <c r="S355" s="2">
        <f t="shared" si="38"/>
        <v>103.70000000000003</v>
      </c>
      <c r="T355" s="2">
        <v>0</v>
      </c>
      <c r="U355" s="2">
        <v>0</v>
      </c>
      <c r="V355" s="2">
        <v>0</v>
      </c>
      <c r="W355" s="2">
        <v>0</v>
      </c>
      <c r="X355" s="2">
        <f t="shared" si="45"/>
        <v>167</v>
      </c>
      <c r="Z355" s="1">
        <v>125</v>
      </c>
      <c r="AA355" s="1"/>
      <c r="AB355" s="2">
        <f t="shared" si="46"/>
        <v>125</v>
      </c>
      <c r="AD355" s="121"/>
      <c r="AE355" s="121"/>
    </row>
    <row r="356" spans="1:31" x14ac:dyDescent="0.25">
      <c r="A356" s="2" t="s">
        <v>354</v>
      </c>
      <c r="B356" s="7">
        <v>0.83750000000000002</v>
      </c>
      <c r="C356" s="2">
        <v>0.8</v>
      </c>
      <c r="D356" s="10" t="s">
        <v>351</v>
      </c>
      <c r="E356" s="40">
        <v>20</v>
      </c>
      <c r="F356" s="40">
        <v>2.4</v>
      </c>
      <c r="G356" s="40">
        <v>2</v>
      </c>
      <c r="H356" s="3">
        <f t="shared" si="41"/>
        <v>0.66666666666666674</v>
      </c>
      <c r="I356" s="3">
        <f t="shared" si="42"/>
        <v>0.08</v>
      </c>
      <c r="J356" s="3">
        <f t="shared" si="43"/>
        <v>6.6666666666666666E-2</v>
      </c>
      <c r="K356" s="3"/>
      <c r="L356" s="4">
        <f t="shared" si="44"/>
        <v>470.96291666666667</v>
      </c>
      <c r="M356" s="40">
        <v>0</v>
      </c>
      <c r="N356" s="40">
        <v>0</v>
      </c>
      <c r="O356" s="40">
        <v>0</v>
      </c>
      <c r="P356" s="40">
        <v>0</v>
      </c>
      <c r="Q356" s="40">
        <v>0</v>
      </c>
      <c r="R356" s="40">
        <v>0</v>
      </c>
      <c r="S356" s="2">
        <f t="shared" si="38"/>
        <v>103.70000000000003</v>
      </c>
      <c r="T356" s="2">
        <v>0</v>
      </c>
      <c r="U356" s="2">
        <v>0</v>
      </c>
      <c r="V356" s="2">
        <v>0</v>
      </c>
      <c r="W356" s="2">
        <v>0</v>
      </c>
      <c r="X356" s="2">
        <f t="shared" si="45"/>
        <v>167</v>
      </c>
      <c r="Z356" s="1">
        <v>125</v>
      </c>
      <c r="AA356" s="1"/>
      <c r="AB356" s="2">
        <f t="shared" si="46"/>
        <v>125</v>
      </c>
      <c r="AD356" s="121"/>
      <c r="AE356" s="121"/>
    </row>
    <row r="357" spans="1:31" x14ac:dyDescent="0.25">
      <c r="A357" s="2" t="s">
        <v>349</v>
      </c>
      <c r="B357" s="7">
        <v>0.91666666666666663</v>
      </c>
      <c r="C357" s="2">
        <v>2.4</v>
      </c>
      <c r="D357" s="10" t="s">
        <v>105</v>
      </c>
      <c r="E357" s="40">
        <v>15</v>
      </c>
      <c r="F357" s="40">
        <v>2.2000000000000002</v>
      </c>
      <c r="G357" s="40">
        <v>2</v>
      </c>
      <c r="H357" s="3">
        <v>1.49</v>
      </c>
      <c r="I357" s="3">
        <f t="shared" si="42"/>
        <v>0.22</v>
      </c>
      <c r="J357" s="3">
        <f t="shared" si="43"/>
        <v>0.19999999999999998</v>
      </c>
      <c r="K357" s="3"/>
      <c r="L357" s="4">
        <f t="shared" si="44"/>
        <v>469.05291666666665</v>
      </c>
      <c r="M357" s="40">
        <v>0</v>
      </c>
      <c r="N357" s="40">
        <v>0</v>
      </c>
      <c r="O357" s="40">
        <v>0</v>
      </c>
      <c r="P357" s="40">
        <v>0</v>
      </c>
      <c r="Q357" s="40">
        <v>0</v>
      </c>
      <c r="R357" s="40">
        <v>0</v>
      </c>
      <c r="S357" s="2">
        <f t="shared" si="38"/>
        <v>103.70000000000003</v>
      </c>
      <c r="T357" s="2">
        <v>0</v>
      </c>
      <c r="U357" s="2">
        <v>0</v>
      </c>
      <c r="V357" s="2">
        <v>0</v>
      </c>
      <c r="W357" s="2">
        <v>0</v>
      </c>
      <c r="X357" s="2">
        <f t="shared" si="45"/>
        <v>167</v>
      </c>
      <c r="Z357" s="1">
        <v>125</v>
      </c>
      <c r="AA357" s="1"/>
      <c r="AB357" s="2">
        <f t="shared" si="46"/>
        <v>125</v>
      </c>
      <c r="AD357" s="121"/>
      <c r="AE357" s="121"/>
    </row>
    <row r="358" spans="1:31" x14ac:dyDescent="0.25">
      <c r="A358" s="2" t="s">
        <v>353</v>
      </c>
      <c r="B358" s="7">
        <v>0.33333333333333331</v>
      </c>
      <c r="C358" s="2">
        <v>10</v>
      </c>
      <c r="D358" s="10" t="s">
        <v>355</v>
      </c>
      <c r="E358" s="40">
        <v>18</v>
      </c>
      <c r="F358" s="40">
        <v>2.2000000000000002</v>
      </c>
      <c r="G358" s="40">
        <v>0</v>
      </c>
      <c r="H358" s="3">
        <f t="shared" si="41"/>
        <v>7.5</v>
      </c>
      <c r="I358" s="3">
        <f t="shared" si="42"/>
        <v>0.91666666666666674</v>
      </c>
      <c r="J358" s="3">
        <f t="shared" si="43"/>
        <v>0</v>
      </c>
      <c r="K358" s="3"/>
      <c r="L358" s="4">
        <f t="shared" si="44"/>
        <v>460.63624999999996</v>
      </c>
      <c r="M358" s="40">
        <v>0</v>
      </c>
      <c r="N358" s="40">
        <v>0</v>
      </c>
      <c r="O358" s="40">
        <v>0.2</v>
      </c>
      <c r="P358" s="40">
        <v>0</v>
      </c>
      <c r="Q358" s="40">
        <v>0</v>
      </c>
      <c r="R358" s="40">
        <v>0</v>
      </c>
      <c r="S358" s="2">
        <f t="shared" si="38"/>
        <v>103.50000000000003</v>
      </c>
      <c r="T358" s="2">
        <v>0</v>
      </c>
      <c r="U358" s="2">
        <v>0</v>
      </c>
      <c r="V358" s="2">
        <v>2</v>
      </c>
      <c r="W358" s="2">
        <v>0</v>
      </c>
      <c r="X358" s="2">
        <f t="shared" si="45"/>
        <v>165</v>
      </c>
      <c r="Z358" s="1">
        <v>125</v>
      </c>
      <c r="AA358" s="1"/>
      <c r="AB358" s="2">
        <f t="shared" si="46"/>
        <v>125</v>
      </c>
      <c r="AD358" s="121"/>
      <c r="AE358" s="121"/>
    </row>
    <row r="359" spans="1:31" x14ac:dyDescent="0.25">
      <c r="A359" s="2" t="s">
        <v>356</v>
      </c>
      <c r="B359" s="7">
        <v>0.33333333333333331</v>
      </c>
      <c r="C359" s="2">
        <v>24</v>
      </c>
      <c r="D359" s="10" t="s">
        <v>355</v>
      </c>
      <c r="E359" s="40">
        <v>24</v>
      </c>
      <c r="F359" s="40">
        <v>2.2000000000000002</v>
      </c>
      <c r="G359" s="40">
        <v>0</v>
      </c>
      <c r="H359" s="3">
        <f t="shared" si="41"/>
        <v>24</v>
      </c>
      <c r="I359" s="3">
        <f t="shared" si="42"/>
        <v>2.2000000000000002</v>
      </c>
      <c r="J359" s="3">
        <f t="shared" si="43"/>
        <v>0</v>
      </c>
      <c r="K359" s="3"/>
      <c r="L359" s="4">
        <f t="shared" si="44"/>
        <v>434.43624999999997</v>
      </c>
      <c r="M359" s="40">
        <v>0</v>
      </c>
      <c r="N359" s="40">
        <v>0</v>
      </c>
      <c r="O359" s="40">
        <v>0.2</v>
      </c>
      <c r="P359" s="40">
        <v>0</v>
      </c>
      <c r="Q359" s="40">
        <v>0</v>
      </c>
      <c r="R359" s="40">
        <v>0</v>
      </c>
      <c r="S359" s="2">
        <f t="shared" si="38"/>
        <v>103.30000000000003</v>
      </c>
      <c r="T359" s="2">
        <v>0</v>
      </c>
      <c r="U359" s="2">
        <v>0</v>
      </c>
      <c r="V359" s="2">
        <v>6</v>
      </c>
      <c r="W359" s="2">
        <v>0</v>
      </c>
      <c r="X359" s="2">
        <f t="shared" si="45"/>
        <v>159</v>
      </c>
      <c r="Z359" s="1">
        <v>125</v>
      </c>
      <c r="AA359" s="1">
        <v>56</v>
      </c>
      <c r="AB359" s="2">
        <f t="shared" si="46"/>
        <v>181</v>
      </c>
      <c r="AD359" s="121"/>
      <c r="AE359" s="121"/>
    </row>
    <row r="360" spans="1:31" x14ac:dyDescent="0.25">
      <c r="A360" s="2" t="s">
        <v>356</v>
      </c>
      <c r="B360" s="7">
        <v>0.75</v>
      </c>
      <c r="C360" s="2">
        <v>10</v>
      </c>
      <c r="D360" s="10" t="s">
        <v>201</v>
      </c>
      <c r="E360" s="40">
        <v>24</v>
      </c>
      <c r="F360" s="40">
        <v>2.2000000000000002</v>
      </c>
      <c r="G360" s="40">
        <v>0</v>
      </c>
      <c r="H360" s="3">
        <f t="shared" si="41"/>
        <v>10</v>
      </c>
      <c r="I360" s="3">
        <f t="shared" si="42"/>
        <v>0.91666666666666674</v>
      </c>
      <c r="J360" s="3">
        <f t="shared" si="43"/>
        <v>0</v>
      </c>
      <c r="K360" s="3"/>
      <c r="L360" s="4">
        <f t="shared" si="44"/>
        <v>423.51958333333329</v>
      </c>
      <c r="M360" s="40">
        <v>0</v>
      </c>
      <c r="N360" s="40">
        <v>0</v>
      </c>
      <c r="O360" s="40">
        <v>0.1</v>
      </c>
      <c r="P360" s="40">
        <v>0</v>
      </c>
      <c r="Q360" s="40">
        <v>0</v>
      </c>
      <c r="R360" s="40">
        <v>0</v>
      </c>
      <c r="S360" s="2">
        <f t="shared" si="38"/>
        <v>103.20000000000003</v>
      </c>
      <c r="T360" s="2">
        <v>0</v>
      </c>
      <c r="U360" s="2">
        <v>0</v>
      </c>
      <c r="V360" s="2">
        <v>2</v>
      </c>
      <c r="W360" s="2">
        <v>0</v>
      </c>
      <c r="X360" s="2">
        <f t="shared" si="45"/>
        <v>157</v>
      </c>
      <c r="Z360" s="1">
        <v>125</v>
      </c>
      <c r="AA360" s="1">
        <v>56</v>
      </c>
      <c r="AB360" s="2">
        <f t="shared" si="46"/>
        <v>181</v>
      </c>
      <c r="AD360" s="121">
        <v>9.3000000000000007</v>
      </c>
      <c r="AE360" s="121" t="s">
        <v>1302</v>
      </c>
    </row>
    <row r="361" spans="1:31" x14ac:dyDescent="0.25">
      <c r="A361" s="2" t="s">
        <v>356</v>
      </c>
      <c r="B361" s="7">
        <v>0.77500000000000002</v>
      </c>
      <c r="C361" s="2">
        <v>0.6</v>
      </c>
      <c r="D361" s="10" t="s">
        <v>351</v>
      </c>
      <c r="E361" s="40">
        <v>10</v>
      </c>
      <c r="F361" s="40">
        <v>2.2000000000000002</v>
      </c>
      <c r="G361" s="40">
        <v>2</v>
      </c>
      <c r="H361" s="3">
        <f t="shared" si="41"/>
        <v>0.25</v>
      </c>
      <c r="I361" s="3">
        <f t="shared" si="42"/>
        <v>5.5E-2</v>
      </c>
      <c r="J361" s="3">
        <f t="shared" si="43"/>
        <v>4.9999999999999996E-2</v>
      </c>
      <c r="K361" s="3"/>
      <c r="L361" s="4">
        <f t="shared" si="44"/>
        <v>423.16458333333327</v>
      </c>
      <c r="M361" s="40">
        <v>0</v>
      </c>
      <c r="N361" s="40">
        <v>0</v>
      </c>
      <c r="O361" s="40">
        <v>0</v>
      </c>
      <c r="P361" s="40">
        <v>0</v>
      </c>
      <c r="Q361" s="40">
        <v>0</v>
      </c>
      <c r="R361" s="40">
        <v>0</v>
      </c>
      <c r="S361" s="2">
        <f t="shared" si="38"/>
        <v>103.20000000000003</v>
      </c>
      <c r="T361" s="2">
        <v>0</v>
      </c>
      <c r="U361" s="2">
        <v>0</v>
      </c>
      <c r="V361" s="2">
        <v>0</v>
      </c>
      <c r="W361" s="2">
        <v>0</v>
      </c>
      <c r="X361" s="2">
        <f t="shared" si="45"/>
        <v>157</v>
      </c>
      <c r="Z361" s="1">
        <v>125</v>
      </c>
      <c r="AA361" s="1">
        <v>56</v>
      </c>
      <c r="AB361" s="2">
        <f t="shared" si="46"/>
        <v>181</v>
      </c>
      <c r="AD361" s="121"/>
      <c r="AE361" s="121"/>
    </row>
    <row r="362" spans="1:31" x14ac:dyDescent="0.25">
      <c r="A362" s="2" t="s">
        <v>357</v>
      </c>
      <c r="B362" s="7">
        <v>0.33333333333333331</v>
      </c>
      <c r="C362" s="2">
        <v>13.4</v>
      </c>
      <c r="D362" s="10" t="s">
        <v>351</v>
      </c>
      <c r="E362" s="40">
        <v>0</v>
      </c>
      <c r="F362" s="40">
        <v>2.2000000000000002</v>
      </c>
      <c r="G362" s="40">
        <v>2</v>
      </c>
      <c r="H362" s="3">
        <f t="shared" si="41"/>
        <v>0</v>
      </c>
      <c r="I362" s="3">
        <f t="shared" si="42"/>
        <v>1.2283333333333335</v>
      </c>
      <c r="J362" s="3">
        <f t="shared" si="43"/>
        <v>1.1166666666666667</v>
      </c>
      <c r="K362" s="3"/>
      <c r="L362" s="4">
        <f t="shared" si="44"/>
        <v>420.81958333333324</v>
      </c>
      <c r="M362" s="40">
        <v>0</v>
      </c>
      <c r="N362" s="40">
        <v>0</v>
      </c>
      <c r="O362" s="40">
        <v>0.1</v>
      </c>
      <c r="P362" s="40">
        <v>0</v>
      </c>
      <c r="Q362" s="40">
        <v>0</v>
      </c>
      <c r="R362" s="40">
        <v>0</v>
      </c>
      <c r="S362" s="2">
        <f t="shared" si="38"/>
        <v>103.10000000000004</v>
      </c>
      <c r="T362" s="2">
        <v>0</v>
      </c>
      <c r="U362" s="2">
        <v>0</v>
      </c>
      <c r="V362" s="2">
        <v>2</v>
      </c>
      <c r="W362" s="2">
        <v>0</v>
      </c>
      <c r="X362" s="2">
        <f t="shared" si="45"/>
        <v>155</v>
      </c>
      <c r="Z362" s="1">
        <v>124</v>
      </c>
      <c r="AA362" s="1">
        <v>54</v>
      </c>
      <c r="AB362" s="2">
        <f t="shared" si="46"/>
        <v>178</v>
      </c>
      <c r="AD362" s="121"/>
      <c r="AE362" s="121"/>
    </row>
    <row r="363" spans="1:31" x14ac:dyDescent="0.25">
      <c r="A363" s="2" t="s">
        <v>358</v>
      </c>
      <c r="B363" s="7">
        <v>0.33333333333333331</v>
      </c>
      <c r="C363" s="2">
        <v>24</v>
      </c>
      <c r="D363" s="10" t="s">
        <v>351</v>
      </c>
      <c r="E363" s="40">
        <v>0</v>
      </c>
      <c r="F363" s="40">
        <v>2</v>
      </c>
      <c r="G363" s="40">
        <v>1.5</v>
      </c>
      <c r="H363" s="3">
        <f t="shared" si="41"/>
        <v>0</v>
      </c>
      <c r="I363" s="3">
        <f t="shared" si="42"/>
        <v>2</v>
      </c>
      <c r="J363" s="3">
        <f t="shared" si="43"/>
        <v>1.5</v>
      </c>
      <c r="K363" s="3"/>
      <c r="L363" s="4">
        <f t="shared" si="44"/>
        <v>417.31958333333324</v>
      </c>
      <c r="M363" s="40">
        <v>0</v>
      </c>
      <c r="N363" s="40">
        <v>0</v>
      </c>
      <c r="O363" s="40">
        <v>0.2</v>
      </c>
      <c r="P363" s="40">
        <v>0</v>
      </c>
      <c r="Q363" s="40">
        <v>0</v>
      </c>
      <c r="R363" s="40">
        <v>0</v>
      </c>
      <c r="S363" s="2">
        <f t="shared" si="38"/>
        <v>102.90000000000003</v>
      </c>
      <c r="T363" s="2">
        <v>0</v>
      </c>
      <c r="U363" s="2">
        <v>0</v>
      </c>
      <c r="V363" s="2">
        <v>4</v>
      </c>
      <c r="W363" s="2">
        <v>0</v>
      </c>
      <c r="X363" s="2">
        <f t="shared" si="45"/>
        <v>151</v>
      </c>
      <c r="Z363" s="1">
        <v>120</v>
      </c>
      <c r="AA363" s="1">
        <v>54</v>
      </c>
      <c r="AB363" s="2">
        <f t="shared" si="46"/>
        <v>174</v>
      </c>
      <c r="AD363" s="121"/>
      <c r="AE363" s="121"/>
    </row>
    <row r="364" spans="1:31" x14ac:dyDescent="0.25">
      <c r="A364" s="2" t="s">
        <v>359</v>
      </c>
      <c r="B364" s="7">
        <v>0.33333333333333331</v>
      </c>
      <c r="C364" s="2">
        <v>24</v>
      </c>
      <c r="D364" s="10" t="s">
        <v>351</v>
      </c>
      <c r="E364" s="40">
        <v>0</v>
      </c>
      <c r="F364" s="40">
        <v>2</v>
      </c>
      <c r="G364" s="40">
        <v>0</v>
      </c>
      <c r="H364" s="3">
        <f t="shared" si="41"/>
        <v>0</v>
      </c>
      <c r="I364" s="3">
        <f t="shared" si="42"/>
        <v>2</v>
      </c>
      <c r="J364" s="3">
        <f t="shared" si="43"/>
        <v>0</v>
      </c>
      <c r="K364" s="3"/>
      <c r="L364" s="4">
        <f t="shared" si="44"/>
        <v>415.31958333333324</v>
      </c>
      <c r="M364" s="40">
        <v>0</v>
      </c>
      <c r="N364" s="40">
        <v>0</v>
      </c>
      <c r="O364" s="40">
        <v>2.1</v>
      </c>
      <c r="P364" s="40">
        <v>0</v>
      </c>
      <c r="Q364" s="40">
        <v>0</v>
      </c>
      <c r="R364" s="40">
        <v>0</v>
      </c>
      <c r="S364" s="2">
        <f t="shared" si="38"/>
        <v>100.80000000000004</v>
      </c>
      <c r="T364" s="2">
        <v>0</v>
      </c>
      <c r="U364" s="2">
        <v>0</v>
      </c>
      <c r="V364" s="2">
        <v>10</v>
      </c>
      <c r="W364" s="2">
        <v>0</v>
      </c>
      <c r="X364" s="2">
        <f t="shared" si="45"/>
        <v>141</v>
      </c>
      <c r="Z364" s="1">
        <v>106</v>
      </c>
      <c r="AA364" s="1">
        <v>54</v>
      </c>
      <c r="AB364" s="2">
        <f t="shared" si="46"/>
        <v>160</v>
      </c>
      <c r="AD364" s="121"/>
      <c r="AE364" s="121"/>
    </row>
    <row r="365" spans="1:31" x14ac:dyDescent="0.25">
      <c r="A365" s="2" t="s">
        <v>360</v>
      </c>
      <c r="B365" s="7">
        <v>0.33333333333333331</v>
      </c>
      <c r="C365" s="2">
        <v>24</v>
      </c>
      <c r="D365" s="10" t="s">
        <v>351</v>
      </c>
      <c r="E365" s="40">
        <v>0</v>
      </c>
      <c r="F365" s="40">
        <v>2.2000000000000002</v>
      </c>
      <c r="G365" s="40">
        <v>2</v>
      </c>
      <c r="H365" s="3">
        <f t="shared" si="41"/>
        <v>0</v>
      </c>
      <c r="I365" s="3">
        <f t="shared" si="42"/>
        <v>2.2000000000000002</v>
      </c>
      <c r="J365" s="3">
        <f t="shared" si="43"/>
        <v>2</v>
      </c>
      <c r="K365" s="3"/>
      <c r="L365" s="4">
        <f t="shared" si="44"/>
        <v>411.11958333333325</v>
      </c>
      <c r="M365" s="40">
        <v>0</v>
      </c>
      <c r="N365" s="40">
        <v>0</v>
      </c>
      <c r="O365" s="40">
        <v>0.1</v>
      </c>
      <c r="P365" s="40">
        <v>0</v>
      </c>
      <c r="Q365" s="40">
        <v>0</v>
      </c>
      <c r="R365" s="40">
        <v>0</v>
      </c>
      <c r="S365" s="2">
        <f t="shared" si="38"/>
        <v>100.70000000000005</v>
      </c>
      <c r="T365" s="2">
        <v>0</v>
      </c>
      <c r="U365" s="2">
        <v>0</v>
      </c>
      <c r="V365" s="2">
        <v>4</v>
      </c>
      <c r="W365" s="2">
        <v>0</v>
      </c>
      <c r="X365" s="2">
        <f t="shared" si="45"/>
        <v>137</v>
      </c>
      <c r="Z365" s="1">
        <v>103</v>
      </c>
      <c r="AA365" s="1">
        <v>54</v>
      </c>
      <c r="AB365" s="2">
        <f t="shared" si="46"/>
        <v>157</v>
      </c>
      <c r="AD365" s="121"/>
      <c r="AE365" s="121"/>
    </row>
    <row r="366" spans="1:31" x14ac:dyDescent="0.25">
      <c r="A366" s="2" t="s">
        <v>361</v>
      </c>
      <c r="B366" s="7">
        <v>0.33333333333333331</v>
      </c>
      <c r="C366" s="2">
        <v>24</v>
      </c>
      <c r="D366" s="10" t="s">
        <v>351</v>
      </c>
      <c r="E366" s="40">
        <v>0</v>
      </c>
      <c r="F366" s="40">
        <v>2.2000000000000002</v>
      </c>
      <c r="G366" s="40">
        <v>2</v>
      </c>
      <c r="H366" s="3">
        <f t="shared" si="41"/>
        <v>0</v>
      </c>
      <c r="I366" s="3">
        <f t="shared" si="42"/>
        <v>2.2000000000000002</v>
      </c>
      <c r="J366" s="3">
        <f t="shared" si="43"/>
        <v>2</v>
      </c>
      <c r="K366" s="3"/>
      <c r="L366" s="4">
        <f t="shared" si="44"/>
        <v>406.91958333333326</v>
      </c>
      <c r="M366" s="40">
        <v>0</v>
      </c>
      <c r="N366" s="40">
        <v>0</v>
      </c>
      <c r="O366" s="40">
        <v>0.1</v>
      </c>
      <c r="P366" s="40">
        <v>0</v>
      </c>
      <c r="Q366" s="40">
        <v>0</v>
      </c>
      <c r="R366" s="40">
        <v>0</v>
      </c>
      <c r="S366" s="2">
        <f t="shared" si="38"/>
        <v>100.60000000000005</v>
      </c>
      <c r="T366" s="2">
        <v>0</v>
      </c>
      <c r="U366" s="2">
        <v>0</v>
      </c>
      <c r="V366" s="2">
        <v>4</v>
      </c>
      <c r="W366" s="2">
        <v>0</v>
      </c>
      <c r="X366" s="2">
        <f t="shared" si="45"/>
        <v>133</v>
      </c>
      <c r="Z366" s="1">
        <v>99</v>
      </c>
      <c r="AA366" s="1">
        <v>54</v>
      </c>
      <c r="AB366" s="2">
        <f t="shared" si="46"/>
        <v>153</v>
      </c>
      <c r="AD366" s="121"/>
      <c r="AE366" s="121"/>
    </row>
    <row r="367" spans="1:31" x14ac:dyDescent="0.25">
      <c r="A367" s="2" t="s">
        <v>362</v>
      </c>
      <c r="B367" s="7">
        <v>0.16250000000000001</v>
      </c>
      <c r="C367" s="2">
        <v>19.899999999999999</v>
      </c>
      <c r="D367" s="10" t="s">
        <v>363</v>
      </c>
      <c r="E367" s="40">
        <v>0</v>
      </c>
      <c r="F367" s="40">
        <v>2.2000000000000002</v>
      </c>
      <c r="G367" s="40">
        <v>2</v>
      </c>
      <c r="H367" s="3">
        <f t="shared" si="41"/>
        <v>0</v>
      </c>
      <c r="I367" s="3">
        <f t="shared" si="42"/>
        <v>1.8241666666666667</v>
      </c>
      <c r="J367" s="3">
        <f t="shared" si="43"/>
        <v>1.6583333333333332</v>
      </c>
      <c r="K367" s="3"/>
      <c r="L367" s="4">
        <f t="shared" si="44"/>
        <v>403.43708333333325</v>
      </c>
      <c r="M367" s="40">
        <v>0</v>
      </c>
      <c r="N367" s="40">
        <v>0</v>
      </c>
      <c r="O367" s="40">
        <v>0.1</v>
      </c>
      <c r="P367" s="40">
        <v>0</v>
      </c>
      <c r="Q367" s="40">
        <v>0</v>
      </c>
      <c r="R367" s="40">
        <v>0</v>
      </c>
      <c r="S367" s="2">
        <f t="shared" si="38"/>
        <v>100.50000000000006</v>
      </c>
      <c r="T367" s="2">
        <v>0</v>
      </c>
      <c r="U367" s="2">
        <v>0</v>
      </c>
      <c r="V367" s="2">
        <v>3</v>
      </c>
      <c r="W367" s="2">
        <v>0</v>
      </c>
      <c r="X367" s="2">
        <f t="shared" si="45"/>
        <v>130</v>
      </c>
      <c r="Z367" s="1"/>
      <c r="AA367" s="1"/>
      <c r="AB367" s="2" t="str">
        <f t="shared" si="46"/>
        <v/>
      </c>
      <c r="AD367" s="121"/>
      <c r="AE367" s="121"/>
    </row>
    <row r="368" spans="1:31" x14ac:dyDescent="0.25">
      <c r="A368" s="2" t="s">
        <v>362</v>
      </c>
      <c r="B368" s="7">
        <v>0.3</v>
      </c>
      <c r="C368" s="2">
        <v>3.3</v>
      </c>
      <c r="D368" s="10" t="s">
        <v>364</v>
      </c>
      <c r="E368" s="40">
        <v>8</v>
      </c>
      <c r="F368" s="40">
        <v>2</v>
      </c>
      <c r="G368" s="40">
        <v>0</v>
      </c>
      <c r="H368" s="3">
        <f t="shared" si="41"/>
        <v>1.0999999999999999</v>
      </c>
      <c r="I368" s="3">
        <f t="shared" si="42"/>
        <v>0.27499999999999997</v>
      </c>
      <c r="J368" s="3">
        <f t="shared" si="43"/>
        <v>0</v>
      </c>
      <c r="K368" s="3"/>
      <c r="L368" s="4">
        <f t="shared" si="44"/>
        <v>402.06208333333325</v>
      </c>
      <c r="M368" s="40">
        <v>0</v>
      </c>
      <c r="N368" s="40">
        <v>0</v>
      </c>
      <c r="O368" s="40">
        <v>0</v>
      </c>
      <c r="P368" s="40">
        <v>0</v>
      </c>
      <c r="Q368" s="40">
        <v>0</v>
      </c>
      <c r="R368" s="40">
        <v>0</v>
      </c>
      <c r="S368" s="2">
        <f t="shared" si="38"/>
        <v>100.50000000000006</v>
      </c>
      <c r="T368" s="2">
        <v>0</v>
      </c>
      <c r="U368" s="2">
        <v>0</v>
      </c>
      <c r="V368" s="2">
        <v>1</v>
      </c>
      <c r="W368" s="2">
        <v>0</v>
      </c>
      <c r="X368" s="2">
        <f t="shared" si="45"/>
        <v>129</v>
      </c>
      <c r="Z368" s="1"/>
      <c r="AA368" s="1"/>
      <c r="AB368" s="2" t="str">
        <f t="shared" si="46"/>
        <v/>
      </c>
      <c r="AD368" s="121"/>
      <c r="AE368" s="121"/>
    </row>
    <row r="369" spans="1:31" x14ac:dyDescent="0.25">
      <c r="A369" s="2" t="s">
        <v>362</v>
      </c>
      <c r="B369" s="7">
        <v>0.33333333333333331</v>
      </c>
      <c r="C369" s="2">
        <v>0.8</v>
      </c>
      <c r="D369" s="10" t="s">
        <v>364</v>
      </c>
      <c r="E369" s="40">
        <v>0</v>
      </c>
      <c r="F369" s="40">
        <v>2</v>
      </c>
      <c r="G369" s="40">
        <v>1</v>
      </c>
      <c r="H369" s="3">
        <f t="shared" si="41"/>
        <v>0</v>
      </c>
      <c r="I369" s="3">
        <f t="shared" si="42"/>
        <v>6.6666666666666666E-2</v>
      </c>
      <c r="J369" s="3">
        <f t="shared" si="43"/>
        <v>3.3333333333333333E-2</v>
      </c>
      <c r="K369" s="3"/>
      <c r="L369" s="4">
        <f t="shared" si="44"/>
        <v>401.96208333333323</v>
      </c>
      <c r="M369" s="40">
        <v>0</v>
      </c>
      <c r="N369" s="40">
        <v>0</v>
      </c>
      <c r="O369" s="40">
        <v>0</v>
      </c>
      <c r="P369" s="40">
        <v>0</v>
      </c>
      <c r="Q369" s="40">
        <v>0</v>
      </c>
      <c r="R369" s="40">
        <v>0</v>
      </c>
      <c r="S369" s="2">
        <f t="shared" si="38"/>
        <v>100.50000000000006</v>
      </c>
      <c r="T369" s="2">
        <v>0</v>
      </c>
      <c r="U369" s="2">
        <v>0</v>
      </c>
      <c r="V369" s="2">
        <v>0</v>
      </c>
      <c r="W369" s="2">
        <v>0</v>
      </c>
      <c r="X369" s="2">
        <f t="shared" si="45"/>
        <v>129</v>
      </c>
      <c r="Z369" s="1"/>
      <c r="AA369" s="1"/>
      <c r="AB369" s="2" t="str">
        <f t="shared" si="46"/>
        <v/>
      </c>
      <c r="AD369" s="121"/>
      <c r="AE369" s="121"/>
    </row>
    <row r="370" spans="1:31" x14ac:dyDescent="0.25">
      <c r="A370" s="2" t="s">
        <v>365</v>
      </c>
      <c r="B370" s="7">
        <v>0.33333333333333331</v>
      </c>
      <c r="C370" s="2">
        <v>24</v>
      </c>
      <c r="D370" s="10" t="s">
        <v>364</v>
      </c>
      <c r="E370" s="40">
        <v>0</v>
      </c>
      <c r="F370" s="40">
        <v>2.2000000000000002</v>
      </c>
      <c r="G370" s="40">
        <v>1</v>
      </c>
      <c r="H370" s="3">
        <f t="shared" si="41"/>
        <v>0</v>
      </c>
      <c r="I370" s="3">
        <f t="shared" si="42"/>
        <v>2.2000000000000002</v>
      </c>
      <c r="J370" s="3">
        <f t="shared" si="43"/>
        <v>1</v>
      </c>
      <c r="K370" s="3"/>
      <c r="L370" s="4">
        <f t="shared" si="44"/>
        <v>398.76208333333324</v>
      </c>
      <c r="M370" s="40">
        <v>0</v>
      </c>
      <c r="N370" s="40">
        <v>0.1</v>
      </c>
      <c r="O370" s="40">
        <v>0</v>
      </c>
      <c r="P370" s="40">
        <v>0</v>
      </c>
      <c r="Q370" s="40">
        <v>4.2</v>
      </c>
      <c r="R370" s="40">
        <v>0</v>
      </c>
      <c r="S370" s="2">
        <f t="shared" si="38"/>
        <v>96.20000000000006</v>
      </c>
      <c r="T370" s="2">
        <v>0</v>
      </c>
      <c r="U370" s="2">
        <v>0</v>
      </c>
      <c r="V370" s="2">
        <v>4</v>
      </c>
      <c r="W370" s="2">
        <v>0</v>
      </c>
      <c r="X370" s="2">
        <f t="shared" si="45"/>
        <v>125</v>
      </c>
      <c r="Z370" s="1"/>
      <c r="AA370" s="1"/>
      <c r="AB370" s="2" t="str">
        <f t="shared" si="46"/>
        <v/>
      </c>
      <c r="AD370" s="121"/>
      <c r="AE370" s="121"/>
    </row>
    <row r="371" spans="1:31" x14ac:dyDescent="0.25">
      <c r="A371" s="2" t="s">
        <v>366</v>
      </c>
      <c r="B371" s="7">
        <v>0.33333333333333331</v>
      </c>
      <c r="C371" s="2">
        <v>24</v>
      </c>
      <c r="D371" s="10" t="s">
        <v>364</v>
      </c>
      <c r="E371" s="40">
        <v>0</v>
      </c>
      <c r="F371" s="40">
        <v>4</v>
      </c>
      <c r="G371" s="40">
        <v>1.5</v>
      </c>
      <c r="H371" s="3">
        <f t="shared" si="41"/>
        <v>0</v>
      </c>
      <c r="I371" s="3">
        <f t="shared" si="42"/>
        <v>4</v>
      </c>
      <c r="J371" s="3">
        <f t="shared" si="43"/>
        <v>1.5</v>
      </c>
      <c r="K371" s="3"/>
      <c r="L371" s="4">
        <f t="shared" si="44"/>
        <v>393.26208333333324</v>
      </c>
      <c r="M371" s="40">
        <v>0</v>
      </c>
      <c r="N371" s="40">
        <v>0.1</v>
      </c>
      <c r="O371" s="40">
        <v>0</v>
      </c>
      <c r="P371" s="40">
        <v>0</v>
      </c>
      <c r="Q371" s="40">
        <v>6</v>
      </c>
      <c r="R371" s="40">
        <v>0</v>
      </c>
      <c r="S371" s="2">
        <f t="shared" si="38"/>
        <v>90.100000000000065</v>
      </c>
      <c r="T371" s="2">
        <v>0</v>
      </c>
      <c r="U371" s="2">
        <v>0</v>
      </c>
      <c r="V371" s="2">
        <v>4</v>
      </c>
      <c r="W371" s="2">
        <v>0</v>
      </c>
      <c r="X371" s="2">
        <f t="shared" si="45"/>
        <v>121</v>
      </c>
      <c r="Z371" s="1">
        <v>85</v>
      </c>
      <c r="AA371" s="1">
        <v>56</v>
      </c>
      <c r="AB371" s="2">
        <f t="shared" si="46"/>
        <v>141</v>
      </c>
      <c r="AD371" s="121"/>
      <c r="AE371" s="121"/>
    </row>
    <row r="372" spans="1:31" x14ac:dyDescent="0.25">
      <c r="A372" s="2" t="s">
        <v>366</v>
      </c>
      <c r="B372" s="7">
        <v>0.39583333333333331</v>
      </c>
      <c r="C372" s="2">
        <v>1.5</v>
      </c>
      <c r="D372" s="10" t="s">
        <v>364</v>
      </c>
      <c r="E372" s="40">
        <v>0</v>
      </c>
      <c r="F372" s="40">
        <v>4</v>
      </c>
      <c r="G372" s="40">
        <v>1.5</v>
      </c>
      <c r="H372" s="3">
        <f t="shared" si="41"/>
        <v>0</v>
      </c>
      <c r="I372" s="3">
        <f t="shared" si="42"/>
        <v>0.25</v>
      </c>
      <c r="J372" s="3">
        <f t="shared" si="43"/>
        <v>9.375E-2</v>
      </c>
      <c r="K372" s="3"/>
      <c r="L372" s="4">
        <f t="shared" si="44"/>
        <v>392.91833333333324</v>
      </c>
      <c r="M372" s="40">
        <v>0</v>
      </c>
      <c r="N372" s="40">
        <v>0</v>
      </c>
      <c r="O372" s="40">
        <v>0</v>
      </c>
      <c r="P372" s="40">
        <v>0</v>
      </c>
      <c r="Q372" s="40">
        <v>1</v>
      </c>
      <c r="R372" s="40">
        <v>0</v>
      </c>
      <c r="S372" s="2">
        <f t="shared" si="38"/>
        <v>89.100000000000065</v>
      </c>
      <c r="T372" s="2">
        <v>0</v>
      </c>
      <c r="U372" s="2">
        <v>0</v>
      </c>
      <c r="V372" s="2">
        <v>0</v>
      </c>
      <c r="W372" s="2">
        <v>0</v>
      </c>
      <c r="X372" s="2">
        <f t="shared" si="45"/>
        <v>121</v>
      </c>
      <c r="Z372" s="1">
        <v>85</v>
      </c>
      <c r="AA372" s="1">
        <v>56</v>
      </c>
      <c r="AB372" s="2">
        <f t="shared" si="46"/>
        <v>141</v>
      </c>
      <c r="AD372" s="121"/>
      <c r="AE372" s="121"/>
    </row>
    <row r="373" spans="1:31" x14ac:dyDescent="0.25">
      <c r="A373" s="2" t="s">
        <v>366</v>
      </c>
      <c r="B373" s="7">
        <v>0.47916666666666669</v>
      </c>
      <c r="C373" s="2">
        <v>2</v>
      </c>
      <c r="D373" s="10" t="s">
        <v>367</v>
      </c>
      <c r="E373" s="40">
        <v>0</v>
      </c>
      <c r="F373" s="40">
        <v>2.2000000000000002</v>
      </c>
      <c r="G373" s="40">
        <v>2</v>
      </c>
      <c r="H373" s="3">
        <f t="shared" si="41"/>
        <v>0</v>
      </c>
      <c r="I373" s="3">
        <f t="shared" si="42"/>
        <v>0.18333333333333335</v>
      </c>
      <c r="J373" s="3">
        <f t="shared" si="43"/>
        <v>0.16666666666666666</v>
      </c>
      <c r="K373" s="3"/>
      <c r="L373" s="4">
        <f t="shared" si="44"/>
        <v>392.56833333333321</v>
      </c>
      <c r="M373" s="40">
        <v>0</v>
      </c>
      <c r="N373" s="40">
        <v>0</v>
      </c>
      <c r="O373" s="40">
        <v>0</v>
      </c>
      <c r="P373" s="40">
        <v>0</v>
      </c>
      <c r="Q373" s="40">
        <v>0</v>
      </c>
      <c r="R373" s="40">
        <v>0</v>
      </c>
      <c r="S373" s="2">
        <f t="shared" si="38"/>
        <v>89.100000000000065</v>
      </c>
      <c r="T373" s="2">
        <v>0</v>
      </c>
      <c r="U373" s="2">
        <v>0</v>
      </c>
      <c r="V373" s="2">
        <v>0</v>
      </c>
      <c r="W373" s="2">
        <v>0</v>
      </c>
      <c r="X373" s="2">
        <f t="shared" si="45"/>
        <v>121</v>
      </c>
      <c r="Z373" s="1">
        <v>85</v>
      </c>
      <c r="AA373" s="1">
        <v>56</v>
      </c>
      <c r="AB373" s="2">
        <f t="shared" si="46"/>
        <v>141</v>
      </c>
      <c r="AD373" s="121"/>
      <c r="AE373" s="121"/>
    </row>
    <row r="374" spans="1:31" x14ac:dyDescent="0.25">
      <c r="A374" s="2" t="s">
        <v>366</v>
      </c>
      <c r="B374" s="7">
        <v>0.54166666666666663</v>
      </c>
      <c r="C374" s="2">
        <v>1.5</v>
      </c>
      <c r="D374" s="10" t="s">
        <v>105</v>
      </c>
      <c r="E374" s="40">
        <v>1.5</v>
      </c>
      <c r="F374" s="40">
        <v>2</v>
      </c>
      <c r="G374" s="40">
        <v>0</v>
      </c>
      <c r="H374" s="3">
        <f t="shared" si="41"/>
        <v>9.375E-2</v>
      </c>
      <c r="I374" s="3">
        <f t="shared" si="42"/>
        <v>0.125</v>
      </c>
      <c r="J374" s="3">
        <f t="shared" si="43"/>
        <v>0</v>
      </c>
      <c r="K374" s="3"/>
      <c r="L374" s="4">
        <f t="shared" si="44"/>
        <v>392.34958333333321</v>
      </c>
      <c r="M374" s="40">
        <v>0</v>
      </c>
      <c r="N374" s="40">
        <v>0</v>
      </c>
      <c r="O374" s="40">
        <v>0</v>
      </c>
      <c r="P374" s="40">
        <v>0</v>
      </c>
      <c r="Q374" s="40">
        <v>0</v>
      </c>
      <c r="R374" s="40">
        <v>0</v>
      </c>
      <c r="S374" s="2">
        <f t="shared" si="38"/>
        <v>89.100000000000065</v>
      </c>
      <c r="T374" s="2">
        <v>0</v>
      </c>
      <c r="U374" s="2">
        <v>0</v>
      </c>
      <c r="V374" s="2">
        <v>1</v>
      </c>
      <c r="W374" s="2">
        <v>0</v>
      </c>
      <c r="X374" s="2">
        <f t="shared" si="45"/>
        <v>120</v>
      </c>
      <c r="Z374" s="1"/>
      <c r="AA374" s="1"/>
      <c r="AB374" s="2" t="str">
        <f t="shared" si="46"/>
        <v/>
      </c>
      <c r="AD374" s="121"/>
      <c r="AE374" s="121"/>
    </row>
    <row r="375" spans="1:31" x14ac:dyDescent="0.25">
      <c r="A375" s="2" t="s">
        <v>366</v>
      </c>
      <c r="B375" s="7">
        <v>0.70000000000000007</v>
      </c>
      <c r="C375" s="2">
        <v>3.8</v>
      </c>
      <c r="D375" s="10" t="s">
        <v>374</v>
      </c>
      <c r="E375" s="40">
        <v>20</v>
      </c>
      <c r="F375" s="40">
        <v>2.2000000000000002</v>
      </c>
      <c r="G375" s="40">
        <v>0</v>
      </c>
      <c r="H375" s="3">
        <f t="shared" si="41"/>
        <v>3.1666666666666665</v>
      </c>
      <c r="I375" s="3">
        <f t="shared" si="42"/>
        <v>0.34833333333333333</v>
      </c>
      <c r="J375" s="3">
        <f t="shared" si="43"/>
        <v>0</v>
      </c>
      <c r="K375" s="3"/>
      <c r="L375" s="4">
        <f t="shared" si="44"/>
        <v>388.83458333333323</v>
      </c>
      <c r="M375" s="40">
        <v>0</v>
      </c>
      <c r="N375" s="40">
        <v>0</v>
      </c>
      <c r="O375" s="40">
        <v>0</v>
      </c>
      <c r="P375" s="40">
        <v>0</v>
      </c>
      <c r="Q375" s="40">
        <v>0</v>
      </c>
      <c r="R375" s="40">
        <v>0</v>
      </c>
      <c r="S375" s="2">
        <f t="shared" si="38"/>
        <v>89.100000000000065</v>
      </c>
      <c r="T375" s="2">
        <v>0</v>
      </c>
      <c r="U375" s="2">
        <v>0</v>
      </c>
      <c r="V375" s="2">
        <v>1</v>
      </c>
      <c r="W375" s="2">
        <v>0</v>
      </c>
      <c r="X375" s="2">
        <f t="shared" si="45"/>
        <v>119</v>
      </c>
      <c r="Z375" s="1"/>
      <c r="AA375" s="1"/>
      <c r="AB375" s="2" t="str">
        <f t="shared" si="46"/>
        <v/>
      </c>
      <c r="AD375" s="121">
        <v>12.5</v>
      </c>
      <c r="AE375" s="121" t="s">
        <v>1296</v>
      </c>
    </row>
    <row r="376" spans="1:31" x14ac:dyDescent="0.25">
      <c r="A376" s="2" t="s">
        <v>366</v>
      </c>
      <c r="B376" s="7">
        <v>0.71666666666666667</v>
      </c>
      <c r="C376" s="2">
        <v>0.4</v>
      </c>
      <c r="D376" s="10" t="s">
        <v>368</v>
      </c>
      <c r="E376" s="40">
        <v>0</v>
      </c>
      <c r="F376" s="40">
        <v>2.2000000000000002</v>
      </c>
      <c r="G376" s="40">
        <v>2</v>
      </c>
      <c r="H376" s="3">
        <f t="shared" si="41"/>
        <v>0</v>
      </c>
      <c r="I376" s="3">
        <f t="shared" si="42"/>
        <v>3.6666666666666674E-2</v>
      </c>
      <c r="J376" s="3">
        <f t="shared" si="43"/>
        <v>3.3333333333333333E-2</v>
      </c>
      <c r="K376" s="3"/>
      <c r="L376" s="4">
        <f t="shared" si="44"/>
        <v>388.76458333333323</v>
      </c>
      <c r="M376" s="40">
        <v>0</v>
      </c>
      <c r="N376" s="40">
        <v>0</v>
      </c>
      <c r="O376" s="40">
        <v>0</v>
      </c>
      <c r="P376" s="40">
        <v>0</v>
      </c>
      <c r="Q376" s="40">
        <v>0</v>
      </c>
      <c r="R376" s="40">
        <v>0</v>
      </c>
      <c r="S376" s="2">
        <f t="shared" si="38"/>
        <v>89.100000000000065</v>
      </c>
      <c r="T376" s="2">
        <v>0</v>
      </c>
      <c r="U376" s="2">
        <v>0</v>
      </c>
      <c r="V376" s="2">
        <v>0</v>
      </c>
      <c r="W376" s="2">
        <v>0</v>
      </c>
      <c r="X376" s="2">
        <f t="shared" si="45"/>
        <v>119</v>
      </c>
      <c r="Z376" s="1"/>
      <c r="AA376" s="1"/>
      <c r="AB376" s="2" t="str">
        <f t="shared" si="46"/>
        <v/>
      </c>
      <c r="AD376" s="121"/>
      <c r="AE376" s="121"/>
    </row>
    <row r="377" spans="1:31" x14ac:dyDescent="0.25">
      <c r="A377" s="2" t="s">
        <v>369</v>
      </c>
      <c r="B377" s="7">
        <v>0.33333333333333331</v>
      </c>
      <c r="C377" s="2">
        <v>14.8</v>
      </c>
      <c r="D377" s="10" t="s">
        <v>368</v>
      </c>
      <c r="E377" s="40">
        <v>0</v>
      </c>
      <c r="F377" s="40">
        <v>2.2000000000000002</v>
      </c>
      <c r="G377" s="40">
        <v>2</v>
      </c>
      <c r="H377" s="3">
        <f t="shared" si="41"/>
        <v>0</v>
      </c>
      <c r="I377" s="3">
        <f t="shared" si="42"/>
        <v>1.3566666666666669</v>
      </c>
      <c r="J377" s="3">
        <f t="shared" si="43"/>
        <v>1.2333333333333334</v>
      </c>
      <c r="K377" s="3"/>
      <c r="L377" s="4">
        <f t="shared" si="44"/>
        <v>386.17458333333326</v>
      </c>
      <c r="M377" s="40">
        <v>0</v>
      </c>
      <c r="N377" s="40">
        <v>0</v>
      </c>
      <c r="O377" s="40">
        <v>0.1</v>
      </c>
      <c r="P377" s="40">
        <v>0</v>
      </c>
      <c r="Q377" s="40">
        <v>0</v>
      </c>
      <c r="R377" s="40">
        <v>0</v>
      </c>
      <c r="S377" s="2">
        <f t="shared" si="38"/>
        <v>89.000000000000071</v>
      </c>
      <c r="T377" s="2">
        <v>0</v>
      </c>
      <c r="U377" s="2">
        <v>0</v>
      </c>
      <c r="V377" s="2">
        <v>2</v>
      </c>
      <c r="W377" s="2">
        <v>0</v>
      </c>
      <c r="X377" s="2">
        <f t="shared" si="45"/>
        <v>117</v>
      </c>
      <c r="Z377" s="1">
        <v>83</v>
      </c>
      <c r="AA377" s="1">
        <v>56</v>
      </c>
      <c r="AB377" s="2">
        <f t="shared" si="46"/>
        <v>139</v>
      </c>
      <c r="AD377" s="121"/>
      <c r="AE377" s="121"/>
    </row>
    <row r="378" spans="1:31" x14ac:dyDescent="0.25">
      <c r="A378" s="2" t="s">
        <v>369</v>
      </c>
      <c r="B378" s="7">
        <v>0.35416666666666669</v>
      </c>
      <c r="C378" s="2">
        <v>0.5</v>
      </c>
      <c r="D378" s="10" t="s">
        <v>373</v>
      </c>
      <c r="E378" s="40">
        <v>0</v>
      </c>
      <c r="F378" s="40">
        <v>2.2000000000000002</v>
      </c>
      <c r="G378" s="40">
        <v>2</v>
      </c>
      <c r="H378" s="3">
        <f t="shared" si="41"/>
        <v>0</v>
      </c>
      <c r="I378" s="3">
        <f t="shared" si="42"/>
        <v>4.5833333333333337E-2</v>
      </c>
      <c r="J378" s="3">
        <f t="shared" si="43"/>
        <v>4.1666666666666664E-2</v>
      </c>
      <c r="K378" s="3"/>
      <c r="L378" s="4">
        <f t="shared" si="44"/>
        <v>386.08708333333328</v>
      </c>
      <c r="M378" s="40">
        <v>0</v>
      </c>
      <c r="N378" s="40">
        <v>0</v>
      </c>
      <c r="O378" s="40">
        <v>0</v>
      </c>
      <c r="P378" s="40">
        <v>0</v>
      </c>
      <c r="Q378" s="40">
        <v>0</v>
      </c>
      <c r="R378" s="40">
        <v>0</v>
      </c>
      <c r="S378" s="2">
        <f t="shared" si="38"/>
        <v>89.000000000000071</v>
      </c>
      <c r="T378" s="2">
        <v>0</v>
      </c>
      <c r="U378" s="2">
        <v>0</v>
      </c>
      <c r="V378" s="2">
        <v>0</v>
      </c>
      <c r="W378" s="2">
        <v>0</v>
      </c>
      <c r="X378" s="2">
        <f t="shared" si="45"/>
        <v>117</v>
      </c>
      <c r="Z378" s="1">
        <v>83</v>
      </c>
      <c r="AA378" s="1">
        <v>56</v>
      </c>
      <c r="AB378" s="2">
        <f t="shared" si="46"/>
        <v>139</v>
      </c>
      <c r="AD378" s="121"/>
      <c r="AE378" s="121"/>
    </row>
    <row r="379" spans="1:31" x14ac:dyDescent="0.25">
      <c r="A379" s="2" t="s">
        <v>369</v>
      </c>
      <c r="B379" s="7">
        <v>0.44166666666666665</v>
      </c>
      <c r="C379" s="2">
        <v>2</v>
      </c>
      <c r="D379" s="10" t="s">
        <v>371</v>
      </c>
      <c r="E379" s="40">
        <v>8</v>
      </c>
      <c r="F379" s="40">
        <v>2.2000000000000002</v>
      </c>
      <c r="G379" s="40">
        <v>0</v>
      </c>
      <c r="H379" s="3">
        <f t="shared" si="41"/>
        <v>0.66666666666666663</v>
      </c>
      <c r="I379" s="3">
        <f t="shared" si="42"/>
        <v>0.18333333333333335</v>
      </c>
      <c r="J379" s="3">
        <f t="shared" si="43"/>
        <v>0</v>
      </c>
      <c r="K379" s="3"/>
      <c r="L379" s="4">
        <f t="shared" si="44"/>
        <v>385.23708333333326</v>
      </c>
      <c r="M379" s="40">
        <v>0</v>
      </c>
      <c r="N379" s="40">
        <v>0</v>
      </c>
      <c r="O379" s="40">
        <v>0</v>
      </c>
      <c r="P379" s="40">
        <v>0</v>
      </c>
      <c r="Q379" s="40">
        <v>0</v>
      </c>
      <c r="R379" s="40">
        <v>0</v>
      </c>
      <c r="S379" s="2">
        <f t="shared" si="38"/>
        <v>89.000000000000071</v>
      </c>
      <c r="T379" s="2">
        <v>0</v>
      </c>
      <c r="U379" s="2">
        <v>0</v>
      </c>
      <c r="V379" s="2">
        <v>0</v>
      </c>
      <c r="W379" s="2">
        <v>0</v>
      </c>
      <c r="X379" s="2">
        <f t="shared" si="45"/>
        <v>117</v>
      </c>
      <c r="Z379" s="1"/>
      <c r="AA379" s="1"/>
      <c r="AB379" s="2" t="str">
        <f t="shared" si="46"/>
        <v/>
      </c>
      <c r="AD379" s="121"/>
      <c r="AE379" s="121"/>
    </row>
    <row r="380" spans="1:31" x14ac:dyDescent="0.25">
      <c r="A380" s="7" t="s">
        <v>369</v>
      </c>
      <c r="B380" s="7">
        <v>0.75</v>
      </c>
      <c r="C380" s="2">
        <v>7.4</v>
      </c>
      <c r="D380" s="10" t="s">
        <v>370</v>
      </c>
      <c r="E380" s="40">
        <v>0</v>
      </c>
      <c r="F380" s="40">
        <v>2.2000000000000002</v>
      </c>
      <c r="G380" s="40">
        <v>2</v>
      </c>
      <c r="H380" s="3">
        <f t="shared" si="41"/>
        <v>0</v>
      </c>
      <c r="I380" s="3">
        <f t="shared" si="42"/>
        <v>0.67833333333333345</v>
      </c>
      <c r="J380" s="3">
        <f t="shared" si="43"/>
        <v>0.6166666666666667</v>
      </c>
      <c r="K380" s="3"/>
      <c r="L380" s="4">
        <f t="shared" si="44"/>
        <v>383.94208333333324</v>
      </c>
      <c r="M380" s="40">
        <v>0</v>
      </c>
      <c r="N380" s="40">
        <v>0</v>
      </c>
      <c r="O380" s="40">
        <v>0</v>
      </c>
      <c r="P380" s="40">
        <v>0</v>
      </c>
      <c r="Q380" s="40">
        <v>2</v>
      </c>
      <c r="R380" s="40">
        <v>0</v>
      </c>
      <c r="S380" s="2">
        <f t="shared" si="38"/>
        <v>87.000000000000071</v>
      </c>
      <c r="T380" s="2">
        <v>0</v>
      </c>
      <c r="U380" s="2">
        <v>0</v>
      </c>
      <c r="V380" s="2">
        <v>2</v>
      </c>
      <c r="W380" s="2">
        <v>0</v>
      </c>
      <c r="X380" s="2">
        <f t="shared" si="45"/>
        <v>115</v>
      </c>
      <c r="Z380" s="1"/>
      <c r="AA380" s="1"/>
      <c r="AB380" s="2" t="str">
        <f t="shared" si="46"/>
        <v/>
      </c>
      <c r="AD380" s="121"/>
      <c r="AE380" s="121"/>
    </row>
    <row r="381" spans="1:31" x14ac:dyDescent="0.25">
      <c r="A381" s="2" t="s">
        <v>369</v>
      </c>
      <c r="B381" s="7">
        <v>0.89583333333333337</v>
      </c>
      <c r="C381" s="2">
        <v>3.5</v>
      </c>
      <c r="D381" s="10" t="s">
        <v>372</v>
      </c>
      <c r="E381" s="40">
        <v>0</v>
      </c>
      <c r="F381" s="40">
        <v>2.2000000000000002</v>
      </c>
      <c r="G381" s="40">
        <v>2</v>
      </c>
      <c r="H381" s="3">
        <f t="shared" si="41"/>
        <v>0</v>
      </c>
      <c r="I381" s="3">
        <f t="shared" si="42"/>
        <v>0.32083333333333336</v>
      </c>
      <c r="J381" s="3">
        <f t="shared" si="43"/>
        <v>0.29166666666666663</v>
      </c>
      <c r="K381" s="3"/>
      <c r="L381" s="4">
        <f t="shared" si="44"/>
        <v>383.32958333333323</v>
      </c>
      <c r="M381" s="40">
        <v>0</v>
      </c>
      <c r="N381" s="40">
        <v>0</v>
      </c>
      <c r="O381" s="40">
        <v>0</v>
      </c>
      <c r="P381" s="40">
        <v>0</v>
      </c>
      <c r="Q381" s="40">
        <v>0</v>
      </c>
      <c r="R381" s="40">
        <v>0</v>
      </c>
      <c r="S381" s="2">
        <f t="shared" si="38"/>
        <v>87.000000000000071</v>
      </c>
      <c r="T381" s="2">
        <v>0</v>
      </c>
      <c r="U381" s="2">
        <v>0</v>
      </c>
      <c r="V381" s="2">
        <v>0</v>
      </c>
      <c r="W381" s="2">
        <v>0</v>
      </c>
      <c r="X381" s="2">
        <f t="shared" si="45"/>
        <v>115</v>
      </c>
      <c r="Z381" s="1"/>
      <c r="AA381" s="1"/>
      <c r="AB381" s="2" t="str">
        <f t="shared" si="46"/>
        <v/>
      </c>
      <c r="AD381" s="121"/>
      <c r="AE381" s="121"/>
    </row>
    <row r="382" spans="1:31" x14ac:dyDescent="0.25">
      <c r="A382" s="2" t="s">
        <v>369</v>
      </c>
      <c r="B382" s="7">
        <v>0.95833333333333337</v>
      </c>
      <c r="C382" s="2">
        <v>1.5</v>
      </c>
      <c r="D382" s="10" t="s">
        <v>375</v>
      </c>
      <c r="E382" s="40">
        <v>8</v>
      </c>
      <c r="F382" s="40">
        <v>2.2000000000000002</v>
      </c>
      <c r="G382" s="40">
        <v>0</v>
      </c>
      <c r="H382" s="3">
        <f t="shared" si="41"/>
        <v>0.5</v>
      </c>
      <c r="I382" s="3">
        <f t="shared" si="42"/>
        <v>0.13750000000000001</v>
      </c>
      <c r="J382" s="3">
        <f t="shared" si="43"/>
        <v>0</v>
      </c>
      <c r="K382" s="3"/>
      <c r="L382" s="4">
        <f t="shared" si="44"/>
        <v>382.69208333333324</v>
      </c>
      <c r="M382" s="40">
        <v>0</v>
      </c>
      <c r="N382" s="40">
        <v>0</v>
      </c>
      <c r="O382" s="40">
        <v>0</v>
      </c>
      <c r="P382" s="40">
        <v>0</v>
      </c>
      <c r="Q382" s="40">
        <v>0</v>
      </c>
      <c r="R382" s="40">
        <v>0</v>
      </c>
      <c r="S382" s="2">
        <f t="shared" si="38"/>
        <v>87.000000000000071</v>
      </c>
      <c r="T382" s="2">
        <v>0</v>
      </c>
      <c r="U382" s="2">
        <v>0</v>
      </c>
      <c r="V382" s="2">
        <v>0</v>
      </c>
      <c r="W382" s="2">
        <v>0</v>
      </c>
      <c r="X382" s="2">
        <f t="shared" si="45"/>
        <v>115</v>
      </c>
      <c r="Z382" s="1"/>
      <c r="AA382" s="1"/>
      <c r="AB382" s="2" t="str">
        <f t="shared" si="46"/>
        <v/>
      </c>
      <c r="AD382" s="121"/>
      <c r="AE382" s="121"/>
    </row>
    <row r="383" spans="1:31" x14ac:dyDescent="0.25">
      <c r="A383" s="2" t="s">
        <v>376</v>
      </c>
      <c r="B383" s="7">
        <v>0.33333333333333331</v>
      </c>
      <c r="C383" s="2">
        <v>9</v>
      </c>
      <c r="D383" s="10" t="s">
        <v>355</v>
      </c>
      <c r="E383" s="40">
        <v>20</v>
      </c>
      <c r="F383" s="40">
        <v>2.2000000000000002</v>
      </c>
      <c r="G383" s="40">
        <v>0</v>
      </c>
      <c r="H383" s="3">
        <f t="shared" si="41"/>
        <v>7.5</v>
      </c>
      <c r="I383" s="3">
        <f t="shared" si="42"/>
        <v>0.82500000000000007</v>
      </c>
      <c r="J383" s="3">
        <f t="shared" si="43"/>
        <v>0</v>
      </c>
      <c r="K383" s="3"/>
      <c r="L383" s="4">
        <f t="shared" si="44"/>
        <v>374.36708333333326</v>
      </c>
      <c r="M383" s="40">
        <v>0</v>
      </c>
      <c r="N383" s="40">
        <v>0.1</v>
      </c>
      <c r="O383" s="40">
        <v>0</v>
      </c>
      <c r="P383" s="40">
        <v>0</v>
      </c>
      <c r="Q383" s="40">
        <v>0</v>
      </c>
      <c r="R383" s="40">
        <v>0</v>
      </c>
      <c r="S383" s="2">
        <f t="shared" si="38"/>
        <v>86.900000000000077</v>
      </c>
      <c r="T383" s="2">
        <v>0</v>
      </c>
      <c r="U383" s="2">
        <v>0</v>
      </c>
      <c r="V383" s="2">
        <v>2</v>
      </c>
      <c r="W383" s="2">
        <v>0</v>
      </c>
      <c r="X383" s="2">
        <f t="shared" si="45"/>
        <v>113</v>
      </c>
      <c r="Z383" s="1"/>
      <c r="AA383" s="1"/>
      <c r="AB383" s="2" t="str">
        <f t="shared" si="46"/>
        <v/>
      </c>
      <c r="AD383" s="121"/>
      <c r="AE383" s="121"/>
    </row>
    <row r="384" spans="1:31" x14ac:dyDescent="0.25">
      <c r="A384" s="59"/>
      <c r="B384" s="7"/>
      <c r="C384" s="59"/>
      <c r="D384" s="10"/>
      <c r="E384" s="40"/>
      <c r="F384" s="40"/>
      <c r="G384" s="40"/>
      <c r="H384" s="3"/>
      <c r="I384" s="3"/>
      <c r="J384" s="3"/>
      <c r="K384" s="3"/>
      <c r="L384" s="4"/>
      <c r="M384" s="40"/>
      <c r="N384" s="40"/>
      <c r="O384" s="40"/>
      <c r="P384" s="40"/>
      <c r="Q384" s="40"/>
      <c r="R384" s="40"/>
      <c r="S384" s="59"/>
      <c r="T384" s="59"/>
      <c r="U384" s="59"/>
      <c r="V384" s="59"/>
      <c r="W384" s="59"/>
      <c r="X384" s="59"/>
      <c r="Z384" s="1"/>
      <c r="AA384" s="1"/>
      <c r="AB384" s="59"/>
      <c r="AD384" s="121"/>
      <c r="AE384" s="121"/>
    </row>
    <row r="385" spans="1:31" x14ac:dyDescent="0.25">
      <c r="A385" s="9" t="s">
        <v>377</v>
      </c>
      <c r="B385" s="7">
        <v>0.23750000000000002</v>
      </c>
      <c r="C385" s="2">
        <v>21.7</v>
      </c>
      <c r="D385" s="10" t="s">
        <v>374</v>
      </c>
      <c r="E385" s="40">
        <v>20</v>
      </c>
      <c r="F385" s="40">
        <v>2.2000000000000002</v>
      </c>
      <c r="G385" s="40">
        <v>0</v>
      </c>
      <c r="H385" s="3">
        <f t="shared" si="41"/>
        <v>18.083333333333332</v>
      </c>
      <c r="I385" s="3">
        <f t="shared" si="42"/>
        <v>1.9891666666666667</v>
      </c>
      <c r="J385" s="3">
        <f t="shared" si="43"/>
        <v>0</v>
      </c>
      <c r="K385" s="3"/>
      <c r="L385" s="4">
        <f>+IF(C385="","",((L383-(H385+I385+J385))+K385))</f>
        <v>354.29458333333326</v>
      </c>
      <c r="M385" s="40">
        <v>0</v>
      </c>
      <c r="N385" s="40">
        <v>0.1</v>
      </c>
      <c r="O385" s="40">
        <v>0</v>
      </c>
      <c r="P385" s="40">
        <v>0</v>
      </c>
      <c r="Q385" s="40">
        <v>0</v>
      </c>
      <c r="R385" s="40">
        <v>0</v>
      </c>
      <c r="S385" s="2">
        <f>IF(C385="","",(S383+R385)-(M385+N385+O385+P385+Q385))</f>
        <v>86.800000000000082</v>
      </c>
      <c r="T385" s="2">
        <v>0</v>
      </c>
      <c r="U385" s="2">
        <v>0</v>
      </c>
      <c r="V385" s="2">
        <v>4</v>
      </c>
      <c r="W385" s="2">
        <v>0</v>
      </c>
      <c r="X385" s="2">
        <f>IF(V385="","",((X383+T385+U385)-(V385+W385)))</f>
        <v>109</v>
      </c>
      <c r="Z385" s="1">
        <v>79</v>
      </c>
      <c r="AA385" s="1">
        <v>56</v>
      </c>
      <c r="AB385" s="2">
        <f t="shared" si="46"/>
        <v>135</v>
      </c>
      <c r="AD385" s="121">
        <v>12.7</v>
      </c>
      <c r="AE385" s="121" t="s">
        <v>1301</v>
      </c>
    </row>
    <row r="386" spans="1:31" x14ac:dyDescent="0.25">
      <c r="A386" s="2" t="s">
        <v>377</v>
      </c>
      <c r="B386" s="7">
        <v>0.34166666666666662</v>
      </c>
      <c r="C386" s="2">
        <v>2.5</v>
      </c>
      <c r="D386" s="10" t="s">
        <v>378</v>
      </c>
      <c r="E386" s="40">
        <v>10</v>
      </c>
      <c r="F386" s="40">
        <v>2.2000000000000002</v>
      </c>
      <c r="G386" s="40">
        <v>0</v>
      </c>
      <c r="H386" s="3">
        <f t="shared" si="41"/>
        <v>1.0416666666666667</v>
      </c>
      <c r="I386" s="3">
        <f t="shared" si="42"/>
        <v>0.22916666666666669</v>
      </c>
      <c r="J386" s="3">
        <f t="shared" si="43"/>
        <v>0</v>
      </c>
      <c r="K386" s="3"/>
      <c r="L386" s="4">
        <f t="shared" si="44"/>
        <v>353.02374999999995</v>
      </c>
      <c r="M386" s="40">
        <v>0</v>
      </c>
      <c r="N386" s="40">
        <v>0</v>
      </c>
      <c r="O386" s="40">
        <v>0</v>
      </c>
      <c r="P386" s="40">
        <v>0</v>
      </c>
      <c r="Q386" s="40">
        <v>0</v>
      </c>
      <c r="R386" s="40">
        <v>0</v>
      </c>
      <c r="S386" s="2">
        <f t="shared" si="38"/>
        <v>86.800000000000082</v>
      </c>
      <c r="T386" s="2">
        <v>0</v>
      </c>
      <c r="U386" s="2">
        <v>0</v>
      </c>
      <c r="V386" s="2">
        <v>0</v>
      </c>
      <c r="W386" s="2">
        <v>0</v>
      </c>
      <c r="X386" s="2">
        <f t="shared" si="45"/>
        <v>109</v>
      </c>
      <c r="Z386" s="1"/>
      <c r="AA386" s="1"/>
      <c r="AB386" s="2" t="str">
        <f t="shared" si="46"/>
        <v/>
      </c>
      <c r="AD386" s="121"/>
      <c r="AE386" s="121"/>
    </row>
    <row r="387" spans="1:31" x14ac:dyDescent="0.25">
      <c r="A387" s="2" t="s">
        <v>377</v>
      </c>
      <c r="B387" s="7">
        <v>0.79166666666666663</v>
      </c>
      <c r="C387" s="2">
        <v>10.8</v>
      </c>
      <c r="D387" s="10" t="s">
        <v>378</v>
      </c>
      <c r="E387" s="40">
        <v>0</v>
      </c>
      <c r="F387" s="40">
        <v>2.5</v>
      </c>
      <c r="G387" s="40">
        <v>2</v>
      </c>
      <c r="H387" s="3">
        <f t="shared" si="41"/>
        <v>0</v>
      </c>
      <c r="I387" s="3">
        <f t="shared" si="42"/>
        <v>1.1250000000000002</v>
      </c>
      <c r="J387" s="3">
        <f t="shared" si="43"/>
        <v>0.9</v>
      </c>
      <c r="K387" s="3"/>
      <c r="L387" s="4">
        <f t="shared" si="44"/>
        <v>350.99874999999997</v>
      </c>
      <c r="M387" s="40">
        <v>0</v>
      </c>
      <c r="N387" s="40">
        <v>0</v>
      </c>
      <c r="O387" s="40">
        <v>0</v>
      </c>
      <c r="P387" s="40">
        <v>0</v>
      </c>
      <c r="Q387" s="40">
        <v>3.5</v>
      </c>
      <c r="R387" s="40">
        <v>0</v>
      </c>
      <c r="S387" s="2">
        <f t="shared" si="38"/>
        <v>83.300000000000082</v>
      </c>
      <c r="T387" s="2">
        <v>0</v>
      </c>
      <c r="U387" s="2">
        <v>0</v>
      </c>
      <c r="V387" s="2">
        <v>2</v>
      </c>
      <c r="W387" s="2">
        <v>0</v>
      </c>
      <c r="X387" s="2">
        <f t="shared" si="45"/>
        <v>107</v>
      </c>
      <c r="Z387" s="1"/>
      <c r="AA387" s="1"/>
      <c r="AB387" s="2" t="str">
        <f t="shared" si="46"/>
        <v/>
      </c>
      <c r="AD387" s="121"/>
      <c r="AE387" s="121"/>
    </row>
    <row r="388" spans="1:31" x14ac:dyDescent="0.25">
      <c r="A388" s="2" t="s">
        <v>377</v>
      </c>
      <c r="B388" s="7">
        <v>0.85416666666666663</v>
      </c>
      <c r="C388" s="2">
        <v>1.5</v>
      </c>
      <c r="D388" s="10" t="s">
        <v>379</v>
      </c>
      <c r="E388" s="40">
        <v>0</v>
      </c>
      <c r="F388" s="40">
        <v>2.2000000000000002</v>
      </c>
      <c r="G388" s="40">
        <v>2</v>
      </c>
      <c r="H388" s="3">
        <f t="shared" si="41"/>
        <v>0</v>
      </c>
      <c r="I388" s="3">
        <f t="shared" si="42"/>
        <v>0.13750000000000001</v>
      </c>
      <c r="J388" s="3">
        <f t="shared" si="43"/>
        <v>0.125</v>
      </c>
      <c r="K388" s="3"/>
      <c r="L388" s="4">
        <f t="shared" si="44"/>
        <v>350.73624999999998</v>
      </c>
      <c r="M388" s="40">
        <v>0</v>
      </c>
      <c r="N388" s="40">
        <v>0</v>
      </c>
      <c r="O388" s="40">
        <v>0</v>
      </c>
      <c r="P388" s="40">
        <v>0</v>
      </c>
      <c r="Q388" s="40">
        <v>0</v>
      </c>
      <c r="R388" s="40">
        <v>0</v>
      </c>
      <c r="S388" s="2">
        <f t="shared" ref="S388:S451" si="47">IF(C388="","",(S387+R388)-(M388+N388+O388+P388+Q388))</f>
        <v>83.300000000000082</v>
      </c>
      <c r="T388" s="2">
        <v>0</v>
      </c>
      <c r="U388" s="2">
        <v>0</v>
      </c>
      <c r="V388" s="2">
        <v>0</v>
      </c>
      <c r="W388" s="2">
        <v>0</v>
      </c>
      <c r="X388" s="2">
        <f t="shared" si="45"/>
        <v>107</v>
      </c>
      <c r="Z388" s="1"/>
      <c r="AA388" s="1"/>
      <c r="AB388" s="2" t="str">
        <f t="shared" si="46"/>
        <v/>
      </c>
      <c r="AD388" s="121"/>
      <c r="AE388" s="121"/>
    </row>
    <row r="389" spans="1:31" x14ac:dyDescent="0.25">
      <c r="A389" s="2" t="s">
        <v>377</v>
      </c>
      <c r="B389" s="7">
        <v>0.9375</v>
      </c>
      <c r="C389" s="2">
        <v>2</v>
      </c>
      <c r="D389" s="10" t="s">
        <v>105</v>
      </c>
      <c r="E389" s="40">
        <v>10</v>
      </c>
      <c r="F389" s="40">
        <v>2.2000000000000002</v>
      </c>
      <c r="G389" s="40">
        <v>2</v>
      </c>
      <c r="H389" s="3">
        <f t="shared" si="41"/>
        <v>0.83333333333333337</v>
      </c>
      <c r="I389" s="3">
        <f t="shared" si="42"/>
        <v>0.18333333333333335</v>
      </c>
      <c r="J389" s="3">
        <f t="shared" si="43"/>
        <v>0.16666666666666666</v>
      </c>
      <c r="K389" s="3"/>
      <c r="L389" s="4">
        <f t="shared" si="44"/>
        <v>349.55291666666665</v>
      </c>
      <c r="M389" s="40">
        <v>0</v>
      </c>
      <c r="N389" s="40">
        <v>0</v>
      </c>
      <c r="O389" s="40">
        <v>0</v>
      </c>
      <c r="P389" s="40">
        <v>0</v>
      </c>
      <c r="Q389" s="40">
        <v>0</v>
      </c>
      <c r="R389" s="40">
        <v>0</v>
      </c>
      <c r="S389" s="2">
        <f t="shared" si="47"/>
        <v>83.300000000000082</v>
      </c>
      <c r="T389" s="2">
        <v>0</v>
      </c>
      <c r="U389" s="2">
        <v>0</v>
      </c>
      <c r="V389" s="2">
        <v>0</v>
      </c>
      <c r="W389" s="2">
        <v>0</v>
      </c>
      <c r="X389" s="2">
        <f t="shared" si="45"/>
        <v>107</v>
      </c>
      <c r="Z389" s="1"/>
      <c r="AA389" s="1"/>
      <c r="AB389" s="2" t="str">
        <f t="shared" si="46"/>
        <v/>
      </c>
      <c r="AD389" s="121"/>
      <c r="AE389" s="121"/>
    </row>
    <row r="390" spans="1:31" x14ac:dyDescent="0.25">
      <c r="A390" s="2" t="s">
        <v>382</v>
      </c>
      <c r="B390" s="7">
        <v>0.33333333333333331</v>
      </c>
      <c r="C390" s="2">
        <v>9.5</v>
      </c>
      <c r="D390" s="10" t="s">
        <v>355</v>
      </c>
      <c r="E390" s="40">
        <v>22</v>
      </c>
      <c r="F390" s="40">
        <v>2.2000000000000002</v>
      </c>
      <c r="G390" s="40">
        <v>0</v>
      </c>
      <c r="H390" s="3">
        <f t="shared" si="41"/>
        <v>8.7083333333333321</v>
      </c>
      <c r="I390" s="3">
        <f t="shared" si="42"/>
        <v>0.87083333333333335</v>
      </c>
      <c r="J390" s="3">
        <f t="shared" si="43"/>
        <v>0</v>
      </c>
      <c r="K390" s="3"/>
      <c r="L390" s="4">
        <f t="shared" si="44"/>
        <v>339.97375</v>
      </c>
      <c r="M390" s="40">
        <v>0</v>
      </c>
      <c r="N390" s="40">
        <v>0.1</v>
      </c>
      <c r="O390" s="40">
        <v>0</v>
      </c>
      <c r="P390" s="40">
        <v>0</v>
      </c>
      <c r="Q390" s="40">
        <v>0</v>
      </c>
      <c r="R390" s="40">
        <v>0</v>
      </c>
      <c r="S390" s="2">
        <f t="shared" si="47"/>
        <v>83.200000000000088</v>
      </c>
      <c r="T390" s="2">
        <v>0</v>
      </c>
      <c r="U390" s="2">
        <v>0</v>
      </c>
      <c r="V390" s="2">
        <v>2</v>
      </c>
      <c r="W390" s="2">
        <v>0</v>
      </c>
      <c r="X390" s="2">
        <f t="shared" si="45"/>
        <v>105</v>
      </c>
      <c r="Z390" s="1">
        <v>71</v>
      </c>
      <c r="AA390" s="1">
        <v>56</v>
      </c>
      <c r="AB390" s="2">
        <f t="shared" si="46"/>
        <v>127</v>
      </c>
      <c r="AD390" s="121"/>
      <c r="AE390" s="121"/>
    </row>
    <row r="391" spans="1:31" x14ac:dyDescent="0.25">
      <c r="A391" s="2" t="s">
        <v>382</v>
      </c>
      <c r="B391" s="7">
        <v>0.54166666666666663</v>
      </c>
      <c r="C391" s="2">
        <v>5</v>
      </c>
      <c r="D391" s="10" t="s">
        <v>374</v>
      </c>
      <c r="E391" s="40">
        <v>20</v>
      </c>
      <c r="F391" s="40">
        <v>2.2000000000000002</v>
      </c>
      <c r="G391" s="40">
        <v>0</v>
      </c>
      <c r="H391" s="3">
        <f t="shared" si="41"/>
        <v>4.166666666666667</v>
      </c>
      <c r="I391" s="3">
        <f t="shared" si="42"/>
        <v>0.45833333333333337</v>
      </c>
      <c r="J391" s="3">
        <f t="shared" si="43"/>
        <v>0</v>
      </c>
      <c r="K391" s="3"/>
      <c r="L391" s="4">
        <f t="shared" si="44"/>
        <v>335.34875</v>
      </c>
      <c r="M391" s="40">
        <v>0</v>
      </c>
      <c r="N391" s="40">
        <v>0</v>
      </c>
      <c r="O391" s="40">
        <v>0</v>
      </c>
      <c r="P391" s="40">
        <v>0</v>
      </c>
      <c r="Q391" s="40">
        <v>0</v>
      </c>
      <c r="R391" s="40">
        <v>0</v>
      </c>
      <c r="S391" s="2">
        <f t="shared" si="47"/>
        <v>83.200000000000088</v>
      </c>
      <c r="T391" s="2">
        <v>0</v>
      </c>
      <c r="U391" s="2">
        <v>0</v>
      </c>
      <c r="V391" s="2">
        <v>1</v>
      </c>
      <c r="W391" s="2">
        <v>0</v>
      </c>
      <c r="X391" s="2">
        <f t="shared" si="45"/>
        <v>104</v>
      </c>
      <c r="Z391" s="1"/>
      <c r="AA391" s="1"/>
      <c r="AB391" s="2" t="str">
        <f t="shared" si="46"/>
        <v/>
      </c>
      <c r="AD391" s="121">
        <v>13.2</v>
      </c>
      <c r="AE391" s="121" t="s">
        <v>1306</v>
      </c>
    </row>
    <row r="392" spans="1:31" x14ac:dyDescent="0.25">
      <c r="A392" s="2" t="s">
        <v>382</v>
      </c>
      <c r="B392" s="7">
        <v>0.5625</v>
      </c>
      <c r="C392" s="2">
        <v>0.5</v>
      </c>
      <c r="D392" s="10" t="s">
        <v>380</v>
      </c>
      <c r="E392" s="40">
        <v>10</v>
      </c>
      <c r="F392" s="40">
        <v>2.2000000000000002</v>
      </c>
      <c r="G392" s="40">
        <v>1</v>
      </c>
      <c r="H392" s="3">
        <f t="shared" si="41"/>
        <v>0.20833333333333334</v>
      </c>
      <c r="I392" s="3">
        <f t="shared" si="42"/>
        <v>4.5833333333333337E-2</v>
      </c>
      <c r="J392" s="3">
        <f t="shared" si="43"/>
        <v>2.0833333333333332E-2</v>
      </c>
      <c r="K392" s="3"/>
      <c r="L392" s="4">
        <f t="shared" si="44"/>
        <v>335.07375000000002</v>
      </c>
      <c r="M392" s="40">
        <v>0</v>
      </c>
      <c r="N392" s="40">
        <v>0</v>
      </c>
      <c r="O392" s="40">
        <v>0</v>
      </c>
      <c r="P392" s="40">
        <v>0</v>
      </c>
      <c r="Q392" s="40">
        <v>0</v>
      </c>
      <c r="R392" s="40">
        <v>0</v>
      </c>
      <c r="S392" s="2">
        <f t="shared" si="47"/>
        <v>83.200000000000088</v>
      </c>
      <c r="T392" s="2">
        <v>0</v>
      </c>
      <c r="U392" s="2">
        <v>0</v>
      </c>
      <c r="V392" s="2">
        <v>0</v>
      </c>
      <c r="W392" s="2">
        <v>0</v>
      </c>
      <c r="X392" s="2">
        <f t="shared" si="45"/>
        <v>104</v>
      </c>
      <c r="Z392" s="1"/>
      <c r="AA392" s="1"/>
      <c r="AB392" s="2" t="str">
        <f t="shared" si="46"/>
        <v/>
      </c>
      <c r="AD392" s="121"/>
      <c r="AE392" s="121"/>
    </row>
    <row r="393" spans="1:31" x14ac:dyDescent="0.25">
      <c r="A393" s="2" t="s">
        <v>279</v>
      </c>
      <c r="B393" s="7">
        <v>0.33333333333333331</v>
      </c>
      <c r="C393" s="2">
        <v>18.5</v>
      </c>
      <c r="D393" s="10" t="s">
        <v>380</v>
      </c>
      <c r="E393" s="40">
        <v>0</v>
      </c>
      <c r="F393" s="40">
        <v>2.2000000000000002</v>
      </c>
      <c r="G393" s="40">
        <v>2</v>
      </c>
      <c r="H393" s="3">
        <f t="shared" si="41"/>
        <v>0</v>
      </c>
      <c r="I393" s="3">
        <f t="shared" si="42"/>
        <v>1.6958333333333335</v>
      </c>
      <c r="J393" s="3">
        <f t="shared" si="43"/>
        <v>1.5416666666666665</v>
      </c>
      <c r="K393" s="3"/>
      <c r="L393" s="4">
        <f t="shared" si="44"/>
        <v>331.83625000000001</v>
      </c>
      <c r="M393" s="40">
        <v>0</v>
      </c>
      <c r="N393" s="40">
        <v>0.1</v>
      </c>
      <c r="O393" s="40">
        <v>0</v>
      </c>
      <c r="P393" s="40">
        <v>0</v>
      </c>
      <c r="Q393" s="40">
        <v>0</v>
      </c>
      <c r="R393" s="40">
        <v>0</v>
      </c>
      <c r="S393" s="2">
        <f t="shared" si="47"/>
        <v>83.100000000000094</v>
      </c>
      <c r="T393" s="2">
        <v>0</v>
      </c>
      <c r="U393" s="2">
        <v>0</v>
      </c>
      <c r="V393" s="2">
        <v>3</v>
      </c>
      <c r="W393" s="2">
        <v>0</v>
      </c>
      <c r="X393" s="2">
        <f t="shared" si="45"/>
        <v>101</v>
      </c>
      <c r="Z393" s="1">
        <v>67</v>
      </c>
      <c r="AA393" s="1">
        <v>56</v>
      </c>
      <c r="AB393" s="2">
        <f t="shared" si="46"/>
        <v>123</v>
      </c>
      <c r="AD393" s="121"/>
      <c r="AE393" s="121"/>
    </row>
    <row r="394" spans="1:31" x14ac:dyDescent="0.25">
      <c r="A394" s="2" t="s">
        <v>279</v>
      </c>
      <c r="B394" s="7">
        <v>0.4291666666666667</v>
      </c>
      <c r="C394" s="2">
        <v>2</v>
      </c>
      <c r="D394" s="10" t="s">
        <v>381</v>
      </c>
      <c r="E394" s="40">
        <v>0</v>
      </c>
      <c r="F394" s="40">
        <v>2.2000000000000002</v>
      </c>
      <c r="G394" s="40">
        <v>2</v>
      </c>
      <c r="H394" s="3">
        <f t="shared" si="41"/>
        <v>0</v>
      </c>
      <c r="I394" s="3">
        <f t="shared" si="42"/>
        <v>0.18333333333333335</v>
      </c>
      <c r="J394" s="3">
        <f t="shared" si="43"/>
        <v>0.16666666666666666</v>
      </c>
      <c r="K394" s="3"/>
      <c r="L394" s="4">
        <f t="shared" si="44"/>
        <v>331.48624999999998</v>
      </c>
      <c r="M394" s="40">
        <v>0</v>
      </c>
      <c r="N394" s="40">
        <v>0</v>
      </c>
      <c r="O394" s="40">
        <v>0</v>
      </c>
      <c r="P394" s="40">
        <v>0</v>
      </c>
      <c r="Q394" s="40">
        <v>0</v>
      </c>
      <c r="R394" s="40">
        <v>0</v>
      </c>
      <c r="S394" s="2">
        <f t="shared" si="47"/>
        <v>83.100000000000094</v>
      </c>
      <c r="T394" s="2">
        <v>0</v>
      </c>
      <c r="U394" s="2">
        <v>0</v>
      </c>
      <c r="V394" s="2">
        <v>0</v>
      </c>
      <c r="W394" s="2">
        <v>0</v>
      </c>
      <c r="X394" s="2">
        <f t="shared" si="45"/>
        <v>101</v>
      </c>
      <c r="Z394" s="1"/>
      <c r="AA394" s="1"/>
      <c r="AB394" s="2" t="str">
        <f t="shared" si="46"/>
        <v/>
      </c>
      <c r="AD394" s="121"/>
      <c r="AE394" s="121"/>
    </row>
    <row r="395" spans="1:31" x14ac:dyDescent="0.25">
      <c r="A395" s="2" t="s">
        <v>279</v>
      </c>
      <c r="B395" s="7">
        <v>0.47916666666666669</v>
      </c>
      <c r="C395" s="2">
        <v>1.5</v>
      </c>
      <c r="D395" s="10" t="s">
        <v>385</v>
      </c>
      <c r="E395" s="40">
        <v>10</v>
      </c>
      <c r="F395" s="40">
        <v>2.2000000000000002</v>
      </c>
      <c r="G395" s="40">
        <v>2</v>
      </c>
      <c r="H395" s="3">
        <f t="shared" si="41"/>
        <v>0.625</v>
      </c>
      <c r="I395" s="3">
        <f t="shared" si="42"/>
        <v>0.13750000000000001</v>
      </c>
      <c r="J395" s="3">
        <f t="shared" si="43"/>
        <v>0.125</v>
      </c>
      <c r="K395" s="3"/>
      <c r="L395" s="4">
        <f t="shared" si="44"/>
        <v>330.59875</v>
      </c>
      <c r="M395" s="40">
        <v>0</v>
      </c>
      <c r="N395" s="40">
        <v>0</v>
      </c>
      <c r="O395" s="40">
        <v>0</v>
      </c>
      <c r="P395" s="40">
        <v>0</v>
      </c>
      <c r="Q395" s="40">
        <v>0</v>
      </c>
      <c r="R395" s="40">
        <v>0</v>
      </c>
      <c r="S395" s="2">
        <f t="shared" si="47"/>
        <v>83.100000000000094</v>
      </c>
      <c r="T395" s="2">
        <v>0</v>
      </c>
      <c r="U395" s="2">
        <v>0</v>
      </c>
      <c r="V395" s="2">
        <v>0</v>
      </c>
      <c r="W395" s="2">
        <v>0</v>
      </c>
      <c r="X395" s="2">
        <f t="shared" si="45"/>
        <v>101</v>
      </c>
      <c r="Z395" s="1"/>
      <c r="AA395" s="1"/>
      <c r="AB395" s="2" t="str">
        <f t="shared" si="46"/>
        <v/>
      </c>
      <c r="AD395" s="121"/>
      <c r="AE395" s="121"/>
    </row>
    <row r="396" spans="1:31" x14ac:dyDescent="0.25">
      <c r="A396" s="2" t="s">
        <v>280</v>
      </c>
      <c r="B396" s="7">
        <v>0.33333333333333331</v>
      </c>
      <c r="C396" s="2">
        <v>20.5</v>
      </c>
      <c r="D396" s="10" t="s">
        <v>383</v>
      </c>
      <c r="E396" s="40">
        <v>0</v>
      </c>
      <c r="F396" s="40">
        <v>2.2000000000000002</v>
      </c>
      <c r="G396" s="40">
        <v>1.5</v>
      </c>
      <c r="H396" s="3">
        <f t="shared" si="41"/>
        <v>0</v>
      </c>
      <c r="I396" s="3">
        <f t="shared" si="42"/>
        <v>1.8791666666666669</v>
      </c>
      <c r="J396" s="3">
        <f t="shared" si="43"/>
        <v>1.28125</v>
      </c>
      <c r="K396" s="3"/>
      <c r="L396" s="4">
        <f t="shared" si="44"/>
        <v>327.43833333333333</v>
      </c>
      <c r="M396" s="40">
        <v>0</v>
      </c>
      <c r="N396" s="40">
        <v>0.1</v>
      </c>
      <c r="O396" s="40">
        <v>0</v>
      </c>
      <c r="P396" s="40">
        <v>0</v>
      </c>
      <c r="Q396" s="40">
        <v>0</v>
      </c>
      <c r="R396" s="40">
        <v>0</v>
      </c>
      <c r="S396" s="2">
        <f t="shared" si="47"/>
        <v>83.000000000000099</v>
      </c>
      <c r="T396" s="2">
        <v>0</v>
      </c>
      <c r="U396" s="2">
        <v>0</v>
      </c>
      <c r="V396" s="2">
        <v>4</v>
      </c>
      <c r="W396" s="2">
        <v>0</v>
      </c>
      <c r="X396" s="2">
        <f t="shared" si="45"/>
        <v>97</v>
      </c>
      <c r="Z396" s="1">
        <v>63</v>
      </c>
      <c r="AA396" s="1">
        <v>56</v>
      </c>
      <c r="AB396" s="2">
        <f t="shared" si="46"/>
        <v>119</v>
      </c>
      <c r="AD396" s="121"/>
      <c r="AE396" s="121"/>
    </row>
    <row r="397" spans="1:31" x14ac:dyDescent="0.25">
      <c r="A397" s="2" t="s">
        <v>280</v>
      </c>
      <c r="B397" s="7">
        <v>0.83333333333333337</v>
      </c>
      <c r="C397" s="2">
        <v>12</v>
      </c>
      <c r="D397" s="10" t="s">
        <v>384</v>
      </c>
      <c r="E397" s="40">
        <v>0</v>
      </c>
      <c r="F397" s="40">
        <v>2.2000000000000002</v>
      </c>
      <c r="G397" s="40">
        <v>1.5</v>
      </c>
      <c r="H397" s="3">
        <f t="shared" si="41"/>
        <v>0</v>
      </c>
      <c r="I397" s="3">
        <f t="shared" si="42"/>
        <v>1.1000000000000001</v>
      </c>
      <c r="J397" s="3">
        <f t="shared" si="43"/>
        <v>0.75</v>
      </c>
      <c r="K397" s="3"/>
      <c r="L397" s="4">
        <f t="shared" si="44"/>
        <v>325.58833333333331</v>
      </c>
      <c r="M397" s="40">
        <v>0</v>
      </c>
      <c r="N397" s="40">
        <v>0</v>
      </c>
      <c r="O397" s="40">
        <v>0</v>
      </c>
      <c r="P397" s="40">
        <v>0</v>
      </c>
      <c r="Q397" s="40">
        <v>0</v>
      </c>
      <c r="R397" s="40">
        <v>0</v>
      </c>
      <c r="S397" s="2">
        <f t="shared" si="47"/>
        <v>83.000000000000099</v>
      </c>
      <c r="T397" s="2">
        <v>0</v>
      </c>
      <c r="U397" s="2">
        <v>0</v>
      </c>
      <c r="V397" s="2">
        <v>2</v>
      </c>
      <c r="W397" s="2">
        <v>0</v>
      </c>
      <c r="X397" s="2">
        <f t="shared" si="45"/>
        <v>95</v>
      </c>
      <c r="Z397" s="1"/>
      <c r="AA397" s="1"/>
      <c r="AB397" s="2" t="str">
        <f t="shared" si="46"/>
        <v/>
      </c>
      <c r="AD397" s="121"/>
      <c r="AE397" s="121"/>
    </row>
    <row r="398" spans="1:31" x14ac:dyDescent="0.25">
      <c r="A398" s="2" t="s">
        <v>280</v>
      </c>
      <c r="B398" s="7">
        <v>0.91666666666666663</v>
      </c>
      <c r="C398" s="2">
        <v>2</v>
      </c>
      <c r="D398" s="10" t="s">
        <v>386</v>
      </c>
      <c r="E398" s="40">
        <v>0</v>
      </c>
      <c r="F398" s="40">
        <v>2.2000000000000002</v>
      </c>
      <c r="G398" s="40">
        <v>1.5</v>
      </c>
      <c r="H398" s="3">
        <f t="shared" si="41"/>
        <v>0</v>
      </c>
      <c r="I398" s="3">
        <f t="shared" si="42"/>
        <v>0.18333333333333335</v>
      </c>
      <c r="J398" s="3">
        <f t="shared" si="43"/>
        <v>0.125</v>
      </c>
      <c r="K398" s="3"/>
      <c r="L398" s="4">
        <f t="shared" si="44"/>
        <v>325.27999999999997</v>
      </c>
      <c r="M398" s="40">
        <v>0</v>
      </c>
      <c r="N398" s="40">
        <v>0.1</v>
      </c>
      <c r="O398" s="40">
        <v>0</v>
      </c>
      <c r="P398" s="40">
        <v>0</v>
      </c>
      <c r="Q398" s="40">
        <v>0</v>
      </c>
      <c r="R398" s="40">
        <v>0</v>
      </c>
      <c r="S398" s="2">
        <f t="shared" si="47"/>
        <v>82.900000000000105</v>
      </c>
      <c r="T398" s="2">
        <v>0</v>
      </c>
      <c r="U398" s="2">
        <v>0</v>
      </c>
      <c r="V398" s="2">
        <v>0</v>
      </c>
      <c r="W398" s="2">
        <v>0</v>
      </c>
      <c r="X398" s="2">
        <f t="shared" si="45"/>
        <v>95</v>
      </c>
      <c r="Z398" s="1"/>
      <c r="AA398" s="1"/>
      <c r="AB398" s="2" t="str">
        <f t="shared" si="46"/>
        <v/>
      </c>
      <c r="AD398" s="121"/>
      <c r="AE398" s="121"/>
    </row>
    <row r="399" spans="1:31" x14ac:dyDescent="0.25">
      <c r="A399" s="2" t="s">
        <v>280</v>
      </c>
      <c r="B399" s="7">
        <v>0.95833333333333337</v>
      </c>
      <c r="C399" s="2">
        <v>1</v>
      </c>
      <c r="D399" s="10" t="s">
        <v>105</v>
      </c>
      <c r="E399" s="40">
        <v>10</v>
      </c>
      <c r="F399" s="40">
        <v>2.2000000000000002</v>
      </c>
      <c r="G399" s="40">
        <v>1.5</v>
      </c>
      <c r="H399" s="3">
        <f t="shared" si="41"/>
        <v>0.41666666666666669</v>
      </c>
      <c r="I399" s="3">
        <f t="shared" si="42"/>
        <v>9.1666666666666674E-2</v>
      </c>
      <c r="J399" s="3">
        <f t="shared" si="43"/>
        <v>6.25E-2</v>
      </c>
      <c r="K399" s="3"/>
      <c r="L399" s="4">
        <f t="shared" si="44"/>
        <v>324.70916666666665</v>
      </c>
      <c r="M399" s="40">
        <v>0</v>
      </c>
      <c r="N399" s="40">
        <v>0</v>
      </c>
      <c r="O399" s="40">
        <v>0</v>
      </c>
      <c r="P399" s="40">
        <v>0</v>
      </c>
      <c r="Q399" s="40">
        <v>0</v>
      </c>
      <c r="R399" s="40">
        <v>0</v>
      </c>
      <c r="S399" s="2">
        <f t="shared" si="47"/>
        <v>82.900000000000105</v>
      </c>
      <c r="T399" s="2">
        <v>0</v>
      </c>
      <c r="U399" s="2">
        <v>0</v>
      </c>
      <c r="V399" s="2">
        <v>0</v>
      </c>
      <c r="W399" s="2">
        <v>0</v>
      </c>
      <c r="X399" s="2">
        <f t="shared" si="45"/>
        <v>95</v>
      </c>
      <c r="Z399" s="1"/>
      <c r="AA399" s="1"/>
      <c r="AB399" s="2" t="str">
        <f t="shared" si="46"/>
        <v/>
      </c>
      <c r="AD399" s="121"/>
      <c r="AE399" s="121"/>
    </row>
    <row r="400" spans="1:31" x14ac:dyDescent="0.25">
      <c r="A400" s="2" t="s">
        <v>388</v>
      </c>
      <c r="B400" s="7">
        <v>0.23333333333333331</v>
      </c>
      <c r="C400" s="2">
        <v>6.6</v>
      </c>
      <c r="D400" s="10" t="s">
        <v>374</v>
      </c>
      <c r="E400" s="40">
        <v>20</v>
      </c>
      <c r="F400" s="40">
        <v>2.2000000000000002</v>
      </c>
      <c r="G400" s="40">
        <v>0</v>
      </c>
      <c r="H400" s="3">
        <f t="shared" ref="H400:H463" si="48">+IF(E400="","",(E400/24)*C400)</f>
        <v>5.5</v>
      </c>
      <c r="I400" s="3">
        <f t="shared" ref="I400:I463" si="49">+IF(F400="","",(F400/24)*C400)</f>
        <v>0.60499999999999998</v>
      </c>
      <c r="J400" s="3">
        <f t="shared" ref="J400:J463" si="50">+IF(G400="","",(G400/24)*C400)</f>
        <v>0</v>
      </c>
      <c r="K400" s="3"/>
      <c r="L400" s="4">
        <f t="shared" si="44"/>
        <v>318.60416666666663</v>
      </c>
      <c r="M400" s="40">
        <v>0</v>
      </c>
      <c r="N400" s="40">
        <v>0</v>
      </c>
      <c r="O400" s="40">
        <v>0</v>
      </c>
      <c r="P400" s="40">
        <v>0</v>
      </c>
      <c r="Q400" s="40">
        <v>0</v>
      </c>
      <c r="R400" s="40">
        <v>0</v>
      </c>
      <c r="S400" s="2">
        <f t="shared" si="47"/>
        <v>82.900000000000105</v>
      </c>
      <c r="T400" s="2">
        <v>0</v>
      </c>
      <c r="U400" s="2">
        <v>0</v>
      </c>
      <c r="V400" s="2">
        <v>2</v>
      </c>
      <c r="W400" s="2">
        <v>0</v>
      </c>
      <c r="X400" s="2">
        <f t="shared" si="45"/>
        <v>93</v>
      </c>
      <c r="Z400" s="1"/>
      <c r="AA400" s="1"/>
      <c r="AB400" s="2" t="str">
        <f t="shared" si="46"/>
        <v/>
      </c>
      <c r="AD400" s="121">
        <v>12.7</v>
      </c>
      <c r="AE400" s="121" t="s">
        <v>1307</v>
      </c>
    </row>
    <row r="401" spans="1:31" x14ac:dyDescent="0.25">
      <c r="A401" s="2" t="s">
        <v>388</v>
      </c>
      <c r="B401" s="7">
        <v>0.29166666666666669</v>
      </c>
      <c r="C401" s="2">
        <v>1.4</v>
      </c>
      <c r="D401" s="10" t="s">
        <v>387</v>
      </c>
      <c r="E401" s="40">
        <v>10</v>
      </c>
      <c r="F401" s="40">
        <v>2.2000000000000002</v>
      </c>
      <c r="G401" s="40">
        <v>0</v>
      </c>
      <c r="H401" s="3">
        <f t="shared" si="48"/>
        <v>0.58333333333333337</v>
      </c>
      <c r="I401" s="3">
        <f t="shared" si="49"/>
        <v>0.12833333333333333</v>
      </c>
      <c r="J401" s="3">
        <v>0</v>
      </c>
      <c r="K401" s="3"/>
      <c r="L401" s="4">
        <f t="shared" ref="L401:L464" si="51">+IF(C401="","",((L400-(H401+I401+J401))+K401))</f>
        <v>317.89249999999998</v>
      </c>
      <c r="M401" s="40">
        <v>0</v>
      </c>
      <c r="N401" s="40">
        <v>0</v>
      </c>
      <c r="O401" s="40">
        <v>0</v>
      </c>
      <c r="P401" s="40">
        <v>0</v>
      </c>
      <c r="Q401" s="40">
        <v>0</v>
      </c>
      <c r="R401" s="40">
        <v>0</v>
      </c>
      <c r="S401" s="2">
        <f t="shared" si="47"/>
        <v>82.900000000000105</v>
      </c>
      <c r="T401" s="2">
        <v>0</v>
      </c>
      <c r="U401" s="2">
        <v>0</v>
      </c>
      <c r="V401" s="2">
        <v>0</v>
      </c>
      <c r="W401" s="2">
        <v>0</v>
      </c>
      <c r="X401" s="2">
        <f>IF(V401="","",((X400+T401+U401)-(V401+W401)))</f>
        <v>93</v>
      </c>
      <c r="Z401" s="1">
        <v>60</v>
      </c>
      <c r="AA401" s="1">
        <v>56</v>
      </c>
      <c r="AB401" s="2">
        <f t="shared" ref="AB401:AB464" si="52">IF(Z401="","",Z401+AA401)</f>
        <v>116</v>
      </c>
      <c r="AD401" s="121"/>
      <c r="AE401" s="121"/>
    </row>
    <row r="402" spans="1:31" x14ac:dyDescent="0.25">
      <c r="A402" s="2" t="s">
        <v>389</v>
      </c>
      <c r="B402" s="7">
        <v>0.33333333333333331</v>
      </c>
      <c r="C402" s="2">
        <v>25</v>
      </c>
      <c r="D402" s="10" t="s">
        <v>387</v>
      </c>
      <c r="E402" s="40">
        <v>0</v>
      </c>
      <c r="F402" s="40">
        <v>2</v>
      </c>
      <c r="G402" s="40">
        <v>1</v>
      </c>
      <c r="H402" s="3">
        <f t="shared" si="48"/>
        <v>0</v>
      </c>
      <c r="I402" s="3">
        <f t="shared" si="49"/>
        <v>2.083333333333333</v>
      </c>
      <c r="J402" s="3">
        <f t="shared" si="50"/>
        <v>1.0416666666666665</v>
      </c>
      <c r="K402" s="3"/>
      <c r="L402" s="4">
        <f t="shared" si="51"/>
        <v>314.76749999999998</v>
      </c>
      <c r="M402" s="40">
        <v>0</v>
      </c>
      <c r="N402" s="40">
        <v>0.1</v>
      </c>
      <c r="O402" s="40">
        <v>0</v>
      </c>
      <c r="P402" s="40">
        <v>0</v>
      </c>
      <c r="Q402" s="40">
        <v>0</v>
      </c>
      <c r="R402" s="40">
        <v>0</v>
      </c>
      <c r="S402" s="2">
        <f t="shared" si="47"/>
        <v>82.800000000000111</v>
      </c>
      <c r="T402" s="2">
        <v>0</v>
      </c>
      <c r="U402" s="2">
        <v>0</v>
      </c>
      <c r="V402" s="2">
        <v>4</v>
      </c>
      <c r="W402" s="2">
        <v>0</v>
      </c>
      <c r="X402" s="2">
        <f t="shared" ref="X402:X464" si="53">IF(V402="","",((X401+T402+U402)-(V402+W402)))</f>
        <v>89</v>
      </c>
      <c r="Z402" s="1">
        <v>56</v>
      </c>
      <c r="AA402" s="1">
        <v>56</v>
      </c>
      <c r="AB402" s="2">
        <f t="shared" si="52"/>
        <v>112</v>
      </c>
      <c r="AD402" s="121"/>
      <c r="AE402" s="121"/>
    </row>
    <row r="403" spans="1:31" x14ac:dyDescent="0.25">
      <c r="A403" s="2" t="s">
        <v>390</v>
      </c>
      <c r="B403" s="7">
        <v>0.33333333333333331</v>
      </c>
      <c r="C403" s="2">
        <v>24</v>
      </c>
      <c r="D403" s="10" t="s">
        <v>387</v>
      </c>
      <c r="E403" s="40">
        <v>0</v>
      </c>
      <c r="F403" s="40">
        <v>2</v>
      </c>
      <c r="G403" s="40">
        <v>1</v>
      </c>
      <c r="H403" s="3">
        <f t="shared" si="48"/>
        <v>0</v>
      </c>
      <c r="I403" s="3">
        <f t="shared" si="49"/>
        <v>2</v>
      </c>
      <c r="J403" s="3">
        <f t="shared" si="50"/>
        <v>1</v>
      </c>
      <c r="K403" s="3"/>
      <c r="L403" s="4">
        <f t="shared" si="51"/>
        <v>311.76749999999998</v>
      </c>
      <c r="M403" s="40">
        <v>0</v>
      </c>
      <c r="N403" s="40">
        <v>0</v>
      </c>
      <c r="O403" s="40">
        <v>0.1</v>
      </c>
      <c r="P403" s="40">
        <v>0</v>
      </c>
      <c r="Q403" s="40">
        <v>0</v>
      </c>
      <c r="R403" s="40">
        <v>0</v>
      </c>
      <c r="S403" s="2">
        <f t="shared" si="47"/>
        <v>82.700000000000117</v>
      </c>
      <c r="T403" s="2">
        <v>0</v>
      </c>
      <c r="U403" s="2">
        <v>220</v>
      </c>
      <c r="V403" s="2">
        <v>3</v>
      </c>
      <c r="W403" s="2">
        <v>0</v>
      </c>
      <c r="X403" s="2">
        <f t="shared" si="53"/>
        <v>306</v>
      </c>
      <c r="Z403" s="1"/>
      <c r="AA403" s="1"/>
      <c r="AB403" s="2" t="str">
        <f t="shared" si="52"/>
        <v/>
      </c>
      <c r="AD403" s="121"/>
      <c r="AE403" s="121"/>
    </row>
    <row r="404" spans="1:31" x14ac:dyDescent="0.25">
      <c r="A404" s="2" t="s">
        <v>391</v>
      </c>
      <c r="B404" s="7">
        <v>0.33333333333333331</v>
      </c>
      <c r="C404" s="2">
        <v>25</v>
      </c>
      <c r="D404" s="10" t="s">
        <v>387</v>
      </c>
      <c r="E404" s="40">
        <v>0</v>
      </c>
      <c r="F404" s="40">
        <v>2</v>
      </c>
      <c r="G404" s="40">
        <v>1.5</v>
      </c>
      <c r="H404" s="3">
        <f t="shared" si="48"/>
        <v>0</v>
      </c>
      <c r="I404" s="3">
        <f t="shared" si="49"/>
        <v>2.083333333333333</v>
      </c>
      <c r="J404" s="3">
        <f t="shared" si="50"/>
        <v>1.5625</v>
      </c>
      <c r="K404" s="3"/>
      <c r="L404" s="4">
        <f t="shared" si="51"/>
        <v>308.12166666666667</v>
      </c>
      <c r="M404" s="40">
        <v>0</v>
      </c>
      <c r="N404" s="40">
        <v>0</v>
      </c>
      <c r="O404" s="40">
        <v>0.1</v>
      </c>
      <c r="P404" s="40">
        <v>0</v>
      </c>
      <c r="Q404" s="40">
        <v>0</v>
      </c>
      <c r="R404" s="40">
        <v>0</v>
      </c>
      <c r="S404" s="2">
        <f t="shared" si="47"/>
        <v>82.600000000000122</v>
      </c>
      <c r="T404" s="2">
        <v>0</v>
      </c>
      <c r="U404" s="2">
        <v>0</v>
      </c>
      <c r="V404" s="2">
        <v>3</v>
      </c>
      <c r="W404" s="2">
        <v>0</v>
      </c>
      <c r="X404" s="2">
        <f t="shared" si="53"/>
        <v>303</v>
      </c>
      <c r="Z404" s="1"/>
      <c r="AA404" s="1"/>
      <c r="AB404" s="2" t="str">
        <f t="shared" si="52"/>
        <v/>
      </c>
      <c r="AD404" s="121"/>
      <c r="AE404" s="121"/>
    </row>
    <row r="405" spans="1:31" x14ac:dyDescent="0.25">
      <c r="A405" s="2" t="s">
        <v>290</v>
      </c>
      <c r="B405" s="7">
        <v>0.33333333333333331</v>
      </c>
      <c r="C405" s="2">
        <v>24</v>
      </c>
      <c r="D405" s="10" t="s">
        <v>387</v>
      </c>
      <c r="E405" s="40">
        <v>0</v>
      </c>
      <c r="F405" s="40">
        <v>2.2000000000000002</v>
      </c>
      <c r="G405" s="40">
        <v>2</v>
      </c>
      <c r="H405" s="3">
        <f t="shared" si="48"/>
        <v>0</v>
      </c>
      <c r="I405" s="3">
        <f t="shared" si="49"/>
        <v>2.2000000000000002</v>
      </c>
      <c r="J405" s="3">
        <f t="shared" si="50"/>
        <v>2</v>
      </c>
      <c r="K405" s="3"/>
      <c r="L405" s="4">
        <f t="shared" si="51"/>
        <v>303.92166666666668</v>
      </c>
      <c r="M405" s="40">
        <v>0</v>
      </c>
      <c r="N405" s="40">
        <v>0</v>
      </c>
      <c r="O405" s="40">
        <v>0.1</v>
      </c>
      <c r="P405" s="40">
        <v>0</v>
      </c>
      <c r="Q405" s="40">
        <v>0</v>
      </c>
      <c r="R405" s="40">
        <v>0</v>
      </c>
      <c r="S405" s="2">
        <f t="shared" si="47"/>
        <v>82.500000000000128</v>
      </c>
      <c r="T405" s="2">
        <v>0</v>
      </c>
      <c r="U405" s="2">
        <v>0</v>
      </c>
      <c r="V405" s="2">
        <v>3</v>
      </c>
      <c r="W405" s="2">
        <v>0</v>
      </c>
      <c r="X405" s="2">
        <f t="shared" si="53"/>
        <v>300</v>
      </c>
      <c r="Z405" s="1">
        <v>150</v>
      </c>
      <c r="AA405" s="1">
        <v>150</v>
      </c>
      <c r="AB405" s="2">
        <f t="shared" si="52"/>
        <v>300</v>
      </c>
      <c r="AD405" s="121"/>
      <c r="AE405" s="121"/>
    </row>
    <row r="406" spans="1:31" x14ac:dyDescent="0.25">
      <c r="A406" s="2" t="s">
        <v>290</v>
      </c>
      <c r="B406" s="7">
        <v>0.53333333333333333</v>
      </c>
      <c r="C406" s="2">
        <v>4.8</v>
      </c>
      <c r="D406" s="10" t="s">
        <v>392</v>
      </c>
      <c r="E406" s="40">
        <v>0</v>
      </c>
      <c r="F406" s="40">
        <v>2.2000000000000002</v>
      </c>
      <c r="G406" s="40">
        <v>2</v>
      </c>
      <c r="H406" s="3">
        <f t="shared" si="48"/>
        <v>0</v>
      </c>
      <c r="I406" s="3">
        <f t="shared" si="49"/>
        <v>0.44</v>
      </c>
      <c r="J406" s="3">
        <f t="shared" si="50"/>
        <v>0.39999999999999997</v>
      </c>
      <c r="K406" s="3"/>
      <c r="L406" s="4">
        <f t="shared" si="51"/>
        <v>303.08166666666671</v>
      </c>
      <c r="M406" s="40">
        <v>0</v>
      </c>
      <c r="N406" s="40">
        <v>0</v>
      </c>
      <c r="O406" s="40">
        <v>0</v>
      </c>
      <c r="P406" s="40">
        <v>0</v>
      </c>
      <c r="Q406" s="40">
        <v>0</v>
      </c>
      <c r="R406" s="40">
        <v>0</v>
      </c>
      <c r="S406" s="2">
        <f t="shared" si="47"/>
        <v>82.500000000000128</v>
      </c>
      <c r="T406" s="2">
        <v>0</v>
      </c>
      <c r="U406" s="2">
        <v>0</v>
      </c>
      <c r="V406" s="2">
        <v>1</v>
      </c>
      <c r="W406" s="2">
        <v>0</v>
      </c>
      <c r="X406" s="2">
        <f t="shared" si="53"/>
        <v>299</v>
      </c>
      <c r="Z406" s="1"/>
      <c r="AA406" s="1"/>
      <c r="AB406" s="2" t="str">
        <f t="shared" si="52"/>
        <v/>
      </c>
      <c r="AD406" s="121"/>
      <c r="AE406" s="121"/>
    </row>
    <row r="407" spans="1:31" x14ac:dyDescent="0.25">
      <c r="A407" s="2" t="s">
        <v>290</v>
      </c>
      <c r="B407" s="7">
        <v>0.6333333333333333</v>
      </c>
      <c r="C407" s="2">
        <v>2</v>
      </c>
      <c r="D407" s="10" t="s">
        <v>393</v>
      </c>
      <c r="E407" s="40">
        <v>12</v>
      </c>
      <c r="F407" s="40">
        <v>2.2000000000000002</v>
      </c>
      <c r="G407" s="40">
        <v>0</v>
      </c>
      <c r="H407" s="3">
        <f t="shared" si="48"/>
        <v>1</v>
      </c>
      <c r="I407" s="3">
        <f t="shared" si="49"/>
        <v>0.18333333333333335</v>
      </c>
      <c r="J407" s="3">
        <f t="shared" si="50"/>
        <v>0</v>
      </c>
      <c r="K407" s="3"/>
      <c r="L407" s="4">
        <f t="shared" si="51"/>
        <v>301.89833333333337</v>
      </c>
      <c r="M407" s="40">
        <v>0</v>
      </c>
      <c r="N407" s="40">
        <v>0</v>
      </c>
      <c r="O407" s="40">
        <v>0</v>
      </c>
      <c r="P407" s="40">
        <v>0</v>
      </c>
      <c r="Q407" s="40">
        <v>0</v>
      </c>
      <c r="R407" s="40">
        <v>0</v>
      </c>
      <c r="S407" s="2">
        <f t="shared" si="47"/>
        <v>82.500000000000128</v>
      </c>
      <c r="T407" s="2">
        <v>0</v>
      </c>
      <c r="U407" s="2">
        <v>0</v>
      </c>
      <c r="V407" s="2">
        <v>0</v>
      </c>
      <c r="W407" s="2">
        <v>0</v>
      </c>
      <c r="X407" s="2">
        <f t="shared" si="53"/>
        <v>299</v>
      </c>
      <c r="Z407" s="1"/>
      <c r="AA407" s="1"/>
      <c r="AB407" s="2" t="str">
        <f t="shared" si="52"/>
        <v/>
      </c>
      <c r="AD407" s="121"/>
      <c r="AE407" s="121"/>
    </row>
    <row r="408" spans="1:31" x14ac:dyDescent="0.25">
      <c r="A408" s="2" t="s">
        <v>394</v>
      </c>
      <c r="B408" s="7">
        <v>0.33333333333333331</v>
      </c>
      <c r="C408" s="2">
        <v>16.8</v>
      </c>
      <c r="D408" s="10" t="s">
        <v>395</v>
      </c>
      <c r="E408" s="40">
        <v>0</v>
      </c>
      <c r="F408" s="40">
        <v>2.2000000000000002</v>
      </c>
      <c r="G408" s="40">
        <v>2</v>
      </c>
      <c r="H408" s="3">
        <f t="shared" si="48"/>
        <v>0</v>
      </c>
      <c r="I408" s="3">
        <f t="shared" si="49"/>
        <v>1.5400000000000003</v>
      </c>
      <c r="J408" s="3">
        <f t="shared" si="50"/>
        <v>1.4</v>
      </c>
      <c r="K408" s="3"/>
      <c r="L408" s="4">
        <f t="shared" si="51"/>
        <v>298.95833333333337</v>
      </c>
      <c r="M408" s="40">
        <v>0</v>
      </c>
      <c r="N408" s="40">
        <v>0</v>
      </c>
      <c r="O408" s="40">
        <v>0.2</v>
      </c>
      <c r="P408" s="40">
        <v>0</v>
      </c>
      <c r="Q408" s="40">
        <v>0</v>
      </c>
      <c r="R408" s="40">
        <v>0</v>
      </c>
      <c r="S408" s="2">
        <f t="shared" si="47"/>
        <v>82.300000000000125</v>
      </c>
      <c r="T408" s="2">
        <v>0</v>
      </c>
      <c r="U408" s="2">
        <v>0</v>
      </c>
      <c r="V408" s="2">
        <v>4</v>
      </c>
      <c r="W408" s="2">
        <v>0</v>
      </c>
      <c r="X408" s="2">
        <f t="shared" si="53"/>
        <v>295</v>
      </c>
      <c r="Z408" s="1"/>
      <c r="AA408" s="1"/>
      <c r="AB408" s="2" t="str">
        <f t="shared" si="52"/>
        <v/>
      </c>
      <c r="AD408" s="121"/>
      <c r="AE408" s="121"/>
    </row>
    <row r="409" spans="1:31" x14ac:dyDescent="0.25">
      <c r="A409" s="2" t="s">
        <v>394</v>
      </c>
      <c r="B409" s="7">
        <v>0.6791666666666667</v>
      </c>
      <c r="C409" s="2">
        <v>8.3000000000000007</v>
      </c>
      <c r="D409" s="10" t="s">
        <v>395</v>
      </c>
      <c r="E409" s="40">
        <v>0</v>
      </c>
      <c r="F409" s="40">
        <v>2.2000000000000002</v>
      </c>
      <c r="G409" s="40">
        <v>1.2</v>
      </c>
      <c r="H409" s="3">
        <f t="shared" si="48"/>
        <v>0</v>
      </c>
      <c r="I409" s="3">
        <f t="shared" si="49"/>
        <v>0.76083333333333347</v>
      </c>
      <c r="J409" s="3">
        <f t="shared" si="50"/>
        <v>0.41499999999999998</v>
      </c>
      <c r="K409" s="3"/>
      <c r="L409" s="4">
        <f t="shared" si="51"/>
        <v>297.78250000000003</v>
      </c>
      <c r="M409" s="40">
        <v>0</v>
      </c>
      <c r="N409" s="40">
        <v>0.1</v>
      </c>
      <c r="O409" s="40">
        <v>0.1</v>
      </c>
      <c r="P409" s="40">
        <v>0</v>
      </c>
      <c r="Q409" s="40">
        <v>2.2999999999999998</v>
      </c>
      <c r="R409" s="40">
        <v>0</v>
      </c>
      <c r="S409" s="2">
        <f t="shared" si="47"/>
        <v>79.800000000000125</v>
      </c>
      <c r="T409" s="2">
        <v>0</v>
      </c>
      <c r="U409" s="2">
        <v>0</v>
      </c>
      <c r="V409" s="2">
        <v>1</v>
      </c>
      <c r="W409" s="2">
        <v>0</v>
      </c>
      <c r="X409" s="2">
        <f t="shared" si="53"/>
        <v>294</v>
      </c>
      <c r="Z409" s="1"/>
      <c r="AA409" s="1"/>
      <c r="AB409" s="2" t="str">
        <f t="shared" si="52"/>
        <v/>
      </c>
      <c r="AD409" s="121"/>
      <c r="AE409" s="121"/>
    </row>
    <row r="410" spans="1:31" x14ac:dyDescent="0.25">
      <c r="A410" s="2" t="s">
        <v>396</v>
      </c>
      <c r="B410" s="7">
        <v>0.33333333333333331</v>
      </c>
      <c r="C410" s="2">
        <v>15.7</v>
      </c>
      <c r="D410" s="10" t="s">
        <v>395</v>
      </c>
      <c r="E410" s="40">
        <v>0</v>
      </c>
      <c r="F410" s="40">
        <v>2.2000000000000002</v>
      </c>
      <c r="G410" s="40">
        <v>1.5</v>
      </c>
      <c r="H410" s="3">
        <f t="shared" si="48"/>
        <v>0</v>
      </c>
      <c r="I410" s="3">
        <f t="shared" si="49"/>
        <v>1.4391666666666667</v>
      </c>
      <c r="J410" s="3">
        <f t="shared" si="50"/>
        <v>0.98124999999999996</v>
      </c>
      <c r="K410" s="3"/>
      <c r="L410" s="4">
        <f t="shared" si="51"/>
        <v>295.36208333333337</v>
      </c>
      <c r="M410" s="40">
        <v>0</v>
      </c>
      <c r="N410" s="40">
        <v>0</v>
      </c>
      <c r="O410" s="40">
        <v>0</v>
      </c>
      <c r="P410" s="40">
        <v>0</v>
      </c>
      <c r="Q410" s="40">
        <v>0</v>
      </c>
      <c r="R410" s="40">
        <v>0</v>
      </c>
      <c r="S410" s="2">
        <f t="shared" si="47"/>
        <v>79.800000000000125</v>
      </c>
      <c r="T410" s="2">
        <v>0</v>
      </c>
      <c r="U410" s="2">
        <v>0</v>
      </c>
      <c r="V410" s="2">
        <v>3</v>
      </c>
      <c r="W410" s="2">
        <v>0</v>
      </c>
      <c r="X410" s="2">
        <f t="shared" si="53"/>
        <v>291</v>
      </c>
      <c r="Z410" s="1"/>
      <c r="AA410" s="1"/>
      <c r="AB410" s="2" t="str">
        <f t="shared" si="52"/>
        <v/>
      </c>
      <c r="AD410" s="121"/>
      <c r="AE410" s="121"/>
    </row>
    <row r="411" spans="1:31" x14ac:dyDescent="0.25">
      <c r="A411" s="2" t="s">
        <v>396</v>
      </c>
      <c r="B411" s="7">
        <v>0.79166666666666663</v>
      </c>
      <c r="C411" s="2">
        <v>11</v>
      </c>
      <c r="D411" s="10" t="s">
        <v>397</v>
      </c>
      <c r="E411" s="40">
        <v>0</v>
      </c>
      <c r="F411" s="40">
        <v>2.2000000000000002</v>
      </c>
      <c r="G411" s="40">
        <v>1.5</v>
      </c>
      <c r="H411" s="3">
        <f t="shared" si="48"/>
        <v>0</v>
      </c>
      <c r="I411" s="3">
        <f t="shared" si="49"/>
        <v>1.0083333333333333</v>
      </c>
      <c r="J411" s="3">
        <f t="shared" si="50"/>
        <v>0.6875</v>
      </c>
      <c r="K411" s="3"/>
      <c r="L411" s="4">
        <f t="shared" si="51"/>
        <v>293.66625000000005</v>
      </c>
      <c r="M411" s="40">
        <v>0</v>
      </c>
      <c r="N411" s="40">
        <v>0</v>
      </c>
      <c r="O411" s="40">
        <v>0</v>
      </c>
      <c r="P411" s="40">
        <v>0</v>
      </c>
      <c r="Q411" s="40">
        <v>0</v>
      </c>
      <c r="R411" s="40">
        <v>0</v>
      </c>
      <c r="S411" s="2">
        <f t="shared" si="47"/>
        <v>79.800000000000125</v>
      </c>
      <c r="T411" s="2">
        <v>0</v>
      </c>
      <c r="U411" s="2">
        <v>0</v>
      </c>
      <c r="V411" s="2">
        <v>2</v>
      </c>
      <c r="W411" s="2">
        <v>0</v>
      </c>
      <c r="X411" s="2">
        <f t="shared" si="53"/>
        <v>289</v>
      </c>
      <c r="Z411" s="1"/>
      <c r="AA411" s="1"/>
      <c r="AB411" s="2" t="str">
        <f t="shared" si="52"/>
        <v/>
      </c>
      <c r="AD411" s="121"/>
      <c r="AE411" s="121"/>
    </row>
    <row r="412" spans="1:31" x14ac:dyDescent="0.25">
      <c r="A412" s="2" t="s">
        <v>396</v>
      </c>
      <c r="B412" s="7">
        <v>0.8666666666666667</v>
      </c>
      <c r="C412" s="2">
        <v>2</v>
      </c>
      <c r="D412" s="10" t="s">
        <v>387</v>
      </c>
      <c r="E412" s="40">
        <v>10</v>
      </c>
      <c r="F412" s="40">
        <v>2.2000000000000002</v>
      </c>
      <c r="G412" s="40">
        <v>1.5</v>
      </c>
      <c r="H412" s="3">
        <f t="shared" si="48"/>
        <v>0.83333333333333337</v>
      </c>
      <c r="I412" s="3">
        <f t="shared" si="49"/>
        <v>0.18333333333333335</v>
      </c>
      <c r="J412" s="3">
        <f t="shared" si="50"/>
        <v>0.125</v>
      </c>
      <c r="K412" s="3"/>
      <c r="L412" s="4">
        <f t="shared" si="51"/>
        <v>292.5245833333334</v>
      </c>
      <c r="M412" s="40">
        <v>0</v>
      </c>
      <c r="N412" s="40">
        <v>0</v>
      </c>
      <c r="O412" s="40">
        <v>0</v>
      </c>
      <c r="P412" s="40">
        <v>0</v>
      </c>
      <c r="Q412" s="40">
        <v>0</v>
      </c>
      <c r="R412" s="40">
        <v>0</v>
      </c>
      <c r="S412" s="2">
        <f t="shared" si="47"/>
        <v>79.800000000000125</v>
      </c>
      <c r="T412" s="2">
        <v>0</v>
      </c>
      <c r="U412" s="2">
        <v>0</v>
      </c>
      <c r="V412" s="2">
        <v>0</v>
      </c>
      <c r="W412" s="2">
        <v>0</v>
      </c>
      <c r="X412" s="2">
        <f t="shared" si="53"/>
        <v>289</v>
      </c>
      <c r="Z412" s="1"/>
      <c r="AA412" s="1"/>
      <c r="AB412" s="2" t="str">
        <f t="shared" si="52"/>
        <v/>
      </c>
      <c r="AD412" s="121"/>
      <c r="AE412" s="121"/>
    </row>
    <row r="413" spans="1:31" x14ac:dyDescent="0.25">
      <c r="A413" s="2" t="s">
        <v>398</v>
      </c>
      <c r="B413" s="7">
        <v>0.33333333333333331</v>
      </c>
      <c r="C413" s="2">
        <v>11.2</v>
      </c>
      <c r="D413" s="10" t="s">
        <v>387</v>
      </c>
      <c r="E413" s="40">
        <v>0</v>
      </c>
      <c r="F413" s="40">
        <v>2</v>
      </c>
      <c r="G413" s="40">
        <v>1.2</v>
      </c>
      <c r="H413" s="3">
        <f t="shared" si="48"/>
        <v>0</v>
      </c>
      <c r="I413" s="3">
        <f t="shared" si="49"/>
        <v>0.93333333333333324</v>
      </c>
      <c r="J413" s="3">
        <f t="shared" si="50"/>
        <v>0.55999999999999994</v>
      </c>
      <c r="K413" s="3"/>
      <c r="L413" s="4">
        <f t="shared" si="51"/>
        <v>291.03125000000006</v>
      </c>
      <c r="M413" s="40">
        <v>0</v>
      </c>
      <c r="N413" s="40">
        <v>0</v>
      </c>
      <c r="O413" s="40">
        <v>0.1</v>
      </c>
      <c r="P413" s="40">
        <v>0</v>
      </c>
      <c r="Q413" s="40">
        <v>0</v>
      </c>
      <c r="R413" s="40">
        <v>0</v>
      </c>
      <c r="S413" s="2">
        <f t="shared" si="47"/>
        <v>79.700000000000131</v>
      </c>
      <c r="T413" s="2">
        <v>0</v>
      </c>
      <c r="U413" s="2">
        <v>0</v>
      </c>
      <c r="V413" s="2">
        <v>1</v>
      </c>
      <c r="W413" s="2">
        <v>0</v>
      </c>
      <c r="X413" s="2">
        <f t="shared" si="53"/>
        <v>288</v>
      </c>
      <c r="Z413" s="1"/>
      <c r="AA413" s="1"/>
      <c r="AB413" s="2" t="str">
        <f t="shared" si="52"/>
        <v/>
      </c>
      <c r="AD413" s="121"/>
      <c r="AE413" s="121"/>
    </row>
    <row r="414" spans="1:31" x14ac:dyDescent="0.25">
      <c r="A414" s="2" t="s">
        <v>399</v>
      </c>
      <c r="B414" s="7">
        <v>0.33333333333333331</v>
      </c>
      <c r="C414" s="2">
        <v>24</v>
      </c>
      <c r="D414" s="10" t="s">
        <v>387</v>
      </c>
      <c r="E414" s="40">
        <v>0</v>
      </c>
      <c r="F414" s="40">
        <v>2</v>
      </c>
      <c r="G414" s="40">
        <v>1.2</v>
      </c>
      <c r="H414" s="3">
        <f t="shared" si="48"/>
        <v>0</v>
      </c>
      <c r="I414" s="3">
        <f t="shared" si="49"/>
        <v>2</v>
      </c>
      <c r="J414" s="3">
        <f t="shared" si="50"/>
        <v>1.2</v>
      </c>
      <c r="K414" s="3"/>
      <c r="L414" s="4">
        <f t="shared" si="51"/>
        <v>287.83125000000007</v>
      </c>
      <c r="M414" s="40">
        <v>0</v>
      </c>
      <c r="N414" s="40">
        <v>0</v>
      </c>
      <c r="O414" s="40">
        <v>0.1</v>
      </c>
      <c r="P414" s="40">
        <v>0</v>
      </c>
      <c r="Q414" s="40">
        <v>0</v>
      </c>
      <c r="R414" s="40">
        <v>0</v>
      </c>
      <c r="S414" s="2">
        <f t="shared" si="47"/>
        <v>79.600000000000136</v>
      </c>
      <c r="T414" s="2">
        <v>0</v>
      </c>
      <c r="U414" s="2">
        <v>0</v>
      </c>
      <c r="V414" s="2">
        <v>3</v>
      </c>
      <c r="W414" s="2">
        <v>0</v>
      </c>
      <c r="X414" s="2">
        <f t="shared" si="53"/>
        <v>285</v>
      </c>
      <c r="Z414" s="1">
        <v>150</v>
      </c>
      <c r="AA414" s="1">
        <v>150</v>
      </c>
      <c r="AB414" s="2">
        <f t="shared" si="52"/>
        <v>300</v>
      </c>
      <c r="AD414" s="121"/>
      <c r="AE414" s="121"/>
    </row>
    <row r="415" spans="1:31" x14ac:dyDescent="0.25">
      <c r="A415" s="2" t="s">
        <v>111</v>
      </c>
      <c r="B415" s="7">
        <v>0.33333333333333331</v>
      </c>
      <c r="C415" s="2">
        <v>24</v>
      </c>
      <c r="D415" s="10" t="s">
        <v>387</v>
      </c>
      <c r="E415" s="40">
        <v>0</v>
      </c>
      <c r="F415" s="40">
        <v>2.2000000000000002</v>
      </c>
      <c r="G415" s="40">
        <v>2</v>
      </c>
      <c r="H415" s="3">
        <f t="shared" si="48"/>
        <v>0</v>
      </c>
      <c r="I415" s="3">
        <f t="shared" si="49"/>
        <v>2.2000000000000002</v>
      </c>
      <c r="J415" s="3">
        <f t="shared" si="50"/>
        <v>2</v>
      </c>
      <c r="K415" s="3"/>
      <c r="L415" s="4">
        <f t="shared" si="51"/>
        <v>283.63125000000008</v>
      </c>
      <c r="M415" s="40">
        <v>0</v>
      </c>
      <c r="N415" s="40">
        <v>0</v>
      </c>
      <c r="O415" s="40">
        <v>0.1</v>
      </c>
      <c r="P415" s="40">
        <v>0</v>
      </c>
      <c r="Q415" s="40">
        <v>0</v>
      </c>
      <c r="R415" s="40">
        <v>0</v>
      </c>
      <c r="S415" s="2">
        <f t="shared" si="47"/>
        <v>79.500000000000142</v>
      </c>
      <c r="T415" s="2">
        <v>0</v>
      </c>
      <c r="U415" s="2">
        <v>0</v>
      </c>
      <c r="V415" s="2">
        <v>3</v>
      </c>
      <c r="W415" s="2">
        <v>0</v>
      </c>
      <c r="X415" s="2">
        <f t="shared" si="53"/>
        <v>282</v>
      </c>
      <c r="Z415" s="1"/>
      <c r="AA415" s="1"/>
      <c r="AB415" s="2" t="str">
        <f t="shared" si="52"/>
        <v/>
      </c>
      <c r="AD415" s="121"/>
      <c r="AE415" s="121"/>
    </row>
    <row r="416" spans="1:31" x14ac:dyDescent="0.25">
      <c r="A416" s="2" t="s">
        <v>400</v>
      </c>
      <c r="B416" s="7">
        <v>0.33333333333333331</v>
      </c>
      <c r="C416" s="2">
        <v>24</v>
      </c>
      <c r="D416" s="10" t="s">
        <v>387</v>
      </c>
      <c r="E416" s="40">
        <v>0</v>
      </c>
      <c r="F416" s="40">
        <v>2.2000000000000002</v>
      </c>
      <c r="G416" s="40">
        <v>2</v>
      </c>
      <c r="H416" s="3">
        <f t="shared" si="48"/>
        <v>0</v>
      </c>
      <c r="I416" s="3">
        <f t="shared" si="49"/>
        <v>2.2000000000000002</v>
      </c>
      <c r="J416" s="3">
        <f t="shared" si="50"/>
        <v>2</v>
      </c>
      <c r="K416" s="3"/>
      <c r="L416" s="4">
        <f t="shared" si="51"/>
        <v>279.43125000000009</v>
      </c>
      <c r="M416" s="40">
        <v>0</v>
      </c>
      <c r="N416" s="40">
        <v>0</v>
      </c>
      <c r="O416" s="40">
        <v>0.1</v>
      </c>
      <c r="P416" s="40">
        <v>0</v>
      </c>
      <c r="Q416" s="40">
        <v>0</v>
      </c>
      <c r="R416" s="40">
        <v>0</v>
      </c>
      <c r="S416" s="2">
        <f t="shared" si="47"/>
        <v>79.400000000000148</v>
      </c>
      <c r="T416" s="2">
        <v>0</v>
      </c>
      <c r="U416" s="2">
        <v>0</v>
      </c>
      <c r="V416" s="2">
        <v>3</v>
      </c>
      <c r="W416" s="2">
        <v>0</v>
      </c>
      <c r="X416" s="2">
        <f t="shared" si="53"/>
        <v>279</v>
      </c>
      <c r="Z416" s="1">
        <v>131</v>
      </c>
      <c r="AA416" s="1">
        <v>150</v>
      </c>
      <c r="AB416" s="2">
        <f t="shared" si="52"/>
        <v>281</v>
      </c>
      <c r="AD416" s="121"/>
      <c r="AE416" s="121"/>
    </row>
    <row r="417" spans="1:31" x14ac:dyDescent="0.25">
      <c r="A417" s="2" t="s">
        <v>400</v>
      </c>
      <c r="B417" s="7">
        <v>0.89583333333333337</v>
      </c>
      <c r="C417" s="2">
        <v>13.5</v>
      </c>
      <c r="D417" s="10" t="s">
        <v>401</v>
      </c>
      <c r="E417" s="40">
        <v>0</v>
      </c>
      <c r="F417" s="40">
        <v>2.2000000000000002</v>
      </c>
      <c r="G417" s="40">
        <v>2</v>
      </c>
      <c r="H417" s="3">
        <f t="shared" si="48"/>
        <v>0</v>
      </c>
      <c r="I417" s="3">
        <f t="shared" si="49"/>
        <v>1.2375</v>
      </c>
      <c r="J417" s="3">
        <f t="shared" si="50"/>
        <v>1.125</v>
      </c>
      <c r="K417" s="3"/>
      <c r="L417" s="4">
        <f t="shared" si="51"/>
        <v>277.06875000000008</v>
      </c>
      <c r="M417" s="40">
        <v>0</v>
      </c>
      <c r="N417" s="40">
        <v>0</v>
      </c>
      <c r="O417" s="40">
        <v>0</v>
      </c>
      <c r="P417" s="40">
        <v>0</v>
      </c>
      <c r="Q417" s="40">
        <v>0</v>
      </c>
      <c r="R417" s="40">
        <v>0</v>
      </c>
      <c r="S417" s="2">
        <f t="shared" si="47"/>
        <v>79.400000000000148</v>
      </c>
      <c r="T417" s="2">
        <v>0</v>
      </c>
      <c r="U417" s="2">
        <v>0</v>
      </c>
      <c r="V417" s="2">
        <v>2</v>
      </c>
      <c r="W417" s="2">
        <v>0</v>
      </c>
      <c r="X417" s="2">
        <f t="shared" si="53"/>
        <v>277</v>
      </c>
      <c r="Z417" s="1"/>
      <c r="AA417" s="1"/>
      <c r="AB417" s="2" t="str">
        <f t="shared" si="52"/>
        <v/>
      </c>
      <c r="AD417" s="121"/>
      <c r="AE417" s="121"/>
    </row>
    <row r="418" spans="1:31" x14ac:dyDescent="0.25">
      <c r="A418" s="2" t="s">
        <v>402</v>
      </c>
      <c r="B418" s="7">
        <v>2.4999999999999998E-2</v>
      </c>
      <c r="C418" s="2">
        <v>3</v>
      </c>
      <c r="D418" s="10" t="s">
        <v>393</v>
      </c>
      <c r="E418" s="40">
        <v>10</v>
      </c>
      <c r="F418" s="40">
        <v>2.2000000000000002</v>
      </c>
      <c r="G418" s="40">
        <v>2</v>
      </c>
      <c r="H418" s="3">
        <f t="shared" si="48"/>
        <v>1.25</v>
      </c>
      <c r="I418" s="3">
        <f t="shared" si="49"/>
        <v>0.27500000000000002</v>
      </c>
      <c r="J418" s="3">
        <f t="shared" si="50"/>
        <v>0.25</v>
      </c>
      <c r="K418" s="3"/>
      <c r="L418" s="4">
        <f t="shared" si="51"/>
        <v>275.2937500000001</v>
      </c>
      <c r="M418" s="40">
        <v>0</v>
      </c>
      <c r="N418" s="40">
        <v>0</v>
      </c>
      <c r="O418" s="40">
        <v>0</v>
      </c>
      <c r="P418" s="40">
        <v>0</v>
      </c>
      <c r="Q418" s="40">
        <v>0</v>
      </c>
      <c r="R418" s="40">
        <v>0</v>
      </c>
      <c r="S418" s="2">
        <f t="shared" si="47"/>
        <v>79.400000000000148</v>
      </c>
      <c r="T418" s="2">
        <v>0</v>
      </c>
      <c r="U418" s="2">
        <v>0</v>
      </c>
      <c r="V418" s="2">
        <v>0</v>
      </c>
      <c r="W418" s="2">
        <v>0</v>
      </c>
      <c r="X418" s="2">
        <f t="shared" si="53"/>
        <v>277</v>
      </c>
      <c r="Z418" s="1"/>
      <c r="AA418" s="1"/>
      <c r="AB418" s="2" t="str">
        <f t="shared" si="52"/>
        <v/>
      </c>
      <c r="AD418" s="121"/>
      <c r="AE418" s="121"/>
    </row>
    <row r="419" spans="1:31" x14ac:dyDescent="0.25">
      <c r="A419" s="2" t="s">
        <v>402</v>
      </c>
      <c r="B419" s="7">
        <v>0.33333333333333331</v>
      </c>
      <c r="C419" s="2">
        <v>7.4</v>
      </c>
      <c r="D419" s="10" t="s">
        <v>395</v>
      </c>
      <c r="E419" s="40">
        <v>0</v>
      </c>
      <c r="F419" s="40">
        <v>2.2000000000000002</v>
      </c>
      <c r="G419" s="40">
        <v>2</v>
      </c>
      <c r="H419" s="3">
        <f t="shared" si="48"/>
        <v>0</v>
      </c>
      <c r="I419" s="3">
        <f t="shared" si="49"/>
        <v>0.67833333333333345</v>
      </c>
      <c r="J419" s="3">
        <f t="shared" si="50"/>
        <v>0.6166666666666667</v>
      </c>
      <c r="K419" s="3"/>
      <c r="L419" s="4">
        <f t="shared" si="51"/>
        <v>273.99875000000009</v>
      </c>
      <c r="M419" s="40">
        <v>0</v>
      </c>
      <c r="N419" s="40">
        <v>0</v>
      </c>
      <c r="O419" s="40">
        <v>0.1</v>
      </c>
      <c r="P419" s="40">
        <v>0</v>
      </c>
      <c r="Q419" s="40">
        <v>0</v>
      </c>
      <c r="R419" s="40">
        <v>0</v>
      </c>
      <c r="S419" s="2">
        <f t="shared" si="47"/>
        <v>79.300000000000153</v>
      </c>
      <c r="T419" s="2">
        <v>0</v>
      </c>
      <c r="U419" s="2">
        <v>0</v>
      </c>
      <c r="V419" s="2">
        <v>2</v>
      </c>
      <c r="W419" s="2">
        <v>0</v>
      </c>
      <c r="X419" s="2">
        <f t="shared" si="53"/>
        <v>275</v>
      </c>
      <c r="Z419" s="1">
        <v>131</v>
      </c>
      <c r="AA419" s="1">
        <v>150</v>
      </c>
      <c r="AB419" s="2">
        <f t="shared" si="52"/>
        <v>281</v>
      </c>
      <c r="AD419" s="121"/>
      <c r="AE419" s="121"/>
    </row>
    <row r="420" spans="1:31" x14ac:dyDescent="0.25">
      <c r="A420" s="2" t="s">
        <v>403</v>
      </c>
      <c r="B420" s="7">
        <v>0.33333333333333331</v>
      </c>
      <c r="C420" s="2">
        <v>24</v>
      </c>
      <c r="D420" s="10" t="s">
        <v>395</v>
      </c>
      <c r="E420" s="40">
        <v>0</v>
      </c>
      <c r="F420" s="40">
        <v>2.2000000000000002</v>
      </c>
      <c r="G420" s="40">
        <v>2</v>
      </c>
      <c r="H420" s="3">
        <f t="shared" si="48"/>
        <v>0</v>
      </c>
      <c r="I420" s="3">
        <f t="shared" si="49"/>
        <v>2.2000000000000002</v>
      </c>
      <c r="J420" s="3">
        <f t="shared" si="50"/>
        <v>2</v>
      </c>
      <c r="K420" s="3"/>
      <c r="L420" s="4">
        <f t="shared" si="51"/>
        <v>269.7987500000001</v>
      </c>
      <c r="M420" s="40">
        <v>0</v>
      </c>
      <c r="N420" s="40">
        <v>0</v>
      </c>
      <c r="O420" s="40">
        <v>0.1</v>
      </c>
      <c r="P420" s="40">
        <v>0</v>
      </c>
      <c r="Q420" s="40">
        <v>0</v>
      </c>
      <c r="R420" s="40">
        <v>0</v>
      </c>
      <c r="S420" s="2">
        <f t="shared" si="47"/>
        <v>79.200000000000159</v>
      </c>
      <c r="T420" s="2">
        <v>0</v>
      </c>
      <c r="U420" s="2">
        <v>0</v>
      </c>
      <c r="V420" s="2">
        <v>4</v>
      </c>
      <c r="W420" s="2">
        <v>0</v>
      </c>
      <c r="X420" s="2">
        <f t="shared" si="53"/>
        <v>271</v>
      </c>
      <c r="Z420" s="1">
        <v>119</v>
      </c>
      <c r="AA420" s="1">
        <v>150</v>
      </c>
      <c r="AB420" s="2">
        <f t="shared" si="52"/>
        <v>269</v>
      </c>
      <c r="AD420" s="121"/>
      <c r="AE420" s="121"/>
    </row>
    <row r="421" spans="1:31" x14ac:dyDescent="0.25">
      <c r="A421" s="2" t="s">
        <v>403</v>
      </c>
      <c r="B421" s="7">
        <v>0.97916666666666663</v>
      </c>
      <c r="C421" s="2">
        <v>15.5</v>
      </c>
      <c r="D421" s="10" t="s">
        <v>404</v>
      </c>
      <c r="E421" s="40">
        <v>0</v>
      </c>
      <c r="F421" s="40">
        <v>2.2000000000000002</v>
      </c>
      <c r="G421" s="40">
        <v>2</v>
      </c>
      <c r="H421" s="3">
        <f t="shared" si="48"/>
        <v>0</v>
      </c>
      <c r="I421" s="3">
        <f t="shared" si="49"/>
        <v>1.4208333333333334</v>
      </c>
      <c r="J421" s="3">
        <f t="shared" si="50"/>
        <v>1.2916666666666665</v>
      </c>
      <c r="K421" s="3"/>
      <c r="L421" s="4">
        <f t="shared" si="51"/>
        <v>267.08625000000012</v>
      </c>
      <c r="M421" s="40">
        <v>0</v>
      </c>
      <c r="N421" s="40">
        <v>0</v>
      </c>
      <c r="O421" s="40">
        <v>0</v>
      </c>
      <c r="P421" s="40">
        <v>0</v>
      </c>
      <c r="Q421" s="40">
        <v>0</v>
      </c>
      <c r="R421" s="40">
        <v>0</v>
      </c>
      <c r="S421" s="2">
        <f t="shared" si="47"/>
        <v>79.200000000000159</v>
      </c>
      <c r="T421" s="2">
        <v>0</v>
      </c>
      <c r="U421" s="2">
        <v>0</v>
      </c>
      <c r="V421" s="2">
        <v>3</v>
      </c>
      <c r="W421" s="2">
        <v>0</v>
      </c>
      <c r="X421" s="2">
        <f t="shared" si="53"/>
        <v>268</v>
      </c>
      <c r="Z421" s="1"/>
      <c r="AA421" s="1"/>
      <c r="AB421" s="2" t="str">
        <f t="shared" si="52"/>
        <v/>
      </c>
      <c r="AD421" s="121"/>
      <c r="AE421" s="121"/>
    </row>
    <row r="422" spans="1:31" x14ac:dyDescent="0.25">
      <c r="A422" s="2" t="s">
        <v>405</v>
      </c>
      <c r="B422" s="7">
        <v>5.8333333333333327E-2</v>
      </c>
      <c r="C422" s="2">
        <v>1.9</v>
      </c>
      <c r="D422" s="10" t="s">
        <v>406</v>
      </c>
      <c r="E422" s="40">
        <v>10</v>
      </c>
      <c r="F422" s="40">
        <v>2.2000000000000002</v>
      </c>
      <c r="G422" s="40">
        <v>2</v>
      </c>
      <c r="H422" s="3">
        <f t="shared" si="48"/>
        <v>0.79166666666666663</v>
      </c>
      <c r="I422" s="3">
        <f t="shared" si="49"/>
        <v>0.17416666666666666</v>
      </c>
      <c r="J422" s="3">
        <f t="shared" si="50"/>
        <v>0.15833333333333333</v>
      </c>
      <c r="K422" s="3"/>
      <c r="L422" s="4">
        <f t="shared" si="51"/>
        <v>265.96208333333345</v>
      </c>
      <c r="M422" s="40">
        <v>0</v>
      </c>
      <c r="N422" s="40">
        <v>0</v>
      </c>
      <c r="O422" s="40">
        <v>0.1</v>
      </c>
      <c r="P422" s="40">
        <v>0</v>
      </c>
      <c r="Q422" s="40">
        <v>0</v>
      </c>
      <c r="R422" s="40">
        <v>0</v>
      </c>
      <c r="S422" s="2">
        <f t="shared" si="47"/>
        <v>79.100000000000165</v>
      </c>
      <c r="T422" s="2">
        <v>0</v>
      </c>
      <c r="U422" s="2">
        <v>0</v>
      </c>
      <c r="V422" s="2">
        <v>0</v>
      </c>
      <c r="W422" s="2">
        <v>0</v>
      </c>
      <c r="X422" s="2">
        <f t="shared" si="53"/>
        <v>268</v>
      </c>
      <c r="Z422" s="1"/>
      <c r="AA422" s="1"/>
      <c r="AB422" s="2" t="str">
        <f t="shared" si="52"/>
        <v/>
      </c>
      <c r="AD422" s="121"/>
      <c r="AE422" s="121"/>
    </row>
    <row r="423" spans="1:31" x14ac:dyDescent="0.25">
      <c r="A423" s="2" t="s">
        <v>405</v>
      </c>
      <c r="B423" s="7">
        <v>0.33333333333333331</v>
      </c>
      <c r="C423" s="2">
        <v>6.6</v>
      </c>
      <c r="D423" s="10" t="s">
        <v>387</v>
      </c>
      <c r="E423" s="40">
        <v>0</v>
      </c>
      <c r="F423" s="40">
        <v>2.2000000000000002</v>
      </c>
      <c r="G423" s="40">
        <v>2</v>
      </c>
      <c r="H423" s="3">
        <f t="shared" si="48"/>
        <v>0</v>
      </c>
      <c r="I423" s="3">
        <f t="shared" si="49"/>
        <v>0.60499999999999998</v>
      </c>
      <c r="J423" s="3">
        <f t="shared" si="50"/>
        <v>0.54999999999999993</v>
      </c>
      <c r="K423" s="3">
        <v>300</v>
      </c>
      <c r="L423" s="4">
        <f t="shared" si="51"/>
        <v>564.80708333333348</v>
      </c>
      <c r="M423" s="40">
        <v>0</v>
      </c>
      <c r="N423" s="40">
        <v>0</v>
      </c>
      <c r="O423" s="40">
        <v>0</v>
      </c>
      <c r="P423" s="40">
        <v>0</v>
      </c>
      <c r="Q423" s="40">
        <v>0</v>
      </c>
      <c r="R423" s="40">
        <v>0</v>
      </c>
      <c r="S423" s="2">
        <f t="shared" si="47"/>
        <v>79.100000000000165</v>
      </c>
      <c r="T423" s="2">
        <v>0</v>
      </c>
      <c r="U423" s="2">
        <v>0</v>
      </c>
      <c r="V423" s="2">
        <v>1</v>
      </c>
      <c r="W423" s="2">
        <v>0</v>
      </c>
      <c r="X423" s="2">
        <f t="shared" si="53"/>
        <v>267</v>
      </c>
      <c r="Z423" s="1"/>
      <c r="AA423" s="1"/>
      <c r="AB423" s="2" t="str">
        <f t="shared" si="52"/>
        <v/>
      </c>
      <c r="AD423" s="121"/>
      <c r="AE423" s="121"/>
    </row>
    <row r="424" spans="1:31" x14ac:dyDescent="0.25">
      <c r="A424" s="2" t="s">
        <v>405</v>
      </c>
      <c r="B424" s="7">
        <v>0.65</v>
      </c>
      <c r="C424" s="2">
        <v>7.6</v>
      </c>
      <c r="D424" s="10" t="s">
        <v>407</v>
      </c>
      <c r="E424" s="40">
        <v>0</v>
      </c>
      <c r="F424" s="40">
        <v>2.2000000000000002</v>
      </c>
      <c r="G424" s="40">
        <v>2</v>
      </c>
      <c r="H424" s="3">
        <f t="shared" si="48"/>
        <v>0</v>
      </c>
      <c r="I424" s="3">
        <f t="shared" si="49"/>
        <v>0.69666666666666666</v>
      </c>
      <c r="J424" s="3">
        <f t="shared" si="50"/>
        <v>0.6333333333333333</v>
      </c>
      <c r="K424" s="3"/>
      <c r="L424" s="4">
        <f t="shared" si="51"/>
        <v>563.47708333333344</v>
      </c>
      <c r="M424" s="40">
        <v>0</v>
      </c>
      <c r="N424" s="40">
        <v>0</v>
      </c>
      <c r="O424" s="40">
        <v>0</v>
      </c>
      <c r="P424" s="40">
        <v>0</v>
      </c>
      <c r="Q424" s="40">
        <v>0</v>
      </c>
      <c r="R424" s="40">
        <v>0</v>
      </c>
      <c r="S424" s="2">
        <f t="shared" si="47"/>
        <v>79.100000000000165</v>
      </c>
      <c r="T424" s="2">
        <v>0</v>
      </c>
      <c r="U424" s="2">
        <v>0</v>
      </c>
      <c r="V424" s="2">
        <v>1</v>
      </c>
      <c r="W424" s="2">
        <v>0</v>
      </c>
      <c r="X424" s="2">
        <f t="shared" si="53"/>
        <v>266</v>
      </c>
      <c r="Z424" s="1"/>
      <c r="AA424" s="1"/>
      <c r="AB424" s="2" t="str">
        <f t="shared" si="52"/>
        <v/>
      </c>
      <c r="AD424" s="121"/>
      <c r="AE424" s="121"/>
    </row>
    <row r="425" spans="1:31" x14ac:dyDescent="0.25">
      <c r="A425" s="2" t="s">
        <v>405</v>
      </c>
      <c r="B425" s="7">
        <v>0.66666666666666663</v>
      </c>
      <c r="C425" s="2">
        <v>0.4</v>
      </c>
      <c r="D425" s="10" t="s">
        <v>408</v>
      </c>
      <c r="E425" s="40">
        <v>12</v>
      </c>
      <c r="F425" s="40">
        <v>2.2000000000000002</v>
      </c>
      <c r="G425" s="40">
        <v>1</v>
      </c>
      <c r="H425" s="3">
        <f t="shared" si="48"/>
        <v>0.2</v>
      </c>
      <c r="I425" s="3">
        <f t="shared" si="49"/>
        <v>3.6666666666666674E-2</v>
      </c>
      <c r="J425" s="3">
        <f t="shared" si="50"/>
        <v>1.6666666666666666E-2</v>
      </c>
      <c r="K425" s="3"/>
      <c r="L425" s="4">
        <f t="shared" si="51"/>
        <v>563.22375000000011</v>
      </c>
      <c r="M425" s="40">
        <v>0</v>
      </c>
      <c r="N425" s="40">
        <v>0</v>
      </c>
      <c r="O425" s="40">
        <v>0</v>
      </c>
      <c r="P425" s="40">
        <v>0</v>
      </c>
      <c r="Q425" s="40">
        <v>0</v>
      </c>
      <c r="R425" s="40">
        <v>0</v>
      </c>
      <c r="S425" s="2">
        <f t="shared" si="47"/>
        <v>79.100000000000165</v>
      </c>
      <c r="T425" s="2">
        <v>0</v>
      </c>
      <c r="U425" s="2">
        <v>0</v>
      </c>
      <c r="V425" s="2">
        <v>0</v>
      </c>
      <c r="W425" s="2">
        <v>0</v>
      </c>
      <c r="X425" s="2">
        <f t="shared" si="53"/>
        <v>266</v>
      </c>
      <c r="Z425" s="1"/>
      <c r="AA425" s="1"/>
      <c r="AB425" s="2" t="str">
        <f t="shared" si="52"/>
        <v/>
      </c>
      <c r="AD425" s="121"/>
      <c r="AE425" s="121"/>
    </row>
    <row r="426" spans="1:31" x14ac:dyDescent="0.25">
      <c r="A426" s="2" t="s">
        <v>405</v>
      </c>
      <c r="B426" s="7">
        <v>0.9291666666666667</v>
      </c>
      <c r="C426" s="2">
        <v>6.3</v>
      </c>
      <c r="D426" s="10" t="s">
        <v>374</v>
      </c>
      <c r="E426" s="40">
        <v>22</v>
      </c>
      <c r="F426" s="40">
        <v>2.2000000000000002</v>
      </c>
      <c r="G426" s="40">
        <v>0</v>
      </c>
      <c r="H426" s="3">
        <f t="shared" si="48"/>
        <v>5.7749999999999995</v>
      </c>
      <c r="I426" s="3">
        <f t="shared" si="49"/>
        <v>0.57750000000000001</v>
      </c>
      <c r="J426" s="3">
        <f t="shared" si="50"/>
        <v>0</v>
      </c>
      <c r="K426" s="3"/>
      <c r="L426" s="4">
        <f t="shared" si="51"/>
        <v>556.87125000000015</v>
      </c>
      <c r="M426" s="40">
        <v>0</v>
      </c>
      <c r="N426" s="40">
        <v>0</v>
      </c>
      <c r="O426" s="40">
        <v>0</v>
      </c>
      <c r="P426" s="40">
        <v>0</v>
      </c>
      <c r="Q426" s="40">
        <v>0</v>
      </c>
      <c r="R426" s="40">
        <v>0</v>
      </c>
      <c r="S426" s="2">
        <f t="shared" si="47"/>
        <v>79.100000000000165</v>
      </c>
      <c r="T426" s="2">
        <v>0</v>
      </c>
      <c r="U426" s="2">
        <v>0</v>
      </c>
      <c r="V426" s="2">
        <v>1</v>
      </c>
      <c r="W426" s="2">
        <v>0</v>
      </c>
      <c r="X426" s="2">
        <f t="shared" si="53"/>
        <v>265</v>
      </c>
      <c r="Z426" s="1"/>
      <c r="AA426" s="1"/>
      <c r="AB426" s="2" t="str">
        <f t="shared" si="52"/>
        <v/>
      </c>
      <c r="AD426" s="121">
        <v>13.2</v>
      </c>
      <c r="AE426" s="121" t="s">
        <v>1307</v>
      </c>
    </row>
    <row r="427" spans="1:31" x14ac:dyDescent="0.25">
      <c r="A427" s="2" t="s">
        <v>405</v>
      </c>
      <c r="B427" s="7">
        <v>0.95000000000000007</v>
      </c>
      <c r="C427" s="2">
        <v>0.5</v>
      </c>
      <c r="D427" s="10" t="s">
        <v>409</v>
      </c>
      <c r="E427" s="40">
        <v>10</v>
      </c>
      <c r="F427" s="40">
        <v>2.2000000000000002</v>
      </c>
      <c r="G427" s="40">
        <v>1</v>
      </c>
      <c r="H427" s="3">
        <f t="shared" si="48"/>
        <v>0.20833333333333334</v>
      </c>
      <c r="I427" s="3">
        <f t="shared" si="49"/>
        <v>4.5833333333333337E-2</v>
      </c>
      <c r="J427" s="3">
        <f t="shared" si="50"/>
        <v>2.0833333333333332E-2</v>
      </c>
      <c r="K427" s="3"/>
      <c r="L427" s="4">
        <f t="shared" si="51"/>
        <v>556.59625000000017</v>
      </c>
      <c r="M427" s="40">
        <v>0</v>
      </c>
      <c r="N427" s="40">
        <v>0</v>
      </c>
      <c r="O427" s="40">
        <v>0</v>
      </c>
      <c r="P427" s="40">
        <v>0</v>
      </c>
      <c r="Q427" s="40">
        <v>0</v>
      </c>
      <c r="R427" s="40">
        <v>0</v>
      </c>
      <c r="S427" s="2">
        <f t="shared" si="47"/>
        <v>79.100000000000165</v>
      </c>
      <c r="T427" s="2">
        <v>0</v>
      </c>
      <c r="U427" s="2">
        <v>0</v>
      </c>
      <c r="V427" s="2">
        <v>0</v>
      </c>
      <c r="W427" s="2">
        <v>0</v>
      </c>
      <c r="X427" s="2">
        <f t="shared" si="53"/>
        <v>265</v>
      </c>
      <c r="Z427" s="1"/>
      <c r="AA427" s="1"/>
      <c r="AB427" s="2" t="str">
        <f t="shared" si="52"/>
        <v/>
      </c>
      <c r="AD427" s="121"/>
      <c r="AE427" s="121"/>
    </row>
    <row r="428" spans="1:31" x14ac:dyDescent="0.25">
      <c r="A428" s="2" t="s">
        <v>354</v>
      </c>
      <c r="B428" s="7">
        <v>0.33333333333333331</v>
      </c>
      <c r="C428" s="2">
        <v>9.1999999999999993</v>
      </c>
      <c r="D428" s="10" t="s">
        <v>409</v>
      </c>
      <c r="E428" s="40">
        <v>0</v>
      </c>
      <c r="F428" s="40">
        <v>2.2000000000000002</v>
      </c>
      <c r="G428" s="40">
        <v>2</v>
      </c>
      <c r="H428" s="3">
        <f t="shared" si="48"/>
        <v>0</v>
      </c>
      <c r="I428" s="3">
        <f t="shared" si="49"/>
        <v>0.84333333333333338</v>
      </c>
      <c r="J428" s="3">
        <f t="shared" si="50"/>
        <v>0.76666666666666661</v>
      </c>
      <c r="K428" s="3"/>
      <c r="L428" s="4">
        <f t="shared" si="51"/>
        <v>554.98625000000015</v>
      </c>
      <c r="M428" s="40">
        <v>0</v>
      </c>
      <c r="N428" s="40">
        <v>0</v>
      </c>
      <c r="O428" s="40">
        <v>0.1</v>
      </c>
      <c r="P428" s="40">
        <v>0</v>
      </c>
      <c r="Q428" s="40">
        <v>0</v>
      </c>
      <c r="R428" s="40">
        <v>0</v>
      </c>
      <c r="S428" s="2">
        <f t="shared" si="47"/>
        <v>79.000000000000171</v>
      </c>
      <c r="T428" s="2">
        <v>0</v>
      </c>
      <c r="U428" s="2">
        <v>0</v>
      </c>
      <c r="V428" s="2">
        <v>2</v>
      </c>
      <c r="W428" s="2">
        <v>0</v>
      </c>
      <c r="X428" s="2">
        <f t="shared" si="53"/>
        <v>263</v>
      </c>
      <c r="Z428" s="1">
        <v>109</v>
      </c>
      <c r="AA428" s="1">
        <v>150</v>
      </c>
      <c r="AB428" s="2">
        <f t="shared" si="52"/>
        <v>259</v>
      </c>
      <c r="AD428" s="121"/>
      <c r="AE428" s="121"/>
    </row>
    <row r="429" spans="1:31" x14ac:dyDescent="0.25">
      <c r="A429" s="2" t="s">
        <v>354</v>
      </c>
      <c r="B429" s="7">
        <v>0.52916666666666667</v>
      </c>
      <c r="C429" s="2">
        <v>4.7</v>
      </c>
      <c r="D429" s="10" t="s">
        <v>410</v>
      </c>
      <c r="E429" s="40">
        <v>0</v>
      </c>
      <c r="F429" s="40">
        <v>2.2000000000000002</v>
      </c>
      <c r="G429" s="40">
        <v>2</v>
      </c>
      <c r="H429" s="3">
        <f t="shared" si="48"/>
        <v>0</v>
      </c>
      <c r="I429" s="3">
        <f t="shared" si="49"/>
        <v>0.4308333333333334</v>
      </c>
      <c r="J429" s="3">
        <f t="shared" si="50"/>
        <v>0.39166666666666666</v>
      </c>
      <c r="K429" s="3"/>
      <c r="L429" s="4">
        <f t="shared" si="51"/>
        <v>554.16375000000016</v>
      </c>
      <c r="M429" s="40">
        <v>0</v>
      </c>
      <c r="N429" s="40">
        <v>0</v>
      </c>
      <c r="O429" s="40">
        <v>0</v>
      </c>
      <c r="P429" s="40">
        <v>0</v>
      </c>
      <c r="Q429" s="40">
        <v>0</v>
      </c>
      <c r="R429" s="40">
        <v>0</v>
      </c>
      <c r="S429" s="2">
        <f t="shared" si="47"/>
        <v>79.000000000000171</v>
      </c>
      <c r="T429" s="2">
        <v>0</v>
      </c>
      <c r="U429" s="2">
        <v>0</v>
      </c>
      <c r="V429" s="2">
        <v>1</v>
      </c>
      <c r="W429" s="2">
        <v>0</v>
      </c>
      <c r="X429" s="2">
        <f t="shared" si="53"/>
        <v>262</v>
      </c>
      <c r="Z429" s="1"/>
      <c r="AA429" s="1"/>
      <c r="AB429" s="2" t="str">
        <f t="shared" si="52"/>
        <v/>
      </c>
      <c r="AD429" s="121"/>
      <c r="AE429" s="121"/>
    </row>
    <row r="430" spans="1:31" x14ac:dyDescent="0.25">
      <c r="A430" s="2" t="s">
        <v>354</v>
      </c>
      <c r="B430" s="7">
        <v>0.57916666666666672</v>
      </c>
      <c r="C430" s="2">
        <v>1.2</v>
      </c>
      <c r="D430" s="10" t="s">
        <v>412</v>
      </c>
      <c r="E430" s="40">
        <v>10</v>
      </c>
      <c r="F430" s="40">
        <v>2.2000000000000002</v>
      </c>
      <c r="G430" s="40">
        <v>2.2000000000000002</v>
      </c>
      <c r="H430" s="3">
        <f t="shared" si="48"/>
        <v>0.5</v>
      </c>
      <c r="I430" s="3">
        <f t="shared" si="49"/>
        <v>0.11</v>
      </c>
      <c r="J430" s="3">
        <f t="shared" si="50"/>
        <v>0.11</v>
      </c>
      <c r="K430" s="3"/>
      <c r="L430" s="4">
        <f t="shared" si="51"/>
        <v>553.44375000000014</v>
      </c>
      <c r="M430" s="40">
        <v>0</v>
      </c>
      <c r="N430" s="40">
        <v>0</v>
      </c>
      <c r="O430" s="40">
        <v>0</v>
      </c>
      <c r="P430" s="40">
        <v>0</v>
      </c>
      <c r="Q430" s="40">
        <v>0</v>
      </c>
      <c r="R430" s="40">
        <v>0</v>
      </c>
      <c r="S430" s="2">
        <f t="shared" si="47"/>
        <v>79.000000000000171</v>
      </c>
      <c r="T430" s="2">
        <v>0</v>
      </c>
      <c r="U430" s="2">
        <v>0</v>
      </c>
      <c r="V430" s="2">
        <v>0</v>
      </c>
      <c r="W430" s="2">
        <v>0</v>
      </c>
      <c r="X430" s="2">
        <f t="shared" si="53"/>
        <v>262</v>
      </c>
      <c r="Z430" s="1"/>
      <c r="AA430" s="1"/>
      <c r="AB430" s="2" t="str">
        <f t="shared" si="52"/>
        <v/>
      </c>
      <c r="AD430" s="121"/>
      <c r="AE430" s="121"/>
    </row>
    <row r="431" spans="1:31" x14ac:dyDescent="0.25">
      <c r="A431" s="2" t="s">
        <v>411</v>
      </c>
      <c r="B431" s="7">
        <v>0.33333333333333331</v>
      </c>
      <c r="C431" s="2">
        <v>18.100000000000001</v>
      </c>
      <c r="D431" s="10" t="s">
        <v>383</v>
      </c>
      <c r="E431" s="40">
        <v>0</v>
      </c>
      <c r="F431" s="40">
        <v>2.2000000000000002</v>
      </c>
      <c r="G431" s="40">
        <v>2</v>
      </c>
      <c r="H431" s="3">
        <f t="shared" si="48"/>
        <v>0</v>
      </c>
      <c r="I431" s="3">
        <f t="shared" si="49"/>
        <v>1.6591666666666669</v>
      </c>
      <c r="J431" s="3">
        <f t="shared" si="50"/>
        <v>1.5083333333333333</v>
      </c>
      <c r="K431" s="3"/>
      <c r="L431" s="4">
        <f t="shared" si="51"/>
        <v>550.27625000000012</v>
      </c>
      <c r="M431" s="40">
        <v>0</v>
      </c>
      <c r="N431" s="40">
        <v>0</v>
      </c>
      <c r="O431" s="40">
        <v>0.1</v>
      </c>
      <c r="P431" s="40">
        <v>0</v>
      </c>
      <c r="Q431" s="40">
        <v>2.4</v>
      </c>
      <c r="R431" s="40">
        <v>0</v>
      </c>
      <c r="S431" s="2">
        <f t="shared" si="47"/>
        <v>76.500000000000171</v>
      </c>
      <c r="T431" s="2">
        <v>0</v>
      </c>
      <c r="U431" s="2">
        <v>0</v>
      </c>
      <c r="V431" s="2">
        <v>3</v>
      </c>
      <c r="W431" s="2">
        <v>0</v>
      </c>
      <c r="X431" s="2">
        <f t="shared" si="53"/>
        <v>259</v>
      </c>
      <c r="Z431" s="1">
        <v>104</v>
      </c>
      <c r="AA431" s="1">
        <v>150</v>
      </c>
      <c r="AB431" s="2">
        <f t="shared" si="52"/>
        <v>254</v>
      </c>
      <c r="AD431" s="121"/>
      <c r="AE431" s="121"/>
    </row>
    <row r="432" spans="1:31" x14ac:dyDescent="0.25">
      <c r="A432" s="2" t="s">
        <v>411</v>
      </c>
      <c r="B432" s="7">
        <v>0.56666666666666665</v>
      </c>
      <c r="C432" s="2">
        <v>5.6</v>
      </c>
      <c r="D432" s="10" t="s">
        <v>413</v>
      </c>
      <c r="E432" s="40">
        <v>0</v>
      </c>
      <c r="F432" s="40">
        <v>2.2000000000000002</v>
      </c>
      <c r="G432" s="40">
        <v>2</v>
      </c>
      <c r="H432" s="3">
        <f t="shared" si="48"/>
        <v>0</v>
      </c>
      <c r="I432" s="3">
        <f t="shared" si="49"/>
        <v>0.51333333333333331</v>
      </c>
      <c r="J432" s="3">
        <f t="shared" si="50"/>
        <v>0.46666666666666662</v>
      </c>
      <c r="K432" s="3"/>
      <c r="L432" s="4">
        <f t="shared" si="51"/>
        <v>549.2962500000001</v>
      </c>
      <c r="M432" s="40">
        <v>0</v>
      </c>
      <c r="N432" s="40">
        <v>0</v>
      </c>
      <c r="O432" s="40">
        <v>0</v>
      </c>
      <c r="P432" s="40">
        <v>0</v>
      </c>
      <c r="Q432" s="40">
        <v>0</v>
      </c>
      <c r="R432" s="40">
        <v>0</v>
      </c>
      <c r="S432" s="2">
        <f t="shared" si="47"/>
        <v>76.500000000000171</v>
      </c>
      <c r="T432" s="2">
        <v>0</v>
      </c>
      <c r="U432" s="2">
        <v>0</v>
      </c>
      <c r="V432" s="2">
        <v>1</v>
      </c>
      <c r="W432" s="2">
        <v>0</v>
      </c>
      <c r="X432" s="2">
        <f t="shared" si="53"/>
        <v>258</v>
      </c>
      <c r="Z432" s="1"/>
      <c r="AA432" s="1"/>
      <c r="AB432" s="2" t="str">
        <f t="shared" si="52"/>
        <v/>
      </c>
      <c r="AD432" s="121"/>
      <c r="AE432" s="121"/>
    </row>
    <row r="433" spans="1:31" x14ac:dyDescent="0.25">
      <c r="A433" s="2" t="s">
        <v>411</v>
      </c>
      <c r="B433" s="7">
        <v>0.6333333333333333</v>
      </c>
      <c r="C433" s="2">
        <v>1.6</v>
      </c>
      <c r="D433" s="10" t="s">
        <v>414</v>
      </c>
      <c r="E433" s="40">
        <v>10</v>
      </c>
      <c r="F433" s="40">
        <v>2.2000000000000002</v>
      </c>
      <c r="G433" s="40">
        <v>2</v>
      </c>
      <c r="H433" s="3">
        <f t="shared" si="48"/>
        <v>0.66666666666666674</v>
      </c>
      <c r="I433" s="3">
        <f t="shared" si="49"/>
        <v>0.1466666666666667</v>
      </c>
      <c r="J433" s="3">
        <f t="shared" si="50"/>
        <v>0.13333333333333333</v>
      </c>
      <c r="K433" s="3"/>
      <c r="L433" s="4">
        <f t="shared" si="51"/>
        <v>548.34958333333338</v>
      </c>
      <c r="M433" s="40">
        <v>0</v>
      </c>
      <c r="N433" s="40">
        <v>0</v>
      </c>
      <c r="O433" s="40">
        <v>0</v>
      </c>
      <c r="P433" s="40">
        <v>0</v>
      </c>
      <c r="Q433" s="40">
        <v>0</v>
      </c>
      <c r="R433" s="40">
        <v>0</v>
      </c>
      <c r="S433" s="2">
        <f t="shared" si="47"/>
        <v>76.500000000000171</v>
      </c>
      <c r="T433" s="2">
        <v>0</v>
      </c>
      <c r="U433" s="2">
        <v>0</v>
      </c>
      <c r="V433" s="2">
        <v>0</v>
      </c>
      <c r="W433" s="2">
        <v>0</v>
      </c>
      <c r="X433" s="2">
        <f t="shared" si="53"/>
        <v>258</v>
      </c>
      <c r="Z433" s="1"/>
      <c r="AA433" s="1"/>
      <c r="AB433" s="2" t="str">
        <f t="shared" si="52"/>
        <v/>
      </c>
      <c r="AD433" s="121"/>
      <c r="AE433" s="121"/>
    </row>
    <row r="434" spans="1:31" x14ac:dyDescent="0.25">
      <c r="A434" s="2" t="s">
        <v>415</v>
      </c>
      <c r="B434" s="7">
        <v>0.33333333333333331</v>
      </c>
      <c r="C434" s="2">
        <v>19.8</v>
      </c>
      <c r="D434" s="10" t="s">
        <v>355</v>
      </c>
      <c r="E434" s="40">
        <v>20</v>
      </c>
      <c r="F434" s="40">
        <v>2.2000000000000002</v>
      </c>
      <c r="G434" s="40">
        <v>0</v>
      </c>
      <c r="H434" s="3">
        <f t="shared" si="48"/>
        <v>16.5</v>
      </c>
      <c r="I434" s="3">
        <f t="shared" si="49"/>
        <v>1.8150000000000002</v>
      </c>
      <c r="J434" s="3">
        <f t="shared" si="50"/>
        <v>0</v>
      </c>
      <c r="K434" s="3"/>
      <c r="L434" s="4">
        <f t="shared" si="51"/>
        <v>530.03458333333333</v>
      </c>
      <c r="M434" s="40">
        <v>0</v>
      </c>
      <c r="N434" s="40">
        <v>0</v>
      </c>
      <c r="O434" s="40">
        <v>0.1</v>
      </c>
      <c r="P434" s="40">
        <v>0</v>
      </c>
      <c r="Q434" s="40">
        <v>0</v>
      </c>
      <c r="R434" s="40">
        <v>0</v>
      </c>
      <c r="S434" s="2">
        <f t="shared" si="47"/>
        <v>76.400000000000176</v>
      </c>
      <c r="T434" s="2">
        <v>0</v>
      </c>
      <c r="U434" s="2">
        <v>0</v>
      </c>
      <c r="V434" s="2">
        <v>3</v>
      </c>
      <c r="W434" s="2">
        <v>0</v>
      </c>
      <c r="X434" s="2">
        <f t="shared" si="53"/>
        <v>255</v>
      </c>
      <c r="Z434" s="1"/>
      <c r="AA434" s="1"/>
      <c r="AB434" s="2" t="str">
        <f t="shared" si="52"/>
        <v/>
      </c>
      <c r="AD434" s="121"/>
      <c r="AE434" s="121"/>
    </row>
    <row r="435" spans="1:31" x14ac:dyDescent="0.25">
      <c r="A435" s="2" t="s">
        <v>415</v>
      </c>
      <c r="B435" s="7">
        <v>0.4916666666666667</v>
      </c>
      <c r="C435" s="2">
        <v>3.8</v>
      </c>
      <c r="D435" s="10" t="s">
        <v>374</v>
      </c>
      <c r="E435" s="40">
        <v>20</v>
      </c>
      <c r="F435" s="40">
        <v>2.2000000000000002</v>
      </c>
      <c r="G435" s="40">
        <v>0</v>
      </c>
      <c r="H435" s="3">
        <f t="shared" si="48"/>
        <v>3.1666666666666665</v>
      </c>
      <c r="I435" s="3">
        <f t="shared" si="49"/>
        <v>0.34833333333333333</v>
      </c>
      <c r="J435" s="3">
        <f t="shared" si="50"/>
        <v>0</v>
      </c>
      <c r="K435" s="3"/>
      <c r="L435" s="4">
        <f t="shared" si="51"/>
        <v>526.51958333333334</v>
      </c>
      <c r="M435" s="40">
        <v>0</v>
      </c>
      <c r="N435" s="40">
        <v>0</v>
      </c>
      <c r="O435" s="40">
        <v>0</v>
      </c>
      <c r="P435" s="40">
        <v>0</v>
      </c>
      <c r="Q435" s="40">
        <v>0</v>
      </c>
      <c r="R435" s="40">
        <v>0</v>
      </c>
      <c r="S435" s="2">
        <f t="shared" si="47"/>
        <v>76.400000000000176</v>
      </c>
      <c r="T435" s="2">
        <v>0</v>
      </c>
      <c r="U435" s="2">
        <v>0</v>
      </c>
      <c r="V435" s="2">
        <v>1</v>
      </c>
      <c r="W435" s="2">
        <v>0</v>
      </c>
      <c r="X435" s="2">
        <f t="shared" si="53"/>
        <v>254</v>
      </c>
      <c r="Z435" s="1"/>
      <c r="AA435" s="1"/>
      <c r="AB435" s="2" t="str">
        <f t="shared" si="52"/>
        <v/>
      </c>
      <c r="AD435" s="121">
        <v>12.5</v>
      </c>
      <c r="AE435" s="121" t="s">
        <v>1301</v>
      </c>
    </row>
    <row r="436" spans="1:31" x14ac:dyDescent="0.25">
      <c r="A436" s="2" t="s">
        <v>415</v>
      </c>
      <c r="B436" s="7">
        <v>0.51250000000000007</v>
      </c>
      <c r="C436" s="2">
        <v>0.5</v>
      </c>
      <c r="D436" s="10" t="s">
        <v>416</v>
      </c>
      <c r="E436" s="40">
        <v>10</v>
      </c>
      <c r="F436" s="40">
        <v>2.2000000000000002</v>
      </c>
      <c r="G436" s="40">
        <v>2</v>
      </c>
      <c r="H436" s="3">
        <f t="shared" si="48"/>
        <v>0.20833333333333334</v>
      </c>
      <c r="I436" s="3">
        <f t="shared" si="49"/>
        <v>4.5833333333333337E-2</v>
      </c>
      <c r="J436" s="3">
        <f t="shared" si="50"/>
        <v>4.1666666666666664E-2</v>
      </c>
      <c r="K436" s="3"/>
      <c r="L436" s="4">
        <f t="shared" si="51"/>
        <v>526.22375</v>
      </c>
      <c r="M436" s="40">
        <v>0</v>
      </c>
      <c r="N436" s="40">
        <v>0</v>
      </c>
      <c r="O436" s="40">
        <v>0</v>
      </c>
      <c r="P436" s="40">
        <v>0</v>
      </c>
      <c r="Q436" s="40">
        <v>0</v>
      </c>
      <c r="R436" s="40">
        <v>0</v>
      </c>
      <c r="S436" s="2">
        <f t="shared" si="47"/>
        <v>76.400000000000176</v>
      </c>
      <c r="T436" s="2">
        <v>0</v>
      </c>
      <c r="U436" s="2">
        <v>0</v>
      </c>
      <c r="V436" s="2">
        <v>0</v>
      </c>
      <c r="W436" s="2">
        <v>0</v>
      </c>
      <c r="X436" s="2">
        <f t="shared" si="53"/>
        <v>254</v>
      </c>
      <c r="Z436" s="1"/>
      <c r="AA436" s="1"/>
      <c r="AB436" s="2" t="str">
        <f t="shared" si="52"/>
        <v/>
      </c>
      <c r="AD436" s="121"/>
      <c r="AE436" s="121"/>
    </row>
    <row r="437" spans="1:31" x14ac:dyDescent="0.25">
      <c r="A437" s="2" t="s">
        <v>417</v>
      </c>
      <c r="B437" s="7">
        <v>0.33333333333333331</v>
      </c>
      <c r="C437" s="2">
        <v>19.7</v>
      </c>
      <c r="D437" s="10" t="s">
        <v>416</v>
      </c>
      <c r="E437" s="40">
        <v>0</v>
      </c>
      <c r="F437" s="40">
        <v>2.2000000000000002</v>
      </c>
      <c r="G437" s="40">
        <v>2</v>
      </c>
      <c r="H437" s="3">
        <f t="shared" si="48"/>
        <v>0</v>
      </c>
      <c r="I437" s="3">
        <f t="shared" si="49"/>
        <v>1.8058333333333334</v>
      </c>
      <c r="J437" s="3">
        <f t="shared" si="50"/>
        <v>1.6416666666666666</v>
      </c>
      <c r="K437" s="3"/>
      <c r="L437" s="4">
        <f t="shared" si="51"/>
        <v>522.77625</v>
      </c>
      <c r="M437" s="40">
        <v>0</v>
      </c>
      <c r="N437" s="40">
        <v>0</v>
      </c>
      <c r="O437" s="40">
        <v>0.1</v>
      </c>
      <c r="P437" s="40">
        <v>0</v>
      </c>
      <c r="Q437" s="40">
        <v>0</v>
      </c>
      <c r="R437" s="40">
        <v>0</v>
      </c>
      <c r="S437" s="2">
        <f t="shared" si="47"/>
        <v>76.300000000000182</v>
      </c>
      <c r="T437" s="2">
        <v>0</v>
      </c>
      <c r="U437" s="2">
        <v>0</v>
      </c>
      <c r="V437" s="2">
        <v>3</v>
      </c>
      <c r="W437" s="2">
        <v>0</v>
      </c>
      <c r="X437" s="2">
        <f t="shared" si="53"/>
        <v>251</v>
      </c>
      <c r="Z437" s="1"/>
      <c r="AA437" s="1"/>
      <c r="AB437" s="2" t="str">
        <f t="shared" si="52"/>
        <v/>
      </c>
      <c r="AD437" s="121"/>
      <c r="AE437" s="121"/>
    </row>
    <row r="438" spans="1:31" x14ac:dyDescent="0.25">
      <c r="A438" s="2" t="s">
        <v>417</v>
      </c>
      <c r="B438" s="7">
        <v>0.61249999999999993</v>
      </c>
      <c r="C438" s="2">
        <v>6.7</v>
      </c>
      <c r="D438" s="10" t="s">
        <v>418</v>
      </c>
      <c r="E438" s="40">
        <v>0</v>
      </c>
      <c r="F438" s="40">
        <v>2.2000000000000002</v>
      </c>
      <c r="G438" s="40">
        <v>2</v>
      </c>
      <c r="H438" s="3">
        <f t="shared" si="48"/>
        <v>0</v>
      </c>
      <c r="I438" s="3">
        <f t="shared" si="49"/>
        <v>0.61416666666666675</v>
      </c>
      <c r="J438" s="3">
        <f t="shared" si="50"/>
        <v>0.55833333333333335</v>
      </c>
      <c r="K438" s="3"/>
      <c r="L438" s="4">
        <f t="shared" si="51"/>
        <v>521.60374999999999</v>
      </c>
      <c r="M438" s="40">
        <v>0</v>
      </c>
      <c r="N438" s="40">
        <v>0</v>
      </c>
      <c r="O438" s="40">
        <v>0</v>
      </c>
      <c r="P438" s="40">
        <v>0</v>
      </c>
      <c r="Q438" s="40">
        <v>0</v>
      </c>
      <c r="R438" s="40">
        <v>0</v>
      </c>
      <c r="S438" s="2">
        <f t="shared" si="47"/>
        <v>76.300000000000182</v>
      </c>
      <c r="T438" s="2">
        <v>0</v>
      </c>
      <c r="U438" s="2">
        <v>0</v>
      </c>
      <c r="V438" s="2">
        <v>1</v>
      </c>
      <c r="W438" s="2">
        <v>0</v>
      </c>
      <c r="X438" s="2">
        <f t="shared" si="53"/>
        <v>250</v>
      </c>
      <c r="Z438" s="1"/>
      <c r="AA438" s="1"/>
      <c r="AB438" s="2" t="str">
        <f t="shared" si="52"/>
        <v/>
      </c>
      <c r="AD438" s="121"/>
      <c r="AE438" s="121"/>
    </row>
    <row r="439" spans="1:31" x14ac:dyDescent="0.25">
      <c r="A439" s="2" t="s">
        <v>417</v>
      </c>
      <c r="B439" s="7">
        <v>0.6875</v>
      </c>
      <c r="C439" s="2">
        <v>1.8</v>
      </c>
      <c r="D439" s="10" t="s">
        <v>419</v>
      </c>
      <c r="E439" s="40">
        <v>10</v>
      </c>
      <c r="F439" s="40">
        <v>2.2000000000000002</v>
      </c>
      <c r="G439" s="40">
        <v>1</v>
      </c>
      <c r="H439" s="3">
        <f t="shared" si="48"/>
        <v>0.75</v>
      </c>
      <c r="I439" s="3">
        <f t="shared" si="49"/>
        <v>0.16500000000000001</v>
      </c>
      <c r="J439" s="3">
        <f t="shared" si="50"/>
        <v>7.4999999999999997E-2</v>
      </c>
      <c r="K439" s="3"/>
      <c r="L439" s="4">
        <f t="shared" si="51"/>
        <v>520.61374999999998</v>
      </c>
      <c r="M439" s="40">
        <v>0</v>
      </c>
      <c r="N439" s="40">
        <v>0</v>
      </c>
      <c r="O439" s="40">
        <v>0</v>
      </c>
      <c r="P439" s="40">
        <v>0</v>
      </c>
      <c r="Q439" s="40">
        <v>0</v>
      </c>
      <c r="R439" s="40">
        <v>0</v>
      </c>
      <c r="S439" s="2">
        <f t="shared" si="47"/>
        <v>76.300000000000182</v>
      </c>
      <c r="T439" s="2">
        <v>0</v>
      </c>
      <c r="U439" s="2">
        <v>0</v>
      </c>
      <c r="V439" s="2">
        <v>0</v>
      </c>
      <c r="W439" s="2">
        <v>0</v>
      </c>
      <c r="X439" s="2">
        <f t="shared" si="53"/>
        <v>250</v>
      </c>
      <c r="Z439" s="1"/>
      <c r="AA439" s="1"/>
      <c r="AB439" s="2" t="str">
        <f t="shared" si="52"/>
        <v/>
      </c>
      <c r="AD439" s="121"/>
      <c r="AE439" s="121"/>
    </row>
    <row r="440" spans="1:31" x14ac:dyDescent="0.25">
      <c r="A440" s="2" t="s">
        <v>420</v>
      </c>
      <c r="B440" s="7">
        <v>0.33333333333333331</v>
      </c>
      <c r="C440" s="2">
        <v>15.5</v>
      </c>
      <c r="D440" s="10" t="s">
        <v>421</v>
      </c>
      <c r="E440" s="40">
        <v>0</v>
      </c>
      <c r="F440" s="40">
        <v>2.2000000000000002</v>
      </c>
      <c r="G440" s="40">
        <v>2</v>
      </c>
      <c r="H440" s="3">
        <f t="shared" si="48"/>
        <v>0</v>
      </c>
      <c r="I440" s="3">
        <f t="shared" si="49"/>
        <v>1.4208333333333334</v>
      </c>
      <c r="J440" s="3">
        <f t="shared" si="50"/>
        <v>1.2916666666666665</v>
      </c>
      <c r="K440" s="3"/>
      <c r="L440" s="4">
        <f t="shared" si="51"/>
        <v>517.90125</v>
      </c>
      <c r="M440" s="40">
        <v>0</v>
      </c>
      <c r="N440" s="40">
        <v>0</v>
      </c>
      <c r="O440" s="40">
        <v>0.1</v>
      </c>
      <c r="P440" s="40">
        <v>0</v>
      </c>
      <c r="Q440" s="40">
        <v>2.4</v>
      </c>
      <c r="R440" s="40">
        <v>0</v>
      </c>
      <c r="S440" s="2">
        <f t="shared" si="47"/>
        <v>73.800000000000182</v>
      </c>
      <c r="T440" s="2">
        <v>0</v>
      </c>
      <c r="U440" s="2">
        <v>0</v>
      </c>
      <c r="V440" s="2">
        <v>3</v>
      </c>
      <c r="W440" s="2">
        <v>0</v>
      </c>
      <c r="X440" s="2">
        <f t="shared" si="53"/>
        <v>247</v>
      </c>
      <c r="Z440" s="1"/>
      <c r="AA440" s="1"/>
      <c r="AB440" s="2" t="str">
        <f t="shared" si="52"/>
        <v/>
      </c>
      <c r="AD440" s="121"/>
      <c r="AE440" s="121"/>
    </row>
    <row r="441" spans="1:31" x14ac:dyDescent="0.25">
      <c r="A441" s="2" t="s">
        <v>420</v>
      </c>
      <c r="B441" s="7">
        <v>0.88750000000000007</v>
      </c>
      <c r="C441" s="2">
        <v>13.3</v>
      </c>
      <c r="D441" s="10" t="s">
        <v>422</v>
      </c>
      <c r="E441" s="40">
        <v>0</v>
      </c>
      <c r="F441" s="40">
        <v>2.2000000000000002</v>
      </c>
      <c r="G441" s="40">
        <v>2</v>
      </c>
      <c r="H441" s="3">
        <f t="shared" si="48"/>
        <v>0</v>
      </c>
      <c r="I441" s="3">
        <f t="shared" si="49"/>
        <v>1.2191666666666667</v>
      </c>
      <c r="J441" s="3">
        <f t="shared" si="50"/>
        <v>1.1083333333333334</v>
      </c>
      <c r="K441" s="3"/>
      <c r="L441" s="4">
        <f t="shared" si="51"/>
        <v>515.57375000000002</v>
      </c>
      <c r="M441" s="40">
        <v>0</v>
      </c>
      <c r="N441" s="40">
        <v>0</v>
      </c>
      <c r="O441" s="40">
        <v>0.1</v>
      </c>
      <c r="P441" s="40">
        <v>0</v>
      </c>
      <c r="Q441" s="40">
        <v>0</v>
      </c>
      <c r="R441" s="40">
        <v>0</v>
      </c>
      <c r="S441" s="2">
        <f t="shared" si="47"/>
        <v>73.700000000000188</v>
      </c>
      <c r="T441" s="2">
        <v>0</v>
      </c>
      <c r="U441" s="2">
        <v>0</v>
      </c>
      <c r="V441" s="2">
        <v>2</v>
      </c>
      <c r="W441" s="2">
        <v>0</v>
      </c>
      <c r="X441" s="2">
        <f t="shared" si="53"/>
        <v>245</v>
      </c>
      <c r="Z441" s="1"/>
      <c r="AA441" s="1"/>
      <c r="AB441" s="2" t="str">
        <f t="shared" si="52"/>
        <v/>
      </c>
      <c r="AD441" s="121"/>
      <c r="AE441" s="121"/>
    </row>
    <row r="442" spans="1:31" x14ac:dyDescent="0.25">
      <c r="A442" s="2" t="s">
        <v>423</v>
      </c>
      <c r="B442" s="7">
        <v>0.9375</v>
      </c>
      <c r="C442" s="2">
        <v>1.2</v>
      </c>
      <c r="D442" s="10" t="s">
        <v>424</v>
      </c>
      <c r="E442" s="40">
        <v>10</v>
      </c>
      <c r="F442" s="40">
        <v>2.2000000000000002</v>
      </c>
      <c r="G442" s="40">
        <v>0</v>
      </c>
      <c r="H442" s="3">
        <f t="shared" si="48"/>
        <v>0.5</v>
      </c>
      <c r="I442" s="3">
        <f t="shared" si="49"/>
        <v>0.11</v>
      </c>
      <c r="J442" s="3">
        <f t="shared" si="50"/>
        <v>0</v>
      </c>
      <c r="K442" s="3"/>
      <c r="L442" s="4">
        <f t="shared" si="51"/>
        <v>514.96375</v>
      </c>
      <c r="M442" s="40">
        <v>0</v>
      </c>
      <c r="N442" s="40">
        <v>0</v>
      </c>
      <c r="O442" s="40">
        <v>0</v>
      </c>
      <c r="P442" s="40">
        <v>0</v>
      </c>
      <c r="Q442" s="40">
        <v>0</v>
      </c>
      <c r="R442" s="40">
        <v>0</v>
      </c>
      <c r="S442" s="2">
        <f t="shared" si="47"/>
        <v>73.700000000000188</v>
      </c>
      <c r="T442" s="2">
        <v>0</v>
      </c>
      <c r="U442" s="2">
        <v>0</v>
      </c>
      <c r="V442" s="2">
        <v>0</v>
      </c>
      <c r="W442" s="2">
        <v>0</v>
      </c>
      <c r="X442" s="2">
        <f t="shared" si="53"/>
        <v>245</v>
      </c>
      <c r="Z442" s="1"/>
      <c r="AA442" s="1"/>
      <c r="AB442" s="2" t="str">
        <f t="shared" si="52"/>
        <v/>
      </c>
      <c r="AD442" s="121"/>
      <c r="AE442" s="121"/>
    </row>
    <row r="443" spans="1:31" x14ac:dyDescent="0.25">
      <c r="A443" s="2" t="s">
        <v>425</v>
      </c>
      <c r="B443" s="7">
        <v>0.23750000000000002</v>
      </c>
      <c r="C443" s="2">
        <v>7.2</v>
      </c>
      <c r="D443" s="10" t="s">
        <v>381</v>
      </c>
      <c r="E443" s="40">
        <v>22</v>
      </c>
      <c r="F443" s="40">
        <v>2.2000000000000002</v>
      </c>
      <c r="G443" s="40">
        <v>0</v>
      </c>
      <c r="H443" s="3">
        <f t="shared" si="48"/>
        <v>6.6</v>
      </c>
      <c r="I443" s="3">
        <f t="shared" si="49"/>
        <v>0.66</v>
      </c>
      <c r="J443" s="3">
        <f t="shared" si="50"/>
        <v>0</v>
      </c>
      <c r="K443" s="3"/>
      <c r="L443" s="4">
        <f t="shared" si="51"/>
        <v>507.70375000000001</v>
      </c>
      <c r="M443" s="40">
        <v>0</v>
      </c>
      <c r="N443" s="40">
        <v>0</v>
      </c>
      <c r="O443" s="40">
        <v>0</v>
      </c>
      <c r="P443" s="40">
        <v>0</v>
      </c>
      <c r="Q443" s="40">
        <v>0</v>
      </c>
      <c r="R443" s="40">
        <v>0</v>
      </c>
      <c r="S443" s="2">
        <f t="shared" si="47"/>
        <v>73.700000000000188</v>
      </c>
      <c r="T443" s="2">
        <v>0</v>
      </c>
      <c r="U443" s="2">
        <v>0</v>
      </c>
      <c r="V443" s="2">
        <v>2</v>
      </c>
      <c r="W443" s="2">
        <v>0</v>
      </c>
      <c r="X443" s="2">
        <f t="shared" si="53"/>
        <v>243</v>
      </c>
      <c r="Z443" s="1"/>
      <c r="AA443" s="1"/>
      <c r="AB443" s="2" t="str">
        <f t="shared" si="52"/>
        <v/>
      </c>
      <c r="AD443" s="121">
        <v>12.7</v>
      </c>
      <c r="AE443" s="121" t="s">
        <v>1295</v>
      </c>
    </row>
    <row r="444" spans="1:31" x14ac:dyDescent="0.25">
      <c r="A444" s="2" t="s">
        <v>425</v>
      </c>
      <c r="B444" s="7">
        <v>0.27083333333333331</v>
      </c>
      <c r="C444" s="2">
        <v>0.8</v>
      </c>
      <c r="D444" s="10" t="s">
        <v>426</v>
      </c>
      <c r="E444" s="40">
        <v>10</v>
      </c>
      <c r="F444" s="40">
        <v>2.2000000000000002</v>
      </c>
      <c r="G444" s="40">
        <v>1</v>
      </c>
      <c r="H444" s="3">
        <f t="shared" si="48"/>
        <v>0.33333333333333337</v>
      </c>
      <c r="I444" s="3">
        <f t="shared" si="49"/>
        <v>7.3333333333333348E-2</v>
      </c>
      <c r="J444" s="3">
        <f t="shared" si="50"/>
        <v>3.3333333333333333E-2</v>
      </c>
      <c r="K444" s="3"/>
      <c r="L444" s="4">
        <f t="shared" si="51"/>
        <v>507.26375000000002</v>
      </c>
      <c r="M444" s="40">
        <v>0</v>
      </c>
      <c r="N444" s="40">
        <v>0</v>
      </c>
      <c r="O444" s="40">
        <v>0</v>
      </c>
      <c r="P444" s="40">
        <v>0</v>
      </c>
      <c r="Q444" s="40">
        <v>0</v>
      </c>
      <c r="R444" s="40">
        <v>0</v>
      </c>
      <c r="S444" s="2">
        <f t="shared" si="47"/>
        <v>73.700000000000188</v>
      </c>
      <c r="T444" s="2">
        <v>0</v>
      </c>
      <c r="U444" s="2">
        <v>0</v>
      </c>
      <c r="V444" s="2">
        <v>0</v>
      </c>
      <c r="W444" s="2">
        <v>0</v>
      </c>
      <c r="X444" s="2">
        <f t="shared" si="53"/>
        <v>243</v>
      </c>
      <c r="Z444" s="1"/>
      <c r="AA444" s="1"/>
      <c r="AB444" s="2" t="str">
        <f t="shared" si="52"/>
        <v/>
      </c>
      <c r="AD444" s="121"/>
      <c r="AE444" s="121"/>
    </row>
    <row r="445" spans="1:31" x14ac:dyDescent="0.25">
      <c r="A445" s="2" t="s">
        <v>425</v>
      </c>
      <c r="B445" s="7">
        <v>0.33333333333333331</v>
      </c>
      <c r="C445" s="2">
        <v>1.5</v>
      </c>
      <c r="D445" s="10" t="s">
        <v>426</v>
      </c>
      <c r="E445" s="40">
        <v>0</v>
      </c>
      <c r="F445" s="40">
        <v>2.2000000000000002</v>
      </c>
      <c r="G445" s="40">
        <v>2</v>
      </c>
      <c r="H445" s="3">
        <f t="shared" si="48"/>
        <v>0</v>
      </c>
      <c r="I445" s="3">
        <f t="shared" si="49"/>
        <v>0.13750000000000001</v>
      </c>
      <c r="J445" s="3">
        <f t="shared" si="50"/>
        <v>0.125</v>
      </c>
      <c r="K445" s="3"/>
      <c r="L445" s="4">
        <f t="shared" si="51"/>
        <v>507.00125000000003</v>
      </c>
      <c r="M445" s="40">
        <v>0</v>
      </c>
      <c r="N445" s="40">
        <v>0</v>
      </c>
      <c r="O445" s="40">
        <v>0</v>
      </c>
      <c r="P445" s="40">
        <v>0</v>
      </c>
      <c r="Q445" s="40">
        <v>0</v>
      </c>
      <c r="R445" s="40">
        <v>0</v>
      </c>
      <c r="S445" s="2">
        <f t="shared" si="47"/>
        <v>73.700000000000188</v>
      </c>
      <c r="T445" s="2">
        <v>0</v>
      </c>
      <c r="U445" s="2">
        <v>0</v>
      </c>
      <c r="V445" s="2">
        <v>0</v>
      </c>
      <c r="W445" s="2">
        <v>0</v>
      </c>
      <c r="X445" s="2">
        <f t="shared" si="53"/>
        <v>243</v>
      </c>
      <c r="Z445" s="1"/>
      <c r="AA445" s="1"/>
      <c r="AB445" s="2" t="str">
        <f t="shared" si="52"/>
        <v/>
      </c>
      <c r="AD445" s="121"/>
      <c r="AE445" s="121"/>
    </row>
    <row r="446" spans="1:31" x14ac:dyDescent="0.25">
      <c r="A446" s="2" t="s">
        <v>425</v>
      </c>
      <c r="B446" s="7">
        <v>0.8208333333333333</v>
      </c>
      <c r="C446" s="2">
        <v>11.7</v>
      </c>
      <c r="D446" s="10" t="s">
        <v>407</v>
      </c>
      <c r="E446" s="40">
        <v>0</v>
      </c>
      <c r="F446" s="40">
        <v>2.2000000000000002</v>
      </c>
      <c r="G446" s="40">
        <v>2</v>
      </c>
      <c r="H446" s="3">
        <f t="shared" si="48"/>
        <v>0</v>
      </c>
      <c r="I446" s="3">
        <f t="shared" si="49"/>
        <v>1.0725</v>
      </c>
      <c r="J446" s="3">
        <f t="shared" si="50"/>
        <v>0.97499999999999987</v>
      </c>
      <c r="K446" s="3"/>
      <c r="L446" s="4">
        <f t="shared" si="51"/>
        <v>504.95375000000001</v>
      </c>
      <c r="M446" s="40">
        <v>0</v>
      </c>
      <c r="N446" s="40">
        <v>0</v>
      </c>
      <c r="O446" s="40">
        <v>0</v>
      </c>
      <c r="P446" s="40">
        <v>0</v>
      </c>
      <c r="Q446" s="40">
        <v>0</v>
      </c>
      <c r="R446" s="40">
        <v>0</v>
      </c>
      <c r="S446" s="2">
        <f t="shared" si="47"/>
        <v>73.700000000000188</v>
      </c>
      <c r="T446" s="2">
        <v>0</v>
      </c>
      <c r="U446" s="2">
        <v>0</v>
      </c>
      <c r="V446" s="2">
        <v>2</v>
      </c>
      <c r="W446" s="2">
        <v>0</v>
      </c>
      <c r="X446" s="2">
        <f t="shared" si="53"/>
        <v>241</v>
      </c>
      <c r="Z446" s="1"/>
      <c r="AA446" s="1"/>
      <c r="AB446" s="2" t="str">
        <f t="shared" si="52"/>
        <v/>
      </c>
      <c r="AD446" s="121"/>
      <c r="AE446" s="121"/>
    </row>
    <row r="447" spans="1:31" x14ac:dyDescent="0.25">
      <c r="A447" s="2" t="s">
        <v>425</v>
      </c>
      <c r="B447" s="7">
        <v>0.97083333333333333</v>
      </c>
      <c r="C447" s="2">
        <v>3.6</v>
      </c>
      <c r="D447" s="10" t="s">
        <v>427</v>
      </c>
      <c r="E447" s="40">
        <v>10</v>
      </c>
      <c r="F447" s="40">
        <v>2.2000000000000002</v>
      </c>
      <c r="G447" s="40">
        <v>2</v>
      </c>
      <c r="H447" s="3">
        <f t="shared" si="48"/>
        <v>1.5</v>
      </c>
      <c r="I447" s="3">
        <f t="shared" si="49"/>
        <v>0.33</v>
      </c>
      <c r="J447" s="3">
        <f t="shared" si="50"/>
        <v>0.3</v>
      </c>
      <c r="K447" s="3"/>
      <c r="L447" s="4">
        <f t="shared" si="51"/>
        <v>502.82375000000002</v>
      </c>
      <c r="M447" s="40">
        <v>0</v>
      </c>
      <c r="N447" s="40">
        <v>0</v>
      </c>
      <c r="O447" s="40">
        <v>0</v>
      </c>
      <c r="P447" s="40">
        <v>0</v>
      </c>
      <c r="Q447" s="40">
        <v>0</v>
      </c>
      <c r="R447" s="40">
        <v>0</v>
      </c>
      <c r="S447" s="2">
        <f t="shared" si="47"/>
        <v>73.700000000000188</v>
      </c>
      <c r="T447" s="2">
        <v>0</v>
      </c>
      <c r="U447" s="2">
        <v>0</v>
      </c>
      <c r="V447" s="2">
        <v>0</v>
      </c>
      <c r="W447" s="2">
        <v>0</v>
      </c>
      <c r="X447" s="2">
        <f t="shared" si="53"/>
        <v>241</v>
      </c>
      <c r="Z447" s="1"/>
      <c r="AA447" s="1"/>
      <c r="AB447" s="2" t="str">
        <f t="shared" si="52"/>
        <v/>
      </c>
      <c r="AD447" s="121"/>
      <c r="AE447" s="121"/>
    </row>
    <row r="448" spans="1:31" x14ac:dyDescent="0.25">
      <c r="A448" s="2" t="s">
        <v>428</v>
      </c>
      <c r="B448" s="7">
        <v>0.33333333333333331</v>
      </c>
      <c r="C448" s="2">
        <v>8.6999999999999993</v>
      </c>
      <c r="D448" s="10" t="s">
        <v>427</v>
      </c>
      <c r="E448" s="40">
        <v>0</v>
      </c>
      <c r="F448" s="40">
        <v>2.2000000000000002</v>
      </c>
      <c r="G448" s="40">
        <v>2</v>
      </c>
      <c r="H448" s="3">
        <f t="shared" si="48"/>
        <v>0</v>
      </c>
      <c r="I448" s="3">
        <f t="shared" si="49"/>
        <v>0.79749999999999999</v>
      </c>
      <c r="J448" s="3">
        <f t="shared" si="50"/>
        <v>0.72499999999999987</v>
      </c>
      <c r="K448" s="3"/>
      <c r="L448" s="4">
        <f t="shared" si="51"/>
        <v>501.30125000000004</v>
      </c>
      <c r="M448" s="40">
        <v>0</v>
      </c>
      <c r="N448" s="40">
        <v>0</v>
      </c>
      <c r="O448" s="40">
        <v>0.1</v>
      </c>
      <c r="P448" s="40">
        <v>0</v>
      </c>
      <c r="Q448" s="40">
        <v>0</v>
      </c>
      <c r="R448" s="40">
        <v>0</v>
      </c>
      <c r="S448" s="2">
        <f t="shared" si="47"/>
        <v>73.600000000000193</v>
      </c>
      <c r="T448" s="2">
        <v>0</v>
      </c>
      <c r="U448" s="2">
        <v>0</v>
      </c>
      <c r="V448" s="2">
        <v>2</v>
      </c>
      <c r="W448" s="2">
        <v>0</v>
      </c>
      <c r="X448" s="2">
        <f t="shared" si="53"/>
        <v>239</v>
      </c>
      <c r="Z448" s="1">
        <v>84</v>
      </c>
      <c r="AA448" s="1">
        <v>150</v>
      </c>
      <c r="AB448" s="2">
        <f t="shared" si="52"/>
        <v>234</v>
      </c>
      <c r="AD448" s="121"/>
      <c r="AE448" s="121"/>
    </row>
    <row r="449" spans="1:31" x14ac:dyDescent="0.25">
      <c r="A449" s="2" t="s">
        <v>428</v>
      </c>
      <c r="B449" s="7">
        <v>0.70833333333333337</v>
      </c>
      <c r="C449" s="2">
        <v>9</v>
      </c>
      <c r="D449" s="10" t="s">
        <v>429</v>
      </c>
      <c r="E449" s="40">
        <v>0</v>
      </c>
      <c r="F449" s="40">
        <v>2.2000000000000002</v>
      </c>
      <c r="G449" s="40">
        <v>2</v>
      </c>
      <c r="H449" s="3">
        <f t="shared" si="48"/>
        <v>0</v>
      </c>
      <c r="I449" s="3">
        <f t="shared" si="49"/>
        <v>0.82500000000000007</v>
      </c>
      <c r="J449" s="3">
        <f t="shared" si="50"/>
        <v>0.75</v>
      </c>
      <c r="K449" s="3"/>
      <c r="L449" s="4">
        <f t="shared" si="51"/>
        <v>499.72625000000005</v>
      </c>
      <c r="M449" s="40">
        <v>0</v>
      </c>
      <c r="N449" s="40">
        <v>0</v>
      </c>
      <c r="O449" s="40">
        <v>0</v>
      </c>
      <c r="P449" s="40">
        <v>0</v>
      </c>
      <c r="Q449" s="40">
        <v>0</v>
      </c>
      <c r="R449" s="40">
        <v>0</v>
      </c>
      <c r="S449" s="2">
        <f t="shared" si="47"/>
        <v>73.600000000000193</v>
      </c>
      <c r="T449" s="2">
        <v>0</v>
      </c>
      <c r="U449" s="2">
        <v>0</v>
      </c>
      <c r="V449" s="2">
        <v>1</v>
      </c>
      <c r="W449" s="2">
        <v>0</v>
      </c>
      <c r="X449" s="2">
        <f t="shared" si="53"/>
        <v>238</v>
      </c>
      <c r="Z449" s="1"/>
      <c r="AA449" s="1"/>
      <c r="AB449" s="2" t="str">
        <f t="shared" si="52"/>
        <v/>
      </c>
      <c r="AD449" s="121"/>
      <c r="AE449" s="121"/>
    </row>
    <row r="450" spans="1:31" x14ac:dyDescent="0.25">
      <c r="A450" s="2" t="s">
        <v>428</v>
      </c>
      <c r="B450" s="7">
        <v>0.77083333333333337</v>
      </c>
      <c r="C450" s="2">
        <v>1.5</v>
      </c>
      <c r="D450" s="10" t="s">
        <v>408</v>
      </c>
      <c r="E450" s="40">
        <v>15</v>
      </c>
      <c r="F450" s="40">
        <v>2.2000000000000002</v>
      </c>
      <c r="G450" s="40">
        <v>2</v>
      </c>
      <c r="H450" s="3">
        <f t="shared" si="48"/>
        <v>0.9375</v>
      </c>
      <c r="I450" s="3">
        <f t="shared" si="49"/>
        <v>0.13750000000000001</v>
      </c>
      <c r="J450" s="3">
        <f t="shared" si="50"/>
        <v>0.125</v>
      </c>
      <c r="K450" s="3"/>
      <c r="L450" s="4">
        <f t="shared" si="51"/>
        <v>498.52625000000006</v>
      </c>
      <c r="M450" s="40">
        <v>0</v>
      </c>
      <c r="N450" s="40">
        <v>0</v>
      </c>
      <c r="O450" s="40">
        <v>0</v>
      </c>
      <c r="P450" s="40">
        <v>0</v>
      </c>
      <c r="Q450" s="40">
        <v>0</v>
      </c>
      <c r="R450" s="40">
        <v>0</v>
      </c>
      <c r="S450" s="2">
        <f t="shared" si="47"/>
        <v>73.600000000000193</v>
      </c>
      <c r="T450" s="2">
        <v>0</v>
      </c>
      <c r="U450" s="2">
        <v>0</v>
      </c>
      <c r="V450" s="2">
        <v>1</v>
      </c>
      <c r="W450" s="2">
        <v>0</v>
      </c>
      <c r="X450" s="2">
        <f t="shared" si="53"/>
        <v>237</v>
      </c>
      <c r="Z450" s="1"/>
      <c r="AA450" s="1"/>
      <c r="AB450" s="2" t="str">
        <f t="shared" si="52"/>
        <v/>
      </c>
      <c r="AD450" s="121"/>
      <c r="AE450" s="121"/>
    </row>
    <row r="451" spans="1:31" x14ac:dyDescent="0.25">
      <c r="A451" s="2" t="s">
        <v>430</v>
      </c>
      <c r="B451" s="7">
        <v>0</v>
      </c>
      <c r="C451" s="2">
        <v>5.5</v>
      </c>
      <c r="D451" s="10" t="s">
        <v>431</v>
      </c>
      <c r="E451" s="40">
        <v>24</v>
      </c>
      <c r="F451" s="40">
        <v>2.2000000000000002</v>
      </c>
      <c r="G451" s="40">
        <v>0</v>
      </c>
      <c r="H451" s="3">
        <f t="shared" si="48"/>
        <v>5.5</v>
      </c>
      <c r="I451" s="3">
        <f t="shared" si="49"/>
        <v>0.50416666666666665</v>
      </c>
      <c r="J451" s="3">
        <f t="shared" si="50"/>
        <v>0</v>
      </c>
      <c r="K451" s="3"/>
      <c r="L451" s="4">
        <f t="shared" si="51"/>
        <v>492.5220833333334</v>
      </c>
      <c r="M451" s="40">
        <v>0</v>
      </c>
      <c r="N451" s="40">
        <v>0</v>
      </c>
      <c r="O451" s="40">
        <v>0</v>
      </c>
      <c r="P451" s="40">
        <v>0</v>
      </c>
      <c r="Q451" s="40">
        <v>0</v>
      </c>
      <c r="R451" s="40">
        <v>0</v>
      </c>
      <c r="S451" s="2">
        <f t="shared" si="47"/>
        <v>73.600000000000193</v>
      </c>
      <c r="T451" s="2">
        <v>1</v>
      </c>
      <c r="U451" s="2">
        <v>0</v>
      </c>
      <c r="V451" s="2">
        <v>1</v>
      </c>
      <c r="W451" s="2">
        <v>1</v>
      </c>
      <c r="X451" s="2">
        <f t="shared" si="53"/>
        <v>236</v>
      </c>
      <c r="Z451" s="1"/>
      <c r="AA451" s="1"/>
      <c r="AB451" s="2" t="str">
        <f t="shared" si="52"/>
        <v/>
      </c>
      <c r="AD451" s="121">
        <v>12.5</v>
      </c>
      <c r="AE451" s="121" t="s">
        <v>1301</v>
      </c>
    </row>
    <row r="452" spans="1:31" x14ac:dyDescent="0.25">
      <c r="A452" s="2" t="s">
        <v>430</v>
      </c>
      <c r="B452" s="7">
        <v>2.4999999999999998E-2</v>
      </c>
      <c r="C452" s="2">
        <v>0.6</v>
      </c>
      <c r="D452" s="10" t="s">
        <v>432</v>
      </c>
      <c r="E452" s="40">
        <v>15</v>
      </c>
      <c r="F452" s="40">
        <v>2.2000000000000002</v>
      </c>
      <c r="G452" s="40">
        <v>1</v>
      </c>
      <c r="H452" s="3">
        <f t="shared" si="48"/>
        <v>0.375</v>
      </c>
      <c r="I452" s="3">
        <f t="shared" si="49"/>
        <v>5.5E-2</v>
      </c>
      <c r="J452" s="3">
        <f t="shared" si="50"/>
        <v>2.4999999999999998E-2</v>
      </c>
      <c r="K452" s="3"/>
      <c r="L452" s="4">
        <f t="shared" si="51"/>
        <v>492.06708333333341</v>
      </c>
      <c r="M452" s="40">
        <v>0</v>
      </c>
      <c r="N452" s="40">
        <v>0</v>
      </c>
      <c r="O452" s="40">
        <v>0</v>
      </c>
      <c r="P452" s="40">
        <v>0</v>
      </c>
      <c r="Q452" s="40">
        <v>0</v>
      </c>
      <c r="R452" s="40">
        <v>0</v>
      </c>
      <c r="S452" s="2">
        <f t="shared" ref="S452:S516" si="54">IF(C452="","",(S451+R452)-(M452+N452+O452+P452+Q452))</f>
        <v>73.600000000000193</v>
      </c>
      <c r="T452" s="2">
        <v>0</v>
      </c>
      <c r="U452" s="2">
        <v>0</v>
      </c>
      <c r="V452" s="2">
        <v>0</v>
      </c>
      <c r="W452" s="2">
        <v>0</v>
      </c>
      <c r="X452" s="2">
        <f t="shared" si="53"/>
        <v>236</v>
      </c>
      <c r="Z452" s="1"/>
      <c r="AA452" s="1"/>
      <c r="AB452" s="2" t="str">
        <f t="shared" si="52"/>
        <v/>
      </c>
      <c r="AD452" s="121"/>
      <c r="AE452" s="121"/>
    </row>
    <row r="453" spans="1:31" x14ac:dyDescent="0.25">
      <c r="A453" s="2" t="s">
        <v>430</v>
      </c>
      <c r="B453" s="7">
        <v>0.13333333333333333</v>
      </c>
      <c r="C453" s="2">
        <v>2.6</v>
      </c>
      <c r="D453" s="10" t="s">
        <v>407</v>
      </c>
      <c r="E453" s="40">
        <v>0</v>
      </c>
      <c r="F453" s="40">
        <v>2.2000000000000002</v>
      </c>
      <c r="G453" s="40">
        <v>2</v>
      </c>
      <c r="H453" s="3">
        <f t="shared" si="48"/>
        <v>0</v>
      </c>
      <c r="I453" s="3">
        <f t="shared" si="49"/>
        <v>0.23833333333333337</v>
      </c>
      <c r="J453" s="3">
        <f t="shared" si="50"/>
        <v>0.21666666666666667</v>
      </c>
      <c r="K453" s="3"/>
      <c r="L453" s="4">
        <f t="shared" si="51"/>
        <v>491.61208333333343</v>
      </c>
      <c r="M453" s="40">
        <v>0</v>
      </c>
      <c r="N453" s="40">
        <v>0</v>
      </c>
      <c r="O453" s="40">
        <v>0.1</v>
      </c>
      <c r="P453" s="40">
        <v>0</v>
      </c>
      <c r="Q453" s="40">
        <v>0</v>
      </c>
      <c r="R453" s="40">
        <v>0</v>
      </c>
      <c r="S453" s="2">
        <f t="shared" si="54"/>
        <v>73.500000000000199</v>
      </c>
      <c r="T453" s="2">
        <v>0</v>
      </c>
      <c r="U453" s="2">
        <v>0</v>
      </c>
      <c r="V453" s="2">
        <v>0</v>
      </c>
      <c r="W453" s="2">
        <v>0</v>
      </c>
      <c r="X453" s="2">
        <f t="shared" si="53"/>
        <v>236</v>
      </c>
      <c r="Z453" s="1"/>
      <c r="AA453" s="1"/>
      <c r="AB453" s="2" t="str">
        <f t="shared" si="52"/>
        <v/>
      </c>
      <c r="AD453" s="121"/>
      <c r="AE453" s="121"/>
    </row>
    <row r="454" spans="1:31" x14ac:dyDescent="0.25">
      <c r="A454" s="2" t="s">
        <v>430</v>
      </c>
      <c r="B454" s="7">
        <v>0.19999999999999998</v>
      </c>
      <c r="C454" s="2">
        <v>1.6</v>
      </c>
      <c r="D454" s="10" t="s">
        <v>433</v>
      </c>
      <c r="E454" s="40">
        <v>10</v>
      </c>
      <c r="F454" s="40">
        <v>2.2000000000000002</v>
      </c>
      <c r="G454" s="40">
        <v>1</v>
      </c>
      <c r="H454" s="3">
        <f t="shared" si="48"/>
        <v>0.66666666666666674</v>
      </c>
      <c r="I454" s="3">
        <f t="shared" si="49"/>
        <v>0.1466666666666667</v>
      </c>
      <c r="J454" s="3">
        <f t="shared" si="50"/>
        <v>6.6666666666666666E-2</v>
      </c>
      <c r="K454" s="3"/>
      <c r="L454" s="4">
        <f t="shared" si="51"/>
        <v>490.73208333333343</v>
      </c>
      <c r="M454" s="40">
        <v>0</v>
      </c>
      <c r="N454" s="40">
        <v>0</v>
      </c>
      <c r="O454" s="40">
        <v>0</v>
      </c>
      <c r="P454" s="40">
        <v>0</v>
      </c>
      <c r="Q454" s="40">
        <v>0</v>
      </c>
      <c r="R454" s="40">
        <v>0</v>
      </c>
      <c r="S454" s="2">
        <f t="shared" si="54"/>
        <v>73.500000000000199</v>
      </c>
      <c r="T454" s="2">
        <v>0</v>
      </c>
      <c r="U454" s="2">
        <v>0</v>
      </c>
      <c r="V454" s="2">
        <v>0</v>
      </c>
      <c r="W454" s="2">
        <v>0</v>
      </c>
      <c r="X454" s="2">
        <f t="shared" si="53"/>
        <v>236</v>
      </c>
      <c r="Z454" s="1"/>
      <c r="AA454" s="1"/>
      <c r="AB454" s="2" t="str">
        <f t="shared" si="52"/>
        <v/>
      </c>
      <c r="AD454" s="121"/>
      <c r="AE454" s="121"/>
    </row>
    <row r="455" spans="1:31" x14ac:dyDescent="0.25">
      <c r="A455" s="2" t="s">
        <v>430</v>
      </c>
      <c r="B455" s="7">
        <v>0.33333333333333331</v>
      </c>
      <c r="C455" s="2">
        <v>3.2</v>
      </c>
      <c r="D455" s="10" t="s">
        <v>433</v>
      </c>
      <c r="E455" s="40">
        <v>0</v>
      </c>
      <c r="F455" s="40">
        <v>2.2000000000000002</v>
      </c>
      <c r="G455" s="40">
        <v>2</v>
      </c>
      <c r="H455" s="3">
        <f t="shared" si="48"/>
        <v>0</v>
      </c>
      <c r="I455" s="3">
        <f t="shared" si="49"/>
        <v>0.29333333333333339</v>
      </c>
      <c r="J455" s="3">
        <f t="shared" si="50"/>
        <v>0.26666666666666666</v>
      </c>
      <c r="K455" s="3"/>
      <c r="L455" s="4">
        <f t="shared" si="51"/>
        <v>490.17208333333343</v>
      </c>
      <c r="M455" s="40">
        <v>0</v>
      </c>
      <c r="N455" s="40">
        <v>0</v>
      </c>
      <c r="O455" s="40">
        <v>0</v>
      </c>
      <c r="P455" s="40">
        <v>0</v>
      </c>
      <c r="Q455" s="40">
        <v>0</v>
      </c>
      <c r="R455" s="40">
        <v>0</v>
      </c>
      <c r="S455" s="2">
        <f t="shared" si="54"/>
        <v>73.500000000000199</v>
      </c>
      <c r="T455" s="2">
        <v>0</v>
      </c>
      <c r="U455" s="2">
        <v>0</v>
      </c>
      <c r="V455" s="2">
        <v>1</v>
      </c>
      <c r="W455" s="2">
        <v>0</v>
      </c>
      <c r="X455" s="2">
        <f t="shared" si="53"/>
        <v>235</v>
      </c>
      <c r="Z455" s="1"/>
      <c r="AA455" s="1"/>
      <c r="AB455" s="2" t="str">
        <f t="shared" si="52"/>
        <v/>
      </c>
      <c r="AD455" s="121"/>
      <c r="AE455" s="121"/>
    </row>
    <row r="456" spans="1:31" x14ac:dyDescent="0.25">
      <c r="A456" s="2" t="s">
        <v>430</v>
      </c>
      <c r="B456" s="7">
        <v>0.62916666666666665</v>
      </c>
      <c r="C456" s="2">
        <v>7.1</v>
      </c>
      <c r="D456" s="10" t="s">
        <v>434</v>
      </c>
      <c r="E456" s="40">
        <v>0</v>
      </c>
      <c r="F456" s="40">
        <v>2.2000000000000002</v>
      </c>
      <c r="G456" s="40">
        <v>2</v>
      </c>
      <c r="H456" s="3">
        <f t="shared" si="48"/>
        <v>0</v>
      </c>
      <c r="I456" s="3">
        <f t="shared" si="49"/>
        <v>0.65083333333333337</v>
      </c>
      <c r="J456" s="3">
        <f t="shared" si="50"/>
        <v>0.59166666666666656</v>
      </c>
      <c r="K456" s="3"/>
      <c r="L456" s="4">
        <f t="shared" si="51"/>
        <v>488.92958333333343</v>
      </c>
      <c r="M456" s="40">
        <v>0</v>
      </c>
      <c r="N456" s="40">
        <v>0</v>
      </c>
      <c r="O456" s="40">
        <v>0</v>
      </c>
      <c r="P456" s="40">
        <v>0</v>
      </c>
      <c r="Q456" s="40">
        <v>0</v>
      </c>
      <c r="R456" s="40">
        <v>0</v>
      </c>
      <c r="S456" s="2">
        <f t="shared" si="54"/>
        <v>73.500000000000199</v>
      </c>
      <c r="T456" s="2">
        <v>0</v>
      </c>
      <c r="U456" s="2">
        <v>0</v>
      </c>
      <c r="V456" s="2">
        <v>1</v>
      </c>
      <c r="W456" s="2">
        <v>0</v>
      </c>
      <c r="X456" s="2">
        <f t="shared" si="53"/>
        <v>234</v>
      </c>
      <c r="Z456" s="1"/>
      <c r="AA456" s="1"/>
      <c r="AB456" s="2" t="str">
        <f t="shared" si="52"/>
        <v/>
      </c>
      <c r="AD456" s="121"/>
      <c r="AE456" s="121"/>
    </row>
    <row r="457" spans="1:31" x14ac:dyDescent="0.25">
      <c r="A457" s="2" t="s">
        <v>430</v>
      </c>
      <c r="B457" s="7">
        <v>0.6875</v>
      </c>
      <c r="C457" s="2">
        <v>1.4</v>
      </c>
      <c r="D457" s="10" t="s">
        <v>105</v>
      </c>
      <c r="E457" s="40">
        <v>15</v>
      </c>
      <c r="F457" s="40">
        <v>2.2000000000000002</v>
      </c>
      <c r="G457" s="40">
        <v>2</v>
      </c>
      <c r="H457" s="3">
        <f t="shared" si="48"/>
        <v>0.875</v>
      </c>
      <c r="I457" s="3">
        <f t="shared" si="49"/>
        <v>0.12833333333333333</v>
      </c>
      <c r="J457" s="3">
        <f t="shared" si="50"/>
        <v>0.11666666666666665</v>
      </c>
      <c r="K457" s="3"/>
      <c r="L457" s="4">
        <f t="shared" si="51"/>
        <v>487.80958333333342</v>
      </c>
      <c r="M457" s="40">
        <v>0</v>
      </c>
      <c r="N457" s="40">
        <v>0</v>
      </c>
      <c r="O457" s="40">
        <v>0</v>
      </c>
      <c r="P457" s="40">
        <v>0</v>
      </c>
      <c r="Q457" s="40">
        <v>0</v>
      </c>
      <c r="R457" s="40">
        <v>0</v>
      </c>
      <c r="S457" s="2">
        <f t="shared" si="54"/>
        <v>73.500000000000199</v>
      </c>
      <c r="T457" s="2">
        <v>0</v>
      </c>
      <c r="U457" s="2">
        <v>0</v>
      </c>
      <c r="V457" s="2">
        <v>0</v>
      </c>
      <c r="W457" s="2">
        <v>0</v>
      </c>
      <c r="X457" s="2">
        <f t="shared" si="53"/>
        <v>234</v>
      </c>
      <c r="Z457" s="1"/>
      <c r="AA457" s="1"/>
      <c r="AB457" s="2" t="str">
        <f t="shared" si="52"/>
        <v/>
      </c>
      <c r="AD457" s="121"/>
      <c r="AE457" s="121"/>
    </row>
    <row r="458" spans="1:31" x14ac:dyDescent="0.25">
      <c r="A458" s="2" t="s">
        <v>435</v>
      </c>
      <c r="B458" s="7">
        <v>0.33333333333333331</v>
      </c>
      <c r="C458" s="2">
        <v>15.5</v>
      </c>
      <c r="D458" s="10" t="s">
        <v>374</v>
      </c>
      <c r="E458" s="40">
        <v>25</v>
      </c>
      <c r="F458" s="40">
        <v>2.2000000000000002</v>
      </c>
      <c r="G458" s="40">
        <v>0</v>
      </c>
      <c r="H458" s="3">
        <f t="shared" si="48"/>
        <v>16.145833333333336</v>
      </c>
      <c r="I458" s="3">
        <f t="shared" si="49"/>
        <v>1.4208333333333334</v>
      </c>
      <c r="J458" s="3">
        <f t="shared" si="50"/>
        <v>0</v>
      </c>
      <c r="K458" s="3"/>
      <c r="L458" s="4">
        <f t="shared" si="51"/>
        <v>470.24291666666676</v>
      </c>
      <c r="M458" s="40">
        <v>0</v>
      </c>
      <c r="N458" s="40">
        <v>0</v>
      </c>
      <c r="O458" s="40">
        <v>0.1</v>
      </c>
      <c r="P458" s="40">
        <v>0</v>
      </c>
      <c r="Q458" s="40">
        <v>0</v>
      </c>
      <c r="R458" s="40">
        <v>0</v>
      </c>
      <c r="S458" s="2">
        <f t="shared" si="54"/>
        <v>73.400000000000205</v>
      </c>
      <c r="T458" s="2">
        <v>0</v>
      </c>
      <c r="U458" s="2">
        <v>0</v>
      </c>
      <c r="V458" s="2">
        <v>3</v>
      </c>
      <c r="W458" s="2">
        <v>0</v>
      </c>
      <c r="X458" s="2">
        <f t="shared" si="53"/>
        <v>231</v>
      </c>
      <c r="Z458" s="1">
        <v>76</v>
      </c>
      <c r="AA458" s="1">
        <v>150</v>
      </c>
      <c r="AB458" s="2">
        <f t="shared" si="52"/>
        <v>226</v>
      </c>
      <c r="AD458" s="121">
        <v>12.5</v>
      </c>
      <c r="AE458" s="121" t="s">
        <v>1308</v>
      </c>
    </row>
    <row r="459" spans="1:31" x14ac:dyDescent="0.25">
      <c r="A459" s="2" t="s">
        <v>436</v>
      </c>
      <c r="B459" s="7">
        <v>0.36249999999999999</v>
      </c>
      <c r="C459" s="2">
        <v>0.7</v>
      </c>
      <c r="D459" s="10" t="s">
        <v>387</v>
      </c>
      <c r="E459" s="40">
        <v>15</v>
      </c>
      <c r="F459" s="40">
        <v>2.2000000000000002</v>
      </c>
      <c r="G459" s="40">
        <v>1</v>
      </c>
      <c r="H459" s="3">
        <f t="shared" si="48"/>
        <v>0.4375</v>
      </c>
      <c r="I459" s="3">
        <f t="shared" si="49"/>
        <v>6.4166666666666664E-2</v>
      </c>
      <c r="J459" s="3">
        <f t="shared" si="50"/>
        <v>2.9166666666666664E-2</v>
      </c>
      <c r="K459" s="3"/>
      <c r="L459" s="4">
        <f t="shared" si="51"/>
        <v>469.71208333333345</v>
      </c>
      <c r="M459" s="40">
        <v>0</v>
      </c>
      <c r="N459" s="40">
        <v>0</v>
      </c>
      <c r="O459" s="40">
        <v>0</v>
      </c>
      <c r="P459" s="40">
        <v>0</v>
      </c>
      <c r="Q459" s="40">
        <v>0</v>
      </c>
      <c r="R459" s="40">
        <v>0</v>
      </c>
      <c r="S459" s="2">
        <f t="shared" si="54"/>
        <v>73.400000000000205</v>
      </c>
      <c r="T459" s="2">
        <v>0</v>
      </c>
      <c r="U459" s="2">
        <v>0</v>
      </c>
      <c r="V459" s="2">
        <v>0</v>
      </c>
      <c r="W459" s="2">
        <v>0</v>
      </c>
      <c r="X459" s="2">
        <f t="shared" si="53"/>
        <v>231</v>
      </c>
      <c r="Z459" s="1"/>
      <c r="AA459" s="1"/>
      <c r="AB459" s="2" t="str">
        <f t="shared" si="52"/>
        <v/>
      </c>
      <c r="AD459" s="121"/>
      <c r="AE459" s="121"/>
    </row>
    <row r="460" spans="1:31" x14ac:dyDescent="0.25">
      <c r="A460" s="2" t="s">
        <v>437</v>
      </c>
      <c r="B460" s="7">
        <v>0.33333333333333331</v>
      </c>
      <c r="C460" s="2">
        <v>23.3</v>
      </c>
      <c r="D460" s="10" t="s">
        <v>387</v>
      </c>
      <c r="E460" s="40">
        <v>0</v>
      </c>
      <c r="F460" s="40">
        <v>2.2000000000000002</v>
      </c>
      <c r="G460" s="40">
        <v>2</v>
      </c>
      <c r="H460" s="3">
        <f t="shared" si="48"/>
        <v>0</v>
      </c>
      <c r="I460" s="3">
        <f t="shared" si="49"/>
        <v>2.1358333333333337</v>
      </c>
      <c r="J460" s="3">
        <f t="shared" si="50"/>
        <v>1.9416666666666667</v>
      </c>
      <c r="K460" s="3"/>
      <c r="L460" s="4">
        <f t="shared" si="51"/>
        <v>465.63458333333347</v>
      </c>
      <c r="M460" s="40">
        <v>0</v>
      </c>
      <c r="N460" s="40">
        <v>0</v>
      </c>
      <c r="O460" s="40">
        <v>0.1</v>
      </c>
      <c r="P460" s="40">
        <v>0</v>
      </c>
      <c r="Q460" s="40">
        <v>0</v>
      </c>
      <c r="R460" s="40">
        <v>0</v>
      </c>
      <c r="S460" s="2">
        <f t="shared" si="54"/>
        <v>73.30000000000021</v>
      </c>
      <c r="T460" s="2">
        <v>0</v>
      </c>
      <c r="U460" s="2">
        <v>0</v>
      </c>
      <c r="V460" s="2">
        <v>4</v>
      </c>
      <c r="W460" s="2">
        <v>0</v>
      </c>
      <c r="X460" s="2">
        <f t="shared" si="53"/>
        <v>227</v>
      </c>
      <c r="Z460" s="1"/>
      <c r="AA460" s="1"/>
      <c r="AB460" s="2" t="str">
        <f t="shared" si="52"/>
        <v/>
      </c>
      <c r="AD460" s="121"/>
      <c r="AE460" s="121"/>
    </row>
    <row r="461" spans="1:31" x14ac:dyDescent="0.25">
      <c r="A461" s="2" t="s">
        <v>437</v>
      </c>
      <c r="B461" s="7">
        <v>0.40416666666666662</v>
      </c>
      <c r="C461" s="2">
        <v>1.7</v>
      </c>
      <c r="D461" s="10" t="s">
        <v>381</v>
      </c>
      <c r="E461" s="40">
        <v>0</v>
      </c>
      <c r="F461" s="40">
        <v>2.2000000000000002</v>
      </c>
      <c r="G461" s="40">
        <v>2</v>
      </c>
      <c r="H461" s="3">
        <f t="shared" si="48"/>
        <v>0</v>
      </c>
      <c r="I461" s="3">
        <f t="shared" si="49"/>
        <v>0.15583333333333335</v>
      </c>
      <c r="J461" s="3">
        <f t="shared" si="50"/>
        <v>0.14166666666666666</v>
      </c>
      <c r="K461" s="3"/>
      <c r="L461" s="4">
        <f t="shared" si="51"/>
        <v>465.33708333333345</v>
      </c>
      <c r="M461" s="40">
        <v>0</v>
      </c>
      <c r="N461" s="40">
        <v>0</v>
      </c>
      <c r="O461" s="40">
        <v>0</v>
      </c>
      <c r="P461" s="40">
        <v>0</v>
      </c>
      <c r="Q461" s="40">
        <v>0</v>
      </c>
      <c r="R461" s="40">
        <v>0</v>
      </c>
      <c r="S461" s="2">
        <f t="shared" si="54"/>
        <v>73.30000000000021</v>
      </c>
      <c r="T461" s="2">
        <v>0</v>
      </c>
      <c r="U461" s="2">
        <v>0</v>
      </c>
      <c r="V461" s="2">
        <v>0</v>
      </c>
      <c r="W461" s="2">
        <v>0</v>
      </c>
      <c r="X461" s="2">
        <f t="shared" si="53"/>
        <v>227</v>
      </c>
      <c r="Z461" s="1"/>
      <c r="AA461" s="1"/>
      <c r="AB461" s="2" t="str">
        <f t="shared" si="52"/>
        <v/>
      </c>
      <c r="AD461" s="121"/>
      <c r="AE461" s="121"/>
    </row>
    <row r="462" spans="1:31" x14ac:dyDescent="0.25">
      <c r="A462" s="2" t="s">
        <v>438</v>
      </c>
      <c r="B462" s="7">
        <v>0.4375</v>
      </c>
      <c r="C462" s="2">
        <v>0.8</v>
      </c>
      <c r="D462" s="10" t="s">
        <v>439</v>
      </c>
      <c r="E462" s="40">
        <v>15</v>
      </c>
      <c r="F462" s="40">
        <v>2.2000000000000002</v>
      </c>
      <c r="G462" s="40">
        <v>2</v>
      </c>
      <c r="H462" s="3">
        <f t="shared" si="48"/>
        <v>0.5</v>
      </c>
      <c r="I462" s="3">
        <f t="shared" si="49"/>
        <v>7.3333333333333348E-2</v>
      </c>
      <c r="J462" s="3">
        <f t="shared" si="50"/>
        <v>6.6666666666666666E-2</v>
      </c>
      <c r="K462" s="3"/>
      <c r="L462" s="4">
        <f t="shared" si="51"/>
        <v>464.69708333333347</v>
      </c>
      <c r="M462" s="40">
        <v>0</v>
      </c>
      <c r="N462" s="40">
        <v>0</v>
      </c>
      <c r="O462" s="40">
        <v>0</v>
      </c>
      <c r="P462" s="40">
        <v>0</v>
      </c>
      <c r="Q462" s="40">
        <v>0</v>
      </c>
      <c r="R462" s="40">
        <v>0</v>
      </c>
      <c r="S462" s="2">
        <f t="shared" si="54"/>
        <v>73.30000000000021</v>
      </c>
      <c r="T462" s="2">
        <v>0</v>
      </c>
      <c r="U462" s="2">
        <v>0</v>
      </c>
      <c r="V462" s="2">
        <v>0</v>
      </c>
      <c r="W462" s="2">
        <v>0</v>
      </c>
      <c r="X462" s="2">
        <f t="shared" si="53"/>
        <v>227</v>
      </c>
      <c r="Z462" s="1"/>
      <c r="AA462" s="1"/>
      <c r="AB462" s="2" t="str">
        <f t="shared" si="52"/>
        <v/>
      </c>
      <c r="AD462" s="121"/>
      <c r="AE462" s="121"/>
    </row>
    <row r="463" spans="1:31" x14ac:dyDescent="0.25">
      <c r="A463" s="2" t="s">
        <v>440</v>
      </c>
      <c r="B463" s="7">
        <v>0.27083333333333331</v>
      </c>
      <c r="C463" s="2">
        <v>20</v>
      </c>
      <c r="D463" s="10" t="s">
        <v>441</v>
      </c>
      <c r="E463" s="40">
        <v>0</v>
      </c>
      <c r="F463" s="40">
        <v>2.2000000000000002</v>
      </c>
      <c r="G463" s="40">
        <v>2</v>
      </c>
      <c r="H463" s="3">
        <f t="shared" si="48"/>
        <v>0</v>
      </c>
      <c r="I463" s="3">
        <f t="shared" si="49"/>
        <v>1.8333333333333335</v>
      </c>
      <c r="J463" s="3">
        <f t="shared" si="50"/>
        <v>1.6666666666666665</v>
      </c>
      <c r="K463" s="3"/>
      <c r="L463" s="4">
        <f t="shared" si="51"/>
        <v>461.19708333333347</v>
      </c>
      <c r="M463" s="40">
        <v>0</v>
      </c>
      <c r="N463" s="40">
        <v>0</v>
      </c>
      <c r="O463" s="40">
        <v>0.1</v>
      </c>
      <c r="P463" s="40">
        <v>0</v>
      </c>
      <c r="Q463" s="40">
        <v>0</v>
      </c>
      <c r="R463" s="40">
        <v>0</v>
      </c>
      <c r="S463" s="2">
        <f t="shared" si="54"/>
        <v>73.200000000000216</v>
      </c>
      <c r="T463" s="2">
        <v>0</v>
      </c>
      <c r="U463" s="2">
        <v>0</v>
      </c>
      <c r="V463" s="2">
        <v>4</v>
      </c>
      <c r="W463" s="2">
        <v>0</v>
      </c>
      <c r="X463" s="2">
        <f t="shared" si="53"/>
        <v>223</v>
      </c>
      <c r="Z463" s="1"/>
      <c r="AA463" s="1"/>
      <c r="AB463" s="2" t="str">
        <f t="shared" si="52"/>
        <v/>
      </c>
      <c r="AD463" s="121"/>
      <c r="AE463" s="121"/>
    </row>
    <row r="464" spans="1:31" x14ac:dyDescent="0.25">
      <c r="A464" s="2" t="s">
        <v>440</v>
      </c>
      <c r="B464" s="7">
        <v>0.30416666666666664</v>
      </c>
      <c r="C464" s="2">
        <v>0.8</v>
      </c>
      <c r="D464" s="38" t="s">
        <v>406</v>
      </c>
      <c r="E464" s="40">
        <v>15</v>
      </c>
      <c r="F464" s="40">
        <v>2.2000000000000002</v>
      </c>
      <c r="G464" s="40">
        <v>2</v>
      </c>
      <c r="H464" s="3">
        <f t="shared" ref="H464:H528" si="55">+IF(E464="","",(E464/24)*C464)</f>
        <v>0.5</v>
      </c>
      <c r="I464" s="3">
        <f t="shared" ref="I464:I528" si="56">+IF(F464="","",(F464/24)*C464)</f>
        <v>7.3333333333333348E-2</v>
      </c>
      <c r="J464" s="3">
        <f t="shared" ref="J464:J528" si="57">+IF(G464="","",(G464/24)*C464)</f>
        <v>6.6666666666666666E-2</v>
      </c>
      <c r="K464" s="3"/>
      <c r="L464" s="4">
        <f t="shared" si="51"/>
        <v>460.55708333333348</v>
      </c>
      <c r="M464" s="40">
        <v>0</v>
      </c>
      <c r="N464" s="40">
        <v>0</v>
      </c>
      <c r="O464" s="40">
        <v>0</v>
      </c>
      <c r="P464" s="40">
        <v>0</v>
      </c>
      <c r="Q464" s="40">
        <v>0</v>
      </c>
      <c r="R464" s="40">
        <v>0</v>
      </c>
      <c r="S464" s="2">
        <f t="shared" si="54"/>
        <v>73.200000000000216</v>
      </c>
      <c r="T464" s="2">
        <v>0</v>
      </c>
      <c r="U464" s="2">
        <v>0</v>
      </c>
      <c r="V464" s="2">
        <v>0</v>
      </c>
      <c r="W464" s="2">
        <v>0</v>
      </c>
      <c r="X464" s="2">
        <f t="shared" si="53"/>
        <v>223</v>
      </c>
      <c r="Z464" s="1"/>
      <c r="AA464" s="1"/>
      <c r="AB464" s="2" t="str">
        <f t="shared" si="52"/>
        <v/>
      </c>
      <c r="AD464" s="121"/>
      <c r="AE464" s="121"/>
    </row>
    <row r="465" spans="1:31" x14ac:dyDescent="0.25">
      <c r="A465" s="2" t="s">
        <v>440</v>
      </c>
      <c r="B465" s="7">
        <v>0.33333333333333331</v>
      </c>
      <c r="C465" s="2">
        <v>0.7</v>
      </c>
      <c r="D465" s="10" t="s">
        <v>387</v>
      </c>
      <c r="E465" s="40">
        <v>0</v>
      </c>
      <c r="F465" s="40">
        <v>2.2000000000000002</v>
      </c>
      <c r="G465" s="40">
        <v>2</v>
      </c>
      <c r="H465" s="3">
        <f t="shared" si="55"/>
        <v>0</v>
      </c>
      <c r="I465" s="3">
        <f t="shared" si="56"/>
        <v>6.4166666666666664E-2</v>
      </c>
      <c r="J465" s="3">
        <f t="shared" si="57"/>
        <v>5.8333333333333327E-2</v>
      </c>
      <c r="K465" s="3"/>
      <c r="L465" s="4">
        <f t="shared" ref="L465:L529" si="58">+IF(C465="","",((L464-(H465+I465+J465))+K465))</f>
        <v>460.43458333333348</v>
      </c>
      <c r="M465" s="40">
        <v>0</v>
      </c>
      <c r="N465" s="40">
        <v>0</v>
      </c>
      <c r="O465" s="40">
        <v>0</v>
      </c>
      <c r="P465" s="40">
        <v>0</v>
      </c>
      <c r="Q465" s="40">
        <v>0</v>
      </c>
      <c r="R465" s="40">
        <v>0</v>
      </c>
      <c r="S465" s="2">
        <f t="shared" si="54"/>
        <v>73.200000000000216</v>
      </c>
      <c r="T465" s="2">
        <v>0</v>
      </c>
      <c r="U465" s="2">
        <v>0</v>
      </c>
      <c r="V465" s="2">
        <v>0</v>
      </c>
      <c r="W465" s="2">
        <v>0</v>
      </c>
      <c r="X465" s="2">
        <f t="shared" ref="X465:X529" si="59">IF(V465="","",((X464+T465+U465)-(V465+W465)))</f>
        <v>223</v>
      </c>
      <c r="Z465" s="1"/>
      <c r="AA465" s="1"/>
      <c r="AB465" s="2" t="str">
        <f t="shared" ref="AB465:AB529" si="60">IF(Z465="","",Z465+AA465)</f>
        <v/>
      </c>
      <c r="AD465" s="121"/>
      <c r="AE465" s="121"/>
    </row>
    <row r="466" spans="1:31" x14ac:dyDescent="0.25">
      <c r="A466" s="2" t="s">
        <v>442</v>
      </c>
      <c r="B466" s="7">
        <v>0.33333333333333331</v>
      </c>
      <c r="C466" s="2">
        <v>24</v>
      </c>
      <c r="D466" s="10" t="s">
        <v>387</v>
      </c>
      <c r="E466" s="40">
        <v>0</v>
      </c>
      <c r="F466" s="40">
        <v>2.2000000000000002</v>
      </c>
      <c r="G466" s="40">
        <v>2</v>
      </c>
      <c r="H466" s="3">
        <f t="shared" si="55"/>
        <v>0</v>
      </c>
      <c r="I466" s="3">
        <f t="shared" si="56"/>
        <v>2.2000000000000002</v>
      </c>
      <c r="J466" s="3">
        <f t="shared" si="57"/>
        <v>2</v>
      </c>
      <c r="K466" s="3"/>
      <c r="L466" s="4">
        <f t="shared" si="58"/>
        <v>456.23458333333349</v>
      </c>
      <c r="M466" s="40">
        <v>0</v>
      </c>
      <c r="N466" s="40">
        <v>0</v>
      </c>
      <c r="O466" s="40">
        <v>0.1</v>
      </c>
      <c r="P466" s="40">
        <v>0</v>
      </c>
      <c r="Q466" s="40">
        <v>0</v>
      </c>
      <c r="R466" s="40">
        <v>0</v>
      </c>
      <c r="S466" s="2">
        <f t="shared" si="54"/>
        <v>73.100000000000222</v>
      </c>
      <c r="T466" s="2">
        <v>0</v>
      </c>
      <c r="U466" s="2">
        <v>0</v>
      </c>
      <c r="V466" s="2">
        <v>4</v>
      </c>
      <c r="W466" s="2">
        <v>0</v>
      </c>
      <c r="X466" s="2">
        <f t="shared" si="59"/>
        <v>219</v>
      </c>
      <c r="Z466" s="1"/>
      <c r="AA466" s="1"/>
      <c r="AB466" s="2" t="str">
        <f t="shared" si="60"/>
        <v/>
      </c>
      <c r="AD466" s="121"/>
      <c r="AE466" s="121"/>
    </row>
    <row r="467" spans="1:31" x14ac:dyDescent="0.25">
      <c r="A467" s="2" t="s">
        <v>442</v>
      </c>
      <c r="B467" s="7">
        <v>0.79166666666666663</v>
      </c>
      <c r="C467" s="2">
        <v>11</v>
      </c>
      <c r="D467" s="10" t="s">
        <v>381</v>
      </c>
      <c r="E467" s="40">
        <v>0</v>
      </c>
      <c r="F467" s="40">
        <v>2.2000000000000002</v>
      </c>
      <c r="G467" s="40">
        <v>2</v>
      </c>
      <c r="H467" s="3">
        <f t="shared" si="55"/>
        <v>0</v>
      </c>
      <c r="I467" s="3">
        <f t="shared" si="56"/>
        <v>1.0083333333333333</v>
      </c>
      <c r="J467" s="3">
        <f t="shared" si="57"/>
        <v>0.91666666666666663</v>
      </c>
      <c r="K467" s="3"/>
      <c r="L467" s="4">
        <f t="shared" si="58"/>
        <v>454.30958333333348</v>
      </c>
      <c r="M467" s="40">
        <v>0</v>
      </c>
      <c r="N467" s="40">
        <v>0</v>
      </c>
      <c r="O467" s="40">
        <v>0</v>
      </c>
      <c r="P467" s="40">
        <v>0</v>
      </c>
      <c r="Q467" s="40">
        <v>0</v>
      </c>
      <c r="R467" s="40">
        <v>0</v>
      </c>
      <c r="S467" s="2">
        <f t="shared" si="54"/>
        <v>73.100000000000222</v>
      </c>
      <c r="T467" s="2">
        <v>0</v>
      </c>
      <c r="U467" s="2">
        <v>0</v>
      </c>
      <c r="V467" s="2">
        <v>2</v>
      </c>
      <c r="W467" s="2">
        <v>0</v>
      </c>
      <c r="X467" s="2">
        <f t="shared" si="59"/>
        <v>217</v>
      </c>
      <c r="Z467" s="1"/>
      <c r="AA467" s="1"/>
      <c r="AB467" s="2" t="str">
        <f t="shared" si="60"/>
        <v/>
      </c>
      <c r="AD467" s="121"/>
      <c r="AE467" s="121"/>
    </row>
    <row r="468" spans="1:31" x14ac:dyDescent="0.25">
      <c r="A468" s="2" t="s">
        <v>442</v>
      </c>
      <c r="B468" s="7">
        <v>0.91249999999999998</v>
      </c>
      <c r="C468" s="2">
        <v>2.9</v>
      </c>
      <c r="D468" s="10" t="s">
        <v>443</v>
      </c>
      <c r="E468" s="40">
        <v>15</v>
      </c>
      <c r="F468" s="40">
        <v>2.2000000000000002</v>
      </c>
      <c r="G468" s="40">
        <v>2</v>
      </c>
      <c r="H468" s="3">
        <f t="shared" si="55"/>
        <v>1.8125</v>
      </c>
      <c r="I468" s="3">
        <f t="shared" si="56"/>
        <v>0.26583333333333337</v>
      </c>
      <c r="J468" s="3">
        <f t="shared" si="57"/>
        <v>0.24166666666666664</v>
      </c>
      <c r="K468" s="3"/>
      <c r="L468" s="4">
        <f t="shared" si="58"/>
        <v>451.98958333333348</v>
      </c>
      <c r="M468" s="40">
        <v>0</v>
      </c>
      <c r="N468" s="40">
        <v>0</v>
      </c>
      <c r="O468" s="40">
        <v>0.1</v>
      </c>
      <c r="P468" s="40">
        <v>0</v>
      </c>
      <c r="Q468" s="40">
        <v>0</v>
      </c>
      <c r="R468" s="40">
        <v>0</v>
      </c>
      <c r="S468" s="2">
        <f t="shared" si="54"/>
        <v>73.000000000000227</v>
      </c>
      <c r="T468" s="2">
        <v>0</v>
      </c>
      <c r="U468" s="2">
        <v>0</v>
      </c>
      <c r="V468" s="2">
        <v>0</v>
      </c>
      <c r="W468" s="2">
        <v>0</v>
      </c>
      <c r="X468" s="2">
        <f t="shared" si="59"/>
        <v>217</v>
      </c>
      <c r="Z468" s="1"/>
      <c r="AA468" s="1"/>
      <c r="AB468" s="2" t="str">
        <f t="shared" si="60"/>
        <v/>
      </c>
      <c r="AD468" s="121"/>
      <c r="AE468" s="121"/>
    </row>
    <row r="469" spans="1:31" x14ac:dyDescent="0.25">
      <c r="A469" s="2" t="s">
        <v>270</v>
      </c>
      <c r="B469" s="7">
        <v>0.33333333333333331</v>
      </c>
      <c r="C469" s="2">
        <v>10.1</v>
      </c>
      <c r="D469" s="10" t="s">
        <v>395</v>
      </c>
      <c r="E469" s="40">
        <v>0</v>
      </c>
      <c r="F469" s="40">
        <v>2.2000000000000002</v>
      </c>
      <c r="G469" s="40">
        <v>2</v>
      </c>
      <c r="H469" s="3">
        <f t="shared" si="55"/>
        <v>0</v>
      </c>
      <c r="I469" s="3">
        <f t="shared" si="56"/>
        <v>0.9258333333333334</v>
      </c>
      <c r="J469" s="3">
        <f t="shared" si="57"/>
        <v>0.84166666666666656</v>
      </c>
      <c r="K469" s="3"/>
      <c r="L469" s="4">
        <f t="shared" si="58"/>
        <v>450.2220833333335</v>
      </c>
      <c r="M469" s="40">
        <v>0</v>
      </c>
      <c r="N469" s="40">
        <v>0</v>
      </c>
      <c r="O469" s="40">
        <v>0</v>
      </c>
      <c r="P469" s="40">
        <v>0</v>
      </c>
      <c r="Q469" s="40">
        <v>0</v>
      </c>
      <c r="R469" s="40">
        <v>0</v>
      </c>
      <c r="S469" s="2">
        <f t="shared" si="54"/>
        <v>73.000000000000227</v>
      </c>
      <c r="T469" s="2">
        <v>0</v>
      </c>
      <c r="U469" s="2">
        <v>0</v>
      </c>
      <c r="V469" s="2">
        <v>2</v>
      </c>
      <c r="W469" s="2">
        <v>0</v>
      </c>
      <c r="X469" s="2">
        <f t="shared" si="59"/>
        <v>215</v>
      </c>
      <c r="Z469" s="1"/>
      <c r="AA469" s="1"/>
      <c r="AB469" s="2" t="str">
        <f t="shared" si="60"/>
        <v/>
      </c>
      <c r="AD469" s="121"/>
      <c r="AE469" s="121"/>
    </row>
    <row r="470" spans="1:31" x14ac:dyDescent="0.25">
      <c r="A470" s="59"/>
      <c r="B470" s="7"/>
      <c r="C470" s="59"/>
      <c r="D470" s="10"/>
      <c r="E470" s="40"/>
      <c r="F470" s="40"/>
      <c r="G470" s="40"/>
      <c r="H470" s="3"/>
      <c r="I470" s="3"/>
      <c r="J470" s="3"/>
      <c r="K470" s="3"/>
      <c r="L470" s="4"/>
      <c r="M470" s="40"/>
      <c r="N470" s="40"/>
      <c r="O470" s="40"/>
      <c r="P470" s="40"/>
      <c r="Q470" s="40"/>
      <c r="R470" s="40"/>
      <c r="S470" s="59"/>
      <c r="T470" s="59"/>
      <c r="U470" s="59"/>
      <c r="V470" s="59"/>
      <c r="W470" s="59"/>
      <c r="X470" s="59"/>
      <c r="Z470" s="1"/>
      <c r="AA470" s="1"/>
      <c r="AB470" s="59"/>
      <c r="AD470" s="121"/>
      <c r="AE470" s="121"/>
    </row>
    <row r="471" spans="1:31" x14ac:dyDescent="0.25">
      <c r="A471" s="9" t="s">
        <v>444</v>
      </c>
      <c r="B471" s="7">
        <v>0.13333333333333333</v>
      </c>
      <c r="C471" s="2">
        <v>19</v>
      </c>
      <c r="D471" s="10" t="s">
        <v>381</v>
      </c>
      <c r="E471" s="40">
        <v>0</v>
      </c>
      <c r="F471" s="40">
        <v>2.2000000000000002</v>
      </c>
      <c r="G471" s="40">
        <v>2</v>
      </c>
      <c r="H471" s="3">
        <f t="shared" si="55"/>
        <v>0</v>
      </c>
      <c r="I471" s="3">
        <f t="shared" si="56"/>
        <v>1.7416666666666667</v>
      </c>
      <c r="J471" s="3">
        <f t="shared" si="57"/>
        <v>1.5833333333333333</v>
      </c>
      <c r="K471" s="3"/>
      <c r="L471" s="4">
        <f>+IF(C471="","",((L469-(H471+I471+J471))+K471))</f>
        <v>446.89708333333351</v>
      </c>
      <c r="M471" s="40">
        <v>0</v>
      </c>
      <c r="N471" s="40">
        <v>0</v>
      </c>
      <c r="O471" s="40">
        <v>0.1</v>
      </c>
      <c r="P471" s="40">
        <v>0</v>
      </c>
      <c r="Q471" s="40">
        <v>0</v>
      </c>
      <c r="R471" s="40">
        <v>0</v>
      </c>
      <c r="S471" s="2">
        <f>IF(C471="","",(S469+R471)-(M471+N471+O471+P471+Q471))</f>
        <v>72.900000000000233</v>
      </c>
      <c r="T471" s="2">
        <v>0</v>
      </c>
      <c r="U471" s="2">
        <v>0</v>
      </c>
      <c r="V471" s="2">
        <v>3</v>
      </c>
      <c r="W471" s="2">
        <v>0</v>
      </c>
      <c r="X471" s="2">
        <f>IF(V471="","",((X469+T471+U471)-(V471+W471)))</f>
        <v>212</v>
      </c>
      <c r="Z471" s="1"/>
      <c r="AA471" s="1"/>
      <c r="AB471" s="2" t="str">
        <f t="shared" si="60"/>
        <v/>
      </c>
      <c r="AD471" s="121"/>
      <c r="AE471" s="121"/>
    </row>
    <row r="472" spans="1:31" x14ac:dyDescent="0.25">
      <c r="A472" s="2" t="s">
        <v>444</v>
      </c>
      <c r="B472" s="7">
        <v>0.1875</v>
      </c>
      <c r="C472" s="2">
        <v>1.8</v>
      </c>
      <c r="D472" s="10" t="s">
        <v>105</v>
      </c>
      <c r="E472" s="40">
        <v>15</v>
      </c>
      <c r="F472" s="40">
        <v>2.2000000000000002</v>
      </c>
      <c r="G472" s="40">
        <v>2</v>
      </c>
      <c r="H472" s="3">
        <f t="shared" si="55"/>
        <v>1.125</v>
      </c>
      <c r="I472" s="3">
        <f t="shared" si="56"/>
        <v>0.16500000000000001</v>
      </c>
      <c r="J472" s="3">
        <f t="shared" si="57"/>
        <v>0.15</v>
      </c>
      <c r="K472" s="3"/>
      <c r="L472" s="4">
        <f t="shared" si="58"/>
        <v>445.45708333333351</v>
      </c>
      <c r="M472" s="40">
        <v>0</v>
      </c>
      <c r="N472" s="40">
        <v>0</v>
      </c>
      <c r="O472" s="40">
        <v>0</v>
      </c>
      <c r="P472" s="40">
        <v>0</v>
      </c>
      <c r="Q472" s="40">
        <v>0</v>
      </c>
      <c r="R472" s="40">
        <v>0</v>
      </c>
      <c r="S472" s="2">
        <f t="shared" si="54"/>
        <v>72.900000000000233</v>
      </c>
      <c r="T472" s="2">
        <v>0</v>
      </c>
      <c r="U472" s="2">
        <v>0</v>
      </c>
      <c r="V472" s="2">
        <v>0</v>
      </c>
      <c r="W472" s="2">
        <v>0</v>
      </c>
      <c r="X472" s="2">
        <f t="shared" si="59"/>
        <v>212</v>
      </c>
      <c r="Z472" s="1"/>
      <c r="AA472" s="1"/>
      <c r="AB472" s="2" t="str">
        <f t="shared" si="60"/>
        <v/>
      </c>
      <c r="AD472" s="121"/>
      <c r="AE472" s="121"/>
    </row>
    <row r="473" spans="1:31" x14ac:dyDescent="0.25">
      <c r="A473" s="2" t="s">
        <v>444</v>
      </c>
      <c r="B473" s="7">
        <v>0.33333333333333331</v>
      </c>
      <c r="C473" s="2">
        <v>3.5</v>
      </c>
      <c r="D473" s="10" t="s">
        <v>355</v>
      </c>
      <c r="E473" s="40">
        <v>25</v>
      </c>
      <c r="F473" s="40">
        <v>2.2000000000000002</v>
      </c>
      <c r="G473" s="40">
        <v>0</v>
      </c>
      <c r="H473" s="3">
        <f t="shared" si="55"/>
        <v>3.6458333333333335</v>
      </c>
      <c r="I473" s="3">
        <f t="shared" si="56"/>
        <v>0.32083333333333336</v>
      </c>
      <c r="J473" s="3">
        <f t="shared" si="57"/>
        <v>0</v>
      </c>
      <c r="K473" s="3"/>
      <c r="L473" s="4">
        <f t="shared" si="58"/>
        <v>441.49041666666687</v>
      </c>
      <c r="M473" s="40">
        <v>0</v>
      </c>
      <c r="N473" s="40">
        <v>0</v>
      </c>
      <c r="O473" s="40">
        <v>0</v>
      </c>
      <c r="P473" s="40">
        <v>0</v>
      </c>
      <c r="Q473" s="40">
        <v>0</v>
      </c>
      <c r="R473" s="40">
        <v>0</v>
      </c>
      <c r="S473" s="2">
        <f t="shared" si="54"/>
        <v>72.900000000000233</v>
      </c>
      <c r="T473" s="2">
        <v>0</v>
      </c>
      <c r="U473" s="2">
        <v>0</v>
      </c>
      <c r="V473" s="2">
        <v>1</v>
      </c>
      <c r="W473" s="2">
        <v>0</v>
      </c>
      <c r="X473" s="2">
        <f t="shared" si="59"/>
        <v>211</v>
      </c>
      <c r="Z473" s="1"/>
      <c r="AA473" s="1"/>
      <c r="AB473" s="2" t="str">
        <f t="shared" si="60"/>
        <v/>
      </c>
      <c r="AD473" s="121"/>
      <c r="AE473" s="121"/>
    </row>
    <row r="474" spans="1:31" ht="15.75" customHeight="1" x14ac:dyDescent="0.25">
      <c r="A474" s="2" t="s">
        <v>444</v>
      </c>
      <c r="B474" s="7">
        <v>0.60833333333333328</v>
      </c>
      <c r="C474" s="2">
        <v>6.6</v>
      </c>
      <c r="D474" s="10" t="s">
        <v>374</v>
      </c>
      <c r="E474" s="40">
        <v>25</v>
      </c>
      <c r="F474" s="40">
        <v>2.2000000000000002</v>
      </c>
      <c r="G474" s="40">
        <v>0</v>
      </c>
      <c r="H474" s="3">
        <f t="shared" si="55"/>
        <v>6.875</v>
      </c>
      <c r="I474" s="3">
        <f t="shared" si="56"/>
        <v>0.60499999999999998</v>
      </c>
      <c r="J474" s="3">
        <f t="shared" si="57"/>
        <v>0</v>
      </c>
      <c r="K474" s="3"/>
      <c r="L474" s="4">
        <f t="shared" si="58"/>
        <v>434.01041666666686</v>
      </c>
      <c r="M474" s="40">
        <v>0</v>
      </c>
      <c r="N474" s="40">
        <v>0</v>
      </c>
      <c r="O474" s="40">
        <v>0</v>
      </c>
      <c r="P474" s="40">
        <v>0</v>
      </c>
      <c r="Q474" s="40">
        <v>0</v>
      </c>
      <c r="R474" s="40">
        <v>0</v>
      </c>
      <c r="S474" s="2">
        <f t="shared" si="54"/>
        <v>72.900000000000233</v>
      </c>
      <c r="T474" s="2">
        <v>0</v>
      </c>
      <c r="U474" s="2">
        <v>0</v>
      </c>
      <c r="V474" s="2">
        <v>1</v>
      </c>
      <c r="W474" s="2">
        <v>0</v>
      </c>
      <c r="X474" s="2">
        <f t="shared" si="59"/>
        <v>210</v>
      </c>
      <c r="Z474" s="1"/>
      <c r="AA474" s="1"/>
      <c r="AB474" s="2" t="str">
        <f t="shared" si="60"/>
        <v/>
      </c>
      <c r="AD474" s="121">
        <v>12.6</v>
      </c>
      <c r="AE474" s="121" t="s">
        <v>1309</v>
      </c>
    </row>
    <row r="475" spans="1:31" x14ac:dyDescent="0.25">
      <c r="A475" s="2" t="s">
        <v>444</v>
      </c>
      <c r="B475" s="7">
        <v>0.65416666666666667</v>
      </c>
      <c r="C475" s="2">
        <v>1.1000000000000001</v>
      </c>
      <c r="D475" s="10" t="s">
        <v>445</v>
      </c>
      <c r="E475" s="40">
        <v>20</v>
      </c>
      <c r="F475" s="40">
        <v>2.2000000000000002</v>
      </c>
      <c r="G475" s="40">
        <v>0</v>
      </c>
      <c r="H475" s="3">
        <f t="shared" si="55"/>
        <v>0.91666666666666674</v>
      </c>
      <c r="I475" s="3">
        <f t="shared" si="56"/>
        <v>0.10083333333333334</v>
      </c>
      <c r="J475" s="3">
        <v>0</v>
      </c>
      <c r="K475" s="3"/>
      <c r="L475" s="4">
        <f t="shared" si="58"/>
        <v>432.99291666666687</v>
      </c>
      <c r="M475" s="40">
        <v>0</v>
      </c>
      <c r="N475" s="40">
        <v>0</v>
      </c>
      <c r="O475" s="40">
        <v>0</v>
      </c>
      <c r="P475" s="40">
        <v>0</v>
      </c>
      <c r="Q475" s="40">
        <v>0</v>
      </c>
      <c r="R475" s="40">
        <v>0</v>
      </c>
      <c r="S475" s="2">
        <f t="shared" si="54"/>
        <v>72.900000000000233</v>
      </c>
      <c r="T475" s="2">
        <v>0</v>
      </c>
      <c r="U475" s="2">
        <v>0</v>
      </c>
      <c r="V475" s="2">
        <v>0</v>
      </c>
      <c r="W475" s="2">
        <v>0</v>
      </c>
      <c r="X475" s="2">
        <f t="shared" si="59"/>
        <v>210</v>
      </c>
      <c r="Z475" s="1"/>
      <c r="AA475" s="1"/>
      <c r="AB475" s="2" t="str">
        <f t="shared" si="60"/>
        <v/>
      </c>
      <c r="AD475" s="121"/>
      <c r="AE475" s="121"/>
    </row>
    <row r="476" spans="1:31" x14ac:dyDescent="0.25">
      <c r="A476" s="2" t="s">
        <v>446</v>
      </c>
      <c r="B476" s="7">
        <v>0.26666666666666666</v>
      </c>
      <c r="C476" s="2">
        <v>14.7</v>
      </c>
      <c r="D476" s="10" t="s">
        <v>447</v>
      </c>
      <c r="E476" s="40">
        <v>0</v>
      </c>
      <c r="F476" s="40">
        <v>2.2000000000000002</v>
      </c>
      <c r="G476" s="40">
        <v>2</v>
      </c>
      <c r="H476" s="3">
        <f t="shared" si="55"/>
        <v>0</v>
      </c>
      <c r="I476" s="3">
        <f t="shared" si="56"/>
        <v>1.3475000000000001</v>
      </c>
      <c r="J476" s="3">
        <f t="shared" si="57"/>
        <v>1.2249999999999999</v>
      </c>
      <c r="K476" s="3"/>
      <c r="L476" s="4">
        <f t="shared" si="58"/>
        <v>430.42041666666688</v>
      </c>
      <c r="M476" s="40">
        <v>0</v>
      </c>
      <c r="N476" s="40">
        <v>0</v>
      </c>
      <c r="O476" s="40">
        <v>0.1</v>
      </c>
      <c r="P476" s="40">
        <v>0</v>
      </c>
      <c r="Q476" s="40">
        <v>0</v>
      </c>
      <c r="R476" s="40">
        <v>0</v>
      </c>
      <c r="S476" s="2">
        <f t="shared" si="54"/>
        <v>72.800000000000239</v>
      </c>
      <c r="T476" s="2">
        <v>0</v>
      </c>
      <c r="U476" s="2">
        <v>0</v>
      </c>
      <c r="V476" s="2">
        <v>3</v>
      </c>
      <c r="W476" s="2">
        <v>0</v>
      </c>
      <c r="X476" s="2">
        <f t="shared" si="59"/>
        <v>207</v>
      </c>
      <c r="Z476" s="1"/>
      <c r="AA476" s="1"/>
      <c r="AB476" s="2" t="str">
        <f t="shared" si="60"/>
        <v/>
      </c>
      <c r="AD476" s="121"/>
      <c r="AE476" s="121"/>
    </row>
    <row r="477" spans="1:31" x14ac:dyDescent="0.25">
      <c r="A477" s="2" t="s">
        <v>446</v>
      </c>
      <c r="B477" s="7">
        <v>0.35000000000000003</v>
      </c>
      <c r="C477" s="2">
        <v>2</v>
      </c>
      <c r="D477" s="10" t="s">
        <v>378</v>
      </c>
      <c r="E477" s="40">
        <v>15</v>
      </c>
      <c r="F477" s="40">
        <v>2.2000000000000002</v>
      </c>
      <c r="G477" s="40">
        <v>2</v>
      </c>
      <c r="H477" s="3">
        <f t="shared" si="55"/>
        <v>1.25</v>
      </c>
      <c r="I477" s="3">
        <f t="shared" si="56"/>
        <v>0.18333333333333335</v>
      </c>
      <c r="J477" s="3">
        <f t="shared" si="57"/>
        <v>0.16666666666666666</v>
      </c>
      <c r="K477" s="3"/>
      <c r="L477" s="4">
        <f t="shared" si="58"/>
        <v>428.82041666666686</v>
      </c>
      <c r="M477" s="40">
        <v>0</v>
      </c>
      <c r="N477" s="40">
        <v>0</v>
      </c>
      <c r="O477" s="40">
        <v>0</v>
      </c>
      <c r="P477" s="40">
        <v>0</v>
      </c>
      <c r="Q477" s="40">
        <v>0</v>
      </c>
      <c r="R477" s="40">
        <v>0</v>
      </c>
      <c r="S477" s="2">
        <f t="shared" si="54"/>
        <v>72.800000000000239</v>
      </c>
      <c r="T477" s="2">
        <v>0</v>
      </c>
      <c r="U477" s="2">
        <v>0</v>
      </c>
      <c r="V477" s="2">
        <v>0</v>
      </c>
      <c r="W477" s="2">
        <v>0</v>
      </c>
      <c r="X477" s="2">
        <f t="shared" si="59"/>
        <v>207</v>
      </c>
      <c r="Z477" s="1"/>
      <c r="AA477" s="1"/>
      <c r="AB477" s="2" t="str">
        <f t="shared" si="60"/>
        <v/>
      </c>
      <c r="AD477" s="121"/>
      <c r="AE477" s="121"/>
    </row>
    <row r="478" spans="1:31" x14ac:dyDescent="0.25">
      <c r="A478" s="2" t="s">
        <v>448</v>
      </c>
      <c r="B478" s="7">
        <v>0.33333333333333331</v>
      </c>
      <c r="C478" s="2">
        <v>23.6</v>
      </c>
      <c r="D478" s="10" t="s">
        <v>378</v>
      </c>
      <c r="E478" s="40">
        <v>0</v>
      </c>
      <c r="F478" s="40">
        <v>2.2000000000000002</v>
      </c>
      <c r="G478" s="40">
        <v>2</v>
      </c>
      <c r="H478" s="3">
        <f t="shared" si="55"/>
        <v>0</v>
      </c>
      <c r="I478" s="3">
        <f t="shared" si="56"/>
        <v>2.1633333333333336</v>
      </c>
      <c r="J478" s="3">
        <f t="shared" si="57"/>
        <v>1.9666666666666668</v>
      </c>
      <c r="K478" s="3"/>
      <c r="L478" s="4">
        <f t="shared" si="58"/>
        <v>424.69041666666686</v>
      </c>
      <c r="M478" s="40">
        <v>0</v>
      </c>
      <c r="N478" s="40">
        <v>0</v>
      </c>
      <c r="O478" s="40">
        <v>0.1</v>
      </c>
      <c r="P478" s="40">
        <v>0</v>
      </c>
      <c r="Q478" s="40">
        <v>0</v>
      </c>
      <c r="R478" s="40">
        <v>0</v>
      </c>
      <c r="S478" s="2">
        <f t="shared" si="54"/>
        <v>72.700000000000244</v>
      </c>
      <c r="T478" s="2">
        <v>0</v>
      </c>
      <c r="U478" s="2">
        <v>0</v>
      </c>
      <c r="V478" s="2">
        <v>4</v>
      </c>
      <c r="W478" s="2">
        <v>0</v>
      </c>
      <c r="X478" s="2">
        <f t="shared" si="59"/>
        <v>203</v>
      </c>
      <c r="Z478" s="1"/>
      <c r="AA478" s="1"/>
      <c r="AB478" s="2" t="str">
        <f t="shared" si="60"/>
        <v/>
      </c>
      <c r="AD478" s="121"/>
      <c r="AE478" s="121"/>
    </row>
    <row r="479" spans="1:31" x14ac:dyDescent="0.25">
      <c r="A479" s="2" t="s">
        <v>448</v>
      </c>
      <c r="B479" s="7">
        <v>0.67499999999999993</v>
      </c>
      <c r="C479" s="2">
        <v>8.1999999999999993</v>
      </c>
      <c r="D479" s="10" t="s">
        <v>378</v>
      </c>
      <c r="E479" s="40">
        <v>0</v>
      </c>
      <c r="F479" s="40">
        <v>2.2000000000000002</v>
      </c>
      <c r="G479" s="40">
        <v>2</v>
      </c>
      <c r="H479" s="3">
        <f t="shared" si="55"/>
        <v>0</v>
      </c>
      <c r="I479" s="3">
        <f t="shared" si="56"/>
        <v>0.75166666666666671</v>
      </c>
      <c r="J479" s="3">
        <f t="shared" si="57"/>
        <v>0.68333333333333324</v>
      </c>
      <c r="K479" s="3"/>
      <c r="L479" s="4">
        <f t="shared" si="58"/>
        <v>423.25541666666686</v>
      </c>
      <c r="M479" s="40">
        <v>0</v>
      </c>
      <c r="N479" s="40">
        <v>0</v>
      </c>
      <c r="O479" s="40">
        <v>0</v>
      </c>
      <c r="P479" s="40">
        <v>0</v>
      </c>
      <c r="Q479" s="40">
        <v>0</v>
      </c>
      <c r="R479" s="40">
        <v>0</v>
      </c>
      <c r="S479" s="2">
        <f t="shared" si="54"/>
        <v>72.700000000000244</v>
      </c>
      <c r="T479" s="2">
        <v>0</v>
      </c>
      <c r="U479" s="2">
        <v>0</v>
      </c>
      <c r="V479" s="2">
        <v>1</v>
      </c>
      <c r="W479" s="2">
        <v>0</v>
      </c>
      <c r="X479" s="2">
        <f t="shared" si="59"/>
        <v>202</v>
      </c>
      <c r="Z479" s="1"/>
      <c r="AA479" s="1"/>
      <c r="AB479" s="2" t="str">
        <f t="shared" si="60"/>
        <v/>
      </c>
      <c r="AD479" s="121"/>
      <c r="AE479" s="121"/>
    </row>
    <row r="480" spans="1:31" x14ac:dyDescent="0.25">
      <c r="A480" s="2" t="s">
        <v>448</v>
      </c>
      <c r="B480" s="7">
        <v>0.76250000000000007</v>
      </c>
      <c r="C480" s="2">
        <v>2.1</v>
      </c>
      <c r="D480" s="10" t="s">
        <v>449</v>
      </c>
      <c r="E480" s="40">
        <v>0</v>
      </c>
      <c r="F480" s="40">
        <v>2.2000000000000002</v>
      </c>
      <c r="G480" s="40">
        <v>2</v>
      </c>
      <c r="H480" s="3">
        <f t="shared" si="55"/>
        <v>0</v>
      </c>
      <c r="I480" s="3">
        <f t="shared" si="56"/>
        <v>0.19250000000000003</v>
      </c>
      <c r="J480" s="3">
        <f t="shared" si="57"/>
        <v>0.17499999999999999</v>
      </c>
      <c r="K480" s="3"/>
      <c r="L480" s="4">
        <f t="shared" si="58"/>
        <v>422.88791666666685</v>
      </c>
      <c r="M480" s="40">
        <v>0</v>
      </c>
      <c r="N480" s="40">
        <v>0</v>
      </c>
      <c r="O480" s="40">
        <v>0</v>
      </c>
      <c r="P480" s="40">
        <v>0</v>
      </c>
      <c r="Q480" s="40">
        <v>0</v>
      </c>
      <c r="R480" s="40">
        <v>0</v>
      </c>
      <c r="S480" s="2">
        <f t="shared" si="54"/>
        <v>72.700000000000244</v>
      </c>
      <c r="T480" s="2">
        <v>0</v>
      </c>
      <c r="U480" s="2">
        <v>0</v>
      </c>
      <c r="V480" s="2">
        <v>1</v>
      </c>
      <c r="W480" s="2">
        <v>0</v>
      </c>
      <c r="X480" s="2">
        <f t="shared" si="59"/>
        <v>201</v>
      </c>
      <c r="Z480" s="1"/>
      <c r="AA480" s="1"/>
      <c r="AB480" s="2" t="str">
        <f t="shared" si="60"/>
        <v/>
      </c>
      <c r="AD480" s="121"/>
      <c r="AE480" s="121"/>
    </row>
    <row r="481" spans="1:31" x14ac:dyDescent="0.25">
      <c r="A481" s="2" t="s">
        <v>448</v>
      </c>
      <c r="B481" s="7">
        <v>0.83333333333333337</v>
      </c>
      <c r="C481" s="2">
        <v>1.7</v>
      </c>
      <c r="D481" s="10" t="s">
        <v>105</v>
      </c>
      <c r="E481" s="40">
        <v>20</v>
      </c>
      <c r="F481" s="40">
        <v>2.2000000000000002</v>
      </c>
      <c r="G481" s="40">
        <v>2</v>
      </c>
      <c r="H481" s="3">
        <f t="shared" si="55"/>
        <v>1.4166666666666667</v>
      </c>
      <c r="I481" s="3">
        <f t="shared" si="56"/>
        <v>0.15583333333333335</v>
      </c>
      <c r="J481" s="3">
        <f t="shared" si="57"/>
        <v>0.14166666666666666</v>
      </c>
      <c r="K481" s="3"/>
      <c r="L481" s="4">
        <f t="shared" si="58"/>
        <v>421.17375000000021</v>
      </c>
      <c r="M481" s="40">
        <v>0</v>
      </c>
      <c r="N481" s="40">
        <v>0</v>
      </c>
      <c r="O481" s="40">
        <v>0</v>
      </c>
      <c r="P481" s="40">
        <v>0</v>
      </c>
      <c r="Q481" s="40">
        <v>0</v>
      </c>
      <c r="R481" s="40">
        <v>0</v>
      </c>
      <c r="S481" s="2">
        <f t="shared" si="54"/>
        <v>72.700000000000244</v>
      </c>
      <c r="T481" s="2">
        <v>0</v>
      </c>
      <c r="U481" s="2">
        <v>0</v>
      </c>
      <c r="V481" s="2">
        <v>0</v>
      </c>
      <c r="W481" s="2">
        <v>0</v>
      </c>
      <c r="X481" s="2">
        <f t="shared" si="59"/>
        <v>201</v>
      </c>
      <c r="Z481" s="1"/>
      <c r="AA481" s="1"/>
      <c r="AB481" s="2" t="str">
        <f t="shared" si="60"/>
        <v/>
      </c>
      <c r="AD481" s="121"/>
      <c r="AE481" s="121"/>
    </row>
    <row r="482" spans="1:31" x14ac:dyDescent="0.25">
      <c r="A482" s="2" t="s">
        <v>450</v>
      </c>
      <c r="B482" s="7">
        <v>0.20833333333333334</v>
      </c>
      <c r="C482" s="2">
        <v>9</v>
      </c>
      <c r="D482" s="10" t="s">
        <v>381</v>
      </c>
      <c r="E482" s="40">
        <v>25</v>
      </c>
      <c r="F482" s="40">
        <v>2.2000000000000002</v>
      </c>
      <c r="G482" s="40">
        <v>2</v>
      </c>
      <c r="H482" s="3">
        <f t="shared" si="55"/>
        <v>9.375</v>
      </c>
      <c r="I482" s="3">
        <f t="shared" si="56"/>
        <v>0.82500000000000007</v>
      </c>
      <c r="J482" s="3">
        <f t="shared" si="57"/>
        <v>0.75</v>
      </c>
      <c r="K482" s="3"/>
      <c r="L482" s="4">
        <f t="shared" si="58"/>
        <v>410.22375000000022</v>
      </c>
      <c r="M482" s="40">
        <v>0</v>
      </c>
      <c r="N482" s="40">
        <v>0</v>
      </c>
      <c r="O482" s="40">
        <v>0.1</v>
      </c>
      <c r="P482" s="40">
        <v>0</v>
      </c>
      <c r="Q482" s="40">
        <v>5</v>
      </c>
      <c r="R482" s="40">
        <v>0</v>
      </c>
      <c r="S482" s="2">
        <f t="shared" si="54"/>
        <v>67.60000000000025</v>
      </c>
      <c r="T482" s="2">
        <v>0</v>
      </c>
      <c r="U482" s="2">
        <v>0</v>
      </c>
      <c r="V482" s="2">
        <v>2</v>
      </c>
      <c r="W482" s="2">
        <v>0</v>
      </c>
      <c r="X482" s="2">
        <f t="shared" si="59"/>
        <v>199</v>
      </c>
      <c r="Z482" s="1"/>
      <c r="AA482" s="1"/>
      <c r="AB482" s="2" t="str">
        <f t="shared" si="60"/>
        <v/>
      </c>
      <c r="AD482" s="121"/>
      <c r="AE482" s="121"/>
    </row>
    <row r="483" spans="1:31" x14ac:dyDescent="0.25">
      <c r="A483" s="2" t="s">
        <v>450</v>
      </c>
      <c r="B483" s="7">
        <v>0.29583333333333334</v>
      </c>
      <c r="C483" s="2">
        <v>2.1</v>
      </c>
      <c r="D483" s="10" t="s">
        <v>451</v>
      </c>
      <c r="E483" s="40">
        <v>15</v>
      </c>
      <c r="F483" s="40">
        <v>2.2000000000000002</v>
      </c>
      <c r="G483" s="40">
        <v>2</v>
      </c>
      <c r="H483" s="3">
        <f t="shared" si="55"/>
        <v>1.3125</v>
      </c>
      <c r="I483" s="3">
        <f t="shared" si="56"/>
        <v>0.19250000000000003</v>
      </c>
      <c r="J483" s="3">
        <f t="shared" si="57"/>
        <v>0.17499999999999999</v>
      </c>
      <c r="K483" s="3"/>
      <c r="L483" s="4">
        <f t="shared" si="58"/>
        <v>408.54375000000022</v>
      </c>
      <c r="M483" s="40">
        <v>0</v>
      </c>
      <c r="N483" s="40">
        <v>0</v>
      </c>
      <c r="O483" s="40">
        <v>0</v>
      </c>
      <c r="P483" s="40">
        <v>0</v>
      </c>
      <c r="Q483" s="40">
        <v>0</v>
      </c>
      <c r="R483" s="40">
        <v>0</v>
      </c>
      <c r="S483" s="2">
        <f t="shared" si="54"/>
        <v>67.60000000000025</v>
      </c>
      <c r="T483" s="2">
        <v>0</v>
      </c>
      <c r="U483" s="2">
        <v>0</v>
      </c>
      <c r="V483" s="2">
        <v>0</v>
      </c>
      <c r="W483" s="2">
        <v>0</v>
      </c>
      <c r="X483" s="2">
        <f t="shared" si="59"/>
        <v>199</v>
      </c>
      <c r="Z483" s="1"/>
      <c r="AA483" s="1"/>
      <c r="AB483" s="2" t="str">
        <f t="shared" si="60"/>
        <v/>
      </c>
      <c r="AD483" s="121">
        <v>12.5</v>
      </c>
      <c r="AE483" s="121" t="s">
        <v>1301</v>
      </c>
    </row>
    <row r="484" spans="1:31" x14ac:dyDescent="0.25">
      <c r="A484" s="2" t="s">
        <v>450</v>
      </c>
      <c r="B484" s="7">
        <v>0.33333333333333331</v>
      </c>
      <c r="C484" s="2">
        <v>0.9</v>
      </c>
      <c r="D484" s="10" t="s">
        <v>236</v>
      </c>
      <c r="E484" s="40">
        <v>0</v>
      </c>
      <c r="F484" s="40">
        <v>2.2000000000000002</v>
      </c>
      <c r="G484" s="40">
        <v>2</v>
      </c>
      <c r="H484" s="3">
        <f t="shared" si="55"/>
        <v>0</v>
      </c>
      <c r="I484" s="3">
        <f t="shared" si="56"/>
        <v>8.2500000000000004E-2</v>
      </c>
      <c r="J484" s="3">
        <f t="shared" si="57"/>
        <v>7.4999999999999997E-2</v>
      </c>
      <c r="K484" s="3"/>
      <c r="L484" s="4">
        <f t="shared" si="58"/>
        <v>408.38625000000019</v>
      </c>
      <c r="M484" s="40">
        <v>0</v>
      </c>
      <c r="N484" s="40">
        <v>0</v>
      </c>
      <c r="O484" s="40">
        <v>0</v>
      </c>
      <c r="P484" s="40">
        <v>0</v>
      </c>
      <c r="Q484" s="40">
        <v>0</v>
      </c>
      <c r="R484" s="40">
        <v>0</v>
      </c>
      <c r="S484" s="2">
        <f t="shared" si="54"/>
        <v>67.60000000000025</v>
      </c>
      <c r="T484" s="2">
        <v>0</v>
      </c>
      <c r="U484" s="2">
        <v>0</v>
      </c>
      <c r="V484" s="2">
        <v>0</v>
      </c>
      <c r="W484" s="2">
        <v>0</v>
      </c>
      <c r="X484" s="2">
        <f t="shared" si="59"/>
        <v>199</v>
      </c>
      <c r="Z484" s="1"/>
      <c r="AA484" s="1"/>
      <c r="AB484" s="2" t="str">
        <f t="shared" si="60"/>
        <v/>
      </c>
      <c r="AD484" s="121"/>
      <c r="AE484" s="121"/>
    </row>
    <row r="485" spans="1:31" x14ac:dyDescent="0.25">
      <c r="A485" s="2" t="s">
        <v>450</v>
      </c>
      <c r="B485" s="7">
        <v>0.45</v>
      </c>
      <c r="C485" s="2">
        <v>3</v>
      </c>
      <c r="D485" s="10" t="s">
        <v>381</v>
      </c>
      <c r="E485" s="40">
        <v>0</v>
      </c>
      <c r="F485" s="40">
        <v>2.2000000000000002</v>
      </c>
      <c r="G485" s="40">
        <v>2</v>
      </c>
      <c r="H485" s="3">
        <f t="shared" si="55"/>
        <v>0</v>
      </c>
      <c r="I485" s="3">
        <f t="shared" si="56"/>
        <v>0.27500000000000002</v>
      </c>
      <c r="J485" s="3">
        <f t="shared" si="57"/>
        <v>0.25</v>
      </c>
      <c r="K485" s="3"/>
      <c r="L485" s="4">
        <f t="shared" si="58"/>
        <v>407.86125000000021</v>
      </c>
      <c r="M485" s="40">
        <v>0</v>
      </c>
      <c r="N485" s="40">
        <v>0</v>
      </c>
      <c r="O485" s="40">
        <v>0</v>
      </c>
      <c r="P485" s="40">
        <v>0</v>
      </c>
      <c r="Q485" s="40">
        <v>0</v>
      </c>
      <c r="R485" s="40">
        <v>0</v>
      </c>
      <c r="S485" s="2">
        <f t="shared" si="54"/>
        <v>67.60000000000025</v>
      </c>
      <c r="T485" s="2">
        <v>0</v>
      </c>
      <c r="U485" s="2">
        <v>0</v>
      </c>
      <c r="V485" s="2">
        <v>1</v>
      </c>
      <c r="W485" s="2">
        <v>0</v>
      </c>
      <c r="X485" s="2">
        <f t="shared" si="59"/>
        <v>198</v>
      </c>
      <c r="Z485" s="1"/>
      <c r="AA485" s="1"/>
      <c r="AB485" s="2" t="str">
        <f t="shared" si="60"/>
        <v/>
      </c>
      <c r="AD485" s="121"/>
      <c r="AE485" s="121"/>
    </row>
    <row r="486" spans="1:31" x14ac:dyDescent="0.25">
      <c r="A486" s="2" t="s">
        <v>450</v>
      </c>
      <c r="B486" s="7">
        <v>0.5708333333333333</v>
      </c>
      <c r="C486" s="2">
        <v>2.9</v>
      </c>
      <c r="D486" s="10" t="s">
        <v>393</v>
      </c>
      <c r="E486" s="40">
        <v>15</v>
      </c>
      <c r="F486" s="40">
        <v>2.2000000000000002</v>
      </c>
      <c r="G486" s="40">
        <v>4</v>
      </c>
      <c r="H486" s="3">
        <f t="shared" si="55"/>
        <v>1.8125</v>
      </c>
      <c r="I486" s="3">
        <f t="shared" si="56"/>
        <v>0.26583333333333337</v>
      </c>
      <c r="J486" s="3">
        <f t="shared" si="57"/>
        <v>0.48333333333333328</v>
      </c>
      <c r="K486" s="3"/>
      <c r="L486" s="4">
        <f t="shared" si="58"/>
        <v>405.29958333333354</v>
      </c>
      <c r="M486" s="40">
        <v>0</v>
      </c>
      <c r="N486" s="40">
        <v>0</v>
      </c>
      <c r="O486" s="40">
        <v>0</v>
      </c>
      <c r="P486" s="40">
        <v>0</v>
      </c>
      <c r="Q486" s="40">
        <v>0</v>
      </c>
      <c r="R486" s="40">
        <v>0</v>
      </c>
      <c r="S486" s="2">
        <f t="shared" si="54"/>
        <v>67.60000000000025</v>
      </c>
      <c r="T486" s="2">
        <v>0</v>
      </c>
      <c r="U486" s="2">
        <v>0</v>
      </c>
      <c r="V486" s="2">
        <v>0</v>
      </c>
      <c r="W486" s="2">
        <v>0</v>
      </c>
      <c r="X486" s="2">
        <f t="shared" si="59"/>
        <v>198</v>
      </c>
      <c r="Z486" s="1"/>
      <c r="AA486" s="1"/>
      <c r="AB486" s="2" t="str">
        <f t="shared" si="60"/>
        <v/>
      </c>
      <c r="AD486" s="121"/>
      <c r="AE486" s="121"/>
    </row>
    <row r="487" spans="1:31" x14ac:dyDescent="0.25">
      <c r="A487" s="2" t="s">
        <v>452</v>
      </c>
      <c r="B487" s="7">
        <v>0.33333333333333331</v>
      </c>
      <c r="C487" s="2">
        <v>18.600000000000001</v>
      </c>
      <c r="D487" s="10" t="s">
        <v>395</v>
      </c>
      <c r="E487" s="40">
        <v>0</v>
      </c>
      <c r="F487" s="40">
        <v>2.2000000000000002</v>
      </c>
      <c r="G487" s="40">
        <v>2</v>
      </c>
      <c r="H487" s="3">
        <f t="shared" si="55"/>
        <v>0</v>
      </c>
      <c r="I487" s="3">
        <f t="shared" si="56"/>
        <v>1.7050000000000003</v>
      </c>
      <c r="J487" s="3">
        <f t="shared" si="57"/>
        <v>1.55</v>
      </c>
      <c r="K487" s="3"/>
      <c r="L487" s="4">
        <f t="shared" si="58"/>
        <v>402.04458333333355</v>
      </c>
      <c r="M487" s="40">
        <v>0</v>
      </c>
      <c r="N487" s="40">
        <v>0</v>
      </c>
      <c r="O487" s="40">
        <v>0.1</v>
      </c>
      <c r="P487" s="40">
        <v>0</v>
      </c>
      <c r="Q487" s="40">
        <v>5</v>
      </c>
      <c r="R487" s="40">
        <v>0</v>
      </c>
      <c r="S487" s="2">
        <f t="shared" si="54"/>
        <v>62.500000000000249</v>
      </c>
      <c r="T487" s="2">
        <v>0</v>
      </c>
      <c r="U487" s="2">
        <v>0</v>
      </c>
      <c r="V487" s="2">
        <v>3</v>
      </c>
      <c r="W487" s="2">
        <v>0</v>
      </c>
      <c r="X487" s="2">
        <f t="shared" si="59"/>
        <v>195</v>
      </c>
      <c r="Z487" s="1"/>
      <c r="AA487" s="1"/>
      <c r="AB487" s="2" t="str">
        <f t="shared" si="60"/>
        <v/>
      </c>
      <c r="AD487" s="121"/>
      <c r="AE487" s="121"/>
    </row>
    <row r="488" spans="1:31" x14ac:dyDescent="0.25">
      <c r="A488" s="2" t="s">
        <v>453</v>
      </c>
      <c r="B488" s="7">
        <v>0.33333333333333331</v>
      </c>
      <c r="C488" s="2">
        <v>24</v>
      </c>
      <c r="D488" s="10" t="s">
        <v>395</v>
      </c>
      <c r="E488" s="40">
        <v>0</v>
      </c>
      <c r="F488" s="40">
        <v>2.2000000000000002</v>
      </c>
      <c r="G488" s="40">
        <v>2</v>
      </c>
      <c r="H488" s="3">
        <f t="shared" si="55"/>
        <v>0</v>
      </c>
      <c r="I488" s="3">
        <f t="shared" si="56"/>
        <v>2.2000000000000002</v>
      </c>
      <c r="J488" s="3">
        <f t="shared" si="57"/>
        <v>2</v>
      </c>
      <c r="K488" s="3"/>
      <c r="L488" s="4">
        <f t="shared" si="58"/>
        <v>397.84458333333356</v>
      </c>
      <c r="M488" s="40">
        <v>0</v>
      </c>
      <c r="N488" s="40">
        <v>0</v>
      </c>
      <c r="O488" s="40">
        <v>0.1</v>
      </c>
      <c r="P488" s="40">
        <v>0</v>
      </c>
      <c r="Q488" s="40">
        <v>2</v>
      </c>
      <c r="R488" s="40">
        <v>0</v>
      </c>
      <c r="S488" s="2">
        <f t="shared" si="54"/>
        <v>60.400000000000247</v>
      </c>
      <c r="T488" s="2">
        <v>0</v>
      </c>
      <c r="U488" s="2">
        <v>0</v>
      </c>
      <c r="V488" s="2">
        <v>4</v>
      </c>
      <c r="W488" s="2">
        <v>0</v>
      </c>
      <c r="X488" s="2">
        <f t="shared" si="59"/>
        <v>191</v>
      </c>
      <c r="Z488" s="1"/>
      <c r="AA488" s="1"/>
      <c r="AB488" s="2" t="str">
        <f t="shared" si="60"/>
        <v/>
      </c>
      <c r="AD488" s="121"/>
      <c r="AE488" s="121"/>
    </row>
    <row r="489" spans="1:31" x14ac:dyDescent="0.25">
      <c r="A489" s="2" t="s">
        <v>454</v>
      </c>
      <c r="B489" s="7">
        <v>8.3333333333333332E-3</v>
      </c>
      <c r="C489" s="2">
        <v>16.2</v>
      </c>
      <c r="D489" s="10" t="s">
        <v>397</v>
      </c>
      <c r="E489" s="40">
        <v>0</v>
      </c>
      <c r="F489" s="40">
        <v>2.2000000000000002</v>
      </c>
      <c r="G489" s="40">
        <v>2</v>
      </c>
      <c r="H489" s="3">
        <f t="shared" si="55"/>
        <v>0</v>
      </c>
      <c r="I489" s="3">
        <f t="shared" si="56"/>
        <v>1.4850000000000001</v>
      </c>
      <c r="J489" s="3">
        <f t="shared" si="57"/>
        <v>1.3499999999999999</v>
      </c>
      <c r="K489" s="3"/>
      <c r="L489" s="4">
        <f t="shared" si="58"/>
        <v>395.00958333333358</v>
      </c>
      <c r="M489" s="40">
        <v>0</v>
      </c>
      <c r="N489" s="40">
        <v>0</v>
      </c>
      <c r="O489" s="40">
        <v>0</v>
      </c>
      <c r="P489" s="40">
        <v>0</v>
      </c>
      <c r="Q489" s="40">
        <v>0</v>
      </c>
      <c r="R489" s="40">
        <v>0</v>
      </c>
      <c r="S489" s="2">
        <f t="shared" si="54"/>
        <v>60.400000000000247</v>
      </c>
      <c r="T489" s="2">
        <v>0</v>
      </c>
      <c r="U489" s="2">
        <v>0</v>
      </c>
      <c r="V489" s="2">
        <v>2</v>
      </c>
      <c r="W489" s="2">
        <v>0</v>
      </c>
      <c r="X489" s="2">
        <f t="shared" si="59"/>
        <v>189</v>
      </c>
      <c r="Z489" s="1"/>
      <c r="AA489" s="1"/>
      <c r="AB489" s="2" t="str">
        <f t="shared" si="60"/>
        <v/>
      </c>
      <c r="AD489" s="121"/>
      <c r="AE489" s="121"/>
    </row>
    <row r="490" spans="1:31" x14ac:dyDescent="0.25">
      <c r="A490" s="2" t="s">
        <v>454</v>
      </c>
      <c r="B490" s="7">
        <v>8.7500000000000008E-2</v>
      </c>
      <c r="C490" s="2">
        <v>1.9</v>
      </c>
      <c r="D490" s="10" t="s">
        <v>236</v>
      </c>
      <c r="E490" s="40">
        <v>15</v>
      </c>
      <c r="F490" s="40">
        <v>2.2000000000000002</v>
      </c>
      <c r="G490" s="40">
        <v>2</v>
      </c>
      <c r="H490" s="3">
        <f t="shared" si="55"/>
        <v>1.1875</v>
      </c>
      <c r="I490" s="3">
        <f t="shared" si="56"/>
        <v>0.17416666666666666</v>
      </c>
      <c r="J490" s="3">
        <f t="shared" si="57"/>
        <v>0.15833333333333333</v>
      </c>
      <c r="K490" s="3"/>
      <c r="L490" s="4">
        <f t="shared" si="58"/>
        <v>393.4895833333336</v>
      </c>
      <c r="M490" s="40">
        <v>0</v>
      </c>
      <c r="N490" s="40">
        <v>0</v>
      </c>
      <c r="O490" s="40">
        <v>0</v>
      </c>
      <c r="P490" s="40">
        <v>0</v>
      </c>
      <c r="Q490" s="40">
        <v>0</v>
      </c>
      <c r="R490" s="40">
        <v>0</v>
      </c>
      <c r="S490" s="2">
        <f t="shared" si="54"/>
        <v>60.400000000000247</v>
      </c>
      <c r="T490" s="2">
        <v>0</v>
      </c>
      <c r="U490" s="2">
        <v>0</v>
      </c>
      <c r="V490" s="2">
        <v>1</v>
      </c>
      <c r="W490" s="2">
        <v>0</v>
      </c>
      <c r="X490" s="2">
        <f t="shared" si="59"/>
        <v>188</v>
      </c>
      <c r="Z490" s="1"/>
      <c r="AA490" s="1"/>
      <c r="AB490" s="2" t="str">
        <f t="shared" si="60"/>
        <v/>
      </c>
      <c r="AD490" s="121"/>
      <c r="AE490" s="121"/>
    </row>
    <row r="491" spans="1:31" x14ac:dyDescent="0.25">
      <c r="A491" s="2" t="s">
        <v>454</v>
      </c>
      <c r="B491" s="7">
        <v>0.33333333333333331</v>
      </c>
      <c r="C491" s="2">
        <v>5.9</v>
      </c>
      <c r="D491" s="10" t="s">
        <v>455</v>
      </c>
      <c r="E491" s="40">
        <v>0</v>
      </c>
      <c r="F491" s="40">
        <v>2.2999999999999998</v>
      </c>
      <c r="G491" s="40">
        <v>2</v>
      </c>
      <c r="H491" s="3">
        <f t="shared" si="55"/>
        <v>0</v>
      </c>
      <c r="I491" s="3">
        <f t="shared" si="56"/>
        <v>0.56541666666666668</v>
      </c>
      <c r="J491" s="3">
        <f t="shared" si="57"/>
        <v>0.4916666666666667</v>
      </c>
      <c r="K491" s="3"/>
      <c r="L491" s="4">
        <f t="shared" si="58"/>
        <v>392.43250000000029</v>
      </c>
      <c r="M491" s="40">
        <v>0</v>
      </c>
      <c r="N491" s="40">
        <v>0</v>
      </c>
      <c r="O491" s="40">
        <v>0</v>
      </c>
      <c r="P491" s="40">
        <v>0</v>
      </c>
      <c r="Q491" s="40">
        <v>0</v>
      </c>
      <c r="R491" s="40">
        <v>0</v>
      </c>
      <c r="S491" s="2">
        <f t="shared" si="54"/>
        <v>60.400000000000247</v>
      </c>
      <c r="T491" s="2">
        <v>0</v>
      </c>
      <c r="U491" s="2">
        <v>0</v>
      </c>
      <c r="V491" s="2">
        <v>1</v>
      </c>
      <c r="W491" s="2">
        <v>0</v>
      </c>
      <c r="X491" s="2">
        <f t="shared" si="59"/>
        <v>187</v>
      </c>
      <c r="Z491" s="1"/>
      <c r="AA491" s="1"/>
      <c r="AB491" s="2" t="str">
        <f t="shared" si="60"/>
        <v/>
      </c>
      <c r="AD491" s="121"/>
      <c r="AE491" s="121"/>
    </row>
    <row r="492" spans="1:31" x14ac:dyDescent="0.25">
      <c r="A492" s="2" t="s">
        <v>458</v>
      </c>
      <c r="B492" s="7">
        <v>0.33333333333333331</v>
      </c>
      <c r="C492" s="2">
        <v>24</v>
      </c>
      <c r="D492" s="10" t="s">
        <v>236</v>
      </c>
      <c r="E492" s="40">
        <v>0</v>
      </c>
      <c r="F492" s="40">
        <v>2.5</v>
      </c>
      <c r="G492" s="40">
        <v>2</v>
      </c>
      <c r="H492" s="3">
        <f t="shared" si="55"/>
        <v>0</v>
      </c>
      <c r="I492" s="3">
        <f t="shared" si="56"/>
        <v>2.5</v>
      </c>
      <c r="J492" s="3">
        <f t="shared" si="57"/>
        <v>2</v>
      </c>
      <c r="K492" s="3"/>
      <c r="L492" s="4">
        <f t="shared" si="58"/>
        <v>387.93250000000029</v>
      </c>
      <c r="M492" s="40">
        <v>0</v>
      </c>
      <c r="N492" s="40">
        <v>0</v>
      </c>
      <c r="O492" s="40">
        <v>0</v>
      </c>
      <c r="P492" s="40">
        <v>0</v>
      </c>
      <c r="Q492" s="40">
        <v>0</v>
      </c>
      <c r="R492" s="40">
        <v>0</v>
      </c>
      <c r="S492" s="2">
        <f t="shared" si="54"/>
        <v>60.400000000000247</v>
      </c>
      <c r="T492" s="2">
        <v>0</v>
      </c>
      <c r="U492" s="2">
        <v>0</v>
      </c>
      <c r="V492" s="2">
        <v>4</v>
      </c>
      <c r="W492" s="2">
        <v>0</v>
      </c>
      <c r="X492" s="2">
        <f t="shared" si="59"/>
        <v>183</v>
      </c>
      <c r="Z492" s="1"/>
      <c r="AA492" s="1"/>
      <c r="AB492" s="2" t="str">
        <f t="shared" si="60"/>
        <v/>
      </c>
      <c r="AD492" s="121"/>
      <c r="AE492" s="121"/>
    </row>
    <row r="493" spans="1:31" x14ac:dyDescent="0.25">
      <c r="A493" s="2" t="s">
        <v>458</v>
      </c>
      <c r="B493" s="7">
        <v>0.75416666666666676</v>
      </c>
      <c r="C493" s="2">
        <v>10.1</v>
      </c>
      <c r="D493" s="10" t="s">
        <v>457</v>
      </c>
      <c r="E493" s="40">
        <v>0</v>
      </c>
      <c r="F493" s="40">
        <v>2.5</v>
      </c>
      <c r="G493" s="40">
        <v>2</v>
      </c>
      <c r="H493" s="3">
        <f t="shared" si="55"/>
        <v>0</v>
      </c>
      <c r="I493" s="3">
        <f t="shared" si="56"/>
        <v>1.0520833333333333</v>
      </c>
      <c r="J493" s="3">
        <f t="shared" si="57"/>
        <v>0.84166666666666656</v>
      </c>
      <c r="K493" s="3"/>
      <c r="L493" s="4">
        <f t="shared" si="58"/>
        <v>386.03875000000028</v>
      </c>
      <c r="M493" s="40">
        <v>0</v>
      </c>
      <c r="N493" s="40">
        <v>0</v>
      </c>
      <c r="O493" s="40">
        <v>0</v>
      </c>
      <c r="P493" s="40">
        <v>0</v>
      </c>
      <c r="Q493" s="40">
        <v>0</v>
      </c>
      <c r="R493" s="40">
        <v>0</v>
      </c>
      <c r="S493" s="2">
        <f t="shared" si="54"/>
        <v>60.400000000000247</v>
      </c>
      <c r="T493" s="2">
        <v>0</v>
      </c>
      <c r="U493" s="2">
        <v>0</v>
      </c>
      <c r="V493" s="2">
        <v>2</v>
      </c>
      <c r="W493" s="2">
        <v>0</v>
      </c>
      <c r="X493" s="2">
        <f t="shared" si="59"/>
        <v>181</v>
      </c>
      <c r="Z493" s="1"/>
      <c r="AA493" s="1"/>
      <c r="AB493" s="2" t="str">
        <f t="shared" si="60"/>
        <v/>
      </c>
      <c r="AD493" s="121"/>
      <c r="AE493" s="121"/>
    </row>
    <row r="494" spans="1:31" x14ac:dyDescent="0.25">
      <c r="A494" s="2" t="s">
        <v>458</v>
      </c>
      <c r="B494" s="7" t="s">
        <v>459</v>
      </c>
      <c r="C494" s="2">
        <v>3.3</v>
      </c>
      <c r="D494" s="10" t="s">
        <v>395</v>
      </c>
      <c r="E494" s="40">
        <v>15</v>
      </c>
      <c r="F494" s="40">
        <v>2.5</v>
      </c>
      <c r="G494" s="40">
        <v>2</v>
      </c>
      <c r="H494" s="3">
        <f t="shared" si="55"/>
        <v>2.0625</v>
      </c>
      <c r="I494" s="3">
        <f t="shared" si="56"/>
        <v>0.34375</v>
      </c>
      <c r="J494" s="3">
        <f t="shared" si="57"/>
        <v>0.27499999999999997</v>
      </c>
      <c r="K494" s="3"/>
      <c r="L494" s="4">
        <f t="shared" si="58"/>
        <v>383.3575000000003</v>
      </c>
      <c r="M494" s="40">
        <v>0</v>
      </c>
      <c r="N494" s="40">
        <v>0</v>
      </c>
      <c r="O494" s="40">
        <v>0</v>
      </c>
      <c r="P494" s="40">
        <v>0</v>
      </c>
      <c r="Q494" s="40">
        <v>0</v>
      </c>
      <c r="R494" s="40">
        <v>0</v>
      </c>
      <c r="S494" s="2">
        <f t="shared" si="54"/>
        <v>60.400000000000247</v>
      </c>
      <c r="T494" s="2">
        <v>0</v>
      </c>
      <c r="U494" s="2">
        <v>0</v>
      </c>
      <c r="V494" s="2">
        <v>0</v>
      </c>
      <c r="W494" s="2">
        <v>0</v>
      </c>
      <c r="X494" s="2">
        <f t="shared" si="59"/>
        <v>181</v>
      </c>
      <c r="Z494" s="1"/>
      <c r="AA494" s="1"/>
      <c r="AB494" s="2" t="str">
        <f t="shared" si="60"/>
        <v/>
      </c>
      <c r="AD494" s="121"/>
      <c r="AE494" s="121"/>
    </row>
    <row r="495" spans="1:31" x14ac:dyDescent="0.25">
      <c r="A495" s="2" t="s">
        <v>456</v>
      </c>
      <c r="B495" s="7">
        <v>0.33333333333333331</v>
      </c>
      <c r="C495" s="2">
        <v>10.6</v>
      </c>
      <c r="D495" s="10" t="s">
        <v>395</v>
      </c>
      <c r="E495" s="40">
        <v>0</v>
      </c>
      <c r="F495" s="40">
        <v>2.5</v>
      </c>
      <c r="G495" s="40">
        <v>2</v>
      </c>
      <c r="H495" s="3">
        <f t="shared" si="55"/>
        <v>0</v>
      </c>
      <c r="I495" s="3">
        <f t="shared" si="56"/>
        <v>1.1041666666666667</v>
      </c>
      <c r="J495" s="3">
        <f t="shared" si="57"/>
        <v>0.8833333333333333</v>
      </c>
      <c r="K495" s="3"/>
      <c r="L495" s="4">
        <f t="shared" si="58"/>
        <v>381.37000000000029</v>
      </c>
      <c r="M495" s="40">
        <v>0</v>
      </c>
      <c r="N495" s="40">
        <v>0</v>
      </c>
      <c r="O495" s="40">
        <v>0</v>
      </c>
      <c r="P495" s="40">
        <v>0</v>
      </c>
      <c r="Q495" s="40">
        <v>0</v>
      </c>
      <c r="R495" s="40">
        <v>0</v>
      </c>
      <c r="S495" s="2">
        <f t="shared" si="54"/>
        <v>60.400000000000247</v>
      </c>
      <c r="T495" s="2">
        <v>0</v>
      </c>
      <c r="U495" s="2">
        <v>0</v>
      </c>
      <c r="V495" s="2">
        <v>2</v>
      </c>
      <c r="W495" s="2">
        <v>0</v>
      </c>
      <c r="X495" s="2">
        <f t="shared" si="59"/>
        <v>179</v>
      </c>
      <c r="Z495" s="1"/>
      <c r="AA495" s="1"/>
      <c r="AB495" s="2" t="str">
        <f t="shared" si="60"/>
        <v/>
      </c>
      <c r="AD495" s="121"/>
      <c r="AE495" s="121"/>
    </row>
    <row r="496" spans="1:31" x14ac:dyDescent="0.25">
      <c r="A496" s="2" t="s">
        <v>460</v>
      </c>
      <c r="B496" s="7">
        <v>0.13333333333333333</v>
      </c>
      <c r="C496" s="2">
        <v>19.2</v>
      </c>
      <c r="D496" s="10" t="s">
        <v>381</v>
      </c>
      <c r="E496" s="40">
        <v>0</v>
      </c>
      <c r="F496" s="40">
        <v>2.5</v>
      </c>
      <c r="G496" s="40">
        <v>2</v>
      </c>
      <c r="H496" s="3">
        <f t="shared" si="55"/>
        <v>0</v>
      </c>
      <c r="I496" s="3">
        <f t="shared" si="56"/>
        <v>2</v>
      </c>
      <c r="J496" s="3">
        <f t="shared" si="57"/>
        <v>1.5999999999999999</v>
      </c>
      <c r="K496" s="3"/>
      <c r="L496" s="4">
        <f t="shared" si="58"/>
        <v>377.77000000000027</v>
      </c>
      <c r="M496" s="40">
        <v>0</v>
      </c>
      <c r="N496" s="40">
        <v>0</v>
      </c>
      <c r="O496" s="40">
        <v>0</v>
      </c>
      <c r="P496" s="40">
        <v>0</v>
      </c>
      <c r="Q496" s="40">
        <v>0</v>
      </c>
      <c r="R496" s="40">
        <v>0</v>
      </c>
      <c r="S496" s="2">
        <f t="shared" si="54"/>
        <v>60.400000000000247</v>
      </c>
      <c r="T496" s="2">
        <v>0</v>
      </c>
      <c r="U496" s="2">
        <v>0</v>
      </c>
      <c r="V496" s="2">
        <v>3</v>
      </c>
      <c r="W496" s="2">
        <v>0</v>
      </c>
      <c r="X496" s="2">
        <f t="shared" si="59"/>
        <v>176</v>
      </c>
      <c r="Z496" s="1"/>
      <c r="AA496" s="1"/>
      <c r="AB496" s="2" t="str">
        <f t="shared" si="60"/>
        <v/>
      </c>
      <c r="AD496" s="121"/>
      <c r="AE496" s="121"/>
    </row>
    <row r="497" spans="1:31" x14ac:dyDescent="0.25">
      <c r="A497" s="2" t="s">
        <v>460</v>
      </c>
      <c r="B497" s="7">
        <v>0.20833333333333334</v>
      </c>
      <c r="C497" s="2">
        <v>1.8</v>
      </c>
      <c r="D497" s="38" t="s">
        <v>406</v>
      </c>
      <c r="E497" s="40">
        <v>20</v>
      </c>
      <c r="F497" s="40">
        <v>2.5</v>
      </c>
      <c r="G497" s="40">
        <v>2</v>
      </c>
      <c r="H497" s="3">
        <f t="shared" si="55"/>
        <v>1.5</v>
      </c>
      <c r="I497" s="3">
        <f t="shared" si="56"/>
        <v>0.1875</v>
      </c>
      <c r="J497" s="3">
        <f t="shared" si="57"/>
        <v>0.15</v>
      </c>
      <c r="K497" s="3"/>
      <c r="L497" s="4">
        <f t="shared" si="58"/>
        <v>375.93250000000029</v>
      </c>
      <c r="M497" s="40">
        <v>0</v>
      </c>
      <c r="N497" s="40">
        <v>0</v>
      </c>
      <c r="O497" s="40">
        <v>0</v>
      </c>
      <c r="P497" s="40">
        <v>0</v>
      </c>
      <c r="Q497" s="40">
        <v>0</v>
      </c>
      <c r="R497" s="40">
        <v>0</v>
      </c>
      <c r="S497" s="2">
        <f t="shared" si="54"/>
        <v>60.400000000000247</v>
      </c>
      <c r="T497" s="2">
        <v>0</v>
      </c>
      <c r="U497" s="2">
        <v>0</v>
      </c>
      <c r="V497" s="2">
        <v>0</v>
      </c>
      <c r="W497" s="2">
        <v>0</v>
      </c>
      <c r="X497" s="2">
        <f t="shared" si="59"/>
        <v>176</v>
      </c>
      <c r="Z497" s="1"/>
      <c r="AA497" s="1"/>
      <c r="AB497" s="2" t="str">
        <f t="shared" si="60"/>
        <v/>
      </c>
      <c r="AD497" s="121"/>
      <c r="AE497" s="121"/>
    </row>
    <row r="498" spans="1:31" x14ac:dyDescent="0.25">
      <c r="A498" s="2" t="s">
        <v>460</v>
      </c>
      <c r="B498" s="7">
        <v>0.35416666666666669</v>
      </c>
      <c r="C498" s="2">
        <v>3.5</v>
      </c>
      <c r="D498" s="10" t="s">
        <v>355</v>
      </c>
      <c r="E498" s="40">
        <v>0</v>
      </c>
      <c r="F498" s="40">
        <v>2.5</v>
      </c>
      <c r="G498" s="40">
        <v>2</v>
      </c>
      <c r="H498" s="3">
        <f t="shared" si="55"/>
        <v>0</v>
      </c>
      <c r="I498" s="3">
        <f t="shared" si="56"/>
        <v>0.36458333333333337</v>
      </c>
      <c r="J498" s="3">
        <f t="shared" si="57"/>
        <v>0.29166666666666663</v>
      </c>
      <c r="K498" s="3"/>
      <c r="L498" s="4">
        <f t="shared" si="58"/>
        <v>375.27625000000029</v>
      </c>
      <c r="M498" s="40">
        <v>0</v>
      </c>
      <c r="N498" s="40">
        <v>0</v>
      </c>
      <c r="O498" s="40">
        <v>0</v>
      </c>
      <c r="P498" s="40">
        <v>0</v>
      </c>
      <c r="Q498" s="40">
        <v>0</v>
      </c>
      <c r="R498" s="40">
        <v>0</v>
      </c>
      <c r="S498" s="2">
        <f t="shared" si="54"/>
        <v>60.400000000000247</v>
      </c>
      <c r="T498" s="2">
        <v>0</v>
      </c>
      <c r="U498" s="2">
        <v>0</v>
      </c>
      <c r="V498" s="2">
        <v>1</v>
      </c>
      <c r="W498" s="2">
        <v>0</v>
      </c>
      <c r="X498" s="2">
        <f t="shared" si="59"/>
        <v>175</v>
      </c>
      <c r="Z498" s="1">
        <v>42</v>
      </c>
      <c r="AA498" s="1">
        <v>137</v>
      </c>
      <c r="AB498" s="2">
        <f t="shared" si="60"/>
        <v>179</v>
      </c>
      <c r="AD498" s="121"/>
      <c r="AE498" s="121"/>
    </row>
    <row r="499" spans="1:31" x14ac:dyDescent="0.25">
      <c r="A499" s="2" t="s">
        <v>461</v>
      </c>
      <c r="B499" s="7">
        <v>0.33333333333333331</v>
      </c>
      <c r="C499" s="2">
        <v>23.5</v>
      </c>
      <c r="D499" s="10" t="s">
        <v>355</v>
      </c>
      <c r="E499" s="40">
        <v>25</v>
      </c>
      <c r="F499" s="40">
        <v>2.5</v>
      </c>
      <c r="G499" s="40">
        <v>0</v>
      </c>
      <c r="H499" s="3">
        <f t="shared" si="55"/>
        <v>24.479166666666668</v>
      </c>
      <c r="I499" s="3">
        <f t="shared" si="56"/>
        <v>2.447916666666667</v>
      </c>
      <c r="J499" s="3">
        <f t="shared" si="57"/>
        <v>0</v>
      </c>
      <c r="K499" s="3"/>
      <c r="L499" s="4">
        <f t="shared" si="58"/>
        <v>348.34916666666697</v>
      </c>
      <c r="M499" s="40">
        <v>0</v>
      </c>
      <c r="N499" s="40">
        <v>0</v>
      </c>
      <c r="O499" s="40">
        <v>0.1</v>
      </c>
      <c r="P499" s="40">
        <v>0</v>
      </c>
      <c r="Q499" s="40">
        <v>0</v>
      </c>
      <c r="R499" s="40">
        <v>0</v>
      </c>
      <c r="S499" s="2">
        <f t="shared" si="54"/>
        <v>60.300000000000246</v>
      </c>
      <c r="T499" s="2">
        <v>4</v>
      </c>
      <c r="U499" s="2">
        <v>0</v>
      </c>
      <c r="V499" s="2">
        <v>4</v>
      </c>
      <c r="W499" s="2">
        <v>2</v>
      </c>
      <c r="X499" s="2">
        <f t="shared" si="59"/>
        <v>173</v>
      </c>
      <c r="Z499" s="1"/>
      <c r="AA499" s="1"/>
      <c r="AB499" s="2" t="str">
        <f t="shared" si="60"/>
        <v/>
      </c>
      <c r="AD499" s="121"/>
      <c r="AE499" s="121"/>
    </row>
    <row r="500" spans="1:31" x14ac:dyDescent="0.25">
      <c r="A500" s="2" t="s">
        <v>461</v>
      </c>
      <c r="B500" s="7">
        <v>0.45833333333333331</v>
      </c>
      <c r="C500" s="2">
        <v>3</v>
      </c>
      <c r="D500" s="10" t="s">
        <v>381</v>
      </c>
      <c r="E500" s="40">
        <v>20</v>
      </c>
      <c r="F500" s="40">
        <v>2.5</v>
      </c>
      <c r="G500" s="40">
        <v>0</v>
      </c>
      <c r="H500" s="3">
        <f t="shared" si="55"/>
        <v>2.5</v>
      </c>
      <c r="I500" s="3">
        <f t="shared" si="56"/>
        <v>0.3125</v>
      </c>
      <c r="J500" s="3">
        <f t="shared" si="57"/>
        <v>0</v>
      </c>
      <c r="K500" s="3"/>
      <c r="L500" s="4">
        <f t="shared" si="58"/>
        <v>345.53666666666697</v>
      </c>
      <c r="M500" s="40">
        <v>0</v>
      </c>
      <c r="N500" s="40">
        <v>0</v>
      </c>
      <c r="O500" s="40">
        <v>0</v>
      </c>
      <c r="P500" s="40">
        <v>0</v>
      </c>
      <c r="Q500" s="40">
        <v>0</v>
      </c>
      <c r="R500" s="40">
        <v>0</v>
      </c>
      <c r="S500" s="2">
        <f t="shared" si="54"/>
        <v>60.300000000000246</v>
      </c>
      <c r="T500" s="2">
        <v>1</v>
      </c>
      <c r="U500" s="2">
        <v>0</v>
      </c>
      <c r="V500" s="2">
        <v>1</v>
      </c>
      <c r="W500" s="2">
        <v>1</v>
      </c>
      <c r="X500" s="2">
        <f t="shared" si="59"/>
        <v>172</v>
      </c>
      <c r="Z500" s="1"/>
      <c r="AA500" s="1"/>
      <c r="AB500" s="2" t="str">
        <f t="shared" si="60"/>
        <v/>
      </c>
      <c r="AD500" s="121">
        <v>12.8</v>
      </c>
      <c r="AE500" s="121" t="s">
        <v>1303</v>
      </c>
    </row>
    <row r="501" spans="1:31" x14ac:dyDescent="0.25">
      <c r="A501" s="2" t="s">
        <v>461</v>
      </c>
      <c r="B501" s="7">
        <v>0.48749999999999999</v>
      </c>
      <c r="C501" s="2">
        <v>0.7</v>
      </c>
      <c r="D501" s="10" t="s">
        <v>416</v>
      </c>
      <c r="E501" s="40">
        <v>10</v>
      </c>
      <c r="F501" s="40">
        <v>2.2000000000000002</v>
      </c>
      <c r="G501" s="40">
        <v>2</v>
      </c>
      <c r="H501" s="3">
        <f t="shared" si="55"/>
        <v>0.29166666666666669</v>
      </c>
      <c r="I501" s="3">
        <f t="shared" si="56"/>
        <v>6.4166666666666664E-2</v>
      </c>
      <c r="J501" s="3">
        <f t="shared" si="57"/>
        <v>5.8333333333333327E-2</v>
      </c>
      <c r="K501" s="3"/>
      <c r="L501" s="4">
        <f t="shared" si="58"/>
        <v>345.12250000000029</v>
      </c>
      <c r="M501" s="40">
        <v>0</v>
      </c>
      <c r="N501" s="40">
        <v>0</v>
      </c>
      <c r="O501" s="40">
        <v>0</v>
      </c>
      <c r="P501" s="40">
        <v>0</v>
      </c>
      <c r="Q501" s="40">
        <v>0</v>
      </c>
      <c r="R501" s="40">
        <v>0</v>
      </c>
      <c r="S501" s="2">
        <f t="shared" si="54"/>
        <v>60.300000000000246</v>
      </c>
      <c r="T501" s="2">
        <v>0</v>
      </c>
      <c r="U501" s="2">
        <v>0</v>
      </c>
      <c r="V501" s="2">
        <v>0</v>
      </c>
      <c r="W501" s="2">
        <v>0</v>
      </c>
      <c r="X501" s="2">
        <f t="shared" si="59"/>
        <v>172</v>
      </c>
      <c r="Z501" s="1"/>
      <c r="AA501" s="1"/>
      <c r="AB501" s="2" t="str">
        <f t="shared" si="60"/>
        <v/>
      </c>
      <c r="AD501" s="121"/>
      <c r="AE501" s="121"/>
    </row>
    <row r="502" spans="1:31" x14ac:dyDescent="0.25">
      <c r="A502" s="2" t="s">
        <v>462</v>
      </c>
      <c r="B502" s="7">
        <v>0.33333333333333331</v>
      </c>
      <c r="C502" s="2">
        <v>20.3</v>
      </c>
      <c r="D502" s="10" t="s">
        <v>416</v>
      </c>
      <c r="E502" s="40">
        <v>0</v>
      </c>
      <c r="F502" s="40">
        <v>2.2000000000000002</v>
      </c>
      <c r="G502" s="40">
        <v>2</v>
      </c>
      <c r="H502" s="3">
        <f t="shared" si="55"/>
        <v>0</v>
      </c>
      <c r="I502" s="3">
        <f t="shared" si="56"/>
        <v>1.8608333333333336</v>
      </c>
      <c r="J502" s="3">
        <f t="shared" si="57"/>
        <v>1.6916666666666667</v>
      </c>
      <c r="K502" s="3"/>
      <c r="L502" s="4">
        <f t="shared" si="58"/>
        <v>341.57000000000028</v>
      </c>
      <c r="M502" s="40">
        <v>0</v>
      </c>
      <c r="N502" s="40">
        <v>0</v>
      </c>
      <c r="O502" s="40">
        <v>0</v>
      </c>
      <c r="P502" s="40">
        <v>0</v>
      </c>
      <c r="Q502" s="40">
        <v>0</v>
      </c>
      <c r="R502" s="40">
        <v>0</v>
      </c>
      <c r="S502" s="2">
        <f t="shared" si="54"/>
        <v>60.300000000000246</v>
      </c>
      <c r="T502" s="2">
        <v>0</v>
      </c>
      <c r="U502" s="2">
        <v>0</v>
      </c>
      <c r="V502" s="2">
        <v>2</v>
      </c>
      <c r="W502" s="2">
        <v>0</v>
      </c>
      <c r="X502" s="2">
        <f t="shared" si="59"/>
        <v>170</v>
      </c>
      <c r="Z502" s="1">
        <v>49</v>
      </c>
      <c r="AA502" s="1">
        <v>122</v>
      </c>
      <c r="AB502" s="2">
        <f t="shared" si="60"/>
        <v>171</v>
      </c>
      <c r="AD502" s="121"/>
      <c r="AE502" s="121"/>
    </row>
    <row r="503" spans="1:31" x14ac:dyDescent="0.25">
      <c r="A503" s="2" t="s">
        <v>463</v>
      </c>
      <c r="B503" s="7">
        <v>0.33333333333333331</v>
      </c>
      <c r="C503" s="2">
        <v>24</v>
      </c>
      <c r="D503" s="10" t="s">
        <v>416</v>
      </c>
      <c r="E503" s="40">
        <v>0</v>
      </c>
      <c r="F503" s="40">
        <v>2.2000000000000002</v>
      </c>
      <c r="G503" s="40">
        <v>2</v>
      </c>
      <c r="H503" s="3">
        <f t="shared" si="55"/>
        <v>0</v>
      </c>
      <c r="I503" s="3">
        <f t="shared" si="56"/>
        <v>2.2000000000000002</v>
      </c>
      <c r="J503" s="3">
        <f t="shared" si="57"/>
        <v>2</v>
      </c>
      <c r="K503" s="3"/>
      <c r="L503" s="4">
        <f t="shared" si="58"/>
        <v>337.37000000000029</v>
      </c>
      <c r="M503" s="40">
        <v>0</v>
      </c>
      <c r="N503" s="40">
        <v>0</v>
      </c>
      <c r="O503" s="40">
        <v>0.1</v>
      </c>
      <c r="P503" s="40">
        <v>0</v>
      </c>
      <c r="Q503" s="40">
        <v>0</v>
      </c>
      <c r="R503" s="40">
        <v>0</v>
      </c>
      <c r="S503" s="2">
        <f t="shared" si="54"/>
        <v>60.200000000000244</v>
      </c>
      <c r="T503" s="2">
        <v>0</v>
      </c>
      <c r="U503" s="2">
        <v>0</v>
      </c>
      <c r="V503" s="2">
        <v>4</v>
      </c>
      <c r="W503" s="2">
        <v>0</v>
      </c>
      <c r="X503" s="2">
        <f t="shared" si="59"/>
        <v>166</v>
      </c>
      <c r="Z503" s="1">
        <v>49</v>
      </c>
      <c r="AA503" s="1">
        <v>119</v>
      </c>
      <c r="AB503" s="2">
        <f t="shared" si="60"/>
        <v>168</v>
      </c>
      <c r="AD503" s="121"/>
      <c r="AE503" s="121"/>
    </row>
    <row r="504" spans="1:31" x14ac:dyDescent="0.25">
      <c r="A504" s="2" t="s">
        <v>464</v>
      </c>
      <c r="B504" s="7">
        <v>0.33333333333333331</v>
      </c>
      <c r="C504" s="2">
        <v>24</v>
      </c>
      <c r="D504" s="10" t="s">
        <v>416</v>
      </c>
      <c r="E504" s="40">
        <v>0</v>
      </c>
      <c r="F504" s="40">
        <v>2.2000000000000002</v>
      </c>
      <c r="G504" s="40">
        <v>2</v>
      </c>
      <c r="H504" s="3">
        <f t="shared" si="55"/>
        <v>0</v>
      </c>
      <c r="I504" s="3">
        <f t="shared" si="56"/>
        <v>2.2000000000000002</v>
      </c>
      <c r="J504" s="3">
        <f t="shared" si="57"/>
        <v>2</v>
      </c>
      <c r="K504" s="3"/>
      <c r="L504" s="4">
        <f t="shared" si="58"/>
        <v>333.1700000000003</v>
      </c>
      <c r="M504" s="40">
        <v>0</v>
      </c>
      <c r="N504" s="40">
        <v>0</v>
      </c>
      <c r="O504" s="40">
        <v>0.1</v>
      </c>
      <c r="P504" s="40">
        <v>0</v>
      </c>
      <c r="Q504" s="40">
        <v>0</v>
      </c>
      <c r="R504" s="40">
        <v>0</v>
      </c>
      <c r="S504" s="2">
        <f t="shared" si="54"/>
        <v>60.100000000000243</v>
      </c>
      <c r="T504" s="2">
        <v>0</v>
      </c>
      <c r="U504" s="2">
        <v>0</v>
      </c>
      <c r="V504" s="2">
        <v>4</v>
      </c>
      <c r="W504" s="2">
        <v>0</v>
      </c>
      <c r="X504" s="2">
        <f t="shared" si="59"/>
        <v>162</v>
      </c>
      <c r="Z504" s="1"/>
      <c r="AA504" s="1"/>
      <c r="AB504" s="2" t="str">
        <f t="shared" si="60"/>
        <v/>
      </c>
      <c r="AD504" s="121"/>
      <c r="AE504" s="121"/>
    </row>
    <row r="505" spans="1:31" x14ac:dyDescent="0.25">
      <c r="A505" s="2" t="s">
        <v>465</v>
      </c>
      <c r="B505" s="7">
        <v>0.33333333333333331</v>
      </c>
      <c r="C505" s="2">
        <v>24</v>
      </c>
      <c r="D505" s="10" t="s">
        <v>416</v>
      </c>
      <c r="E505" s="40">
        <v>0</v>
      </c>
      <c r="F505" s="40">
        <v>2.2000000000000002</v>
      </c>
      <c r="G505" s="40">
        <v>2</v>
      </c>
      <c r="H505" s="3">
        <f t="shared" si="55"/>
        <v>0</v>
      </c>
      <c r="I505" s="3">
        <f t="shared" si="56"/>
        <v>2.2000000000000002</v>
      </c>
      <c r="J505" s="3">
        <f t="shared" si="57"/>
        <v>2</v>
      </c>
      <c r="K505" s="3"/>
      <c r="L505" s="4">
        <f t="shared" si="58"/>
        <v>328.97000000000031</v>
      </c>
      <c r="M505" s="40">
        <v>0</v>
      </c>
      <c r="N505" s="40">
        <v>0</v>
      </c>
      <c r="O505" s="40">
        <v>0.1</v>
      </c>
      <c r="P505" s="40">
        <v>0</v>
      </c>
      <c r="Q505" s="40">
        <v>0</v>
      </c>
      <c r="R505" s="40">
        <v>0</v>
      </c>
      <c r="S505" s="2">
        <f t="shared" si="54"/>
        <v>60.000000000000242</v>
      </c>
      <c r="T505" s="2">
        <v>0</v>
      </c>
      <c r="U505" s="2">
        <v>0</v>
      </c>
      <c r="V505" s="2">
        <v>6</v>
      </c>
      <c r="W505" s="2">
        <v>0</v>
      </c>
      <c r="X505" s="2">
        <f t="shared" si="59"/>
        <v>156</v>
      </c>
      <c r="Z505" s="1">
        <v>49</v>
      </c>
      <c r="AA505" s="1">
        <v>108</v>
      </c>
      <c r="AB505" s="2">
        <f t="shared" si="60"/>
        <v>157</v>
      </c>
      <c r="AD505" s="121"/>
      <c r="AE505" s="121"/>
    </row>
    <row r="506" spans="1:31" x14ac:dyDescent="0.25">
      <c r="A506" s="2" t="s">
        <v>466</v>
      </c>
      <c r="B506" s="7">
        <v>0.33333333333333331</v>
      </c>
      <c r="C506" s="2">
        <v>24</v>
      </c>
      <c r="D506" s="10" t="s">
        <v>416</v>
      </c>
      <c r="E506" s="40">
        <v>0</v>
      </c>
      <c r="F506" s="40">
        <v>2.2000000000000002</v>
      </c>
      <c r="G506" s="40">
        <v>2</v>
      </c>
      <c r="H506" s="3">
        <f t="shared" si="55"/>
        <v>0</v>
      </c>
      <c r="I506" s="3">
        <f t="shared" si="56"/>
        <v>2.2000000000000002</v>
      </c>
      <c r="J506" s="3">
        <f t="shared" si="57"/>
        <v>2</v>
      </c>
      <c r="K506" s="3"/>
      <c r="L506" s="4">
        <f t="shared" si="58"/>
        <v>324.77000000000032</v>
      </c>
      <c r="M506" s="40">
        <v>0</v>
      </c>
      <c r="N506" s="40">
        <v>0</v>
      </c>
      <c r="O506" s="40">
        <v>0.1</v>
      </c>
      <c r="P506" s="40">
        <v>0</v>
      </c>
      <c r="Q506" s="40">
        <v>0</v>
      </c>
      <c r="R506" s="40">
        <v>0</v>
      </c>
      <c r="S506" s="2">
        <f t="shared" si="54"/>
        <v>59.90000000000024</v>
      </c>
      <c r="T506" s="2">
        <v>0</v>
      </c>
      <c r="U506" s="2">
        <v>0</v>
      </c>
      <c r="V506" s="2">
        <v>6</v>
      </c>
      <c r="W506" s="2">
        <v>0</v>
      </c>
      <c r="X506" s="2">
        <f t="shared" si="59"/>
        <v>150</v>
      </c>
      <c r="Z506" s="1">
        <v>49</v>
      </c>
      <c r="AA506" s="1">
        <v>101</v>
      </c>
      <c r="AB506" s="2">
        <f t="shared" si="60"/>
        <v>150</v>
      </c>
      <c r="AD506" s="121"/>
      <c r="AE506" s="121"/>
    </row>
    <row r="507" spans="1:31" x14ac:dyDescent="0.25">
      <c r="A507" s="2" t="s">
        <v>467</v>
      </c>
      <c r="B507" s="7">
        <v>0.33333333333333331</v>
      </c>
      <c r="C507" s="2">
        <v>24</v>
      </c>
      <c r="D507" s="10" t="s">
        <v>416</v>
      </c>
      <c r="E507" s="40">
        <v>0</v>
      </c>
      <c r="F507" s="40">
        <v>2.5</v>
      </c>
      <c r="G507" s="40">
        <v>2</v>
      </c>
      <c r="H507" s="3">
        <f t="shared" si="55"/>
        <v>0</v>
      </c>
      <c r="I507" s="3">
        <f t="shared" si="56"/>
        <v>2.5</v>
      </c>
      <c r="J507" s="3">
        <f t="shared" si="57"/>
        <v>2</v>
      </c>
      <c r="K507" s="3"/>
      <c r="L507" s="4">
        <f t="shared" si="58"/>
        <v>320.27000000000032</v>
      </c>
      <c r="M507" s="40">
        <v>0</v>
      </c>
      <c r="N507" s="40">
        <v>0</v>
      </c>
      <c r="O507" s="40">
        <v>0.1</v>
      </c>
      <c r="P507" s="40">
        <v>0</v>
      </c>
      <c r="Q507" s="40">
        <v>0</v>
      </c>
      <c r="R507" s="40">
        <v>0</v>
      </c>
      <c r="S507" s="2">
        <f t="shared" si="54"/>
        <v>59.800000000000239</v>
      </c>
      <c r="T507" s="2">
        <v>0</v>
      </c>
      <c r="U507" s="2">
        <v>0</v>
      </c>
      <c r="V507" s="2">
        <v>4</v>
      </c>
      <c r="W507" s="2">
        <v>0</v>
      </c>
      <c r="X507" s="2">
        <f t="shared" si="59"/>
        <v>146</v>
      </c>
      <c r="Z507" s="1"/>
      <c r="AA507" s="1"/>
      <c r="AB507" s="2" t="str">
        <f t="shared" si="60"/>
        <v/>
      </c>
      <c r="AD507" s="121"/>
      <c r="AE507" s="121"/>
    </row>
    <row r="508" spans="1:31" x14ac:dyDescent="0.25">
      <c r="A508" s="2" t="s">
        <v>468</v>
      </c>
      <c r="B508" s="7">
        <v>0.33333333333333331</v>
      </c>
      <c r="C508" s="2">
        <v>24</v>
      </c>
      <c r="D508" s="10" t="s">
        <v>416</v>
      </c>
      <c r="E508" s="40">
        <v>0</v>
      </c>
      <c r="F508" s="40">
        <v>2.2000000000000002</v>
      </c>
      <c r="G508" s="40">
        <v>2</v>
      </c>
      <c r="H508" s="3">
        <f t="shared" si="55"/>
        <v>0</v>
      </c>
      <c r="I508" s="3">
        <f t="shared" si="56"/>
        <v>2.2000000000000002</v>
      </c>
      <c r="J508" s="3">
        <f t="shared" si="57"/>
        <v>2</v>
      </c>
      <c r="K508" s="3"/>
      <c r="L508" s="4">
        <f t="shared" si="58"/>
        <v>316.07000000000033</v>
      </c>
      <c r="M508" s="40">
        <v>0</v>
      </c>
      <c r="N508" s="40">
        <v>0</v>
      </c>
      <c r="O508" s="40">
        <v>0.1</v>
      </c>
      <c r="P508" s="40">
        <v>0</v>
      </c>
      <c r="Q508" s="40">
        <v>0</v>
      </c>
      <c r="R508" s="40">
        <v>0</v>
      </c>
      <c r="S508" s="2">
        <f t="shared" si="54"/>
        <v>59.700000000000237</v>
      </c>
      <c r="T508" s="2">
        <v>0</v>
      </c>
      <c r="U508" s="2">
        <v>0</v>
      </c>
      <c r="V508" s="2">
        <v>4</v>
      </c>
      <c r="W508" s="2">
        <v>2</v>
      </c>
      <c r="X508" s="2">
        <f t="shared" si="59"/>
        <v>140</v>
      </c>
      <c r="Z508" s="1"/>
      <c r="AA508" s="1"/>
      <c r="AB508" s="2" t="str">
        <f t="shared" si="60"/>
        <v/>
      </c>
      <c r="AD508" s="121"/>
      <c r="AE508" s="121"/>
    </row>
    <row r="509" spans="1:31" x14ac:dyDescent="0.25">
      <c r="A509" s="2" t="s">
        <v>469</v>
      </c>
      <c r="B509" s="7">
        <v>0.33333333333333331</v>
      </c>
      <c r="C509" s="2">
        <v>24</v>
      </c>
      <c r="D509" s="10" t="s">
        <v>416</v>
      </c>
      <c r="E509" s="40">
        <v>0</v>
      </c>
      <c r="F509" s="40">
        <v>2.2000000000000002</v>
      </c>
      <c r="G509" s="40">
        <v>1</v>
      </c>
      <c r="H509" s="3">
        <f t="shared" si="55"/>
        <v>0</v>
      </c>
      <c r="I509" s="3">
        <f t="shared" si="56"/>
        <v>2.2000000000000002</v>
      </c>
      <c r="J509" s="3">
        <f t="shared" si="57"/>
        <v>1</v>
      </c>
      <c r="K509" s="3"/>
      <c r="L509" s="4">
        <f t="shared" si="58"/>
        <v>312.87000000000035</v>
      </c>
      <c r="M509" s="40">
        <v>0</v>
      </c>
      <c r="N509" s="40">
        <v>0</v>
      </c>
      <c r="O509" s="40">
        <v>0.5</v>
      </c>
      <c r="P509" s="40">
        <v>0</v>
      </c>
      <c r="Q509" s="40">
        <v>0</v>
      </c>
      <c r="R509" s="40">
        <v>0</v>
      </c>
      <c r="S509" s="2">
        <f t="shared" si="54"/>
        <v>59.200000000000237</v>
      </c>
      <c r="T509" s="2">
        <v>0</v>
      </c>
      <c r="U509" s="2">
        <v>0</v>
      </c>
      <c r="V509" s="2">
        <v>4</v>
      </c>
      <c r="W509" s="2">
        <v>0</v>
      </c>
      <c r="X509" s="2">
        <f t="shared" si="59"/>
        <v>136</v>
      </c>
      <c r="Z509" s="1"/>
      <c r="AA509" s="1"/>
      <c r="AB509" s="2" t="str">
        <f t="shared" si="60"/>
        <v/>
      </c>
      <c r="AD509" s="121"/>
      <c r="AE509" s="121"/>
    </row>
    <row r="510" spans="1:31" x14ac:dyDescent="0.25">
      <c r="A510" s="2" t="s">
        <v>470</v>
      </c>
      <c r="B510" s="7">
        <v>0.33333333333333331</v>
      </c>
      <c r="C510" s="2">
        <v>24</v>
      </c>
      <c r="D510" s="10" t="s">
        <v>416</v>
      </c>
      <c r="E510" s="40">
        <v>0</v>
      </c>
      <c r="F510" s="40">
        <v>2.2000000000000002</v>
      </c>
      <c r="G510" s="40">
        <v>1</v>
      </c>
      <c r="H510" s="3">
        <f t="shared" si="55"/>
        <v>0</v>
      </c>
      <c r="I510" s="3">
        <f t="shared" si="56"/>
        <v>2.2000000000000002</v>
      </c>
      <c r="J510" s="3">
        <f t="shared" si="57"/>
        <v>1</v>
      </c>
      <c r="K510" s="3"/>
      <c r="L510" s="4">
        <f t="shared" si="58"/>
        <v>309.67000000000036</v>
      </c>
      <c r="M510" s="40">
        <v>0</v>
      </c>
      <c r="N510" s="40">
        <v>0</v>
      </c>
      <c r="O510" s="40">
        <v>0.1</v>
      </c>
      <c r="P510" s="40">
        <v>0</v>
      </c>
      <c r="Q510" s="40">
        <v>0</v>
      </c>
      <c r="R510" s="40">
        <v>0</v>
      </c>
      <c r="S510" s="2">
        <f t="shared" si="54"/>
        <v>59.100000000000236</v>
      </c>
      <c r="T510" s="2">
        <v>0</v>
      </c>
      <c r="U510" s="2">
        <v>0</v>
      </c>
      <c r="V510" s="2">
        <v>4</v>
      </c>
      <c r="W510" s="2">
        <v>0</v>
      </c>
      <c r="X510" s="2">
        <f t="shared" si="59"/>
        <v>132</v>
      </c>
      <c r="Z510" s="1"/>
      <c r="AA510" s="1"/>
      <c r="AB510" s="2" t="str">
        <f t="shared" si="60"/>
        <v/>
      </c>
      <c r="AD510" s="121"/>
      <c r="AE510" s="121"/>
    </row>
    <row r="511" spans="1:31" x14ac:dyDescent="0.25">
      <c r="A511" s="2" t="s">
        <v>470</v>
      </c>
      <c r="B511" s="7">
        <v>0.78333333333333333</v>
      </c>
      <c r="C511" s="2">
        <v>10.8</v>
      </c>
      <c r="D511" s="10" t="s">
        <v>381</v>
      </c>
      <c r="E511" s="40">
        <v>0</v>
      </c>
      <c r="F511" s="40">
        <v>2.2000000000000002</v>
      </c>
      <c r="G511" s="40">
        <v>2</v>
      </c>
      <c r="H511" s="3">
        <f t="shared" si="55"/>
        <v>0</v>
      </c>
      <c r="I511" s="3">
        <f t="shared" si="56"/>
        <v>0.9900000000000001</v>
      </c>
      <c r="J511" s="3">
        <f t="shared" si="57"/>
        <v>0.9</v>
      </c>
      <c r="K511" s="3"/>
      <c r="L511" s="4">
        <f t="shared" si="58"/>
        <v>307.78000000000037</v>
      </c>
      <c r="M511" s="40">
        <v>0</v>
      </c>
      <c r="N511" s="40">
        <v>0</v>
      </c>
      <c r="O511" s="40">
        <v>0</v>
      </c>
      <c r="P511" s="40">
        <v>0</v>
      </c>
      <c r="Q511" s="40">
        <v>0</v>
      </c>
      <c r="R511" s="40">
        <v>0</v>
      </c>
      <c r="S511" s="2">
        <f t="shared" si="54"/>
        <v>59.100000000000236</v>
      </c>
      <c r="T511" s="2">
        <v>0</v>
      </c>
      <c r="U511" s="2">
        <v>0</v>
      </c>
      <c r="V511" s="2">
        <v>2</v>
      </c>
      <c r="W511" s="2">
        <v>0</v>
      </c>
      <c r="X511" s="2">
        <f t="shared" si="59"/>
        <v>130</v>
      </c>
      <c r="Z511" s="1"/>
      <c r="AA511" s="1"/>
      <c r="AB511" s="2" t="str">
        <f t="shared" si="60"/>
        <v/>
      </c>
      <c r="AD511" s="121"/>
      <c r="AE511" s="121"/>
    </row>
    <row r="512" spans="1:31" x14ac:dyDescent="0.25">
      <c r="A512" s="2" t="s">
        <v>470</v>
      </c>
      <c r="B512" s="7">
        <v>0.93333333333333324</v>
      </c>
      <c r="C512" s="2">
        <v>3.5</v>
      </c>
      <c r="D512" s="10" t="s">
        <v>416</v>
      </c>
      <c r="E512" s="40">
        <v>15</v>
      </c>
      <c r="F512" s="40">
        <v>2.2000000000000002</v>
      </c>
      <c r="G512" s="40">
        <v>2</v>
      </c>
      <c r="H512" s="3">
        <f t="shared" si="55"/>
        <v>2.1875</v>
      </c>
      <c r="I512" s="3">
        <f t="shared" si="56"/>
        <v>0.32083333333333336</v>
      </c>
      <c r="J512" s="3">
        <f t="shared" si="57"/>
        <v>0.29166666666666663</v>
      </c>
      <c r="K512" s="3"/>
      <c r="L512" s="4">
        <f t="shared" si="58"/>
        <v>304.98000000000036</v>
      </c>
      <c r="M512" s="40">
        <v>0</v>
      </c>
      <c r="N512" s="40">
        <v>0</v>
      </c>
      <c r="O512" s="40">
        <v>0</v>
      </c>
      <c r="P512" s="40">
        <v>0</v>
      </c>
      <c r="Q512" s="40">
        <v>0</v>
      </c>
      <c r="R512" s="40">
        <v>0</v>
      </c>
      <c r="S512" s="2">
        <f t="shared" si="54"/>
        <v>59.100000000000236</v>
      </c>
      <c r="T512" s="2">
        <v>0</v>
      </c>
      <c r="U512" s="2">
        <v>0</v>
      </c>
      <c r="V512" s="2">
        <v>0</v>
      </c>
      <c r="W512" s="2">
        <v>0</v>
      </c>
      <c r="X512" s="2">
        <f t="shared" si="59"/>
        <v>130</v>
      </c>
      <c r="Z512" s="1"/>
      <c r="AA512" s="1"/>
      <c r="AB512" s="2" t="str">
        <f t="shared" si="60"/>
        <v/>
      </c>
      <c r="AD512" s="121"/>
      <c r="AE512" s="121"/>
    </row>
    <row r="513" spans="1:31" x14ac:dyDescent="0.25">
      <c r="A513" s="2" t="s">
        <v>471</v>
      </c>
      <c r="B513" s="7">
        <v>0.22500000000000001</v>
      </c>
      <c r="C513" s="2">
        <v>7</v>
      </c>
      <c r="D513" s="10" t="s">
        <v>381</v>
      </c>
      <c r="E513" s="40">
        <v>0</v>
      </c>
      <c r="F513" s="40">
        <v>2.2000000000000002</v>
      </c>
      <c r="G513" s="40">
        <v>2</v>
      </c>
      <c r="H513" s="3">
        <f t="shared" si="55"/>
        <v>0</v>
      </c>
      <c r="I513" s="3">
        <f t="shared" si="56"/>
        <v>0.64166666666666672</v>
      </c>
      <c r="J513" s="3">
        <f t="shared" si="57"/>
        <v>0.58333333333333326</v>
      </c>
      <c r="K513" s="3"/>
      <c r="L513" s="4">
        <f t="shared" si="58"/>
        <v>303.75500000000034</v>
      </c>
      <c r="M513" s="40">
        <v>0</v>
      </c>
      <c r="N513" s="40">
        <v>0</v>
      </c>
      <c r="O513" s="40">
        <v>0.1</v>
      </c>
      <c r="P513" s="40">
        <v>0</v>
      </c>
      <c r="Q513" s="40">
        <v>0</v>
      </c>
      <c r="R513" s="40">
        <v>0</v>
      </c>
      <c r="S513" s="2">
        <f t="shared" si="54"/>
        <v>59.000000000000234</v>
      </c>
      <c r="T513" s="2">
        <v>0</v>
      </c>
      <c r="U513" s="2">
        <v>0</v>
      </c>
      <c r="V513" s="2">
        <v>1</v>
      </c>
      <c r="W513" s="2">
        <v>0</v>
      </c>
      <c r="X513" s="2">
        <f t="shared" si="59"/>
        <v>129</v>
      </c>
      <c r="Z513" s="1"/>
      <c r="AA513" s="1"/>
      <c r="AB513" s="2" t="str">
        <f t="shared" si="60"/>
        <v/>
      </c>
      <c r="AD513" s="121"/>
      <c r="AE513" s="121"/>
    </row>
    <row r="514" spans="1:31" x14ac:dyDescent="0.25">
      <c r="A514" s="2" t="s">
        <v>471</v>
      </c>
      <c r="B514" s="7">
        <v>0.3125</v>
      </c>
      <c r="C514" s="2">
        <v>2.1</v>
      </c>
      <c r="D514" s="10" t="s">
        <v>472</v>
      </c>
      <c r="E514" s="40">
        <v>10</v>
      </c>
      <c r="F514" s="40">
        <v>2.2000000000000002</v>
      </c>
      <c r="G514" s="40">
        <v>2</v>
      </c>
      <c r="H514" s="3">
        <f t="shared" si="55"/>
        <v>0.87500000000000011</v>
      </c>
      <c r="I514" s="3">
        <f t="shared" si="56"/>
        <v>0.19250000000000003</v>
      </c>
      <c r="J514" s="3">
        <f t="shared" si="57"/>
        <v>0.17499999999999999</v>
      </c>
      <c r="K514" s="3"/>
      <c r="L514" s="4">
        <f t="shared" si="58"/>
        <v>302.51250000000033</v>
      </c>
      <c r="M514" s="40">
        <v>0</v>
      </c>
      <c r="N514" s="40">
        <v>0</v>
      </c>
      <c r="O514" s="40">
        <v>0</v>
      </c>
      <c r="P514" s="40">
        <v>0</v>
      </c>
      <c r="Q514" s="40">
        <v>0</v>
      </c>
      <c r="R514" s="40">
        <v>0</v>
      </c>
      <c r="S514" s="2">
        <f t="shared" si="54"/>
        <v>59.000000000000234</v>
      </c>
      <c r="T514" s="2">
        <v>0</v>
      </c>
      <c r="U514" s="2">
        <v>0</v>
      </c>
      <c r="V514" s="2">
        <v>1</v>
      </c>
      <c r="W514" s="2">
        <v>0</v>
      </c>
      <c r="X514" s="2">
        <f t="shared" si="59"/>
        <v>128</v>
      </c>
      <c r="Z514" s="1"/>
      <c r="AA514" s="1"/>
      <c r="AB514" s="2" t="str">
        <f t="shared" si="60"/>
        <v/>
      </c>
      <c r="AD514" s="121"/>
      <c r="AE514" s="121"/>
    </row>
    <row r="515" spans="1:31" x14ac:dyDescent="0.25">
      <c r="A515" s="2" t="s">
        <v>473</v>
      </c>
      <c r="B515" s="7">
        <v>0.33333333333333331</v>
      </c>
      <c r="C515" s="2">
        <v>24</v>
      </c>
      <c r="D515" s="10" t="s">
        <v>474</v>
      </c>
      <c r="E515" s="40">
        <v>0</v>
      </c>
      <c r="F515" s="40">
        <v>2.2000000000000002</v>
      </c>
      <c r="G515" s="40">
        <v>1</v>
      </c>
      <c r="H515" s="3">
        <f t="shared" si="55"/>
        <v>0</v>
      </c>
      <c r="I515" s="3">
        <f t="shared" si="56"/>
        <v>2.2000000000000002</v>
      </c>
      <c r="J515" s="3">
        <f t="shared" si="57"/>
        <v>1</v>
      </c>
      <c r="K515" s="3"/>
      <c r="L515" s="4">
        <f t="shared" si="58"/>
        <v>299.31250000000034</v>
      </c>
      <c r="M515" s="40">
        <v>0</v>
      </c>
      <c r="N515" s="40">
        <v>0</v>
      </c>
      <c r="O515" s="40">
        <v>0</v>
      </c>
      <c r="P515" s="40">
        <v>0</v>
      </c>
      <c r="Q515" s="40">
        <v>6</v>
      </c>
      <c r="R515" s="40">
        <v>0</v>
      </c>
      <c r="S515" s="2">
        <f t="shared" si="54"/>
        <v>53.000000000000234</v>
      </c>
      <c r="T515" s="2">
        <v>0</v>
      </c>
      <c r="U515" s="2">
        <v>0</v>
      </c>
      <c r="V515" s="2">
        <v>4</v>
      </c>
      <c r="W515" s="2">
        <v>0</v>
      </c>
      <c r="X515" s="2">
        <f t="shared" si="59"/>
        <v>124</v>
      </c>
      <c r="Z515" s="1"/>
      <c r="AA515" s="1"/>
      <c r="AB515" s="2" t="str">
        <f t="shared" si="60"/>
        <v/>
      </c>
      <c r="AD515" s="121"/>
      <c r="AE515" s="121"/>
    </row>
    <row r="516" spans="1:31" x14ac:dyDescent="0.25">
      <c r="A516" s="2" t="s">
        <v>473</v>
      </c>
      <c r="B516" s="7">
        <v>0.64583333333333337</v>
      </c>
      <c r="C516" s="2">
        <v>7.5</v>
      </c>
      <c r="D516" s="10" t="s">
        <v>474</v>
      </c>
      <c r="E516" s="40">
        <v>0</v>
      </c>
      <c r="F516" s="40">
        <v>2.2000000000000002</v>
      </c>
      <c r="G516" s="40">
        <v>1</v>
      </c>
      <c r="H516" s="3">
        <f t="shared" si="55"/>
        <v>0</v>
      </c>
      <c r="I516" s="3">
        <f t="shared" si="56"/>
        <v>0.6875</v>
      </c>
      <c r="J516" s="3">
        <f t="shared" si="57"/>
        <v>0.3125</v>
      </c>
      <c r="K516" s="3"/>
      <c r="L516" s="4">
        <f t="shared" si="58"/>
        <v>298.31250000000034</v>
      </c>
      <c r="M516" s="40">
        <v>0</v>
      </c>
      <c r="N516" s="40">
        <v>0</v>
      </c>
      <c r="O516" s="40">
        <v>0</v>
      </c>
      <c r="P516" s="40">
        <v>0</v>
      </c>
      <c r="Q516" s="40">
        <v>2</v>
      </c>
      <c r="R516" s="40">
        <v>0</v>
      </c>
      <c r="S516" s="2">
        <f t="shared" si="54"/>
        <v>51.000000000000234</v>
      </c>
      <c r="T516" s="2">
        <v>0</v>
      </c>
      <c r="U516" s="2">
        <v>0</v>
      </c>
      <c r="V516" s="2">
        <v>1</v>
      </c>
      <c r="W516" s="2">
        <v>0</v>
      </c>
      <c r="X516" s="2">
        <f t="shared" si="59"/>
        <v>123</v>
      </c>
      <c r="Z516" s="1"/>
      <c r="AA516" s="1"/>
      <c r="AB516" s="2" t="str">
        <f t="shared" si="60"/>
        <v/>
      </c>
      <c r="AD516" s="121"/>
      <c r="AE516" s="121"/>
    </row>
    <row r="517" spans="1:31" x14ac:dyDescent="0.25">
      <c r="A517" s="2" t="s">
        <v>473</v>
      </c>
      <c r="B517" s="7">
        <v>0.6875</v>
      </c>
      <c r="C517" s="2">
        <v>1</v>
      </c>
      <c r="D517" s="10" t="s">
        <v>408</v>
      </c>
      <c r="E517" s="40">
        <v>15</v>
      </c>
      <c r="F517" s="40">
        <v>2.2000000000000002</v>
      </c>
      <c r="G517" s="40">
        <v>2</v>
      </c>
      <c r="H517" s="3">
        <f t="shared" si="55"/>
        <v>0.625</v>
      </c>
      <c r="I517" s="3">
        <f t="shared" si="56"/>
        <v>9.1666666666666674E-2</v>
      </c>
      <c r="J517" s="3">
        <f t="shared" si="57"/>
        <v>8.3333333333333329E-2</v>
      </c>
      <c r="K517" s="3"/>
      <c r="L517" s="4">
        <f t="shared" si="58"/>
        <v>297.51250000000033</v>
      </c>
      <c r="M517" s="40">
        <v>0</v>
      </c>
      <c r="N517" s="40">
        <v>0</v>
      </c>
      <c r="O517" s="40">
        <v>0</v>
      </c>
      <c r="P517" s="40">
        <v>0</v>
      </c>
      <c r="Q517" s="40">
        <v>0</v>
      </c>
      <c r="R517" s="40">
        <v>0</v>
      </c>
      <c r="S517" s="2">
        <f t="shared" ref="S517:S581" si="61">IF(C517="","",(S516+R517)-(M517+N517+O517+P517+Q517))</f>
        <v>51.000000000000234</v>
      </c>
      <c r="T517" s="2">
        <v>0</v>
      </c>
      <c r="U517" s="2">
        <v>0</v>
      </c>
      <c r="V517" s="2">
        <v>0</v>
      </c>
      <c r="W517" s="2">
        <v>0</v>
      </c>
      <c r="X517" s="2">
        <f t="shared" si="59"/>
        <v>123</v>
      </c>
      <c r="Z517" s="1"/>
      <c r="AA517" s="1"/>
      <c r="AB517" s="2" t="str">
        <f t="shared" si="60"/>
        <v/>
      </c>
      <c r="AD517" s="121"/>
      <c r="AE517" s="121"/>
    </row>
    <row r="518" spans="1:31" x14ac:dyDescent="0.25">
      <c r="A518" s="2" t="s">
        <v>475</v>
      </c>
      <c r="B518" s="7">
        <v>2.0833333333333332E-2</v>
      </c>
      <c r="C518" s="2">
        <v>8</v>
      </c>
      <c r="D518" s="10" t="s">
        <v>476</v>
      </c>
      <c r="E518" s="40">
        <v>25</v>
      </c>
      <c r="F518" s="40">
        <v>2.2000000000000002</v>
      </c>
      <c r="G518" s="40">
        <v>0</v>
      </c>
      <c r="H518" s="3">
        <f t="shared" si="55"/>
        <v>8.3333333333333339</v>
      </c>
      <c r="I518" s="3">
        <f t="shared" si="56"/>
        <v>0.73333333333333339</v>
      </c>
      <c r="J518" s="3">
        <f t="shared" si="57"/>
        <v>0</v>
      </c>
      <c r="K518" s="3"/>
      <c r="L518" s="4">
        <f t="shared" si="58"/>
        <v>288.44583333333367</v>
      </c>
      <c r="M518" s="40">
        <v>0</v>
      </c>
      <c r="N518" s="40">
        <v>0</v>
      </c>
      <c r="O518" s="40">
        <v>0</v>
      </c>
      <c r="P518" s="40">
        <v>0</v>
      </c>
      <c r="Q518" s="40">
        <v>0</v>
      </c>
      <c r="R518" s="40">
        <v>0</v>
      </c>
      <c r="S518" s="2">
        <f t="shared" si="61"/>
        <v>51.000000000000234</v>
      </c>
      <c r="T518" s="2">
        <v>0</v>
      </c>
      <c r="U518" s="2">
        <v>0</v>
      </c>
      <c r="V518" s="2">
        <v>2</v>
      </c>
      <c r="W518" s="2">
        <v>4</v>
      </c>
      <c r="X518" s="2">
        <f t="shared" si="59"/>
        <v>117</v>
      </c>
      <c r="Z518" s="1"/>
      <c r="AA518" s="1"/>
      <c r="AB518" s="2" t="str">
        <f t="shared" si="60"/>
        <v/>
      </c>
      <c r="AD518" s="121">
        <v>12.5</v>
      </c>
      <c r="AE518" s="121" t="s">
        <v>1296</v>
      </c>
    </row>
    <row r="519" spans="1:31" x14ac:dyDescent="0.25">
      <c r="A519" s="2" t="s">
        <v>475</v>
      </c>
      <c r="B519" s="7">
        <v>0.125</v>
      </c>
      <c r="C519" s="2">
        <v>2.5</v>
      </c>
      <c r="D519" s="10" t="s">
        <v>477</v>
      </c>
      <c r="E519" s="40">
        <v>15</v>
      </c>
      <c r="F519" s="40">
        <v>2.2000000000000002</v>
      </c>
      <c r="G519" s="40">
        <v>1</v>
      </c>
      <c r="H519" s="3">
        <f t="shared" si="55"/>
        <v>1.5625</v>
      </c>
      <c r="I519" s="3">
        <f t="shared" si="56"/>
        <v>0.22916666666666669</v>
      </c>
      <c r="J519" s="3">
        <f t="shared" si="57"/>
        <v>0.10416666666666666</v>
      </c>
      <c r="K519" s="3"/>
      <c r="L519" s="4">
        <f t="shared" si="58"/>
        <v>286.55000000000035</v>
      </c>
      <c r="M519" s="40">
        <v>0</v>
      </c>
      <c r="N519" s="40">
        <v>0</v>
      </c>
      <c r="O519" s="40">
        <v>0</v>
      </c>
      <c r="P519" s="40">
        <v>0</v>
      </c>
      <c r="Q519" s="40">
        <v>0</v>
      </c>
      <c r="R519" s="40">
        <v>0</v>
      </c>
      <c r="S519" s="2">
        <f t="shared" si="61"/>
        <v>51.000000000000234</v>
      </c>
      <c r="T519" s="2">
        <v>0</v>
      </c>
      <c r="U519" s="2">
        <v>0</v>
      </c>
      <c r="V519" s="2">
        <v>0</v>
      </c>
      <c r="W519" s="2">
        <v>0</v>
      </c>
      <c r="X519" s="2">
        <f t="shared" si="59"/>
        <v>117</v>
      </c>
      <c r="Z519" s="1"/>
      <c r="AA519" s="1"/>
      <c r="AB519" s="2" t="str">
        <f t="shared" si="60"/>
        <v/>
      </c>
      <c r="AD519" s="121"/>
      <c r="AE519" s="121"/>
    </row>
    <row r="520" spans="1:31" x14ac:dyDescent="0.25">
      <c r="A520" s="2" t="s">
        <v>475</v>
      </c>
      <c r="B520" s="7">
        <v>0.33333333333333331</v>
      </c>
      <c r="C520" s="2">
        <v>4.5</v>
      </c>
      <c r="D520" s="10" t="s">
        <v>477</v>
      </c>
      <c r="E520" s="40">
        <v>0</v>
      </c>
      <c r="F520" s="40">
        <v>2.2000000000000002</v>
      </c>
      <c r="G520" s="40">
        <v>2</v>
      </c>
      <c r="H520" s="3">
        <f t="shared" si="55"/>
        <v>0</v>
      </c>
      <c r="I520" s="3">
        <f t="shared" si="56"/>
        <v>0.41250000000000003</v>
      </c>
      <c r="J520" s="3">
        <f t="shared" si="57"/>
        <v>0.375</v>
      </c>
      <c r="K520" s="3"/>
      <c r="L520" s="4">
        <f t="shared" si="58"/>
        <v>285.76250000000033</v>
      </c>
      <c r="M520" s="40">
        <v>0</v>
      </c>
      <c r="N520" s="40">
        <v>0</v>
      </c>
      <c r="O520" s="40">
        <v>0</v>
      </c>
      <c r="P520" s="40">
        <v>0</v>
      </c>
      <c r="Q520" s="40">
        <v>1.4</v>
      </c>
      <c r="R520" s="40">
        <v>0</v>
      </c>
      <c r="S520" s="2">
        <f t="shared" si="61"/>
        <v>49.600000000000236</v>
      </c>
      <c r="T520" s="2">
        <v>0</v>
      </c>
      <c r="U520" s="2">
        <v>0</v>
      </c>
      <c r="V520" s="2">
        <v>2</v>
      </c>
      <c r="W520" s="2">
        <v>2</v>
      </c>
      <c r="X520" s="2">
        <f t="shared" si="59"/>
        <v>113</v>
      </c>
      <c r="Z520" s="1"/>
      <c r="AA520" s="1"/>
      <c r="AB520" s="2" t="str">
        <f t="shared" si="60"/>
        <v/>
      </c>
      <c r="AD520" s="121"/>
      <c r="AE520" s="121"/>
    </row>
    <row r="521" spans="1:31" x14ac:dyDescent="0.25">
      <c r="A521" s="2" t="s">
        <v>475</v>
      </c>
      <c r="B521" s="7">
        <v>0.4375</v>
      </c>
      <c r="C521" s="2">
        <v>2.5</v>
      </c>
      <c r="D521" s="10" t="s">
        <v>478</v>
      </c>
      <c r="E521" s="40">
        <v>0</v>
      </c>
      <c r="F521" s="40">
        <v>2.2000000000000002</v>
      </c>
      <c r="G521" s="40">
        <v>2</v>
      </c>
      <c r="H521" s="3">
        <f t="shared" si="55"/>
        <v>0</v>
      </c>
      <c r="I521" s="3">
        <f t="shared" si="56"/>
        <v>0.22916666666666669</v>
      </c>
      <c r="J521" s="3">
        <f t="shared" si="57"/>
        <v>0.20833333333333331</v>
      </c>
      <c r="K521" s="3"/>
      <c r="L521" s="4">
        <f t="shared" si="58"/>
        <v>285.32500000000033</v>
      </c>
      <c r="M521" s="40">
        <v>0</v>
      </c>
      <c r="N521" s="40">
        <v>0</v>
      </c>
      <c r="O521" s="40">
        <v>0</v>
      </c>
      <c r="P521" s="40">
        <v>0</v>
      </c>
      <c r="Q521" s="40">
        <v>0</v>
      </c>
      <c r="R521" s="40">
        <v>0</v>
      </c>
      <c r="S521" s="2">
        <f t="shared" si="61"/>
        <v>49.600000000000236</v>
      </c>
      <c r="T521" s="2">
        <v>0</v>
      </c>
      <c r="U521" s="2">
        <v>0</v>
      </c>
      <c r="V521" s="2">
        <v>0</v>
      </c>
      <c r="W521" s="2">
        <v>0</v>
      </c>
      <c r="X521" s="2">
        <f t="shared" si="59"/>
        <v>113</v>
      </c>
      <c r="Z521" s="1"/>
      <c r="AA521" s="1"/>
      <c r="AB521" s="2" t="str">
        <f t="shared" si="60"/>
        <v/>
      </c>
      <c r="AD521" s="121"/>
      <c r="AE521" s="121"/>
    </row>
    <row r="522" spans="1:31" x14ac:dyDescent="0.25">
      <c r="A522" s="2" t="s">
        <v>475</v>
      </c>
      <c r="B522" s="7">
        <v>0.5</v>
      </c>
      <c r="C522" s="2">
        <v>1.5</v>
      </c>
      <c r="D522" s="10" t="s">
        <v>479</v>
      </c>
      <c r="E522" s="40">
        <v>15</v>
      </c>
      <c r="F522" s="40">
        <v>2.2000000000000002</v>
      </c>
      <c r="G522" s="40">
        <v>2</v>
      </c>
      <c r="H522" s="3">
        <f t="shared" si="55"/>
        <v>0.9375</v>
      </c>
      <c r="I522" s="3">
        <f t="shared" si="56"/>
        <v>0.13750000000000001</v>
      </c>
      <c r="J522" s="3">
        <f t="shared" si="57"/>
        <v>0.125</v>
      </c>
      <c r="K522" s="3"/>
      <c r="L522" s="4">
        <f t="shared" si="58"/>
        <v>284.12500000000034</v>
      </c>
      <c r="M522" s="40">
        <v>0</v>
      </c>
      <c r="N522" s="40">
        <v>0</v>
      </c>
      <c r="O522" s="40">
        <v>0</v>
      </c>
      <c r="P522" s="40">
        <v>0</v>
      </c>
      <c r="Q522" s="40">
        <v>0</v>
      </c>
      <c r="R522" s="40">
        <v>0</v>
      </c>
      <c r="S522" s="2">
        <f t="shared" si="61"/>
        <v>49.600000000000236</v>
      </c>
      <c r="T522" s="2">
        <v>0</v>
      </c>
      <c r="U522" s="2">
        <v>0</v>
      </c>
      <c r="V522" s="2">
        <v>1</v>
      </c>
      <c r="W522" s="2">
        <v>0</v>
      </c>
      <c r="X522" s="2">
        <f t="shared" si="59"/>
        <v>112</v>
      </c>
      <c r="Z522" s="1"/>
      <c r="AA522" s="1"/>
      <c r="AB522" s="2" t="str">
        <f t="shared" si="60"/>
        <v/>
      </c>
      <c r="AD522" s="121"/>
      <c r="AE522" s="121"/>
    </row>
    <row r="523" spans="1:31" x14ac:dyDescent="0.25">
      <c r="A523" s="2" t="s">
        <v>480</v>
      </c>
      <c r="B523" s="7">
        <v>0.33333333333333331</v>
      </c>
      <c r="C523" s="2">
        <v>20</v>
      </c>
      <c r="D523" s="10" t="s">
        <v>481</v>
      </c>
      <c r="E523" s="40">
        <v>0</v>
      </c>
      <c r="F523" s="40">
        <v>1.5</v>
      </c>
      <c r="G523" s="40">
        <v>1</v>
      </c>
      <c r="H523" s="3">
        <f t="shared" si="55"/>
        <v>0</v>
      </c>
      <c r="I523" s="3">
        <f t="shared" si="56"/>
        <v>1.25</v>
      </c>
      <c r="J523" s="3">
        <f t="shared" si="57"/>
        <v>0.83333333333333326</v>
      </c>
      <c r="K523" s="3"/>
      <c r="L523" s="4">
        <f t="shared" si="58"/>
        <v>282.04166666666703</v>
      </c>
      <c r="M523" s="40">
        <v>0</v>
      </c>
      <c r="N523" s="40">
        <v>0</v>
      </c>
      <c r="O523" s="40">
        <v>0.1</v>
      </c>
      <c r="P523" s="40">
        <v>0</v>
      </c>
      <c r="Q523" s="40">
        <v>0</v>
      </c>
      <c r="R523" s="40">
        <v>0</v>
      </c>
      <c r="S523" s="2">
        <f t="shared" si="61"/>
        <v>49.500000000000234</v>
      </c>
      <c r="T523" s="2">
        <v>0</v>
      </c>
      <c r="U523" s="2">
        <v>0</v>
      </c>
      <c r="V523" s="2">
        <v>5</v>
      </c>
      <c r="W523" s="2">
        <v>0</v>
      </c>
      <c r="X523" s="2">
        <f t="shared" si="59"/>
        <v>107</v>
      </c>
      <c r="Z523" s="1"/>
      <c r="AA523" s="1"/>
      <c r="AB523" s="2" t="str">
        <f t="shared" si="60"/>
        <v/>
      </c>
      <c r="AD523" s="121"/>
      <c r="AE523" s="121"/>
    </row>
    <row r="524" spans="1:31" x14ac:dyDescent="0.25">
      <c r="A524" s="2" t="s">
        <v>482</v>
      </c>
      <c r="B524" s="7">
        <v>0.33333333333333331</v>
      </c>
      <c r="C524" s="2">
        <v>24</v>
      </c>
      <c r="D524" s="10" t="s">
        <v>481</v>
      </c>
      <c r="E524" s="40">
        <v>0</v>
      </c>
      <c r="F524" s="40">
        <v>1.5</v>
      </c>
      <c r="G524" s="40">
        <v>1</v>
      </c>
      <c r="H524" s="3">
        <f t="shared" si="55"/>
        <v>0</v>
      </c>
      <c r="I524" s="3">
        <f t="shared" si="56"/>
        <v>1.5</v>
      </c>
      <c r="J524" s="3">
        <f t="shared" si="57"/>
        <v>1</v>
      </c>
      <c r="K524" s="3"/>
      <c r="L524" s="4">
        <f t="shared" si="58"/>
        <v>279.54166666666703</v>
      </c>
      <c r="M524" s="40">
        <v>0</v>
      </c>
      <c r="N524" s="40">
        <v>0</v>
      </c>
      <c r="O524" s="40">
        <v>0.1</v>
      </c>
      <c r="P524" s="40">
        <v>0</v>
      </c>
      <c r="Q524" s="40">
        <v>0</v>
      </c>
      <c r="R524" s="40">
        <v>0</v>
      </c>
      <c r="S524" s="2">
        <f t="shared" si="61"/>
        <v>49.400000000000233</v>
      </c>
      <c r="T524" s="2">
        <v>0</v>
      </c>
      <c r="U524" s="2">
        <v>0</v>
      </c>
      <c r="V524" s="2">
        <v>4</v>
      </c>
      <c r="W524" s="2">
        <v>10</v>
      </c>
      <c r="X524" s="2">
        <f t="shared" si="59"/>
        <v>93</v>
      </c>
      <c r="Z524" s="1"/>
      <c r="AA524" s="1"/>
      <c r="AB524" s="2" t="str">
        <f t="shared" si="60"/>
        <v/>
      </c>
      <c r="AD524" s="121"/>
      <c r="AE524" s="121"/>
    </row>
    <row r="525" spans="1:31" x14ac:dyDescent="0.25">
      <c r="A525" s="2" t="s">
        <v>483</v>
      </c>
      <c r="B525" s="7">
        <v>0.33333333333333331</v>
      </c>
      <c r="C525" s="2">
        <v>24</v>
      </c>
      <c r="D525" s="10" t="s">
        <v>481</v>
      </c>
      <c r="E525" s="40">
        <v>0</v>
      </c>
      <c r="F525" s="40">
        <v>1.5</v>
      </c>
      <c r="G525" s="40">
        <v>1</v>
      </c>
      <c r="H525" s="3">
        <f t="shared" si="55"/>
        <v>0</v>
      </c>
      <c r="I525" s="3">
        <f t="shared" si="56"/>
        <v>1.5</v>
      </c>
      <c r="J525" s="3">
        <f t="shared" si="57"/>
        <v>1</v>
      </c>
      <c r="K525" s="3"/>
      <c r="L525" s="4">
        <f t="shared" si="58"/>
        <v>277.04166666666703</v>
      </c>
      <c r="M525" s="40">
        <v>0</v>
      </c>
      <c r="N525" s="40">
        <v>0</v>
      </c>
      <c r="O525" s="40">
        <v>0.1</v>
      </c>
      <c r="P525" s="40">
        <v>0</v>
      </c>
      <c r="Q525" s="40">
        <v>0</v>
      </c>
      <c r="R525" s="40">
        <v>0</v>
      </c>
      <c r="S525" s="2">
        <f t="shared" si="61"/>
        <v>49.300000000000232</v>
      </c>
      <c r="T525" s="2">
        <v>0</v>
      </c>
      <c r="U525" s="2">
        <v>0</v>
      </c>
      <c r="V525" s="2">
        <v>4</v>
      </c>
      <c r="W525" s="2">
        <v>8</v>
      </c>
      <c r="X525" s="2">
        <f t="shared" si="59"/>
        <v>81</v>
      </c>
      <c r="Z525" s="1">
        <v>52</v>
      </c>
      <c r="AA525" s="1">
        <v>19</v>
      </c>
      <c r="AB525" s="2">
        <f t="shared" si="60"/>
        <v>71</v>
      </c>
      <c r="AD525" s="121"/>
      <c r="AE525" s="121"/>
    </row>
    <row r="526" spans="1:31" x14ac:dyDescent="0.25">
      <c r="A526" s="2" t="s">
        <v>483</v>
      </c>
      <c r="B526" s="7">
        <v>0.52500000000000002</v>
      </c>
      <c r="C526" s="2">
        <v>4.5999999999999996</v>
      </c>
      <c r="D526" s="10" t="s">
        <v>381</v>
      </c>
      <c r="E526" s="40">
        <v>0</v>
      </c>
      <c r="F526" s="40">
        <v>1.5</v>
      </c>
      <c r="G526" s="40">
        <v>1</v>
      </c>
      <c r="H526" s="3">
        <f t="shared" si="55"/>
        <v>0</v>
      </c>
      <c r="I526" s="3">
        <f t="shared" si="56"/>
        <v>0.28749999999999998</v>
      </c>
      <c r="J526" s="3">
        <f t="shared" si="57"/>
        <v>0.19166666666666665</v>
      </c>
      <c r="K526" s="3"/>
      <c r="L526" s="4">
        <f t="shared" si="58"/>
        <v>276.56250000000034</v>
      </c>
      <c r="M526" s="40">
        <v>0</v>
      </c>
      <c r="N526" s="40">
        <v>0</v>
      </c>
      <c r="O526" s="40">
        <v>0</v>
      </c>
      <c r="P526" s="40">
        <v>0</v>
      </c>
      <c r="Q526" s="40">
        <v>0</v>
      </c>
      <c r="R526" s="40">
        <v>0</v>
      </c>
      <c r="S526" s="2">
        <f t="shared" si="61"/>
        <v>49.300000000000232</v>
      </c>
      <c r="T526" s="2">
        <v>0</v>
      </c>
      <c r="U526" s="2">
        <v>0</v>
      </c>
      <c r="V526" s="2">
        <v>1</v>
      </c>
      <c r="W526" s="2">
        <v>0</v>
      </c>
      <c r="X526" s="2">
        <f t="shared" si="59"/>
        <v>80</v>
      </c>
      <c r="Z526" s="1"/>
      <c r="AA526" s="1"/>
      <c r="AB526" s="2" t="str">
        <f t="shared" si="60"/>
        <v/>
      </c>
      <c r="AD526" s="121"/>
      <c r="AE526" s="121"/>
    </row>
    <row r="527" spans="1:31" x14ac:dyDescent="0.25">
      <c r="A527" s="2" t="s">
        <v>483</v>
      </c>
      <c r="B527" s="7">
        <v>0.6</v>
      </c>
      <c r="C527" s="2">
        <v>1.8</v>
      </c>
      <c r="D527" s="10" t="s">
        <v>484</v>
      </c>
      <c r="E527" s="40">
        <v>15</v>
      </c>
      <c r="F527" s="40">
        <v>2.5</v>
      </c>
      <c r="G527" s="40">
        <v>2</v>
      </c>
      <c r="H527" s="3">
        <f t="shared" si="55"/>
        <v>1.125</v>
      </c>
      <c r="I527" s="3">
        <f t="shared" si="56"/>
        <v>0.1875</v>
      </c>
      <c r="J527" s="3">
        <f t="shared" si="57"/>
        <v>0.15</v>
      </c>
      <c r="K527" s="3"/>
      <c r="L527" s="4">
        <f t="shared" si="58"/>
        <v>275.10000000000036</v>
      </c>
      <c r="M527" s="40">
        <v>0</v>
      </c>
      <c r="N527" s="40">
        <v>0</v>
      </c>
      <c r="O527" s="40">
        <v>0</v>
      </c>
      <c r="P527" s="40">
        <v>0</v>
      </c>
      <c r="Q527" s="40">
        <v>0</v>
      </c>
      <c r="R527" s="40">
        <v>0</v>
      </c>
      <c r="S527" s="2">
        <f t="shared" si="61"/>
        <v>49.300000000000232</v>
      </c>
      <c r="T527" s="2">
        <v>0</v>
      </c>
      <c r="U527" s="2">
        <v>0</v>
      </c>
      <c r="V527" s="2">
        <v>0</v>
      </c>
      <c r="W527" s="2">
        <v>0</v>
      </c>
      <c r="X527" s="2">
        <f t="shared" si="59"/>
        <v>80</v>
      </c>
      <c r="Z527" s="1"/>
      <c r="AA527" s="1"/>
      <c r="AB527" s="2" t="str">
        <f t="shared" si="60"/>
        <v/>
      </c>
      <c r="AD527" s="121"/>
      <c r="AE527" s="121"/>
    </row>
    <row r="528" spans="1:31" x14ac:dyDescent="0.25">
      <c r="A528" s="2" t="s">
        <v>485</v>
      </c>
      <c r="B528" s="7">
        <v>0.33333333333333331</v>
      </c>
      <c r="C528" s="2">
        <v>17.600000000000001</v>
      </c>
      <c r="D528" s="10" t="s">
        <v>477</v>
      </c>
      <c r="E528" s="40">
        <v>0</v>
      </c>
      <c r="F528" s="40">
        <v>2.5</v>
      </c>
      <c r="G528" s="40">
        <v>2</v>
      </c>
      <c r="H528" s="3">
        <f t="shared" si="55"/>
        <v>0</v>
      </c>
      <c r="I528" s="3">
        <f t="shared" si="56"/>
        <v>1.8333333333333335</v>
      </c>
      <c r="J528" s="3">
        <f t="shared" si="57"/>
        <v>1.4666666666666668</v>
      </c>
      <c r="K528" s="3"/>
      <c r="L528" s="4">
        <f t="shared" si="58"/>
        <v>271.80000000000035</v>
      </c>
      <c r="M528" s="40">
        <v>0</v>
      </c>
      <c r="N528" s="40">
        <v>0</v>
      </c>
      <c r="O528" s="40">
        <v>0.1</v>
      </c>
      <c r="P528" s="40">
        <v>0</v>
      </c>
      <c r="Q528" s="40">
        <v>4.4000000000000004</v>
      </c>
      <c r="R528" s="40">
        <v>0</v>
      </c>
      <c r="S528" s="2">
        <f t="shared" si="61"/>
        <v>44.800000000000232</v>
      </c>
      <c r="T528" s="2">
        <v>0</v>
      </c>
      <c r="U528" s="2">
        <v>0</v>
      </c>
      <c r="V528" s="2">
        <v>4</v>
      </c>
      <c r="W528" s="2">
        <v>8</v>
      </c>
      <c r="X528" s="2">
        <f t="shared" si="59"/>
        <v>68</v>
      </c>
      <c r="Z528" s="1">
        <v>52</v>
      </c>
      <c r="AA528" s="1">
        <v>10</v>
      </c>
      <c r="AB528" s="2">
        <f t="shared" si="60"/>
        <v>62</v>
      </c>
      <c r="AD528" s="121"/>
      <c r="AE528" s="121"/>
    </row>
    <row r="529" spans="1:31" x14ac:dyDescent="0.25">
      <c r="A529" s="2" t="s">
        <v>485</v>
      </c>
      <c r="B529" s="7">
        <v>0.73333333333333339</v>
      </c>
      <c r="C529" s="2">
        <v>9.6</v>
      </c>
      <c r="D529" s="10" t="s">
        <v>381</v>
      </c>
      <c r="E529" s="40">
        <v>0</v>
      </c>
      <c r="F529" s="40">
        <v>2.5</v>
      </c>
      <c r="G529" s="40">
        <v>2</v>
      </c>
      <c r="H529" s="3">
        <f t="shared" ref="H529:H593" si="62">+IF(E529="","",(E529/24)*C529)</f>
        <v>0</v>
      </c>
      <c r="I529" s="3">
        <f t="shared" ref="I529:I593" si="63">+IF(F529="","",(F529/24)*C529)</f>
        <v>1</v>
      </c>
      <c r="J529" s="3">
        <f t="shared" ref="J529:J593" si="64">+IF(G529="","",(G529/24)*C529)</f>
        <v>0.79999999999999993</v>
      </c>
      <c r="K529" s="3"/>
      <c r="L529" s="4">
        <f t="shared" si="58"/>
        <v>270.00000000000034</v>
      </c>
      <c r="M529" s="40">
        <v>0</v>
      </c>
      <c r="N529" s="40">
        <v>0</v>
      </c>
      <c r="O529" s="40">
        <v>0</v>
      </c>
      <c r="P529" s="40">
        <v>0</v>
      </c>
      <c r="Q529" s="40">
        <v>1.8</v>
      </c>
      <c r="R529" s="40">
        <v>0</v>
      </c>
      <c r="S529" s="2">
        <f t="shared" si="61"/>
        <v>43.000000000000234</v>
      </c>
      <c r="T529" s="2">
        <v>0</v>
      </c>
      <c r="U529" s="2">
        <v>0</v>
      </c>
      <c r="V529" s="2">
        <v>1</v>
      </c>
      <c r="W529" s="2">
        <v>0</v>
      </c>
      <c r="X529" s="2">
        <f t="shared" si="59"/>
        <v>67</v>
      </c>
      <c r="Z529" s="1"/>
      <c r="AA529" s="1"/>
      <c r="AB529" s="2" t="str">
        <f t="shared" si="60"/>
        <v/>
      </c>
      <c r="AD529" s="121"/>
      <c r="AE529" s="121"/>
    </row>
    <row r="530" spans="1:31" x14ac:dyDescent="0.25">
      <c r="A530" s="2" t="s">
        <v>485</v>
      </c>
      <c r="B530" s="7">
        <v>0.77083333333333337</v>
      </c>
      <c r="C530" s="2">
        <v>0.9</v>
      </c>
      <c r="D530" s="10" t="s">
        <v>105</v>
      </c>
      <c r="E530" s="40">
        <v>15</v>
      </c>
      <c r="F530" s="40">
        <v>2.2000000000000002</v>
      </c>
      <c r="G530" s="40">
        <v>2</v>
      </c>
      <c r="H530" s="3">
        <f t="shared" si="62"/>
        <v>0.5625</v>
      </c>
      <c r="I530" s="3">
        <f t="shared" si="63"/>
        <v>8.2500000000000004E-2</v>
      </c>
      <c r="J530" s="3">
        <f t="shared" si="64"/>
        <v>7.4999999999999997E-2</v>
      </c>
      <c r="K530" s="3"/>
      <c r="L530" s="4">
        <f t="shared" ref="L530:L594" si="65">+IF(C530="","",((L529-(H530+I530+J530))+K530))</f>
        <v>269.28000000000031</v>
      </c>
      <c r="M530" s="40">
        <v>0</v>
      </c>
      <c r="N530" s="40">
        <v>0</v>
      </c>
      <c r="O530" s="40">
        <v>0</v>
      </c>
      <c r="P530" s="40">
        <v>0</v>
      </c>
      <c r="Q530" s="40">
        <v>0</v>
      </c>
      <c r="R530" s="40">
        <v>0</v>
      </c>
      <c r="S530" s="2">
        <f t="shared" si="61"/>
        <v>43.000000000000234</v>
      </c>
      <c r="T530" s="2">
        <v>0</v>
      </c>
      <c r="U530" s="2">
        <v>0</v>
      </c>
      <c r="V530" s="2">
        <v>0</v>
      </c>
      <c r="W530" s="2">
        <v>0</v>
      </c>
      <c r="X530" s="2">
        <f t="shared" ref="X530:X594" si="66">IF(V530="","",((X529+T530+U530)-(V530+W530)))</f>
        <v>67</v>
      </c>
      <c r="Z530" s="1"/>
      <c r="AA530" s="1"/>
      <c r="AB530" s="2" t="str">
        <f t="shared" ref="AB530:AB594" si="67">IF(Z530="","",Z530+AA530)</f>
        <v/>
      </c>
      <c r="AD530" s="121"/>
      <c r="AE530" s="121"/>
    </row>
    <row r="531" spans="1:31" x14ac:dyDescent="0.25">
      <c r="A531" s="2" t="s">
        <v>485</v>
      </c>
      <c r="B531" s="7">
        <v>0.97916666666666663</v>
      </c>
      <c r="C531" s="2">
        <v>5.5</v>
      </c>
      <c r="D531" s="10" t="s">
        <v>381</v>
      </c>
      <c r="E531" s="40">
        <v>25</v>
      </c>
      <c r="F531" s="40">
        <v>2.2000000000000002</v>
      </c>
      <c r="G531" s="40">
        <v>0</v>
      </c>
      <c r="H531" s="3">
        <f t="shared" si="62"/>
        <v>5.729166666666667</v>
      </c>
      <c r="I531" s="3">
        <f t="shared" si="63"/>
        <v>0.50416666666666665</v>
      </c>
      <c r="J531" s="3">
        <f t="shared" si="64"/>
        <v>0</v>
      </c>
      <c r="K531" s="3"/>
      <c r="L531" s="4">
        <f t="shared" si="65"/>
        <v>263.04666666666697</v>
      </c>
      <c r="M531" s="40">
        <v>0</v>
      </c>
      <c r="N531" s="40">
        <v>0</v>
      </c>
      <c r="O531" s="40">
        <v>0</v>
      </c>
      <c r="P531" s="40">
        <v>0</v>
      </c>
      <c r="Q531" s="40">
        <v>0</v>
      </c>
      <c r="R531" s="40">
        <v>0</v>
      </c>
      <c r="S531" s="2">
        <f t="shared" si="61"/>
        <v>43.000000000000234</v>
      </c>
      <c r="T531" s="2">
        <v>0</v>
      </c>
      <c r="U531" s="2">
        <v>0</v>
      </c>
      <c r="V531" s="2">
        <v>1</v>
      </c>
      <c r="W531" s="2">
        <v>0</v>
      </c>
      <c r="X531" s="2">
        <f t="shared" si="66"/>
        <v>66</v>
      </c>
      <c r="Z531" s="1"/>
      <c r="AA531" s="1"/>
      <c r="AB531" s="2" t="str">
        <f t="shared" si="67"/>
        <v/>
      </c>
      <c r="AD531" s="121">
        <v>12.5</v>
      </c>
      <c r="AE531" s="121" t="s">
        <v>1308</v>
      </c>
    </row>
    <row r="532" spans="1:31" x14ac:dyDescent="0.25">
      <c r="A532" s="2" t="s">
        <v>486</v>
      </c>
      <c r="B532" s="7">
        <v>8.7500000000000008E-2</v>
      </c>
      <c r="C532" s="2">
        <v>2.6</v>
      </c>
      <c r="D532" s="10" t="s">
        <v>487</v>
      </c>
      <c r="E532" s="40">
        <v>10</v>
      </c>
      <c r="F532" s="40">
        <v>2.2000000000000002</v>
      </c>
      <c r="G532" s="40">
        <v>0</v>
      </c>
      <c r="H532" s="3">
        <f t="shared" si="62"/>
        <v>1.0833333333333335</v>
      </c>
      <c r="I532" s="3">
        <f t="shared" si="63"/>
        <v>0.23833333333333337</v>
      </c>
      <c r="J532" s="3">
        <f t="shared" si="64"/>
        <v>0</v>
      </c>
      <c r="K532" s="3"/>
      <c r="L532" s="4">
        <f t="shared" si="65"/>
        <v>261.72500000000031</v>
      </c>
      <c r="M532" s="40">
        <v>0</v>
      </c>
      <c r="N532" s="40">
        <v>0</v>
      </c>
      <c r="O532" s="40">
        <v>0.1</v>
      </c>
      <c r="P532" s="40">
        <v>0</v>
      </c>
      <c r="Q532" s="40">
        <v>0</v>
      </c>
      <c r="R532" s="40">
        <v>0</v>
      </c>
      <c r="S532" s="2">
        <f t="shared" si="61"/>
        <v>42.900000000000233</v>
      </c>
      <c r="T532" s="2">
        <v>0</v>
      </c>
      <c r="U532" s="2">
        <v>0</v>
      </c>
      <c r="V532" s="2">
        <v>0</v>
      </c>
      <c r="W532" s="2">
        <v>0</v>
      </c>
      <c r="X532" s="2">
        <f t="shared" si="66"/>
        <v>66</v>
      </c>
      <c r="Z532" s="1">
        <v>10</v>
      </c>
      <c r="AA532" s="1">
        <v>47</v>
      </c>
      <c r="AB532" s="2">
        <f t="shared" si="67"/>
        <v>57</v>
      </c>
      <c r="AD532" s="121"/>
      <c r="AE532" s="121"/>
    </row>
    <row r="533" spans="1:31" x14ac:dyDescent="0.25">
      <c r="A533" s="2" t="s">
        <v>486</v>
      </c>
      <c r="B533" s="7">
        <v>0.33333333333333331</v>
      </c>
      <c r="C533" s="2">
        <v>5.9</v>
      </c>
      <c r="D533" s="10" t="s">
        <v>487</v>
      </c>
      <c r="E533" s="40">
        <v>0</v>
      </c>
      <c r="F533" s="40">
        <v>2.2000000000000002</v>
      </c>
      <c r="G533" s="40">
        <v>2</v>
      </c>
      <c r="H533" s="3">
        <f t="shared" si="62"/>
        <v>0</v>
      </c>
      <c r="I533" s="3">
        <f t="shared" si="63"/>
        <v>0.54083333333333339</v>
      </c>
      <c r="J533" s="3">
        <f t="shared" si="64"/>
        <v>0.4916666666666667</v>
      </c>
      <c r="K533" s="3"/>
      <c r="L533" s="4">
        <f t="shared" si="65"/>
        <v>260.69250000000028</v>
      </c>
      <c r="M533" s="40">
        <v>0</v>
      </c>
      <c r="N533" s="40">
        <v>0</v>
      </c>
      <c r="O533" s="40">
        <v>0</v>
      </c>
      <c r="P533" s="40">
        <v>0</v>
      </c>
      <c r="Q533" s="40">
        <v>1.5</v>
      </c>
      <c r="R533" s="40">
        <v>0</v>
      </c>
      <c r="S533" s="2">
        <f t="shared" si="61"/>
        <v>41.400000000000233</v>
      </c>
      <c r="T533" s="2">
        <v>0</v>
      </c>
      <c r="U533" s="2">
        <v>0</v>
      </c>
      <c r="V533" s="2">
        <v>3</v>
      </c>
      <c r="W533" s="2">
        <v>0</v>
      </c>
      <c r="X533" s="2">
        <f t="shared" si="66"/>
        <v>63</v>
      </c>
      <c r="Z533" s="1"/>
      <c r="AA533" s="1"/>
      <c r="AB533" s="2" t="str">
        <f t="shared" si="67"/>
        <v/>
      </c>
      <c r="AD533" s="121"/>
      <c r="AE533" s="121"/>
    </row>
    <row r="534" spans="1:31" x14ac:dyDescent="0.25">
      <c r="A534" s="2" t="s">
        <v>486</v>
      </c>
      <c r="B534" s="7">
        <v>0.8208333333333333</v>
      </c>
      <c r="C534" s="2">
        <v>11.7</v>
      </c>
      <c r="D534" s="10" t="s">
        <v>381</v>
      </c>
      <c r="E534" s="40">
        <v>0</v>
      </c>
      <c r="F534" s="40">
        <v>2.2000000000000002</v>
      </c>
      <c r="G534" s="40">
        <v>2</v>
      </c>
      <c r="H534" s="3">
        <f t="shared" si="62"/>
        <v>0</v>
      </c>
      <c r="I534" s="3">
        <f t="shared" si="63"/>
        <v>1.0725</v>
      </c>
      <c r="J534" s="3">
        <f t="shared" si="64"/>
        <v>0.97499999999999987</v>
      </c>
      <c r="K534" s="3"/>
      <c r="L534" s="4">
        <f t="shared" si="65"/>
        <v>258.64500000000027</v>
      </c>
      <c r="M534" s="40">
        <v>0</v>
      </c>
      <c r="N534" s="40">
        <v>0</v>
      </c>
      <c r="O534" s="40">
        <v>0</v>
      </c>
      <c r="P534" s="40">
        <v>0</v>
      </c>
      <c r="Q534" s="40">
        <v>2</v>
      </c>
      <c r="R534" s="40">
        <v>0</v>
      </c>
      <c r="S534" s="2">
        <f t="shared" si="61"/>
        <v>39.400000000000233</v>
      </c>
      <c r="T534" s="2">
        <v>0</v>
      </c>
      <c r="U534" s="2">
        <v>0</v>
      </c>
      <c r="V534" s="2">
        <v>2</v>
      </c>
      <c r="W534" s="2">
        <v>0</v>
      </c>
      <c r="X534" s="2">
        <f t="shared" si="66"/>
        <v>61</v>
      </c>
      <c r="Z534" s="1"/>
      <c r="AA534" s="1"/>
      <c r="AB534" s="2" t="str">
        <f t="shared" si="67"/>
        <v/>
      </c>
      <c r="AD534" s="121"/>
      <c r="AE534" s="121"/>
    </row>
    <row r="535" spans="1:31" x14ac:dyDescent="0.25">
      <c r="A535" s="2" t="s">
        <v>486</v>
      </c>
      <c r="B535" s="7">
        <v>0.875</v>
      </c>
      <c r="C535" s="2">
        <v>1.3</v>
      </c>
      <c r="D535" s="10" t="s">
        <v>105</v>
      </c>
      <c r="E535" s="40">
        <v>15</v>
      </c>
      <c r="F535" s="40">
        <v>2.2000000000000002</v>
      </c>
      <c r="G535" s="40">
        <v>1</v>
      </c>
      <c r="H535" s="3">
        <f t="shared" si="62"/>
        <v>0.8125</v>
      </c>
      <c r="I535" s="3">
        <f t="shared" si="63"/>
        <v>0.11916666666666668</v>
      </c>
      <c r="J535" s="3">
        <f t="shared" si="64"/>
        <v>5.4166666666666669E-2</v>
      </c>
      <c r="K535" s="3"/>
      <c r="L535" s="4">
        <f t="shared" si="65"/>
        <v>257.65916666666692</v>
      </c>
      <c r="M535" s="40">
        <v>0</v>
      </c>
      <c r="N535" s="40">
        <v>0</v>
      </c>
      <c r="O535" s="40">
        <v>0</v>
      </c>
      <c r="P535" s="40">
        <v>0</v>
      </c>
      <c r="Q535" s="40">
        <v>0</v>
      </c>
      <c r="R535" s="40">
        <v>0</v>
      </c>
      <c r="S535" s="2">
        <f t="shared" si="61"/>
        <v>39.400000000000233</v>
      </c>
      <c r="T535" s="2">
        <v>0</v>
      </c>
      <c r="U535" s="2">
        <v>0</v>
      </c>
      <c r="V535" s="2">
        <v>0</v>
      </c>
      <c r="W535" s="2">
        <v>0</v>
      </c>
      <c r="X535" s="2">
        <f t="shared" si="66"/>
        <v>61</v>
      </c>
      <c r="Z535" s="1"/>
      <c r="AA535" s="1"/>
      <c r="AB535" s="2" t="str">
        <f t="shared" si="67"/>
        <v/>
      </c>
      <c r="AD535" s="121"/>
      <c r="AE535" s="121"/>
    </row>
    <row r="536" spans="1:31" x14ac:dyDescent="0.25">
      <c r="A536" s="2" t="s">
        <v>488</v>
      </c>
      <c r="B536" s="7">
        <v>0.33333333333333331</v>
      </c>
      <c r="C536" s="2">
        <v>11</v>
      </c>
      <c r="D536" s="10" t="s">
        <v>355</v>
      </c>
      <c r="E536" s="40">
        <v>22</v>
      </c>
      <c r="F536" s="40">
        <v>2.2000000000000002</v>
      </c>
      <c r="G536" s="40">
        <v>0</v>
      </c>
      <c r="H536" s="3">
        <f t="shared" si="62"/>
        <v>10.083333333333332</v>
      </c>
      <c r="I536" s="3">
        <f t="shared" si="63"/>
        <v>1.0083333333333333</v>
      </c>
      <c r="J536" s="3">
        <f t="shared" si="64"/>
        <v>0</v>
      </c>
      <c r="K536" s="3"/>
      <c r="L536" s="4">
        <f t="shared" si="65"/>
        <v>246.56750000000025</v>
      </c>
      <c r="M536" s="40">
        <v>0</v>
      </c>
      <c r="N536" s="40">
        <v>0</v>
      </c>
      <c r="O536" s="40">
        <v>0.1</v>
      </c>
      <c r="P536" s="40">
        <v>0</v>
      </c>
      <c r="Q536" s="40">
        <v>0</v>
      </c>
      <c r="R536" s="40">
        <v>0</v>
      </c>
      <c r="S536" s="2">
        <f t="shared" si="61"/>
        <v>39.300000000000232</v>
      </c>
      <c r="T536" s="2">
        <v>5</v>
      </c>
      <c r="U536" s="2">
        <v>0</v>
      </c>
      <c r="V536" s="2">
        <v>2</v>
      </c>
      <c r="W536" s="2">
        <v>0</v>
      </c>
      <c r="X536" s="2">
        <f t="shared" si="66"/>
        <v>64</v>
      </c>
      <c r="Z536" s="1"/>
      <c r="AA536" s="1"/>
      <c r="AB536" s="2" t="str">
        <f t="shared" si="67"/>
        <v/>
      </c>
      <c r="AD536" s="121"/>
      <c r="AE536" s="121"/>
    </row>
    <row r="537" spans="1:31" x14ac:dyDescent="0.25">
      <c r="A537" s="2" t="s">
        <v>488</v>
      </c>
      <c r="B537" s="7">
        <v>0.90416666666666667</v>
      </c>
      <c r="C537" s="2">
        <v>13.7</v>
      </c>
      <c r="D537" s="10" t="s">
        <v>381</v>
      </c>
      <c r="E537" s="40">
        <v>25</v>
      </c>
      <c r="F537" s="40">
        <v>2.2000000000000002</v>
      </c>
      <c r="G537" s="40">
        <v>0</v>
      </c>
      <c r="H537" s="3">
        <f t="shared" si="62"/>
        <v>14.270833333333334</v>
      </c>
      <c r="I537" s="3">
        <f t="shared" si="63"/>
        <v>1.2558333333333334</v>
      </c>
      <c r="J537" s="3">
        <f t="shared" si="64"/>
        <v>0</v>
      </c>
      <c r="K537" s="3"/>
      <c r="L537" s="4">
        <f t="shared" si="65"/>
        <v>231.04083333333358</v>
      </c>
      <c r="M537" s="40">
        <v>0</v>
      </c>
      <c r="N537" s="40">
        <v>0</v>
      </c>
      <c r="O537" s="40">
        <v>0</v>
      </c>
      <c r="P537" s="40">
        <v>0</v>
      </c>
      <c r="Q537" s="40">
        <v>0</v>
      </c>
      <c r="R537" s="40">
        <v>0</v>
      </c>
      <c r="S537" s="2">
        <f t="shared" si="61"/>
        <v>39.300000000000232</v>
      </c>
      <c r="T537" s="2">
        <v>6</v>
      </c>
      <c r="U537" s="2">
        <v>0</v>
      </c>
      <c r="V537" s="2">
        <v>2</v>
      </c>
      <c r="W537" s="2">
        <v>0</v>
      </c>
      <c r="X537" s="2">
        <f t="shared" si="66"/>
        <v>68</v>
      </c>
      <c r="Z537" s="1"/>
      <c r="AA537" s="1"/>
      <c r="AB537" s="2" t="str">
        <f t="shared" si="67"/>
        <v/>
      </c>
      <c r="AD537" s="121"/>
      <c r="AE537" s="121"/>
    </row>
    <row r="538" spans="1:31" x14ac:dyDescent="0.25">
      <c r="A538" s="2" t="s">
        <v>488</v>
      </c>
      <c r="B538" s="7">
        <v>0.97499999999999998</v>
      </c>
      <c r="C538" s="2">
        <v>2.2000000000000002</v>
      </c>
      <c r="D538" s="10" t="s">
        <v>489</v>
      </c>
      <c r="E538" s="40">
        <v>15</v>
      </c>
      <c r="F538" s="40">
        <v>2.2000000000000002</v>
      </c>
      <c r="G538" s="40">
        <v>0</v>
      </c>
      <c r="H538" s="3">
        <f t="shared" si="62"/>
        <v>1.375</v>
      </c>
      <c r="I538" s="3">
        <f t="shared" si="63"/>
        <v>0.20166666666666669</v>
      </c>
      <c r="J538" s="3">
        <f t="shared" si="64"/>
        <v>0</v>
      </c>
      <c r="K538" s="3"/>
      <c r="L538" s="4">
        <f t="shared" si="65"/>
        <v>229.46416666666693</v>
      </c>
      <c r="M538" s="40">
        <v>0</v>
      </c>
      <c r="N538" s="40">
        <v>0</v>
      </c>
      <c r="O538" s="40">
        <v>0.1</v>
      </c>
      <c r="P538" s="40">
        <v>0</v>
      </c>
      <c r="Q538" s="40">
        <v>0</v>
      </c>
      <c r="R538" s="40">
        <v>0</v>
      </c>
      <c r="S538" s="2">
        <f t="shared" si="61"/>
        <v>39.20000000000023</v>
      </c>
      <c r="T538" s="2">
        <v>0</v>
      </c>
      <c r="U538" s="2">
        <v>0</v>
      </c>
      <c r="V538" s="2">
        <v>0</v>
      </c>
      <c r="W538" s="2">
        <v>0</v>
      </c>
      <c r="X538" s="2">
        <f t="shared" si="66"/>
        <v>68</v>
      </c>
      <c r="Z538" s="1"/>
      <c r="AA538" s="1"/>
      <c r="AB538" s="2" t="str">
        <f t="shared" si="67"/>
        <v/>
      </c>
      <c r="AD538" s="121">
        <v>12.5</v>
      </c>
      <c r="AE538" s="121" t="s">
        <v>1295</v>
      </c>
    </row>
    <row r="539" spans="1:31" x14ac:dyDescent="0.25">
      <c r="A539" s="2" t="s">
        <v>490</v>
      </c>
      <c r="B539" s="7">
        <v>0.33333333333333331</v>
      </c>
      <c r="C539" s="2">
        <v>8.6</v>
      </c>
      <c r="D539" s="10" t="s">
        <v>378</v>
      </c>
      <c r="E539" s="40">
        <v>0</v>
      </c>
      <c r="F539" s="40">
        <v>2.5</v>
      </c>
      <c r="G539" s="40">
        <v>2</v>
      </c>
      <c r="H539" s="3">
        <f t="shared" si="62"/>
        <v>0</v>
      </c>
      <c r="I539" s="3">
        <f t="shared" si="63"/>
        <v>0.89583333333333337</v>
      </c>
      <c r="J539" s="3">
        <f t="shared" si="64"/>
        <v>0.71666666666666656</v>
      </c>
      <c r="K539" s="3"/>
      <c r="L539" s="4">
        <f t="shared" si="65"/>
        <v>227.85166666666692</v>
      </c>
      <c r="M539" s="40">
        <v>0</v>
      </c>
      <c r="N539" s="40">
        <v>0</v>
      </c>
      <c r="O539" s="40">
        <v>0</v>
      </c>
      <c r="P539" s="40">
        <v>0</v>
      </c>
      <c r="Q539" s="40">
        <v>2.1</v>
      </c>
      <c r="R539" s="40">
        <v>0</v>
      </c>
      <c r="S539" s="2">
        <f t="shared" si="61"/>
        <v>37.100000000000229</v>
      </c>
      <c r="T539" s="2">
        <v>0</v>
      </c>
      <c r="U539" s="2">
        <v>0</v>
      </c>
      <c r="V539" s="2">
        <v>3</v>
      </c>
      <c r="W539" s="2">
        <v>0</v>
      </c>
      <c r="X539" s="2">
        <f t="shared" si="66"/>
        <v>65</v>
      </c>
      <c r="Z539" s="1"/>
      <c r="AA539" s="1">
        <v>65</v>
      </c>
      <c r="AB539" s="2" t="str">
        <f t="shared" si="67"/>
        <v/>
      </c>
      <c r="AD539" s="121"/>
      <c r="AE539" s="121"/>
    </row>
    <row r="540" spans="1:31" x14ac:dyDescent="0.25">
      <c r="A540" s="2" t="s">
        <v>490</v>
      </c>
      <c r="B540" s="7">
        <v>0.46666666666666662</v>
      </c>
      <c r="C540" s="2">
        <v>3.2</v>
      </c>
      <c r="D540" s="10" t="s">
        <v>381</v>
      </c>
      <c r="E540" s="40">
        <v>0</v>
      </c>
      <c r="F540" s="40">
        <v>2.5</v>
      </c>
      <c r="G540" s="40">
        <v>2</v>
      </c>
      <c r="H540" s="3">
        <f t="shared" si="62"/>
        <v>0</v>
      </c>
      <c r="I540" s="3">
        <f t="shared" si="63"/>
        <v>0.33333333333333337</v>
      </c>
      <c r="J540" s="3">
        <f t="shared" si="64"/>
        <v>0.26666666666666666</v>
      </c>
      <c r="K540" s="3"/>
      <c r="L540" s="4">
        <f t="shared" si="65"/>
        <v>227.25166666666692</v>
      </c>
      <c r="M540" s="40">
        <v>0</v>
      </c>
      <c r="N540" s="40">
        <v>0</v>
      </c>
      <c r="O540" s="40">
        <v>0</v>
      </c>
      <c r="P540" s="40">
        <v>0</v>
      </c>
      <c r="Q540" s="40">
        <v>0.2</v>
      </c>
      <c r="R540" s="40">
        <v>0</v>
      </c>
      <c r="S540" s="2">
        <f t="shared" si="61"/>
        <v>36.900000000000226</v>
      </c>
      <c r="T540" s="2">
        <v>0</v>
      </c>
      <c r="U540" s="2">
        <v>0</v>
      </c>
      <c r="V540" s="2">
        <v>0</v>
      </c>
      <c r="W540" s="2">
        <v>0</v>
      </c>
      <c r="X540" s="2">
        <f t="shared" si="66"/>
        <v>65</v>
      </c>
      <c r="Z540" s="1"/>
      <c r="AA540" s="1"/>
      <c r="AB540" s="2" t="str">
        <f t="shared" si="67"/>
        <v/>
      </c>
      <c r="AD540" s="121"/>
      <c r="AE540" s="121"/>
    </row>
    <row r="541" spans="1:31" x14ac:dyDescent="0.25">
      <c r="A541" s="2" t="s">
        <v>490</v>
      </c>
      <c r="B541" s="7">
        <v>0.52083333333333337</v>
      </c>
      <c r="C541" s="2">
        <v>1.3</v>
      </c>
      <c r="D541" s="10" t="s">
        <v>355</v>
      </c>
      <c r="E541" s="40">
        <v>15</v>
      </c>
      <c r="F541" s="40">
        <v>2.2000000000000002</v>
      </c>
      <c r="G541" s="40">
        <v>0</v>
      </c>
      <c r="H541" s="3">
        <f t="shared" si="62"/>
        <v>0.8125</v>
      </c>
      <c r="I541" s="3">
        <f t="shared" si="63"/>
        <v>0.11916666666666668</v>
      </c>
      <c r="J541" s="3">
        <f t="shared" si="64"/>
        <v>0</v>
      </c>
      <c r="K541" s="3"/>
      <c r="L541" s="4">
        <f t="shared" si="65"/>
        <v>226.32000000000025</v>
      </c>
      <c r="M541" s="40">
        <v>0</v>
      </c>
      <c r="N541" s="40">
        <v>0</v>
      </c>
      <c r="O541" s="40">
        <v>0</v>
      </c>
      <c r="P541" s="40">
        <v>0</v>
      </c>
      <c r="Q541" s="40">
        <v>0</v>
      </c>
      <c r="R541" s="40">
        <v>0</v>
      </c>
      <c r="S541" s="2">
        <f t="shared" si="61"/>
        <v>36.900000000000226</v>
      </c>
      <c r="T541" s="2">
        <v>0</v>
      </c>
      <c r="U541" s="2">
        <v>0</v>
      </c>
      <c r="V541" s="2">
        <v>1</v>
      </c>
      <c r="W541" s="2">
        <v>0</v>
      </c>
      <c r="X541" s="2">
        <f t="shared" si="66"/>
        <v>64</v>
      </c>
      <c r="Z541" s="1"/>
      <c r="AA541" s="1"/>
      <c r="AB541" s="2" t="str">
        <f t="shared" si="67"/>
        <v/>
      </c>
      <c r="AD541" s="121"/>
      <c r="AE541" s="121"/>
    </row>
    <row r="542" spans="1:31" x14ac:dyDescent="0.25">
      <c r="A542" s="2" t="s">
        <v>490</v>
      </c>
      <c r="B542" s="7">
        <v>0.875</v>
      </c>
      <c r="C542" s="2">
        <v>8.5</v>
      </c>
      <c r="D542" s="10" t="s">
        <v>491</v>
      </c>
      <c r="E542" s="40">
        <v>20</v>
      </c>
      <c r="F542" s="40">
        <v>2.2000000000000002</v>
      </c>
      <c r="G542" s="40">
        <v>0</v>
      </c>
      <c r="H542" s="3">
        <f t="shared" si="62"/>
        <v>7.0833333333333339</v>
      </c>
      <c r="I542" s="3">
        <f t="shared" si="63"/>
        <v>0.77916666666666679</v>
      </c>
      <c r="J542" s="3">
        <f t="shared" si="64"/>
        <v>0</v>
      </c>
      <c r="K542" s="3"/>
      <c r="L542" s="4">
        <f t="shared" si="65"/>
        <v>218.45750000000024</v>
      </c>
      <c r="M542" s="40">
        <v>0</v>
      </c>
      <c r="N542" s="40">
        <v>0</v>
      </c>
      <c r="O542" s="40">
        <v>0</v>
      </c>
      <c r="P542" s="40">
        <v>0</v>
      </c>
      <c r="Q542" s="40">
        <v>0</v>
      </c>
      <c r="R542" s="40">
        <v>0</v>
      </c>
      <c r="S542" s="2">
        <f t="shared" si="61"/>
        <v>36.900000000000226</v>
      </c>
      <c r="T542" s="2">
        <v>0</v>
      </c>
      <c r="U542" s="2">
        <v>0</v>
      </c>
      <c r="V542" s="2">
        <v>1</v>
      </c>
      <c r="W542" s="2">
        <v>0</v>
      </c>
      <c r="X542" s="2">
        <f t="shared" si="66"/>
        <v>63</v>
      </c>
      <c r="Z542" s="1"/>
      <c r="AA542" s="1"/>
      <c r="AB542" s="2" t="str">
        <f t="shared" si="67"/>
        <v/>
      </c>
      <c r="AD542" s="121">
        <v>12.8</v>
      </c>
      <c r="AE542" s="121" t="s">
        <v>1301</v>
      </c>
    </row>
    <row r="543" spans="1:31" x14ac:dyDescent="0.25">
      <c r="A543" s="2" t="s">
        <v>490</v>
      </c>
      <c r="B543" s="7">
        <v>0.9458333333333333</v>
      </c>
      <c r="C543" s="2">
        <v>1.7</v>
      </c>
      <c r="D543" s="10" t="s">
        <v>492</v>
      </c>
      <c r="E543" s="40">
        <v>10</v>
      </c>
      <c r="F543" s="40">
        <v>2.2000000000000002</v>
      </c>
      <c r="G543" s="40">
        <v>0</v>
      </c>
      <c r="H543" s="3">
        <f t="shared" si="62"/>
        <v>0.70833333333333337</v>
      </c>
      <c r="I543" s="3">
        <f t="shared" si="63"/>
        <v>0.15583333333333335</v>
      </c>
      <c r="J543" s="3">
        <f t="shared" si="64"/>
        <v>0</v>
      </c>
      <c r="K543" s="3"/>
      <c r="L543" s="4">
        <f t="shared" si="65"/>
        <v>217.59333333333356</v>
      </c>
      <c r="M543" s="40">
        <v>0</v>
      </c>
      <c r="N543" s="40">
        <v>0</v>
      </c>
      <c r="O543" s="40">
        <v>0</v>
      </c>
      <c r="P543" s="40">
        <v>0</v>
      </c>
      <c r="Q543" s="40">
        <v>0</v>
      </c>
      <c r="R543" s="40">
        <v>0</v>
      </c>
      <c r="S543" s="2">
        <f t="shared" si="61"/>
        <v>36.900000000000226</v>
      </c>
      <c r="T543" s="2">
        <v>0</v>
      </c>
      <c r="U543" s="2">
        <v>0</v>
      </c>
      <c r="V543" s="2">
        <v>0</v>
      </c>
      <c r="W543" s="2">
        <v>0</v>
      </c>
      <c r="X543" s="2">
        <f t="shared" si="66"/>
        <v>63</v>
      </c>
      <c r="Z543" s="1"/>
      <c r="AA543" s="1"/>
      <c r="AB543" s="2" t="str">
        <f t="shared" si="67"/>
        <v/>
      </c>
      <c r="AD543" s="121"/>
      <c r="AE543" s="121"/>
    </row>
    <row r="544" spans="1:31" x14ac:dyDescent="0.25">
      <c r="A544" s="2" t="s">
        <v>490</v>
      </c>
      <c r="B544" s="7">
        <v>0.97916666666666663</v>
      </c>
      <c r="C544" s="2">
        <v>0.8</v>
      </c>
      <c r="D544" s="10" t="s">
        <v>493</v>
      </c>
      <c r="E544" s="40">
        <v>0</v>
      </c>
      <c r="F544" s="40">
        <v>2.2000000000000002</v>
      </c>
      <c r="G544" s="40">
        <v>2</v>
      </c>
      <c r="H544" s="3">
        <f t="shared" si="62"/>
        <v>0</v>
      </c>
      <c r="I544" s="3">
        <f t="shared" si="63"/>
        <v>7.3333333333333348E-2</v>
      </c>
      <c r="J544" s="3">
        <f t="shared" si="64"/>
        <v>6.6666666666666666E-2</v>
      </c>
      <c r="K544" s="3"/>
      <c r="L544" s="4">
        <f t="shared" si="65"/>
        <v>217.45333333333357</v>
      </c>
      <c r="M544" s="40">
        <v>0</v>
      </c>
      <c r="N544" s="40">
        <v>0</v>
      </c>
      <c r="O544" s="40">
        <v>0</v>
      </c>
      <c r="P544" s="40">
        <v>0</v>
      </c>
      <c r="Q544" s="40">
        <v>0</v>
      </c>
      <c r="R544" s="40">
        <v>0</v>
      </c>
      <c r="S544" s="2">
        <f t="shared" si="61"/>
        <v>36.900000000000226</v>
      </c>
      <c r="T544" s="2">
        <v>0</v>
      </c>
      <c r="U544" s="2">
        <v>0</v>
      </c>
      <c r="V544" s="2">
        <v>0</v>
      </c>
      <c r="W544" s="2">
        <v>0</v>
      </c>
      <c r="X544" s="2">
        <f t="shared" si="66"/>
        <v>63</v>
      </c>
      <c r="Z544" s="1"/>
      <c r="AA544" s="1"/>
      <c r="AB544" s="2" t="str">
        <f t="shared" si="67"/>
        <v/>
      </c>
      <c r="AD544" s="121"/>
      <c r="AE544" s="121"/>
    </row>
    <row r="545" spans="1:31" x14ac:dyDescent="0.25">
      <c r="A545" s="59"/>
      <c r="B545" s="7"/>
      <c r="C545" s="59"/>
      <c r="D545" s="10"/>
      <c r="E545" s="40"/>
      <c r="F545" s="40"/>
      <c r="G545" s="40"/>
      <c r="H545" s="3"/>
      <c r="I545" s="3"/>
      <c r="J545" s="3"/>
      <c r="K545" s="3"/>
      <c r="L545" s="4"/>
      <c r="M545" s="40"/>
      <c r="N545" s="40"/>
      <c r="O545" s="40"/>
      <c r="P545" s="40"/>
      <c r="Q545" s="40"/>
      <c r="R545" s="40"/>
      <c r="S545" s="59"/>
      <c r="T545" s="59"/>
      <c r="U545" s="59"/>
      <c r="V545" s="59"/>
      <c r="W545" s="59"/>
      <c r="X545" s="59"/>
      <c r="Z545" s="1"/>
      <c r="AA545" s="1"/>
      <c r="AB545" s="59"/>
      <c r="AD545" s="121"/>
      <c r="AE545" s="121"/>
    </row>
    <row r="546" spans="1:31" x14ac:dyDescent="0.25">
      <c r="A546" s="9" t="s">
        <v>494</v>
      </c>
      <c r="B546" s="7">
        <v>9.1666666666666674E-2</v>
      </c>
      <c r="C546" s="2">
        <v>2.7</v>
      </c>
      <c r="D546" s="10" t="s">
        <v>495</v>
      </c>
      <c r="E546" s="40">
        <v>10</v>
      </c>
      <c r="F546" s="40">
        <v>2.2000000000000002</v>
      </c>
      <c r="G546" s="40">
        <v>1</v>
      </c>
      <c r="H546" s="3">
        <f t="shared" si="62"/>
        <v>1.1250000000000002</v>
      </c>
      <c r="I546" s="3">
        <f t="shared" si="63"/>
        <v>0.24750000000000003</v>
      </c>
      <c r="J546" s="3">
        <f t="shared" si="64"/>
        <v>0.1125</v>
      </c>
      <c r="K546" s="3"/>
      <c r="L546" s="4">
        <f>+IF(C546="","",((L544-(H546+I546+J546))+K546))</f>
        <v>215.96833333333356</v>
      </c>
      <c r="M546" s="40">
        <v>0</v>
      </c>
      <c r="N546" s="40">
        <v>0</v>
      </c>
      <c r="O546" s="40">
        <v>0</v>
      </c>
      <c r="P546" s="40">
        <v>0</v>
      </c>
      <c r="Q546" s="40">
        <v>0</v>
      </c>
      <c r="R546" s="40">
        <v>0</v>
      </c>
      <c r="S546" s="2">
        <f>IF(C546="","",(S544+R546)-(M546+N546+O546+P546+Q546))</f>
        <v>36.900000000000226</v>
      </c>
      <c r="T546" s="2">
        <v>0</v>
      </c>
      <c r="U546" s="2">
        <v>0</v>
      </c>
      <c r="V546" s="2">
        <v>0</v>
      </c>
      <c r="W546" s="2">
        <v>0</v>
      </c>
      <c r="X546" s="2">
        <f>IF(V546="","",((X544+T546+U546)-(V546+W546)))</f>
        <v>63</v>
      </c>
      <c r="Z546" s="1"/>
      <c r="AA546" s="1"/>
      <c r="AB546" s="2" t="str">
        <f t="shared" si="67"/>
        <v/>
      </c>
      <c r="AD546" s="121"/>
      <c r="AE546" s="121"/>
    </row>
    <row r="547" spans="1:31" x14ac:dyDescent="0.25">
      <c r="A547" s="2" t="s">
        <v>444</v>
      </c>
      <c r="B547" s="7">
        <v>0.33333333333333331</v>
      </c>
      <c r="C547" s="2">
        <v>5.8</v>
      </c>
      <c r="D547" s="10" t="s">
        <v>495</v>
      </c>
      <c r="E547" s="40">
        <v>0</v>
      </c>
      <c r="F547" s="40">
        <v>2.2000000000000002</v>
      </c>
      <c r="G547" s="40">
        <v>2</v>
      </c>
      <c r="H547" s="3">
        <f t="shared" si="62"/>
        <v>0</v>
      </c>
      <c r="I547" s="3">
        <f t="shared" si="63"/>
        <v>0.53166666666666673</v>
      </c>
      <c r="J547" s="3">
        <f t="shared" si="64"/>
        <v>0.48333333333333328</v>
      </c>
      <c r="K547" s="3"/>
      <c r="L547" s="4">
        <f t="shared" si="65"/>
        <v>214.95333333333357</v>
      </c>
      <c r="M547" s="40">
        <v>0</v>
      </c>
      <c r="N547" s="40">
        <v>0</v>
      </c>
      <c r="O547" s="40">
        <v>0.1</v>
      </c>
      <c r="P547" s="40">
        <v>0</v>
      </c>
      <c r="Q547" s="40">
        <v>0</v>
      </c>
      <c r="R547" s="40">
        <v>0</v>
      </c>
      <c r="S547" s="2">
        <f t="shared" si="61"/>
        <v>36.800000000000225</v>
      </c>
      <c r="T547" s="2">
        <v>0</v>
      </c>
      <c r="U547" s="2">
        <v>0</v>
      </c>
      <c r="V547" s="2">
        <v>2</v>
      </c>
      <c r="W547" s="2">
        <v>0</v>
      </c>
      <c r="X547" s="2">
        <f t="shared" si="66"/>
        <v>61</v>
      </c>
      <c r="Z547" s="1"/>
      <c r="AA547" s="1">
        <v>63</v>
      </c>
      <c r="AB547" s="2" t="str">
        <f t="shared" si="67"/>
        <v/>
      </c>
      <c r="AD547" s="121"/>
      <c r="AE547" s="121"/>
    </row>
    <row r="548" spans="1:31" x14ac:dyDescent="0.25">
      <c r="A548" s="2" t="s">
        <v>496</v>
      </c>
      <c r="B548" s="7">
        <v>0.33333333333333331</v>
      </c>
      <c r="C548" s="2">
        <v>24</v>
      </c>
      <c r="D548" s="10" t="s">
        <v>495</v>
      </c>
      <c r="E548" s="40">
        <v>0</v>
      </c>
      <c r="F548" s="40">
        <v>2.5</v>
      </c>
      <c r="G548" s="40">
        <v>2</v>
      </c>
      <c r="H548" s="3">
        <f t="shared" si="62"/>
        <v>0</v>
      </c>
      <c r="I548" s="3">
        <v>2.5</v>
      </c>
      <c r="J548" s="3">
        <f t="shared" si="64"/>
        <v>2</v>
      </c>
      <c r="K548" s="3"/>
      <c r="L548" s="4">
        <f t="shared" si="65"/>
        <v>210.45333333333357</v>
      </c>
      <c r="M548" s="40">
        <v>0</v>
      </c>
      <c r="N548" s="40">
        <v>0</v>
      </c>
      <c r="O548" s="40">
        <v>0.1</v>
      </c>
      <c r="P548" s="40">
        <v>0</v>
      </c>
      <c r="Q548" s="40">
        <v>0</v>
      </c>
      <c r="R548" s="40">
        <v>0</v>
      </c>
      <c r="S548" s="2">
        <f t="shared" si="61"/>
        <v>36.700000000000223</v>
      </c>
      <c r="T548" s="2">
        <v>0</v>
      </c>
      <c r="U548" s="2">
        <v>0</v>
      </c>
      <c r="V548" s="2">
        <v>4</v>
      </c>
      <c r="W548" s="2">
        <v>0</v>
      </c>
      <c r="X548" s="2">
        <f t="shared" si="66"/>
        <v>57</v>
      </c>
      <c r="Z548" s="1"/>
      <c r="AA548" s="1">
        <v>58</v>
      </c>
      <c r="AB548" s="2" t="str">
        <f t="shared" si="67"/>
        <v/>
      </c>
      <c r="AD548" s="121"/>
      <c r="AE548" s="121"/>
    </row>
    <row r="549" spans="1:31" x14ac:dyDescent="0.25">
      <c r="A549" s="2" t="s">
        <v>497</v>
      </c>
      <c r="B549" s="7">
        <v>0.33333333333333331</v>
      </c>
      <c r="C549" s="2">
        <v>24</v>
      </c>
      <c r="D549" s="10" t="s">
        <v>495</v>
      </c>
      <c r="E549" s="40">
        <v>0</v>
      </c>
      <c r="F549" s="40">
        <v>2.5</v>
      </c>
      <c r="G549" s="40">
        <v>2</v>
      </c>
      <c r="H549" s="3">
        <f t="shared" si="62"/>
        <v>0</v>
      </c>
      <c r="I549" s="3">
        <f t="shared" si="63"/>
        <v>2.5</v>
      </c>
      <c r="J549" s="3">
        <f t="shared" si="64"/>
        <v>2</v>
      </c>
      <c r="K549" s="3"/>
      <c r="L549" s="4">
        <f t="shared" si="65"/>
        <v>205.95333333333357</v>
      </c>
      <c r="M549" s="40">
        <v>0</v>
      </c>
      <c r="N549" s="40">
        <v>0</v>
      </c>
      <c r="O549" s="40">
        <v>0.1</v>
      </c>
      <c r="P549" s="40">
        <v>0</v>
      </c>
      <c r="Q549" s="40">
        <v>0</v>
      </c>
      <c r="R549" s="40">
        <v>0</v>
      </c>
      <c r="S549" s="2">
        <f t="shared" si="61"/>
        <v>36.600000000000222</v>
      </c>
      <c r="T549" s="2">
        <v>0</v>
      </c>
      <c r="U549" s="2">
        <v>0</v>
      </c>
      <c r="V549" s="2">
        <v>4</v>
      </c>
      <c r="W549" s="2">
        <v>0</v>
      </c>
      <c r="X549" s="2">
        <f t="shared" si="66"/>
        <v>53</v>
      </c>
      <c r="Z549" s="1"/>
      <c r="AA549" s="1"/>
      <c r="AB549" s="2" t="str">
        <f t="shared" si="67"/>
        <v/>
      </c>
      <c r="AD549" s="121"/>
      <c r="AE549" s="121"/>
    </row>
    <row r="550" spans="1:31" x14ac:dyDescent="0.25">
      <c r="A550" s="2" t="s">
        <v>498</v>
      </c>
      <c r="B550" s="7">
        <v>0.18333333333333335</v>
      </c>
      <c r="C550" s="2">
        <v>20.399999999999999</v>
      </c>
      <c r="D550" s="10" t="s">
        <v>381</v>
      </c>
      <c r="E550" s="40">
        <v>0</v>
      </c>
      <c r="F550" s="40">
        <v>2.5</v>
      </c>
      <c r="G550" s="40">
        <v>2</v>
      </c>
      <c r="H550" s="3">
        <f t="shared" si="62"/>
        <v>0</v>
      </c>
      <c r="I550" s="3">
        <f t="shared" si="63"/>
        <v>2.125</v>
      </c>
      <c r="J550" s="3">
        <f t="shared" si="64"/>
        <v>1.6999999999999997</v>
      </c>
      <c r="K550" s="3"/>
      <c r="L550" s="4">
        <f t="shared" si="65"/>
        <v>202.12833333333359</v>
      </c>
      <c r="M550" s="40">
        <v>0</v>
      </c>
      <c r="N550" s="40">
        <v>0</v>
      </c>
      <c r="O550" s="40">
        <v>0.1</v>
      </c>
      <c r="P550" s="40">
        <v>0</v>
      </c>
      <c r="Q550" s="40">
        <v>0</v>
      </c>
      <c r="R550" s="40">
        <v>81</v>
      </c>
      <c r="S550" s="2">
        <f t="shared" si="61"/>
        <v>117.50000000000023</v>
      </c>
      <c r="T550" s="2">
        <v>0</v>
      </c>
      <c r="U550" s="2">
        <v>0</v>
      </c>
      <c r="V550" s="2">
        <v>3</v>
      </c>
      <c r="W550" s="2">
        <v>0</v>
      </c>
      <c r="X550" s="2">
        <f t="shared" si="66"/>
        <v>50</v>
      </c>
      <c r="Z550" s="1"/>
      <c r="AA550" s="1"/>
      <c r="AB550" s="2" t="str">
        <f t="shared" si="67"/>
        <v/>
      </c>
      <c r="AD550" s="121"/>
      <c r="AE550" s="121"/>
    </row>
    <row r="551" spans="1:31" x14ac:dyDescent="0.25">
      <c r="A551" s="2" t="s">
        <v>498</v>
      </c>
      <c r="B551" s="7">
        <v>0.22083333333333333</v>
      </c>
      <c r="C551" s="2">
        <v>0.9</v>
      </c>
      <c r="D551" s="10" t="s">
        <v>499</v>
      </c>
      <c r="E551" s="40">
        <v>15</v>
      </c>
      <c r="F551" s="40">
        <v>2.5</v>
      </c>
      <c r="G551" s="40">
        <v>2</v>
      </c>
      <c r="H551" s="3">
        <f t="shared" si="62"/>
        <v>0.5625</v>
      </c>
      <c r="I551" s="3">
        <f t="shared" si="63"/>
        <v>9.375E-2</v>
      </c>
      <c r="J551" s="3">
        <f t="shared" si="64"/>
        <v>7.4999999999999997E-2</v>
      </c>
      <c r="K551" s="3"/>
      <c r="L551" s="4">
        <f t="shared" si="65"/>
        <v>201.3970833333336</v>
      </c>
      <c r="M551" s="40">
        <v>0</v>
      </c>
      <c r="N551" s="40">
        <v>0</v>
      </c>
      <c r="O551" s="40">
        <v>0</v>
      </c>
      <c r="P551" s="40">
        <v>0</v>
      </c>
      <c r="Q551" s="40">
        <v>0</v>
      </c>
      <c r="R551" s="40">
        <v>0</v>
      </c>
      <c r="S551" s="2">
        <f t="shared" si="61"/>
        <v>117.50000000000023</v>
      </c>
      <c r="T551" s="2">
        <v>0</v>
      </c>
      <c r="U551" s="2">
        <v>0</v>
      </c>
      <c r="V551" s="2">
        <v>0</v>
      </c>
      <c r="W551" s="2">
        <v>0</v>
      </c>
      <c r="X551" s="2">
        <f t="shared" si="66"/>
        <v>50</v>
      </c>
      <c r="Z551" s="1"/>
      <c r="AA551" s="1"/>
      <c r="AB551" s="2" t="str">
        <f t="shared" si="67"/>
        <v/>
      </c>
      <c r="AD551" s="121"/>
      <c r="AE551" s="121"/>
    </row>
    <row r="552" spans="1:31" x14ac:dyDescent="0.25">
      <c r="A552" s="2" t="s">
        <v>498</v>
      </c>
      <c r="B552" s="7">
        <v>0.33333333333333331</v>
      </c>
      <c r="C552" s="2">
        <v>2.7</v>
      </c>
      <c r="D552" s="10" t="s">
        <v>499</v>
      </c>
      <c r="E552" s="40">
        <v>0</v>
      </c>
      <c r="F552" s="40">
        <v>2.2000000000000002</v>
      </c>
      <c r="G552" s="40">
        <v>2</v>
      </c>
      <c r="H552" s="3">
        <f t="shared" si="62"/>
        <v>0</v>
      </c>
      <c r="I552" s="3">
        <f t="shared" si="63"/>
        <v>0.24750000000000003</v>
      </c>
      <c r="J552" s="3">
        <f t="shared" si="64"/>
        <v>0.22500000000000001</v>
      </c>
      <c r="K552" s="3"/>
      <c r="L552" s="4">
        <f t="shared" si="65"/>
        <v>200.9245833333336</v>
      </c>
      <c r="M552" s="40">
        <v>0</v>
      </c>
      <c r="N552" s="40">
        <v>0</v>
      </c>
      <c r="O552" s="40">
        <v>0</v>
      </c>
      <c r="P552" s="40">
        <v>0</v>
      </c>
      <c r="Q552" s="40">
        <v>0</v>
      </c>
      <c r="R552" s="40">
        <v>0</v>
      </c>
      <c r="S552" s="2">
        <f t="shared" si="61"/>
        <v>117.50000000000023</v>
      </c>
      <c r="T552" s="2">
        <v>0</v>
      </c>
      <c r="U552" s="2">
        <v>0</v>
      </c>
      <c r="V552" s="2">
        <v>1</v>
      </c>
      <c r="W552" s="2">
        <v>0</v>
      </c>
      <c r="X552" s="2">
        <f t="shared" si="66"/>
        <v>49</v>
      </c>
      <c r="Z552" s="1"/>
      <c r="AA552" s="1"/>
      <c r="AB552" s="2" t="str">
        <f t="shared" si="67"/>
        <v/>
      </c>
      <c r="AD552" s="121"/>
      <c r="AE552" s="121"/>
    </row>
    <row r="553" spans="1:31" x14ac:dyDescent="0.25">
      <c r="A553" s="2" t="s">
        <v>498</v>
      </c>
      <c r="B553" s="7">
        <v>0.77083333333333337</v>
      </c>
      <c r="C553" s="2">
        <v>10.5</v>
      </c>
      <c r="D553" s="10" t="s">
        <v>381</v>
      </c>
      <c r="E553" s="40">
        <v>0</v>
      </c>
      <c r="F553" s="40">
        <v>2.2000000000000002</v>
      </c>
      <c r="G553" s="40">
        <v>2</v>
      </c>
      <c r="H553" s="3">
        <f t="shared" si="62"/>
        <v>0</v>
      </c>
      <c r="I553" s="3">
        <f t="shared" si="63"/>
        <v>0.96250000000000013</v>
      </c>
      <c r="J553" s="3">
        <f t="shared" si="64"/>
        <v>0.875</v>
      </c>
      <c r="K553" s="3">
        <v>380</v>
      </c>
      <c r="L553" s="4">
        <f t="shared" si="65"/>
        <v>579.08708333333357</v>
      </c>
      <c r="M553" s="40">
        <v>0</v>
      </c>
      <c r="N553" s="40">
        <v>0</v>
      </c>
      <c r="O553" s="40">
        <v>0</v>
      </c>
      <c r="P553" s="40">
        <v>0</v>
      </c>
      <c r="Q553" s="40">
        <v>0</v>
      </c>
      <c r="R553" s="40">
        <v>0</v>
      </c>
      <c r="S553" s="2">
        <f t="shared" si="61"/>
        <v>117.50000000000023</v>
      </c>
      <c r="T553" s="2">
        <v>0</v>
      </c>
      <c r="U553" s="2">
        <v>110</v>
      </c>
      <c r="V553" s="2">
        <v>2</v>
      </c>
      <c r="W553" s="2">
        <v>0</v>
      </c>
      <c r="X553" s="2">
        <f t="shared" si="66"/>
        <v>157</v>
      </c>
      <c r="Z553" s="1"/>
      <c r="AA553" s="1"/>
      <c r="AB553" s="2" t="str">
        <f t="shared" si="67"/>
        <v/>
      </c>
      <c r="AD553" s="121"/>
      <c r="AE553" s="121"/>
    </row>
    <row r="554" spans="1:31" x14ac:dyDescent="0.25">
      <c r="A554" s="2" t="s">
        <v>498</v>
      </c>
      <c r="B554" s="7">
        <v>0.79166666666666663</v>
      </c>
      <c r="C554" s="2">
        <v>0.5</v>
      </c>
      <c r="D554" s="10" t="s">
        <v>355</v>
      </c>
      <c r="E554" s="40">
        <v>15</v>
      </c>
      <c r="F554" s="40">
        <v>2.2000000000000002</v>
      </c>
      <c r="G554" s="40">
        <v>0</v>
      </c>
      <c r="H554" s="3">
        <f t="shared" si="62"/>
        <v>0.3125</v>
      </c>
      <c r="I554" s="3">
        <f t="shared" si="63"/>
        <v>4.5833333333333337E-2</v>
      </c>
      <c r="J554" s="3">
        <f t="shared" si="64"/>
        <v>0</v>
      </c>
      <c r="K554" s="3"/>
      <c r="L554" s="4">
        <f t="shared" si="65"/>
        <v>578.72875000000022</v>
      </c>
      <c r="M554" s="40">
        <v>0</v>
      </c>
      <c r="N554" s="40">
        <v>0</v>
      </c>
      <c r="O554" s="40">
        <v>0</v>
      </c>
      <c r="P554" s="40">
        <v>0</v>
      </c>
      <c r="Q554" s="40">
        <v>0</v>
      </c>
      <c r="R554" s="40">
        <v>0</v>
      </c>
      <c r="S554" s="2">
        <f t="shared" si="61"/>
        <v>117.50000000000023</v>
      </c>
      <c r="T554" s="2">
        <v>0</v>
      </c>
      <c r="U554" s="2">
        <v>0</v>
      </c>
      <c r="V554" s="2">
        <v>0</v>
      </c>
      <c r="W554" s="2">
        <v>0</v>
      </c>
      <c r="X554" s="2">
        <f t="shared" si="66"/>
        <v>157</v>
      </c>
      <c r="Z554" s="1"/>
      <c r="AA554" s="1"/>
      <c r="AB554" s="2" t="str">
        <f t="shared" si="67"/>
        <v/>
      </c>
      <c r="AD554" s="121"/>
      <c r="AE554" s="121"/>
    </row>
    <row r="555" spans="1:31" x14ac:dyDescent="0.25">
      <c r="A555" s="2" t="s">
        <v>500</v>
      </c>
      <c r="B555" s="7">
        <v>0.33333333333333331</v>
      </c>
      <c r="C555" s="2">
        <v>13</v>
      </c>
      <c r="D555" s="10" t="s">
        <v>355</v>
      </c>
      <c r="E555" s="40">
        <v>25</v>
      </c>
      <c r="F555" s="40">
        <v>2.2000000000000002</v>
      </c>
      <c r="G555" s="40">
        <v>0</v>
      </c>
      <c r="H555" s="3">
        <f t="shared" si="62"/>
        <v>13.541666666666668</v>
      </c>
      <c r="I555" s="3">
        <f t="shared" si="63"/>
        <v>1.1916666666666669</v>
      </c>
      <c r="J555" s="3">
        <f t="shared" si="64"/>
        <v>0</v>
      </c>
      <c r="K555" s="3"/>
      <c r="L555" s="4">
        <f t="shared" si="65"/>
        <v>563.99541666666687</v>
      </c>
      <c r="M555" s="40">
        <v>0</v>
      </c>
      <c r="N555" s="40">
        <v>0</v>
      </c>
      <c r="O555" s="40">
        <v>0.1</v>
      </c>
      <c r="P555" s="40">
        <v>0</v>
      </c>
      <c r="Q555" s="40">
        <v>0</v>
      </c>
      <c r="R555" s="40">
        <v>0</v>
      </c>
      <c r="S555" s="2">
        <f t="shared" si="61"/>
        <v>117.40000000000023</v>
      </c>
      <c r="T555" s="2">
        <v>6</v>
      </c>
      <c r="U555" s="2">
        <v>0</v>
      </c>
      <c r="V555" s="2">
        <v>2</v>
      </c>
      <c r="W555" s="2">
        <v>0</v>
      </c>
      <c r="X555" s="2">
        <f t="shared" si="66"/>
        <v>161</v>
      </c>
      <c r="Z555" s="1">
        <v>118</v>
      </c>
      <c r="AA555" s="1">
        <v>53</v>
      </c>
      <c r="AB555" s="2">
        <f t="shared" si="67"/>
        <v>171</v>
      </c>
      <c r="AD555" s="121"/>
      <c r="AE555" s="121"/>
    </row>
    <row r="556" spans="1:31" x14ac:dyDescent="0.25">
      <c r="A556" s="2" t="s">
        <v>500</v>
      </c>
      <c r="B556" s="7">
        <v>0.90416666666666667</v>
      </c>
      <c r="C556" s="2">
        <v>13.7</v>
      </c>
      <c r="D556" s="10" t="s">
        <v>381</v>
      </c>
      <c r="E556" s="40">
        <v>20</v>
      </c>
      <c r="F556" s="40">
        <v>2.2000000000000002</v>
      </c>
      <c r="G556" s="40">
        <v>0</v>
      </c>
      <c r="H556" s="3">
        <f t="shared" si="62"/>
        <v>11.416666666666666</v>
      </c>
      <c r="I556" s="3">
        <f t="shared" si="63"/>
        <v>1.2558333333333334</v>
      </c>
      <c r="J556" s="3">
        <f t="shared" si="64"/>
        <v>0</v>
      </c>
      <c r="K556" s="3"/>
      <c r="L556" s="4">
        <f t="shared" si="65"/>
        <v>551.32291666666686</v>
      </c>
      <c r="M556" s="40">
        <v>0</v>
      </c>
      <c r="N556" s="40">
        <v>0</v>
      </c>
      <c r="O556" s="40">
        <v>0</v>
      </c>
      <c r="P556" s="40">
        <v>0</v>
      </c>
      <c r="Q556" s="40">
        <v>5</v>
      </c>
      <c r="R556" s="40">
        <v>0</v>
      </c>
      <c r="S556" s="2">
        <f t="shared" si="61"/>
        <v>112.40000000000023</v>
      </c>
      <c r="T556" s="2">
        <v>7</v>
      </c>
      <c r="U556" s="2">
        <v>0</v>
      </c>
      <c r="V556" s="2">
        <v>2</v>
      </c>
      <c r="W556" s="2">
        <v>0</v>
      </c>
      <c r="X556" s="2">
        <f t="shared" si="66"/>
        <v>166</v>
      </c>
      <c r="Z556" s="1"/>
      <c r="AA556" s="1"/>
      <c r="AB556" s="2" t="str">
        <f t="shared" si="67"/>
        <v/>
      </c>
      <c r="AD556" s="121"/>
      <c r="AE556" s="121"/>
    </row>
    <row r="557" spans="1:31" x14ac:dyDescent="0.25">
      <c r="A557" s="2" t="s">
        <v>500</v>
      </c>
      <c r="B557" s="7">
        <v>0.95000000000000007</v>
      </c>
      <c r="C557" s="2">
        <v>1.1000000000000001</v>
      </c>
      <c r="D557" s="10" t="s">
        <v>502</v>
      </c>
      <c r="E557" s="40">
        <v>15</v>
      </c>
      <c r="F557" s="40">
        <v>2.2000000000000002</v>
      </c>
      <c r="G557" s="40">
        <v>0</v>
      </c>
      <c r="H557" s="3">
        <f t="shared" si="62"/>
        <v>0.6875</v>
      </c>
      <c r="I557" s="3">
        <f t="shared" si="63"/>
        <v>0.10083333333333334</v>
      </c>
      <c r="J557" s="3">
        <f t="shared" si="64"/>
        <v>0</v>
      </c>
      <c r="K557" s="3"/>
      <c r="L557" s="4">
        <f t="shared" si="65"/>
        <v>550.53458333333356</v>
      </c>
      <c r="M557" s="40">
        <v>0</v>
      </c>
      <c r="N557" s="40">
        <v>0</v>
      </c>
      <c r="O557" s="40">
        <v>0</v>
      </c>
      <c r="P557" s="40">
        <v>0</v>
      </c>
      <c r="Q557" s="40">
        <v>0</v>
      </c>
      <c r="R557" s="40">
        <v>0</v>
      </c>
      <c r="S557" s="2">
        <f t="shared" si="61"/>
        <v>112.40000000000023</v>
      </c>
      <c r="T557" s="2">
        <v>0</v>
      </c>
      <c r="U557" s="2">
        <v>0</v>
      </c>
      <c r="V557" s="2">
        <v>0</v>
      </c>
      <c r="W557" s="2">
        <v>0</v>
      </c>
      <c r="X557" s="2">
        <f t="shared" si="66"/>
        <v>166</v>
      </c>
      <c r="Z557" s="1"/>
      <c r="AA557" s="1"/>
      <c r="AB557" s="2" t="str">
        <f t="shared" si="67"/>
        <v/>
      </c>
      <c r="AD557" s="121">
        <v>12.8</v>
      </c>
      <c r="AE557" s="121" t="s">
        <v>1310</v>
      </c>
    </row>
    <row r="558" spans="1:31" x14ac:dyDescent="0.25">
      <c r="A558" s="2" t="s">
        <v>501</v>
      </c>
      <c r="B558" s="7">
        <v>0.33333333333333331</v>
      </c>
      <c r="C558" s="2">
        <v>9.1999999999999993</v>
      </c>
      <c r="D558" s="10" t="s">
        <v>529</v>
      </c>
      <c r="E558" s="40">
        <v>0</v>
      </c>
      <c r="F558" s="40">
        <v>2.2000000000000002</v>
      </c>
      <c r="G558" s="40">
        <v>2</v>
      </c>
      <c r="H558" s="3">
        <f t="shared" si="62"/>
        <v>0</v>
      </c>
      <c r="I558" s="3">
        <f t="shared" si="63"/>
        <v>0.84333333333333338</v>
      </c>
      <c r="J558" s="3">
        <f t="shared" si="64"/>
        <v>0.76666666666666661</v>
      </c>
      <c r="K558" s="3"/>
      <c r="L558" s="4">
        <f t="shared" si="65"/>
        <v>548.92458333333354</v>
      </c>
      <c r="M558" s="40">
        <v>0</v>
      </c>
      <c r="N558" s="40">
        <v>0</v>
      </c>
      <c r="O558" s="40">
        <v>0.1</v>
      </c>
      <c r="P558" s="40">
        <v>0</v>
      </c>
      <c r="Q558" s="40">
        <v>0</v>
      </c>
      <c r="R558" s="40">
        <v>0</v>
      </c>
      <c r="S558" s="2">
        <f t="shared" si="61"/>
        <v>112.30000000000024</v>
      </c>
      <c r="T558" s="2">
        <v>0</v>
      </c>
      <c r="U558" s="2">
        <v>0</v>
      </c>
      <c r="V558" s="2">
        <v>2</v>
      </c>
      <c r="W558" s="2">
        <v>0</v>
      </c>
      <c r="X558" s="2">
        <f t="shared" si="66"/>
        <v>164</v>
      </c>
      <c r="Z558" s="1">
        <v>118</v>
      </c>
      <c r="AA558" s="1">
        <v>56</v>
      </c>
      <c r="AB558" s="2">
        <f t="shared" si="67"/>
        <v>174</v>
      </c>
      <c r="AD558" s="121"/>
      <c r="AE558" s="121"/>
    </row>
    <row r="559" spans="1:31" x14ac:dyDescent="0.25">
      <c r="A559" s="2" t="s">
        <v>501</v>
      </c>
      <c r="B559" s="7">
        <v>0.57500000000000007</v>
      </c>
      <c r="C559" s="2">
        <v>5.8</v>
      </c>
      <c r="D559" s="10" t="s">
        <v>381</v>
      </c>
      <c r="E559" s="40">
        <v>0</v>
      </c>
      <c r="F559" s="40">
        <v>2</v>
      </c>
      <c r="G559" s="40">
        <v>2</v>
      </c>
      <c r="H559" s="3">
        <f t="shared" si="62"/>
        <v>0</v>
      </c>
      <c r="I559" s="3">
        <f t="shared" si="63"/>
        <v>0.48333333333333328</v>
      </c>
      <c r="J559" s="3">
        <f t="shared" si="64"/>
        <v>0.48333333333333328</v>
      </c>
      <c r="K559" s="3"/>
      <c r="L559" s="4">
        <f t="shared" si="65"/>
        <v>547.95791666666685</v>
      </c>
      <c r="M559" s="40">
        <v>0</v>
      </c>
      <c r="N559" s="40">
        <v>0</v>
      </c>
      <c r="O559" s="40">
        <v>0</v>
      </c>
      <c r="P559" s="40">
        <v>0</v>
      </c>
      <c r="Q559" s="40">
        <v>0</v>
      </c>
      <c r="R559" s="40">
        <v>0</v>
      </c>
      <c r="S559" s="2">
        <f t="shared" si="61"/>
        <v>112.30000000000024</v>
      </c>
      <c r="T559" s="2">
        <v>0</v>
      </c>
      <c r="U559" s="2">
        <v>0</v>
      </c>
      <c r="V559" s="2">
        <v>1</v>
      </c>
      <c r="W559" s="2">
        <v>0</v>
      </c>
      <c r="X559" s="2">
        <f t="shared" si="66"/>
        <v>163</v>
      </c>
      <c r="Z559" s="1"/>
      <c r="AA559" s="1"/>
      <c r="AB559" s="2" t="str">
        <f t="shared" si="67"/>
        <v/>
      </c>
      <c r="AD559" s="121"/>
      <c r="AE559" s="121"/>
    </row>
    <row r="560" spans="1:31" x14ac:dyDescent="0.25">
      <c r="A560" s="2" t="s">
        <v>501</v>
      </c>
      <c r="B560" s="7">
        <v>0.64166666666666672</v>
      </c>
      <c r="C560" s="2">
        <v>1.6</v>
      </c>
      <c r="D560" s="10" t="s">
        <v>503</v>
      </c>
      <c r="E560" s="40">
        <v>10</v>
      </c>
      <c r="F560" s="40">
        <v>2</v>
      </c>
      <c r="G560" s="40">
        <v>1</v>
      </c>
      <c r="H560" s="3">
        <f t="shared" si="62"/>
        <v>0.66666666666666674</v>
      </c>
      <c r="I560" s="3">
        <f t="shared" si="63"/>
        <v>0.13333333333333333</v>
      </c>
      <c r="J560" s="3">
        <f t="shared" si="64"/>
        <v>6.6666666666666666E-2</v>
      </c>
      <c r="K560" s="3"/>
      <c r="L560" s="4">
        <f t="shared" si="65"/>
        <v>547.09125000000017</v>
      </c>
      <c r="M560" s="40">
        <v>0</v>
      </c>
      <c r="N560" s="40">
        <v>0</v>
      </c>
      <c r="O560" s="40">
        <v>0</v>
      </c>
      <c r="P560" s="40">
        <v>0</v>
      </c>
      <c r="Q560" s="40">
        <v>0</v>
      </c>
      <c r="R560" s="40">
        <v>0</v>
      </c>
      <c r="S560" s="2">
        <f t="shared" si="61"/>
        <v>112.30000000000024</v>
      </c>
      <c r="T560" s="2">
        <v>0</v>
      </c>
      <c r="U560" s="2">
        <v>0</v>
      </c>
      <c r="V560" s="2">
        <v>0</v>
      </c>
      <c r="W560" s="2">
        <v>0</v>
      </c>
      <c r="X560" s="2">
        <f t="shared" si="66"/>
        <v>163</v>
      </c>
      <c r="Z560" s="1"/>
      <c r="AA560" s="1"/>
      <c r="AB560" s="2" t="str">
        <f t="shared" si="67"/>
        <v/>
      </c>
      <c r="AD560" s="121"/>
      <c r="AE560" s="121"/>
    </row>
    <row r="561" spans="1:31" x14ac:dyDescent="0.25">
      <c r="A561" s="2" t="s">
        <v>454</v>
      </c>
      <c r="B561" s="7">
        <v>0.33333333333333331</v>
      </c>
      <c r="C561" s="2">
        <v>16.600000000000001</v>
      </c>
      <c r="D561" s="10" t="s">
        <v>504</v>
      </c>
      <c r="E561" s="40">
        <v>0</v>
      </c>
      <c r="F561" s="40">
        <v>2</v>
      </c>
      <c r="G561" s="40">
        <v>1.5</v>
      </c>
      <c r="H561" s="3">
        <f t="shared" si="62"/>
        <v>0</v>
      </c>
      <c r="I561" s="3">
        <f t="shared" si="63"/>
        <v>1.3833333333333333</v>
      </c>
      <c r="J561" s="3">
        <f t="shared" si="64"/>
        <v>1.0375000000000001</v>
      </c>
      <c r="K561" s="3"/>
      <c r="L561" s="4">
        <f t="shared" si="65"/>
        <v>544.67041666666682</v>
      </c>
      <c r="M561" s="40">
        <v>0</v>
      </c>
      <c r="N561" s="40">
        <v>0</v>
      </c>
      <c r="O561" s="40">
        <v>0.1</v>
      </c>
      <c r="P561" s="40">
        <v>0</v>
      </c>
      <c r="Q561" s="40">
        <v>4.0999999999999996</v>
      </c>
      <c r="R561" s="40">
        <v>0</v>
      </c>
      <c r="S561" s="2">
        <f t="shared" si="61"/>
        <v>108.10000000000024</v>
      </c>
      <c r="T561" s="2">
        <v>0</v>
      </c>
      <c r="U561" s="2">
        <v>0</v>
      </c>
      <c r="V561" s="2">
        <v>3</v>
      </c>
      <c r="W561" s="2">
        <v>0</v>
      </c>
      <c r="X561" s="2">
        <f t="shared" si="66"/>
        <v>160</v>
      </c>
      <c r="Z561" s="1"/>
      <c r="AA561" s="1"/>
      <c r="AB561" s="2" t="str">
        <f t="shared" si="67"/>
        <v/>
      </c>
      <c r="AD561" s="121"/>
      <c r="AE561" s="121"/>
    </row>
    <row r="562" spans="1:31" x14ac:dyDescent="0.25">
      <c r="A562" s="2" t="s">
        <v>505</v>
      </c>
      <c r="B562" s="7">
        <v>0.87916666666666676</v>
      </c>
      <c r="C562" s="2">
        <v>13.1</v>
      </c>
      <c r="D562" s="10" t="s">
        <v>381</v>
      </c>
      <c r="E562" s="40">
        <v>0</v>
      </c>
      <c r="F562" s="40">
        <v>2</v>
      </c>
      <c r="G562" s="40">
        <v>1</v>
      </c>
      <c r="H562" s="3">
        <f t="shared" si="62"/>
        <v>0</v>
      </c>
      <c r="I562" s="3">
        <f t="shared" si="63"/>
        <v>1.0916666666666666</v>
      </c>
      <c r="J562" s="3">
        <f t="shared" si="64"/>
        <v>0.54583333333333328</v>
      </c>
      <c r="K562" s="3"/>
      <c r="L562" s="4">
        <f t="shared" si="65"/>
        <v>543.03291666666678</v>
      </c>
      <c r="M562" s="40">
        <v>0</v>
      </c>
      <c r="N562" s="40">
        <v>0</v>
      </c>
      <c r="O562" s="40">
        <v>0</v>
      </c>
      <c r="P562" s="40">
        <v>0</v>
      </c>
      <c r="Q562" s="40">
        <v>2.5</v>
      </c>
      <c r="R562" s="40">
        <v>0</v>
      </c>
      <c r="S562" s="2">
        <f t="shared" si="61"/>
        <v>105.60000000000024</v>
      </c>
      <c r="T562" s="2">
        <v>0</v>
      </c>
      <c r="U562" s="2">
        <v>0</v>
      </c>
      <c r="V562" s="2">
        <v>2</v>
      </c>
      <c r="W562" s="2">
        <v>0</v>
      </c>
      <c r="X562" s="2">
        <f t="shared" si="66"/>
        <v>158</v>
      </c>
      <c r="Z562" s="1"/>
      <c r="AA562" s="1"/>
      <c r="AB562" s="2" t="str">
        <f t="shared" si="67"/>
        <v/>
      </c>
      <c r="AD562" s="121"/>
      <c r="AE562" s="121"/>
    </row>
    <row r="563" spans="1:31" x14ac:dyDescent="0.25">
      <c r="A563" s="2" t="s">
        <v>505</v>
      </c>
      <c r="B563" s="7">
        <v>0.89583333333333337</v>
      </c>
      <c r="C563" s="2">
        <v>0.4</v>
      </c>
      <c r="D563" s="10" t="s">
        <v>105</v>
      </c>
      <c r="E563" s="40">
        <v>15</v>
      </c>
      <c r="F563" s="40">
        <v>2</v>
      </c>
      <c r="G563" s="40">
        <v>1</v>
      </c>
      <c r="H563" s="3">
        <f t="shared" si="62"/>
        <v>0.25</v>
      </c>
      <c r="I563" s="3">
        <f t="shared" si="63"/>
        <v>3.3333333333333333E-2</v>
      </c>
      <c r="J563" s="3">
        <f t="shared" si="64"/>
        <v>1.6666666666666666E-2</v>
      </c>
      <c r="K563" s="3"/>
      <c r="L563" s="4">
        <f t="shared" si="65"/>
        <v>542.73291666666682</v>
      </c>
      <c r="M563" s="40">
        <v>0</v>
      </c>
      <c r="N563" s="40">
        <v>0</v>
      </c>
      <c r="O563" s="40">
        <v>0</v>
      </c>
      <c r="P563" s="40">
        <v>0</v>
      </c>
      <c r="Q563" s="40">
        <v>0</v>
      </c>
      <c r="R563" s="40">
        <v>0</v>
      </c>
      <c r="S563" s="2">
        <f t="shared" si="61"/>
        <v>105.60000000000024</v>
      </c>
      <c r="T563" s="2">
        <v>0</v>
      </c>
      <c r="U563" s="2">
        <v>0</v>
      </c>
      <c r="V563" s="2">
        <v>0</v>
      </c>
      <c r="W563" s="2">
        <v>0</v>
      </c>
      <c r="X563" s="2">
        <f t="shared" si="66"/>
        <v>158</v>
      </c>
      <c r="Z563" s="1"/>
      <c r="AA563" s="1"/>
      <c r="AB563" s="2" t="str">
        <f t="shared" si="67"/>
        <v/>
      </c>
      <c r="AD563" s="121"/>
      <c r="AE563" s="121"/>
    </row>
    <row r="564" spans="1:31" x14ac:dyDescent="0.25">
      <c r="A564" s="2" t="s">
        <v>506</v>
      </c>
      <c r="B564" s="7">
        <v>0.20833333333333334</v>
      </c>
      <c r="C564" s="2">
        <v>7.5</v>
      </c>
      <c r="D564" s="10" t="s">
        <v>374</v>
      </c>
      <c r="E564" s="40">
        <v>20</v>
      </c>
      <c r="F564" s="40">
        <v>2</v>
      </c>
      <c r="G564" s="40">
        <v>0</v>
      </c>
      <c r="H564" s="3">
        <f t="shared" si="62"/>
        <v>6.25</v>
      </c>
      <c r="I564" s="3">
        <f t="shared" si="63"/>
        <v>0.625</v>
      </c>
      <c r="J564" s="3">
        <f t="shared" si="64"/>
        <v>0</v>
      </c>
      <c r="K564" s="3"/>
      <c r="L564" s="4">
        <f t="shared" si="65"/>
        <v>535.85791666666682</v>
      </c>
      <c r="M564" s="40">
        <v>0</v>
      </c>
      <c r="N564" s="40">
        <v>0</v>
      </c>
      <c r="O564" s="40">
        <v>0.1</v>
      </c>
      <c r="P564" s="40">
        <v>0</v>
      </c>
      <c r="Q564" s="40">
        <v>0</v>
      </c>
      <c r="R564" s="40">
        <v>0</v>
      </c>
      <c r="S564" s="2">
        <f t="shared" si="61"/>
        <v>105.50000000000024</v>
      </c>
      <c r="T564" s="2">
        <v>3</v>
      </c>
      <c r="U564" s="2">
        <v>0</v>
      </c>
      <c r="V564" s="2">
        <v>2</v>
      </c>
      <c r="W564" s="2">
        <v>0</v>
      </c>
      <c r="X564" s="2">
        <f t="shared" si="66"/>
        <v>159</v>
      </c>
      <c r="Z564" s="1">
        <v>118</v>
      </c>
      <c r="AA564" s="1">
        <v>43</v>
      </c>
      <c r="AB564" s="2">
        <f t="shared" si="67"/>
        <v>161</v>
      </c>
      <c r="AD564" s="121"/>
      <c r="AE564" s="121"/>
    </row>
    <row r="565" spans="1:31" x14ac:dyDescent="0.25">
      <c r="A565" s="2" t="s">
        <v>506</v>
      </c>
      <c r="B565" s="7">
        <v>0.25</v>
      </c>
      <c r="C565" s="2">
        <v>1</v>
      </c>
      <c r="D565" s="10" t="s">
        <v>481</v>
      </c>
      <c r="E565" s="40">
        <v>10</v>
      </c>
      <c r="F565" s="40">
        <v>2.2000000000000002</v>
      </c>
      <c r="G565" s="40">
        <v>0</v>
      </c>
      <c r="H565" s="3">
        <f t="shared" si="62"/>
        <v>0.41666666666666669</v>
      </c>
      <c r="I565" s="3">
        <f t="shared" si="63"/>
        <v>9.1666666666666674E-2</v>
      </c>
      <c r="J565" s="3">
        <f t="shared" si="64"/>
        <v>0</v>
      </c>
      <c r="K565" s="3"/>
      <c r="L565" s="4">
        <f t="shared" si="65"/>
        <v>535.3495833333335</v>
      </c>
      <c r="M565" s="40">
        <v>0</v>
      </c>
      <c r="N565" s="40">
        <v>0</v>
      </c>
      <c r="O565" s="40">
        <v>0</v>
      </c>
      <c r="P565" s="40">
        <v>0</v>
      </c>
      <c r="Q565" s="40">
        <v>0</v>
      </c>
      <c r="R565" s="40">
        <v>0</v>
      </c>
      <c r="S565" s="2">
        <f t="shared" si="61"/>
        <v>105.50000000000024</v>
      </c>
      <c r="T565" s="2">
        <v>0</v>
      </c>
      <c r="U565" s="2">
        <v>0</v>
      </c>
      <c r="V565" s="2">
        <v>0</v>
      </c>
      <c r="W565" s="2">
        <v>0</v>
      </c>
      <c r="X565" s="2">
        <f t="shared" si="66"/>
        <v>159</v>
      </c>
      <c r="Z565" s="1"/>
      <c r="AA565" s="1"/>
      <c r="AB565" s="2" t="str">
        <f t="shared" si="67"/>
        <v/>
      </c>
      <c r="AD565" s="121"/>
      <c r="AE565" s="121"/>
    </row>
    <row r="566" spans="1:31" x14ac:dyDescent="0.25">
      <c r="A566" s="2" t="s">
        <v>506</v>
      </c>
      <c r="B566" s="7">
        <v>0.33333333333333331</v>
      </c>
      <c r="C566" s="2">
        <v>2</v>
      </c>
      <c r="D566" s="10" t="s">
        <v>481</v>
      </c>
      <c r="E566" s="40">
        <v>0</v>
      </c>
      <c r="F566" s="40">
        <v>2.2000000000000002</v>
      </c>
      <c r="G566" s="40">
        <v>2</v>
      </c>
      <c r="H566" s="3">
        <f t="shared" si="62"/>
        <v>0</v>
      </c>
      <c r="I566" s="3">
        <f t="shared" si="63"/>
        <v>0.18333333333333335</v>
      </c>
      <c r="J566" s="3">
        <f t="shared" si="64"/>
        <v>0.16666666666666666</v>
      </c>
      <c r="K566" s="3"/>
      <c r="L566" s="4">
        <f t="shared" si="65"/>
        <v>534.99958333333348</v>
      </c>
      <c r="M566" s="40">
        <v>0</v>
      </c>
      <c r="N566" s="40">
        <v>0</v>
      </c>
      <c r="O566" s="40">
        <v>0</v>
      </c>
      <c r="P566" s="40">
        <v>0</v>
      </c>
      <c r="Q566" s="40">
        <v>0</v>
      </c>
      <c r="R566" s="40">
        <v>0</v>
      </c>
      <c r="S566" s="2">
        <f t="shared" si="61"/>
        <v>105.50000000000024</v>
      </c>
      <c r="T566" s="2">
        <v>0</v>
      </c>
      <c r="U566" s="2">
        <v>0</v>
      </c>
      <c r="V566" s="2">
        <v>0</v>
      </c>
      <c r="W566" s="2">
        <v>0</v>
      </c>
      <c r="X566" s="2">
        <f t="shared" si="66"/>
        <v>159</v>
      </c>
      <c r="Z566" s="1"/>
      <c r="AA566" s="1"/>
      <c r="AB566" s="2" t="str">
        <f t="shared" si="67"/>
        <v/>
      </c>
      <c r="AD566" s="121"/>
      <c r="AE566" s="121"/>
    </row>
    <row r="567" spans="1:31" x14ac:dyDescent="0.25">
      <c r="A567" s="2" t="s">
        <v>506</v>
      </c>
      <c r="B567" s="7">
        <v>0.4291666666666667</v>
      </c>
      <c r="C567" s="2">
        <v>2.2999999999999998</v>
      </c>
      <c r="D567" s="10" t="s">
        <v>381</v>
      </c>
      <c r="E567" s="40">
        <v>0</v>
      </c>
      <c r="F567" s="40">
        <v>2.2000000000000002</v>
      </c>
      <c r="G567" s="40">
        <v>2</v>
      </c>
      <c r="H567" s="3">
        <f t="shared" si="62"/>
        <v>0</v>
      </c>
      <c r="I567" s="3">
        <f t="shared" si="63"/>
        <v>0.21083333333333334</v>
      </c>
      <c r="J567" s="3">
        <f t="shared" si="64"/>
        <v>0.19166666666666665</v>
      </c>
      <c r="K567" s="3"/>
      <c r="L567" s="4">
        <f t="shared" si="65"/>
        <v>534.59708333333344</v>
      </c>
      <c r="M567" s="40">
        <v>0</v>
      </c>
      <c r="N567" s="40">
        <v>0</v>
      </c>
      <c r="O567" s="40">
        <v>0</v>
      </c>
      <c r="P567" s="40">
        <v>0</v>
      </c>
      <c r="Q567" s="40">
        <v>0</v>
      </c>
      <c r="R567" s="40">
        <v>0</v>
      </c>
      <c r="S567" s="2">
        <f t="shared" si="61"/>
        <v>105.50000000000024</v>
      </c>
      <c r="T567" s="2">
        <v>0</v>
      </c>
      <c r="U567" s="2">
        <v>0</v>
      </c>
      <c r="V567" s="2">
        <v>0</v>
      </c>
      <c r="W567" s="2">
        <v>0</v>
      </c>
      <c r="X567" s="2">
        <f t="shared" si="66"/>
        <v>159</v>
      </c>
      <c r="Z567" s="1"/>
      <c r="AA567" s="1"/>
      <c r="AB567" s="2" t="str">
        <f t="shared" si="67"/>
        <v/>
      </c>
      <c r="AD567" s="121">
        <v>12.6</v>
      </c>
      <c r="AE567" s="121" t="s">
        <v>1295</v>
      </c>
    </row>
    <row r="568" spans="1:31" x14ac:dyDescent="0.25">
      <c r="A568" s="2" t="s">
        <v>506</v>
      </c>
      <c r="B568" s="7">
        <v>0.48333333333333334</v>
      </c>
      <c r="C568" s="2">
        <v>1.3</v>
      </c>
      <c r="D568" s="10" t="s">
        <v>477</v>
      </c>
      <c r="E568" s="40">
        <v>10</v>
      </c>
      <c r="F568" s="40">
        <v>2.2000000000000002</v>
      </c>
      <c r="G568" s="40">
        <v>1</v>
      </c>
      <c r="H568" s="3">
        <f t="shared" si="62"/>
        <v>0.54166666666666674</v>
      </c>
      <c r="I568" s="3">
        <f t="shared" si="63"/>
        <v>0.11916666666666668</v>
      </c>
      <c r="J568" s="3">
        <f t="shared" si="64"/>
        <v>5.4166666666666669E-2</v>
      </c>
      <c r="K568" s="3"/>
      <c r="L568" s="4">
        <f t="shared" si="65"/>
        <v>533.88208333333341</v>
      </c>
      <c r="M568" s="40">
        <v>0</v>
      </c>
      <c r="N568" s="40">
        <v>0</v>
      </c>
      <c r="O568" s="40">
        <v>0</v>
      </c>
      <c r="P568" s="40">
        <v>0</v>
      </c>
      <c r="Q568" s="40">
        <v>0</v>
      </c>
      <c r="R568" s="40">
        <v>0</v>
      </c>
      <c r="S568" s="2">
        <f t="shared" si="61"/>
        <v>105.50000000000024</v>
      </c>
      <c r="T568" s="2">
        <v>0</v>
      </c>
      <c r="U568" s="2">
        <v>0</v>
      </c>
      <c r="V568" s="2">
        <v>1</v>
      </c>
      <c r="W568" s="2">
        <v>0</v>
      </c>
      <c r="X568" s="2">
        <f t="shared" si="66"/>
        <v>158</v>
      </c>
      <c r="Z568" s="1"/>
      <c r="AA568" s="1"/>
      <c r="AB568" s="2" t="str">
        <f t="shared" si="67"/>
        <v/>
      </c>
      <c r="AD568" s="121"/>
      <c r="AE568" s="121"/>
    </row>
    <row r="569" spans="1:31" x14ac:dyDescent="0.25">
      <c r="A569" s="2" t="s">
        <v>507</v>
      </c>
      <c r="B569" s="7">
        <v>0.33333333333333331</v>
      </c>
      <c r="C569" s="2">
        <v>20.399999999999999</v>
      </c>
      <c r="D569" s="10" t="s">
        <v>477</v>
      </c>
      <c r="E569" s="40">
        <v>0</v>
      </c>
      <c r="F569" s="40">
        <v>2.2000000000000002</v>
      </c>
      <c r="G569" s="40">
        <v>1</v>
      </c>
      <c r="H569" s="3">
        <f t="shared" si="62"/>
        <v>0</v>
      </c>
      <c r="I569" s="3">
        <f t="shared" si="63"/>
        <v>1.87</v>
      </c>
      <c r="J569" s="3">
        <f t="shared" si="64"/>
        <v>0.84999999999999987</v>
      </c>
      <c r="K569" s="3"/>
      <c r="L569" s="4">
        <f t="shared" si="65"/>
        <v>531.16208333333338</v>
      </c>
      <c r="M569" s="40">
        <v>0</v>
      </c>
      <c r="N569" s="40">
        <v>0</v>
      </c>
      <c r="O569" s="40">
        <v>0.1</v>
      </c>
      <c r="P569" s="40">
        <v>0</v>
      </c>
      <c r="Q569" s="40">
        <v>5.0999999999999996</v>
      </c>
      <c r="R569" s="40">
        <v>0</v>
      </c>
      <c r="S569" s="2">
        <f t="shared" si="61"/>
        <v>100.30000000000024</v>
      </c>
      <c r="T569" s="2">
        <v>0</v>
      </c>
      <c r="U569" s="2">
        <v>0</v>
      </c>
      <c r="V569" s="2">
        <v>4</v>
      </c>
      <c r="W569" s="2">
        <v>0</v>
      </c>
      <c r="X569" s="2">
        <f t="shared" si="66"/>
        <v>154</v>
      </c>
      <c r="Z569" s="1">
        <v>118</v>
      </c>
      <c r="AA569" s="1">
        <v>37</v>
      </c>
      <c r="AB569" s="2">
        <f t="shared" si="67"/>
        <v>155</v>
      </c>
      <c r="AD569" s="121"/>
      <c r="AE569" s="121"/>
    </row>
    <row r="570" spans="1:31" x14ac:dyDescent="0.25">
      <c r="A570" s="2" t="s">
        <v>507</v>
      </c>
      <c r="B570" s="7">
        <v>0.9375</v>
      </c>
      <c r="C570" s="2">
        <v>14.5</v>
      </c>
      <c r="D570" s="10" t="s">
        <v>381</v>
      </c>
      <c r="E570" s="40">
        <v>0</v>
      </c>
      <c r="F570" s="40">
        <v>2</v>
      </c>
      <c r="G570" s="40">
        <v>1</v>
      </c>
      <c r="H570" s="3">
        <f t="shared" si="62"/>
        <v>0</v>
      </c>
      <c r="I570" s="3">
        <f t="shared" si="63"/>
        <v>1.2083333333333333</v>
      </c>
      <c r="J570" s="3">
        <f t="shared" si="64"/>
        <v>0.60416666666666663</v>
      </c>
      <c r="K570" s="3"/>
      <c r="L570" s="4">
        <f t="shared" si="65"/>
        <v>529.34958333333338</v>
      </c>
      <c r="M570" s="40">
        <v>0</v>
      </c>
      <c r="N570" s="40">
        <v>0</v>
      </c>
      <c r="O570" s="40">
        <v>0</v>
      </c>
      <c r="P570" s="40">
        <v>0</v>
      </c>
      <c r="Q570" s="40">
        <v>2.6</v>
      </c>
      <c r="R570" s="40">
        <v>0</v>
      </c>
      <c r="S570" s="2">
        <f t="shared" si="61"/>
        <v>97.700000000000244</v>
      </c>
      <c r="T570" s="2">
        <v>0</v>
      </c>
      <c r="U570" s="2">
        <v>0</v>
      </c>
      <c r="V570" s="2">
        <v>2</v>
      </c>
      <c r="W570" s="2">
        <v>0</v>
      </c>
      <c r="X570" s="2">
        <f t="shared" si="66"/>
        <v>152</v>
      </c>
      <c r="Z570" s="1"/>
      <c r="AA570" s="1"/>
      <c r="AB570" s="2" t="str">
        <f t="shared" si="67"/>
        <v/>
      </c>
      <c r="AD570" s="121"/>
      <c r="AE570" s="121"/>
    </row>
    <row r="571" spans="1:31" x14ac:dyDescent="0.25">
      <c r="A571" s="2" t="s">
        <v>507</v>
      </c>
      <c r="B571" s="7">
        <v>0.97916666666666663</v>
      </c>
      <c r="C571" s="2">
        <v>1</v>
      </c>
      <c r="D571" s="10" t="s">
        <v>105</v>
      </c>
      <c r="E571" s="40">
        <v>15</v>
      </c>
      <c r="F571" s="40">
        <v>2</v>
      </c>
      <c r="G571" s="40">
        <v>0</v>
      </c>
      <c r="H571" s="3">
        <f t="shared" si="62"/>
        <v>0.625</v>
      </c>
      <c r="I571" s="3">
        <f t="shared" si="63"/>
        <v>8.3333333333333329E-2</v>
      </c>
      <c r="J571" s="3">
        <f t="shared" si="64"/>
        <v>0</v>
      </c>
      <c r="K571" s="3"/>
      <c r="L571" s="4">
        <f t="shared" si="65"/>
        <v>528.64125000000001</v>
      </c>
      <c r="M571" s="40">
        <v>0</v>
      </c>
      <c r="N571" s="40">
        <v>0</v>
      </c>
      <c r="O571" s="40">
        <v>0</v>
      </c>
      <c r="P571" s="40">
        <v>0</v>
      </c>
      <c r="Q571" s="40">
        <v>0</v>
      </c>
      <c r="R571" s="40">
        <v>0</v>
      </c>
      <c r="S571" s="2">
        <f t="shared" si="61"/>
        <v>97.700000000000244</v>
      </c>
      <c r="T571" s="2">
        <v>0</v>
      </c>
      <c r="U571" s="2">
        <v>0</v>
      </c>
      <c r="V571" s="2">
        <v>0</v>
      </c>
      <c r="W571" s="2">
        <v>0</v>
      </c>
      <c r="X571" s="2">
        <f t="shared" si="66"/>
        <v>152</v>
      </c>
      <c r="Z571" s="1"/>
      <c r="AA571" s="1"/>
      <c r="AB571" s="2" t="str">
        <f t="shared" si="67"/>
        <v/>
      </c>
      <c r="AD571" s="121"/>
      <c r="AE571" s="121"/>
    </row>
    <row r="572" spans="1:31" x14ac:dyDescent="0.25">
      <c r="A572" s="2" t="s">
        <v>508</v>
      </c>
      <c r="B572" s="7">
        <v>0.1875</v>
      </c>
      <c r="C572" s="2">
        <v>5</v>
      </c>
      <c r="D572" s="10" t="s">
        <v>374</v>
      </c>
      <c r="E572" s="40">
        <v>25</v>
      </c>
      <c r="F572" s="40">
        <v>2.2000000000000002</v>
      </c>
      <c r="G572" s="40">
        <v>0</v>
      </c>
      <c r="H572" s="3">
        <f t="shared" si="62"/>
        <v>5.2083333333333339</v>
      </c>
      <c r="I572" s="3">
        <f t="shared" si="63"/>
        <v>0.45833333333333337</v>
      </c>
      <c r="J572" s="3">
        <f t="shared" si="64"/>
        <v>0</v>
      </c>
      <c r="K572" s="3"/>
      <c r="L572" s="4">
        <f t="shared" si="65"/>
        <v>522.97458333333338</v>
      </c>
      <c r="M572" s="40">
        <v>0</v>
      </c>
      <c r="N572" s="40">
        <v>0</v>
      </c>
      <c r="O572" s="40">
        <v>0.1</v>
      </c>
      <c r="P572" s="40">
        <v>0</v>
      </c>
      <c r="Q572" s="40">
        <v>0</v>
      </c>
      <c r="R572" s="40">
        <v>0</v>
      </c>
      <c r="S572" s="2">
        <f t="shared" si="61"/>
        <v>97.60000000000025</v>
      </c>
      <c r="T572" s="2">
        <v>0</v>
      </c>
      <c r="U572" s="2">
        <v>0</v>
      </c>
      <c r="V572" s="2">
        <v>1</v>
      </c>
      <c r="W572" s="2">
        <v>0</v>
      </c>
      <c r="X572" s="2">
        <f t="shared" si="66"/>
        <v>151</v>
      </c>
      <c r="Z572" s="1"/>
      <c r="AA572" s="1"/>
      <c r="AB572" s="2" t="str">
        <f t="shared" si="67"/>
        <v/>
      </c>
      <c r="AD572" s="121"/>
      <c r="AE572" s="121"/>
    </row>
    <row r="573" spans="1:31" x14ac:dyDescent="0.25">
      <c r="A573" s="2" t="s">
        <v>508</v>
      </c>
      <c r="B573" s="7">
        <v>0.23750000000000002</v>
      </c>
      <c r="C573" s="2">
        <v>1.2</v>
      </c>
      <c r="D573" s="10" t="s">
        <v>509</v>
      </c>
      <c r="E573" s="40">
        <v>10</v>
      </c>
      <c r="F573" s="40">
        <v>2.2000000000000002</v>
      </c>
      <c r="G573" s="40">
        <v>1</v>
      </c>
      <c r="H573" s="3">
        <f t="shared" si="62"/>
        <v>0.5</v>
      </c>
      <c r="I573" s="3">
        <f t="shared" si="63"/>
        <v>0.11</v>
      </c>
      <c r="J573" s="3">
        <f t="shared" si="64"/>
        <v>4.9999999999999996E-2</v>
      </c>
      <c r="K573" s="3"/>
      <c r="L573" s="4">
        <f t="shared" si="65"/>
        <v>522.31458333333342</v>
      </c>
      <c r="M573" s="40">
        <v>0</v>
      </c>
      <c r="N573" s="40">
        <v>0</v>
      </c>
      <c r="O573" s="40">
        <v>0</v>
      </c>
      <c r="P573" s="40">
        <v>0</v>
      </c>
      <c r="Q573" s="40">
        <v>0</v>
      </c>
      <c r="R573" s="40">
        <v>0</v>
      </c>
      <c r="S573" s="2">
        <f t="shared" si="61"/>
        <v>97.60000000000025</v>
      </c>
      <c r="T573" s="2">
        <v>0</v>
      </c>
      <c r="U573" s="2">
        <v>0</v>
      </c>
      <c r="V573" s="2">
        <v>0</v>
      </c>
      <c r="W573" s="2">
        <v>0</v>
      </c>
      <c r="X573" s="2">
        <f t="shared" si="66"/>
        <v>151</v>
      </c>
      <c r="Z573" s="1">
        <v>118</v>
      </c>
      <c r="AA573" s="1">
        <v>35</v>
      </c>
      <c r="AB573" s="2">
        <f t="shared" si="67"/>
        <v>153</v>
      </c>
      <c r="AD573" s="121"/>
      <c r="AE573" s="121"/>
    </row>
    <row r="574" spans="1:31" x14ac:dyDescent="0.25">
      <c r="A574" s="2" t="s">
        <v>508</v>
      </c>
      <c r="B574" s="7">
        <v>0.3833333333333333</v>
      </c>
      <c r="C574" s="2">
        <v>3.5</v>
      </c>
      <c r="D574" s="10" t="s">
        <v>381</v>
      </c>
      <c r="E574" s="40">
        <v>0</v>
      </c>
      <c r="F574" s="40">
        <v>2</v>
      </c>
      <c r="G574" s="40">
        <v>1</v>
      </c>
      <c r="H574" s="3">
        <f t="shared" si="62"/>
        <v>0</v>
      </c>
      <c r="I574" s="3">
        <f t="shared" si="63"/>
        <v>0.29166666666666663</v>
      </c>
      <c r="J574" s="3">
        <f t="shared" si="64"/>
        <v>0.14583333333333331</v>
      </c>
      <c r="K574" s="3"/>
      <c r="L574" s="4">
        <f t="shared" si="65"/>
        <v>521.87708333333342</v>
      </c>
      <c r="M574" s="40">
        <v>0</v>
      </c>
      <c r="N574" s="40">
        <v>0</v>
      </c>
      <c r="O574" s="40">
        <v>0</v>
      </c>
      <c r="P574" s="40">
        <v>0</v>
      </c>
      <c r="Q574" s="40">
        <v>0</v>
      </c>
      <c r="R574" s="40">
        <v>0</v>
      </c>
      <c r="S574" s="2">
        <f t="shared" si="61"/>
        <v>97.60000000000025</v>
      </c>
      <c r="T574" s="2">
        <v>0</v>
      </c>
      <c r="U574" s="2">
        <v>0</v>
      </c>
      <c r="V574" s="2">
        <v>0</v>
      </c>
      <c r="W574" s="2">
        <v>0</v>
      </c>
      <c r="X574" s="2">
        <f t="shared" si="66"/>
        <v>151</v>
      </c>
      <c r="Z574" s="1"/>
      <c r="AA574" s="1"/>
      <c r="AB574" s="2" t="str">
        <f t="shared" si="67"/>
        <v/>
      </c>
      <c r="AD574" s="121">
        <v>12.5</v>
      </c>
      <c r="AE574" s="121" t="s">
        <v>1301</v>
      </c>
    </row>
    <row r="575" spans="1:31" x14ac:dyDescent="0.25">
      <c r="A575" s="2" t="s">
        <v>508</v>
      </c>
      <c r="B575" s="7">
        <v>0.43333333333333335</v>
      </c>
      <c r="C575" s="2">
        <v>1.2</v>
      </c>
      <c r="D575" s="10" t="s">
        <v>487</v>
      </c>
      <c r="E575" s="40">
        <v>15</v>
      </c>
      <c r="F575" s="40">
        <v>2</v>
      </c>
      <c r="G575" s="40">
        <v>1</v>
      </c>
      <c r="H575" s="3">
        <f t="shared" si="62"/>
        <v>0.75</v>
      </c>
      <c r="I575" s="3">
        <f t="shared" si="63"/>
        <v>9.9999999999999992E-2</v>
      </c>
      <c r="J575" s="3">
        <f t="shared" si="64"/>
        <v>4.9999999999999996E-2</v>
      </c>
      <c r="K575" s="3"/>
      <c r="L575" s="4">
        <f t="shared" si="65"/>
        <v>520.97708333333344</v>
      </c>
      <c r="M575" s="40">
        <v>0</v>
      </c>
      <c r="N575" s="40">
        <v>0</v>
      </c>
      <c r="O575" s="40">
        <v>0</v>
      </c>
      <c r="P575" s="40">
        <v>0</v>
      </c>
      <c r="Q575" s="40">
        <v>0</v>
      </c>
      <c r="R575" s="40">
        <v>0</v>
      </c>
      <c r="S575" s="2">
        <f t="shared" si="61"/>
        <v>97.60000000000025</v>
      </c>
      <c r="T575" s="2">
        <v>0</v>
      </c>
      <c r="U575" s="2">
        <v>0</v>
      </c>
      <c r="V575" s="2">
        <v>0</v>
      </c>
      <c r="W575" s="2">
        <v>0</v>
      </c>
      <c r="X575" s="2">
        <f t="shared" si="66"/>
        <v>151</v>
      </c>
      <c r="Z575" s="1"/>
      <c r="AA575" s="1"/>
      <c r="AB575" s="2" t="str">
        <f t="shared" si="67"/>
        <v/>
      </c>
      <c r="AD575" s="121"/>
      <c r="AE575" s="121"/>
    </row>
    <row r="576" spans="1:31" x14ac:dyDescent="0.25">
      <c r="A576" s="2" t="s">
        <v>510</v>
      </c>
      <c r="B576" s="7">
        <v>6.6666666666666666E-2</v>
      </c>
      <c r="C576" s="2">
        <v>15.2</v>
      </c>
      <c r="D576" s="10" t="s">
        <v>381</v>
      </c>
      <c r="E576" s="40">
        <v>0</v>
      </c>
      <c r="F576" s="40">
        <v>2.2000000000000002</v>
      </c>
      <c r="G576" s="40">
        <v>2</v>
      </c>
      <c r="H576" s="3">
        <f t="shared" si="62"/>
        <v>0</v>
      </c>
      <c r="I576" s="3">
        <f t="shared" si="63"/>
        <v>1.3933333333333333</v>
      </c>
      <c r="J576" s="3">
        <f t="shared" si="64"/>
        <v>1.2666666666666666</v>
      </c>
      <c r="K576" s="3"/>
      <c r="L576" s="4">
        <f t="shared" si="65"/>
        <v>518.31708333333347</v>
      </c>
      <c r="M576" s="40">
        <v>0</v>
      </c>
      <c r="N576" s="40">
        <v>0</v>
      </c>
      <c r="O576" s="40">
        <v>0.1</v>
      </c>
      <c r="P576" s="40">
        <v>0</v>
      </c>
      <c r="Q576" s="40">
        <v>3</v>
      </c>
      <c r="R576" s="40">
        <v>0</v>
      </c>
      <c r="S576" s="2">
        <f t="shared" si="61"/>
        <v>94.500000000000256</v>
      </c>
      <c r="T576" s="2">
        <v>0</v>
      </c>
      <c r="U576" s="2">
        <v>0</v>
      </c>
      <c r="V576" s="2">
        <v>3</v>
      </c>
      <c r="W576" s="2">
        <v>0</v>
      </c>
      <c r="X576" s="2">
        <f t="shared" si="66"/>
        <v>148</v>
      </c>
      <c r="Z576" s="1"/>
      <c r="AA576" s="1"/>
      <c r="AB576" s="2" t="str">
        <f t="shared" si="67"/>
        <v/>
      </c>
      <c r="AD576" s="121"/>
      <c r="AE576" s="121"/>
    </row>
    <row r="577" spans="1:31" x14ac:dyDescent="0.25">
      <c r="A577" s="2" t="s">
        <v>510</v>
      </c>
      <c r="B577" s="7">
        <v>0.10416666666666667</v>
      </c>
      <c r="C577" s="2">
        <v>0.9</v>
      </c>
      <c r="D577" s="10" t="s">
        <v>105</v>
      </c>
      <c r="E577" s="40">
        <v>10</v>
      </c>
      <c r="F577" s="40">
        <v>2.2000000000000002</v>
      </c>
      <c r="G577" s="40">
        <v>2</v>
      </c>
      <c r="H577" s="3">
        <f t="shared" si="62"/>
        <v>0.375</v>
      </c>
      <c r="I577" s="3">
        <f t="shared" si="63"/>
        <v>8.2500000000000004E-2</v>
      </c>
      <c r="J577" s="3">
        <f t="shared" si="64"/>
        <v>7.4999999999999997E-2</v>
      </c>
      <c r="K577" s="3"/>
      <c r="L577" s="4">
        <f t="shared" si="65"/>
        <v>517.78458333333344</v>
      </c>
      <c r="M577" s="40">
        <v>0</v>
      </c>
      <c r="N577" s="40">
        <v>0</v>
      </c>
      <c r="O577" s="40">
        <v>0</v>
      </c>
      <c r="P577" s="40">
        <v>0</v>
      </c>
      <c r="Q577" s="40">
        <v>0</v>
      </c>
      <c r="R577" s="40">
        <v>0</v>
      </c>
      <c r="S577" s="2">
        <f t="shared" si="61"/>
        <v>94.500000000000256</v>
      </c>
      <c r="T577" s="2">
        <v>0</v>
      </c>
      <c r="U577" s="2">
        <v>0</v>
      </c>
      <c r="V577" s="2">
        <v>0</v>
      </c>
      <c r="W577" s="2">
        <v>0</v>
      </c>
      <c r="X577" s="2">
        <f t="shared" si="66"/>
        <v>148</v>
      </c>
      <c r="Z577" s="1"/>
      <c r="AA577" s="1"/>
      <c r="AB577" s="2" t="str">
        <f t="shared" si="67"/>
        <v/>
      </c>
      <c r="AD577" s="121"/>
      <c r="AE577" s="121"/>
    </row>
    <row r="578" spans="1:31" x14ac:dyDescent="0.25">
      <c r="A578" s="2" t="s">
        <v>510</v>
      </c>
      <c r="B578" s="7">
        <v>0.33333333333333331</v>
      </c>
      <c r="C578" s="2">
        <v>5.5</v>
      </c>
      <c r="D578" s="10" t="s">
        <v>355</v>
      </c>
      <c r="E578" s="40">
        <v>22</v>
      </c>
      <c r="F578" s="40">
        <v>2.2000000000000002</v>
      </c>
      <c r="G578" s="40">
        <v>0</v>
      </c>
      <c r="H578" s="3">
        <f t="shared" si="62"/>
        <v>5.0416666666666661</v>
      </c>
      <c r="I578" s="3">
        <f t="shared" si="63"/>
        <v>0.50416666666666665</v>
      </c>
      <c r="J578" s="3">
        <f t="shared" si="64"/>
        <v>0</v>
      </c>
      <c r="K578" s="3"/>
      <c r="L578" s="4">
        <f t="shared" si="65"/>
        <v>512.2387500000001</v>
      </c>
      <c r="M578" s="40">
        <v>0</v>
      </c>
      <c r="N578" s="40">
        <v>0</v>
      </c>
      <c r="O578" s="40">
        <v>0</v>
      </c>
      <c r="P578" s="40">
        <v>0</v>
      </c>
      <c r="Q578" s="40">
        <v>0</v>
      </c>
      <c r="R578" s="40">
        <v>0</v>
      </c>
      <c r="S578" s="2">
        <f t="shared" si="61"/>
        <v>94.500000000000256</v>
      </c>
      <c r="T578" s="2">
        <v>3</v>
      </c>
      <c r="U578" s="2">
        <v>0</v>
      </c>
      <c r="V578" s="2">
        <v>1</v>
      </c>
      <c r="W578" s="2">
        <v>0</v>
      </c>
      <c r="X578" s="2">
        <f t="shared" si="66"/>
        <v>150</v>
      </c>
      <c r="Z578" s="1">
        <v>118</v>
      </c>
      <c r="AA578" s="1">
        <v>33</v>
      </c>
      <c r="AB578" s="2">
        <f t="shared" si="67"/>
        <v>151</v>
      </c>
      <c r="AD578" s="121"/>
      <c r="AE578" s="121"/>
    </row>
    <row r="579" spans="1:31" x14ac:dyDescent="0.25">
      <c r="A579" s="2" t="s">
        <v>510</v>
      </c>
      <c r="B579" s="7">
        <v>0.75</v>
      </c>
      <c r="C579" s="2">
        <v>10</v>
      </c>
      <c r="D579" s="10" t="s">
        <v>374</v>
      </c>
      <c r="E579" s="40">
        <v>22</v>
      </c>
      <c r="F579" s="40">
        <v>2.2000000000000002</v>
      </c>
      <c r="G579" s="40">
        <v>0</v>
      </c>
      <c r="H579" s="3">
        <f t="shared" si="62"/>
        <v>9.1666666666666661</v>
      </c>
      <c r="I579" s="3">
        <f t="shared" si="63"/>
        <v>0.91666666666666674</v>
      </c>
      <c r="J579" s="3">
        <f t="shared" si="64"/>
        <v>0</v>
      </c>
      <c r="K579" s="3"/>
      <c r="L579" s="4">
        <f t="shared" si="65"/>
        <v>502.15541666666678</v>
      </c>
      <c r="M579" s="40">
        <v>0</v>
      </c>
      <c r="N579" s="40">
        <v>0</v>
      </c>
      <c r="O579" s="40">
        <v>0</v>
      </c>
      <c r="P579" s="40">
        <v>0</v>
      </c>
      <c r="Q579" s="40">
        <v>0</v>
      </c>
      <c r="R579" s="40">
        <v>0</v>
      </c>
      <c r="S579" s="2">
        <f t="shared" si="61"/>
        <v>94.500000000000256</v>
      </c>
      <c r="T579" s="2">
        <v>0</v>
      </c>
      <c r="U579" s="2">
        <v>0</v>
      </c>
      <c r="V579" s="2">
        <v>1</v>
      </c>
      <c r="W579" s="2">
        <v>0</v>
      </c>
      <c r="X579" s="2">
        <f t="shared" si="66"/>
        <v>149</v>
      </c>
      <c r="Z579" s="1"/>
      <c r="AA579" s="1"/>
      <c r="AB579" s="2" t="str">
        <f t="shared" si="67"/>
        <v/>
      </c>
      <c r="AD579" s="121">
        <v>12.6</v>
      </c>
      <c r="AE579" s="121" t="s">
        <v>1295</v>
      </c>
    </row>
    <row r="580" spans="1:31" x14ac:dyDescent="0.25">
      <c r="A580" s="2" t="s">
        <v>510</v>
      </c>
      <c r="B580" s="7">
        <v>0.77916666666666667</v>
      </c>
      <c r="C580" s="2">
        <v>0.7</v>
      </c>
      <c r="D580" s="10" t="s">
        <v>511</v>
      </c>
      <c r="E580" s="40">
        <v>10</v>
      </c>
      <c r="F580" s="40">
        <v>2.2000000000000002</v>
      </c>
      <c r="G580" s="40">
        <v>1</v>
      </c>
      <c r="H580" s="3">
        <f t="shared" si="62"/>
        <v>0.29166666666666669</v>
      </c>
      <c r="I580" s="3">
        <f t="shared" si="63"/>
        <v>6.4166666666666664E-2</v>
      </c>
      <c r="J580" s="3">
        <f t="shared" si="64"/>
        <v>2.9166666666666664E-2</v>
      </c>
      <c r="K580" s="3"/>
      <c r="L580" s="4">
        <f t="shared" si="65"/>
        <v>501.77041666666679</v>
      </c>
      <c r="M580" s="40">
        <v>0</v>
      </c>
      <c r="N580" s="40">
        <v>0</v>
      </c>
      <c r="O580" s="40">
        <v>0</v>
      </c>
      <c r="P580" s="40">
        <v>0</v>
      </c>
      <c r="Q580" s="40">
        <v>0</v>
      </c>
      <c r="R580" s="40">
        <v>0</v>
      </c>
      <c r="S580" s="2">
        <f t="shared" si="61"/>
        <v>94.500000000000256</v>
      </c>
      <c r="T580" s="2">
        <v>0</v>
      </c>
      <c r="U580" s="2">
        <v>0</v>
      </c>
      <c r="V580" s="2">
        <v>1</v>
      </c>
      <c r="W580" s="2">
        <v>0</v>
      </c>
      <c r="X580" s="2">
        <f t="shared" si="66"/>
        <v>148</v>
      </c>
      <c r="Z580" s="1"/>
      <c r="AA580" s="1"/>
      <c r="AB580" s="2" t="str">
        <f t="shared" si="67"/>
        <v/>
      </c>
      <c r="AD580" s="121"/>
      <c r="AE580" s="121"/>
    </row>
    <row r="581" spans="1:31" x14ac:dyDescent="0.25">
      <c r="A581" s="2" t="s">
        <v>512</v>
      </c>
      <c r="B581" s="7">
        <v>0.33333333333333331</v>
      </c>
      <c r="C581" s="2">
        <v>13.3</v>
      </c>
      <c r="D581" s="10" t="s">
        <v>511</v>
      </c>
      <c r="E581" s="40">
        <v>0</v>
      </c>
      <c r="F581" s="40">
        <v>2</v>
      </c>
      <c r="G581" s="40">
        <v>1</v>
      </c>
      <c r="H581" s="3">
        <f t="shared" si="62"/>
        <v>0</v>
      </c>
      <c r="I581" s="3">
        <f t="shared" si="63"/>
        <v>1.1083333333333334</v>
      </c>
      <c r="J581" s="3">
        <f t="shared" si="64"/>
        <v>0.5541666666666667</v>
      </c>
      <c r="K581" s="3"/>
      <c r="L581" s="4">
        <f t="shared" si="65"/>
        <v>500.10791666666677</v>
      </c>
      <c r="M581" s="40">
        <v>0</v>
      </c>
      <c r="N581" s="40">
        <v>0</v>
      </c>
      <c r="O581" s="40">
        <v>0</v>
      </c>
      <c r="P581" s="40">
        <v>0</v>
      </c>
      <c r="Q581" s="40">
        <v>0</v>
      </c>
      <c r="R581" s="40">
        <v>0</v>
      </c>
      <c r="S581" s="2">
        <f t="shared" si="61"/>
        <v>94.500000000000256</v>
      </c>
      <c r="T581" s="2">
        <v>0</v>
      </c>
      <c r="U581" s="2">
        <v>0</v>
      </c>
      <c r="V581" s="2">
        <v>2</v>
      </c>
      <c r="W581" s="2">
        <v>0</v>
      </c>
      <c r="X581" s="2">
        <f t="shared" si="66"/>
        <v>146</v>
      </c>
      <c r="Z581" s="1"/>
      <c r="AA581" s="1"/>
      <c r="AB581" s="2" t="str">
        <f t="shared" si="67"/>
        <v/>
      </c>
      <c r="AD581" s="121"/>
      <c r="AE581" s="121"/>
    </row>
    <row r="582" spans="1:31" x14ac:dyDescent="0.25">
      <c r="A582" s="2" t="s">
        <v>513</v>
      </c>
      <c r="B582" s="7">
        <v>0.33333333333333331</v>
      </c>
      <c r="C582" s="2">
        <v>24</v>
      </c>
      <c r="D582" s="10" t="s">
        <v>511</v>
      </c>
      <c r="E582" s="40">
        <v>0</v>
      </c>
      <c r="F582" s="40">
        <v>2</v>
      </c>
      <c r="G582" s="40">
        <v>1.5</v>
      </c>
      <c r="H582" s="3">
        <f t="shared" si="62"/>
        <v>0</v>
      </c>
      <c r="I582" s="3">
        <f t="shared" si="63"/>
        <v>2</v>
      </c>
      <c r="J582" s="3">
        <f t="shared" si="64"/>
        <v>1.5</v>
      </c>
      <c r="K582" s="3"/>
      <c r="L582" s="4">
        <f t="shared" si="65"/>
        <v>496.60791666666677</v>
      </c>
      <c r="M582" s="40">
        <v>0</v>
      </c>
      <c r="N582" s="40">
        <v>0</v>
      </c>
      <c r="O582" s="40">
        <v>0</v>
      </c>
      <c r="P582" s="40">
        <v>0</v>
      </c>
      <c r="Q582" s="40">
        <v>0</v>
      </c>
      <c r="R582" s="40">
        <v>0</v>
      </c>
      <c r="S582" s="2">
        <f t="shared" ref="S582:S600" si="68">IF(C582="","",(S581+R582)-(M582+N582+O582+P582+Q582))</f>
        <v>94.500000000000256</v>
      </c>
      <c r="T582" s="2">
        <v>0</v>
      </c>
      <c r="U582" s="2">
        <v>0</v>
      </c>
      <c r="V582" s="2">
        <v>4</v>
      </c>
      <c r="W582" s="2">
        <v>0</v>
      </c>
      <c r="X582" s="2">
        <f t="shared" si="66"/>
        <v>142</v>
      </c>
      <c r="Z582" s="1"/>
      <c r="AA582" s="1"/>
      <c r="AB582" s="2" t="str">
        <f t="shared" si="67"/>
        <v/>
      </c>
      <c r="AD582" s="121"/>
      <c r="AE582" s="121"/>
    </row>
    <row r="583" spans="1:31" x14ac:dyDescent="0.25">
      <c r="A583" s="2" t="s">
        <v>514</v>
      </c>
      <c r="B583" s="7">
        <v>0.33333333333333331</v>
      </c>
      <c r="C583" s="2">
        <v>24</v>
      </c>
      <c r="D583" s="10" t="s">
        <v>511</v>
      </c>
      <c r="E583" s="40">
        <v>0</v>
      </c>
      <c r="F583" s="40">
        <v>2.5</v>
      </c>
      <c r="G583" s="40">
        <v>2</v>
      </c>
      <c r="H583" s="3">
        <f t="shared" si="62"/>
        <v>0</v>
      </c>
      <c r="I583" s="3">
        <f t="shared" si="63"/>
        <v>2.5</v>
      </c>
      <c r="J583" s="3">
        <f t="shared" si="64"/>
        <v>2</v>
      </c>
      <c r="K583" s="3"/>
      <c r="L583" s="4">
        <f t="shared" si="65"/>
        <v>492.10791666666677</v>
      </c>
      <c r="M583" s="40">
        <v>0</v>
      </c>
      <c r="N583" s="40">
        <v>0</v>
      </c>
      <c r="O583" s="40">
        <v>0</v>
      </c>
      <c r="P583" s="40">
        <v>0</v>
      </c>
      <c r="Q583" s="40">
        <v>0</v>
      </c>
      <c r="R583" s="40">
        <v>0</v>
      </c>
      <c r="S583" s="2">
        <f t="shared" si="68"/>
        <v>94.500000000000256</v>
      </c>
      <c r="T583" s="2">
        <v>0</v>
      </c>
      <c r="U583" s="2">
        <v>0</v>
      </c>
      <c r="V583" s="2">
        <v>4</v>
      </c>
      <c r="W583" s="2">
        <v>0</v>
      </c>
      <c r="X583" s="2">
        <f t="shared" si="66"/>
        <v>138</v>
      </c>
      <c r="Z583" s="1"/>
      <c r="AA583" s="1"/>
      <c r="AB583" s="2" t="str">
        <f t="shared" si="67"/>
        <v/>
      </c>
      <c r="AD583" s="121"/>
      <c r="AE583" s="121"/>
    </row>
    <row r="584" spans="1:31" x14ac:dyDescent="0.25">
      <c r="A584" s="2" t="s">
        <v>515</v>
      </c>
      <c r="B584" s="7">
        <v>0.33333333333333331</v>
      </c>
      <c r="C584" s="2">
        <v>24</v>
      </c>
      <c r="D584" s="10" t="s">
        <v>511</v>
      </c>
      <c r="E584" s="40">
        <v>0</v>
      </c>
      <c r="F584" s="40">
        <v>2</v>
      </c>
      <c r="G584" s="40">
        <v>1.5</v>
      </c>
      <c r="H584" s="3">
        <f t="shared" si="62"/>
        <v>0</v>
      </c>
      <c r="I584" s="3">
        <f t="shared" si="63"/>
        <v>2</v>
      </c>
      <c r="J584" s="3">
        <f t="shared" si="64"/>
        <v>1.5</v>
      </c>
      <c r="K584" s="3"/>
      <c r="L584" s="4">
        <f t="shared" si="65"/>
        <v>488.60791666666677</v>
      </c>
      <c r="M584" s="40">
        <v>0</v>
      </c>
      <c r="N584" s="40">
        <v>0</v>
      </c>
      <c r="O584" s="40">
        <v>0.1</v>
      </c>
      <c r="P584" s="40">
        <v>0</v>
      </c>
      <c r="Q584" s="40">
        <v>0</v>
      </c>
      <c r="R584" s="40">
        <v>0</v>
      </c>
      <c r="S584" s="2">
        <f t="shared" si="68"/>
        <v>94.400000000000261</v>
      </c>
      <c r="T584" s="2">
        <v>0</v>
      </c>
      <c r="U584" s="2">
        <v>0</v>
      </c>
      <c r="V584" s="2">
        <v>4</v>
      </c>
      <c r="W584" s="2">
        <v>0</v>
      </c>
      <c r="X584" s="2">
        <f t="shared" si="66"/>
        <v>134</v>
      </c>
      <c r="Z584" s="1">
        <v>118</v>
      </c>
      <c r="AA584" s="1">
        <v>23</v>
      </c>
      <c r="AB584" s="2">
        <f t="shared" si="67"/>
        <v>141</v>
      </c>
      <c r="AD584" s="121"/>
      <c r="AE584" s="121"/>
    </row>
    <row r="585" spans="1:31" x14ac:dyDescent="0.25">
      <c r="A585" s="2" t="s">
        <v>516</v>
      </c>
      <c r="B585" s="7">
        <v>0.33333333333333331</v>
      </c>
      <c r="C585" s="2">
        <v>24</v>
      </c>
      <c r="D585" s="10" t="s">
        <v>511</v>
      </c>
      <c r="E585" s="40">
        <v>0</v>
      </c>
      <c r="F585" s="40">
        <v>2</v>
      </c>
      <c r="G585" s="40">
        <v>1.5</v>
      </c>
      <c r="H585" s="3">
        <f t="shared" si="62"/>
        <v>0</v>
      </c>
      <c r="I585" s="3">
        <f t="shared" si="63"/>
        <v>2</v>
      </c>
      <c r="J585" s="3">
        <f t="shared" si="64"/>
        <v>1.5</v>
      </c>
      <c r="K585" s="3"/>
      <c r="L585" s="4">
        <f t="shared" si="65"/>
        <v>485.10791666666677</v>
      </c>
      <c r="M585" s="40">
        <v>0</v>
      </c>
      <c r="N585" s="40">
        <v>0</v>
      </c>
      <c r="O585" s="40">
        <v>0.1</v>
      </c>
      <c r="P585" s="40">
        <v>0</v>
      </c>
      <c r="Q585" s="40">
        <v>0</v>
      </c>
      <c r="R585" s="40">
        <v>0</v>
      </c>
      <c r="S585" s="2">
        <f t="shared" si="68"/>
        <v>94.300000000000267</v>
      </c>
      <c r="T585" s="2">
        <v>0</v>
      </c>
      <c r="U585" s="2">
        <v>0</v>
      </c>
      <c r="V585" s="2">
        <v>4</v>
      </c>
      <c r="W585" s="2">
        <v>0</v>
      </c>
      <c r="X585" s="2">
        <f t="shared" si="66"/>
        <v>130</v>
      </c>
      <c r="Z585" s="1"/>
      <c r="AA585" s="1"/>
      <c r="AB585" s="2" t="str">
        <f t="shared" si="67"/>
        <v/>
      </c>
      <c r="AD585" s="121"/>
      <c r="AE585" s="121"/>
    </row>
    <row r="586" spans="1:31" x14ac:dyDescent="0.25">
      <c r="A586" s="2" t="s">
        <v>517</v>
      </c>
      <c r="B586" s="7">
        <v>0.33333333333333331</v>
      </c>
      <c r="C586" s="2">
        <v>24</v>
      </c>
      <c r="D586" s="10" t="s">
        <v>511</v>
      </c>
      <c r="E586" s="40">
        <v>0</v>
      </c>
      <c r="F586" s="40">
        <v>2</v>
      </c>
      <c r="G586" s="40">
        <v>1.5</v>
      </c>
      <c r="H586" s="3">
        <f t="shared" si="62"/>
        <v>0</v>
      </c>
      <c r="I586" s="3">
        <f t="shared" si="63"/>
        <v>2</v>
      </c>
      <c r="J586" s="3">
        <f t="shared" si="64"/>
        <v>1.5</v>
      </c>
      <c r="K586" s="3"/>
      <c r="L586" s="4">
        <f t="shared" si="65"/>
        <v>481.60791666666677</v>
      </c>
      <c r="M586" s="40">
        <v>0</v>
      </c>
      <c r="N586" s="40">
        <v>0</v>
      </c>
      <c r="O586" s="40">
        <v>0.1</v>
      </c>
      <c r="P586" s="40">
        <v>0</v>
      </c>
      <c r="Q586" s="40">
        <v>0</v>
      </c>
      <c r="R586" s="40">
        <v>0</v>
      </c>
      <c r="S586" s="2">
        <f t="shared" si="68"/>
        <v>94.200000000000273</v>
      </c>
      <c r="T586" s="2">
        <v>0</v>
      </c>
      <c r="U586" s="2">
        <v>0</v>
      </c>
      <c r="V586" s="2">
        <v>4</v>
      </c>
      <c r="W586" s="2">
        <v>5</v>
      </c>
      <c r="X586" s="2">
        <f t="shared" si="66"/>
        <v>121</v>
      </c>
      <c r="Z586" s="1">
        <v>105</v>
      </c>
      <c r="AA586" s="1">
        <v>20</v>
      </c>
      <c r="AB586" s="2">
        <f t="shared" si="67"/>
        <v>125</v>
      </c>
      <c r="AD586" s="121"/>
      <c r="AE586" s="121"/>
    </row>
    <row r="587" spans="1:31" x14ac:dyDescent="0.25">
      <c r="A587" s="2" t="s">
        <v>518</v>
      </c>
      <c r="B587" s="7">
        <v>0.33333333333333331</v>
      </c>
      <c r="C587" s="2">
        <v>24</v>
      </c>
      <c r="D587" s="10" t="s">
        <v>511</v>
      </c>
      <c r="E587" s="40">
        <v>0</v>
      </c>
      <c r="F587" s="40">
        <v>2</v>
      </c>
      <c r="G587" s="40">
        <v>1.5</v>
      </c>
      <c r="H587" s="3">
        <f t="shared" si="62"/>
        <v>0</v>
      </c>
      <c r="I587" s="3">
        <f t="shared" si="63"/>
        <v>2</v>
      </c>
      <c r="J587" s="3">
        <f t="shared" si="64"/>
        <v>1.5</v>
      </c>
      <c r="K587" s="3"/>
      <c r="L587" s="4">
        <f t="shared" si="65"/>
        <v>478.10791666666677</v>
      </c>
      <c r="M587" s="40">
        <v>0</v>
      </c>
      <c r="N587" s="40">
        <v>0</v>
      </c>
      <c r="O587" s="40">
        <v>0.1</v>
      </c>
      <c r="P587" s="40">
        <v>0</v>
      </c>
      <c r="Q587" s="40">
        <v>0</v>
      </c>
      <c r="R587" s="40">
        <v>0</v>
      </c>
      <c r="S587" s="2">
        <f t="shared" si="68"/>
        <v>94.100000000000279</v>
      </c>
      <c r="T587" s="2">
        <v>0</v>
      </c>
      <c r="U587" s="2">
        <v>0</v>
      </c>
      <c r="V587" s="2">
        <v>4</v>
      </c>
      <c r="W587" s="2">
        <v>0</v>
      </c>
      <c r="X587" s="2">
        <f t="shared" si="66"/>
        <v>117</v>
      </c>
      <c r="Z587" s="1"/>
      <c r="AA587" s="1"/>
      <c r="AB587" s="2" t="str">
        <f t="shared" si="67"/>
        <v/>
      </c>
      <c r="AD587" s="121"/>
      <c r="AE587" s="121"/>
    </row>
    <row r="588" spans="1:31" x14ac:dyDescent="0.25">
      <c r="A588" s="2" t="s">
        <v>519</v>
      </c>
      <c r="B588" s="7">
        <v>0.33333333333333331</v>
      </c>
      <c r="C588" s="2">
        <v>24</v>
      </c>
      <c r="D588" s="10" t="s">
        <v>511</v>
      </c>
      <c r="E588" s="40">
        <v>0</v>
      </c>
      <c r="F588" s="40">
        <v>2.5</v>
      </c>
      <c r="G588" s="40">
        <v>2</v>
      </c>
      <c r="H588" s="3">
        <f t="shared" si="62"/>
        <v>0</v>
      </c>
      <c r="I588" s="3">
        <f t="shared" si="63"/>
        <v>2.5</v>
      </c>
      <c r="J588" s="3">
        <f t="shared" si="64"/>
        <v>2</v>
      </c>
      <c r="K588" s="3"/>
      <c r="L588" s="4">
        <f t="shared" si="65"/>
        <v>473.60791666666677</v>
      </c>
      <c r="M588" s="40">
        <v>0</v>
      </c>
      <c r="N588" s="40">
        <v>0</v>
      </c>
      <c r="O588" s="40">
        <v>0.1</v>
      </c>
      <c r="P588" s="40">
        <v>0</v>
      </c>
      <c r="Q588" s="40">
        <v>0</v>
      </c>
      <c r="R588" s="40">
        <v>0</v>
      </c>
      <c r="S588" s="2">
        <f t="shared" si="68"/>
        <v>94.000000000000284</v>
      </c>
      <c r="T588" s="2">
        <v>0</v>
      </c>
      <c r="U588" s="2">
        <v>0</v>
      </c>
      <c r="V588" s="2">
        <v>4</v>
      </c>
      <c r="W588" s="2">
        <v>0</v>
      </c>
      <c r="X588" s="2">
        <f t="shared" si="66"/>
        <v>113</v>
      </c>
      <c r="Z588" s="1">
        <v>95</v>
      </c>
      <c r="AA588" s="1">
        <v>20</v>
      </c>
      <c r="AB588" s="2">
        <f t="shared" si="67"/>
        <v>115</v>
      </c>
      <c r="AD588" s="121"/>
      <c r="AE588" s="121"/>
    </row>
    <row r="589" spans="1:31" x14ac:dyDescent="0.25">
      <c r="A589" s="2" t="s">
        <v>520</v>
      </c>
      <c r="B589" s="7">
        <v>0.33333333333333331</v>
      </c>
      <c r="C589" s="2">
        <v>24</v>
      </c>
      <c r="D589" s="10" t="s">
        <v>511</v>
      </c>
      <c r="E589" s="40">
        <v>0</v>
      </c>
      <c r="F589" s="40">
        <v>2.5</v>
      </c>
      <c r="G589" s="40">
        <v>2</v>
      </c>
      <c r="H589" s="3">
        <f t="shared" si="62"/>
        <v>0</v>
      </c>
      <c r="I589" s="3">
        <f t="shared" si="63"/>
        <v>2.5</v>
      </c>
      <c r="J589" s="3">
        <f t="shared" si="64"/>
        <v>2</v>
      </c>
      <c r="K589" s="3"/>
      <c r="L589" s="4">
        <f t="shared" si="65"/>
        <v>469.10791666666677</v>
      </c>
      <c r="M589" s="40">
        <v>0</v>
      </c>
      <c r="N589" s="40">
        <v>0</v>
      </c>
      <c r="O589" s="40">
        <v>0.1</v>
      </c>
      <c r="P589" s="40">
        <v>0</v>
      </c>
      <c r="Q589" s="40">
        <v>0</v>
      </c>
      <c r="R589" s="40">
        <v>0</v>
      </c>
      <c r="S589" s="2">
        <f t="shared" si="68"/>
        <v>93.90000000000029</v>
      </c>
      <c r="T589" s="2">
        <v>0</v>
      </c>
      <c r="U589" s="2">
        <v>0</v>
      </c>
      <c r="V589" s="2">
        <v>4</v>
      </c>
      <c r="W589" s="2">
        <v>0</v>
      </c>
      <c r="X589" s="2">
        <f t="shared" si="66"/>
        <v>109</v>
      </c>
      <c r="Z589" s="1"/>
      <c r="AA589" s="1"/>
      <c r="AB589" s="2" t="str">
        <f t="shared" si="67"/>
        <v/>
      </c>
      <c r="AD589" s="121"/>
      <c r="AE589" s="121"/>
    </row>
    <row r="590" spans="1:31" x14ac:dyDescent="0.25">
      <c r="A590" s="2" t="s">
        <v>521</v>
      </c>
      <c r="B590" s="7">
        <v>0.33333333333333331</v>
      </c>
      <c r="C590" s="2">
        <v>24</v>
      </c>
      <c r="D590" s="10" t="s">
        <v>511</v>
      </c>
      <c r="E590" s="40">
        <v>0</v>
      </c>
      <c r="F590" s="40">
        <v>2.5</v>
      </c>
      <c r="G590" s="40">
        <v>2</v>
      </c>
      <c r="H590" s="3">
        <f t="shared" si="62"/>
        <v>0</v>
      </c>
      <c r="I590" s="3">
        <f t="shared" si="63"/>
        <v>2.5</v>
      </c>
      <c r="J590" s="3">
        <f t="shared" si="64"/>
        <v>2</v>
      </c>
      <c r="K590" s="3"/>
      <c r="L590" s="4">
        <f t="shared" si="65"/>
        <v>464.60791666666677</v>
      </c>
      <c r="M590" s="40">
        <v>0</v>
      </c>
      <c r="N590" s="40">
        <v>0</v>
      </c>
      <c r="O590" s="40">
        <v>0.1</v>
      </c>
      <c r="P590" s="40">
        <v>0</v>
      </c>
      <c r="Q590" s="40">
        <v>0</v>
      </c>
      <c r="R590" s="40">
        <v>0</v>
      </c>
      <c r="S590" s="2">
        <f t="shared" si="68"/>
        <v>93.800000000000296</v>
      </c>
      <c r="T590" s="2">
        <v>0</v>
      </c>
      <c r="U590" s="2">
        <v>0</v>
      </c>
      <c r="V590" s="2">
        <v>4</v>
      </c>
      <c r="W590" s="2">
        <v>0</v>
      </c>
      <c r="X590" s="2">
        <f t="shared" si="66"/>
        <v>105</v>
      </c>
      <c r="Z590" s="1">
        <v>83</v>
      </c>
      <c r="AA590" s="1">
        <v>20</v>
      </c>
      <c r="AB590" s="2">
        <f t="shared" si="67"/>
        <v>103</v>
      </c>
      <c r="AD590" s="121"/>
      <c r="AE590" s="121"/>
    </row>
    <row r="591" spans="1:31" x14ac:dyDescent="0.25">
      <c r="A591" s="2" t="s">
        <v>521</v>
      </c>
      <c r="B591" s="7">
        <v>0.72916666666666663</v>
      </c>
      <c r="C591" s="2">
        <v>9.5</v>
      </c>
      <c r="D591" s="10" t="s">
        <v>381</v>
      </c>
      <c r="E591" s="40">
        <v>0</v>
      </c>
      <c r="F591" s="40">
        <v>2.5</v>
      </c>
      <c r="G591" s="40">
        <v>2</v>
      </c>
      <c r="H591" s="3">
        <f t="shared" si="62"/>
        <v>0</v>
      </c>
      <c r="I591" s="3">
        <f t="shared" si="63"/>
        <v>0.98958333333333337</v>
      </c>
      <c r="J591" s="3">
        <f t="shared" si="64"/>
        <v>0.79166666666666663</v>
      </c>
      <c r="K591" s="3"/>
      <c r="L591" s="4">
        <f t="shared" si="65"/>
        <v>462.82666666666677</v>
      </c>
      <c r="M591" s="40">
        <v>0</v>
      </c>
      <c r="N591" s="40">
        <v>0</v>
      </c>
      <c r="O591" s="40">
        <v>0</v>
      </c>
      <c r="P591" s="40">
        <v>0</v>
      </c>
      <c r="Q591" s="40">
        <v>1.9</v>
      </c>
      <c r="R591" s="40">
        <v>0</v>
      </c>
      <c r="S591" s="2">
        <f t="shared" si="68"/>
        <v>91.90000000000029</v>
      </c>
      <c r="T591" s="2">
        <v>0</v>
      </c>
      <c r="U591" s="2">
        <v>0</v>
      </c>
      <c r="V591" s="2">
        <v>2</v>
      </c>
      <c r="W591" s="2">
        <v>0</v>
      </c>
      <c r="X591" s="2">
        <f t="shared" si="66"/>
        <v>103</v>
      </c>
      <c r="Z591" s="1"/>
      <c r="AA591" s="1"/>
      <c r="AB591" s="2" t="str">
        <f t="shared" si="67"/>
        <v/>
      </c>
      <c r="AD591" s="121"/>
      <c r="AE591" s="121"/>
    </row>
    <row r="592" spans="1:31" x14ac:dyDescent="0.25">
      <c r="A592" s="2" t="s">
        <v>521</v>
      </c>
      <c r="B592" s="7">
        <v>0.77916666666666667</v>
      </c>
      <c r="C592" s="2">
        <v>1.2</v>
      </c>
      <c r="D592" s="10" t="s">
        <v>511</v>
      </c>
      <c r="E592" s="40">
        <v>10</v>
      </c>
      <c r="F592" s="40">
        <v>2.5</v>
      </c>
      <c r="G592" s="40">
        <v>2</v>
      </c>
      <c r="H592" s="3">
        <f t="shared" si="62"/>
        <v>0.5</v>
      </c>
      <c r="I592" s="3">
        <f t="shared" si="63"/>
        <v>0.125</v>
      </c>
      <c r="J592" s="3">
        <f t="shared" si="64"/>
        <v>9.9999999999999992E-2</v>
      </c>
      <c r="K592" s="3"/>
      <c r="L592" s="4">
        <f t="shared" si="65"/>
        <v>462.10166666666674</v>
      </c>
      <c r="M592" s="40">
        <v>0</v>
      </c>
      <c r="N592" s="40">
        <v>0</v>
      </c>
      <c r="O592" s="40">
        <v>0</v>
      </c>
      <c r="P592" s="40">
        <v>0</v>
      </c>
      <c r="Q592" s="40">
        <v>0</v>
      </c>
      <c r="R592" s="40">
        <v>0</v>
      </c>
      <c r="S592" s="2">
        <f t="shared" si="68"/>
        <v>91.90000000000029</v>
      </c>
      <c r="T592" s="2">
        <v>0</v>
      </c>
      <c r="U592" s="2">
        <v>0</v>
      </c>
      <c r="V592" s="2">
        <v>0</v>
      </c>
      <c r="W592" s="2">
        <v>0</v>
      </c>
      <c r="X592" s="2">
        <f t="shared" si="66"/>
        <v>103</v>
      </c>
      <c r="Z592" s="1"/>
      <c r="AA592" s="1"/>
      <c r="AB592" s="2" t="str">
        <f t="shared" si="67"/>
        <v/>
      </c>
      <c r="AD592" s="121"/>
      <c r="AE592" s="121"/>
    </row>
    <row r="593" spans="1:31" x14ac:dyDescent="0.25">
      <c r="A593" s="2" t="s">
        <v>522</v>
      </c>
      <c r="B593" s="7">
        <v>0.33333333333333331</v>
      </c>
      <c r="C593" s="2">
        <v>13.3</v>
      </c>
      <c r="D593" s="10" t="s">
        <v>511</v>
      </c>
      <c r="E593" s="40">
        <v>0</v>
      </c>
      <c r="F593" s="40">
        <v>2.5</v>
      </c>
      <c r="G593" s="40">
        <v>2</v>
      </c>
      <c r="H593" s="3">
        <f t="shared" si="62"/>
        <v>0</v>
      </c>
      <c r="I593" s="3">
        <f t="shared" si="63"/>
        <v>1.3854166666666667</v>
      </c>
      <c r="J593" s="3">
        <f t="shared" si="64"/>
        <v>1.1083333333333334</v>
      </c>
      <c r="K593" s="3"/>
      <c r="L593" s="4">
        <f t="shared" si="65"/>
        <v>459.60791666666677</v>
      </c>
      <c r="M593" s="40">
        <v>0</v>
      </c>
      <c r="N593" s="40">
        <v>0</v>
      </c>
      <c r="O593" s="40">
        <v>0.1</v>
      </c>
      <c r="P593" s="40">
        <v>0</v>
      </c>
      <c r="Q593" s="40">
        <v>0</v>
      </c>
      <c r="R593" s="40">
        <v>0</v>
      </c>
      <c r="S593" s="2">
        <f t="shared" si="68"/>
        <v>91.800000000000296</v>
      </c>
      <c r="T593" s="2">
        <v>0</v>
      </c>
      <c r="U593" s="2">
        <v>0</v>
      </c>
      <c r="V593" s="2">
        <v>3</v>
      </c>
      <c r="W593" s="2">
        <v>0</v>
      </c>
      <c r="X593" s="2">
        <f t="shared" si="66"/>
        <v>100</v>
      </c>
      <c r="Z593" s="1"/>
      <c r="AA593" s="1"/>
      <c r="AB593" s="2" t="str">
        <f t="shared" si="67"/>
        <v/>
      </c>
      <c r="AD593" s="121"/>
      <c r="AE593" s="121"/>
    </row>
    <row r="594" spans="1:31" x14ac:dyDescent="0.25">
      <c r="A594" s="2" t="s">
        <v>523</v>
      </c>
      <c r="B594" s="7">
        <v>0.82500000000000007</v>
      </c>
      <c r="C594" s="2">
        <v>11.8</v>
      </c>
      <c r="D594" s="10" t="s">
        <v>381</v>
      </c>
      <c r="E594" s="40">
        <v>0</v>
      </c>
      <c r="F594" s="40">
        <v>2.5</v>
      </c>
      <c r="G594" s="40">
        <v>2</v>
      </c>
      <c r="H594" s="3">
        <f t="shared" ref="H594:H600" si="69">+IF(E594="","",(E594/24)*C594)</f>
        <v>0</v>
      </c>
      <c r="I594" s="3">
        <f t="shared" ref="I594:I600" si="70">+IF(F594="","",(F594/24)*C594)</f>
        <v>1.2291666666666667</v>
      </c>
      <c r="J594" s="3">
        <f t="shared" ref="J594:J600" si="71">+IF(G594="","",(G594/24)*C594)</f>
        <v>0.98333333333333339</v>
      </c>
      <c r="K594" s="3"/>
      <c r="L594" s="4">
        <f t="shared" si="65"/>
        <v>457.39541666666679</v>
      </c>
      <c r="M594" s="40">
        <v>0</v>
      </c>
      <c r="N594" s="40">
        <v>0</v>
      </c>
      <c r="O594" s="40">
        <v>0</v>
      </c>
      <c r="P594" s="40">
        <v>0</v>
      </c>
      <c r="Q594" s="40">
        <v>0</v>
      </c>
      <c r="R594" s="40">
        <v>0</v>
      </c>
      <c r="S594" s="2">
        <f t="shared" si="68"/>
        <v>91.800000000000296</v>
      </c>
      <c r="T594" s="2">
        <v>0</v>
      </c>
      <c r="U594" s="2">
        <v>0</v>
      </c>
      <c r="V594" s="2">
        <v>2</v>
      </c>
      <c r="W594" s="2">
        <v>0</v>
      </c>
      <c r="X594" s="2">
        <f t="shared" si="66"/>
        <v>98</v>
      </c>
      <c r="Z594" s="1"/>
      <c r="AA594" s="1"/>
      <c r="AB594" s="2" t="str">
        <f t="shared" si="67"/>
        <v/>
      </c>
      <c r="AD594" s="121"/>
      <c r="AE594" s="121"/>
    </row>
    <row r="595" spans="1:31" x14ac:dyDescent="0.25">
      <c r="A595" s="2" t="s">
        <v>522</v>
      </c>
      <c r="B595" s="7">
        <v>0.9375</v>
      </c>
      <c r="C595" s="2">
        <v>2.7</v>
      </c>
      <c r="D595" s="10" t="s">
        <v>495</v>
      </c>
      <c r="E595" s="40">
        <v>15</v>
      </c>
      <c r="F595" s="40">
        <v>2.5</v>
      </c>
      <c r="G595" s="40">
        <v>2</v>
      </c>
      <c r="H595" s="3">
        <f t="shared" si="69"/>
        <v>1.6875</v>
      </c>
      <c r="I595" s="3">
        <f t="shared" si="70"/>
        <v>0.28125000000000006</v>
      </c>
      <c r="J595" s="3">
        <f t="shared" si="71"/>
        <v>0.22500000000000001</v>
      </c>
      <c r="K595" s="3"/>
      <c r="L595" s="4">
        <f t="shared" ref="L595:L600" si="72">+IF(C595="","",((L594-(H595+I595+J595))+K595))</f>
        <v>455.20166666666677</v>
      </c>
      <c r="M595" s="40">
        <v>0</v>
      </c>
      <c r="N595" s="40">
        <v>0</v>
      </c>
      <c r="O595" s="40">
        <v>0</v>
      </c>
      <c r="P595" s="40">
        <v>0</v>
      </c>
      <c r="Q595" s="40">
        <v>0</v>
      </c>
      <c r="R595" s="40">
        <v>0</v>
      </c>
      <c r="S595" s="2">
        <f t="shared" si="68"/>
        <v>91.800000000000296</v>
      </c>
      <c r="T595" s="2">
        <v>0</v>
      </c>
      <c r="U595" s="2">
        <v>0</v>
      </c>
      <c r="V595" s="2">
        <v>0</v>
      </c>
      <c r="W595" s="2">
        <v>0</v>
      </c>
      <c r="X595" s="2">
        <f t="shared" ref="X595:X600" si="73">IF(V595="","",((X594+T595+U595)-(V595+W595)))</f>
        <v>98</v>
      </c>
      <c r="Z595" s="1"/>
      <c r="AA595" s="1"/>
      <c r="AB595" s="2" t="str">
        <f t="shared" ref="AB595:AB600" si="74">IF(Z595="","",Z595+AA595)</f>
        <v/>
      </c>
      <c r="AD595" s="121"/>
      <c r="AE595" s="121"/>
    </row>
    <row r="596" spans="1:31" x14ac:dyDescent="0.25">
      <c r="A596" s="2" t="s">
        <v>524</v>
      </c>
      <c r="B596" s="7">
        <v>0.33333333333333331</v>
      </c>
      <c r="C596" s="2">
        <v>9.5</v>
      </c>
      <c r="D596" s="10" t="s">
        <v>495</v>
      </c>
      <c r="E596" s="40">
        <v>0</v>
      </c>
      <c r="F596" s="40">
        <v>2.5</v>
      </c>
      <c r="G596" s="40">
        <v>2</v>
      </c>
      <c r="H596" s="3">
        <f t="shared" si="69"/>
        <v>0</v>
      </c>
      <c r="I596" s="3">
        <f t="shared" si="70"/>
        <v>0.98958333333333337</v>
      </c>
      <c r="J596" s="3">
        <f t="shared" si="71"/>
        <v>0.79166666666666663</v>
      </c>
      <c r="K596" s="3"/>
      <c r="L596" s="4">
        <f>+IF(C596="","",((L595-(H596+I596+J596))+K596))</f>
        <v>453.42041666666677</v>
      </c>
      <c r="M596" s="40">
        <v>0</v>
      </c>
      <c r="N596" s="40">
        <v>0</v>
      </c>
      <c r="O596" s="40">
        <v>0.1</v>
      </c>
      <c r="P596" s="40">
        <v>0</v>
      </c>
      <c r="Q596" s="40">
        <v>0</v>
      </c>
      <c r="R596" s="40">
        <v>0</v>
      </c>
      <c r="S596" s="2">
        <f>IF(C596="","",(S595+R596)-(M596+N596+O596+P596+Q596))</f>
        <v>91.700000000000301</v>
      </c>
      <c r="T596" s="2">
        <v>0</v>
      </c>
      <c r="U596" s="2">
        <v>0</v>
      </c>
      <c r="V596" s="2">
        <v>2</v>
      </c>
      <c r="W596" s="2">
        <v>0</v>
      </c>
      <c r="X596" s="2">
        <f>IF(V596="","",((X595+T596+U596)-(V596+W596)))</f>
        <v>96</v>
      </c>
      <c r="Z596" s="1"/>
      <c r="AA596" s="1"/>
      <c r="AB596" s="2" t="str">
        <f t="shared" si="74"/>
        <v/>
      </c>
      <c r="AD596" s="121"/>
      <c r="AE596" s="121"/>
    </row>
    <row r="597" spans="1:31" x14ac:dyDescent="0.25">
      <c r="A597" s="2" t="s">
        <v>525</v>
      </c>
      <c r="B597" s="7">
        <v>0.33333333333333331</v>
      </c>
      <c r="C597" s="2">
        <v>24</v>
      </c>
      <c r="D597" s="10" t="s">
        <v>495</v>
      </c>
      <c r="E597" s="40">
        <v>0</v>
      </c>
      <c r="F597" s="40">
        <v>2</v>
      </c>
      <c r="G597" s="40">
        <v>1.5</v>
      </c>
      <c r="H597" s="3">
        <f t="shared" si="69"/>
        <v>0</v>
      </c>
      <c r="I597" s="3">
        <f t="shared" si="70"/>
        <v>2</v>
      </c>
      <c r="J597" s="3">
        <f t="shared" si="71"/>
        <v>1.5</v>
      </c>
      <c r="K597" s="3"/>
      <c r="L597" s="4">
        <f t="shared" si="72"/>
        <v>449.92041666666677</v>
      </c>
      <c r="M597" s="40">
        <v>0</v>
      </c>
      <c r="N597" s="40">
        <v>0</v>
      </c>
      <c r="O597" s="40">
        <v>0.1</v>
      </c>
      <c r="P597" s="40">
        <v>0</v>
      </c>
      <c r="Q597" s="40">
        <v>0</v>
      </c>
      <c r="R597" s="40">
        <v>0</v>
      </c>
      <c r="S597" s="2">
        <f t="shared" si="68"/>
        <v>91.600000000000307</v>
      </c>
      <c r="T597" s="2">
        <v>0</v>
      </c>
      <c r="U597" s="2">
        <v>0</v>
      </c>
      <c r="V597" s="2">
        <v>4</v>
      </c>
      <c r="W597" s="2">
        <v>0</v>
      </c>
      <c r="X597" s="2">
        <f t="shared" si="73"/>
        <v>92</v>
      </c>
      <c r="Z597" s="1"/>
      <c r="AA597" s="1"/>
      <c r="AB597" s="2" t="str">
        <f t="shared" si="74"/>
        <v/>
      </c>
      <c r="AD597" s="121"/>
      <c r="AE597" s="121"/>
    </row>
    <row r="598" spans="1:31" x14ac:dyDescent="0.25">
      <c r="A598" s="2" t="s">
        <v>526</v>
      </c>
      <c r="B598" s="7">
        <v>0.33333333333333331</v>
      </c>
      <c r="C598" s="2">
        <v>24</v>
      </c>
      <c r="D598" s="10" t="s">
        <v>495</v>
      </c>
      <c r="E598" s="40">
        <v>0</v>
      </c>
      <c r="F598" s="40">
        <v>2</v>
      </c>
      <c r="G598" s="40">
        <v>1.5</v>
      </c>
      <c r="H598" s="3">
        <f t="shared" si="69"/>
        <v>0</v>
      </c>
      <c r="I598" s="3">
        <f t="shared" si="70"/>
        <v>2</v>
      </c>
      <c r="J598" s="3">
        <f t="shared" si="71"/>
        <v>1.5</v>
      </c>
      <c r="K598" s="3"/>
      <c r="L598" s="4">
        <f t="shared" si="72"/>
        <v>446.42041666666677</v>
      </c>
      <c r="M598" s="40">
        <v>0</v>
      </c>
      <c r="N598" s="40">
        <v>0</v>
      </c>
      <c r="O598" s="40">
        <v>0.1</v>
      </c>
      <c r="P598" s="40">
        <v>0</v>
      </c>
      <c r="Q598" s="40">
        <v>0</v>
      </c>
      <c r="R598" s="40">
        <v>0</v>
      </c>
      <c r="S598" s="2">
        <f t="shared" si="68"/>
        <v>91.500000000000313</v>
      </c>
      <c r="T598" s="2">
        <v>0</v>
      </c>
      <c r="U598" s="2">
        <v>0</v>
      </c>
      <c r="V598" s="2">
        <v>4</v>
      </c>
      <c r="W598" s="2">
        <v>0</v>
      </c>
      <c r="X598" s="2">
        <f t="shared" si="73"/>
        <v>88</v>
      </c>
      <c r="Z598" s="1">
        <v>83</v>
      </c>
      <c r="AA598" s="1">
        <v>20</v>
      </c>
      <c r="AB598" s="2">
        <f t="shared" si="74"/>
        <v>103</v>
      </c>
      <c r="AD598" s="121"/>
      <c r="AE598" s="121"/>
    </row>
    <row r="599" spans="1:31" x14ac:dyDescent="0.25">
      <c r="A599" s="2" t="s">
        <v>526</v>
      </c>
      <c r="B599" s="7">
        <v>0.8666666666666667</v>
      </c>
      <c r="C599" s="2">
        <v>12.8</v>
      </c>
      <c r="D599" s="10" t="s">
        <v>381</v>
      </c>
      <c r="E599" s="40">
        <v>0</v>
      </c>
      <c r="F599" s="40">
        <v>2.5</v>
      </c>
      <c r="G599" s="40">
        <v>2</v>
      </c>
      <c r="H599" s="3">
        <f t="shared" si="69"/>
        <v>0</v>
      </c>
      <c r="I599" s="3">
        <f t="shared" si="70"/>
        <v>1.3333333333333335</v>
      </c>
      <c r="J599" s="3">
        <f t="shared" si="71"/>
        <v>1.0666666666666667</v>
      </c>
      <c r="K599" s="3"/>
      <c r="L599" s="4">
        <f t="shared" si="72"/>
        <v>444.02041666666679</v>
      </c>
      <c r="M599" s="40">
        <v>0</v>
      </c>
      <c r="N599" s="40">
        <v>0</v>
      </c>
      <c r="O599" s="40">
        <v>0</v>
      </c>
      <c r="P599" s="40">
        <v>0</v>
      </c>
      <c r="Q599" s="40">
        <v>0</v>
      </c>
      <c r="R599" s="40">
        <v>0</v>
      </c>
      <c r="S599" s="2">
        <f t="shared" si="68"/>
        <v>91.500000000000313</v>
      </c>
      <c r="T599" s="2">
        <v>0</v>
      </c>
      <c r="U599" s="2">
        <v>0</v>
      </c>
      <c r="V599" s="2">
        <v>2</v>
      </c>
      <c r="W599" s="2">
        <v>0</v>
      </c>
      <c r="X599" s="2">
        <f t="shared" si="73"/>
        <v>86</v>
      </c>
      <c r="Z599" s="1"/>
      <c r="AA599" s="1"/>
      <c r="AB599" s="2" t="str">
        <f t="shared" si="74"/>
        <v/>
      </c>
      <c r="AD599" s="121"/>
      <c r="AE599" s="121"/>
    </row>
    <row r="600" spans="1:31" x14ac:dyDescent="0.25">
      <c r="A600" s="2" t="s">
        <v>526</v>
      </c>
      <c r="B600" s="7">
        <v>0.92499999999999993</v>
      </c>
      <c r="C600" s="2">
        <v>1.4</v>
      </c>
      <c r="D600" s="10" t="s">
        <v>511</v>
      </c>
      <c r="E600" s="40">
        <v>15</v>
      </c>
      <c r="F600" s="40">
        <v>2.5</v>
      </c>
      <c r="G600" s="40">
        <v>1</v>
      </c>
      <c r="H600" s="3">
        <f t="shared" si="69"/>
        <v>0.875</v>
      </c>
      <c r="I600" s="3">
        <f t="shared" si="70"/>
        <v>0.14583333333333334</v>
      </c>
      <c r="J600" s="3">
        <f t="shared" si="71"/>
        <v>5.8333333333333327E-2</v>
      </c>
      <c r="K600" s="3"/>
      <c r="L600" s="4">
        <f t="shared" si="72"/>
        <v>442.94125000000014</v>
      </c>
      <c r="M600" s="40">
        <v>0</v>
      </c>
      <c r="N600" s="40">
        <v>0</v>
      </c>
      <c r="O600" s="40">
        <v>0</v>
      </c>
      <c r="P600" s="40">
        <v>0</v>
      </c>
      <c r="Q600" s="40">
        <v>0</v>
      </c>
      <c r="R600" s="40">
        <v>0</v>
      </c>
      <c r="S600" s="2">
        <f t="shared" si="68"/>
        <v>91.500000000000313</v>
      </c>
      <c r="T600" s="2">
        <v>0</v>
      </c>
      <c r="U600" s="2">
        <v>0</v>
      </c>
      <c r="V600" s="2">
        <v>0</v>
      </c>
      <c r="W600" s="2">
        <v>0</v>
      </c>
      <c r="X600" s="2">
        <f t="shared" si="73"/>
        <v>86</v>
      </c>
      <c r="Z600" s="1"/>
      <c r="AA600" s="1"/>
      <c r="AB600" s="2" t="str">
        <f t="shared" si="74"/>
        <v/>
      </c>
      <c r="AD600" s="121"/>
      <c r="AE600" s="121"/>
    </row>
    <row r="601" spans="1:31" x14ac:dyDescent="0.25">
      <c r="A601" s="2" t="s">
        <v>527</v>
      </c>
      <c r="B601" s="7">
        <v>0.31666666666666665</v>
      </c>
      <c r="C601" s="2">
        <v>9.4</v>
      </c>
      <c r="D601" s="10" t="s">
        <v>381</v>
      </c>
      <c r="E601" s="40">
        <v>0</v>
      </c>
      <c r="F601" s="40">
        <v>2.5</v>
      </c>
      <c r="G601" s="40">
        <v>2</v>
      </c>
      <c r="H601" s="3">
        <f t="shared" ref="H601:H605" si="75">+IF(E601="","",(E601/24)*C601)</f>
        <v>0</v>
      </c>
      <c r="I601" s="3">
        <f t="shared" ref="I601:I605" si="76">+IF(F601="","",(F601/24)*C601)</f>
        <v>0.97916666666666674</v>
      </c>
      <c r="J601" s="3">
        <f t="shared" ref="J601:J605" si="77">+IF(G601="","",(G601/24)*C601)</f>
        <v>0.78333333333333333</v>
      </c>
      <c r="K601" s="3"/>
      <c r="L601" s="4">
        <f>+IF(C601="","",((L600-(H601+I601+J601))+K601))</f>
        <v>441.17875000000015</v>
      </c>
      <c r="M601" s="40">
        <v>0</v>
      </c>
      <c r="N601" s="40">
        <v>0</v>
      </c>
      <c r="O601" s="40">
        <v>0.1</v>
      </c>
      <c r="P601" s="40">
        <v>0</v>
      </c>
      <c r="Q601" s="40">
        <v>0</v>
      </c>
      <c r="R601" s="40">
        <v>0</v>
      </c>
      <c r="S601" s="2">
        <f>IF(C601="","",(S600+R601)-(M601+N601+O601+P601+Q601))</f>
        <v>91.400000000000318</v>
      </c>
      <c r="T601" s="2">
        <v>0</v>
      </c>
      <c r="U601" s="2">
        <v>0</v>
      </c>
      <c r="V601" s="2">
        <v>2</v>
      </c>
      <c r="W601" s="2">
        <v>10</v>
      </c>
      <c r="X601" s="2">
        <f>IF(V601="","",((X600+T601+U601)-(V601+W601)))</f>
        <v>74</v>
      </c>
      <c r="Z601" s="1"/>
      <c r="AA601" s="1"/>
      <c r="AB601" s="2" t="str">
        <f t="shared" ref="AB601:AB610" si="78">IF(Z601="","",Z601+AA601)</f>
        <v/>
      </c>
      <c r="AD601" s="121"/>
      <c r="AE601" s="121"/>
    </row>
    <row r="602" spans="1:31" x14ac:dyDescent="0.25">
      <c r="A602" s="2" t="s">
        <v>527</v>
      </c>
      <c r="B602" s="7">
        <v>0.33333333333333331</v>
      </c>
      <c r="C602" s="2">
        <v>0.4</v>
      </c>
      <c r="D602" s="10" t="s">
        <v>355</v>
      </c>
      <c r="E602" s="40">
        <v>15</v>
      </c>
      <c r="F602" s="40">
        <v>2.5</v>
      </c>
      <c r="G602" s="40">
        <v>0</v>
      </c>
      <c r="H602" s="3">
        <f t="shared" si="75"/>
        <v>0.25</v>
      </c>
      <c r="I602" s="3">
        <f t="shared" si="76"/>
        <v>4.1666666666666671E-2</v>
      </c>
      <c r="J602" s="3">
        <f t="shared" si="77"/>
        <v>0</v>
      </c>
      <c r="K602" s="3"/>
      <c r="L602" s="4">
        <f t="shared" ref="L602:L605" si="79">+IF(C602="","",((L601-(H602+I602+J602))+K602))</f>
        <v>440.88708333333346</v>
      </c>
      <c r="M602" s="40">
        <v>0</v>
      </c>
      <c r="N602" s="40">
        <v>0</v>
      </c>
      <c r="O602" s="40">
        <v>0</v>
      </c>
      <c r="P602" s="40">
        <v>0</v>
      </c>
      <c r="Q602" s="40">
        <v>0</v>
      </c>
      <c r="R602" s="40">
        <v>0</v>
      </c>
      <c r="S602" s="2">
        <f t="shared" ref="S602:S605" si="80">IF(C602="","",(S601+R602)-(M602+N602+O602+P602+Q602))</f>
        <v>91.400000000000318</v>
      </c>
      <c r="T602" s="2">
        <v>0</v>
      </c>
      <c r="U602" s="2">
        <v>0</v>
      </c>
      <c r="V602" s="2">
        <v>0</v>
      </c>
      <c r="W602" s="2">
        <v>0</v>
      </c>
      <c r="X602" s="2">
        <f t="shared" ref="X602:X605" si="81">IF(V602="","",((X601+T602+U602)-(V602+W602)))</f>
        <v>74</v>
      </c>
      <c r="Z602" s="1">
        <v>53</v>
      </c>
      <c r="AA602" s="1">
        <v>10</v>
      </c>
      <c r="AB602" s="2">
        <f t="shared" si="78"/>
        <v>63</v>
      </c>
      <c r="AD602" s="121"/>
      <c r="AE602" s="121"/>
    </row>
    <row r="603" spans="1:31" x14ac:dyDescent="0.25">
      <c r="A603" s="2" t="s">
        <v>528</v>
      </c>
      <c r="B603" s="7">
        <v>0.33333333333333331</v>
      </c>
      <c r="C603" s="2">
        <v>24</v>
      </c>
      <c r="D603" s="10" t="s">
        <v>355</v>
      </c>
      <c r="E603" s="40">
        <v>25</v>
      </c>
      <c r="F603" s="40">
        <v>2.5</v>
      </c>
      <c r="G603" s="40">
        <v>0</v>
      </c>
      <c r="H603" s="3">
        <f t="shared" si="75"/>
        <v>25</v>
      </c>
      <c r="I603" s="3">
        <f t="shared" si="76"/>
        <v>2.5</v>
      </c>
      <c r="J603" s="3">
        <f t="shared" si="77"/>
        <v>0</v>
      </c>
      <c r="K603" s="3"/>
      <c r="L603" s="4">
        <f t="shared" si="79"/>
        <v>413.38708333333346</v>
      </c>
      <c r="M603" s="40">
        <v>0</v>
      </c>
      <c r="N603" s="40">
        <v>0</v>
      </c>
      <c r="O603" s="40">
        <v>0.1</v>
      </c>
      <c r="P603" s="40">
        <v>0</v>
      </c>
      <c r="Q603" s="40">
        <v>0</v>
      </c>
      <c r="R603" s="40">
        <v>0</v>
      </c>
      <c r="S603" s="2">
        <f t="shared" si="80"/>
        <v>91.300000000000324</v>
      </c>
      <c r="T603" s="2">
        <v>6</v>
      </c>
      <c r="U603" s="2">
        <v>0</v>
      </c>
      <c r="V603" s="2">
        <v>5</v>
      </c>
      <c r="W603" s="2">
        <v>0</v>
      </c>
      <c r="X603" s="2">
        <f t="shared" si="81"/>
        <v>75</v>
      </c>
      <c r="Z603" s="1">
        <v>56</v>
      </c>
      <c r="AA603" s="1">
        <v>10</v>
      </c>
      <c r="AB603" s="2">
        <f t="shared" si="78"/>
        <v>66</v>
      </c>
      <c r="AD603" s="121"/>
      <c r="AE603" s="121"/>
    </row>
    <row r="604" spans="1:31" x14ac:dyDescent="0.25">
      <c r="A604" s="2" t="s">
        <v>528</v>
      </c>
      <c r="B604" s="7">
        <v>0.48749999999999999</v>
      </c>
      <c r="C604" s="2">
        <v>3.7</v>
      </c>
      <c r="D604" s="10" t="s">
        <v>374</v>
      </c>
      <c r="E604" s="40">
        <v>25</v>
      </c>
      <c r="F604" s="40">
        <v>2.5</v>
      </c>
      <c r="G604" s="40">
        <v>0</v>
      </c>
      <c r="H604" s="3">
        <f t="shared" si="75"/>
        <v>3.854166666666667</v>
      </c>
      <c r="I604" s="3">
        <f t="shared" si="76"/>
        <v>0.38541666666666669</v>
      </c>
      <c r="J604" s="3">
        <f t="shared" si="77"/>
        <v>0</v>
      </c>
      <c r="K604" s="3"/>
      <c r="L604" s="4">
        <f t="shared" si="79"/>
        <v>409.14750000000015</v>
      </c>
      <c r="M604" s="40">
        <v>0</v>
      </c>
      <c r="N604" s="40">
        <v>0</v>
      </c>
      <c r="O604" s="40">
        <v>0</v>
      </c>
      <c r="P604" s="40">
        <v>0</v>
      </c>
      <c r="Q604" s="40">
        <v>0</v>
      </c>
      <c r="R604" s="40">
        <v>0</v>
      </c>
      <c r="S604" s="2">
        <f t="shared" si="80"/>
        <v>91.300000000000324</v>
      </c>
      <c r="T604" s="2">
        <v>0</v>
      </c>
      <c r="U604" s="2">
        <v>0</v>
      </c>
      <c r="V604" s="2">
        <v>1</v>
      </c>
      <c r="W604" s="2">
        <v>0</v>
      </c>
      <c r="X604" s="2">
        <f t="shared" si="81"/>
        <v>74</v>
      </c>
      <c r="Z604" s="1"/>
      <c r="AA604" s="1"/>
      <c r="AB604" s="2" t="str">
        <f t="shared" si="78"/>
        <v/>
      </c>
      <c r="AD604" s="121">
        <v>12.5</v>
      </c>
      <c r="AE604" s="121" t="s">
        <v>1295</v>
      </c>
    </row>
    <row r="605" spans="1:31" x14ac:dyDescent="0.25">
      <c r="A605" s="2" t="s">
        <v>528</v>
      </c>
      <c r="B605" s="7">
        <v>0.52500000000000002</v>
      </c>
      <c r="C605" s="2">
        <v>0.9</v>
      </c>
      <c r="D605" s="10" t="s">
        <v>529</v>
      </c>
      <c r="E605" s="40">
        <v>15</v>
      </c>
      <c r="F605" s="40">
        <v>2.5</v>
      </c>
      <c r="G605" s="40">
        <v>0</v>
      </c>
      <c r="H605" s="3">
        <f t="shared" si="75"/>
        <v>0.5625</v>
      </c>
      <c r="I605" s="3">
        <f t="shared" si="76"/>
        <v>9.375E-2</v>
      </c>
      <c r="J605" s="3">
        <f t="shared" si="77"/>
        <v>0</v>
      </c>
      <c r="K605" s="3"/>
      <c r="L605" s="4">
        <f t="shared" si="79"/>
        <v>408.49125000000015</v>
      </c>
      <c r="M605" s="40">
        <v>0</v>
      </c>
      <c r="N605" s="40">
        <v>0</v>
      </c>
      <c r="O605" s="40">
        <v>0</v>
      </c>
      <c r="P605" s="40">
        <v>0</v>
      </c>
      <c r="Q605" s="40">
        <v>0</v>
      </c>
      <c r="R605" s="40">
        <v>0</v>
      </c>
      <c r="S605" s="2">
        <f t="shared" si="80"/>
        <v>91.300000000000324</v>
      </c>
      <c r="T605" s="2">
        <v>0</v>
      </c>
      <c r="U605" s="2">
        <v>0</v>
      </c>
      <c r="V605" s="2">
        <v>0</v>
      </c>
      <c r="W605" s="2">
        <v>0</v>
      </c>
      <c r="X605" s="2">
        <f t="shared" si="81"/>
        <v>74</v>
      </c>
      <c r="Z605" s="1"/>
      <c r="AA605" s="1"/>
      <c r="AB605" s="2" t="str">
        <f t="shared" si="78"/>
        <v/>
      </c>
      <c r="AD605" s="121"/>
      <c r="AE605" s="121"/>
    </row>
    <row r="606" spans="1:31" x14ac:dyDescent="0.25">
      <c r="A606" s="2" t="s">
        <v>528</v>
      </c>
      <c r="B606" s="7">
        <v>0.61249999999999993</v>
      </c>
      <c r="C606" s="2">
        <v>2.1</v>
      </c>
      <c r="D606" s="10" t="s">
        <v>381</v>
      </c>
      <c r="E606" s="40">
        <v>0</v>
      </c>
      <c r="F606" s="40">
        <v>2</v>
      </c>
      <c r="G606" s="40">
        <v>1</v>
      </c>
      <c r="H606" s="3">
        <f t="shared" ref="H606:H610" si="82">+IF(E606="","",(E606/24)*C606)</f>
        <v>0</v>
      </c>
      <c r="I606" s="3">
        <f t="shared" ref="I606:I610" si="83">+IF(F606="","",(F606/24)*C606)</f>
        <v>0.17499999999999999</v>
      </c>
      <c r="J606" s="3">
        <f t="shared" ref="J606:J610" si="84">+IF(G606="","",(G606/24)*C606)</f>
        <v>8.7499999999999994E-2</v>
      </c>
      <c r="K606" s="3"/>
      <c r="L606" s="4">
        <f>+IF(C606="","",((L605-(H606+I606+J606))+K606))</f>
        <v>408.22875000000016</v>
      </c>
      <c r="M606" s="40">
        <v>0</v>
      </c>
      <c r="N606" s="40">
        <v>0</v>
      </c>
      <c r="O606" s="40">
        <v>0</v>
      </c>
      <c r="P606" s="40">
        <v>0</v>
      </c>
      <c r="Q606" s="40">
        <v>0</v>
      </c>
      <c r="R606" s="40">
        <v>0</v>
      </c>
      <c r="S606" s="2">
        <f>IF(C606="","",(S605+R606)-(M606+N606+O606+P606+Q606))</f>
        <v>91.300000000000324</v>
      </c>
      <c r="T606" s="2">
        <v>0</v>
      </c>
      <c r="U606" s="2">
        <v>0</v>
      </c>
      <c r="V606" s="2">
        <v>0</v>
      </c>
      <c r="W606" s="2">
        <v>0</v>
      </c>
      <c r="X606" s="2">
        <f>IF(V606="","",((X605+T606+U606)-(V606+W606)))</f>
        <v>74</v>
      </c>
      <c r="Z606" s="1"/>
      <c r="AA606" s="1"/>
      <c r="AB606" s="2" t="str">
        <f t="shared" si="78"/>
        <v/>
      </c>
      <c r="AD606" s="121"/>
      <c r="AE606" s="121"/>
    </row>
    <row r="607" spans="1:31" x14ac:dyDescent="0.25">
      <c r="A607" s="2" t="s">
        <v>528</v>
      </c>
      <c r="B607" s="7">
        <v>0.66666666666666663</v>
      </c>
      <c r="C607" s="2">
        <v>1.2</v>
      </c>
      <c r="D607" s="10" t="s">
        <v>503</v>
      </c>
      <c r="E607" s="40">
        <v>10</v>
      </c>
      <c r="F607" s="40">
        <v>2</v>
      </c>
      <c r="G607" s="40">
        <v>0</v>
      </c>
      <c r="H607" s="3">
        <f t="shared" si="82"/>
        <v>0.5</v>
      </c>
      <c r="I607" s="3">
        <f t="shared" si="83"/>
        <v>9.9999999999999992E-2</v>
      </c>
      <c r="J607" s="3">
        <f t="shared" si="84"/>
        <v>0</v>
      </c>
      <c r="K607" s="3"/>
      <c r="L607" s="4">
        <f t="shared" ref="L607:L610" si="85">+IF(C607="","",((L606-(H607+I607+J607))+K607))</f>
        <v>407.62875000000014</v>
      </c>
      <c r="M607" s="40">
        <v>0</v>
      </c>
      <c r="N607" s="40">
        <v>0</v>
      </c>
      <c r="O607" s="40">
        <v>0</v>
      </c>
      <c r="P607" s="40">
        <v>0</v>
      </c>
      <c r="Q607" s="40">
        <v>0</v>
      </c>
      <c r="R607" s="40">
        <v>0</v>
      </c>
      <c r="S607" s="2">
        <f t="shared" ref="S607:S610" si="86">IF(C607="","",(S606+R607)-(M607+N607+O607+P607+Q607))</f>
        <v>91.300000000000324</v>
      </c>
      <c r="T607" s="2">
        <v>0</v>
      </c>
      <c r="U607" s="2">
        <v>0</v>
      </c>
      <c r="V607" s="2">
        <v>0</v>
      </c>
      <c r="W607" s="2">
        <v>0</v>
      </c>
      <c r="X607" s="2">
        <f t="shared" ref="X607:X610" si="87">IF(V607="","",((X606+T607+U607)-(V607+W607)))</f>
        <v>74</v>
      </c>
      <c r="Z607" s="1"/>
      <c r="AA607" s="1"/>
      <c r="AB607" s="2" t="str">
        <f t="shared" si="78"/>
        <v/>
      </c>
      <c r="AD607" s="121"/>
      <c r="AE607" s="121"/>
    </row>
    <row r="608" spans="1:31" x14ac:dyDescent="0.25">
      <c r="A608" s="2" t="s">
        <v>530</v>
      </c>
      <c r="B608" s="7">
        <v>0.33333333333333331</v>
      </c>
      <c r="C608" s="2">
        <v>16</v>
      </c>
      <c r="D608" s="10" t="s">
        <v>504</v>
      </c>
      <c r="E608" s="40">
        <v>0</v>
      </c>
      <c r="F608" s="40">
        <v>2</v>
      </c>
      <c r="G608" s="40">
        <v>1.5</v>
      </c>
      <c r="H608" s="3">
        <f t="shared" si="82"/>
        <v>0</v>
      </c>
      <c r="I608" s="3">
        <f t="shared" si="83"/>
        <v>1.3333333333333333</v>
      </c>
      <c r="J608" s="3">
        <f t="shared" si="84"/>
        <v>1</v>
      </c>
      <c r="K608" s="3"/>
      <c r="L608" s="4">
        <f t="shared" si="85"/>
        <v>405.29541666666682</v>
      </c>
      <c r="M608" s="40">
        <v>0</v>
      </c>
      <c r="N608" s="40">
        <v>0</v>
      </c>
      <c r="O608" s="40">
        <v>0.1</v>
      </c>
      <c r="P608" s="40">
        <v>0</v>
      </c>
      <c r="Q608" s="40">
        <v>3.1</v>
      </c>
      <c r="R608" s="40">
        <v>0</v>
      </c>
      <c r="S608" s="2">
        <f t="shared" si="86"/>
        <v>88.100000000000321</v>
      </c>
      <c r="T608" s="2">
        <v>0</v>
      </c>
      <c r="U608" s="2">
        <v>0</v>
      </c>
      <c r="V608" s="2">
        <v>4</v>
      </c>
      <c r="W608" s="2">
        <v>0</v>
      </c>
      <c r="X608" s="2">
        <f t="shared" si="87"/>
        <v>70</v>
      </c>
      <c r="Z608" s="1">
        <v>50</v>
      </c>
      <c r="AA608" s="1">
        <v>10</v>
      </c>
      <c r="AB608" s="2">
        <f t="shared" si="78"/>
        <v>60</v>
      </c>
      <c r="AD608" s="121"/>
      <c r="AE608" s="121"/>
    </row>
    <row r="609" spans="1:31" x14ac:dyDescent="0.25">
      <c r="A609" s="2" t="s">
        <v>531</v>
      </c>
      <c r="B609" s="7">
        <v>0.33333333333333331</v>
      </c>
      <c r="C609" s="2">
        <v>24</v>
      </c>
      <c r="D609" s="10" t="s">
        <v>504</v>
      </c>
      <c r="E609" s="40">
        <v>0</v>
      </c>
      <c r="F609" s="40">
        <v>2.5</v>
      </c>
      <c r="G609" s="40">
        <v>1.5</v>
      </c>
      <c r="H609" s="3">
        <f t="shared" si="82"/>
        <v>0</v>
      </c>
      <c r="I609" s="3">
        <f t="shared" si="83"/>
        <v>2.5</v>
      </c>
      <c r="J609" s="3">
        <f t="shared" si="84"/>
        <v>1.5</v>
      </c>
      <c r="K609" s="3"/>
      <c r="L609" s="4">
        <f t="shared" si="85"/>
        <v>401.29541666666682</v>
      </c>
      <c r="M609" s="40">
        <v>0</v>
      </c>
      <c r="N609" s="40">
        <v>0</v>
      </c>
      <c r="O609" s="40">
        <v>0.1</v>
      </c>
      <c r="P609" s="40">
        <v>0</v>
      </c>
      <c r="Q609" s="40">
        <v>5</v>
      </c>
      <c r="R609" s="40">
        <v>0</v>
      </c>
      <c r="S609" s="2">
        <f t="shared" si="86"/>
        <v>83.000000000000327</v>
      </c>
      <c r="T609" s="2">
        <v>0</v>
      </c>
      <c r="U609" s="2">
        <v>0</v>
      </c>
      <c r="V609" s="2">
        <v>5</v>
      </c>
      <c r="W609" s="2">
        <v>0</v>
      </c>
      <c r="X609" s="2">
        <f t="shared" si="87"/>
        <v>65</v>
      </c>
      <c r="Z609" s="1">
        <v>46</v>
      </c>
      <c r="AA609" s="1">
        <v>10</v>
      </c>
      <c r="AB609" s="2">
        <f t="shared" si="78"/>
        <v>56</v>
      </c>
      <c r="AD609" s="121"/>
      <c r="AE609" s="121"/>
    </row>
    <row r="610" spans="1:31" x14ac:dyDescent="0.25">
      <c r="A610" s="2" t="s">
        <v>531</v>
      </c>
      <c r="B610" s="7">
        <v>0.35000000000000003</v>
      </c>
      <c r="C610" s="2">
        <v>0.4</v>
      </c>
      <c r="D610" s="10" t="s">
        <v>381</v>
      </c>
      <c r="E610" s="40">
        <v>0</v>
      </c>
      <c r="F610" s="40">
        <v>2</v>
      </c>
      <c r="G610" s="40">
        <v>1</v>
      </c>
      <c r="H610" s="3">
        <f t="shared" si="82"/>
        <v>0</v>
      </c>
      <c r="I610" s="3">
        <f t="shared" si="83"/>
        <v>3.3333333333333333E-2</v>
      </c>
      <c r="J610" s="3">
        <f t="shared" si="84"/>
        <v>1.6666666666666666E-2</v>
      </c>
      <c r="K610" s="3"/>
      <c r="L610" s="4">
        <f t="shared" si="85"/>
        <v>401.24541666666681</v>
      </c>
      <c r="M610" s="40">
        <v>0</v>
      </c>
      <c r="N610" s="40">
        <v>0</v>
      </c>
      <c r="O610" s="40">
        <v>0</v>
      </c>
      <c r="P610" s="40">
        <v>0</v>
      </c>
      <c r="Q610" s="40">
        <v>0</v>
      </c>
      <c r="R610" s="40">
        <v>0</v>
      </c>
      <c r="S610" s="2">
        <f t="shared" si="86"/>
        <v>83.000000000000327</v>
      </c>
      <c r="T610" s="2">
        <v>0</v>
      </c>
      <c r="U610" s="2">
        <v>0</v>
      </c>
      <c r="V610" s="2">
        <v>0</v>
      </c>
      <c r="W610" s="2">
        <v>0</v>
      </c>
      <c r="X610" s="2">
        <f t="shared" si="87"/>
        <v>65</v>
      </c>
      <c r="Z610" s="1"/>
      <c r="AA610" s="1"/>
      <c r="AB610" s="2" t="str">
        <f t="shared" si="78"/>
        <v/>
      </c>
      <c r="AD610" s="121"/>
      <c r="AE610" s="121"/>
    </row>
    <row r="611" spans="1:31" x14ac:dyDescent="0.25">
      <c r="A611" s="2" t="s">
        <v>531</v>
      </c>
      <c r="B611" s="7">
        <v>0.375</v>
      </c>
      <c r="C611" s="2">
        <v>0.6</v>
      </c>
      <c r="D611" s="10" t="s">
        <v>355</v>
      </c>
      <c r="E611" s="40">
        <v>15</v>
      </c>
      <c r="F611" s="40">
        <v>2</v>
      </c>
      <c r="G611" s="40">
        <v>0</v>
      </c>
      <c r="H611" s="3">
        <f t="shared" ref="H611:H615" si="88">+IF(E611="","",(E611/24)*C611)</f>
        <v>0.375</v>
      </c>
      <c r="I611" s="3">
        <f t="shared" ref="I611:I615" si="89">+IF(F611="","",(F611/24)*C611)</f>
        <v>4.9999999999999996E-2</v>
      </c>
      <c r="J611" s="3">
        <f t="shared" ref="J611:J615" si="90">+IF(G611="","",(G611/24)*C611)</f>
        <v>0</v>
      </c>
      <c r="K611" s="3"/>
      <c r="L611" s="4">
        <f>+IF(C611="","",((L610-(H611+I611+J611))+K611))</f>
        <v>400.8204166666668</v>
      </c>
      <c r="M611" s="40">
        <v>0</v>
      </c>
      <c r="N611" s="40">
        <v>0</v>
      </c>
      <c r="O611" s="40">
        <v>0</v>
      </c>
      <c r="P611" s="40">
        <v>0</v>
      </c>
      <c r="Q611" s="40">
        <v>0</v>
      </c>
      <c r="R611" s="40">
        <v>0</v>
      </c>
      <c r="S611" s="2">
        <f>IF(C611="","",(S610+R611)-(M611+N611+O611+P611+Q611))</f>
        <v>83.000000000000327</v>
      </c>
      <c r="T611" s="2">
        <v>0</v>
      </c>
      <c r="U611" s="2">
        <v>0</v>
      </c>
      <c r="V611" s="2">
        <v>0</v>
      </c>
      <c r="W611" s="2">
        <v>0</v>
      </c>
      <c r="X611" s="2">
        <f>IF(V611="","",((X610+T611+U611)-(V611+W611)))</f>
        <v>65</v>
      </c>
      <c r="Z611" s="1"/>
      <c r="AA611" s="1"/>
      <c r="AB611" s="2" t="str">
        <f t="shared" ref="AB611:AB631" si="91">IF(Z611="","",Z611+AA611)</f>
        <v/>
      </c>
      <c r="AD611" s="121"/>
      <c r="AE611" s="121"/>
    </row>
    <row r="612" spans="1:31" x14ac:dyDescent="0.25">
      <c r="A612" s="2" t="s">
        <v>531</v>
      </c>
      <c r="B612" s="7">
        <v>0.66666666666666663</v>
      </c>
      <c r="C612" s="2">
        <v>7</v>
      </c>
      <c r="D612" s="10" t="s">
        <v>374</v>
      </c>
      <c r="E612" s="40">
        <v>28</v>
      </c>
      <c r="F612" s="40">
        <v>2.5</v>
      </c>
      <c r="G612" s="40">
        <v>0</v>
      </c>
      <c r="H612" s="3">
        <f t="shared" si="88"/>
        <v>8.1666666666666679</v>
      </c>
      <c r="I612" s="3">
        <f t="shared" si="89"/>
        <v>0.72916666666666674</v>
      </c>
      <c r="J612" s="3">
        <f t="shared" si="90"/>
        <v>0</v>
      </c>
      <c r="K612" s="3"/>
      <c r="L612" s="4">
        <f t="shared" ref="L612:L615" si="92">+IF(C612="","",((L611-(H612+I612+J612))+K612))</f>
        <v>391.92458333333349</v>
      </c>
      <c r="M612" s="40">
        <v>0</v>
      </c>
      <c r="N612" s="40">
        <v>0</v>
      </c>
      <c r="O612" s="40">
        <v>0</v>
      </c>
      <c r="P612" s="40">
        <v>0</v>
      </c>
      <c r="Q612" s="40">
        <v>0</v>
      </c>
      <c r="R612" s="40">
        <v>0</v>
      </c>
      <c r="S612" s="2">
        <f t="shared" ref="S612:S615" si="93">IF(C612="","",(S611+R612)-(M612+N612+O612+P612+Q612))</f>
        <v>83.000000000000327</v>
      </c>
      <c r="T612" s="2">
        <v>0</v>
      </c>
      <c r="U612" s="2">
        <v>0</v>
      </c>
      <c r="V612" s="2">
        <v>1</v>
      </c>
      <c r="W612" s="2">
        <v>0</v>
      </c>
      <c r="X612" s="2">
        <f t="shared" ref="X612:X615" si="94">IF(V612="","",((X611+T612+U612)-(V612+W612)))</f>
        <v>64</v>
      </c>
      <c r="Z612" s="1"/>
      <c r="AA612" s="1"/>
      <c r="AB612" s="2" t="str">
        <f t="shared" si="91"/>
        <v/>
      </c>
      <c r="AD612" s="121">
        <v>12.6</v>
      </c>
      <c r="AE612" s="121" t="s">
        <v>1295</v>
      </c>
    </row>
    <row r="613" spans="1:31" x14ac:dyDescent="0.25">
      <c r="A613" s="2" t="s">
        <v>531</v>
      </c>
      <c r="B613" s="7">
        <v>0.78749999999999998</v>
      </c>
      <c r="C613" s="2">
        <v>2.9</v>
      </c>
      <c r="D613" s="10" t="s">
        <v>533</v>
      </c>
      <c r="E613" s="40">
        <v>15</v>
      </c>
      <c r="F613" s="40">
        <v>2.5</v>
      </c>
      <c r="G613" s="40">
        <v>1</v>
      </c>
      <c r="H613" s="3">
        <f t="shared" si="88"/>
        <v>1.8125</v>
      </c>
      <c r="I613" s="3">
        <f t="shared" si="89"/>
        <v>0.30208333333333331</v>
      </c>
      <c r="J613" s="3">
        <f t="shared" si="90"/>
        <v>0.12083333333333332</v>
      </c>
      <c r="K613" s="3"/>
      <c r="L613" s="4">
        <f t="shared" si="92"/>
        <v>389.68916666666684</v>
      </c>
      <c r="M613" s="40">
        <v>0</v>
      </c>
      <c r="N613" s="40">
        <v>0</v>
      </c>
      <c r="O613" s="40">
        <v>0</v>
      </c>
      <c r="P613" s="40">
        <v>0</v>
      </c>
      <c r="Q613" s="40">
        <v>0</v>
      </c>
      <c r="R613" s="40">
        <v>0</v>
      </c>
      <c r="S613" s="2">
        <f t="shared" si="93"/>
        <v>83.000000000000327</v>
      </c>
      <c r="T613" s="2">
        <v>0</v>
      </c>
      <c r="U613" s="2">
        <v>0</v>
      </c>
      <c r="V613" s="2">
        <v>1</v>
      </c>
      <c r="W613" s="2">
        <v>0</v>
      </c>
      <c r="X613" s="2">
        <f t="shared" si="94"/>
        <v>63</v>
      </c>
      <c r="Z613" s="1">
        <v>46</v>
      </c>
      <c r="AA613" s="1">
        <v>10</v>
      </c>
      <c r="AB613" s="2">
        <f t="shared" si="91"/>
        <v>56</v>
      </c>
      <c r="AD613" s="121"/>
      <c r="AE613" s="121"/>
    </row>
    <row r="614" spans="1:31" x14ac:dyDescent="0.25">
      <c r="A614" s="2" t="s">
        <v>532</v>
      </c>
      <c r="B614" s="7">
        <v>0.33333333333333331</v>
      </c>
      <c r="C614" s="2">
        <v>13.1</v>
      </c>
      <c r="D614" s="10" t="s">
        <v>533</v>
      </c>
      <c r="E614" s="40">
        <v>0</v>
      </c>
      <c r="F614" s="40">
        <v>2.5</v>
      </c>
      <c r="G614" s="40">
        <v>1.5</v>
      </c>
      <c r="H614" s="3">
        <f t="shared" si="88"/>
        <v>0</v>
      </c>
      <c r="I614" s="3">
        <f t="shared" si="89"/>
        <v>1.3645833333333333</v>
      </c>
      <c r="J614" s="3">
        <f t="shared" si="90"/>
        <v>0.81874999999999998</v>
      </c>
      <c r="K614" s="3"/>
      <c r="L614" s="4">
        <f t="shared" si="92"/>
        <v>387.5058333333335</v>
      </c>
      <c r="M614" s="40">
        <v>0</v>
      </c>
      <c r="N614" s="40">
        <v>0</v>
      </c>
      <c r="O614" s="40">
        <v>0.1</v>
      </c>
      <c r="P614" s="40">
        <v>0</v>
      </c>
      <c r="Q614" s="40">
        <v>3.1</v>
      </c>
      <c r="R614" s="40">
        <v>0</v>
      </c>
      <c r="S614" s="2">
        <f t="shared" si="93"/>
        <v>79.800000000000324</v>
      </c>
      <c r="T614" s="2">
        <v>0</v>
      </c>
      <c r="U614" s="2">
        <v>0</v>
      </c>
      <c r="V614" s="2">
        <v>3</v>
      </c>
      <c r="W614" s="2">
        <v>0</v>
      </c>
      <c r="X614" s="2">
        <f t="shared" si="94"/>
        <v>60</v>
      </c>
      <c r="Z614" s="1"/>
      <c r="AA614" s="1"/>
      <c r="AB614" s="2" t="str">
        <f t="shared" si="91"/>
        <v/>
      </c>
      <c r="AD614" s="121"/>
      <c r="AE614" s="121"/>
    </row>
    <row r="615" spans="1:31" x14ac:dyDescent="0.25">
      <c r="A615" s="2" t="s">
        <v>532</v>
      </c>
      <c r="B615" s="7">
        <v>0.85833333333333339</v>
      </c>
      <c r="C615" s="2">
        <v>12.6</v>
      </c>
      <c r="D615" s="10" t="s">
        <v>381</v>
      </c>
      <c r="E615" s="40">
        <v>0</v>
      </c>
      <c r="F615" s="40">
        <v>2.5</v>
      </c>
      <c r="G615" s="40">
        <v>1.5</v>
      </c>
      <c r="H615" s="3">
        <f t="shared" si="88"/>
        <v>0</v>
      </c>
      <c r="I615" s="3">
        <f t="shared" si="89"/>
        <v>1.3125</v>
      </c>
      <c r="J615" s="3">
        <f t="shared" si="90"/>
        <v>0.78749999999999998</v>
      </c>
      <c r="K615" s="3"/>
      <c r="L615" s="4">
        <f t="shared" si="92"/>
        <v>385.40583333333348</v>
      </c>
      <c r="M615" s="40">
        <v>0</v>
      </c>
      <c r="N615" s="40">
        <v>0</v>
      </c>
      <c r="O615" s="40">
        <v>0</v>
      </c>
      <c r="P615" s="40">
        <v>0</v>
      </c>
      <c r="Q615" s="40">
        <v>2.2000000000000002</v>
      </c>
      <c r="R615" s="40">
        <v>0</v>
      </c>
      <c r="S615" s="2">
        <f t="shared" si="93"/>
        <v>77.600000000000321</v>
      </c>
      <c r="T615" s="2">
        <v>0</v>
      </c>
      <c r="U615" s="2">
        <v>0</v>
      </c>
      <c r="V615" s="2">
        <v>2</v>
      </c>
      <c r="W615" s="2">
        <v>0</v>
      </c>
      <c r="X615" s="2">
        <f t="shared" si="94"/>
        <v>58</v>
      </c>
      <c r="Z615" s="1"/>
      <c r="AA615" s="1"/>
      <c r="AB615" s="2" t="str">
        <f t="shared" si="91"/>
        <v/>
      </c>
      <c r="AD615" s="121"/>
      <c r="AE615" s="121"/>
    </row>
    <row r="616" spans="1:31" x14ac:dyDescent="0.25">
      <c r="A616" s="2" t="s">
        <v>532</v>
      </c>
      <c r="B616" s="7">
        <v>0.89583333333333337</v>
      </c>
      <c r="C616" s="2">
        <v>0.9</v>
      </c>
      <c r="D616" s="10" t="s">
        <v>355</v>
      </c>
      <c r="E616" s="40">
        <v>15</v>
      </c>
      <c r="F616" s="40">
        <v>2.5</v>
      </c>
      <c r="G616" s="40">
        <v>1</v>
      </c>
      <c r="H616" s="3">
        <f t="shared" ref="H616:H620" si="95">+IF(E616="","",(E616/24)*C616)</f>
        <v>0.5625</v>
      </c>
      <c r="I616" s="3">
        <f t="shared" ref="I616:I620" si="96">+IF(F616="","",(F616/24)*C616)</f>
        <v>9.375E-2</v>
      </c>
      <c r="J616" s="3">
        <f t="shared" ref="J616:J620" si="97">+IF(G616="","",(G616/24)*C616)</f>
        <v>3.7499999999999999E-2</v>
      </c>
      <c r="K616" s="3"/>
      <c r="L616" s="4">
        <f>+IF(C616="","",((L615-(H616+I616+J616))+K616))</f>
        <v>384.71208333333345</v>
      </c>
      <c r="M616" s="40">
        <v>0</v>
      </c>
      <c r="N616" s="40">
        <v>0</v>
      </c>
      <c r="O616" s="40">
        <v>0</v>
      </c>
      <c r="P616" s="40">
        <v>0</v>
      </c>
      <c r="Q616" s="40">
        <v>0</v>
      </c>
      <c r="R616" s="40">
        <v>0</v>
      </c>
      <c r="S616" s="2">
        <f>IF(C616="","",(S615+R616)-(M616+N616+O616+P616+Q616))</f>
        <v>77.600000000000321</v>
      </c>
      <c r="T616" s="2">
        <v>0</v>
      </c>
      <c r="U616" s="2">
        <v>0</v>
      </c>
      <c r="V616" s="2">
        <v>0</v>
      </c>
      <c r="W616" s="2">
        <v>0</v>
      </c>
      <c r="X616" s="2">
        <f>IF(V616="","",((X615+T616+U616)-(V616+W616)))</f>
        <v>58</v>
      </c>
      <c r="Z616" s="1"/>
      <c r="AA616" s="1"/>
      <c r="AB616" s="2" t="str">
        <f t="shared" si="91"/>
        <v/>
      </c>
      <c r="AD616" s="121"/>
      <c r="AE616" s="121"/>
    </row>
    <row r="617" spans="1:31" x14ac:dyDescent="0.25">
      <c r="A617" s="2" t="s">
        <v>534</v>
      </c>
      <c r="B617" s="7">
        <v>0.10416666666666667</v>
      </c>
      <c r="C617" s="2">
        <v>5</v>
      </c>
      <c r="D617" s="10" t="s">
        <v>381</v>
      </c>
      <c r="E617" s="40">
        <v>25</v>
      </c>
      <c r="F617" s="40">
        <v>2.5</v>
      </c>
      <c r="G617" s="40">
        <v>0</v>
      </c>
      <c r="H617" s="3">
        <f t="shared" si="95"/>
        <v>5.2083333333333339</v>
      </c>
      <c r="I617" s="3">
        <f t="shared" si="96"/>
        <v>0.52083333333333337</v>
      </c>
      <c r="J617" s="3">
        <f t="shared" si="97"/>
        <v>0</v>
      </c>
      <c r="K617" s="3"/>
      <c r="L617" s="4">
        <f t="shared" ref="L617:L620" si="98">+IF(C617="","",((L616-(H617+I617+J617))+K617))</f>
        <v>378.98291666666677</v>
      </c>
      <c r="M617" s="40">
        <v>0</v>
      </c>
      <c r="N617" s="40">
        <v>0</v>
      </c>
      <c r="O617" s="40">
        <v>0.1</v>
      </c>
      <c r="P617" s="40">
        <v>0</v>
      </c>
      <c r="Q617" s="40">
        <v>0</v>
      </c>
      <c r="R617" s="40">
        <v>0</v>
      </c>
      <c r="S617" s="2">
        <f t="shared" ref="S617:S620" si="99">IF(C617="","",(S616+R617)-(M617+N617+O617+P617+Q617))</f>
        <v>77.500000000000327</v>
      </c>
      <c r="T617" s="2">
        <v>0</v>
      </c>
      <c r="U617" s="2">
        <v>0</v>
      </c>
      <c r="V617" s="2">
        <v>1</v>
      </c>
      <c r="W617" s="2">
        <v>0</v>
      </c>
      <c r="X617" s="2">
        <f t="shared" ref="X617:X620" si="100">IF(V617="","",((X616+T617+U617)-(V617+W617)))</f>
        <v>57</v>
      </c>
      <c r="Z617" s="1"/>
      <c r="AA617" s="1"/>
      <c r="AB617" s="2" t="str">
        <f t="shared" si="91"/>
        <v/>
      </c>
      <c r="AD617" s="121"/>
      <c r="AE617" s="121"/>
    </row>
    <row r="618" spans="1:31" x14ac:dyDescent="0.25">
      <c r="A618" s="2" t="s">
        <v>534</v>
      </c>
      <c r="B618" s="7">
        <v>0.15</v>
      </c>
      <c r="C618" s="2">
        <v>1.1000000000000001</v>
      </c>
      <c r="D618" s="10" t="s">
        <v>351</v>
      </c>
      <c r="E618" s="40">
        <v>15</v>
      </c>
      <c r="F618" s="40">
        <v>2.5</v>
      </c>
      <c r="G618" s="40">
        <v>0</v>
      </c>
      <c r="H618" s="3">
        <f t="shared" si="95"/>
        <v>0.6875</v>
      </c>
      <c r="I618" s="3">
        <f t="shared" si="96"/>
        <v>0.11458333333333334</v>
      </c>
      <c r="J618" s="3">
        <f t="shared" si="97"/>
        <v>0</v>
      </c>
      <c r="K618" s="3"/>
      <c r="L618" s="4">
        <f t="shared" si="98"/>
        <v>378.18083333333345</v>
      </c>
      <c r="M618" s="40">
        <v>0</v>
      </c>
      <c r="N618" s="40">
        <v>0</v>
      </c>
      <c r="O618" s="40">
        <v>0</v>
      </c>
      <c r="P618" s="40">
        <v>0</v>
      </c>
      <c r="Q618" s="40">
        <v>0</v>
      </c>
      <c r="R618" s="40">
        <v>0</v>
      </c>
      <c r="S618" s="2">
        <f t="shared" si="99"/>
        <v>77.500000000000327</v>
      </c>
      <c r="T618" s="2">
        <v>0</v>
      </c>
      <c r="U618" s="2">
        <v>0</v>
      </c>
      <c r="V618" s="2">
        <v>0</v>
      </c>
      <c r="W618" s="2">
        <v>0</v>
      </c>
      <c r="X618" s="2">
        <f t="shared" si="100"/>
        <v>57</v>
      </c>
      <c r="Z618" s="1"/>
      <c r="AA618" s="1"/>
      <c r="AB618" s="2" t="str">
        <f t="shared" si="91"/>
        <v/>
      </c>
      <c r="AD618" s="121"/>
      <c r="AE618" s="121"/>
    </row>
    <row r="619" spans="1:31" x14ac:dyDescent="0.25">
      <c r="A619" s="2" t="s">
        <v>534</v>
      </c>
      <c r="B619" s="7">
        <v>0.33333333333333331</v>
      </c>
      <c r="C619" s="2">
        <v>4.4000000000000004</v>
      </c>
      <c r="D619" s="10" t="s">
        <v>381</v>
      </c>
      <c r="E619" s="40">
        <v>0</v>
      </c>
      <c r="F619" s="40">
        <v>2.5</v>
      </c>
      <c r="G619" s="40">
        <v>2</v>
      </c>
      <c r="H619" s="3">
        <f t="shared" si="95"/>
        <v>0</v>
      </c>
      <c r="I619" s="3">
        <f t="shared" si="96"/>
        <v>0.45833333333333337</v>
      </c>
      <c r="J619" s="3">
        <f t="shared" si="97"/>
        <v>0.3666666666666667</v>
      </c>
      <c r="K619" s="3"/>
      <c r="L619" s="4">
        <f t="shared" si="98"/>
        <v>377.35583333333346</v>
      </c>
      <c r="M619" s="40">
        <v>0</v>
      </c>
      <c r="N619" s="40">
        <v>0</v>
      </c>
      <c r="O619" s="40">
        <v>0</v>
      </c>
      <c r="P619" s="40">
        <v>0</v>
      </c>
      <c r="Q619" s="40">
        <v>0</v>
      </c>
      <c r="R619" s="40">
        <v>0</v>
      </c>
      <c r="S619" s="2">
        <f t="shared" si="99"/>
        <v>77.500000000000327</v>
      </c>
      <c r="T619" s="2">
        <v>0</v>
      </c>
      <c r="U619" s="2">
        <v>0</v>
      </c>
      <c r="V619" s="2">
        <v>1</v>
      </c>
      <c r="W619" s="2">
        <v>0</v>
      </c>
      <c r="X619" s="2">
        <f t="shared" si="100"/>
        <v>56</v>
      </c>
      <c r="Z619" s="1">
        <v>45</v>
      </c>
      <c r="AA619" s="1">
        <v>10</v>
      </c>
      <c r="AB619" s="2">
        <f t="shared" si="91"/>
        <v>55</v>
      </c>
      <c r="AD619" s="121"/>
      <c r="AE619" s="121"/>
    </row>
    <row r="620" spans="1:31" x14ac:dyDescent="0.25">
      <c r="A620" s="2" t="s">
        <v>534</v>
      </c>
      <c r="B620" s="7">
        <v>0.38750000000000001</v>
      </c>
      <c r="C620" s="2">
        <v>1.3</v>
      </c>
      <c r="D620" s="10" t="s">
        <v>487</v>
      </c>
      <c r="E620" s="40">
        <v>15</v>
      </c>
      <c r="F620" s="40">
        <v>2.5</v>
      </c>
      <c r="G620" s="40">
        <v>1</v>
      </c>
      <c r="H620" s="3">
        <f t="shared" si="95"/>
        <v>0.8125</v>
      </c>
      <c r="I620" s="3">
        <f t="shared" si="96"/>
        <v>0.13541666666666669</v>
      </c>
      <c r="J620" s="3">
        <f t="shared" si="97"/>
        <v>5.4166666666666669E-2</v>
      </c>
      <c r="K620" s="3"/>
      <c r="L620" s="4">
        <f t="shared" si="98"/>
        <v>376.3537500000001</v>
      </c>
      <c r="M620" s="40">
        <v>0</v>
      </c>
      <c r="N620" s="40">
        <v>0</v>
      </c>
      <c r="O620" s="40">
        <v>0</v>
      </c>
      <c r="P620" s="40">
        <v>0</v>
      </c>
      <c r="Q620" s="40">
        <v>0</v>
      </c>
      <c r="R620" s="40">
        <v>0</v>
      </c>
      <c r="S620" s="2">
        <f t="shared" si="99"/>
        <v>77.500000000000327</v>
      </c>
      <c r="T620" s="2">
        <v>0</v>
      </c>
      <c r="U620" s="2">
        <v>0</v>
      </c>
      <c r="V620" s="2">
        <v>0</v>
      </c>
      <c r="W620" s="2">
        <v>0</v>
      </c>
      <c r="X620" s="2">
        <f t="shared" si="100"/>
        <v>56</v>
      </c>
      <c r="Z620" s="1"/>
      <c r="AA620" s="1"/>
      <c r="AB620" s="2" t="str">
        <f t="shared" si="91"/>
        <v/>
      </c>
      <c r="AD620" s="121">
        <v>12.5</v>
      </c>
      <c r="AE620" s="121" t="s">
        <v>1301</v>
      </c>
    </row>
    <row r="621" spans="1:31" x14ac:dyDescent="0.25">
      <c r="A621" s="2" t="s">
        <v>534</v>
      </c>
      <c r="B621" s="7">
        <v>0.79999999999999993</v>
      </c>
      <c r="C621" s="2">
        <v>9.9</v>
      </c>
      <c r="D621" s="10" t="s">
        <v>381</v>
      </c>
      <c r="E621" s="40">
        <v>0</v>
      </c>
      <c r="F621" s="40">
        <v>2.5</v>
      </c>
      <c r="G621" s="40">
        <v>2</v>
      </c>
      <c r="H621" s="3">
        <f t="shared" ref="H621:H626" si="101">+IF(E621="","",(E621/24)*C621)</f>
        <v>0</v>
      </c>
      <c r="I621" s="3">
        <f t="shared" ref="I621:I626" si="102">+IF(F621="","",(F621/24)*C621)</f>
        <v>1.03125</v>
      </c>
      <c r="J621" s="3">
        <f t="shared" ref="J621:J626" si="103">+IF(G621="","",(G621/24)*C621)</f>
        <v>0.82499999999999996</v>
      </c>
      <c r="K621" s="3"/>
      <c r="L621" s="4">
        <f>+IF(C621="","",((L620-(H621+I621+J621))+K621))</f>
        <v>374.49750000000012</v>
      </c>
      <c r="M621" s="40">
        <v>0</v>
      </c>
      <c r="N621" s="40">
        <v>0</v>
      </c>
      <c r="O621" s="40">
        <v>0</v>
      </c>
      <c r="P621" s="40">
        <v>0</v>
      </c>
      <c r="Q621" s="40">
        <v>1.2</v>
      </c>
      <c r="R621" s="40">
        <v>0</v>
      </c>
      <c r="S621" s="2">
        <f>IF(C621="","",(S620+R621)-(M621+N621+O621+P621+Q621))</f>
        <v>76.300000000000324</v>
      </c>
      <c r="T621" s="2">
        <v>0</v>
      </c>
      <c r="U621" s="2">
        <v>0</v>
      </c>
      <c r="V621" s="2">
        <v>1</v>
      </c>
      <c r="W621" s="2">
        <v>0</v>
      </c>
      <c r="X621" s="2">
        <f>IF(V621="","",((X620+T621+U621)-(V621+W621)))</f>
        <v>55</v>
      </c>
      <c r="Z621" s="1"/>
      <c r="AA621" s="1"/>
      <c r="AB621" s="2" t="str">
        <f t="shared" si="91"/>
        <v/>
      </c>
      <c r="AD621" s="121"/>
      <c r="AE621" s="121"/>
    </row>
    <row r="622" spans="1:31" x14ac:dyDescent="0.25">
      <c r="A622" s="2" t="s">
        <v>534</v>
      </c>
      <c r="B622" s="7">
        <v>0.83333333333333337</v>
      </c>
      <c r="C622" s="2">
        <v>0.8</v>
      </c>
      <c r="D622" s="10" t="s">
        <v>355</v>
      </c>
      <c r="E622" s="40">
        <v>15</v>
      </c>
      <c r="F622" s="40">
        <v>2.5</v>
      </c>
      <c r="G622" s="40">
        <v>0</v>
      </c>
      <c r="H622" s="3">
        <f t="shared" si="101"/>
        <v>0.5</v>
      </c>
      <c r="I622" s="3">
        <f t="shared" si="102"/>
        <v>8.3333333333333343E-2</v>
      </c>
      <c r="J622" s="3">
        <f t="shared" si="103"/>
        <v>0</v>
      </c>
      <c r="K622" s="3"/>
      <c r="L622" s="4">
        <f t="shared" ref="L622:L626" si="104">+IF(C622="","",((L621-(H622+I622+J622))+K622))</f>
        <v>373.9141666666668</v>
      </c>
      <c r="M622" s="40">
        <v>0</v>
      </c>
      <c r="N622" s="40">
        <v>0</v>
      </c>
      <c r="O622" s="40">
        <v>0</v>
      </c>
      <c r="P622" s="40">
        <v>0</v>
      </c>
      <c r="Q622" s="40">
        <v>0</v>
      </c>
      <c r="R622" s="40">
        <v>0</v>
      </c>
      <c r="S622" s="2">
        <f t="shared" ref="S622:S626" si="105">IF(C622="","",(S621+R622)-(M622+N622+O622+P622+Q622))</f>
        <v>76.300000000000324</v>
      </c>
      <c r="T622" s="2">
        <v>0</v>
      </c>
      <c r="U622" s="2">
        <v>0</v>
      </c>
      <c r="V622" s="2">
        <v>1</v>
      </c>
      <c r="W622" s="2">
        <v>0</v>
      </c>
      <c r="X622" s="2">
        <f t="shared" ref="X622:X626" si="106">IF(V622="","",((X621+T622+U622)-(V622+W622)))</f>
        <v>54</v>
      </c>
      <c r="Z622" s="1"/>
      <c r="AA622" s="1"/>
      <c r="AB622" s="2" t="str">
        <f t="shared" si="91"/>
        <v/>
      </c>
      <c r="AD622" s="121"/>
      <c r="AE622" s="121"/>
    </row>
    <row r="623" spans="1:31" x14ac:dyDescent="0.25">
      <c r="A623" s="59"/>
      <c r="B623" s="7"/>
      <c r="C623" s="59"/>
      <c r="D623" s="10"/>
      <c r="E623" s="40"/>
      <c r="F623" s="40"/>
      <c r="G623" s="40"/>
      <c r="H623" s="3"/>
      <c r="I623" s="3"/>
      <c r="J623" s="3"/>
      <c r="K623" s="3"/>
      <c r="L623" s="4"/>
      <c r="M623" s="40"/>
      <c r="N623" s="40"/>
      <c r="O623" s="40"/>
      <c r="P623" s="40"/>
      <c r="Q623" s="40"/>
      <c r="R623" s="40"/>
      <c r="S623" s="59"/>
      <c r="T623" s="59"/>
      <c r="U623" s="59"/>
      <c r="V623" s="59"/>
      <c r="W623" s="59"/>
      <c r="X623" s="59"/>
      <c r="Z623" s="1"/>
      <c r="AA623" s="1"/>
      <c r="AB623" s="59"/>
      <c r="AD623" s="121"/>
      <c r="AE623" s="121"/>
    </row>
    <row r="624" spans="1:31" x14ac:dyDescent="0.25">
      <c r="A624" s="9" t="s">
        <v>535</v>
      </c>
      <c r="B624" s="7">
        <v>0.33333333333333331</v>
      </c>
      <c r="C624" s="44">
        <v>12</v>
      </c>
      <c r="D624" s="10" t="s">
        <v>355</v>
      </c>
      <c r="E624" s="40">
        <v>22</v>
      </c>
      <c r="F624" s="40">
        <v>2</v>
      </c>
      <c r="G624" s="40">
        <v>0</v>
      </c>
      <c r="H624" s="45">
        <f t="shared" si="101"/>
        <v>11</v>
      </c>
      <c r="I624" s="45">
        <f t="shared" si="102"/>
        <v>1</v>
      </c>
      <c r="J624" s="3">
        <f t="shared" si="103"/>
        <v>0</v>
      </c>
      <c r="K624" s="3"/>
      <c r="L624" s="4">
        <f>+IF(C624="","",((L622-(H624+I624+J624))+K624))</f>
        <v>361.9141666666668</v>
      </c>
      <c r="M624" s="40">
        <v>0</v>
      </c>
      <c r="N624" s="40">
        <v>0</v>
      </c>
      <c r="O624" s="44">
        <v>0.1</v>
      </c>
      <c r="P624" s="40">
        <v>0</v>
      </c>
      <c r="Q624" s="40">
        <v>0</v>
      </c>
      <c r="R624" s="40">
        <v>0</v>
      </c>
      <c r="S624" s="2">
        <f>IF(C624="","",(S622+R624)-(M624+N624+O624+P624+Q624))</f>
        <v>76.20000000000033</v>
      </c>
      <c r="T624" s="2">
        <v>4</v>
      </c>
      <c r="U624" s="2">
        <v>0</v>
      </c>
      <c r="V624" s="2">
        <v>2</v>
      </c>
      <c r="W624" s="2">
        <v>0</v>
      </c>
      <c r="X624" s="2">
        <f>IF(V624="","",((X622+T624+U624)-(V624+W624)))</f>
        <v>56</v>
      </c>
      <c r="Z624" s="1">
        <v>46</v>
      </c>
      <c r="AA624" s="1">
        <v>10</v>
      </c>
      <c r="AB624" s="2">
        <f t="shared" si="91"/>
        <v>56</v>
      </c>
      <c r="AD624" s="121"/>
      <c r="AE624" s="121"/>
    </row>
    <row r="625" spans="1:31" x14ac:dyDescent="0.25">
      <c r="A625" s="2" t="s">
        <v>535</v>
      </c>
      <c r="B625" s="7">
        <v>0.85416666666666663</v>
      </c>
      <c r="C625" s="44">
        <v>12.5</v>
      </c>
      <c r="D625" s="10" t="s">
        <v>536</v>
      </c>
      <c r="E625" s="40">
        <v>25</v>
      </c>
      <c r="F625" s="40">
        <v>2</v>
      </c>
      <c r="G625" s="40">
        <v>0</v>
      </c>
      <c r="H625" s="45">
        <f t="shared" si="101"/>
        <v>13.020833333333334</v>
      </c>
      <c r="I625" s="45">
        <f t="shared" si="102"/>
        <v>1.0416666666666665</v>
      </c>
      <c r="J625" s="3">
        <f t="shared" si="103"/>
        <v>0</v>
      </c>
      <c r="K625" s="3"/>
      <c r="L625" s="4">
        <f t="shared" si="104"/>
        <v>347.8516666666668</v>
      </c>
      <c r="M625" s="40">
        <v>0</v>
      </c>
      <c r="N625" s="40">
        <v>0</v>
      </c>
      <c r="O625" s="40">
        <v>0</v>
      </c>
      <c r="P625" s="40">
        <v>0</v>
      </c>
      <c r="Q625" s="40">
        <v>0</v>
      </c>
      <c r="R625" s="40">
        <v>0</v>
      </c>
      <c r="S625" s="2">
        <f t="shared" si="105"/>
        <v>76.20000000000033</v>
      </c>
      <c r="T625" s="2">
        <v>0</v>
      </c>
      <c r="U625" s="2">
        <v>0</v>
      </c>
      <c r="V625" s="2">
        <v>2</v>
      </c>
      <c r="W625" s="2">
        <v>0</v>
      </c>
      <c r="X625" s="2">
        <f t="shared" si="106"/>
        <v>54</v>
      </c>
      <c r="Z625" s="1"/>
      <c r="AA625" s="1"/>
      <c r="AB625" s="2" t="str">
        <f t="shared" si="91"/>
        <v/>
      </c>
      <c r="AD625" s="121">
        <v>12.6</v>
      </c>
      <c r="AE625" s="121" t="s">
        <v>1304</v>
      </c>
    </row>
    <row r="626" spans="1:31" x14ac:dyDescent="0.25">
      <c r="A626" s="2" t="s">
        <v>537</v>
      </c>
      <c r="B626" s="7">
        <v>1</v>
      </c>
      <c r="C626" s="2">
        <v>3.5</v>
      </c>
      <c r="D626" s="10" t="s">
        <v>378</v>
      </c>
      <c r="E626" s="40">
        <v>15</v>
      </c>
      <c r="F626" s="40">
        <v>2.5</v>
      </c>
      <c r="G626" s="40">
        <v>1</v>
      </c>
      <c r="H626" s="3">
        <f t="shared" si="101"/>
        <v>2.1875</v>
      </c>
      <c r="I626" s="3">
        <f t="shared" si="102"/>
        <v>0.36458333333333337</v>
      </c>
      <c r="J626" s="3">
        <f t="shared" si="103"/>
        <v>0.14583333333333331</v>
      </c>
      <c r="K626" s="3"/>
      <c r="L626" s="4">
        <f t="shared" si="104"/>
        <v>345.15375000000012</v>
      </c>
      <c r="M626" s="40">
        <v>0</v>
      </c>
      <c r="N626" s="40">
        <v>0</v>
      </c>
      <c r="O626" s="40">
        <v>0</v>
      </c>
      <c r="P626" s="40">
        <v>0</v>
      </c>
      <c r="Q626" s="40">
        <v>0</v>
      </c>
      <c r="R626" s="40">
        <v>0</v>
      </c>
      <c r="S626" s="2">
        <f t="shared" si="105"/>
        <v>76.20000000000033</v>
      </c>
      <c r="T626" s="2">
        <v>0</v>
      </c>
      <c r="U626" s="2">
        <v>0</v>
      </c>
      <c r="V626" s="2">
        <v>1</v>
      </c>
      <c r="W626" s="2">
        <v>0</v>
      </c>
      <c r="X626" s="2">
        <f t="shared" si="106"/>
        <v>53</v>
      </c>
      <c r="Z626" s="1"/>
      <c r="AA626" s="1"/>
      <c r="AB626" s="2" t="str">
        <f t="shared" si="91"/>
        <v/>
      </c>
      <c r="AD626" s="121"/>
      <c r="AE626" s="121"/>
    </row>
    <row r="627" spans="1:31" x14ac:dyDescent="0.25">
      <c r="A627" s="2" t="s">
        <v>537</v>
      </c>
      <c r="B627" s="7">
        <v>0.33333333333333331</v>
      </c>
      <c r="C627" s="2">
        <v>8</v>
      </c>
      <c r="D627" s="10" t="s">
        <v>378</v>
      </c>
      <c r="E627" s="40">
        <v>0</v>
      </c>
      <c r="F627" s="40">
        <v>2.5</v>
      </c>
      <c r="G627" s="40">
        <v>1.5</v>
      </c>
      <c r="H627" s="3">
        <f t="shared" ref="H627:H631" si="107">+IF(E627="","",(E627/24)*C627)</f>
        <v>0</v>
      </c>
      <c r="I627" s="3">
        <f t="shared" ref="I627:I631" si="108">+IF(F627="","",(F627/24)*C627)</f>
        <v>0.83333333333333337</v>
      </c>
      <c r="J627" s="3">
        <f t="shared" ref="J627:J631" si="109">+IF(G627="","",(G627/24)*C627)</f>
        <v>0.5</v>
      </c>
      <c r="K627" s="3"/>
      <c r="L627" s="4">
        <f>+IF(C627="","",((L626-(H627+I627+J627))+K627))</f>
        <v>343.8204166666668</v>
      </c>
      <c r="M627" s="40">
        <v>0</v>
      </c>
      <c r="N627" s="40">
        <v>0</v>
      </c>
      <c r="O627" s="40">
        <v>0</v>
      </c>
      <c r="P627" s="40">
        <v>0</v>
      </c>
      <c r="Q627" s="40">
        <v>1</v>
      </c>
      <c r="R627" s="40">
        <v>0</v>
      </c>
      <c r="S627" s="2">
        <f>IF(C627="","",(S626+R627)-(M627+N627+O627+P627+Q627))</f>
        <v>75.20000000000033</v>
      </c>
      <c r="T627" s="2">
        <v>1</v>
      </c>
      <c r="U627" s="2">
        <v>0</v>
      </c>
      <c r="V627" s="2">
        <v>1</v>
      </c>
      <c r="W627" s="2">
        <v>0</v>
      </c>
      <c r="X627" s="2">
        <f>IF(V627="","",((X626+T627+U627)-(V627+W627)))</f>
        <v>53</v>
      </c>
      <c r="Z627" s="1">
        <v>52</v>
      </c>
      <c r="AA627" s="1">
        <v>10</v>
      </c>
      <c r="AB627" s="2">
        <f t="shared" si="91"/>
        <v>62</v>
      </c>
      <c r="AD627" s="121"/>
      <c r="AE627" s="121"/>
    </row>
    <row r="628" spans="1:31" x14ac:dyDescent="0.25">
      <c r="A628" s="2" t="s">
        <v>537</v>
      </c>
      <c r="B628" s="7">
        <v>0.90416666666666667</v>
      </c>
      <c r="C628" s="2">
        <v>13.7</v>
      </c>
      <c r="D628" s="10" t="s">
        <v>381</v>
      </c>
      <c r="E628" s="40">
        <v>0</v>
      </c>
      <c r="F628" s="40">
        <v>2.5</v>
      </c>
      <c r="G628" s="40">
        <v>1.5</v>
      </c>
      <c r="H628" s="3">
        <f t="shared" si="107"/>
        <v>0</v>
      </c>
      <c r="I628" s="3">
        <f t="shared" si="108"/>
        <v>1.4270833333333333</v>
      </c>
      <c r="J628" s="3">
        <f t="shared" si="109"/>
        <v>0.85624999999999996</v>
      </c>
      <c r="K628" s="3"/>
      <c r="L628" s="4">
        <f t="shared" ref="L628:L631" si="110">+IF(C628="","",((L627-(H628+I628+J628))+K628))</f>
        <v>341.53708333333344</v>
      </c>
      <c r="M628" s="40">
        <v>0</v>
      </c>
      <c r="N628" s="40">
        <v>0</v>
      </c>
      <c r="O628" s="40">
        <v>0</v>
      </c>
      <c r="P628" s="40">
        <v>0</v>
      </c>
      <c r="Q628" s="40">
        <v>2.5</v>
      </c>
      <c r="R628" s="40">
        <v>0</v>
      </c>
      <c r="S628" s="2">
        <f t="shared" ref="S628:S631" si="111">IF(C628="","",(S627+R628)-(M628+N628+O628+P628+Q628))</f>
        <v>72.70000000000033</v>
      </c>
      <c r="T628" s="2">
        <v>0</v>
      </c>
      <c r="U628" s="2">
        <v>0</v>
      </c>
      <c r="V628" s="2">
        <v>1</v>
      </c>
      <c r="W628" s="2">
        <v>0</v>
      </c>
      <c r="X628" s="2">
        <f t="shared" ref="X628:X631" si="112">IF(V628="","",((X627+T628+U628)-(V628+W628)))</f>
        <v>52</v>
      </c>
      <c r="Z628" s="1"/>
      <c r="AA628" s="1"/>
      <c r="AB628" s="2" t="str">
        <f t="shared" si="91"/>
        <v/>
      </c>
      <c r="AD628" s="121"/>
      <c r="AE628" s="121"/>
    </row>
    <row r="629" spans="1:31" x14ac:dyDescent="0.25">
      <c r="A629" s="2" t="s">
        <v>537</v>
      </c>
      <c r="B629" s="7">
        <v>0.9375</v>
      </c>
      <c r="C629" s="2">
        <v>0.8</v>
      </c>
      <c r="D629" s="10" t="s">
        <v>355</v>
      </c>
      <c r="E629" s="40">
        <v>15</v>
      </c>
      <c r="F629" s="40">
        <v>2</v>
      </c>
      <c r="G629" s="40">
        <v>1</v>
      </c>
      <c r="H629" s="3">
        <f t="shared" si="107"/>
        <v>0.5</v>
      </c>
      <c r="I629" s="3">
        <f t="shared" si="108"/>
        <v>6.6666666666666666E-2</v>
      </c>
      <c r="J629" s="3">
        <f t="shared" si="109"/>
        <v>3.3333333333333333E-2</v>
      </c>
      <c r="K629" s="3"/>
      <c r="L629" s="4">
        <f t="shared" si="110"/>
        <v>340.93708333333342</v>
      </c>
      <c r="M629" s="40">
        <v>0</v>
      </c>
      <c r="N629" s="40">
        <v>0</v>
      </c>
      <c r="O629" s="40">
        <v>0</v>
      </c>
      <c r="P629" s="40">
        <v>0</v>
      </c>
      <c r="Q629" s="40">
        <v>0</v>
      </c>
      <c r="R629" s="40">
        <v>0</v>
      </c>
      <c r="S629" s="2">
        <f t="shared" si="111"/>
        <v>72.70000000000033</v>
      </c>
      <c r="T629" s="2">
        <v>0</v>
      </c>
      <c r="U629" s="2">
        <v>0</v>
      </c>
      <c r="V629" s="2">
        <v>0</v>
      </c>
      <c r="W629" s="2">
        <v>0</v>
      </c>
      <c r="X629" s="2">
        <f t="shared" si="112"/>
        <v>52</v>
      </c>
      <c r="Z629" s="1"/>
      <c r="AA629" s="1"/>
      <c r="AB629" s="2" t="str">
        <f t="shared" si="91"/>
        <v/>
      </c>
      <c r="AD629" s="121"/>
      <c r="AE629" s="121"/>
    </row>
    <row r="630" spans="1:31" x14ac:dyDescent="0.25">
      <c r="A630" s="2" t="s">
        <v>538</v>
      </c>
      <c r="B630" s="7">
        <v>0.3125</v>
      </c>
      <c r="C630" s="44">
        <v>9</v>
      </c>
      <c r="D630" s="10" t="s">
        <v>536</v>
      </c>
      <c r="E630" s="40">
        <v>24</v>
      </c>
      <c r="F630" s="40">
        <v>2</v>
      </c>
      <c r="G630" s="40">
        <v>0</v>
      </c>
      <c r="H630" s="45">
        <f t="shared" si="107"/>
        <v>9</v>
      </c>
      <c r="I630" s="45">
        <f t="shared" si="108"/>
        <v>0.75</v>
      </c>
      <c r="J630" s="3">
        <f t="shared" si="109"/>
        <v>0</v>
      </c>
      <c r="K630" s="3"/>
      <c r="L630" s="4">
        <f t="shared" si="110"/>
        <v>331.18708333333342</v>
      </c>
      <c r="M630" s="40">
        <v>0</v>
      </c>
      <c r="N630" s="40">
        <v>0</v>
      </c>
      <c r="O630" s="40">
        <v>0</v>
      </c>
      <c r="P630" s="40">
        <v>0</v>
      </c>
      <c r="Q630" s="40">
        <v>0</v>
      </c>
      <c r="R630" s="40">
        <v>0</v>
      </c>
      <c r="S630" s="2">
        <f t="shared" si="111"/>
        <v>72.70000000000033</v>
      </c>
      <c r="T630" s="2">
        <v>2</v>
      </c>
      <c r="U630" s="2">
        <v>0</v>
      </c>
      <c r="V630" s="2">
        <v>3</v>
      </c>
      <c r="W630" s="2">
        <v>0</v>
      </c>
      <c r="X630" s="2">
        <f t="shared" si="112"/>
        <v>51</v>
      </c>
      <c r="Z630" s="1">
        <v>55</v>
      </c>
      <c r="AA630" s="1">
        <v>10</v>
      </c>
      <c r="AB630" s="2">
        <f t="shared" si="91"/>
        <v>65</v>
      </c>
      <c r="AD630" s="121"/>
      <c r="AE630" s="121"/>
    </row>
    <row r="631" spans="1:31" x14ac:dyDescent="0.25">
      <c r="A631" s="2" t="s">
        <v>538</v>
      </c>
      <c r="B631" s="7">
        <v>0.375</v>
      </c>
      <c r="C631" s="2">
        <v>1.5</v>
      </c>
      <c r="D631" s="10" t="s">
        <v>511</v>
      </c>
      <c r="E631" s="40">
        <v>12</v>
      </c>
      <c r="F631" s="40">
        <v>2</v>
      </c>
      <c r="G631" s="40">
        <v>1</v>
      </c>
      <c r="H631" s="3">
        <f t="shared" si="107"/>
        <v>0.75</v>
      </c>
      <c r="I631" s="3">
        <f t="shared" si="108"/>
        <v>0.125</v>
      </c>
      <c r="J631" s="3">
        <f t="shared" si="109"/>
        <v>6.25E-2</v>
      </c>
      <c r="K631" s="3"/>
      <c r="L631" s="4">
        <f t="shared" si="110"/>
        <v>330.24958333333342</v>
      </c>
      <c r="M631" s="40">
        <v>0</v>
      </c>
      <c r="N631" s="40">
        <v>0</v>
      </c>
      <c r="O631" s="40">
        <v>0</v>
      </c>
      <c r="P631" s="40">
        <v>0</v>
      </c>
      <c r="Q631" s="40">
        <v>0</v>
      </c>
      <c r="R631" s="40">
        <v>0</v>
      </c>
      <c r="S631" s="2">
        <f t="shared" si="111"/>
        <v>72.70000000000033</v>
      </c>
      <c r="T631" s="2">
        <v>0</v>
      </c>
      <c r="U631" s="2">
        <v>0</v>
      </c>
      <c r="V631" s="2">
        <v>0</v>
      </c>
      <c r="W631" s="2">
        <v>0</v>
      </c>
      <c r="X631" s="2">
        <f t="shared" si="112"/>
        <v>51</v>
      </c>
      <c r="Z631" s="1"/>
      <c r="AA631" s="1"/>
      <c r="AB631" s="2" t="str">
        <f t="shared" si="91"/>
        <v/>
      </c>
      <c r="AD631" s="121"/>
      <c r="AE631" s="121"/>
    </row>
    <row r="632" spans="1:31" x14ac:dyDescent="0.25">
      <c r="A632" s="2" t="s">
        <v>538</v>
      </c>
      <c r="B632" s="7">
        <v>0.43333333333333335</v>
      </c>
      <c r="C632" s="2">
        <v>1.4</v>
      </c>
      <c r="D632" s="10" t="s">
        <v>381</v>
      </c>
      <c r="E632" s="40">
        <v>0</v>
      </c>
      <c r="F632" s="40">
        <v>2</v>
      </c>
      <c r="G632" s="40">
        <v>1</v>
      </c>
      <c r="H632" s="3">
        <f t="shared" ref="H632:H636" si="113">+IF(E632="","",(E632/24)*C632)</f>
        <v>0</v>
      </c>
      <c r="I632" s="3">
        <f t="shared" ref="I632:I636" si="114">+IF(F632="","",(F632/24)*C632)</f>
        <v>0.11666666666666665</v>
      </c>
      <c r="J632" s="3">
        <f t="shared" ref="J632:J636" si="115">+IF(G632="","",(G632/24)*C632)</f>
        <v>5.8333333333333327E-2</v>
      </c>
      <c r="K632" s="3"/>
      <c r="L632" s="4">
        <f>+IF(C632="","",((L631-(H632+I632+J632))+K632))</f>
        <v>330.07458333333341</v>
      </c>
      <c r="M632" s="40">
        <v>0</v>
      </c>
      <c r="N632" s="40">
        <v>0</v>
      </c>
      <c r="O632" s="40">
        <v>0</v>
      </c>
      <c r="P632" s="40">
        <v>0</v>
      </c>
      <c r="Q632" s="40">
        <v>0</v>
      </c>
      <c r="R632" s="40">
        <v>0</v>
      </c>
      <c r="S632" s="2">
        <f>IF(C632="","",(S631+R632)-(M632+N632+O632+P632+Q632))</f>
        <v>72.70000000000033</v>
      </c>
      <c r="T632" s="2">
        <v>0</v>
      </c>
      <c r="U632" s="2">
        <v>0</v>
      </c>
      <c r="V632" s="2">
        <v>0</v>
      </c>
      <c r="W632" s="2">
        <v>0</v>
      </c>
      <c r="X632" s="2">
        <f>IF(V632="","",((X631+T632+U632)-(V632+W632)))</f>
        <v>51</v>
      </c>
      <c r="Z632" s="1"/>
      <c r="AA632" s="1"/>
      <c r="AB632" s="2" t="str">
        <f t="shared" ref="AB632:AB695" si="116">IF(Z632="","",Z632+AA632)</f>
        <v/>
      </c>
      <c r="AD632" s="121">
        <v>12.6</v>
      </c>
      <c r="AE632" s="121" t="s">
        <v>1295</v>
      </c>
    </row>
    <row r="633" spans="1:31" x14ac:dyDescent="0.25">
      <c r="A633" s="2" t="s">
        <v>538</v>
      </c>
      <c r="B633" s="7">
        <v>0.5083333333333333</v>
      </c>
      <c r="C633" s="2">
        <v>1.8</v>
      </c>
      <c r="D633" s="10" t="s">
        <v>495</v>
      </c>
      <c r="E633" s="40">
        <v>12</v>
      </c>
      <c r="F633" s="40">
        <v>2</v>
      </c>
      <c r="G633" s="40">
        <v>1</v>
      </c>
      <c r="H633" s="3">
        <f t="shared" si="113"/>
        <v>0.9</v>
      </c>
      <c r="I633" s="3">
        <f t="shared" si="114"/>
        <v>0.15</v>
      </c>
      <c r="J633" s="3">
        <f t="shared" si="115"/>
        <v>7.4999999999999997E-2</v>
      </c>
      <c r="K633" s="3"/>
      <c r="L633" s="4">
        <f t="shared" ref="L633:L636" si="117">+IF(C633="","",((L632-(H633+I633+J633))+K633))</f>
        <v>328.94958333333341</v>
      </c>
      <c r="M633" s="40">
        <v>0</v>
      </c>
      <c r="N633" s="40">
        <v>0</v>
      </c>
      <c r="O633" s="40">
        <v>0</v>
      </c>
      <c r="P633" s="40">
        <v>0</v>
      </c>
      <c r="Q633" s="40">
        <v>0</v>
      </c>
      <c r="R633" s="40">
        <v>0</v>
      </c>
      <c r="S633" s="2">
        <f t="shared" ref="S633:S636" si="118">IF(C633="","",(S632+R633)-(M633+N633+O633+P633+Q633))</f>
        <v>72.70000000000033</v>
      </c>
      <c r="T633" s="2">
        <v>0</v>
      </c>
      <c r="U633" s="2">
        <v>0</v>
      </c>
      <c r="V633" s="2">
        <v>1</v>
      </c>
      <c r="W633" s="2">
        <v>0</v>
      </c>
      <c r="X633" s="2">
        <f t="shared" ref="X633:X636" si="119">IF(V633="","",((X632+T633+U633)-(V633+W633)))</f>
        <v>50</v>
      </c>
      <c r="Z633" s="1"/>
      <c r="AA633" s="1"/>
      <c r="AB633" s="2" t="str">
        <f t="shared" si="116"/>
        <v/>
      </c>
      <c r="AD633" s="121"/>
      <c r="AE633" s="121"/>
    </row>
    <row r="634" spans="1:31" x14ac:dyDescent="0.25">
      <c r="A634" s="2" t="s">
        <v>539</v>
      </c>
      <c r="B634" s="7">
        <v>0.33333333333333331</v>
      </c>
      <c r="C634" s="2">
        <v>19.8</v>
      </c>
      <c r="D634" s="10" t="s">
        <v>495</v>
      </c>
      <c r="E634" s="40">
        <v>0</v>
      </c>
      <c r="F634" s="40">
        <v>2</v>
      </c>
      <c r="G634" s="40">
        <v>1.5</v>
      </c>
      <c r="H634" s="3">
        <f t="shared" si="113"/>
        <v>0</v>
      </c>
      <c r="I634" s="3">
        <f t="shared" si="114"/>
        <v>1.65</v>
      </c>
      <c r="J634" s="3">
        <f t="shared" si="115"/>
        <v>1.2375</v>
      </c>
      <c r="K634" s="3"/>
      <c r="L634" s="4">
        <f t="shared" si="117"/>
        <v>326.06208333333342</v>
      </c>
      <c r="M634" s="40">
        <v>0</v>
      </c>
      <c r="N634" s="40">
        <v>0</v>
      </c>
      <c r="O634" s="40">
        <v>0</v>
      </c>
      <c r="P634" s="40">
        <v>0</v>
      </c>
      <c r="Q634" s="40">
        <v>0.1</v>
      </c>
      <c r="R634" s="40">
        <v>0</v>
      </c>
      <c r="S634" s="2">
        <f t="shared" si="118"/>
        <v>72.600000000000335</v>
      </c>
      <c r="T634" s="2">
        <v>0</v>
      </c>
      <c r="U634" s="2">
        <v>0</v>
      </c>
      <c r="V634" s="2">
        <v>3</v>
      </c>
      <c r="W634" s="2">
        <v>0</v>
      </c>
      <c r="X634" s="2">
        <f t="shared" si="119"/>
        <v>47</v>
      </c>
      <c r="Z634" s="1">
        <v>45</v>
      </c>
      <c r="AA634" s="1">
        <v>10</v>
      </c>
      <c r="AB634" s="2">
        <f t="shared" si="116"/>
        <v>55</v>
      </c>
      <c r="AD634" s="121"/>
      <c r="AE634" s="121"/>
    </row>
    <row r="635" spans="1:31" x14ac:dyDescent="0.25">
      <c r="A635" s="2" t="s">
        <v>541</v>
      </c>
      <c r="B635" s="7">
        <v>0.33333333333333331</v>
      </c>
      <c r="C635" s="2">
        <v>24</v>
      </c>
      <c r="D635" s="10" t="s">
        <v>495</v>
      </c>
      <c r="E635" s="40">
        <v>0</v>
      </c>
      <c r="F635" s="40">
        <v>2</v>
      </c>
      <c r="G635" s="40">
        <v>1.5</v>
      </c>
      <c r="H635" s="3">
        <f t="shared" si="113"/>
        <v>0</v>
      </c>
      <c r="I635" s="3">
        <f t="shared" si="114"/>
        <v>2</v>
      </c>
      <c r="J635" s="3">
        <f t="shared" si="115"/>
        <v>1.5</v>
      </c>
      <c r="K635" s="3"/>
      <c r="L635" s="4">
        <f t="shared" si="117"/>
        <v>322.56208333333342</v>
      </c>
      <c r="M635" s="40">
        <v>0</v>
      </c>
      <c r="N635" s="40">
        <v>0</v>
      </c>
      <c r="O635" s="40">
        <v>0</v>
      </c>
      <c r="P635" s="40">
        <v>0</v>
      </c>
      <c r="Q635" s="40">
        <v>0.1</v>
      </c>
      <c r="R635" s="40">
        <v>0</v>
      </c>
      <c r="S635" s="2">
        <f t="shared" si="118"/>
        <v>72.500000000000341</v>
      </c>
      <c r="T635" s="2">
        <v>0</v>
      </c>
      <c r="U635" s="2">
        <v>0</v>
      </c>
      <c r="V635" s="2">
        <v>4</v>
      </c>
      <c r="W635" s="2">
        <v>0</v>
      </c>
      <c r="X635" s="2">
        <f t="shared" si="119"/>
        <v>43</v>
      </c>
      <c r="Z635" s="1"/>
      <c r="AA635" s="1"/>
      <c r="AB635" s="2" t="str">
        <f t="shared" si="116"/>
        <v/>
      </c>
      <c r="AD635" s="121"/>
      <c r="AE635" s="121"/>
    </row>
    <row r="636" spans="1:31" x14ac:dyDescent="0.25">
      <c r="A636" s="2" t="s">
        <v>540</v>
      </c>
      <c r="B636" s="7">
        <v>0.33333333333333331</v>
      </c>
      <c r="C636" s="2">
        <v>24</v>
      </c>
      <c r="D636" s="10" t="s">
        <v>495</v>
      </c>
      <c r="E636" s="40">
        <v>0</v>
      </c>
      <c r="F636" s="40">
        <v>2</v>
      </c>
      <c r="G636" s="40">
        <v>1.5</v>
      </c>
      <c r="H636" s="3">
        <f t="shared" si="113"/>
        <v>0</v>
      </c>
      <c r="I636" s="3">
        <f t="shared" si="114"/>
        <v>2</v>
      </c>
      <c r="J636" s="3">
        <f t="shared" si="115"/>
        <v>1.5</v>
      </c>
      <c r="K636" s="3"/>
      <c r="L636" s="4">
        <f t="shared" si="117"/>
        <v>319.06208333333342</v>
      </c>
      <c r="M636" s="40">
        <v>0</v>
      </c>
      <c r="N636" s="40">
        <v>0</v>
      </c>
      <c r="O636" s="40">
        <v>0.1</v>
      </c>
      <c r="P636" s="40">
        <v>0</v>
      </c>
      <c r="Q636" s="40">
        <v>0</v>
      </c>
      <c r="R636" s="40">
        <v>0</v>
      </c>
      <c r="S636" s="2">
        <f t="shared" si="118"/>
        <v>72.400000000000347</v>
      </c>
      <c r="T636" s="2">
        <v>0</v>
      </c>
      <c r="U636" s="2">
        <v>0</v>
      </c>
      <c r="V636" s="2">
        <v>4</v>
      </c>
      <c r="W636" s="2">
        <v>0</v>
      </c>
      <c r="X636" s="2">
        <f t="shared" si="119"/>
        <v>39</v>
      </c>
      <c r="Z636" s="1"/>
      <c r="AA636" s="1"/>
      <c r="AB636" s="2" t="str">
        <f t="shared" si="116"/>
        <v/>
      </c>
      <c r="AD636" s="121"/>
      <c r="AE636" s="121"/>
    </row>
    <row r="637" spans="1:31" x14ac:dyDescent="0.25">
      <c r="A637" s="2" t="s">
        <v>540</v>
      </c>
      <c r="B637" s="7">
        <v>0.47916666666666669</v>
      </c>
      <c r="C637" s="2">
        <v>3.5</v>
      </c>
      <c r="D637" s="10" t="s">
        <v>381</v>
      </c>
      <c r="E637" s="40">
        <v>0</v>
      </c>
      <c r="F637" s="40">
        <v>2</v>
      </c>
      <c r="G637" s="40">
        <v>1.5</v>
      </c>
      <c r="H637" s="3">
        <f t="shared" ref="H637:H641" si="120">+IF(E637="","",(E637/24)*C637)</f>
        <v>0</v>
      </c>
      <c r="I637" s="3">
        <f t="shared" ref="I637:I641" si="121">+IF(F637="","",(F637/24)*C637)</f>
        <v>0.29166666666666663</v>
      </c>
      <c r="J637" s="3">
        <f t="shared" ref="J637:J641" si="122">+IF(G637="","",(G637/24)*C637)</f>
        <v>0.21875</v>
      </c>
      <c r="K637" s="3"/>
      <c r="L637" s="4">
        <f>+IF(C637="","",((L636-(H637+I637+J637))+K637))</f>
        <v>318.55166666666673</v>
      </c>
      <c r="M637" s="40">
        <v>0</v>
      </c>
      <c r="N637" s="40">
        <v>0</v>
      </c>
      <c r="O637" s="40">
        <v>0.1</v>
      </c>
      <c r="P637" s="40">
        <v>0</v>
      </c>
      <c r="Q637" s="40">
        <v>0</v>
      </c>
      <c r="R637" s="40">
        <v>0</v>
      </c>
      <c r="S637" s="2">
        <f>IF(C637="","",(S636+R637)-(M637+N637+O637+P637+Q637))</f>
        <v>72.300000000000352</v>
      </c>
      <c r="T637" s="2">
        <v>0</v>
      </c>
      <c r="U637" s="2">
        <v>0</v>
      </c>
      <c r="V637" s="2">
        <v>1</v>
      </c>
      <c r="W637" s="2">
        <v>0</v>
      </c>
      <c r="X637" s="2">
        <f>IF(V637="","",((X636+T637+U637)-(V637+W637)))</f>
        <v>38</v>
      </c>
      <c r="Z637" s="1"/>
      <c r="AA637" s="1"/>
      <c r="AB637" s="2" t="str">
        <f t="shared" si="116"/>
        <v/>
      </c>
      <c r="AD637" s="121"/>
      <c r="AE637" s="121"/>
    </row>
    <row r="638" spans="1:31" x14ac:dyDescent="0.25">
      <c r="A638" s="2" t="s">
        <v>540</v>
      </c>
      <c r="B638" s="7">
        <v>0.53333333333333333</v>
      </c>
      <c r="C638" s="2">
        <v>1.3</v>
      </c>
      <c r="D638" s="10" t="s">
        <v>511</v>
      </c>
      <c r="E638" s="40">
        <v>15</v>
      </c>
      <c r="F638" s="40">
        <v>2</v>
      </c>
      <c r="G638" s="40">
        <v>1.5</v>
      </c>
      <c r="H638" s="3">
        <f t="shared" si="120"/>
        <v>0.8125</v>
      </c>
      <c r="I638" s="3">
        <f t="shared" si="121"/>
        <v>0.10833333333333334</v>
      </c>
      <c r="J638" s="3">
        <f t="shared" si="122"/>
        <v>8.1250000000000003E-2</v>
      </c>
      <c r="K638" s="3"/>
      <c r="L638" s="4">
        <f t="shared" ref="L638:L641" si="123">+IF(C638="","",((L637-(H638+I638+J638))+K638))</f>
        <v>317.54958333333337</v>
      </c>
      <c r="M638" s="40">
        <v>0</v>
      </c>
      <c r="N638" s="40">
        <v>0</v>
      </c>
      <c r="O638" s="40">
        <v>0</v>
      </c>
      <c r="P638" s="40">
        <v>0</v>
      </c>
      <c r="Q638" s="40">
        <v>0</v>
      </c>
      <c r="R638" s="40">
        <v>0</v>
      </c>
      <c r="S638" s="2">
        <f t="shared" ref="S638:S641" si="124">IF(C638="","",(S637+R638)-(M638+N638+O638+P638+Q638))</f>
        <v>72.300000000000352</v>
      </c>
      <c r="T638" s="2">
        <v>0</v>
      </c>
      <c r="U638" s="2">
        <v>0</v>
      </c>
      <c r="V638" s="2">
        <v>0</v>
      </c>
      <c r="W638" s="2">
        <v>0</v>
      </c>
      <c r="X638" s="2">
        <f t="shared" ref="X638:X641" si="125">IF(V638="","",((X637+T638+U638)-(V638+W638)))</f>
        <v>38</v>
      </c>
      <c r="Z638" s="1"/>
      <c r="AA638" s="1"/>
      <c r="AB638" s="2" t="str">
        <f t="shared" si="116"/>
        <v/>
      </c>
      <c r="AD638" s="121"/>
      <c r="AE638" s="121"/>
    </row>
    <row r="639" spans="1:31" x14ac:dyDescent="0.25">
      <c r="A639" s="2" t="s">
        <v>542</v>
      </c>
      <c r="B639" s="7">
        <v>0.33333333333333331</v>
      </c>
      <c r="C639" s="2">
        <v>19.2</v>
      </c>
      <c r="D639" s="10" t="s">
        <v>511</v>
      </c>
      <c r="E639" s="40">
        <v>0</v>
      </c>
      <c r="F639" s="40">
        <v>2</v>
      </c>
      <c r="G639" s="40">
        <v>1.5</v>
      </c>
      <c r="H639" s="3">
        <f t="shared" si="120"/>
        <v>0</v>
      </c>
      <c r="I639" s="3">
        <f t="shared" si="121"/>
        <v>1.5999999999999999</v>
      </c>
      <c r="J639" s="3">
        <f t="shared" si="122"/>
        <v>1.2</v>
      </c>
      <c r="K639" s="3"/>
      <c r="L639" s="4">
        <f t="shared" si="123"/>
        <v>314.74958333333336</v>
      </c>
      <c r="M639" s="40">
        <v>0</v>
      </c>
      <c r="N639" s="40">
        <v>0</v>
      </c>
      <c r="O639" s="40">
        <v>0</v>
      </c>
      <c r="P639" s="40">
        <v>0</v>
      </c>
      <c r="Q639" s="40">
        <v>0</v>
      </c>
      <c r="R639" s="40">
        <v>0</v>
      </c>
      <c r="S639" s="2">
        <f t="shared" si="124"/>
        <v>72.300000000000352</v>
      </c>
      <c r="T639" s="2">
        <v>0</v>
      </c>
      <c r="U639" s="2">
        <v>0</v>
      </c>
      <c r="V639" s="2">
        <v>3</v>
      </c>
      <c r="W639" s="2">
        <v>0</v>
      </c>
      <c r="X639" s="2">
        <f t="shared" si="125"/>
        <v>35</v>
      </c>
      <c r="Z639" s="1">
        <v>39</v>
      </c>
      <c r="AA639" s="1"/>
      <c r="AB639" s="2">
        <f t="shared" si="116"/>
        <v>39</v>
      </c>
      <c r="AD639" s="121"/>
      <c r="AE639" s="121"/>
    </row>
    <row r="640" spans="1:31" x14ac:dyDescent="0.25">
      <c r="A640" s="2" t="s">
        <v>542</v>
      </c>
      <c r="B640" s="7">
        <v>0.54999999999999993</v>
      </c>
      <c r="C640" s="2">
        <v>5.2</v>
      </c>
      <c r="D640" s="10" t="s">
        <v>381</v>
      </c>
      <c r="E640" s="40">
        <v>0</v>
      </c>
      <c r="F640" s="40">
        <v>2</v>
      </c>
      <c r="G640" s="40">
        <v>1.5</v>
      </c>
      <c r="H640" s="3">
        <f t="shared" si="120"/>
        <v>0</v>
      </c>
      <c r="I640" s="3">
        <f t="shared" si="121"/>
        <v>0.43333333333333335</v>
      </c>
      <c r="J640" s="3">
        <f t="shared" si="122"/>
        <v>0.32500000000000001</v>
      </c>
      <c r="K640" s="3"/>
      <c r="L640" s="4">
        <f t="shared" si="123"/>
        <v>313.99125000000004</v>
      </c>
      <c r="M640" s="40">
        <v>0</v>
      </c>
      <c r="N640" s="40">
        <v>0</v>
      </c>
      <c r="O640" s="40">
        <v>0</v>
      </c>
      <c r="P640" s="40">
        <v>0</v>
      </c>
      <c r="Q640" s="40">
        <v>0</v>
      </c>
      <c r="R640" s="40">
        <v>0</v>
      </c>
      <c r="S640" s="2">
        <f t="shared" si="124"/>
        <v>72.300000000000352</v>
      </c>
      <c r="T640" s="2">
        <v>0</v>
      </c>
      <c r="U640" s="2">
        <v>0</v>
      </c>
      <c r="V640" s="2">
        <v>1</v>
      </c>
      <c r="W640" s="2">
        <v>0</v>
      </c>
      <c r="X640" s="2">
        <f t="shared" si="125"/>
        <v>34</v>
      </c>
      <c r="Z640" s="1"/>
      <c r="AA640" s="1"/>
      <c r="AB640" s="2" t="str">
        <f t="shared" si="116"/>
        <v/>
      </c>
      <c r="AD640" s="121"/>
      <c r="AE640" s="121"/>
    </row>
    <row r="641" spans="1:31" x14ac:dyDescent="0.25">
      <c r="A641" s="2" t="s">
        <v>542</v>
      </c>
      <c r="B641" s="7">
        <v>0.61249999999999993</v>
      </c>
      <c r="C641" s="2">
        <v>1.5</v>
      </c>
      <c r="D641" s="10" t="s">
        <v>543</v>
      </c>
      <c r="E641" s="40">
        <v>12</v>
      </c>
      <c r="F641" s="40">
        <v>2</v>
      </c>
      <c r="G641" s="40">
        <v>1.5</v>
      </c>
      <c r="H641" s="3">
        <f t="shared" si="120"/>
        <v>0.75</v>
      </c>
      <c r="I641" s="3">
        <f t="shared" si="121"/>
        <v>0.125</v>
      </c>
      <c r="J641" s="3">
        <f t="shared" si="122"/>
        <v>9.375E-2</v>
      </c>
      <c r="K641" s="3"/>
      <c r="L641" s="4">
        <f t="shared" si="123"/>
        <v>313.02250000000004</v>
      </c>
      <c r="M641" s="40">
        <v>0</v>
      </c>
      <c r="N641" s="40">
        <v>0</v>
      </c>
      <c r="O641" s="40">
        <v>0</v>
      </c>
      <c r="P641" s="40">
        <v>0</v>
      </c>
      <c r="Q641" s="40">
        <v>0</v>
      </c>
      <c r="R641" s="40">
        <v>0</v>
      </c>
      <c r="S641" s="2">
        <f t="shared" si="124"/>
        <v>72.300000000000352</v>
      </c>
      <c r="T641" s="2">
        <v>0</v>
      </c>
      <c r="U641" s="2">
        <v>0</v>
      </c>
      <c r="V641" s="2">
        <v>0</v>
      </c>
      <c r="W641" s="2">
        <v>0</v>
      </c>
      <c r="X641" s="2">
        <f t="shared" si="125"/>
        <v>34</v>
      </c>
      <c r="Z641" s="1"/>
      <c r="AA641" s="1"/>
      <c r="AB641" s="2" t="str">
        <f t="shared" si="116"/>
        <v/>
      </c>
      <c r="AD641" s="121"/>
      <c r="AE641" s="121"/>
    </row>
    <row r="642" spans="1:31" x14ac:dyDescent="0.25">
      <c r="A642" s="2" t="s">
        <v>542</v>
      </c>
      <c r="B642" s="7">
        <v>0.8041666666666667</v>
      </c>
      <c r="C642" s="2">
        <v>4.5999999999999996</v>
      </c>
      <c r="D642" s="10" t="s">
        <v>381</v>
      </c>
      <c r="E642" s="40">
        <v>0</v>
      </c>
      <c r="F642" s="40">
        <v>2</v>
      </c>
      <c r="G642" s="40">
        <v>1.5</v>
      </c>
      <c r="H642" s="3">
        <f t="shared" ref="H642:H646" si="126">+IF(E642="","",(E642/24)*C642)</f>
        <v>0</v>
      </c>
      <c r="I642" s="3">
        <f t="shared" ref="I642:I646" si="127">+IF(F642="","",(F642/24)*C642)</f>
        <v>0.3833333333333333</v>
      </c>
      <c r="J642" s="3">
        <f t="shared" ref="J642:J646" si="128">+IF(G642="","",(G642/24)*C642)</f>
        <v>0.28749999999999998</v>
      </c>
      <c r="K642" s="3"/>
      <c r="L642" s="4">
        <f>+IF(C642="","",((L641-(H642+I642+J642))+K642))</f>
        <v>312.35166666666669</v>
      </c>
      <c r="M642" s="40">
        <v>0</v>
      </c>
      <c r="N642" s="40">
        <v>0</v>
      </c>
      <c r="O642" s="40">
        <v>0</v>
      </c>
      <c r="P642" s="40">
        <v>0</v>
      </c>
      <c r="Q642" s="40">
        <v>0</v>
      </c>
      <c r="R642" s="40">
        <v>0</v>
      </c>
      <c r="S642" s="2">
        <f>IF(C642="","",(S641+R642)-(M642+N642+O642+P642+Q642))</f>
        <v>72.300000000000352</v>
      </c>
      <c r="T642" s="2">
        <v>0</v>
      </c>
      <c r="U642" s="2">
        <v>0</v>
      </c>
      <c r="V642" s="2">
        <v>1</v>
      </c>
      <c r="W642" s="2">
        <v>0</v>
      </c>
      <c r="X642" s="2">
        <f>IF(V642="","",((X641+T642+U642)-(V642+W642)))</f>
        <v>33</v>
      </c>
      <c r="Z642" s="1"/>
      <c r="AA642" s="1"/>
      <c r="AB642" s="2" t="str">
        <f t="shared" si="116"/>
        <v/>
      </c>
      <c r="AD642" s="121"/>
      <c r="AE642" s="121"/>
    </row>
    <row r="643" spans="1:31" x14ac:dyDescent="0.25">
      <c r="A643" s="2" t="s">
        <v>542</v>
      </c>
      <c r="B643" s="7">
        <v>0.84583333333333333</v>
      </c>
      <c r="C643" s="2">
        <v>1</v>
      </c>
      <c r="D643" s="10" t="s">
        <v>511</v>
      </c>
      <c r="E643" s="40">
        <v>10</v>
      </c>
      <c r="F643" s="40">
        <v>2</v>
      </c>
      <c r="G643" s="40">
        <v>1.5</v>
      </c>
      <c r="H643" s="3">
        <f t="shared" si="126"/>
        <v>0.41666666666666669</v>
      </c>
      <c r="I643" s="3">
        <f t="shared" si="127"/>
        <v>8.3333333333333329E-2</v>
      </c>
      <c r="J643" s="3">
        <f t="shared" si="128"/>
        <v>6.25E-2</v>
      </c>
      <c r="K643" s="3"/>
      <c r="L643" s="4">
        <f t="shared" ref="L643:L646" si="129">+IF(C643="","",((L642-(H643+I643+J643))+K643))</f>
        <v>311.78916666666669</v>
      </c>
      <c r="M643" s="40">
        <v>0</v>
      </c>
      <c r="N643" s="40">
        <v>0</v>
      </c>
      <c r="O643" s="40">
        <v>0</v>
      </c>
      <c r="P643" s="40">
        <v>0</v>
      </c>
      <c r="Q643" s="40">
        <v>0</v>
      </c>
      <c r="R643" s="40">
        <v>0</v>
      </c>
      <c r="S643" s="2">
        <f t="shared" ref="S643:S646" si="130">IF(C643="","",(S642+R643)-(M643+N643+O643+P643+Q643))</f>
        <v>72.300000000000352</v>
      </c>
      <c r="T643" s="2">
        <v>0</v>
      </c>
      <c r="U643" s="2">
        <v>0</v>
      </c>
      <c r="V643" s="2">
        <v>0</v>
      </c>
      <c r="W643" s="2">
        <v>0</v>
      </c>
      <c r="X643" s="2">
        <f t="shared" ref="X643:X646" si="131">IF(V643="","",((X642+T643+U643)-(V643+W643)))</f>
        <v>33</v>
      </c>
      <c r="Z643" s="1"/>
      <c r="AA643" s="1"/>
      <c r="AB643" s="2" t="str">
        <f t="shared" si="116"/>
        <v/>
      </c>
      <c r="AD643" s="121"/>
      <c r="AE643" s="121"/>
    </row>
    <row r="644" spans="1:31" x14ac:dyDescent="0.25">
      <c r="A644" s="7" t="s">
        <v>544</v>
      </c>
      <c r="B644" s="7">
        <v>0.33333333333333331</v>
      </c>
      <c r="C644" s="2">
        <v>11.7</v>
      </c>
      <c r="D644" s="10" t="s">
        <v>511</v>
      </c>
      <c r="E644" s="40">
        <v>0</v>
      </c>
      <c r="F644" s="40">
        <v>2</v>
      </c>
      <c r="G644" s="40">
        <v>1.5</v>
      </c>
      <c r="H644" s="3">
        <f t="shared" si="126"/>
        <v>0</v>
      </c>
      <c r="I644" s="3">
        <f t="shared" si="127"/>
        <v>0.97499999999999987</v>
      </c>
      <c r="J644" s="3">
        <f t="shared" si="128"/>
        <v>0.73124999999999996</v>
      </c>
      <c r="K644" s="3"/>
      <c r="L644" s="4">
        <f t="shared" si="129"/>
        <v>310.08291666666668</v>
      </c>
      <c r="M644" s="40">
        <v>0</v>
      </c>
      <c r="N644" s="40">
        <v>0</v>
      </c>
      <c r="O644" s="40">
        <v>0.1</v>
      </c>
      <c r="P644" s="40">
        <v>0</v>
      </c>
      <c r="Q644" s="40">
        <v>0</v>
      </c>
      <c r="R644" s="40">
        <v>0</v>
      </c>
      <c r="S644" s="2">
        <f t="shared" si="130"/>
        <v>72.200000000000358</v>
      </c>
      <c r="T644" s="2">
        <v>4</v>
      </c>
      <c r="U644" s="2">
        <v>0</v>
      </c>
      <c r="V644" s="2">
        <v>2</v>
      </c>
      <c r="W644" s="2">
        <v>0</v>
      </c>
      <c r="X644" s="2">
        <f t="shared" si="131"/>
        <v>35</v>
      </c>
      <c r="Z644" s="1">
        <v>36</v>
      </c>
      <c r="AA644" s="1">
        <v>10</v>
      </c>
      <c r="AB644" s="2">
        <f t="shared" si="116"/>
        <v>46</v>
      </c>
      <c r="AD644" s="121"/>
      <c r="AE644" s="121"/>
    </row>
    <row r="645" spans="1:31" x14ac:dyDescent="0.25">
      <c r="A645" s="2" t="s">
        <v>544</v>
      </c>
      <c r="B645" s="7">
        <v>0.74583333333333324</v>
      </c>
      <c r="C645" s="2">
        <v>9.9</v>
      </c>
      <c r="D645" s="10" t="s">
        <v>381</v>
      </c>
      <c r="E645" s="40">
        <v>0</v>
      </c>
      <c r="F645" s="40">
        <v>2</v>
      </c>
      <c r="G645" s="40">
        <v>1.5</v>
      </c>
      <c r="H645" s="3">
        <f t="shared" si="126"/>
        <v>0</v>
      </c>
      <c r="I645" s="3">
        <f t="shared" si="127"/>
        <v>0.82499999999999996</v>
      </c>
      <c r="J645" s="3">
        <f t="shared" si="128"/>
        <v>0.61875000000000002</v>
      </c>
      <c r="K645" s="3"/>
      <c r="L645" s="4">
        <f t="shared" si="129"/>
        <v>308.63916666666665</v>
      </c>
      <c r="M645" s="40">
        <v>0</v>
      </c>
      <c r="N645" s="40">
        <v>0</v>
      </c>
      <c r="O645" s="40">
        <v>0</v>
      </c>
      <c r="P645" s="40">
        <v>0</v>
      </c>
      <c r="Q645" s="40">
        <v>0</v>
      </c>
      <c r="R645" s="40">
        <v>0</v>
      </c>
      <c r="S645" s="2">
        <f t="shared" si="130"/>
        <v>72.200000000000358</v>
      </c>
      <c r="T645" s="2">
        <v>0</v>
      </c>
      <c r="U645" s="2">
        <v>150</v>
      </c>
      <c r="V645" s="2">
        <v>2</v>
      </c>
      <c r="W645" s="2">
        <v>0</v>
      </c>
      <c r="X645" s="2">
        <f t="shared" si="131"/>
        <v>183</v>
      </c>
      <c r="Z645" s="1">
        <v>122</v>
      </c>
      <c r="AA645" s="1">
        <v>85</v>
      </c>
      <c r="AB645" s="2">
        <f t="shared" si="116"/>
        <v>207</v>
      </c>
      <c r="AD645" s="121"/>
      <c r="AE645" s="121"/>
    </row>
    <row r="646" spans="1:31" x14ac:dyDescent="0.25">
      <c r="A646" s="2" t="s">
        <v>544</v>
      </c>
      <c r="B646" s="7">
        <v>0.87083333333333324</v>
      </c>
      <c r="C646" s="2">
        <v>3</v>
      </c>
      <c r="D646" s="10" t="s">
        <v>495</v>
      </c>
      <c r="E646" s="40">
        <v>10</v>
      </c>
      <c r="F646" s="40">
        <v>2</v>
      </c>
      <c r="G646" s="40">
        <v>1</v>
      </c>
      <c r="H646" s="3">
        <f t="shared" si="126"/>
        <v>1.25</v>
      </c>
      <c r="I646" s="3">
        <f t="shared" si="127"/>
        <v>0.25</v>
      </c>
      <c r="J646" s="3">
        <f t="shared" si="128"/>
        <v>0.125</v>
      </c>
      <c r="K646" s="3"/>
      <c r="L646" s="4">
        <f t="shared" si="129"/>
        <v>307.01416666666665</v>
      </c>
      <c r="M646" s="40">
        <v>0</v>
      </c>
      <c r="N646" s="40">
        <v>0</v>
      </c>
      <c r="O646" s="40">
        <v>0</v>
      </c>
      <c r="P646" s="40">
        <v>0</v>
      </c>
      <c r="Q646" s="40">
        <v>0</v>
      </c>
      <c r="R646" s="40">
        <v>0</v>
      </c>
      <c r="S646" s="2">
        <f t="shared" si="130"/>
        <v>72.200000000000358</v>
      </c>
      <c r="T646" s="2">
        <v>0</v>
      </c>
      <c r="U646" s="2">
        <v>0</v>
      </c>
      <c r="V646" s="2">
        <v>0</v>
      </c>
      <c r="W646" s="2">
        <v>0</v>
      </c>
      <c r="X646" s="2">
        <f t="shared" si="131"/>
        <v>183</v>
      </c>
      <c r="Z646" s="1"/>
      <c r="AA646" s="1"/>
      <c r="AB646" s="2" t="str">
        <f t="shared" si="116"/>
        <v/>
      </c>
      <c r="AD646" s="121"/>
      <c r="AE646" s="121"/>
    </row>
    <row r="647" spans="1:31" x14ac:dyDescent="0.25">
      <c r="A647" s="2" t="s">
        <v>545</v>
      </c>
      <c r="B647" s="7">
        <v>0.33333333333333331</v>
      </c>
      <c r="C647" s="2">
        <v>11.1</v>
      </c>
      <c r="D647" s="10" t="s">
        <v>495</v>
      </c>
      <c r="E647" s="40">
        <v>0</v>
      </c>
      <c r="F647" s="40">
        <v>2</v>
      </c>
      <c r="G647" s="40">
        <v>1</v>
      </c>
      <c r="H647" s="3">
        <f t="shared" ref="H647:H651" si="132">+IF(E647="","",(E647/24)*C647)</f>
        <v>0</v>
      </c>
      <c r="I647" s="3">
        <f t="shared" ref="I647:I651" si="133">+IF(F647="","",(F647/24)*C647)</f>
        <v>0.92499999999999993</v>
      </c>
      <c r="J647" s="3">
        <f t="shared" ref="J647:J651" si="134">+IF(G647="","",(G647/24)*C647)</f>
        <v>0.46249999999999997</v>
      </c>
      <c r="K647" s="3"/>
      <c r="L647" s="4">
        <f>+IF(C647="","",((L646-(H647+I647+J647))+K647))</f>
        <v>305.62666666666667</v>
      </c>
      <c r="M647" s="40">
        <v>0</v>
      </c>
      <c r="N647" s="40">
        <v>0</v>
      </c>
      <c r="O647" s="40">
        <v>0.1</v>
      </c>
      <c r="P647" s="40">
        <v>0</v>
      </c>
      <c r="Q647" s="40">
        <v>0</v>
      </c>
      <c r="R647" s="40">
        <v>0</v>
      </c>
      <c r="S647" s="2">
        <f>IF(C647="","",(S646+R647)-(M647+N647+O647+P647+Q647))</f>
        <v>72.100000000000364</v>
      </c>
      <c r="T647" s="2">
        <v>0</v>
      </c>
      <c r="U647" s="2">
        <v>0</v>
      </c>
      <c r="V647" s="2">
        <v>2</v>
      </c>
      <c r="W647" s="2">
        <v>0</v>
      </c>
      <c r="X647" s="2">
        <f>IF(V647="","",((X646+T647+U647)-(V647+W647)))</f>
        <v>181</v>
      </c>
      <c r="Z647" s="1">
        <v>118</v>
      </c>
      <c r="AA647" s="1">
        <v>87</v>
      </c>
      <c r="AB647" s="2">
        <f t="shared" si="116"/>
        <v>205</v>
      </c>
      <c r="AD647" s="121"/>
      <c r="AE647" s="121"/>
    </row>
    <row r="648" spans="1:31" x14ac:dyDescent="0.25">
      <c r="A648" s="2" t="s">
        <v>545</v>
      </c>
      <c r="B648" s="7">
        <v>0.46249999999999997</v>
      </c>
      <c r="C648" s="2">
        <v>3.1</v>
      </c>
      <c r="D648" s="10" t="s">
        <v>381</v>
      </c>
      <c r="E648" s="40">
        <v>0</v>
      </c>
      <c r="F648" s="40">
        <v>2</v>
      </c>
      <c r="G648" s="40">
        <v>1</v>
      </c>
      <c r="H648" s="3">
        <f t="shared" si="132"/>
        <v>0</v>
      </c>
      <c r="I648" s="3">
        <f t="shared" si="133"/>
        <v>0.2583333333333333</v>
      </c>
      <c r="J648" s="3">
        <f t="shared" si="134"/>
        <v>0.12916666666666665</v>
      </c>
      <c r="K648" s="3"/>
      <c r="L648" s="4">
        <f t="shared" ref="L648:L651" si="135">+IF(C648="","",((L647-(H648+I648+J648))+K648))</f>
        <v>305.23916666666668</v>
      </c>
      <c r="M648" s="40">
        <v>0</v>
      </c>
      <c r="N648" s="40">
        <v>0</v>
      </c>
      <c r="O648" s="40">
        <v>0</v>
      </c>
      <c r="P648" s="40">
        <v>0</v>
      </c>
      <c r="Q648" s="40">
        <v>0</v>
      </c>
      <c r="R648" s="40">
        <v>0</v>
      </c>
      <c r="S648" s="2">
        <f t="shared" ref="S648:S651" si="136">IF(C648="","",(S647+R648)-(M648+N648+O648+P648+Q648))</f>
        <v>72.100000000000364</v>
      </c>
      <c r="T648" s="2">
        <v>0</v>
      </c>
      <c r="U648" s="2">
        <v>0</v>
      </c>
      <c r="V648" s="2">
        <v>0</v>
      </c>
      <c r="W648" s="2">
        <v>0</v>
      </c>
      <c r="X648" s="2">
        <f t="shared" ref="X648:X651" si="137">IF(V648="","",((X647+T648+U648)-(V648+W648)))</f>
        <v>181</v>
      </c>
      <c r="Z648" s="1"/>
      <c r="AA648" s="1"/>
      <c r="AB648" s="2" t="str">
        <f t="shared" si="116"/>
        <v/>
      </c>
      <c r="AD648" s="121"/>
      <c r="AE648" s="121"/>
    </row>
    <row r="649" spans="1:31" x14ac:dyDescent="0.25">
      <c r="A649" s="2" t="s">
        <v>545</v>
      </c>
      <c r="B649" s="7">
        <v>0.52500000000000002</v>
      </c>
      <c r="C649" s="2">
        <v>1.5</v>
      </c>
      <c r="D649" s="10" t="s">
        <v>511</v>
      </c>
      <c r="E649" s="40">
        <v>10</v>
      </c>
      <c r="F649" s="40">
        <v>2</v>
      </c>
      <c r="G649" s="40">
        <v>1</v>
      </c>
      <c r="H649" s="3">
        <f t="shared" si="132"/>
        <v>0.625</v>
      </c>
      <c r="I649" s="3">
        <f t="shared" si="133"/>
        <v>0.125</v>
      </c>
      <c r="J649" s="3">
        <f t="shared" si="134"/>
        <v>6.25E-2</v>
      </c>
      <c r="K649" s="3"/>
      <c r="L649" s="4">
        <f t="shared" si="135"/>
        <v>304.42666666666668</v>
      </c>
      <c r="M649" s="40">
        <v>0</v>
      </c>
      <c r="N649" s="40">
        <v>0</v>
      </c>
      <c r="O649" s="40">
        <v>0</v>
      </c>
      <c r="P649" s="40">
        <v>0</v>
      </c>
      <c r="Q649" s="40">
        <v>0</v>
      </c>
      <c r="R649" s="40">
        <v>0</v>
      </c>
      <c r="S649" s="2">
        <f t="shared" si="136"/>
        <v>72.100000000000364</v>
      </c>
      <c r="T649" s="2">
        <v>0</v>
      </c>
      <c r="U649" s="2">
        <v>0</v>
      </c>
      <c r="V649" s="2">
        <v>0</v>
      </c>
      <c r="W649" s="2">
        <v>0</v>
      </c>
      <c r="X649" s="2">
        <f t="shared" si="137"/>
        <v>181</v>
      </c>
      <c r="Z649" s="1"/>
      <c r="AA649" s="1"/>
      <c r="AB649" s="2" t="str">
        <f t="shared" si="116"/>
        <v/>
      </c>
      <c r="AD649" s="121"/>
      <c r="AE649" s="121"/>
    </row>
    <row r="650" spans="1:31" x14ac:dyDescent="0.25">
      <c r="A650" s="2" t="s">
        <v>545</v>
      </c>
      <c r="B650" s="7">
        <v>0.64583333333333337</v>
      </c>
      <c r="C650" s="2">
        <v>2.9</v>
      </c>
      <c r="D650" s="10" t="s">
        <v>381</v>
      </c>
      <c r="E650" s="40">
        <v>0</v>
      </c>
      <c r="F650" s="40">
        <v>2</v>
      </c>
      <c r="G650" s="40">
        <v>1</v>
      </c>
      <c r="H650" s="3">
        <f t="shared" si="132"/>
        <v>0</v>
      </c>
      <c r="I650" s="3">
        <f t="shared" si="133"/>
        <v>0.24166666666666664</v>
      </c>
      <c r="J650" s="3">
        <f t="shared" si="134"/>
        <v>0.12083333333333332</v>
      </c>
      <c r="K650" s="3"/>
      <c r="L650" s="4">
        <f t="shared" si="135"/>
        <v>304.06416666666667</v>
      </c>
      <c r="M650" s="40">
        <v>0</v>
      </c>
      <c r="N650" s="40">
        <v>0</v>
      </c>
      <c r="O650" s="40">
        <v>0</v>
      </c>
      <c r="P650" s="40">
        <v>0</v>
      </c>
      <c r="Q650" s="40">
        <v>0</v>
      </c>
      <c r="R650" s="40">
        <v>0</v>
      </c>
      <c r="S650" s="2">
        <f t="shared" si="136"/>
        <v>72.100000000000364</v>
      </c>
      <c r="T650" s="2">
        <v>0</v>
      </c>
      <c r="U650" s="2">
        <v>0</v>
      </c>
      <c r="V650" s="2">
        <v>2</v>
      </c>
      <c r="W650" s="2">
        <v>0</v>
      </c>
      <c r="X650" s="2">
        <f t="shared" si="137"/>
        <v>179</v>
      </c>
      <c r="Z650" s="1"/>
      <c r="AA650" s="1"/>
      <c r="AB650" s="2" t="str">
        <f t="shared" si="116"/>
        <v/>
      </c>
      <c r="AD650" s="121"/>
      <c r="AE650" s="121"/>
    </row>
    <row r="651" spans="1:31" x14ac:dyDescent="0.25">
      <c r="A651" s="2" t="s">
        <v>545</v>
      </c>
      <c r="B651" s="7">
        <v>0.66666666666666663</v>
      </c>
      <c r="C651" s="2">
        <v>0.5</v>
      </c>
      <c r="D651" s="10" t="s">
        <v>355</v>
      </c>
      <c r="E651" s="40">
        <v>10</v>
      </c>
      <c r="F651" s="40">
        <v>2</v>
      </c>
      <c r="G651" s="40">
        <v>1</v>
      </c>
      <c r="H651" s="3">
        <f t="shared" si="132"/>
        <v>0.20833333333333334</v>
      </c>
      <c r="I651" s="3">
        <f t="shared" si="133"/>
        <v>4.1666666666666664E-2</v>
      </c>
      <c r="J651" s="3">
        <f t="shared" si="134"/>
        <v>2.0833333333333332E-2</v>
      </c>
      <c r="K651" s="3"/>
      <c r="L651" s="4">
        <f t="shared" si="135"/>
        <v>303.79333333333335</v>
      </c>
      <c r="M651" s="40">
        <v>0</v>
      </c>
      <c r="N651" s="40">
        <v>0</v>
      </c>
      <c r="O651" s="40">
        <v>0</v>
      </c>
      <c r="P651" s="40">
        <v>0</v>
      </c>
      <c r="Q651" s="40">
        <v>0</v>
      </c>
      <c r="R651" s="40">
        <v>0</v>
      </c>
      <c r="S651" s="2">
        <f t="shared" si="136"/>
        <v>72.100000000000364</v>
      </c>
      <c r="T651" s="2">
        <v>0</v>
      </c>
      <c r="U651" s="2">
        <v>0</v>
      </c>
      <c r="V651" s="2">
        <v>0</v>
      </c>
      <c r="W651" s="2">
        <v>0</v>
      </c>
      <c r="X651" s="2">
        <f t="shared" si="137"/>
        <v>179</v>
      </c>
      <c r="Z651" s="1"/>
      <c r="AA651" s="1"/>
      <c r="AB651" s="2" t="str">
        <f t="shared" si="116"/>
        <v/>
      </c>
      <c r="AD651" s="121"/>
      <c r="AE651" s="121"/>
    </row>
    <row r="652" spans="1:31" x14ac:dyDescent="0.25">
      <c r="A652" s="2" t="s">
        <v>545</v>
      </c>
      <c r="B652" s="7">
        <v>0.9375</v>
      </c>
      <c r="C652" s="44">
        <v>6.5</v>
      </c>
      <c r="D652" s="10" t="s">
        <v>374</v>
      </c>
      <c r="E652" s="40">
        <v>22</v>
      </c>
      <c r="F652" s="40">
        <v>2</v>
      </c>
      <c r="G652" s="40">
        <v>0</v>
      </c>
      <c r="H652" s="45">
        <f t="shared" ref="H652:H656" si="138">+IF(E652="","",(E652/24)*C652)</f>
        <v>5.958333333333333</v>
      </c>
      <c r="I652" s="45">
        <f t="shared" ref="I652:I656" si="139">+IF(F652="","",(F652/24)*C652)</f>
        <v>0.54166666666666663</v>
      </c>
      <c r="J652" s="3">
        <f t="shared" ref="J652:J656" si="140">+IF(G652="","",(G652/24)*C652)</f>
        <v>0</v>
      </c>
      <c r="K652" s="3"/>
      <c r="L652" s="4">
        <f>+IF(C652="","",((L651-(H652+I652+J652))+K652))</f>
        <v>297.29333333333335</v>
      </c>
      <c r="M652" s="40">
        <v>0</v>
      </c>
      <c r="N652" s="40">
        <v>0</v>
      </c>
      <c r="O652" s="40">
        <v>0</v>
      </c>
      <c r="P652" s="40">
        <v>0</v>
      </c>
      <c r="Q652" s="40">
        <v>0</v>
      </c>
      <c r="R652" s="40">
        <v>0</v>
      </c>
      <c r="S652" s="2">
        <f>IF(C652="","",(S651+R652)-(M652+N652+O652+P652+Q652))</f>
        <v>72.100000000000364</v>
      </c>
      <c r="T652" s="2">
        <v>0</v>
      </c>
      <c r="U652" s="2">
        <v>0</v>
      </c>
      <c r="V652" s="2">
        <v>1</v>
      </c>
      <c r="W652" s="2">
        <v>0</v>
      </c>
      <c r="X652" s="2">
        <f>IF(V652="","",((X651+T652+U652)-(V652+W652)))</f>
        <v>178</v>
      </c>
      <c r="Z652" s="1"/>
      <c r="AA652" s="1"/>
      <c r="AB652" s="2" t="str">
        <f t="shared" si="116"/>
        <v/>
      </c>
      <c r="AD652" s="121">
        <v>12.8</v>
      </c>
      <c r="AE652" s="121" t="s">
        <v>1295</v>
      </c>
    </row>
    <row r="653" spans="1:31" x14ac:dyDescent="0.25">
      <c r="A653" s="2" t="s">
        <v>545</v>
      </c>
      <c r="B653" s="7">
        <v>0.98749999999999993</v>
      </c>
      <c r="C653" s="2">
        <v>1.2</v>
      </c>
      <c r="D653" s="10" t="s">
        <v>380</v>
      </c>
      <c r="E653" s="40">
        <v>10</v>
      </c>
      <c r="F653" s="40">
        <v>2</v>
      </c>
      <c r="G653" s="40">
        <v>0</v>
      </c>
      <c r="H653" s="3">
        <f t="shared" si="138"/>
        <v>0.5</v>
      </c>
      <c r="I653" s="3">
        <f t="shared" si="139"/>
        <v>9.9999999999999992E-2</v>
      </c>
      <c r="J653" s="3">
        <f t="shared" si="140"/>
        <v>0</v>
      </c>
      <c r="K653" s="3"/>
      <c r="L653" s="4">
        <f t="shared" ref="L653:L656" si="141">+IF(C653="","",((L652-(H653+I653+J653))+K653))</f>
        <v>296.69333333333333</v>
      </c>
      <c r="M653" s="40">
        <v>0</v>
      </c>
      <c r="N653" s="40">
        <v>0</v>
      </c>
      <c r="O653" s="40">
        <v>0</v>
      </c>
      <c r="P653" s="40">
        <v>0</v>
      </c>
      <c r="Q653" s="40">
        <v>0</v>
      </c>
      <c r="R653" s="40">
        <v>0</v>
      </c>
      <c r="S653" s="2">
        <f t="shared" ref="S653:S656" si="142">IF(C653="","",(S652+R653)-(M653+N653+O653+P653+Q653))</f>
        <v>72.100000000000364</v>
      </c>
      <c r="T653" s="2">
        <v>0</v>
      </c>
      <c r="U653" s="2">
        <v>0</v>
      </c>
      <c r="V653" s="2">
        <v>0</v>
      </c>
      <c r="W653" s="2">
        <v>0</v>
      </c>
      <c r="X653" s="2">
        <f t="shared" ref="X653:X656" si="143">IF(V653="","",((X652+T653+U653)-(V653+W653)))</f>
        <v>178</v>
      </c>
      <c r="Z653" s="1"/>
      <c r="AA653" s="1"/>
      <c r="AB653" s="2" t="str">
        <f t="shared" si="116"/>
        <v/>
      </c>
      <c r="AD653" s="121"/>
      <c r="AE653" s="121"/>
    </row>
    <row r="654" spans="1:31" x14ac:dyDescent="0.25">
      <c r="A654" s="2" t="s">
        <v>546</v>
      </c>
      <c r="B654" s="7">
        <v>0.33333333333333331</v>
      </c>
      <c r="C654" s="2">
        <v>8.3000000000000007</v>
      </c>
      <c r="D654" s="10" t="s">
        <v>380</v>
      </c>
      <c r="E654" s="40">
        <v>0</v>
      </c>
      <c r="F654" s="40">
        <v>2</v>
      </c>
      <c r="G654" s="40">
        <v>1</v>
      </c>
      <c r="H654" s="3">
        <f t="shared" si="138"/>
        <v>0</v>
      </c>
      <c r="I654" s="3">
        <f t="shared" si="139"/>
        <v>0.69166666666666665</v>
      </c>
      <c r="J654" s="3">
        <f t="shared" si="140"/>
        <v>0.34583333333333333</v>
      </c>
      <c r="K654" s="3"/>
      <c r="L654" s="4">
        <f t="shared" si="141"/>
        <v>295.65583333333331</v>
      </c>
      <c r="M654" s="40">
        <v>0</v>
      </c>
      <c r="N654" s="40">
        <v>0</v>
      </c>
      <c r="O654" s="40">
        <v>0.1</v>
      </c>
      <c r="P654" s="40">
        <v>0</v>
      </c>
      <c r="Q654" s="40">
        <v>0</v>
      </c>
      <c r="R654" s="40">
        <v>0</v>
      </c>
      <c r="S654" s="2">
        <f t="shared" si="142"/>
        <v>72.000000000000369</v>
      </c>
      <c r="T654" s="2">
        <v>2</v>
      </c>
      <c r="U654" s="2">
        <v>0</v>
      </c>
      <c r="V654" s="2">
        <v>4</v>
      </c>
      <c r="W654" s="2">
        <v>0</v>
      </c>
      <c r="X654" s="2">
        <f t="shared" si="143"/>
        <v>176</v>
      </c>
      <c r="Z654" s="1">
        <v>114</v>
      </c>
      <c r="AA654" s="1">
        <v>85</v>
      </c>
      <c r="AB654" s="2">
        <f t="shared" si="116"/>
        <v>199</v>
      </c>
      <c r="AD654" s="121"/>
      <c r="AE654" s="121"/>
    </row>
    <row r="655" spans="1:31" x14ac:dyDescent="0.25">
      <c r="A655" s="2" t="s">
        <v>547</v>
      </c>
      <c r="B655" s="7">
        <v>0.33333333333333331</v>
      </c>
      <c r="C655" s="2">
        <v>24</v>
      </c>
      <c r="D655" s="10" t="s">
        <v>380</v>
      </c>
      <c r="E655" s="40">
        <v>0</v>
      </c>
      <c r="F655" s="40">
        <v>2</v>
      </c>
      <c r="G655" s="40">
        <v>1</v>
      </c>
      <c r="H655" s="3">
        <f t="shared" si="138"/>
        <v>0</v>
      </c>
      <c r="I655" s="3">
        <f t="shared" si="139"/>
        <v>2</v>
      </c>
      <c r="J655" s="3">
        <f t="shared" si="140"/>
        <v>1</v>
      </c>
      <c r="K655" s="3"/>
      <c r="L655" s="4">
        <f t="shared" si="141"/>
        <v>292.65583333333331</v>
      </c>
      <c r="M655" s="40">
        <v>0</v>
      </c>
      <c r="N655" s="40">
        <v>0</v>
      </c>
      <c r="O655" s="40">
        <v>0.1</v>
      </c>
      <c r="P655" s="40">
        <v>0</v>
      </c>
      <c r="Q655" s="40">
        <v>0</v>
      </c>
      <c r="R655" s="40">
        <v>0</v>
      </c>
      <c r="S655" s="2">
        <f t="shared" si="142"/>
        <v>71.900000000000375</v>
      </c>
      <c r="T655" s="2">
        <v>0</v>
      </c>
      <c r="U655" s="2">
        <v>0</v>
      </c>
      <c r="V655" s="2">
        <v>9</v>
      </c>
      <c r="W655" s="2">
        <v>0</v>
      </c>
      <c r="X655" s="2">
        <f t="shared" si="143"/>
        <v>167</v>
      </c>
      <c r="Z655" s="1">
        <v>106</v>
      </c>
      <c r="AA655" s="1">
        <v>87</v>
      </c>
      <c r="AB655" s="2">
        <f t="shared" si="116"/>
        <v>193</v>
      </c>
      <c r="AD655" s="121"/>
      <c r="AE655" s="121"/>
    </row>
    <row r="656" spans="1:31" x14ac:dyDescent="0.25">
      <c r="A656" s="2" t="s">
        <v>547</v>
      </c>
      <c r="B656" s="7">
        <v>0.66249999999999998</v>
      </c>
      <c r="C656" s="2">
        <v>7.9</v>
      </c>
      <c r="D656" s="10" t="s">
        <v>381</v>
      </c>
      <c r="E656" s="40">
        <v>0</v>
      </c>
      <c r="F656" s="40">
        <v>2</v>
      </c>
      <c r="G656" s="40">
        <v>1</v>
      </c>
      <c r="H656" s="3">
        <f t="shared" si="138"/>
        <v>0</v>
      </c>
      <c r="I656" s="3">
        <f t="shared" si="139"/>
        <v>0.65833333333333333</v>
      </c>
      <c r="J656" s="3">
        <f t="shared" si="140"/>
        <v>0.32916666666666666</v>
      </c>
      <c r="K656" s="3"/>
      <c r="L656" s="4">
        <f t="shared" si="141"/>
        <v>291.66833333333329</v>
      </c>
      <c r="M656" s="40">
        <v>0</v>
      </c>
      <c r="N656" s="40">
        <v>0</v>
      </c>
      <c r="O656" s="40">
        <v>0</v>
      </c>
      <c r="P656" s="40">
        <v>0</v>
      </c>
      <c r="Q656" s="40">
        <v>0</v>
      </c>
      <c r="R656" s="40">
        <v>0</v>
      </c>
      <c r="S656" s="2">
        <f t="shared" si="142"/>
        <v>71.900000000000375</v>
      </c>
      <c r="T656" s="2">
        <v>0</v>
      </c>
      <c r="U656" s="2">
        <v>0</v>
      </c>
      <c r="V656" s="2">
        <v>1</v>
      </c>
      <c r="W656" s="2">
        <v>0</v>
      </c>
      <c r="X656" s="2">
        <f t="shared" si="143"/>
        <v>166</v>
      </c>
      <c r="Z656" s="1"/>
      <c r="AA656" s="1"/>
      <c r="AB656" s="2" t="str">
        <f t="shared" si="116"/>
        <v/>
      </c>
      <c r="AD656" s="121"/>
      <c r="AE656" s="121"/>
    </row>
    <row r="657" spans="1:31" x14ac:dyDescent="0.25">
      <c r="A657" s="2" t="s">
        <v>547</v>
      </c>
      <c r="B657" s="7">
        <v>0.72916666666666663</v>
      </c>
      <c r="C657" s="2">
        <v>1.6</v>
      </c>
      <c r="D657" s="10" t="s">
        <v>548</v>
      </c>
      <c r="E657" s="40">
        <v>10</v>
      </c>
      <c r="F657" s="40">
        <v>2</v>
      </c>
      <c r="G657" s="40">
        <v>1</v>
      </c>
      <c r="H657" s="3">
        <f t="shared" ref="H657:H661" si="144">+IF(E657="","",(E657/24)*C657)</f>
        <v>0.66666666666666674</v>
      </c>
      <c r="I657" s="3">
        <f t="shared" ref="I657:I661" si="145">+IF(F657="","",(F657/24)*C657)</f>
        <v>0.13333333333333333</v>
      </c>
      <c r="J657" s="3">
        <f t="shared" ref="J657:J661" si="146">+IF(G657="","",(G657/24)*C657)</f>
        <v>6.6666666666666666E-2</v>
      </c>
      <c r="K657" s="3"/>
      <c r="L657" s="4">
        <f>+IF(C657="","",((L656-(H657+I657+J657))+K657))</f>
        <v>290.80166666666662</v>
      </c>
      <c r="M657" s="40">
        <v>0</v>
      </c>
      <c r="N657" s="40">
        <v>0</v>
      </c>
      <c r="O657" s="40">
        <v>0</v>
      </c>
      <c r="P657" s="40">
        <v>0</v>
      </c>
      <c r="Q657" s="40">
        <v>0</v>
      </c>
      <c r="R657" s="40">
        <v>0</v>
      </c>
      <c r="S657" s="2">
        <f>IF(C657="","",(S656+R657)-(M657+N657+O657+P657+Q657))</f>
        <v>71.900000000000375</v>
      </c>
      <c r="T657" s="2">
        <v>0</v>
      </c>
      <c r="U657" s="2">
        <v>0</v>
      </c>
      <c r="V657" s="2">
        <v>0</v>
      </c>
      <c r="W657" s="2">
        <v>0</v>
      </c>
      <c r="X657" s="2">
        <f>IF(V657="","",((X656+T657+U657)-(V657+W657)))</f>
        <v>166</v>
      </c>
      <c r="Z657" s="1"/>
      <c r="AA657" s="1"/>
      <c r="AB657" s="2" t="str">
        <f t="shared" si="116"/>
        <v/>
      </c>
      <c r="AD657" s="121"/>
      <c r="AE657" s="121"/>
    </row>
    <row r="658" spans="1:31" x14ac:dyDescent="0.25">
      <c r="A658" s="2" t="s">
        <v>549</v>
      </c>
      <c r="B658" s="7">
        <v>0.33333333333333331</v>
      </c>
      <c r="C658" s="2">
        <v>14.5</v>
      </c>
      <c r="D658" s="10" t="s">
        <v>550</v>
      </c>
      <c r="E658" s="40">
        <v>0</v>
      </c>
      <c r="F658" s="40">
        <v>2.5</v>
      </c>
      <c r="G658" s="40">
        <v>1.5</v>
      </c>
      <c r="H658" s="3">
        <f t="shared" si="144"/>
        <v>0</v>
      </c>
      <c r="I658" s="3">
        <f t="shared" si="145"/>
        <v>1.5104166666666667</v>
      </c>
      <c r="J658" s="3">
        <f t="shared" si="146"/>
        <v>0.90625</v>
      </c>
      <c r="K658" s="3"/>
      <c r="L658" s="4">
        <f t="shared" ref="L658:L661" si="147">+IF(C658="","",((L657-(H658+I658+J658))+K658))</f>
        <v>288.38499999999993</v>
      </c>
      <c r="M658" s="40">
        <v>0</v>
      </c>
      <c r="N658" s="40">
        <v>0</v>
      </c>
      <c r="O658" s="40">
        <v>0.1</v>
      </c>
      <c r="P658" s="40">
        <v>0</v>
      </c>
      <c r="Q658" s="40">
        <v>4.5</v>
      </c>
      <c r="R658" s="40">
        <v>0</v>
      </c>
      <c r="S658" s="2">
        <f t="shared" ref="S658:S661" si="148">IF(C658="","",(S657+R658)-(M658+N658+O658+P658+Q658))</f>
        <v>67.300000000000381</v>
      </c>
      <c r="T658" s="2">
        <v>0</v>
      </c>
      <c r="U658" s="2">
        <v>0</v>
      </c>
      <c r="V658" s="2">
        <v>2</v>
      </c>
      <c r="W658" s="2">
        <v>0</v>
      </c>
      <c r="X658" s="2">
        <f t="shared" ref="X658:X661" si="149">IF(V658="","",((X657+T658+U658)-(V658+W658)))</f>
        <v>164</v>
      </c>
      <c r="Z658" s="1">
        <v>103</v>
      </c>
      <c r="AA658" s="1">
        <v>87</v>
      </c>
      <c r="AB658" s="2">
        <f t="shared" si="116"/>
        <v>190</v>
      </c>
      <c r="AD658" s="121"/>
      <c r="AE658" s="121"/>
    </row>
    <row r="659" spans="1:31" x14ac:dyDescent="0.25">
      <c r="A659" s="2" t="s">
        <v>551</v>
      </c>
      <c r="B659" s="7">
        <v>0.44166666666666665</v>
      </c>
      <c r="C659" s="2">
        <v>2.6</v>
      </c>
      <c r="D659" s="10" t="s">
        <v>381</v>
      </c>
      <c r="E659" s="40">
        <v>0</v>
      </c>
      <c r="F659" s="40">
        <v>2</v>
      </c>
      <c r="G659" s="40">
        <v>1</v>
      </c>
      <c r="H659" s="3">
        <f t="shared" si="144"/>
        <v>0</v>
      </c>
      <c r="I659" s="3">
        <f t="shared" si="145"/>
        <v>0.21666666666666667</v>
      </c>
      <c r="J659" s="3">
        <f t="shared" si="146"/>
        <v>0.10833333333333334</v>
      </c>
      <c r="K659" s="3"/>
      <c r="L659" s="4">
        <f t="shared" si="147"/>
        <v>288.05999999999995</v>
      </c>
      <c r="M659" s="40">
        <v>0</v>
      </c>
      <c r="N659" s="40">
        <v>0</v>
      </c>
      <c r="O659" s="40">
        <v>0</v>
      </c>
      <c r="P659" s="40">
        <v>0</v>
      </c>
      <c r="Q659" s="40">
        <v>0</v>
      </c>
      <c r="R659" s="40">
        <v>0</v>
      </c>
      <c r="S659" s="2">
        <f t="shared" si="148"/>
        <v>67.300000000000381</v>
      </c>
      <c r="T659" s="2">
        <v>0</v>
      </c>
      <c r="U659" s="2">
        <v>0</v>
      </c>
      <c r="V659" s="2">
        <v>0</v>
      </c>
      <c r="W659" s="2">
        <v>0</v>
      </c>
      <c r="X659" s="2">
        <f t="shared" si="149"/>
        <v>164</v>
      </c>
      <c r="Z659" s="1"/>
      <c r="AA659" s="1"/>
      <c r="AB659" s="2" t="str">
        <f t="shared" si="116"/>
        <v/>
      </c>
      <c r="AD659" s="121"/>
      <c r="AE659" s="121"/>
    </row>
    <row r="660" spans="1:31" x14ac:dyDescent="0.25">
      <c r="A660" s="2" t="s">
        <v>551</v>
      </c>
      <c r="B660" s="7">
        <v>0.45833333333333331</v>
      </c>
      <c r="C660" s="2">
        <v>0.4</v>
      </c>
      <c r="D660" s="10" t="s">
        <v>355</v>
      </c>
      <c r="E660" s="40">
        <v>10</v>
      </c>
      <c r="F660" s="40">
        <v>2</v>
      </c>
      <c r="G660" s="40">
        <v>0</v>
      </c>
      <c r="H660" s="3">
        <f t="shared" si="144"/>
        <v>0.16666666666666669</v>
      </c>
      <c r="I660" s="3">
        <f t="shared" si="145"/>
        <v>3.3333333333333333E-2</v>
      </c>
      <c r="J660" s="3">
        <f t="shared" si="146"/>
        <v>0</v>
      </c>
      <c r="K660" s="3"/>
      <c r="L660" s="4">
        <f t="shared" si="147"/>
        <v>287.85999999999996</v>
      </c>
      <c r="M660" s="40">
        <v>0</v>
      </c>
      <c r="N660" s="40">
        <v>0</v>
      </c>
      <c r="O660" s="40">
        <v>0</v>
      </c>
      <c r="P660" s="40">
        <v>0</v>
      </c>
      <c r="Q660" s="40">
        <v>0</v>
      </c>
      <c r="R660" s="40">
        <v>0</v>
      </c>
      <c r="S660" s="2">
        <f t="shared" si="148"/>
        <v>67.300000000000381</v>
      </c>
      <c r="T660" s="2">
        <v>0</v>
      </c>
      <c r="U660" s="2">
        <v>0</v>
      </c>
      <c r="V660" s="2">
        <v>0</v>
      </c>
      <c r="W660" s="2">
        <v>0</v>
      </c>
      <c r="X660" s="2">
        <f t="shared" si="149"/>
        <v>164</v>
      </c>
      <c r="Z660" s="1"/>
      <c r="AA660" s="1"/>
      <c r="AB660" s="2" t="str">
        <f t="shared" si="116"/>
        <v/>
      </c>
      <c r="AD660" s="121"/>
      <c r="AE660" s="121"/>
    </row>
    <row r="661" spans="1:31" x14ac:dyDescent="0.25">
      <c r="A661" s="2" t="s">
        <v>552</v>
      </c>
      <c r="B661" s="7">
        <v>0.33333333333333331</v>
      </c>
      <c r="C661" s="44">
        <v>21</v>
      </c>
      <c r="D661" s="10" t="s">
        <v>355</v>
      </c>
      <c r="E661" s="40">
        <v>22</v>
      </c>
      <c r="F661" s="40">
        <v>2</v>
      </c>
      <c r="G661" s="40">
        <v>0</v>
      </c>
      <c r="H661" s="45">
        <f t="shared" si="144"/>
        <v>19.25</v>
      </c>
      <c r="I661" s="45">
        <f t="shared" si="145"/>
        <v>1.75</v>
      </c>
      <c r="J661" s="3">
        <f t="shared" si="146"/>
        <v>0</v>
      </c>
      <c r="K661" s="3"/>
      <c r="L661" s="4">
        <f t="shared" si="147"/>
        <v>266.85999999999996</v>
      </c>
      <c r="M661" s="40">
        <v>0</v>
      </c>
      <c r="N661" s="40">
        <v>0</v>
      </c>
      <c r="O661" s="44">
        <v>0.1</v>
      </c>
      <c r="P661" s="40">
        <v>0</v>
      </c>
      <c r="Q661" s="40">
        <v>0</v>
      </c>
      <c r="R661" s="40">
        <v>0</v>
      </c>
      <c r="S661" s="2">
        <f t="shared" si="148"/>
        <v>67.200000000000387</v>
      </c>
      <c r="T661" s="2">
        <v>8</v>
      </c>
      <c r="U661" s="2">
        <v>0</v>
      </c>
      <c r="V661" s="2">
        <v>4</v>
      </c>
      <c r="W661" s="2">
        <v>0</v>
      </c>
      <c r="X661" s="2">
        <f t="shared" si="149"/>
        <v>168</v>
      </c>
      <c r="Z661" s="1">
        <v>103</v>
      </c>
      <c r="AA661" s="1">
        <v>87</v>
      </c>
      <c r="AB661" s="2">
        <f t="shared" si="116"/>
        <v>190</v>
      </c>
      <c r="AD661" s="121"/>
      <c r="AE661" s="121"/>
    </row>
    <row r="662" spans="1:31" x14ac:dyDescent="0.25">
      <c r="A662" s="2" t="s">
        <v>552</v>
      </c>
      <c r="B662" s="7">
        <v>0.34583333333333338</v>
      </c>
      <c r="C662" s="44">
        <v>0.3</v>
      </c>
      <c r="D662" s="10" t="s">
        <v>374</v>
      </c>
      <c r="E662" s="40">
        <v>14</v>
      </c>
      <c r="F662" s="40">
        <v>2</v>
      </c>
      <c r="G662" s="40">
        <v>0</v>
      </c>
      <c r="H662" s="45">
        <f t="shared" ref="H662:H665" si="150">+IF(E662="","",(E662/24)*C662)</f>
        <v>0.17500000000000002</v>
      </c>
      <c r="I662" s="45">
        <f t="shared" ref="I662:I665" si="151">+IF(F662="","",(F662/24)*C662)</f>
        <v>2.4999999999999998E-2</v>
      </c>
      <c r="J662" s="3">
        <f t="shared" ref="J662:J665" si="152">+IF(G662="","",(G662/24)*C662)</f>
        <v>0</v>
      </c>
      <c r="K662" s="3"/>
      <c r="L662" s="4">
        <f>+IF(C662="","",((L661-(H662+I662+J662))+K662))</f>
        <v>266.65999999999997</v>
      </c>
      <c r="M662" s="40">
        <v>0</v>
      </c>
      <c r="N662" s="40">
        <v>0</v>
      </c>
      <c r="O662" s="40">
        <v>0</v>
      </c>
      <c r="P662" s="40">
        <v>0</v>
      </c>
      <c r="Q662" s="40">
        <v>0</v>
      </c>
      <c r="R662" s="40">
        <v>0</v>
      </c>
      <c r="S662" s="2">
        <f>IF(C662="","",(S661+R662)-(M662+N662+O662+P662+Q662))</f>
        <v>67.200000000000387</v>
      </c>
      <c r="T662" s="2">
        <v>0</v>
      </c>
      <c r="U662" s="2">
        <v>0</v>
      </c>
      <c r="V662" s="2">
        <v>0</v>
      </c>
      <c r="W662" s="2">
        <v>0</v>
      </c>
      <c r="X662" s="2">
        <f>IF(V662="","",((X661+T662+U662)-(V662+W662)))</f>
        <v>168</v>
      </c>
      <c r="Z662" s="1"/>
      <c r="AA662" s="1"/>
      <c r="AB662" s="2" t="str">
        <f t="shared" si="116"/>
        <v/>
      </c>
      <c r="AD662" s="121">
        <v>12.5</v>
      </c>
      <c r="AE662" s="121" t="s">
        <v>1302</v>
      </c>
    </row>
    <row r="663" spans="1:31" x14ac:dyDescent="0.25">
      <c r="A663" s="2" t="s">
        <v>552</v>
      </c>
      <c r="B663" s="7">
        <v>0.37916666666666665</v>
      </c>
      <c r="C663" s="2">
        <v>0.8</v>
      </c>
      <c r="D663" s="10" t="s">
        <v>529</v>
      </c>
      <c r="E663" s="40">
        <v>10</v>
      </c>
      <c r="F663" s="40">
        <v>2</v>
      </c>
      <c r="G663" s="40">
        <v>0</v>
      </c>
      <c r="H663" s="3">
        <f t="shared" si="150"/>
        <v>0.33333333333333337</v>
      </c>
      <c r="I663" s="3">
        <f t="shared" si="151"/>
        <v>6.6666666666666666E-2</v>
      </c>
      <c r="J663" s="3">
        <f t="shared" si="152"/>
        <v>0</v>
      </c>
      <c r="K663" s="3"/>
      <c r="L663" s="4">
        <f t="shared" ref="L663:L665" si="153">+IF(C663="","",((L662-(H663+I663+J663))+K663))</f>
        <v>266.26</v>
      </c>
      <c r="M663" s="40">
        <v>0</v>
      </c>
      <c r="N663" s="40">
        <v>0</v>
      </c>
      <c r="O663" s="40">
        <v>0</v>
      </c>
      <c r="P663" s="40">
        <v>0</v>
      </c>
      <c r="Q663" s="40">
        <v>0</v>
      </c>
      <c r="R663" s="40">
        <v>0</v>
      </c>
      <c r="S663" s="2">
        <f t="shared" ref="S663:S698" si="154">IF(C663="","",(S662+R663)-(M663+N663+O663+P663+Q663))</f>
        <v>67.200000000000387</v>
      </c>
      <c r="T663" s="2">
        <v>0</v>
      </c>
      <c r="U663" s="2">
        <v>0</v>
      </c>
      <c r="V663" s="2">
        <v>0</v>
      </c>
      <c r="W663" s="2">
        <v>0</v>
      </c>
      <c r="X663" s="2">
        <f t="shared" ref="X663:X698" si="155">IF(V663="","",((X662+T663+U663)-(V663+W663)))</f>
        <v>168</v>
      </c>
      <c r="Z663" s="1"/>
      <c r="AA663" s="1"/>
      <c r="AB663" s="2" t="str">
        <f t="shared" si="116"/>
        <v/>
      </c>
      <c r="AD663" s="121"/>
      <c r="AE663" s="121"/>
    </row>
    <row r="664" spans="1:31" x14ac:dyDescent="0.25">
      <c r="A664" s="2" t="s">
        <v>553</v>
      </c>
      <c r="B664" s="7">
        <v>0.33333333333333331</v>
      </c>
      <c r="C664" s="2">
        <v>22.9</v>
      </c>
      <c r="D664" s="10" t="s">
        <v>529</v>
      </c>
      <c r="E664" s="40">
        <v>0</v>
      </c>
      <c r="F664" s="40">
        <v>2</v>
      </c>
      <c r="G664" s="40">
        <v>1</v>
      </c>
      <c r="H664" s="3">
        <f t="shared" si="150"/>
        <v>0</v>
      </c>
      <c r="I664" s="3">
        <f t="shared" si="151"/>
        <v>1.9083333333333332</v>
      </c>
      <c r="J664" s="3">
        <f t="shared" si="152"/>
        <v>0.95416666666666661</v>
      </c>
      <c r="K664" s="3"/>
      <c r="L664" s="4">
        <f t="shared" si="153"/>
        <v>263.39749999999998</v>
      </c>
      <c r="M664" s="40">
        <v>0</v>
      </c>
      <c r="N664" s="40">
        <v>0</v>
      </c>
      <c r="O664" s="40">
        <v>0.1</v>
      </c>
      <c r="P664" s="40">
        <v>0</v>
      </c>
      <c r="Q664" s="40">
        <v>0</v>
      </c>
      <c r="R664" s="40">
        <v>0</v>
      </c>
      <c r="S664" s="2">
        <f t="shared" si="154"/>
        <v>67.100000000000392</v>
      </c>
      <c r="T664" s="2">
        <v>0</v>
      </c>
      <c r="U664" s="2">
        <v>0</v>
      </c>
      <c r="V664" s="2">
        <v>4</v>
      </c>
      <c r="W664" s="2">
        <v>0</v>
      </c>
      <c r="X664" s="2">
        <f t="shared" si="155"/>
        <v>164</v>
      </c>
      <c r="Z664" s="1">
        <v>104</v>
      </c>
      <c r="AA664" s="1">
        <v>87</v>
      </c>
      <c r="AB664" s="2">
        <f t="shared" si="116"/>
        <v>191</v>
      </c>
      <c r="AD664" s="121"/>
      <c r="AE664" s="121"/>
    </row>
    <row r="665" spans="1:31" x14ac:dyDescent="0.25">
      <c r="A665" s="2" t="s">
        <v>553</v>
      </c>
      <c r="B665" s="7">
        <v>0.75</v>
      </c>
      <c r="C665" s="2">
        <v>10</v>
      </c>
      <c r="D665" s="10" t="s">
        <v>381</v>
      </c>
      <c r="E665" s="40">
        <v>0</v>
      </c>
      <c r="F665" s="40">
        <v>2</v>
      </c>
      <c r="G665" s="40">
        <v>1</v>
      </c>
      <c r="H665" s="3">
        <f t="shared" si="150"/>
        <v>0</v>
      </c>
      <c r="I665" s="3">
        <f t="shared" si="151"/>
        <v>0.83333333333333326</v>
      </c>
      <c r="J665" s="3">
        <f t="shared" si="152"/>
        <v>0.41666666666666663</v>
      </c>
      <c r="K665" s="3"/>
      <c r="L665" s="4">
        <f t="shared" si="153"/>
        <v>262.14749999999998</v>
      </c>
      <c r="M665" s="40">
        <v>0</v>
      </c>
      <c r="N665" s="40">
        <v>0</v>
      </c>
      <c r="O665" s="40">
        <v>0</v>
      </c>
      <c r="P665" s="40">
        <v>0</v>
      </c>
      <c r="Q665" s="40">
        <v>0</v>
      </c>
      <c r="R665" s="40">
        <v>0</v>
      </c>
      <c r="S665" s="2">
        <f t="shared" si="154"/>
        <v>67.100000000000392</v>
      </c>
      <c r="T665" s="2">
        <v>0</v>
      </c>
      <c r="U665" s="2">
        <v>0</v>
      </c>
      <c r="V665" s="2">
        <v>2</v>
      </c>
      <c r="W665" s="2">
        <v>0</v>
      </c>
      <c r="X665" s="2">
        <f t="shared" si="155"/>
        <v>162</v>
      </c>
      <c r="Z665" s="1"/>
      <c r="AA665" s="1"/>
      <c r="AB665" s="2" t="str">
        <f t="shared" si="116"/>
        <v/>
      </c>
      <c r="AD665" s="121"/>
      <c r="AE665" s="121"/>
    </row>
    <row r="666" spans="1:31" x14ac:dyDescent="0.25">
      <c r="A666" s="2" t="s">
        <v>553</v>
      </c>
      <c r="B666" s="7">
        <v>0.8208333333333333</v>
      </c>
      <c r="C666" s="2">
        <v>1.7</v>
      </c>
      <c r="D666" s="10" t="s">
        <v>554</v>
      </c>
      <c r="E666" s="40">
        <v>10</v>
      </c>
      <c r="F666" s="40">
        <v>2</v>
      </c>
      <c r="G666" s="40">
        <v>1</v>
      </c>
      <c r="H666" s="3">
        <f t="shared" ref="H666:H698" si="156">+IF(E666="","",(E666/24)*C666)</f>
        <v>0.70833333333333337</v>
      </c>
      <c r="I666" s="3">
        <f t="shared" ref="I666:I698" si="157">+IF(F666="","",(F666/24)*C666)</f>
        <v>0.14166666666666666</v>
      </c>
      <c r="J666" s="3">
        <f t="shared" ref="J666:J698" si="158">+IF(G666="","",(G666/24)*C666)</f>
        <v>7.0833333333333331E-2</v>
      </c>
      <c r="K666" s="3"/>
      <c r="L666" s="4">
        <f t="shared" ref="L666:L698" si="159">+IF(C666="","",((L665-(H666+I666+J666))+K666))</f>
        <v>261.22666666666663</v>
      </c>
      <c r="M666" s="40">
        <v>0</v>
      </c>
      <c r="N666" s="40">
        <v>0</v>
      </c>
      <c r="O666" s="40">
        <v>0</v>
      </c>
      <c r="P666" s="40">
        <v>0</v>
      </c>
      <c r="Q666" s="40">
        <v>0</v>
      </c>
      <c r="R666" s="40">
        <v>0</v>
      </c>
      <c r="S666" s="2">
        <f t="shared" si="154"/>
        <v>67.100000000000392</v>
      </c>
      <c r="T666" s="2">
        <v>0</v>
      </c>
      <c r="U666" s="2">
        <v>0</v>
      </c>
      <c r="V666" s="2">
        <v>0</v>
      </c>
      <c r="W666" s="2">
        <v>0</v>
      </c>
      <c r="X666" s="2">
        <f t="shared" si="155"/>
        <v>162</v>
      </c>
      <c r="Z666" s="1"/>
      <c r="AA666" s="1"/>
      <c r="AB666" s="2" t="str">
        <f t="shared" si="116"/>
        <v/>
      </c>
      <c r="AD666" s="121"/>
      <c r="AE666" s="121"/>
    </row>
    <row r="667" spans="1:31" x14ac:dyDescent="0.25">
      <c r="A667" s="2" t="s">
        <v>555</v>
      </c>
      <c r="B667" s="7">
        <v>0.33333333333333331</v>
      </c>
      <c r="C667" s="2">
        <v>12.3</v>
      </c>
      <c r="D667" s="10" t="s">
        <v>554</v>
      </c>
      <c r="E667" s="40">
        <v>0</v>
      </c>
      <c r="F667" s="40">
        <v>2</v>
      </c>
      <c r="G667" s="40">
        <v>1</v>
      </c>
      <c r="H667" s="3">
        <f t="shared" si="156"/>
        <v>0</v>
      </c>
      <c r="I667" s="3">
        <f t="shared" si="157"/>
        <v>1.0249999999999999</v>
      </c>
      <c r="J667" s="3">
        <f t="shared" si="158"/>
        <v>0.51249999999999996</v>
      </c>
      <c r="K667" s="3"/>
      <c r="L667" s="4">
        <f t="shared" si="159"/>
        <v>259.68916666666661</v>
      </c>
      <c r="M667" s="40">
        <v>0</v>
      </c>
      <c r="N667" s="40">
        <v>0</v>
      </c>
      <c r="O667" s="40">
        <v>0.1</v>
      </c>
      <c r="P667" s="40">
        <v>0</v>
      </c>
      <c r="Q667" s="40">
        <v>3</v>
      </c>
      <c r="R667" s="40">
        <v>0</v>
      </c>
      <c r="S667" s="2">
        <f t="shared" si="154"/>
        <v>64.000000000000398</v>
      </c>
      <c r="T667" s="2">
        <v>0</v>
      </c>
      <c r="U667" s="2">
        <v>0</v>
      </c>
      <c r="V667" s="2">
        <v>2</v>
      </c>
      <c r="W667" s="2">
        <v>0</v>
      </c>
      <c r="X667" s="2">
        <f t="shared" si="155"/>
        <v>160</v>
      </c>
      <c r="Z667" s="1"/>
      <c r="AA667" s="1"/>
      <c r="AB667" s="2" t="str">
        <f t="shared" si="116"/>
        <v/>
      </c>
      <c r="AD667" s="121"/>
      <c r="AE667" s="121"/>
    </row>
    <row r="668" spans="1:31" x14ac:dyDescent="0.25">
      <c r="A668" s="2" t="s">
        <v>556</v>
      </c>
      <c r="B668" s="7">
        <v>0.33333333333333331</v>
      </c>
      <c r="C668" s="2">
        <v>24</v>
      </c>
      <c r="D668" s="10" t="s">
        <v>503</v>
      </c>
      <c r="E668" s="40">
        <v>0</v>
      </c>
      <c r="F668" s="40">
        <v>2</v>
      </c>
      <c r="G668" s="40">
        <v>1</v>
      </c>
      <c r="H668" s="3">
        <f t="shared" si="156"/>
        <v>0</v>
      </c>
      <c r="I668" s="3">
        <f t="shared" si="157"/>
        <v>2</v>
      </c>
      <c r="J668" s="3">
        <f t="shared" si="158"/>
        <v>1</v>
      </c>
      <c r="K668" s="3"/>
      <c r="L668" s="4">
        <f t="shared" si="159"/>
        <v>256.68916666666661</v>
      </c>
      <c r="M668" s="40">
        <v>0</v>
      </c>
      <c r="N668" s="40">
        <v>0</v>
      </c>
      <c r="O668" s="40">
        <v>0.1</v>
      </c>
      <c r="P668" s="40">
        <v>0</v>
      </c>
      <c r="Q668" s="40">
        <v>5</v>
      </c>
      <c r="R668" s="40">
        <v>0</v>
      </c>
      <c r="S668" s="2">
        <f t="shared" si="154"/>
        <v>58.900000000000396</v>
      </c>
      <c r="T668" s="2">
        <v>0</v>
      </c>
      <c r="U668" s="2">
        <v>0</v>
      </c>
      <c r="V668" s="2">
        <v>4</v>
      </c>
      <c r="W668" s="2">
        <v>0</v>
      </c>
      <c r="X668" s="2">
        <f t="shared" si="155"/>
        <v>156</v>
      </c>
      <c r="Z668" s="1">
        <v>94</v>
      </c>
      <c r="AA668" s="1">
        <v>87</v>
      </c>
      <c r="AB668" s="2">
        <f t="shared" si="116"/>
        <v>181</v>
      </c>
      <c r="AD668" s="121"/>
      <c r="AE668" s="121"/>
    </row>
    <row r="669" spans="1:31" x14ac:dyDescent="0.25">
      <c r="A669" s="2" t="s">
        <v>556</v>
      </c>
      <c r="B669" s="7">
        <v>0.4458333333333333</v>
      </c>
      <c r="C669" s="2">
        <v>2.2000000000000002</v>
      </c>
      <c r="D669" s="10" t="s">
        <v>381</v>
      </c>
      <c r="E669" s="40">
        <v>0</v>
      </c>
      <c r="F669" s="40">
        <v>2</v>
      </c>
      <c r="G669" s="40">
        <v>1</v>
      </c>
      <c r="H669" s="3">
        <f t="shared" si="156"/>
        <v>0</v>
      </c>
      <c r="I669" s="3">
        <f t="shared" si="157"/>
        <v>0.18333333333333335</v>
      </c>
      <c r="J669" s="3">
        <f t="shared" si="158"/>
        <v>9.1666666666666674E-2</v>
      </c>
      <c r="K669" s="3"/>
      <c r="L669" s="4">
        <f t="shared" si="159"/>
        <v>256.41416666666663</v>
      </c>
      <c r="M669" s="40">
        <v>0</v>
      </c>
      <c r="N669" s="40">
        <v>0</v>
      </c>
      <c r="O669" s="40">
        <v>0</v>
      </c>
      <c r="P669" s="40">
        <v>0</v>
      </c>
      <c r="Q669" s="40">
        <v>0</v>
      </c>
      <c r="R669" s="40">
        <v>0</v>
      </c>
      <c r="S669" s="2">
        <f t="shared" si="154"/>
        <v>58.900000000000396</v>
      </c>
      <c r="T669" s="2">
        <v>0</v>
      </c>
      <c r="U669" s="2">
        <v>0</v>
      </c>
      <c r="V669" s="2">
        <v>0</v>
      </c>
      <c r="W669" s="2">
        <v>0</v>
      </c>
      <c r="X669" s="2">
        <f t="shared" si="155"/>
        <v>156</v>
      </c>
      <c r="Z669" s="1"/>
      <c r="AA669" s="1"/>
      <c r="AB669" s="2" t="str">
        <f t="shared" si="116"/>
        <v/>
      </c>
      <c r="AD669" s="121"/>
      <c r="AE669" s="121"/>
    </row>
    <row r="670" spans="1:31" x14ac:dyDescent="0.25">
      <c r="A670" s="2" t="s">
        <v>556</v>
      </c>
      <c r="B670" s="7">
        <v>0.47916666666666669</v>
      </c>
      <c r="C670" s="2">
        <v>0.7</v>
      </c>
      <c r="D670" s="10" t="s">
        <v>355</v>
      </c>
      <c r="E670" s="40">
        <v>10</v>
      </c>
      <c r="F670" s="40">
        <v>2</v>
      </c>
      <c r="G670" s="40">
        <v>1</v>
      </c>
      <c r="H670" s="3">
        <f t="shared" si="156"/>
        <v>0.29166666666666669</v>
      </c>
      <c r="I670" s="3">
        <f t="shared" si="157"/>
        <v>5.8333333333333327E-2</v>
      </c>
      <c r="J670" s="3">
        <f t="shared" si="158"/>
        <v>2.9166666666666664E-2</v>
      </c>
      <c r="K670" s="3"/>
      <c r="L670" s="4">
        <f t="shared" si="159"/>
        <v>256.03499999999997</v>
      </c>
      <c r="M670" s="40">
        <v>0</v>
      </c>
      <c r="N670" s="40">
        <v>0</v>
      </c>
      <c r="O670" s="40">
        <v>0</v>
      </c>
      <c r="P670" s="40">
        <v>0</v>
      </c>
      <c r="Q670" s="40">
        <v>0</v>
      </c>
      <c r="R670" s="40">
        <v>0</v>
      </c>
      <c r="S670" s="2">
        <f t="shared" si="154"/>
        <v>58.900000000000396</v>
      </c>
      <c r="T670" s="2">
        <v>0</v>
      </c>
      <c r="U670" s="2">
        <v>0</v>
      </c>
      <c r="V670" s="2">
        <v>0</v>
      </c>
      <c r="W670" s="2">
        <v>0</v>
      </c>
      <c r="X670" s="2">
        <f t="shared" si="155"/>
        <v>156</v>
      </c>
      <c r="Z670" s="1"/>
      <c r="AA670" s="1"/>
      <c r="AB670" s="2" t="str">
        <f t="shared" si="116"/>
        <v/>
      </c>
      <c r="AD670" s="121"/>
      <c r="AE670" s="121"/>
    </row>
    <row r="671" spans="1:31" x14ac:dyDescent="0.25">
      <c r="A671" s="2" t="s">
        <v>556</v>
      </c>
      <c r="B671" s="7">
        <v>0.98749999999999993</v>
      </c>
      <c r="C671" s="44">
        <v>12.2</v>
      </c>
      <c r="D671" s="10" t="s">
        <v>374</v>
      </c>
      <c r="E671" s="40">
        <v>20</v>
      </c>
      <c r="F671" s="40">
        <v>2</v>
      </c>
      <c r="G671" s="40">
        <v>1</v>
      </c>
      <c r="H671" s="45">
        <f t="shared" si="156"/>
        <v>10.166666666666666</v>
      </c>
      <c r="I671" s="45">
        <f t="shared" si="157"/>
        <v>1.0166666666666666</v>
      </c>
      <c r="J671" s="45">
        <f t="shared" si="158"/>
        <v>0.5083333333333333</v>
      </c>
      <c r="K671" s="3"/>
      <c r="L671" s="4">
        <f t="shared" si="159"/>
        <v>244.34333333333331</v>
      </c>
      <c r="M671" s="40">
        <v>0</v>
      </c>
      <c r="N671" s="40">
        <v>0</v>
      </c>
      <c r="O671" s="44">
        <v>0.1</v>
      </c>
      <c r="P671" s="40">
        <v>0</v>
      </c>
      <c r="Q671" s="40">
        <v>0</v>
      </c>
      <c r="R671" s="40">
        <v>0</v>
      </c>
      <c r="S671" s="2">
        <f t="shared" si="154"/>
        <v>58.800000000000395</v>
      </c>
      <c r="T671" s="2">
        <v>5</v>
      </c>
      <c r="U671" s="2">
        <v>0</v>
      </c>
      <c r="V671" s="2">
        <v>2</v>
      </c>
      <c r="W671" s="2">
        <v>0</v>
      </c>
      <c r="X671" s="2">
        <f t="shared" si="155"/>
        <v>159</v>
      </c>
      <c r="Z671" s="1"/>
      <c r="AA671" s="1"/>
      <c r="AB671" s="2" t="str">
        <f t="shared" si="116"/>
        <v/>
      </c>
      <c r="AD671" s="121">
        <v>12.1</v>
      </c>
      <c r="AE671" s="121" t="s">
        <v>1312</v>
      </c>
    </row>
    <row r="672" spans="1:31" x14ac:dyDescent="0.25">
      <c r="A672" s="2" t="s">
        <v>557</v>
      </c>
      <c r="B672" s="7">
        <v>9.5833333333333326E-2</v>
      </c>
      <c r="C672" s="2">
        <v>2.6</v>
      </c>
      <c r="D672" s="10" t="s">
        <v>487</v>
      </c>
      <c r="E672" s="40">
        <v>10</v>
      </c>
      <c r="F672" s="40">
        <v>2</v>
      </c>
      <c r="G672" s="40">
        <v>1</v>
      </c>
      <c r="H672" s="3">
        <f t="shared" si="156"/>
        <v>1.0833333333333335</v>
      </c>
      <c r="I672" s="3">
        <f t="shared" si="157"/>
        <v>0.21666666666666667</v>
      </c>
      <c r="J672" s="3">
        <f t="shared" si="158"/>
        <v>0.10833333333333334</v>
      </c>
      <c r="K672" s="3"/>
      <c r="L672" s="4">
        <f t="shared" si="159"/>
        <v>242.93499999999997</v>
      </c>
      <c r="M672" s="40">
        <v>0</v>
      </c>
      <c r="N672" s="40">
        <v>0</v>
      </c>
      <c r="O672" s="40">
        <v>0</v>
      </c>
      <c r="P672" s="40">
        <v>0</v>
      </c>
      <c r="Q672" s="40">
        <v>0</v>
      </c>
      <c r="R672" s="40">
        <v>0</v>
      </c>
      <c r="S672" s="2">
        <f t="shared" si="154"/>
        <v>58.800000000000395</v>
      </c>
      <c r="T672" s="2">
        <v>0</v>
      </c>
      <c r="U672" s="2">
        <v>0</v>
      </c>
      <c r="V672" s="2">
        <v>0</v>
      </c>
      <c r="W672" s="2">
        <v>0</v>
      </c>
      <c r="X672" s="2">
        <f t="shared" si="155"/>
        <v>159</v>
      </c>
      <c r="Z672" s="1"/>
      <c r="AA672" s="1"/>
      <c r="AB672" s="2" t="str">
        <f t="shared" si="116"/>
        <v/>
      </c>
      <c r="AD672" s="121"/>
      <c r="AE672" s="121"/>
    </row>
    <row r="673" spans="1:31" x14ac:dyDescent="0.25">
      <c r="A673" s="2" t="s">
        <v>557</v>
      </c>
      <c r="B673" s="7">
        <v>0.33333333333333331</v>
      </c>
      <c r="C673" s="2">
        <v>5.7</v>
      </c>
      <c r="D673" s="10" t="s">
        <v>487</v>
      </c>
      <c r="E673" s="40">
        <v>0</v>
      </c>
      <c r="F673" s="40">
        <v>2</v>
      </c>
      <c r="G673" s="40">
        <v>1</v>
      </c>
      <c r="H673" s="3">
        <f t="shared" si="156"/>
        <v>0</v>
      </c>
      <c r="I673" s="3">
        <f t="shared" si="157"/>
        <v>0.47499999999999998</v>
      </c>
      <c r="J673" s="3">
        <f t="shared" si="158"/>
        <v>0.23749999999999999</v>
      </c>
      <c r="K673" s="3"/>
      <c r="L673" s="4">
        <f t="shared" si="159"/>
        <v>242.22249999999997</v>
      </c>
      <c r="M673" s="40">
        <v>0</v>
      </c>
      <c r="N673" s="40">
        <v>0</v>
      </c>
      <c r="O673" s="40">
        <v>0</v>
      </c>
      <c r="P673" s="40">
        <v>0</v>
      </c>
      <c r="Q673" s="40">
        <v>1.3</v>
      </c>
      <c r="R673" s="40">
        <v>0</v>
      </c>
      <c r="S673" s="2">
        <f t="shared" si="154"/>
        <v>57.500000000000398</v>
      </c>
      <c r="T673" s="2">
        <v>0</v>
      </c>
      <c r="U673" s="2">
        <v>0</v>
      </c>
      <c r="V673" s="2">
        <v>2</v>
      </c>
      <c r="W673" s="2">
        <v>0</v>
      </c>
      <c r="X673" s="2">
        <f t="shared" si="155"/>
        <v>157</v>
      </c>
      <c r="Z673" s="1"/>
      <c r="AA673" s="1"/>
      <c r="AB673" s="2" t="str">
        <f t="shared" si="116"/>
        <v/>
      </c>
      <c r="AD673" s="121"/>
      <c r="AE673" s="121"/>
    </row>
    <row r="674" spans="1:31" x14ac:dyDescent="0.25">
      <c r="A674" s="2" t="s">
        <v>557</v>
      </c>
      <c r="B674" s="7">
        <v>0.5708333333333333</v>
      </c>
      <c r="C674" s="2">
        <v>5.7</v>
      </c>
      <c r="D674" s="10" t="s">
        <v>381</v>
      </c>
      <c r="E674" s="40">
        <v>0</v>
      </c>
      <c r="F674" s="40">
        <v>2</v>
      </c>
      <c r="G674" s="40">
        <v>1</v>
      </c>
      <c r="H674" s="3">
        <f t="shared" si="156"/>
        <v>0</v>
      </c>
      <c r="I674" s="3">
        <f t="shared" si="157"/>
        <v>0.47499999999999998</v>
      </c>
      <c r="J674" s="3">
        <f t="shared" si="158"/>
        <v>0.23749999999999999</v>
      </c>
      <c r="K674" s="3"/>
      <c r="L674" s="4">
        <f t="shared" si="159"/>
        <v>241.50999999999996</v>
      </c>
      <c r="M674" s="40">
        <v>0</v>
      </c>
      <c r="N674" s="40">
        <v>0</v>
      </c>
      <c r="O674" s="40">
        <v>0</v>
      </c>
      <c r="P674" s="40">
        <v>0</v>
      </c>
      <c r="Q674" s="40">
        <v>0.3</v>
      </c>
      <c r="R674" s="40">
        <v>0</v>
      </c>
      <c r="S674" s="2">
        <f t="shared" si="154"/>
        <v>57.200000000000401</v>
      </c>
      <c r="T674" s="2">
        <v>0</v>
      </c>
      <c r="U674" s="2">
        <v>0</v>
      </c>
      <c r="V674" s="2">
        <v>0</v>
      </c>
      <c r="W674" s="2">
        <v>0</v>
      </c>
      <c r="X674" s="2">
        <f t="shared" si="155"/>
        <v>157</v>
      </c>
      <c r="Z674" s="1"/>
      <c r="AA674" s="1"/>
      <c r="AB674" s="2" t="str">
        <f t="shared" si="116"/>
        <v/>
      </c>
      <c r="AD674" s="121"/>
      <c r="AE674" s="121"/>
    </row>
    <row r="675" spans="1:31" x14ac:dyDescent="0.25">
      <c r="A675" s="2" t="s">
        <v>557</v>
      </c>
      <c r="B675" s="7">
        <v>0.60416666666666663</v>
      </c>
      <c r="C675" s="2">
        <v>0.8</v>
      </c>
      <c r="D675" s="10" t="s">
        <v>355</v>
      </c>
      <c r="E675" s="40">
        <v>10</v>
      </c>
      <c r="F675" s="40">
        <v>2</v>
      </c>
      <c r="G675" s="40">
        <v>1</v>
      </c>
      <c r="H675" s="3">
        <f t="shared" si="156"/>
        <v>0.33333333333333337</v>
      </c>
      <c r="I675" s="3">
        <f t="shared" si="157"/>
        <v>6.6666666666666666E-2</v>
      </c>
      <c r="J675" s="3">
        <f t="shared" si="158"/>
        <v>3.3333333333333333E-2</v>
      </c>
      <c r="K675" s="3"/>
      <c r="L675" s="4">
        <f t="shared" si="159"/>
        <v>241.07666666666663</v>
      </c>
      <c r="M675" s="40">
        <v>0</v>
      </c>
      <c r="N675" s="40">
        <v>0</v>
      </c>
      <c r="O675" s="40">
        <v>0</v>
      </c>
      <c r="P675" s="40">
        <v>0</v>
      </c>
      <c r="Q675" s="40">
        <v>0</v>
      </c>
      <c r="R675" s="40">
        <v>0</v>
      </c>
      <c r="S675" s="2">
        <f t="shared" si="154"/>
        <v>57.200000000000401</v>
      </c>
      <c r="T675" s="2">
        <v>0</v>
      </c>
      <c r="U675" s="2">
        <v>0</v>
      </c>
      <c r="V675" s="2">
        <v>2</v>
      </c>
      <c r="W675" s="2">
        <v>0</v>
      </c>
      <c r="X675" s="2">
        <f t="shared" si="155"/>
        <v>155</v>
      </c>
      <c r="Z675" s="1"/>
      <c r="AA675" s="1"/>
      <c r="AB675" s="2" t="str">
        <f t="shared" si="116"/>
        <v/>
      </c>
      <c r="AD675" s="121"/>
      <c r="AE675" s="121"/>
    </row>
    <row r="676" spans="1:31" x14ac:dyDescent="0.25">
      <c r="A676" s="2" t="s">
        <v>557</v>
      </c>
      <c r="B676" s="7">
        <v>0.78333333333333333</v>
      </c>
      <c r="C676" s="44">
        <v>4.3</v>
      </c>
      <c r="D676" s="10" t="s">
        <v>374</v>
      </c>
      <c r="E676" s="40">
        <v>20</v>
      </c>
      <c r="F676" s="40">
        <v>2</v>
      </c>
      <c r="G676" s="40">
        <v>0</v>
      </c>
      <c r="H676" s="45">
        <f t="shared" si="156"/>
        <v>3.5833333333333335</v>
      </c>
      <c r="I676" s="45">
        <f t="shared" si="157"/>
        <v>0.35833333333333328</v>
      </c>
      <c r="J676" s="3">
        <f t="shared" si="158"/>
        <v>0</v>
      </c>
      <c r="K676" s="3"/>
      <c r="L676" s="4">
        <f t="shared" si="159"/>
        <v>237.13499999999996</v>
      </c>
      <c r="M676" s="40">
        <v>0</v>
      </c>
      <c r="N676" s="40">
        <v>0</v>
      </c>
      <c r="O676" s="40">
        <v>0</v>
      </c>
      <c r="P676" s="40">
        <v>0</v>
      </c>
      <c r="Q676" s="40">
        <v>0</v>
      </c>
      <c r="R676" s="40">
        <v>0</v>
      </c>
      <c r="S676" s="2">
        <f t="shared" si="154"/>
        <v>57.200000000000401</v>
      </c>
      <c r="T676" s="2">
        <v>2</v>
      </c>
      <c r="U676" s="2">
        <v>0</v>
      </c>
      <c r="V676" s="2">
        <v>1</v>
      </c>
      <c r="W676" s="2">
        <v>0</v>
      </c>
      <c r="X676" s="2">
        <f t="shared" si="155"/>
        <v>156</v>
      </c>
      <c r="Z676" s="1"/>
      <c r="AA676" s="1"/>
      <c r="AB676" s="2" t="str">
        <f t="shared" si="116"/>
        <v/>
      </c>
      <c r="AD676" s="121">
        <v>13.3</v>
      </c>
      <c r="AE676" s="121" t="s">
        <v>1295</v>
      </c>
    </row>
    <row r="677" spans="1:31" x14ac:dyDescent="0.25">
      <c r="A677" s="2" t="s">
        <v>557</v>
      </c>
      <c r="B677" s="7">
        <v>0.82500000000000007</v>
      </c>
      <c r="C677" s="2">
        <v>1</v>
      </c>
      <c r="D677" s="10" t="s">
        <v>558</v>
      </c>
      <c r="E677" s="40">
        <v>10</v>
      </c>
      <c r="F677" s="40">
        <v>2</v>
      </c>
      <c r="G677" s="40">
        <v>0</v>
      </c>
      <c r="H677" s="3">
        <f t="shared" si="156"/>
        <v>0.41666666666666669</v>
      </c>
      <c r="I677" s="3">
        <f t="shared" si="157"/>
        <v>8.3333333333333329E-2</v>
      </c>
      <c r="J677" s="3">
        <f t="shared" si="158"/>
        <v>0</v>
      </c>
      <c r="K677" s="3"/>
      <c r="L677" s="4">
        <f t="shared" si="159"/>
        <v>236.63499999999996</v>
      </c>
      <c r="M677" s="40">
        <v>0</v>
      </c>
      <c r="N677" s="40">
        <v>0</v>
      </c>
      <c r="O677" s="40">
        <v>0</v>
      </c>
      <c r="P677" s="40">
        <v>0</v>
      </c>
      <c r="Q677" s="40">
        <v>0</v>
      </c>
      <c r="R677" s="40">
        <v>0</v>
      </c>
      <c r="S677" s="2">
        <f t="shared" si="154"/>
        <v>57.200000000000401</v>
      </c>
      <c r="T677" s="2">
        <v>0</v>
      </c>
      <c r="U677" s="2">
        <v>0</v>
      </c>
      <c r="V677" s="2">
        <v>0</v>
      </c>
      <c r="W677" s="2">
        <v>0</v>
      </c>
      <c r="X677" s="2">
        <f t="shared" si="155"/>
        <v>156</v>
      </c>
      <c r="Z677" s="1"/>
      <c r="AA677" s="1"/>
      <c r="AB677" s="2" t="str">
        <f t="shared" si="116"/>
        <v/>
      </c>
      <c r="AD677" s="121"/>
      <c r="AE677" s="121"/>
    </row>
    <row r="678" spans="1:31" x14ac:dyDescent="0.25">
      <c r="A678" s="2" t="s">
        <v>559</v>
      </c>
      <c r="B678" s="7">
        <v>0.33333333333333331</v>
      </c>
      <c r="C678" s="2">
        <v>12.2</v>
      </c>
      <c r="D678" s="10" t="s">
        <v>558</v>
      </c>
      <c r="E678" s="40">
        <v>0</v>
      </c>
      <c r="F678" s="40">
        <v>2</v>
      </c>
      <c r="G678" s="40">
        <v>1</v>
      </c>
      <c r="H678" s="3">
        <f t="shared" si="156"/>
        <v>0</v>
      </c>
      <c r="I678" s="3">
        <f t="shared" si="157"/>
        <v>1.0166666666666666</v>
      </c>
      <c r="J678" s="3">
        <f t="shared" si="158"/>
        <v>0.5083333333333333</v>
      </c>
      <c r="K678" s="3"/>
      <c r="L678" s="4">
        <f t="shared" si="159"/>
        <v>235.10999999999996</v>
      </c>
      <c r="M678" s="40">
        <v>0</v>
      </c>
      <c r="N678" s="40">
        <v>0</v>
      </c>
      <c r="O678" s="40">
        <v>0.1</v>
      </c>
      <c r="P678" s="40">
        <v>0</v>
      </c>
      <c r="Q678" s="40">
        <v>0</v>
      </c>
      <c r="R678" s="40">
        <v>0</v>
      </c>
      <c r="S678" s="2">
        <f t="shared" si="154"/>
        <v>57.100000000000399</v>
      </c>
      <c r="T678" s="2">
        <v>0</v>
      </c>
      <c r="U678" s="2">
        <v>0</v>
      </c>
      <c r="V678" s="2">
        <v>2</v>
      </c>
      <c r="W678" s="2">
        <v>0</v>
      </c>
      <c r="X678" s="2">
        <f t="shared" si="155"/>
        <v>154</v>
      </c>
      <c r="Z678" s="1">
        <v>85</v>
      </c>
      <c r="AA678" s="1">
        <v>86</v>
      </c>
      <c r="AB678" s="2">
        <f t="shared" si="116"/>
        <v>171</v>
      </c>
      <c r="AD678" s="121"/>
      <c r="AE678" s="121"/>
    </row>
    <row r="679" spans="1:31" x14ac:dyDescent="0.25">
      <c r="A679" s="2" t="s">
        <v>560</v>
      </c>
      <c r="B679" s="7">
        <v>0.33333333333333331</v>
      </c>
      <c r="C679" s="2">
        <v>24</v>
      </c>
      <c r="D679" s="10" t="s">
        <v>558</v>
      </c>
      <c r="E679" s="40">
        <v>0</v>
      </c>
      <c r="F679" s="40">
        <v>2</v>
      </c>
      <c r="G679" s="40">
        <v>1</v>
      </c>
      <c r="H679" s="3">
        <f t="shared" si="156"/>
        <v>0</v>
      </c>
      <c r="I679" s="3">
        <f t="shared" si="157"/>
        <v>2</v>
      </c>
      <c r="J679" s="3">
        <f t="shared" si="158"/>
        <v>1</v>
      </c>
      <c r="K679" s="3"/>
      <c r="L679" s="4">
        <f t="shared" si="159"/>
        <v>232.10999999999996</v>
      </c>
      <c r="M679" s="40">
        <v>0</v>
      </c>
      <c r="N679" s="40">
        <v>0</v>
      </c>
      <c r="O679" s="40">
        <v>1</v>
      </c>
      <c r="P679" s="40">
        <v>0</v>
      </c>
      <c r="Q679" s="40">
        <v>0</v>
      </c>
      <c r="R679" s="40">
        <v>0</v>
      </c>
      <c r="S679" s="2">
        <f t="shared" si="154"/>
        <v>56.100000000000399</v>
      </c>
      <c r="T679" s="2">
        <v>0</v>
      </c>
      <c r="U679" s="2">
        <v>0</v>
      </c>
      <c r="V679" s="2">
        <v>4</v>
      </c>
      <c r="W679" s="2">
        <v>0</v>
      </c>
      <c r="X679" s="2">
        <f t="shared" si="155"/>
        <v>150</v>
      </c>
      <c r="Z679" s="1">
        <v>83</v>
      </c>
      <c r="AA679" s="1">
        <v>87</v>
      </c>
      <c r="AB679" s="2">
        <f t="shared" si="116"/>
        <v>170</v>
      </c>
      <c r="AD679" s="121"/>
      <c r="AE679" s="121"/>
    </row>
    <row r="680" spans="1:31" x14ac:dyDescent="0.25">
      <c r="A680" s="2" t="s">
        <v>560</v>
      </c>
      <c r="B680" s="7">
        <v>0.47916666666666669</v>
      </c>
      <c r="C680" s="2">
        <v>3.5</v>
      </c>
      <c r="D680" s="10" t="s">
        <v>381</v>
      </c>
      <c r="E680" s="40">
        <v>0</v>
      </c>
      <c r="F680" s="40">
        <v>2</v>
      </c>
      <c r="G680" s="40">
        <v>1</v>
      </c>
      <c r="H680" s="3">
        <f t="shared" si="156"/>
        <v>0</v>
      </c>
      <c r="I680" s="3">
        <f t="shared" si="157"/>
        <v>0.29166666666666663</v>
      </c>
      <c r="J680" s="3">
        <f t="shared" si="158"/>
        <v>0.14583333333333331</v>
      </c>
      <c r="K680" s="3"/>
      <c r="L680" s="4">
        <f t="shared" si="159"/>
        <v>231.67249999999996</v>
      </c>
      <c r="M680" s="40">
        <v>0</v>
      </c>
      <c r="N680" s="40">
        <v>0</v>
      </c>
      <c r="O680" s="40">
        <v>0</v>
      </c>
      <c r="P680" s="40">
        <v>0</v>
      </c>
      <c r="Q680" s="40">
        <v>0</v>
      </c>
      <c r="R680" s="40">
        <v>0</v>
      </c>
      <c r="S680" s="2">
        <f t="shared" si="154"/>
        <v>56.100000000000399</v>
      </c>
      <c r="T680" s="2">
        <v>0</v>
      </c>
      <c r="U680" s="2">
        <v>0</v>
      </c>
      <c r="V680" s="2">
        <v>1</v>
      </c>
      <c r="W680" s="2">
        <v>0</v>
      </c>
      <c r="X680" s="2">
        <f t="shared" si="155"/>
        <v>149</v>
      </c>
      <c r="Z680" s="1"/>
      <c r="AA680" s="1"/>
      <c r="AB680" s="2" t="str">
        <f t="shared" si="116"/>
        <v/>
      </c>
      <c r="AD680" s="121"/>
      <c r="AE680" s="121"/>
    </row>
    <row r="681" spans="1:31" x14ac:dyDescent="0.25">
      <c r="A681" s="2" t="s">
        <v>560</v>
      </c>
      <c r="B681" s="7">
        <v>0.54166666666666663</v>
      </c>
      <c r="C681" s="2">
        <v>1.5</v>
      </c>
      <c r="D681" s="10" t="s">
        <v>533</v>
      </c>
      <c r="E681" s="40">
        <v>10</v>
      </c>
      <c r="F681" s="40">
        <v>2</v>
      </c>
      <c r="G681" s="40">
        <v>1</v>
      </c>
      <c r="H681" s="3">
        <f t="shared" si="156"/>
        <v>0.625</v>
      </c>
      <c r="I681" s="3">
        <f t="shared" si="157"/>
        <v>0.125</v>
      </c>
      <c r="J681" s="3">
        <f t="shared" si="158"/>
        <v>6.25E-2</v>
      </c>
      <c r="K681" s="3"/>
      <c r="L681" s="4">
        <f t="shared" si="159"/>
        <v>230.85999999999996</v>
      </c>
      <c r="M681" s="40">
        <v>0</v>
      </c>
      <c r="N681" s="40">
        <v>0</v>
      </c>
      <c r="O681" s="40">
        <v>0</v>
      </c>
      <c r="P681" s="40">
        <v>0</v>
      </c>
      <c r="Q681" s="40">
        <v>0</v>
      </c>
      <c r="R681" s="40">
        <v>0</v>
      </c>
      <c r="S681" s="2">
        <f t="shared" si="154"/>
        <v>56.100000000000399</v>
      </c>
      <c r="T681" s="2">
        <v>0</v>
      </c>
      <c r="U681" s="2">
        <v>0</v>
      </c>
      <c r="V681" s="2">
        <v>0</v>
      </c>
      <c r="W681" s="2">
        <v>0</v>
      </c>
      <c r="X681" s="2">
        <f t="shared" si="155"/>
        <v>149</v>
      </c>
      <c r="Z681" s="1"/>
      <c r="AA681" s="1"/>
      <c r="AB681" s="2" t="str">
        <f t="shared" si="116"/>
        <v/>
      </c>
      <c r="AD681" s="121"/>
      <c r="AE681" s="121"/>
    </row>
    <row r="682" spans="1:31" x14ac:dyDescent="0.25">
      <c r="A682" s="2">
        <v>2011.18</v>
      </c>
      <c r="B682" s="7">
        <v>0.33333333333333331</v>
      </c>
      <c r="C682" s="2">
        <v>19</v>
      </c>
      <c r="D682" s="10" t="s">
        <v>533</v>
      </c>
      <c r="E682" s="40">
        <v>0</v>
      </c>
      <c r="F682" s="40">
        <v>2</v>
      </c>
      <c r="G682" s="40">
        <v>1</v>
      </c>
      <c r="H682" s="3">
        <f t="shared" si="156"/>
        <v>0</v>
      </c>
      <c r="I682" s="3">
        <f t="shared" si="157"/>
        <v>1.5833333333333333</v>
      </c>
      <c r="J682" s="3">
        <f t="shared" si="158"/>
        <v>0.79166666666666663</v>
      </c>
      <c r="K682" s="3"/>
      <c r="L682" s="4">
        <f t="shared" si="159"/>
        <v>228.48499999999996</v>
      </c>
      <c r="M682" s="40">
        <v>0</v>
      </c>
      <c r="N682" s="40">
        <v>0</v>
      </c>
      <c r="O682" s="40">
        <v>0.1</v>
      </c>
      <c r="P682" s="40">
        <v>0</v>
      </c>
      <c r="Q682" s="40">
        <v>5</v>
      </c>
      <c r="R682" s="40">
        <v>0</v>
      </c>
      <c r="S682" s="2">
        <f t="shared" si="154"/>
        <v>51.000000000000398</v>
      </c>
      <c r="T682" s="2">
        <v>0</v>
      </c>
      <c r="U682" s="2">
        <v>0</v>
      </c>
      <c r="V682" s="2">
        <v>2</v>
      </c>
      <c r="W682" s="2">
        <v>0</v>
      </c>
      <c r="X682" s="2">
        <f t="shared" si="155"/>
        <v>147</v>
      </c>
      <c r="Z682" s="1">
        <v>79</v>
      </c>
      <c r="AA682" s="1">
        <v>87</v>
      </c>
      <c r="AB682" s="2">
        <f t="shared" si="116"/>
        <v>166</v>
      </c>
      <c r="AD682" s="121"/>
      <c r="AE682" s="121"/>
    </row>
    <row r="683" spans="1:31" x14ac:dyDescent="0.25">
      <c r="A683" s="2" t="s">
        <v>561</v>
      </c>
      <c r="B683" s="7">
        <v>0.87916666666666676</v>
      </c>
      <c r="C683" s="2">
        <v>13.1</v>
      </c>
      <c r="D683" s="10" t="s">
        <v>381</v>
      </c>
      <c r="E683" s="40">
        <v>0</v>
      </c>
      <c r="F683" s="40">
        <v>2</v>
      </c>
      <c r="G683" s="40">
        <v>1</v>
      </c>
      <c r="H683" s="3">
        <f t="shared" si="156"/>
        <v>0</v>
      </c>
      <c r="I683" s="3">
        <f t="shared" si="157"/>
        <v>1.0916666666666666</v>
      </c>
      <c r="J683" s="3">
        <f t="shared" si="158"/>
        <v>0.54583333333333328</v>
      </c>
      <c r="K683" s="3"/>
      <c r="L683" s="4">
        <f t="shared" si="159"/>
        <v>226.84749999999997</v>
      </c>
      <c r="M683" s="40">
        <v>0</v>
      </c>
      <c r="N683" s="40">
        <v>0</v>
      </c>
      <c r="O683" s="40">
        <v>0</v>
      </c>
      <c r="P683" s="40">
        <v>0</v>
      </c>
      <c r="Q683" s="40">
        <v>2.4</v>
      </c>
      <c r="R683" s="40">
        <v>0</v>
      </c>
      <c r="S683" s="2">
        <f t="shared" si="154"/>
        <v>48.600000000000399</v>
      </c>
      <c r="T683" s="2">
        <v>0</v>
      </c>
      <c r="U683" s="2">
        <v>0</v>
      </c>
      <c r="V683" s="2">
        <v>1</v>
      </c>
      <c r="W683" s="2">
        <v>0</v>
      </c>
      <c r="X683" s="2">
        <f t="shared" si="155"/>
        <v>146</v>
      </c>
      <c r="Z683" s="1"/>
      <c r="AA683" s="1"/>
      <c r="AB683" s="2" t="str">
        <f t="shared" si="116"/>
        <v/>
      </c>
      <c r="AD683" s="121"/>
      <c r="AE683" s="121"/>
    </row>
    <row r="684" spans="1:31" x14ac:dyDescent="0.25">
      <c r="A684" s="2" t="s">
        <v>561</v>
      </c>
      <c r="B684" s="7">
        <v>0.91666666666666663</v>
      </c>
      <c r="C684" s="2">
        <v>0.9</v>
      </c>
      <c r="D684" s="10" t="s">
        <v>355</v>
      </c>
      <c r="E684" s="40">
        <v>10</v>
      </c>
      <c r="F684" s="40">
        <v>2</v>
      </c>
      <c r="G684" s="40">
        <v>1</v>
      </c>
      <c r="H684" s="3">
        <f t="shared" si="156"/>
        <v>0.375</v>
      </c>
      <c r="I684" s="3">
        <f t="shared" si="157"/>
        <v>7.4999999999999997E-2</v>
      </c>
      <c r="J684" s="3">
        <f t="shared" si="158"/>
        <v>3.7499999999999999E-2</v>
      </c>
      <c r="K684" s="3"/>
      <c r="L684" s="4">
        <f t="shared" si="159"/>
        <v>226.35999999999996</v>
      </c>
      <c r="M684" s="40">
        <v>0</v>
      </c>
      <c r="N684" s="40">
        <v>0</v>
      </c>
      <c r="O684" s="40">
        <v>0</v>
      </c>
      <c r="P684" s="40">
        <v>0</v>
      </c>
      <c r="Q684" s="40">
        <v>0</v>
      </c>
      <c r="R684" s="40">
        <v>0</v>
      </c>
      <c r="S684" s="2">
        <f t="shared" si="154"/>
        <v>48.600000000000399</v>
      </c>
      <c r="T684" s="2">
        <v>0</v>
      </c>
      <c r="U684" s="2">
        <v>0</v>
      </c>
      <c r="V684" s="2">
        <v>1</v>
      </c>
      <c r="W684" s="2">
        <v>0</v>
      </c>
      <c r="X684" s="2">
        <f t="shared" si="155"/>
        <v>145</v>
      </c>
      <c r="Z684" s="1"/>
      <c r="AA684" s="1"/>
      <c r="AB684" s="2" t="str">
        <f t="shared" si="116"/>
        <v/>
      </c>
      <c r="AD684" s="121"/>
      <c r="AE684" s="121"/>
    </row>
    <row r="685" spans="1:31" x14ac:dyDescent="0.25">
      <c r="A685" s="2" t="s">
        <v>562</v>
      </c>
      <c r="B685" s="7">
        <v>0.33333333333333331</v>
      </c>
      <c r="C685" s="44">
        <v>10</v>
      </c>
      <c r="D685" s="10" t="s">
        <v>355</v>
      </c>
      <c r="E685" s="40">
        <v>20</v>
      </c>
      <c r="F685" s="40">
        <v>2</v>
      </c>
      <c r="G685" s="40">
        <v>0</v>
      </c>
      <c r="H685" s="45">
        <f t="shared" si="156"/>
        <v>8.3333333333333339</v>
      </c>
      <c r="I685" s="45">
        <f t="shared" si="157"/>
        <v>0.83333333333333326</v>
      </c>
      <c r="J685" s="3">
        <f t="shared" si="158"/>
        <v>0</v>
      </c>
      <c r="K685" s="3"/>
      <c r="L685" s="4">
        <f t="shared" si="159"/>
        <v>217.1933333333333</v>
      </c>
      <c r="M685" s="40">
        <v>0</v>
      </c>
      <c r="N685" s="40">
        <v>0</v>
      </c>
      <c r="O685" s="44">
        <v>0.1</v>
      </c>
      <c r="P685" s="40">
        <v>0</v>
      </c>
      <c r="Q685" s="40">
        <v>0</v>
      </c>
      <c r="R685" s="40">
        <v>0</v>
      </c>
      <c r="S685" s="2">
        <f t="shared" si="154"/>
        <v>48.500000000000398</v>
      </c>
      <c r="T685" s="2">
        <v>5</v>
      </c>
      <c r="U685" s="2">
        <v>0</v>
      </c>
      <c r="V685" s="2">
        <v>2</v>
      </c>
      <c r="W685" s="2">
        <v>0</v>
      </c>
      <c r="X685" s="2">
        <f t="shared" si="155"/>
        <v>148</v>
      </c>
      <c r="Z685" s="1">
        <v>76</v>
      </c>
      <c r="AA685" s="1">
        <v>87</v>
      </c>
      <c r="AB685" s="2">
        <f t="shared" si="116"/>
        <v>163</v>
      </c>
      <c r="AD685" s="121"/>
      <c r="AE685" s="121"/>
    </row>
    <row r="686" spans="1:31" x14ac:dyDescent="0.25">
      <c r="A686" s="2" t="s">
        <v>563</v>
      </c>
      <c r="B686" s="7">
        <v>0.14583333333333334</v>
      </c>
      <c r="C686" s="44">
        <v>19.5</v>
      </c>
      <c r="D686" s="10" t="s">
        <v>374</v>
      </c>
      <c r="E686" s="40">
        <v>20</v>
      </c>
      <c r="F686" s="40">
        <v>2</v>
      </c>
      <c r="G686" s="40">
        <v>0</v>
      </c>
      <c r="H686" s="45">
        <f t="shared" si="156"/>
        <v>16.25</v>
      </c>
      <c r="I686" s="45">
        <f t="shared" si="157"/>
        <v>1.625</v>
      </c>
      <c r="J686" s="3">
        <f t="shared" si="158"/>
        <v>0</v>
      </c>
      <c r="K686" s="3"/>
      <c r="L686" s="4">
        <f t="shared" si="159"/>
        <v>199.3183333333333</v>
      </c>
      <c r="M686" s="40">
        <v>0</v>
      </c>
      <c r="N686" s="40">
        <v>0</v>
      </c>
      <c r="O686" s="40">
        <v>0</v>
      </c>
      <c r="P686" s="40">
        <v>0</v>
      </c>
      <c r="Q686" s="40">
        <v>0</v>
      </c>
      <c r="R686" s="40">
        <v>0</v>
      </c>
      <c r="S686" s="2">
        <f t="shared" si="154"/>
        <v>48.500000000000398</v>
      </c>
      <c r="T686" s="2">
        <v>5</v>
      </c>
      <c r="U686" s="2">
        <v>0</v>
      </c>
      <c r="V686" s="2">
        <v>3</v>
      </c>
      <c r="W686" s="2">
        <v>5</v>
      </c>
      <c r="X686" s="2">
        <f t="shared" si="155"/>
        <v>145</v>
      </c>
      <c r="Z686" s="1">
        <v>67</v>
      </c>
      <c r="AA686" s="1">
        <v>85</v>
      </c>
      <c r="AB686" s="2">
        <f t="shared" si="116"/>
        <v>152</v>
      </c>
      <c r="AD686" s="121">
        <v>12.9</v>
      </c>
      <c r="AE686" s="121" t="s">
        <v>1309</v>
      </c>
    </row>
    <row r="687" spans="1:31" x14ac:dyDescent="0.25">
      <c r="A687" s="2" t="s">
        <v>563</v>
      </c>
      <c r="B687" s="7">
        <v>0.24166666666666667</v>
      </c>
      <c r="C687" s="2">
        <v>2.2999999999999998</v>
      </c>
      <c r="D687" s="10" t="s">
        <v>378</v>
      </c>
      <c r="E687" s="40">
        <v>10</v>
      </c>
      <c r="F687" s="40">
        <v>2</v>
      </c>
      <c r="G687" s="40">
        <v>1</v>
      </c>
      <c r="H687" s="3">
        <f t="shared" si="156"/>
        <v>0.95833333333333326</v>
      </c>
      <c r="I687" s="3">
        <f t="shared" si="157"/>
        <v>0.19166666666666665</v>
      </c>
      <c r="J687" s="3">
        <f t="shared" si="158"/>
        <v>9.5833333333333326E-2</v>
      </c>
      <c r="K687" s="3"/>
      <c r="L687" s="4">
        <f t="shared" si="159"/>
        <v>198.07249999999996</v>
      </c>
      <c r="M687" s="40">
        <v>0</v>
      </c>
      <c r="N687" s="40">
        <v>0</v>
      </c>
      <c r="O687" s="40">
        <v>0.1</v>
      </c>
      <c r="P687" s="40">
        <v>0</v>
      </c>
      <c r="Q687" s="40">
        <v>0</v>
      </c>
      <c r="R687" s="40">
        <v>0</v>
      </c>
      <c r="S687" s="2">
        <f t="shared" si="154"/>
        <v>48.400000000000396</v>
      </c>
      <c r="T687" s="2">
        <v>0</v>
      </c>
      <c r="U687" s="2">
        <v>0</v>
      </c>
      <c r="V687" s="2">
        <v>0</v>
      </c>
      <c r="W687" s="2">
        <v>0</v>
      </c>
      <c r="X687" s="2">
        <f t="shared" si="155"/>
        <v>145</v>
      </c>
      <c r="Z687" s="1"/>
      <c r="AA687" s="1"/>
      <c r="AB687" s="2" t="str">
        <f t="shared" si="116"/>
        <v/>
      </c>
      <c r="AD687" s="121"/>
      <c r="AE687" s="121"/>
    </row>
    <row r="688" spans="1:31" x14ac:dyDescent="0.25">
      <c r="A688" s="2" t="s">
        <v>563</v>
      </c>
      <c r="B688" s="7">
        <v>0.33333333333333331</v>
      </c>
      <c r="C688" s="2">
        <v>2.2000000000000002</v>
      </c>
      <c r="D688" s="10" t="s">
        <v>378</v>
      </c>
      <c r="E688" s="40">
        <v>0</v>
      </c>
      <c r="F688" s="40">
        <v>2</v>
      </c>
      <c r="G688" s="40">
        <v>1</v>
      </c>
      <c r="H688" s="3">
        <f t="shared" si="156"/>
        <v>0</v>
      </c>
      <c r="I688" s="3">
        <f t="shared" si="157"/>
        <v>0.18333333333333335</v>
      </c>
      <c r="J688" s="3">
        <f t="shared" si="158"/>
        <v>9.1666666666666674E-2</v>
      </c>
      <c r="K688" s="3"/>
      <c r="L688" s="4">
        <f t="shared" si="159"/>
        <v>197.79749999999996</v>
      </c>
      <c r="M688" s="40">
        <v>0</v>
      </c>
      <c r="N688" s="40">
        <v>0</v>
      </c>
      <c r="O688" s="40">
        <v>0</v>
      </c>
      <c r="P688" s="40">
        <v>0</v>
      </c>
      <c r="Q688" s="40">
        <v>0</v>
      </c>
      <c r="R688" s="40">
        <v>0</v>
      </c>
      <c r="S688" s="2">
        <f t="shared" si="154"/>
        <v>48.400000000000396</v>
      </c>
      <c r="T688" s="2">
        <v>0</v>
      </c>
      <c r="U688" s="2">
        <v>0</v>
      </c>
      <c r="V688" s="2">
        <v>1</v>
      </c>
      <c r="W688" s="2">
        <v>0</v>
      </c>
      <c r="X688" s="2">
        <f t="shared" si="155"/>
        <v>144</v>
      </c>
      <c r="Z688" s="1"/>
      <c r="AA688" s="1"/>
      <c r="AB688" s="2" t="str">
        <f t="shared" si="116"/>
        <v/>
      </c>
      <c r="AD688" s="121"/>
      <c r="AE688" s="121"/>
    </row>
    <row r="689" spans="1:31" x14ac:dyDescent="0.25">
      <c r="A689" s="2" t="s">
        <v>563</v>
      </c>
      <c r="B689" s="7">
        <v>0.53333333333333333</v>
      </c>
      <c r="C689" s="2">
        <v>4.8</v>
      </c>
      <c r="D689" s="10" t="s">
        <v>378</v>
      </c>
      <c r="E689" s="40">
        <v>0</v>
      </c>
      <c r="F689" s="40">
        <v>2</v>
      </c>
      <c r="G689" s="40">
        <v>1</v>
      </c>
      <c r="H689" s="3">
        <f t="shared" si="156"/>
        <v>0</v>
      </c>
      <c r="I689" s="3">
        <f t="shared" si="157"/>
        <v>0.39999999999999997</v>
      </c>
      <c r="J689" s="3">
        <f t="shared" si="158"/>
        <v>0.19999999999999998</v>
      </c>
      <c r="K689" s="3"/>
      <c r="L689" s="4">
        <f t="shared" si="159"/>
        <v>197.19749999999996</v>
      </c>
      <c r="M689" s="40">
        <v>0</v>
      </c>
      <c r="N689" s="40">
        <v>0</v>
      </c>
      <c r="O689" s="40">
        <v>0</v>
      </c>
      <c r="P689" s="40">
        <v>0</v>
      </c>
      <c r="Q689" s="40">
        <v>0.5</v>
      </c>
      <c r="R689" s="40">
        <v>0</v>
      </c>
      <c r="S689" s="2">
        <f t="shared" si="154"/>
        <v>47.900000000000396</v>
      </c>
      <c r="T689" s="2">
        <v>0</v>
      </c>
      <c r="U689" s="2">
        <v>0</v>
      </c>
      <c r="V689" s="2">
        <v>1</v>
      </c>
      <c r="W689" s="2">
        <v>0</v>
      </c>
      <c r="X689" s="2">
        <f t="shared" si="155"/>
        <v>143</v>
      </c>
      <c r="Z689" s="1"/>
      <c r="AA689" s="1"/>
      <c r="AB689" s="2" t="str">
        <f t="shared" si="116"/>
        <v/>
      </c>
      <c r="AD689" s="121"/>
      <c r="AE689" s="121"/>
    </row>
    <row r="690" spans="1:31" x14ac:dyDescent="0.25">
      <c r="A690" s="2" t="s">
        <v>563</v>
      </c>
      <c r="B690" s="7">
        <v>0.625</v>
      </c>
      <c r="C690" s="2">
        <v>2.2000000000000002</v>
      </c>
      <c r="D690" s="10" t="s">
        <v>381</v>
      </c>
      <c r="E690" s="40">
        <v>0</v>
      </c>
      <c r="F690" s="40">
        <v>2</v>
      </c>
      <c r="G690" s="40">
        <v>1</v>
      </c>
      <c r="H690" s="3">
        <f t="shared" si="156"/>
        <v>0</v>
      </c>
      <c r="I690" s="3">
        <f t="shared" si="157"/>
        <v>0.18333333333333335</v>
      </c>
      <c r="J690" s="3">
        <f t="shared" si="158"/>
        <v>9.1666666666666674E-2</v>
      </c>
      <c r="K690" s="3"/>
      <c r="L690" s="4">
        <f t="shared" si="159"/>
        <v>196.92249999999996</v>
      </c>
      <c r="M690" s="40">
        <v>0</v>
      </c>
      <c r="N690" s="40">
        <v>0</v>
      </c>
      <c r="O690" s="40">
        <v>0</v>
      </c>
      <c r="P690" s="40">
        <v>0</v>
      </c>
      <c r="Q690" s="40">
        <v>0</v>
      </c>
      <c r="R690" s="40">
        <v>0</v>
      </c>
      <c r="S690" s="2">
        <f t="shared" si="154"/>
        <v>47.900000000000396</v>
      </c>
      <c r="T690" s="2">
        <v>0</v>
      </c>
      <c r="U690" s="2">
        <v>0</v>
      </c>
      <c r="V690" s="2">
        <v>1</v>
      </c>
      <c r="W690" s="2">
        <v>0</v>
      </c>
      <c r="X690" s="2">
        <f t="shared" si="155"/>
        <v>142</v>
      </c>
      <c r="Z690" s="1"/>
      <c r="AA690" s="1"/>
      <c r="AB690" s="2" t="str">
        <f t="shared" si="116"/>
        <v/>
      </c>
      <c r="AD690" s="121"/>
      <c r="AE690" s="121"/>
    </row>
    <row r="691" spans="1:31" x14ac:dyDescent="0.25">
      <c r="A691" s="2" t="s">
        <v>563</v>
      </c>
      <c r="B691" s="7">
        <v>0.66666666666666663</v>
      </c>
      <c r="C691" s="2">
        <v>1</v>
      </c>
      <c r="D691" s="10" t="s">
        <v>355</v>
      </c>
      <c r="E691" s="40">
        <v>10</v>
      </c>
      <c r="F691" s="40">
        <v>2</v>
      </c>
      <c r="G691" s="40">
        <v>1</v>
      </c>
      <c r="H691" s="3">
        <f t="shared" si="156"/>
        <v>0.41666666666666669</v>
      </c>
      <c r="I691" s="3">
        <f t="shared" si="157"/>
        <v>8.3333333333333329E-2</v>
      </c>
      <c r="J691" s="3">
        <f t="shared" si="158"/>
        <v>4.1666666666666664E-2</v>
      </c>
      <c r="K691" s="3"/>
      <c r="L691" s="4">
        <f t="shared" si="159"/>
        <v>196.3808333333333</v>
      </c>
      <c r="M691" s="40">
        <v>0</v>
      </c>
      <c r="N691" s="40">
        <v>0</v>
      </c>
      <c r="O691" s="40">
        <v>0</v>
      </c>
      <c r="P691" s="40">
        <v>0</v>
      </c>
      <c r="Q691" s="40">
        <v>0</v>
      </c>
      <c r="R691" s="40">
        <v>0</v>
      </c>
      <c r="S691" s="2">
        <f t="shared" si="154"/>
        <v>47.900000000000396</v>
      </c>
      <c r="T691" s="2">
        <v>0</v>
      </c>
      <c r="U691" s="2">
        <v>0</v>
      </c>
      <c r="V691" s="2">
        <v>0</v>
      </c>
      <c r="W691" s="2">
        <v>0</v>
      </c>
      <c r="X691" s="2">
        <f t="shared" si="155"/>
        <v>142</v>
      </c>
      <c r="Z691" s="1"/>
      <c r="AA691" s="1"/>
      <c r="AB691" s="2" t="str">
        <f t="shared" si="116"/>
        <v/>
      </c>
      <c r="AD691" s="121"/>
      <c r="AE691" s="121"/>
    </row>
    <row r="692" spans="1:31" x14ac:dyDescent="0.25">
      <c r="A692" s="2" t="s">
        <v>564</v>
      </c>
      <c r="B692" s="7">
        <v>2.0833333333333332E-2</v>
      </c>
      <c r="C692" s="44">
        <v>8.5</v>
      </c>
      <c r="D692" s="10" t="s">
        <v>374</v>
      </c>
      <c r="E692" s="40">
        <v>20</v>
      </c>
      <c r="F692" s="40">
        <v>2</v>
      </c>
      <c r="G692" s="40">
        <v>0</v>
      </c>
      <c r="H692" s="45">
        <f t="shared" si="156"/>
        <v>7.0833333333333339</v>
      </c>
      <c r="I692" s="45">
        <f t="shared" si="157"/>
        <v>0.70833333333333326</v>
      </c>
      <c r="J692" s="3">
        <f t="shared" si="158"/>
        <v>0</v>
      </c>
      <c r="K692" s="3"/>
      <c r="L692" s="4">
        <f t="shared" si="159"/>
        <v>188.58916666666664</v>
      </c>
      <c r="M692" s="40">
        <v>0</v>
      </c>
      <c r="N692" s="40">
        <v>0</v>
      </c>
      <c r="O692" s="40">
        <v>0</v>
      </c>
      <c r="P692" s="40">
        <v>0</v>
      </c>
      <c r="Q692" s="40">
        <v>0</v>
      </c>
      <c r="R692" s="40">
        <v>0</v>
      </c>
      <c r="S692" s="2">
        <f t="shared" si="154"/>
        <v>47.900000000000396</v>
      </c>
      <c r="T692" s="2">
        <v>0</v>
      </c>
      <c r="U692" s="2">
        <v>0</v>
      </c>
      <c r="V692" s="2">
        <v>2</v>
      </c>
      <c r="W692" s="2">
        <v>0</v>
      </c>
      <c r="X692" s="2">
        <f t="shared" si="155"/>
        <v>140</v>
      </c>
      <c r="Z692" s="1"/>
      <c r="AA692" s="1"/>
      <c r="AB692" s="2" t="str">
        <f t="shared" si="116"/>
        <v/>
      </c>
      <c r="AD692" s="121">
        <v>13</v>
      </c>
      <c r="AE692" s="121" t="s">
        <v>1309</v>
      </c>
    </row>
    <row r="693" spans="1:31" x14ac:dyDescent="0.25">
      <c r="A693" s="2" t="s">
        <v>564</v>
      </c>
      <c r="B693" s="7">
        <v>7.4999999999999997E-2</v>
      </c>
      <c r="C693" s="2">
        <v>1.3</v>
      </c>
      <c r="D693" s="10" t="s">
        <v>511</v>
      </c>
      <c r="E693" s="40">
        <v>10</v>
      </c>
      <c r="F693" s="40">
        <v>2</v>
      </c>
      <c r="G693" s="40">
        <v>1</v>
      </c>
      <c r="H693" s="3">
        <f t="shared" si="156"/>
        <v>0.54166666666666674</v>
      </c>
      <c r="I693" s="3">
        <f t="shared" si="157"/>
        <v>0.10833333333333334</v>
      </c>
      <c r="J693" s="3">
        <f t="shared" si="158"/>
        <v>5.4166666666666669E-2</v>
      </c>
      <c r="K693" s="3"/>
      <c r="L693" s="4">
        <f t="shared" si="159"/>
        <v>187.88499999999996</v>
      </c>
      <c r="M693" s="40">
        <v>0</v>
      </c>
      <c r="N693" s="40">
        <v>0</v>
      </c>
      <c r="O693" s="40">
        <v>0</v>
      </c>
      <c r="P693" s="40">
        <v>0</v>
      </c>
      <c r="Q693" s="40">
        <v>0</v>
      </c>
      <c r="R693" s="40">
        <v>0</v>
      </c>
      <c r="S693" s="2">
        <f t="shared" si="154"/>
        <v>47.900000000000396</v>
      </c>
      <c r="T693" s="2">
        <v>0</v>
      </c>
      <c r="U693" s="2">
        <v>0</v>
      </c>
      <c r="V693" s="2">
        <v>0</v>
      </c>
      <c r="W693" s="2">
        <v>0</v>
      </c>
      <c r="X693" s="2">
        <f t="shared" si="155"/>
        <v>140</v>
      </c>
      <c r="Z693" s="1"/>
      <c r="AA693" s="1"/>
      <c r="AB693" s="2" t="str">
        <f t="shared" si="116"/>
        <v/>
      </c>
      <c r="AD693" s="121"/>
      <c r="AE693" s="121"/>
    </row>
    <row r="694" spans="1:31" x14ac:dyDescent="0.25">
      <c r="A694" s="2" t="s">
        <v>564</v>
      </c>
      <c r="B694" s="7">
        <v>0.16666666666666666</v>
      </c>
      <c r="C694" s="2">
        <v>2.2000000000000002</v>
      </c>
      <c r="D694" s="10" t="s">
        <v>381</v>
      </c>
      <c r="E694" s="40">
        <v>0</v>
      </c>
      <c r="F694" s="40">
        <v>2</v>
      </c>
      <c r="G694" s="40">
        <v>1</v>
      </c>
      <c r="H694" s="3">
        <f t="shared" si="156"/>
        <v>0</v>
      </c>
      <c r="I694" s="3">
        <f t="shared" si="157"/>
        <v>0.18333333333333335</v>
      </c>
      <c r="J694" s="3">
        <f t="shared" si="158"/>
        <v>9.1666666666666674E-2</v>
      </c>
      <c r="K694" s="3"/>
      <c r="L694" s="4">
        <f t="shared" si="159"/>
        <v>187.60999999999996</v>
      </c>
      <c r="M694" s="40">
        <v>0</v>
      </c>
      <c r="N694" s="40">
        <v>0</v>
      </c>
      <c r="O694" s="40">
        <v>0</v>
      </c>
      <c r="P694" s="40">
        <v>0</v>
      </c>
      <c r="Q694" s="40">
        <v>0</v>
      </c>
      <c r="R694" s="40">
        <v>0</v>
      </c>
      <c r="S694" s="2">
        <f t="shared" si="154"/>
        <v>47.900000000000396</v>
      </c>
      <c r="T694" s="2">
        <v>0</v>
      </c>
      <c r="U694" s="2">
        <v>0</v>
      </c>
      <c r="V694" s="2">
        <v>0</v>
      </c>
      <c r="W694" s="2">
        <v>0</v>
      </c>
      <c r="X694" s="2">
        <f t="shared" si="155"/>
        <v>140</v>
      </c>
      <c r="Z694" s="1"/>
      <c r="AA694" s="1"/>
      <c r="AB694" s="2" t="str">
        <f t="shared" si="116"/>
        <v/>
      </c>
      <c r="AD694" s="121"/>
      <c r="AE694" s="121"/>
    </row>
    <row r="695" spans="1:31" x14ac:dyDescent="0.25">
      <c r="A695" s="2" t="s">
        <v>564</v>
      </c>
      <c r="B695" s="7">
        <v>0.27499999999999997</v>
      </c>
      <c r="C695" s="2">
        <v>2.6</v>
      </c>
      <c r="D695" s="10" t="s">
        <v>565</v>
      </c>
      <c r="E695" s="40">
        <v>10</v>
      </c>
      <c r="F695" s="40">
        <v>2</v>
      </c>
      <c r="G695" s="40">
        <v>1</v>
      </c>
      <c r="H695" s="3">
        <f t="shared" si="156"/>
        <v>1.0833333333333335</v>
      </c>
      <c r="I695" s="3">
        <f t="shared" si="157"/>
        <v>0.21666666666666667</v>
      </c>
      <c r="J695" s="3">
        <f t="shared" si="158"/>
        <v>0.10833333333333334</v>
      </c>
      <c r="K695" s="3"/>
      <c r="L695" s="4">
        <f t="shared" si="159"/>
        <v>186.20166666666663</v>
      </c>
      <c r="M695" s="40">
        <v>0</v>
      </c>
      <c r="N695" s="40">
        <v>0</v>
      </c>
      <c r="O695" s="40">
        <v>0</v>
      </c>
      <c r="P695" s="40">
        <v>0</v>
      </c>
      <c r="Q695" s="40">
        <v>0</v>
      </c>
      <c r="R695" s="40">
        <v>0</v>
      </c>
      <c r="S695" s="2">
        <f t="shared" si="154"/>
        <v>47.900000000000396</v>
      </c>
      <c r="T695" s="2">
        <v>0</v>
      </c>
      <c r="U695" s="2">
        <v>0</v>
      </c>
      <c r="V695" s="2">
        <v>0</v>
      </c>
      <c r="W695" s="2">
        <v>0</v>
      </c>
      <c r="X695" s="2">
        <f t="shared" si="155"/>
        <v>140</v>
      </c>
      <c r="Z695" s="1">
        <v>61</v>
      </c>
      <c r="AA695" s="1">
        <v>87</v>
      </c>
      <c r="AB695" s="2">
        <f t="shared" si="116"/>
        <v>148</v>
      </c>
      <c r="AD695" s="121"/>
      <c r="AE695" s="121"/>
    </row>
    <row r="696" spans="1:31" x14ac:dyDescent="0.25">
      <c r="A696" s="2" t="s">
        <v>564</v>
      </c>
      <c r="B696" s="7">
        <v>0.33333333333333331</v>
      </c>
      <c r="C696" s="2">
        <v>1.4</v>
      </c>
      <c r="D696" s="10" t="s">
        <v>565</v>
      </c>
      <c r="E696" s="40">
        <v>0</v>
      </c>
      <c r="F696" s="40">
        <v>2</v>
      </c>
      <c r="G696" s="40">
        <v>1</v>
      </c>
      <c r="H696" s="3">
        <f t="shared" si="156"/>
        <v>0</v>
      </c>
      <c r="I696" s="3">
        <f t="shared" si="157"/>
        <v>0.11666666666666665</v>
      </c>
      <c r="J696" s="3">
        <f t="shared" si="158"/>
        <v>5.8333333333333327E-2</v>
      </c>
      <c r="K696" s="3"/>
      <c r="L696" s="4">
        <f t="shared" si="159"/>
        <v>186.02666666666661</v>
      </c>
      <c r="M696" s="40">
        <v>0</v>
      </c>
      <c r="N696" s="40">
        <v>0</v>
      </c>
      <c r="O696" s="40">
        <v>0</v>
      </c>
      <c r="P696" s="40">
        <v>0</v>
      </c>
      <c r="Q696" s="40">
        <v>0</v>
      </c>
      <c r="R696" s="40">
        <v>0</v>
      </c>
      <c r="S696" s="2">
        <f t="shared" si="154"/>
        <v>47.900000000000396</v>
      </c>
      <c r="T696" s="2">
        <v>0</v>
      </c>
      <c r="U696" s="2">
        <v>0</v>
      </c>
      <c r="V696" s="2">
        <v>0</v>
      </c>
      <c r="W696" s="2">
        <v>0</v>
      </c>
      <c r="X696" s="2">
        <f t="shared" si="155"/>
        <v>140</v>
      </c>
      <c r="Z696" s="1"/>
      <c r="AA696" s="1"/>
      <c r="AB696" s="2" t="str">
        <f t="shared" ref="AB696:AB702" si="160">IF(Z696="","",Z696+AA696)</f>
        <v/>
      </c>
      <c r="AD696" s="121"/>
      <c r="AE696" s="121"/>
    </row>
    <row r="697" spans="1:31" x14ac:dyDescent="0.25">
      <c r="A697" s="2" t="s">
        <v>566</v>
      </c>
      <c r="B697" s="7">
        <v>0.33333333333333331</v>
      </c>
      <c r="C697" s="2">
        <v>24</v>
      </c>
      <c r="D697" s="10" t="s">
        <v>495</v>
      </c>
      <c r="E697" s="40">
        <v>0</v>
      </c>
      <c r="F697" s="40">
        <v>2.2000000000000002</v>
      </c>
      <c r="G697" s="40">
        <v>1.2</v>
      </c>
      <c r="H697" s="3">
        <f t="shared" si="156"/>
        <v>0</v>
      </c>
      <c r="I697" s="3">
        <f t="shared" si="157"/>
        <v>2.2000000000000002</v>
      </c>
      <c r="J697" s="3">
        <f t="shared" si="158"/>
        <v>1.2</v>
      </c>
      <c r="K697" s="3"/>
      <c r="L697" s="4">
        <f t="shared" si="159"/>
        <v>182.62666666666661</v>
      </c>
      <c r="M697" s="40">
        <v>0</v>
      </c>
      <c r="N697" s="40">
        <v>0</v>
      </c>
      <c r="O697" s="40">
        <v>0.1</v>
      </c>
      <c r="P697" s="40">
        <v>0</v>
      </c>
      <c r="Q697" s="40">
        <v>0</v>
      </c>
      <c r="R697" s="40">
        <v>0</v>
      </c>
      <c r="S697" s="2">
        <f t="shared" si="154"/>
        <v>47.800000000000395</v>
      </c>
      <c r="T697" s="2">
        <v>0</v>
      </c>
      <c r="U697" s="2">
        <v>0</v>
      </c>
      <c r="V697" s="2">
        <v>4</v>
      </c>
      <c r="W697" s="2">
        <v>0</v>
      </c>
      <c r="X697" s="2">
        <f t="shared" si="155"/>
        <v>136</v>
      </c>
      <c r="Z697" s="1"/>
      <c r="AA697" s="1"/>
      <c r="AB697" s="2" t="str">
        <f t="shared" si="160"/>
        <v/>
      </c>
      <c r="AD697" s="121"/>
      <c r="AE697" s="121"/>
    </row>
    <row r="698" spans="1:31" x14ac:dyDescent="0.25">
      <c r="A698" s="2" t="s">
        <v>567</v>
      </c>
      <c r="B698" s="7">
        <v>0.33333333333333331</v>
      </c>
      <c r="C698" s="2">
        <v>24</v>
      </c>
      <c r="D698" s="10" t="s">
        <v>495</v>
      </c>
      <c r="E698" s="40">
        <v>0</v>
      </c>
      <c r="F698" s="40">
        <v>2.2000000000000002</v>
      </c>
      <c r="G698" s="40">
        <v>1.2</v>
      </c>
      <c r="H698" s="3">
        <f t="shared" si="156"/>
        <v>0</v>
      </c>
      <c r="I698" s="3">
        <f t="shared" si="157"/>
        <v>2.2000000000000002</v>
      </c>
      <c r="J698" s="3">
        <f t="shared" si="158"/>
        <v>1.2</v>
      </c>
      <c r="K698" s="3"/>
      <c r="L698" s="4">
        <f t="shared" si="159"/>
        <v>179.2266666666666</v>
      </c>
      <c r="M698" s="40">
        <v>0</v>
      </c>
      <c r="N698" s="40">
        <v>0</v>
      </c>
      <c r="O698" s="40">
        <v>0.1</v>
      </c>
      <c r="P698" s="40">
        <v>0</v>
      </c>
      <c r="Q698" s="40">
        <v>0</v>
      </c>
      <c r="R698" s="40">
        <v>0</v>
      </c>
      <c r="S698" s="2">
        <f t="shared" si="154"/>
        <v>47.700000000000394</v>
      </c>
      <c r="T698" s="2">
        <v>0</v>
      </c>
      <c r="U698" s="2">
        <v>0</v>
      </c>
      <c r="V698" s="2">
        <v>4</v>
      </c>
      <c r="W698" s="2">
        <v>0</v>
      </c>
      <c r="X698" s="2">
        <f t="shared" si="155"/>
        <v>132</v>
      </c>
      <c r="Z698" s="1">
        <v>50</v>
      </c>
      <c r="AA698" s="1">
        <v>87</v>
      </c>
      <c r="AB698" s="2">
        <f t="shared" si="160"/>
        <v>137</v>
      </c>
      <c r="AD698" s="121"/>
      <c r="AE698" s="121"/>
    </row>
    <row r="699" spans="1:31" x14ac:dyDescent="0.25">
      <c r="A699" s="2" t="s">
        <v>568</v>
      </c>
      <c r="B699" s="7">
        <v>0.26250000000000001</v>
      </c>
      <c r="C699" s="2">
        <v>22.3</v>
      </c>
      <c r="D699" s="10" t="s">
        <v>381</v>
      </c>
      <c r="E699" s="40">
        <v>0</v>
      </c>
      <c r="F699" s="40">
        <v>2</v>
      </c>
      <c r="G699" s="40">
        <v>1</v>
      </c>
      <c r="H699" s="3">
        <f t="shared" ref="H699:H717" si="161">+IF(E699="","",(E699/24)*C699)</f>
        <v>0</v>
      </c>
      <c r="I699" s="3">
        <f t="shared" ref="I699:I717" si="162">+IF(F699="","",(F699/24)*C699)</f>
        <v>1.8583333333333334</v>
      </c>
      <c r="J699" s="3">
        <f t="shared" ref="J699:J717" si="163">+IF(G699="","",(G699/24)*C699)</f>
        <v>0.9291666666666667</v>
      </c>
      <c r="K699" s="3"/>
      <c r="L699" s="4">
        <f t="shared" ref="L699:L772" si="164">+IF(C699="","",((L698-(H699+I699+J699))+K699))</f>
        <v>176.43916666666661</v>
      </c>
      <c r="M699" s="40">
        <v>0</v>
      </c>
      <c r="N699" s="40">
        <v>0</v>
      </c>
      <c r="O699" s="40">
        <v>0.1</v>
      </c>
      <c r="P699" s="40">
        <v>0</v>
      </c>
      <c r="Q699" s="40">
        <v>0</v>
      </c>
      <c r="R699" s="40">
        <v>0</v>
      </c>
      <c r="S699" s="2">
        <f t="shared" ref="S699:S773" si="165">IF(C699="","",(S698+R699)-(M699+N699+O699+P699+Q699))</f>
        <v>47.600000000000392</v>
      </c>
      <c r="T699" s="2">
        <v>0</v>
      </c>
      <c r="U699" s="2">
        <v>0</v>
      </c>
      <c r="V699" s="2">
        <v>2</v>
      </c>
      <c r="W699" s="2">
        <v>0</v>
      </c>
      <c r="X699" s="2">
        <f t="shared" ref="X699:X773" si="166">IF(V699="","",((X698+T699+U699)-(V699+W699)))</f>
        <v>130</v>
      </c>
      <c r="Z699" s="1"/>
      <c r="AA699" s="1"/>
      <c r="AB699" s="2" t="str">
        <f t="shared" si="160"/>
        <v/>
      </c>
      <c r="AD699" s="121"/>
      <c r="AE699" s="121"/>
    </row>
    <row r="700" spans="1:31" x14ac:dyDescent="0.25">
      <c r="A700" s="2" t="s">
        <v>568</v>
      </c>
      <c r="B700" s="7">
        <v>0.32916666666666666</v>
      </c>
      <c r="C700" s="2">
        <v>1.6</v>
      </c>
      <c r="D700" s="10" t="s">
        <v>511</v>
      </c>
      <c r="E700" s="40">
        <v>10</v>
      </c>
      <c r="F700" s="40">
        <v>2.2000000000000002</v>
      </c>
      <c r="G700" s="40">
        <v>1.2</v>
      </c>
      <c r="H700" s="3">
        <f t="shared" si="161"/>
        <v>0.66666666666666674</v>
      </c>
      <c r="I700" s="3">
        <f t="shared" si="162"/>
        <v>0.1466666666666667</v>
      </c>
      <c r="J700" s="3">
        <f t="shared" si="163"/>
        <v>0.08</v>
      </c>
      <c r="K700" s="3"/>
      <c r="L700" s="4">
        <f t="shared" si="164"/>
        <v>175.54583333333326</v>
      </c>
      <c r="M700" s="40">
        <v>0</v>
      </c>
      <c r="N700" s="40">
        <v>0</v>
      </c>
      <c r="O700" s="40">
        <v>0</v>
      </c>
      <c r="P700" s="40">
        <v>0</v>
      </c>
      <c r="Q700" s="40">
        <v>0</v>
      </c>
      <c r="R700" s="40">
        <v>0</v>
      </c>
      <c r="S700" s="2">
        <f t="shared" si="165"/>
        <v>47.600000000000392</v>
      </c>
      <c r="T700" s="2">
        <v>0</v>
      </c>
      <c r="U700" s="2">
        <v>0</v>
      </c>
      <c r="V700" s="2">
        <v>2</v>
      </c>
      <c r="W700" s="2">
        <v>0</v>
      </c>
      <c r="X700" s="2">
        <f t="shared" si="166"/>
        <v>128</v>
      </c>
      <c r="Z700" s="1"/>
      <c r="AA700" s="1"/>
      <c r="AB700" s="2" t="str">
        <f t="shared" si="160"/>
        <v/>
      </c>
      <c r="AD700" s="121"/>
      <c r="AE700" s="121"/>
    </row>
    <row r="701" spans="1:31" x14ac:dyDescent="0.25">
      <c r="A701" s="2" t="s">
        <v>568</v>
      </c>
      <c r="B701" s="7">
        <v>0.33333333333333331</v>
      </c>
      <c r="C701" s="2">
        <v>0.1</v>
      </c>
      <c r="D701" s="10" t="s">
        <v>511</v>
      </c>
      <c r="E701" s="40">
        <v>0</v>
      </c>
      <c r="F701" s="40">
        <v>2.2000000000000002</v>
      </c>
      <c r="G701" s="40">
        <v>1.2</v>
      </c>
      <c r="H701" s="3">
        <f t="shared" si="161"/>
        <v>0</v>
      </c>
      <c r="I701" s="3">
        <f t="shared" si="162"/>
        <v>9.1666666666666684E-3</v>
      </c>
      <c r="J701" s="3">
        <f t="shared" si="163"/>
        <v>5.0000000000000001E-3</v>
      </c>
      <c r="K701" s="3"/>
      <c r="L701" s="4">
        <f t="shared" si="164"/>
        <v>175.53166666666661</v>
      </c>
      <c r="M701" s="40">
        <v>0</v>
      </c>
      <c r="N701" s="40">
        <v>0</v>
      </c>
      <c r="O701" s="40">
        <v>0</v>
      </c>
      <c r="P701" s="40">
        <v>0</v>
      </c>
      <c r="Q701" s="40">
        <v>0</v>
      </c>
      <c r="R701" s="40">
        <v>0</v>
      </c>
      <c r="S701" s="2">
        <f t="shared" si="165"/>
        <v>47.600000000000392</v>
      </c>
      <c r="T701" s="2">
        <v>0</v>
      </c>
      <c r="U701" s="2">
        <v>0</v>
      </c>
      <c r="V701" s="2">
        <v>0</v>
      </c>
      <c r="W701" s="2">
        <v>0</v>
      </c>
      <c r="X701" s="2">
        <f t="shared" si="166"/>
        <v>128</v>
      </c>
      <c r="Z701" s="1">
        <v>46</v>
      </c>
      <c r="AA701" s="1">
        <v>87</v>
      </c>
      <c r="AB701" s="2">
        <f t="shared" si="160"/>
        <v>133</v>
      </c>
      <c r="AD701" s="121"/>
      <c r="AE701" s="121"/>
    </row>
    <row r="702" spans="1:31" x14ac:dyDescent="0.25">
      <c r="A702" s="2" t="s">
        <v>568</v>
      </c>
      <c r="B702" s="7">
        <v>0.67499999999999993</v>
      </c>
      <c r="C702" s="2">
        <v>8.1999999999999993</v>
      </c>
      <c r="D702" s="10" t="s">
        <v>381</v>
      </c>
      <c r="E702" s="40">
        <v>0</v>
      </c>
      <c r="F702" s="40">
        <v>2</v>
      </c>
      <c r="G702" s="40">
        <v>1</v>
      </c>
      <c r="H702" s="3">
        <f t="shared" si="161"/>
        <v>0</v>
      </c>
      <c r="I702" s="3">
        <f t="shared" si="162"/>
        <v>0.68333333333333324</v>
      </c>
      <c r="J702" s="3">
        <f t="shared" si="163"/>
        <v>0.34166666666666662</v>
      </c>
      <c r="K702" s="3"/>
      <c r="L702" s="4">
        <f t="shared" si="164"/>
        <v>174.5066666666666</v>
      </c>
      <c r="M702" s="40">
        <v>0</v>
      </c>
      <c r="N702" s="40">
        <v>0</v>
      </c>
      <c r="O702" s="40">
        <v>0</v>
      </c>
      <c r="P702" s="40">
        <v>0</v>
      </c>
      <c r="Q702" s="40">
        <v>0</v>
      </c>
      <c r="R702" s="40">
        <v>0</v>
      </c>
      <c r="S702" s="2">
        <f t="shared" si="165"/>
        <v>47.600000000000392</v>
      </c>
      <c r="T702" s="2">
        <v>0</v>
      </c>
      <c r="U702" s="2">
        <v>0</v>
      </c>
      <c r="V702" s="2">
        <v>1</v>
      </c>
      <c r="W702" s="2">
        <v>0</v>
      </c>
      <c r="X702" s="2">
        <f t="shared" si="166"/>
        <v>127</v>
      </c>
      <c r="Z702" s="1"/>
      <c r="AA702" s="1"/>
      <c r="AB702" s="2" t="str">
        <f t="shared" si="160"/>
        <v/>
      </c>
      <c r="AD702" s="121"/>
      <c r="AE702" s="121"/>
    </row>
    <row r="703" spans="1:31" x14ac:dyDescent="0.25">
      <c r="A703" s="2" t="s">
        <v>568</v>
      </c>
      <c r="B703" s="7">
        <v>0.6875</v>
      </c>
      <c r="C703" s="2">
        <v>0.3</v>
      </c>
      <c r="D703" s="10" t="s">
        <v>355</v>
      </c>
      <c r="E703" s="40">
        <v>10</v>
      </c>
      <c r="F703" s="40">
        <v>2</v>
      </c>
      <c r="G703" s="40">
        <v>1</v>
      </c>
      <c r="H703" s="3">
        <f t="shared" si="161"/>
        <v>0.125</v>
      </c>
      <c r="I703" s="3">
        <f t="shared" si="162"/>
        <v>2.4999999999999998E-2</v>
      </c>
      <c r="J703" s="3">
        <f t="shared" si="163"/>
        <v>1.2499999999999999E-2</v>
      </c>
      <c r="K703" s="3"/>
      <c r="L703" s="4">
        <f t="shared" si="164"/>
        <v>174.34416666666661</v>
      </c>
      <c r="M703" s="40">
        <v>0</v>
      </c>
      <c r="N703" s="40">
        <v>0</v>
      </c>
      <c r="O703" s="40">
        <v>0</v>
      </c>
      <c r="P703" s="40">
        <v>0</v>
      </c>
      <c r="Q703" s="40">
        <v>0</v>
      </c>
      <c r="R703" s="40">
        <v>0</v>
      </c>
      <c r="S703" s="2">
        <f t="shared" si="165"/>
        <v>47.600000000000392</v>
      </c>
      <c r="T703" s="2">
        <v>0</v>
      </c>
      <c r="U703" s="2">
        <v>0</v>
      </c>
      <c r="V703" s="2">
        <v>0</v>
      </c>
      <c r="W703" s="2">
        <v>0</v>
      </c>
      <c r="X703" s="2">
        <f t="shared" si="166"/>
        <v>127</v>
      </c>
      <c r="Z703" s="1"/>
      <c r="AA703" s="1"/>
      <c r="AB703" s="2" t="str">
        <f t="shared" ref="AB703:AB773" si="167">IF(Z703="","",Z703+AA703)</f>
        <v/>
      </c>
      <c r="AD703" s="121"/>
      <c r="AE703" s="121"/>
    </row>
    <row r="704" spans="1:31" x14ac:dyDescent="0.25">
      <c r="A704" s="2" t="s">
        <v>568</v>
      </c>
      <c r="B704" s="7">
        <v>0.97916666666666663</v>
      </c>
      <c r="C704" s="44">
        <v>7</v>
      </c>
      <c r="D704" s="10" t="s">
        <v>374</v>
      </c>
      <c r="E704" s="40">
        <v>20</v>
      </c>
      <c r="F704" s="40">
        <v>2</v>
      </c>
      <c r="G704" s="40">
        <v>0</v>
      </c>
      <c r="H704" s="3">
        <f t="shared" si="161"/>
        <v>5.8333333333333339</v>
      </c>
      <c r="I704" s="3">
        <f t="shared" si="162"/>
        <v>0.58333333333333326</v>
      </c>
      <c r="J704" s="3">
        <f t="shared" si="163"/>
        <v>0</v>
      </c>
      <c r="K704" s="3"/>
      <c r="L704" s="4">
        <f t="shared" si="164"/>
        <v>167.92749999999995</v>
      </c>
      <c r="M704" s="40">
        <v>0</v>
      </c>
      <c r="N704" s="40">
        <v>0</v>
      </c>
      <c r="O704" s="40">
        <v>0</v>
      </c>
      <c r="P704" s="40">
        <v>0</v>
      </c>
      <c r="Q704" s="40">
        <v>0</v>
      </c>
      <c r="R704" s="40">
        <v>0</v>
      </c>
      <c r="S704" s="2">
        <f t="shared" si="165"/>
        <v>47.600000000000392</v>
      </c>
      <c r="T704" s="2">
        <v>0</v>
      </c>
      <c r="U704" s="2">
        <v>0</v>
      </c>
      <c r="V704" s="2">
        <v>1</v>
      </c>
      <c r="W704" s="2">
        <v>0</v>
      </c>
      <c r="X704" s="2">
        <f t="shared" si="166"/>
        <v>126</v>
      </c>
      <c r="Z704" s="1"/>
      <c r="AA704" s="1"/>
      <c r="AB704" s="2" t="str">
        <f t="shared" si="167"/>
        <v/>
      </c>
      <c r="AD704" s="121">
        <v>12.2</v>
      </c>
      <c r="AE704" s="121" t="s">
        <v>1295</v>
      </c>
    </row>
    <row r="705" spans="1:31" x14ac:dyDescent="0.25">
      <c r="A705" s="2" t="s">
        <v>569</v>
      </c>
      <c r="B705" s="7">
        <v>1.2499999999999999E-2</v>
      </c>
      <c r="C705" s="2">
        <v>0.8</v>
      </c>
      <c r="D705" s="10" t="s">
        <v>570</v>
      </c>
      <c r="E705" s="40">
        <v>10</v>
      </c>
      <c r="F705" s="40">
        <v>2</v>
      </c>
      <c r="G705" s="40">
        <v>1</v>
      </c>
      <c r="H705" s="3">
        <f t="shared" si="161"/>
        <v>0.33333333333333337</v>
      </c>
      <c r="I705" s="3">
        <f t="shared" si="162"/>
        <v>6.6666666666666666E-2</v>
      </c>
      <c r="J705" s="3">
        <f t="shared" si="163"/>
        <v>3.3333333333333333E-2</v>
      </c>
      <c r="K705" s="3"/>
      <c r="L705" s="4">
        <f t="shared" si="164"/>
        <v>167.49416666666662</v>
      </c>
      <c r="M705" s="40">
        <v>0</v>
      </c>
      <c r="N705" s="40">
        <v>0</v>
      </c>
      <c r="O705" s="40">
        <v>0</v>
      </c>
      <c r="P705" s="40">
        <v>0</v>
      </c>
      <c r="Q705" s="40">
        <v>0</v>
      </c>
      <c r="R705" s="40">
        <v>0</v>
      </c>
      <c r="S705" s="2">
        <f t="shared" si="165"/>
        <v>47.600000000000392</v>
      </c>
      <c r="T705" s="2">
        <v>0</v>
      </c>
      <c r="U705" s="2">
        <v>0</v>
      </c>
      <c r="V705" s="2">
        <v>1</v>
      </c>
      <c r="W705" s="2">
        <v>0</v>
      </c>
      <c r="X705" s="2">
        <f t="shared" si="166"/>
        <v>125</v>
      </c>
      <c r="Z705" s="1"/>
      <c r="AA705" s="1"/>
      <c r="AB705" s="2" t="str">
        <f t="shared" si="167"/>
        <v/>
      </c>
      <c r="AD705" s="121"/>
      <c r="AE705" s="121"/>
    </row>
    <row r="706" spans="1:31" x14ac:dyDescent="0.25">
      <c r="A706" s="2" t="s">
        <v>569</v>
      </c>
      <c r="B706" s="7">
        <v>0.17500000000000002</v>
      </c>
      <c r="C706" s="2">
        <v>4.0999999999999996</v>
      </c>
      <c r="D706" s="10" t="s">
        <v>381</v>
      </c>
      <c r="E706" s="40">
        <v>0</v>
      </c>
      <c r="F706" s="40">
        <v>2.2000000000000002</v>
      </c>
      <c r="G706" s="40">
        <v>1.2</v>
      </c>
      <c r="H706" s="3">
        <f t="shared" si="161"/>
        <v>0</v>
      </c>
      <c r="I706" s="3">
        <f t="shared" si="162"/>
        <v>0.37583333333333335</v>
      </c>
      <c r="J706" s="3">
        <f t="shared" si="163"/>
        <v>0.20499999999999996</v>
      </c>
      <c r="K706" s="3"/>
      <c r="L706" s="4">
        <f t="shared" si="164"/>
        <v>166.91333333333327</v>
      </c>
      <c r="M706" s="40">
        <v>0</v>
      </c>
      <c r="N706" s="40">
        <v>0</v>
      </c>
      <c r="O706" s="40">
        <v>0.1</v>
      </c>
      <c r="P706" s="40">
        <v>0</v>
      </c>
      <c r="Q706" s="40">
        <v>0</v>
      </c>
      <c r="R706" s="40">
        <v>0</v>
      </c>
      <c r="S706" s="2">
        <f t="shared" si="165"/>
        <v>47.500000000000391</v>
      </c>
      <c r="T706" s="2">
        <v>0</v>
      </c>
      <c r="U706" s="2">
        <v>0</v>
      </c>
      <c r="V706" s="2">
        <v>0</v>
      </c>
      <c r="W706" s="2">
        <v>0</v>
      </c>
      <c r="X706" s="2">
        <f t="shared" si="166"/>
        <v>125</v>
      </c>
      <c r="Z706" s="1"/>
      <c r="AA706" s="1"/>
      <c r="AB706" s="2" t="str">
        <f t="shared" si="167"/>
        <v/>
      </c>
      <c r="AD706" s="121"/>
      <c r="AE706" s="121"/>
    </row>
    <row r="707" spans="1:31" x14ac:dyDescent="0.25">
      <c r="A707" s="2" t="s">
        <v>569</v>
      </c>
      <c r="B707" s="7">
        <v>0.25416666666666665</v>
      </c>
      <c r="C707" s="2">
        <v>1.7</v>
      </c>
      <c r="D707" s="10" t="s">
        <v>550</v>
      </c>
      <c r="E707" s="40">
        <v>10</v>
      </c>
      <c r="F707" s="40">
        <v>2</v>
      </c>
      <c r="G707" s="40">
        <v>1</v>
      </c>
      <c r="H707" s="3">
        <f t="shared" si="161"/>
        <v>0.70833333333333337</v>
      </c>
      <c r="I707" s="3">
        <f t="shared" si="162"/>
        <v>0.14166666666666666</v>
      </c>
      <c r="J707" s="3">
        <f t="shared" si="163"/>
        <v>7.0833333333333331E-2</v>
      </c>
      <c r="K707" s="3"/>
      <c r="L707" s="4">
        <f t="shared" si="164"/>
        <v>165.99249999999995</v>
      </c>
      <c r="M707" s="40">
        <v>0</v>
      </c>
      <c r="N707" s="40">
        <v>0</v>
      </c>
      <c r="O707" s="40">
        <v>0</v>
      </c>
      <c r="P707" s="40">
        <v>0</v>
      </c>
      <c r="Q707" s="40">
        <v>0</v>
      </c>
      <c r="R707" s="40">
        <v>0</v>
      </c>
      <c r="S707" s="2">
        <f t="shared" si="165"/>
        <v>47.500000000000391</v>
      </c>
      <c r="T707" s="2">
        <v>0</v>
      </c>
      <c r="U707" s="2">
        <v>0</v>
      </c>
      <c r="V707" s="2">
        <v>0</v>
      </c>
      <c r="W707" s="2">
        <v>0</v>
      </c>
      <c r="X707" s="2">
        <f t="shared" si="166"/>
        <v>125</v>
      </c>
      <c r="Z707" s="1"/>
      <c r="AA707" s="1"/>
      <c r="AB707" s="2" t="str">
        <f t="shared" si="167"/>
        <v/>
      </c>
      <c r="AD707" s="121"/>
      <c r="AE707" s="121"/>
    </row>
    <row r="708" spans="1:31" x14ac:dyDescent="0.25">
      <c r="A708" s="2" t="s">
        <v>569</v>
      </c>
      <c r="B708" s="7">
        <v>0.33333333333333331</v>
      </c>
      <c r="C708" s="2">
        <v>1.9</v>
      </c>
      <c r="D708" s="10" t="s">
        <v>550</v>
      </c>
      <c r="E708" s="40">
        <v>0</v>
      </c>
      <c r="F708" s="40">
        <v>2</v>
      </c>
      <c r="G708" s="40">
        <v>1</v>
      </c>
      <c r="H708" s="3">
        <f t="shared" si="161"/>
        <v>0</v>
      </c>
      <c r="I708" s="3">
        <f t="shared" si="162"/>
        <v>0.15833333333333333</v>
      </c>
      <c r="J708" s="3">
        <f t="shared" si="163"/>
        <v>7.9166666666666663E-2</v>
      </c>
      <c r="K708" s="3"/>
      <c r="L708" s="4">
        <f t="shared" si="164"/>
        <v>165.75499999999994</v>
      </c>
      <c r="M708" s="40">
        <v>0</v>
      </c>
      <c r="N708" s="40">
        <v>0</v>
      </c>
      <c r="O708" s="40">
        <v>0</v>
      </c>
      <c r="P708" s="40">
        <v>0</v>
      </c>
      <c r="Q708" s="40">
        <v>0</v>
      </c>
      <c r="R708" s="40">
        <v>0</v>
      </c>
      <c r="S708" s="2">
        <f t="shared" si="165"/>
        <v>47.500000000000391</v>
      </c>
      <c r="T708" s="2">
        <v>0</v>
      </c>
      <c r="U708" s="2">
        <v>0</v>
      </c>
      <c r="V708" s="2">
        <v>1</v>
      </c>
      <c r="W708" s="2">
        <v>0</v>
      </c>
      <c r="X708" s="2">
        <f t="shared" si="166"/>
        <v>124</v>
      </c>
      <c r="Z708" s="1"/>
      <c r="AA708" s="1"/>
      <c r="AB708" s="2" t="str">
        <f t="shared" si="167"/>
        <v/>
      </c>
      <c r="AD708" s="121"/>
      <c r="AE708" s="121"/>
    </row>
    <row r="709" spans="1:31" x14ac:dyDescent="0.25">
      <c r="A709" s="2" t="s">
        <v>569</v>
      </c>
      <c r="B709" s="7">
        <v>0.3833333333333333</v>
      </c>
      <c r="C709" s="2">
        <v>1.2</v>
      </c>
      <c r="D709" s="10" t="s">
        <v>381</v>
      </c>
      <c r="E709" s="40">
        <v>0</v>
      </c>
      <c r="F709" s="40">
        <v>2</v>
      </c>
      <c r="G709" s="40">
        <v>1</v>
      </c>
      <c r="H709" s="3">
        <f t="shared" si="161"/>
        <v>0</v>
      </c>
      <c r="I709" s="3">
        <f t="shared" si="162"/>
        <v>9.9999999999999992E-2</v>
      </c>
      <c r="J709" s="3">
        <f t="shared" si="163"/>
        <v>4.9999999999999996E-2</v>
      </c>
      <c r="K709" s="3"/>
      <c r="L709" s="4">
        <f t="shared" si="164"/>
        <v>165.60499999999993</v>
      </c>
      <c r="M709" s="40">
        <v>0</v>
      </c>
      <c r="N709" s="40">
        <v>0</v>
      </c>
      <c r="O709" s="40">
        <v>0</v>
      </c>
      <c r="P709" s="40">
        <v>0</v>
      </c>
      <c r="Q709" s="40">
        <v>0</v>
      </c>
      <c r="R709" s="40">
        <v>0</v>
      </c>
      <c r="S709" s="2">
        <f t="shared" si="165"/>
        <v>47.500000000000391</v>
      </c>
      <c r="T709" s="2">
        <v>0</v>
      </c>
      <c r="U709" s="2">
        <v>0</v>
      </c>
      <c r="V709" s="2">
        <v>0</v>
      </c>
      <c r="W709" s="2">
        <v>0</v>
      </c>
      <c r="X709" s="2">
        <f t="shared" si="166"/>
        <v>124</v>
      </c>
      <c r="Z709" s="1"/>
      <c r="AA709" s="1"/>
      <c r="AB709" s="2" t="str">
        <f t="shared" si="167"/>
        <v/>
      </c>
      <c r="AD709" s="121"/>
      <c r="AE709" s="121"/>
    </row>
    <row r="710" spans="1:31" x14ac:dyDescent="0.25">
      <c r="A710" s="2" t="s">
        <v>569</v>
      </c>
      <c r="B710" s="7">
        <v>0.4375</v>
      </c>
      <c r="C710" s="2">
        <v>1.3</v>
      </c>
      <c r="D710" s="10" t="s">
        <v>380</v>
      </c>
      <c r="E710" s="40">
        <v>10</v>
      </c>
      <c r="F710" s="40">
        <v>2</v>
      </c>
      <c r="G710" s="40">
        <v>1</v>
      </c>
      <c r="H710" s="3">
        <f t="shared" si="161"/>
        <v>0.54166666666666674</v>
      </c>
      <c r="I710" s="3">
        <f t="shared" si="162"/>
        <v>0.10833333333333334</v>
      </c>
      <c r="J710" s="3">
        <f t="shared" si="163"/>
        <v>5.4166666666666669E-2</v>
      </c>
      <c r="K710" s="3"/>
      <c r="L710" s="4">
        <f t="shared" si="164"/>
        <v>164.90083333333325</v>
      </c>
      <c r="M710" s="40">
        <v>0</v>
      </c>
      <c r="N710" s="40">
        <v>0</v>
      </c>
      <c r="O710" s="40">
        <v>0</v>
      </c>
      <c r="P710" s="40">
        <v>0</v>
      </c>
      <c r="Q710" s="40">
        <v>0</v>
      </c>
      <c r="R710" s="40">
        <v>0</v>
      </c>
      <c r="S710" s="2">
        <f t="shared" si="165"/>
        <v>47.500000000000391</v>
      </c>
      <c r="T710" s="2">
        <v>0</v>
      </c>
      <c r="U710" s="2">
        <v>0</v>
      </c>
      <c r="V710" s="2">
        <v>0</v>
      </c>
      <c r="W710" s="2">
        <v>0</v>
      </c>
      <c r="X710" s="2">
        <f t="shared" si="166"/>
        <v>124</v>
      </c>
      <c r="Z710" s="1"/>
      <c r="AA710" s="1"/>
      <c r="AB710" s="2" t="str">
        <f t="shared" si="167"/>
        <v/>
      </c>
      <c r="AD710" s="121"/>
      <c r="AE710" s="121"/>
    </row>
    <row r="711" spans="1:31" x14ac:dyDescent="0.25">
      <c r="A711" s="2" t="s">
        <v>571</v>
      </c>
      <c r="B711" s="7">
        <v>0.33333333333333331</v>
      </c>
      <c r="C711" s="2">
        <v>21.8</v>
      </c>
      <c r="D711" s="10" t="s">
        <v>380</v>
      </c>
      <c r="E711" s="40">
        <v>0</v>
      </c>
      <c r="F711" s="40">
        <v>2</v>
      </c>
      <c r="G711" s="40">
        <v>1</v>
      </c>
      <c r="H711" s="3">
        <f t="shared" si="161"/>
        <v>0</v>
      </c>
      <c r="I711" s="3">
        <f t="shared" si="162"/>
        <v>1.8166666666666667</v>
      </c>
      <c r="J711" s="3">
        <f t="shared" si="163"/>
        <v>0.90833333333333333</v>
      </c>
      <c r="K711" s="3"/>
      <c r="L711" s="4">
        <f t="shared" si="164"/>
        <v>162.17583333333326</v>
      </c>
      <c r="M711" s="40">
        <v>0</v>
      </c>
      <c r="N711" s="40">
        <v>0</v>
      </c>
      <c r="O711" s="40">
        <v>0.1</v>
      </c>
      <c r="P711" s="40">
        <v>0</v>
      </c>
      <c r="Q711" s="40">
        <v>0</v>
      </c>
      <c r="R711" s="40">
        <v>0</v>
      </c>
      <c r="S711" s="2">
        <f t="shared" si="165"/>
        <v>47.400000000000389</v>
      </c>
      <c r="T711" s="2">
        <v>0</v>
      </c>
      <c r="U711" s="2">
        <v>0</v>
      </c>
      <c r="V711" s="2">
        <v>4</v>
      </c>
      <c r="W711" s="2">
        <v>0</v>
      </c>
      <c r="X711" s="2">
        <f t="shared" si="166"/>
        <v>120</v>
      </c>
      <c r="Z711" s="1">
        <v>36</v>
      </c>
      <c r="AA711" s="1">
        <v>87</v>
      </c>
      <c r="AB711" s="2">
        <f t="shared" si="167"/>
        <v>123</v>
      </c>
      <c r="AD711" s="121"/>
      <c r="AE711" s="121"/>
    </row>
    <row r="712" spans="1:31" x14ac:dyDescent="0.25">
      <c r="A712" s="2" t="s">
        <v>571</v>
      </c>
      <c r="B712" s="7">
        <v>0.43333333333333335</v>
      </c>
      <c r="C712" s="2">
        <v>2.4</v>
      </c>
      <c r="D712" s="10" t="s">
        <v>381</v>
      </c>
      <c r="E712" s="40">
        <v>0</v>
      </c>
      <c r="F712" s="40">
        <v>2</v>
      </c>
      <c r="G712" s="40">
        <v>1</v>
      </c>
      <c r="H712" s="3">
        <f t="shared" si="161"/>
        <v>0</v>
      </c>
      <c r="I712" s="3">
        <f t="shared" si="162"/>
        <v>0.19999999999999998</v>
      </c>
      <c r="J712" s="3">
        <f t="shared" si="163"/>
        <v>9.9999999999999992E-2</v>
      </c>
      <c r="K712" s="3"/>
      <c r="L712" s="4">
        <f t="shared" si="164"/>
        <v>161.87583333333325</v>
      </c>
      <c r="M712" s="40">
        <v>0</v>
      </c>
      <c r="N712" s="40">
        <v>0</v>
      </c>
      <c r="O712" s="40">
        <v>0</v>
      </c>
      <c r="P712" s="40">
        <v>0</v>
      </c>
      <c r="Q712" s="40">
        <v>0</v>
      </c>
      <c r="R712" s="40">
        <v>0</v>
      </c>
      <c r="S712" s="2">
        <f t="shared" si="165"/>
        <v>47.400000000000389</v>
      </c>
      <c r="T712" s="2">
        <v>0</v>
      </c>
      <c r="U712" s="2">
        <v>0</v>
      </c>
      <c r="V712" s="2">
        <v>0</v>
      </c>
      <c r="W712" s="2">
        <v>0</v>
      </c>
      <c r="X712" s="2">
        <f t="shared" si="166"/>
        <v>120</v>
      </c>
      <c r="Z712" s="1"/>
      <c r="AA712" s="1"/>
      <c r="AB712" s="2" t="str">
        <f t="shared" si="167"/>
        <v/>
      </c>
      <c r="AD712" s="121"/>
      <c r="AE712" s="121"/>
    </row>
    <row r="713" spans="1:31" x14ac:dyDescent="0.25">
      <c r="A713" s="2" t="s">
        <v>571</v>
      </c>
      <c r="B713" s="7">
        <v>0.51250000000000007</v>
      </c>
      <c r="C713" s="2">
        <v>1.9</v>
      </c>
      <c r="D713" s="10" t="s">
        <v>550</v>
      </c>
      <c r="E713" s="40">
        <v>10</v>
      </c>
      <c r="F713" s="40">
        <v>2.2000000000000002</v>
      </c>
      <c r="G713" s="40">
        <v>1.2</v>
      </c>
      <c r="H713" s="3">
        <f t="shared" si="161"/>
        <v>0.79166666666666663</v>
      </c>
      <c r="I713" s="3">
        <f t="shared" si="162"/>
        <v>0.17416666666666666</v>
      </c>
      <c r="J713" s="3">
        <f t="shared" si="163"/>
        <v>9.4999999999999987E-2</v>
      </c>
      <c r="K713" s="3"/>
      <c r="L713" s="4">
        <f t="shared" si="164"/>
        <v>160.81499999999991</v>
      </c>
      <c r="M713" s="40">
        <v>0</v>
      </c>
      <c r="N713" s="40">
        <v>0</v>
      </c>
      <c r="O713" s="40">
        <v>0</v>
      </c>
      <c r="P713" s="40">
        <v>0</v>
      </c>
      <c r="Q713" s="40">
        <v>0</v>
      </c>
      <c r="R713" s="40">
        <v>0</v>
      </c>
      <c r="S713" s="2">
        <f t="shared" si="165"/>
        <v>47.400000000000389</v>
      </c>
      <c r="T713" s="2">
        <v>0</v>
      </c>
      <c r="U713" s="2">
        <v>0</v>
      </c>
      <c r="V713" s="2">
        <v>1</v>
      </c>
      <c r="W713" s="2">
        <v>0</v>
      </c>
      <c r="X713" s="2">
        <f t="shared" si="166"/>
        <v>119</v>
      </c>
      <c r="Z713" s="1"/>
      <c r="AA713" s="1"/>
      <c r="AB713" s="2" t="str">
        <f t="shared" si="167"/>
        <v/>
      </c>
      <c r="AD713" s="121"/>
      <c r="AE713" s="121"/>
    </row>
    <row r="714" spans="1:31" x14ac:dyDescent="0.25">
      <c r="A714" s="2" t="s">
        <v>572</v>
      </c>
      <c r="B714" s="7">
        <v>0.33333333333333331</v>
      </c>
      <c r="C714" s="2">
        <v>19.7</v>
      </c>
      <c r="D714" s="10" t="s">
        <v>573</v>
      </c>
      <c r="E714" s="40">
        <v>0</v>
      </c>
      <c r="F714" s="40">
        <v>2.2000000000000002</v>
      </c>
      <c r="G714" s="40">
        <v>1.2</v>
      </c>
      <c r="H714" s="3">
        <f t="shared" si="161"/>
        <v>0</v>
      </c>
      <c r="I714" s="3">
        <f t="shared" si="162"/>
        <v>1.8058333333333334</v>
      </c>
      <c r="J714" s="3">
        <f t="shared" si="163"/>
        <v>0.98499999999999988</v>
      </c>
      <c r="K714" s="3"/>
      <c r="L714" s="4">
        <f t="shared" si="164"/>
        <v>158.02416666666659</v>
      </c>
      <c r="M714" s="40">
        <v>0</v>
      </c>
      <c r="N714" s="40">
        <v>0</v>
      </c>
      <c r="O714" s="40">
        <v>0.1</v>
      </c>
      <c r="P714" s="40">
        <v>0</v>
      </c>
      <c r="Q714" s="40">
        <v>4</v>
      </c>
      <c r="R714" s="40">
        <v>0</v>
      </c>
      <c r="S714" s="2">
        <f t="shared" si="165"/>
        <v>43.300000000000388</v>
      </c>
      <c r="T714" s="2">
        <v>0</v>
      </c>
      <c r="U714" s="2">
        <v>0</v>
      </c>
      <c r="V714" s="2">
        <v>3</v>
      </c>
      <c r="W714" s="2">
        <v>0</v>
      </c>
      <c r="X714" s="2">
        <f t="shared" si="166"/>
        <v>116</v>
      </c>
      <c r="Z714" s="1"/>
      <c r="AA714" s="1"/>
      <c r="AB714" s="2" t="str">
        <f t="shared" si="167"/>
        <v/>
      </c>
      <c r="AD714" s="121"/>
      <c r="AE714" s="121"/>
    </row>
    <row r="715" spans="1:31" x14ac:dyDescent="0.25">
      <c r="A715" s="2" t="s">
        <v>572</v>
      </c>
      <c r="B715" s="7">
        <v>0.39583333333333331</v>
      </c>
      <c r="C715" s="2">
        <v>1.5</v>
      </c>
      <c r="D715" s="10" t="s">
        <v>381</v>
      </c>
      <c r="E715" s="40">
        <v>0</v>
      </c>
      <c r="F715" s="40">
        <v>2.2000000000000002</v>
      </c>
      <c r="G715" s="40">
        <v>1.2</v>
      </c>
      <c r="H715" s="3">
        <f t="shared" si="161"/>
        <v>0</v>
      </c>
      <c r="I715" s="3">
        <f t="shared" si="162"/>
        <v>0.13750000000000001</v>
      </c>
      <c r="J715" s="3">
        <f t="shared" si="163"/>
        <v>7.4999999999999997E-2</v>
      </c>
      <c r="K715" s="3"/>
      <c r="L715" s="4">
        <f t="shared" si="164"/>
        <v>157.81166666666658</v>
      </c>
      <c r="M715" s="40">
        <v>0</v>
      </c>
      <c r="N715" s="40">
        <v>0</v>
      </c>
      <c r="O715" s="40">
        <v>0</v>
      </c>
      <c r="P715" s="40">
        <v>0</v>
      </c>
      <c r="Q715" s="40">
        <v>0</v>
      </c>
      <c r="R715" s="40">
        <v>0</v>
      </c>
      <c r="S715" s="2">
        <f t="shared" si="165"/>
        <v>43.300000000000388</v>
      </c>
      <c r="T715" s="2">
        <v>0</v>
      </c>
      <c r="U715" s="2">
        <v>0</v>
      </c>
      <c r="V715" s="2">
        <v>0</v>
      </c>
      <c r="W715" s="2">
        <v>0</v>
      </c>
      <c r="X715" s="2">
        <f t="shared" si="166"/>
        <v>116</v>
      </c>
      <c r="Z715" s="1"/>
      <c r="AA715" s="1"/>
      <c r="AB715" s="2" t="str">
        <f t="shared" si="167"/>
        <v/>
      </c>
      <c r="AD715" s="121"/>
      <c r="AE715" s="121"/>
    </row>
    <row r="716" spans="1:31" x14ac:dyDescent="0.25">
      <c r="A716" s="2" t="s">
        <v>572</v>
      </c>
      <c r="B716" s="7">
        <v>0.41666666666666669</v>
      </c>
      <c r="C716" s="2">
        <v>0.5</v>
      </c>
      <c r="D716" s="10" t="s">
        <v>105</v>
      </c>
      <c r="E716" s="40">
        <v>15</v>
      </c>
      <c r="F716" s="40">
        <v>2.2000000000000002</v>
      </c>
      <c r="G716" s="40">
        <v>1</v>
      </c>
      <c r="H716" s="3">
        <f t="shared" si="161"/>
        <v>0.3125</v>
      </c>
      <c r="I716" s="3">
        <f t="shared" si="162"/>
        <v>4.5833333333333337E-2</v>
      </c>
      <c r="J716" s="3">
        <f t="shared" si="163"/>
        <v>2.0833333333333332E-2</v>
      </c>
      <c r="K716" s="3"/>
      <c r="L716" s="4">
        <f t="shared" si="164"/>
        <v>157.43249999999992</v>
      </c>
      <c r="M716" s="40">
        <v>0</v>
      </c>
      <c r="N716" s="40">
        <v>0</v>
      </c>
      <c r="O716" s="40">
        <v>0</v>
      </c>
      <c r="P716" s="40">
        <v>0</v>
      </c>
      <c r="Q716" s="40">
        <v>0</v>
      </c>
      <c r="R716" s="40">
        <v>0</v>
      </c>
      <c r="S716" s="2">
        <f t="shared" si="165"/>
        <v>43.300000000000388</v>
      </c>
      <c r="T716" s="2">
        <v>0</v>
      </c>
      <c r="U716" s="2">
        <v>0</v>
      </c>
      <c r="V716" s="2">
        <v>0</v>
      </c>
      <c r="W716" s="2">
        <v>0</v>
      </c>
      <c r="X716" s="2">
        <f t="shared" si="166"/>
        <v>116</v>
      </c>
      <c r="Z716" s="1"/>
      <c r="AA716" s="1"/>
      <c r="AB716" s="2" t="str">
        <f t="shared" si="167"/>
        <v/>
      </c>
      <c r="AD716" s="121"/>
      <c r="AE716" s="121"/>
    </row>
    <row r="717" spans="1:31" x14ac:dyDescent="0.25">
      <c r="A717" s="2" t="s">
        <v>575</v>
      </c>
      <c r="B717" s="7">
        <v>0.29166666666666669</v>
      </c>
      <c r="C717" s="2">
        <v>21</v>
      </c>
      <c r="D717" s="10" t="s">
        <v>374</v>
      </c>
      <c r="E717" s="40">
        <v>22</v>
      </c>
      <c r="F717" s="40">
        <v>2.2000000000000002</v>
      </c>
      <c r="G717" s="40">
        <v>0</v>
      </c>
      <c r="H717" s="3">
        <f t="shared" si="161"/>
        <v>19.25</v>
      </c>
      <c r="I717" s="3">
        <f t="shared" si="162"/>
        <v>1.9250000000000003</v>
      </c>
      <c r="J717" s="3">
        <f t="shared" si="163"/>
        <v>0</v>
      </c>
      <c r="K717" s="3"/>
      <c r="L717" s="4">
        <f t="shared" si="164"/>
        <v>136.25749999999991</v>
      </c>
      <c r="M717" s="40">
        <v>0</v>
      </c>
      <c r="N717" s="40">
        <v>0</v>
      </c>
      <c r="O717" s="40">
        <v>0.1</v>
      </c>
      <c r="P717" s="40">
        <v>0</v>
      </c>
      <c r="Q717" s="40">
        <v>0</v>
      </c>
      <c r="R717" s="40">
        <v>0</v>
      </c>
      <c r="S717" s="2">
        <f t="shared" si="165"/>
        <v>43.200000000000387</v>
      </c>
      <c r="T717" s="2">
        <v>0</v>
      </c>
      <c r="U717" s="2">
        <v>0</v>
      </c>
      <c r="V717" s="2">
        <v>4</v>
      </c>
      <c r="W717" s="2">
        <v>0</v>
      </c>
      <c r="X717" s="2">
        <f t="shared" si="166"/>
        <v>112</v>
      </c>
      <c r="Z717" s="1"/>
      <c r="AA717" s="1"/>
      <c r="AB717" s="2" t="str">
        <f t="shared" si="167"/>
        <v/>
      </c>
      <c r="AD717" s="121">
        <v>12.4</v>
      </c>
      <c r="AE717" s="121" t="s">
        <v>1311</v>
      </c>
    </row>
    <row r="718" spans="1:31" x14ac:dyDescent="0.25">
      <c r="A718" s="2" t="s">
        <v>575</v>
      </c>
      <c r="B718" s="7">
        <v>0.32500000000000001</v>
      </c>
      <c r="C718" s="2">
        <v>0.8</v>
      </c>
      <c r="D718" s="10" t="s">
        <v>416</v>
      </c>
      <c r="E718" s="40">
        <v>15</v>
      </c>
      <c r="F718" s="40">
        <v>2.2000000000000002</v>
      </c>
      <c r="G718" s="40">
        <v>1</v>
      </c>
      <c r="H718" s="3">
        <f t="shared" ref="H718:H772" si="168">+IF(E718="","",(E718/24)*C718)</f>
        <v>0.5</v>
      </c>
      <c r="I718" s="3">
        <f t="shared" ref="I718:I772" si="169">+IF(F718="","",(F718/24)*C718)</f>
        <v>7.3333333333333348E-2</v>
      </c>
      <c r="J718" s="3">
        <f t="shared" ref="J718:J772" si="170">+IF(G718="","",(G718/24)*C718)</f>
        <v>3.3333333333333333E-2</v>
      </c>
      <c r="K718" s="3"/>
      <c r="L718" s="4">
        <f t="shared" si="164"/>
        <v>135.65083333333325</v>
      </c>
      <c r="M718" s="40">
        <v>0</v>
      </c>
      <c r="N718" s="40">
        <v>0</v>
      </c>
      <c r="O718" s="40">
        <v>0</v>
      </c>
      <c r="P718" s="40">
        <v>0</v>
      </c>
      <c r="Q718" s="40">
        <v>0</v>
      </c>
      <c r="R718" s="40">
        <v>0</v>
      </c>
      <c r="S718" s="2">
        <f t="shared" si="165"/>
        <v>43.200000000000387</v>
      </c>
      <c r="T718" s="2">
        <v>0</v>
      </c>
      <c r="U718" s="2">
        <v>0</v>
      </c>
      <c r="V718" s="2">
        <v>0</v>
      </c>
      <c r="W718" s="2">
        <v>0</v>
      </c>
      <c r="X718" s="2">
        <f t="shared" si="166"/>
        <v>112</v>
      </c>
      <c r="Z718" s="1"/>
      <c r="AA718" s="1"/>
      <c r="AB718" s="2" t="str">
        <f t="shared" si="167"/>
        <v/>
      </c>
      <c r="AD718" s="121"/>
      <c r="AE718" s="121"/>
    </row>
    <row r="719" spans="1:31" x14ac:dyDescent="0.25">
      <c r="A719" s="2" t="s">
        <v>575</v>
      </c>
      <c r="B719" s="7">
        <v>0.33333333333333331</v>
      </c>
      <c r="C719" s="2">
        <v>0.2</v>
      </c>
      <c r="D719" s="10" t="s">
        <v>416</v>
      </c>
      <c r="E719" s="40">
        <v>0</v>
      </c>
      <c r="F719" s="40">
        <v>2.2000000000000002</v>
      </c>
      <c r="G719" s="40">
        <v>1.2</v>
      </c>
      <c r="H719" s="3">
        <f t="shared" si="168"/>
        <v>0</v>
      </c>
      <c r="I719" s="3">
        <f t="shared" si="169"/>
        <v>1.8333333333333337E-2</v>
      </c>
      <c r="J719" s="3">
        <f t="shared" si="170"/>
        <v>0.01</v>
      </c>
      <c r="K719" s="3"/>
      <c r="L719" s="4">
        <f t="shared" si="164"/>
        <v>135.62249999999992</v>
      </c>
      <c r="M719" s="40">
        <v>0</v>
      </c>
      <c r="N719" s="40">
        <v>0</v>
      </c>
      <c r="O719" s="40">
        <v>0</v>
      </c>
      <c r="P719" s="40">
        <v>0</v>
      </c>
      <c r="Q719" s="40">
        <v>0</v>
      </c>
      <c r="R719" s="40">
        <v>0</v>
      </c>
      <c r="S719" s="2">
        <f t="shared" si="165"/>
        <v>43.200000000000387</v>
      </c>
      <c r="T719" s="2">
        <v>0</v>
      </c>
      <c r="U719" s="2">
        <v>0</v>
      </c>
      <c r="V719" s="2">
        <v>0</v>
      </c>
      <c r="W719" s="2">
        <v>0</v>
      </c>
      <c r="X719" s="2">
        <f t="shared" si="166"/>
        <v>112</v>
      </c>
      <c r="Z719" s="1"/>
      <c r="AA719" s="1"/>
      <c r="AB719" s="2" t="str">
        <f t="shared" si="167"/>
        <v/>
      </c>
      <c r="AD719" s="121"/>
      <c r="AE719" s="121"/>
    </row>
    <row r="720" spans="1:31" x14ac:dyDescent="0.25">
      <c r="A720" s="59"/>
      <c r="B720" s="7"/>
      <c r="C720" s="59"/>
      <c r="D720" s="10"/>
      <c r="E720" s="40"/>
      <c r="F720" s="40"/>
      <c r="G720" s="40"/>
      <c r="H720" s="3"/>
      <c r="I720" s="3"/>
      <c r="J720" s="3"/>
      <c r="K720" s="3"/>
      <c r="L720" s="4"/>
      <c r="M720" s="40"/>
      <c r="N720" s="40"/>
      <c r="O720" s="40"/>
      <c r="P720" s="40"/>
      <c r="Q720" s="40"/>
      <c r="R720" s="40"/>
      <c r="S720" s="59"/>
      <c r="T720" s="59"/>
      <c r="U720" s="59"/>
      <c r="V720" s="59"/>
      <c r="W720" s="59"/>
      <c r="X720" s="59"/>
      <c r="Z720" s="1"/>
      <c r="AA720" s="1"/>
      <c r="AB720" s="59"/>
      <c r="AD720" s="121"/>
      <c r="AE720" s="121"/>
    </row>
    <row r="721" spans="1:31" x14ac:dyDescent="0.25">
      <c r="A721" s="9" t="s">
        <v>576</v>
      </c>
      <c r="B721" s="65">
        <v>0.33333333333333331</v>
      </c>
      <c r="C721" s="2">
        <v>24</v>
      </c>
      <c r="D721" s="10" t="s">
        <v>416</v>
      </c>
      <c r="E721" s="40">
        <v>0</v>
      </c>
      <c r="F721" s="40">
        <v>2.2000000000000002</v>
      </c>
      <c r="G721" s="40">
        <v>0.5</v>
      </c>
      <c r="H721" s="3">
        <f t="shared" si="168"/>
        <v>0</v>
      </c>
      <c r="I721" s="3">
        <f t="shared" si="169"/>
        <v>2.2000000000000002</v>
      </c>
      <c r="J721" s="3">
        <f t="shared" si="170"/>
        <v>0.5</v>
      </c>
      <c r="K721" s="3"/>
      <c r="L721" s="4">
        <f>+IF(C721="","",((L719-(H721+I721+J721))+K721))</f>
        <v>132.92249999999993</v>
      </c>
      <c r="M721" s="40">
        <v>0</v>
      </c>
      <c r="N721" s="40">
        <v>0</v>
      </c>
      <c r="O721" s="40">
        <v>0.1</v>
      </c>
      <c r="P721" s="40">
        <v>0</v>
      </c>
      <c r="Q721" s="40">
        <v>0</v>
      </c>
      <c r="R721" s="40">
        <v>0</v>
      </c>
      <c r="S721" s="2">
        <f>IF(C721="","",(S719+R721)-(M721+N721+O721+P721+Q721))</f>
        <v>43.100000000000385</v>
      </c>
      <c r="T721" s="2">
        <v>0</v>
      </c>
      <c r="U721" s="2">
        <v>0</v>
      </c>
      <c r="V721" s="2">
        <v>4</v>
      </c>
      <c r="W721" s="2">
        <v>5</v>
      </c>
      <c r="X721" s="2">
        <f>IF(V721="","",((X719+T721+U721)-(V721+W721)))</f>
        <v>103</v>
      </c>
      <c r="Z721" s="1">
        <v>22</v>
      </c>
      <c r="AA721" s="1">
        <v>80</v>
      </c>
      <c r="AB721" s="2">
        <f t="shared" si="167"/>
        <v>102</v>
      </c>
      <c r="AD721" s="121"/>
      <c r="AE721" s="121"/>
    </row>
    <row r="722" spans="1:31" x14ac:dyDescent="0.25">
      <c r="A722" s="2" t="s">
        <v>577</v>
      </c>
      <c r="B722" s="65">
        <v>0.33333333333333331</v>
      </c>
      <c r="C722" s="2">
        <v>24</v>
      </c>
      <c r="D722" s="10" t="s">
        <v>416</v>
      </c>
      <c r="E722" s="40">
        <v>0</v>
      </c>
      <c r="F722" s="40">
        <v>2.2000000000000002</v>
      </c>
      <c r="G722" s="40">
        <v>1.2</v>
      </c>
      <c r="H722" s="3">
        <f t="shared" si="168"/>
        <v>0</v>
      </c>
      <c r="I722" s="3">
        <f t="shared" si="169"/>
        <v>2.2000000000000002</v>
      </c>
      <c r="J722" s="3">
        <f t="shared" si="170"/>
        <v>1.2</v>
      </c>
      <c r="K722" s="3"/>
      <c r="L722" s="80">
        <f t="shared" si="164"/>
        <v>129.52249999999992</v>
      </c>
      <c r="M722" s="40">
        <v>0</v>
      </c>
      <c r="N722" s="40">
        <v>0</v>
      </c>
      <c r="O722" s="40">
        <v>0.1</v>
      </c>
      <c r="P722" s="40">
        <v>0</v>
      </c>
      <c r="Q722" s="40">
        <v>0</v>
      </c>
      <c r="R722" s="40">
        <v>0</v>
      </c>
      <c r="S722" s="35">
        <f t="shared" si="165"/>
        <v>43.000000000000384</v>
      </c>
      <c r="T722" s="2">
        <v>0</v>
      </c>
      <c r="U722" s="2">
        <v>0</v>
      </c>
      <c r="V722" s="2">
        <v>5</v>
      </c>
      <c r="W722" s="2">
        <v>0</v>
      </c>
      <c r="X722" s="2">
        <f t="shared" si="166"/>
        <v>98</v>
      </c>
      <c r="Z722" s="1">
        <v>22</v>
      </c>
      <c r="AA722" s="1">
        <v>72</v>
      </c>
      <c r="AB722" s="2">
        <f t="shared" si="167"/>
        <v>94</v>
      </c>
      <c r="AD722" s="121"/>
      <c r="AE722" s="121"/>
    </row>
    <row r="723" spans="1:31" x14ac:dyDescent="0.25">
      <c r="A723" s="2" t="s">
        <v>577</v>
      </c>
      <c r="B723" s="7">
        <v>0.55833333333333335</v>
      </c>
      <c r="C723" s="2">
        <v>5.4</v>
      </c>
      <c r="D723" s="10" t="s">
        <v>381</v>
      </c>
      <c r="E723" s="40">
        <v>0</v>
      </c>
      <c r="F723" s="40">
        <v>2.2000000000000002</v>
      </c>
      <c r="G723" s="40">
        <v>1.2</v>
      </c>
      <c r="H723" s="3">
        <f t="shared" si="168"/>
        <v>0</v>
      </c>
      <c r="I723" s="3">
        <f t="shared" si="169"/>
        <v>0.49500000000000005</v>
      </c>
      <c r="J723" s="3">
        <f t="shared" si="170"/>
        <v>0.27</v>
      </c>
      <c r="K723" s="3"/>
      <c r="L723" s="4">
        <f t="shared" si="164"/>
        <v>128.75749999999994</v>
      </c>
      <c r="M723" s="40">
        <v>0</v>
      </c>
      <c r="N723" s="40">
        <v>0</v>
      </c>
      <c r="O723" s="40">
        <v>0</v>
      </c>
      <c r="P723" s="40">
        <v>0</v>
      </c>
      <c r="Q723" s="40">
        <v>0</v>
      </c>
      <c r="R723" s="40">
        <v>0</v>
      </c>
      <c r="S723" s="2">
        <f t="shared" si="165"/>
        <v>43.000000000000384</v>
      </c>
      <c r="T723" s="2">
        <v>0</v>
      </c>
      <c r="U723" s="2">
        <v>0</v>
      </c>
      <c r="V723" s="2">
        <v>1</v>
      </c>
      <c r="W723" s="2">
        <v>0</v>
      </c>
      <c r="X723" s="2">
        <f t="shared" si="166"/>
        <v>97</v>
      </c>
      <c r="Z723" s="1"/>
      <c r="AA723" s="1"/>
      <c r="AB723" s="2" t="str">
        <f t="shared" si="167"/>
        <v/>
      </c>
      <c r="AD723" s="121"/>
      <c r="AE723" s="121"/>
    </row>
    <row r="724" spans="1:31" x14ac:dyDescent="0.25">
      <c r="A724" s="2" t="s">
        <v>577</v>
      </c>
      <c r="B724" s="7">
        <v>0.6333333333333333</v>
      </c>
      <c r="C724" s="2">
        <v>1.8</v>
      </c>
      <c r="D724" s="10" t="s">
        <v>474</v>
      </c>
      <c r="E724" s="40">
        <v>10</v>
      </c>
      <c r="F724" s="40">
        <v>2.2000000000000002</v>
      </c>
      <c r="G724" s="40">
        <v>1.2</v>
      </c>
      <c r="H724" s="3">
        <f t="shared" si="168"/>
        <v>0.75</v>
      </c>
      <c r="I724" s="3">
        <f t="shared" si="169"/>
        <v>0.16500000000000001</v>
      </c>
      <c r="J724" s="3">
        <f t="shared" si="170"/>
        <v>0.09</v>
      </c>
      <c r="K724" s="3"/>
      <c r="L724" s="4">
        <f t="shared" si="164"/>
        <v>127.75249999999994</v>
      </c>
      <c r="M724" s="40">
        <v>0</v>
      </c>
      <c r="N724" s="40">
        <v>0</v>
      </c>
      <c r="O724" s="40">
        <v>0</v>
      </c>
      <c r="P724" s="40">
        <v>0</v>
      </c>
      <c r="Q724" s="40">
        <v>0</v>
      </c>
      <c r="R724" s="40">
        <v>0</v>
      </c>
      <c r="S724" s="2">
        <f t="shared" si="165"/>
        <v>43.000000000000384</v>
      </c>
      <c r="T724" s="2">
        <v>0</v>
      </c>
      <c r="U724" s="2">
        <v>0</v>
      </c>
      <c r="V724" s="2">
        <v>0</v>
      </c>
      <c r="W724" s="2">
        <v>0</v>
      </c>
      <c r="X724" s="2">
        <f t="shared" si="166"/>
        <v>97</v>
      </c>
      <c r="Z724" s="1"/>
      <c r="AA724" s="1"/>
      <c r="AB724" s="2" t="str">
        <f t="shared" si="167"/>
        <v/>
      </c>
      <c r="AD724" s="121"/>
      <c r="AE724" s="121"/>
    </row>
    <row r="725" spans="1:31" x14ac:dyDescent="0.25">
      <c r="A725" s="2" t="s">
        <v>578</v>
      </c>
      <c r="B725" s="65">
        <v>0.33333333333333331</v>
      </c>
      <c r="C725" s="2">
        <v>16.8</v>
      </c>
      <c r="D725" s="10" t="s">
        <v>474</v>
      </c>
      <c r="E725" s="40">
        <v>0</v>
      </c>
      <c r="F725" s="40">
        <v>2.5</v>
      </c>
      <c r="G725" s="40">
        <v>1.5</v>
      </c>
      <c r="H725" s="3">
        <f t="shared" si="168"/>
        <v>0</v>
      </c>
      <c r="I725" s="3">
        <f t="shared" si="169"/>
        <v>1.7500000000000002</v>
      </c>
      <c r="J725" s="3">
        <f t="shared" si="170"/>
        <v>1.05</v>
      </c>
      <c r="K725" s="3"/>
      <c r="L725" s="4">
        <f t="shared" si="164"/>
        <v>124.95249999999994</v>
      </c>
      <c r="M725" s="40">
        <v>0</v>
      </c>
      <c r="N725" s="40">
        <v>0</v>
      </c>
      <c r="O725" s="40">
        <v>0.1</v>
      </c>
      <c r="P725" s="40">
        <v>0</v>
      </c>
      <c r="Q725" s="40">
        <v>2.2000000000000002</v>
      </c>
      <c r="R725" s="40">
        <v>0</v>
      </c>
      <c r="S725" s="2">
        <f t="shared" si="165"/>
        <v>40.700000000000387</v>
      </c>
      <c r="T725" s="2">
        <v>0</v>
      </c>
      <c r="U725" s="2">
        <v>0</v>
      </c>
      <c r="V725" s="2">
        <v>3</v>
      </c>
      <c r="W725" s="2">
        <v>0</v>
      </c>
      <c r="X725" s="2">
        <f t="shared" si="166"/>
        <v>94</v>
      </c>
      <c r="Z725" s="1"/>
      <c r="AA725" s="1"/>
      <c r="AB725" s="2" t="str">
        <f t="shared" si="167"/>
        <v/>
      </c>
      <c r="AD725" s="121"/>
      <c r="AE725" s="121"/>
    </row>
    <row r="726" spans="1:31" x14ac:dyDescent="0.25">
      <c r="A726" s="2" t="s">
        <v>578</v>
      </c>
      <c r="B726" s="7">
        <v>0.625</v>
      </c>
      <c r="C726" s="2">
        <v>7</v>
      </c>
      <c r="D726" s="10" t="s">
        <v>381</v>
      </c>
      <c r="E726" s="40">
        <v>0</v>
      </c>
      <c r="F726" s="40">
        <v>2.5</v>
      </c>
      <c r="G726" s="40">
        <v>1.5</v>
      </c>
      <c r="H726" s="3">
        <f t="shared" si="168"/>
        <v>0</v>
      </c>
      <c r="I726" s="3">
        <f t="shared" si="169"/>
        <v>0.72916666666666674</v>
      </c>
      <c r="J726" s="3">
        <f t="shared" si="170"/>
        <v>0.4375</v>
      </c>
      <c r="K726" s="3"/>
      <c r="L726" s="4">
        <f t="shared" si="164"/>
        <v>123.78583333333327</v>
      </c>
      <c r="M726" s="40">
        <v>0</v>
      </c>
      <c r="N726" s="40">
        <v>0</v>
      </c>
      <c r="O726" s="40">
        <v>0</v>
      </c>
      <c r="P726" s="40">
        <v>0</v>
      </c>
      <c r="Q726" s="40">
        <v>1</v>
      </c>
      <c r="R726" s="40">
        <v>0</v>
      </c>
      <c r="S726" s="2">
        <f t="shared" si="165"/>
        <v>39.700000000000387</v>
      </c>
      <c r="T726" s="2">
        <v>0</v>
      </c>
      <c r="U726" s="2">
        <v>0</v>
      </c>
      <c r="V726" s="2">
        <v>0</v>
      </c>
      <c r="W726" s="2">
        <v>0</v>
      </c>
      <c r="X726" s="2">
        <f t="shared" si="166"/>
        <v>94</v>
      </c>
      <c r="Z726" s="1"/>
      <c r="AA726" s="1"/>
      <c r="AB726" s="2" t="str">
        <f t="shared" si="167"/>
        <v/>
      </c>
      <c r="AD726" s="121"/>
      <c r="AE726" s="121"/>
    </row>
    <row r="727" spans="1:31" x14ac:dyDescent="0.25">
      <c r="A727" s="2" t="s">
        <v>579</v>
      </c>
      <c r="B727" s="7">
        <v>0.64583333333333337</v>
      </c>
      <c r="C727" s="2">
        <v>0.5</v>
      </c>
      <c r="D727" s="10" t="s">
        <v>355</v>
      </c>
      <c r="E727" s="40">
        <v>10</v>
      </c>
      <c r="F727" s="40">
        <v>2.5</v>
      </c>
      <c r="G727" s="40">
        <v>1.5</v>
      </c>
      <c r="H727" s="3">
        <f t="shared" si="168"/>
        <v>0.20833333333333334</v>
      </c>
      <c r="I727" s="3">
        <f t="shared" si="169"/>
        <v>5.2083333333333336E-2</v>
      </c>
      <c r="J727" s="3">
        <f t="shared" si="170"/>
        <v>3.125E-2</v>
      </c>
      <c r="K727" s="3"/>
      <c r="L727" s="4">
        <f t="shared" si="164"/>
        <v>123.4941666666666</v>
      </c>
      <c r="M727" s="40">
        <v>0</v>
      </c>
      <c r="N727" s="40">
        <v>0</v>
      </c>
      <c r="O727" s="40">
        <v>0</v>
      </c>
      <c r="P727" s="40">
        <v>0</v>
      </c>
      <c r="Q727" s="40">
        <v>0</v>
      </c>
      <c r="R727" s="40">
        <v>0</v>
      </c>
      <c r="S727" s="2">
        <f t="shared" si="165"/>
        <v>39.700000000000387</v>
      </c>
      <c r="T727" s="2">
        <v>0</v>
      </c>
      <c r="U727" s="2">
        <v>0</v>
      </c>
      <c r="V727" s="2">
        <v>1</v>
      </c>
      <c r="W727" s="2">
        <v>0</v>
      </c>
      <c r="X727" s="2">
        <f t="shared" si="166"/>
        <v>93</v>
      </c>
      <c r="Z727" s="1"/>
      <c r="AA727" s="1"/>
      <c r="AB727" s="2" t="str">
        <f t="shared" si="167"/>
        <v/>
      </c>
      <c r="AD727" s="121"/>
      <c r="AE727" s="121"/>
    </row>
    <row r="728" spans="1:31" x14ac:dyDescent="0.25">
      <c r="A728" s="2" t="s">
        <v>578</v>
      </c>
      <c r="B728" s="7">
        <v>0.95833333333333337</v>
      </c>
      <c r="C728" s="2">
        <v>7.5</v>
      </c>
      <c r="D728" s="10" t="s">
        <v>374</v>
      </c>
      <c r="E728" s="40">
        <v>22</v>
      </c>
      <c r="F728" s="40">
        <v>2.5</v>
      </c>
      <c r="G728" s="40">
        <v>0</v>
      </c>
      <c r="H728" s="3">
        <f t="shared" si="168"/>
        <v>6.875</v>
      </c>
      <c r="I728" s="3">
        <f t="shared" si="169"/>
        <v>0.78125</v>
      </c>
      <c r="J728" s="3">
        <f t="shared" si="170"/>
        <v>0</v>
      </c>
      <c r="K728" s="3"/>
      <c r="L728" s="4">
        <f t="shared" si="164"/>
        <v>115.8379166666666</v>
      </c>
      <c r="M728" s="40">
        <v>0</v>
      </c>
      <c r="N728" s="40">
        <v>0</v>
      </c>
      <c r="O728" s="40">
        <v>0</v>
      </c>
      <c r="P728" s="40">
        <v>0</v>
      </c>
      <c r="Q728" s="40">
        <v>0</v>
      </c>
      <c r="R728" s="40">
        <v>0</v>
      </c>
      <c r="S728" s="2">
        <f t="shared" si="165"/>
        <v>39.700000000000387</v>
      </c>
      <c r="T728" s="2">
        <v>0</v>
      </c>
      <c r="U728" s="2">
        <v>0</v>
      </c>
      <c r="V728" s="2">
        <v>2</v>
      </c>
      <c r="W728" s="2">
        <v>0</v>
      </c>
      <c r="X728" s="2">
        <f t="shared" si="166"/>
        <v>91</v>
      </c>
      <c r="Z728" s="1"/>
      <c r="AA728" s="1"/>
      <c r="AB728" s="2" t="str">
        <f t="shared" si="167"/>
        <v/>
      </c>
      <c r="AD728" s="121">
        <v>12.1</v>
      </c>
      <c r="AE728" s="121" t="s">
        <v>1301</v>
      </c>
    </row>
    <row r="729" spans="1:31" x14ac:dyDescent="0.25">
      <c r="A729" s="2" t="s">
        <v>578</v>
      </c>
      <c r="B729" s="7">
        <v>0.9916666666666667</v>
      </c>
      <c r="C729" s="2">
        <v>0.8</v>
      </c>
      <c r="D729" s="10" t="s">
        <v>580</v>
      </c>
      <c r="E729" s="40">
        <v>10</v>
      </c>
      <c r="F729" s="40">
        <v>2.5</v>
      </c>
      <c r="G729" s="40">
        <v>1</v>
      </c>
      <c r="H729" s="3">
        <f t="shared" si="168"/>
        <v>0.33333333333333337</v>
      </c>
      <c r="I729" s="3">
        <f t="shared" si="169"/>
        <v>8.3333333333333343E-2</v>
      </c>
      <c r="J729" s="3">
        <f t="shared" si="170"/>
        <v>3.3333333333333333E-2</v>
      </c>
      <c r="K729" s="3"/>
      <c r="L729" s="4">
        <f t="shared" si="164"/>
        <v>115.3879166666666</v>
      </c>
      <c r="M729" s="40">
        <v>0</v>
      </c>
      <c r="N729" s="40">
        <v>0</v>
      </c>
      <c r="O729" s="40">
        <v>0</v>
      </c>
      <c r="P729" s="40">
        <v>0</v>
      </c>
      <c r="Q729" s="40">
        <v>0</v>
      </c>
      <c r="R729" s="40">
        <v>0</v>
      </c>
      <c r="S729" s="2">
        <f t="shared" si="165"/>
        <v>39.700000000000387</v>
      </c>
      <c r="T729" s="2">
        <v>0</v>
      </c>
      <c r="U729" s="2">
        <v>0</v>
      </c>
      <c r="V729" s="2">
        <v>0</v>
      </c>
      <c r="W729" s="2">
        <v>0</v>
      </c>
      <c r="X729" s="2">
        <f t="shared" si="166"/>
        <v>91</v>
      </c>
      <c r="Z729" s="1"/>
      <c r="AA729" s="1"/>
      <c r="AB729" s="2" t="str">
        <f t="shared" si="167"/>
        <v/>
      </c>
      <c r="AD729" s="121"/>
      <c r="AE729" s="121"/>
    </row>
    <row r="730" spans="1:31" x14ac:dyDescent="0.25">
      <c r="A730" s="2" t="s">
        <v>581</v>
      </c>
      <c r="B730" s="7">
        <v>0.26250000000000001</v>
      </c>
      <c r="C730" s="2">
        <v>6.5</v>
      </c>
      <c r="D730" s="10" t="s">
        <v>381</v>
      </c>
      <c r="E730" s="40">
        <v>0</v>
      </c>
      <c r="F730" s="40">
        <v>2.5</v>
      </c>
      <c r="G730" s="40">
        <v>1.5</v>
      </c>
      <c r="H730" s="3">
        <f t="shared" si="168"/>
        <v>0</v>
      </c>
      <c r="I730" s="3">
        <f t="shared" si="169"/>
        <v>0.67708333333333337</v>
      </c>
      <c r="J730" s="3">
        <f t="shared" si="170"/>
        <v>0.40625</v>
      </c>
      <c r="K730" s="3"/>
      <c r="L730" s="4">
        <f t="shared" si="164"/>
        <v>114.30458333333327</v>
      </c>
      <c r="M730" s="40">
        <v>0</v>
      </c>
      <c r="N730" s="40">
        <v>0</v>
      </c>
      <c r="O730" s="40">
        <v>0.1</v>
      </c>
      <c r="P730" s="40">
        <v>0</v>
      </c>
      <c r="Q730" s="40">
        <v>0</v>
      </c>
      <c r="R730" s="40">
        <v>0</v>
      </c>
      <c r="S730" s="2">
        <f t="shared" si="165"/>
        <v>39.600000000000385</v>
      </c>
      <c r="T730" s="2">
        <v>0</v>
      </c>
      <c r="U730" s="2">
        <v>0</v>
      </c>
      <c r="V730" s="2">
        <v>1</v>
      </c>
      <c r="W730" s="2">
        <v>0</v>
      </c>
      <c r="X730" s="2">
        <f t="shared" si="166"/>
        <v>90</v>
      </c>
      <c r="Z730" s="1"/>
      <c r="AA730" s="1"/>
      <c r="AB730" s="2" t="str">
        <f t="shared" si="167"/>
        <v/>
      </c>
      <c r="AD730" s="121"/>
      <c r="AE730" s="121"/>
    </row>
    <row r="731" spans="1:31" x14ac:dyDescent="0.25">
      <c r="A731" s="2" t="s">
        <v>581</v>
      </c>
      <c r="B731" s="65">
        <v>0.33333333333333331</v>
      </c>
      <c r="C731" s="2">
        <v>1.8</v>
      </c>
      <c r="D731" s="10" t="s">
        <v>533</v>
      </c>
      <c r="E731" s="40">
        <v>10</v>
      </c>
      <c r="F731" s="40">
        <v>2.5</v>
      </c>
      <c r="G731" s="40">
        <v>1</v>
      </c>
      <c r="H731" s="3">
        <f t="shared" si="168"/>
        <v>0.75</v>
      </c>
      <c r="I731" s="3">
        <f t="shared" si="169"/>
        <v>0.1875</v>
      </c>
      <c r="J731" s="3">
        <f t="shared" si="170"/>
        <v>7.4999999999999997E-2</v>
      </c>
      <c r="K731" s="3"/>
      <c r="L731" s="4">
        <f t="shared" si="164"/>
        <v>113.29208333333327</v>
      </c>
      <c r="M731" s="40">
        <v>0</v>
      </c>
      <c r="N731" s="40">
        <v>0</v>
      </c>
      <c r="O731" s="40">
        <v>0</v>
      </c>
      <c r="P731" s="40">
        <v>0</v>
      </c>
      <c r="Q731" s="40">
        <v>0</v>
      </c>
      <c r="R731" s="40">
        <v>0</v>
      </c>
      <c r="S731" s="2">
        <f t="shared" si="165"/>
        <v>39.600000000000385</v>
      </c>
      <c r="T731" s="2">
        <v>0</v>
      </c>
      <c r="U731" s="2">
        <v>0</v>
      </c>
      <c r="V731" s="2">
        <v>0</v>
      </c>
      <c r="W731" s="2">
        <v>0</v>
      </c>
      <c r="X731" s="2">
        <f t="shared" si="166"/>
        <v>90</v>
      </c>
      <c r="Z731" s="1"/>
      <c r="AA731" s="1"/>
      <c r="AB731" s="2" t="str">
        <f t="shared" si="167"/>
        <v/>
      </c>
      <c r="AD731" s="121"/>
      <c r="AE731" s="121"/>
    </row>
    <row r="732" spans="1:31" x14ac:dyDescent="0.25">
      <c r="A732" s="2" t="s">
        <v>582</v>
      </c>
      <c r="B732" s="65">
        <v>0.33333333333333331</v>
      </c>
      <c r="C732" s="2">
        <v>24</v>
      </c>
      <c r="D732" s="10" t="s">
        <v>533</v>
      </c>
      <c r="E732" s="40">
        <v>0</v>
      </c>
      <c r="F732" s="40">
        <v>2.5</v>
      </c>
      <c r="G732" s="40">
        <v>1.5</v>
      </c>
      <c r="H732" s="3">
        <f t="shared" si="168"/>
        <v>0</v>
      </c>
      <c r="I732" s="3">
        <f t="shared" si="169"/>
        <v>2.5</v>
      </c>
      <c r="J732" s="3">
        <f t="shared" si="170"/>
        <v>1.5</v>
      </c>
      <c r="K732" s="3"/>
      <c r="L732" s="4">
        <f t="shared" si="164"/>
        <v>109.29208333333327</v>
      </c>
      <c r="M732" s="40">
        <v>0</v>
      </c>
      <c r="N732" s="40">
        <v>0</v>
      </c>
      <c r="O732" s="40">
        <v>0.1</v>
      </c>
      <c r="P732" s="40">
        <v>0</v>
      </c>
      <c r="Q732" s="40">
        <v>4.5</v>
      </c>
      <c r="R732" s="40">
        <v>0</v>
      </c>
      <c r="S732" s="2">
        <f t="shared" si="165"/>
        <v>35.000000000000384</v>
      </c>
      <c r="T732" s="2">
        <v>0</v>
      </c>
      <c r="U732" s="2">
        <v>0</v>
      </c>
      <c r="V732" s="2">
        <v>4</v>
      </c>
      <c r="W732" s="2">
        <v>0</v>
      </c>
      <c r="X732" s="2">
        <f t="shared" si="166"/>
        <v>86</v>
      </c>
      <c r="Z732" s="1">
        <v>25</v>
      </c>
      <c r="AA732" s="1">
        <v>60</v>
      </c>
      <c r="AB732" s="2">
        <f t="shared" si="167"/>
        <v>85</v>
      </c>
      <c r="AD732" s="121"/>
      <c r="AE732" s="121"/>
    </row>
    <row r="733" spans="1:31" x14ac:dyDescent="0.25">
      <c r="A733" s="2" t="s">
        <v>582</v>
      </c>
      <c r="B733" s="7">
        <v>0.40833333333333338</v>
      </c>
      <c r="C733" s="2">
        <v>0.8</v>
      </c>
      <c r="D733" s="10" t="s">
        <v>381</v>
      </c>
      <c r="E733" s="40">
        <v>0</v>
      </c>
      <c r="F733" s="40">
        <v>2.5</v>
      </c>
      <c r="G733" s="40">
        <v>1.5</v>
      </c>
      <c r="H733" s="3">
        <f t="shared" si="168"/>
        <v>0</v>
      </c>
      <c r="I733" s="3">
        <f t="shared" si="169"/>
        <v>8.3333333333333343E-2</v>
      </c>
      <c r="J733" s="3">
        <f t="shared" si="170"/>
        <v>0.05</v>
      </c>
      <c r="K733" s="3"/>
      <c r="L733" s="4">
        <f t="shared" si="164"/>
        <v>109.15874999999993</v>
      </c>
      <c r="M733" s="40">
        <v>0</v>
      </c>
      <c r="N733" s="40">
        <v>0</v>
      </c>
      <c r="O733" s="40">
        <v>0</v>
      </c>
      <c r="P733" s="40">
        <v>0</v>
      </c>
      <c r="Q733" s="40">
        <v>0</v>
      </c>
      <c r="R733" s="40">
        <v>0</v>
      </c>
      <c r="S733" s="2">
        <f t="shared" si="165"/>
        <v>35.000000000000384</v>
      </c>
      <c r="T733" s="2">
        <v>0</v>
      </c>
      <c r="U733" s="2">
        <v>0</v>
      </c>
      <c r="V733" s="2">
        <v>0</v>
      </c>
      <c r="W733" s="2">
        <v>0</v>
      </c>
      <c r="X733" s="2">
        <f t="shared" si="166"/>
        <v>86</v>
      </c>
      <c r="Z733" s="1"/>
      <c r="AA733" s="1"/>
      <c r="AB733" s="2" t="str">
        <f t="shared" si="167"/>
        <v/>
      </c>
      <c r="AD733" s="121"/>
      <c r="AE733" s="121"/>
    </row>
    <row r="734" spans="1:31" x14ac:dyDescent="0.25">
      <c r="A734" s="2" t="s">
        <v>582</v>
      </c>
      <c r="B734" s="7">
        <v>0.4375</v>
      </c>
      <c r="C734" s="2">
        <v>0.7</v>
      </c>
      <c r="D734" s="10" t="s">
        <v>355</v>
      </c>
      <c r="E734" s="40">
        <v>15</v>
      </c>
      <c r="F734" s="40">
        <v>2.2000000000000002</v>
      </c>
      <c r="G734" s="40">
        <v>1.5</v>
      </c>
      <c r="H734" s="3">
        <f t="shared" si="168"/>
        <v>0.4375</v>
      </c>
      <c r="I734" s="3">
        <f t="shared" si="169"/>
        <v>6.4166666666666664E-2</v>
      </c>
      <c r="J734" s="3">
        <f t="shared" si="170"/>
        <v>4.3749999999999997E-2</v>
      </c>
      <c r="K734" s="3"/>
      <c r="L734" s="4">
        <f t="shared" si="164"/>
        <v>108.61333333333326</v>
      </c>
      <c r="M734" s="40">
        <v>0</v>
      </c>
      <c r="N734" s="40">
        <v>0</v>
      </c>
      <c r="O734" s="40">
        <v>0</v>
      </c>
      <c r="P734" s="40">
        <v>0</v>
      </c>
      <c r="Q734" s="40">
        <v>0</v>
      </c>
      <c r="R734" s="40">
        <v>0</v>
      </c>
      <c r="S734" s="2">
        <f t="shared" si="165"/>
        <v>35.000000000000384</v>
      </c>
      <c r="T734" s="2">
        <v>0</v>
      </c>
      <c r="U734" s="2">
        <v>0</v>
      </c>
      <c r="V734" s="2">
        <v>0</v>
      </c>
      <c r="W734" s="2">
        <v>0</v>
      </c>
      <c r="X734" s="2">
        <f t="shared" si="166"/>
        <v>86</v>
      </c>
      <c r="Z734" s="1"/>
      <c r="AA734" s="1"/>
      <c r="AB734" s="2" t="str">
        <f t="shared" si="167"/>
        <v/>
      </c>
      <c r="AD734" s="121"/>
      <c r="AE734" s="121"/>
    </row>
    <row r="735" spans="1:31" x14ac:dyDescent="0.25">
      <c r="A735" s="2" t="s">
        <v>582</v>
      </c>
      <c r="B735" s="7">
        <v>0.65416666666666667</v>
      </c>
      <c r="C735" s="2">
        <v>5.2</v>
      </c>
      <c r="D735" s="10" t="s">
        <v>374</v>
      </c>
      <c r="E735" s="40">
        <v>24</v>
      </c>
      <c r="F735" s="40">
        <v>2.2000000000000002</v>
      </c>
      <c r="G735" s="40">
        <v>0</v>
      </c>
      <c r="H735" s="3">
        <f t="shared" si="168"/>
        <v>5.2</v>
      </c>
      <c r="I735" s="3">
        <f t="shared" si="169"/>
        <v>0.47666666666666674</v>
      </c>
      <c r="J735" s="3">
        <f t="shared" si="170"/>
        <v>0</v>
      </c>
      <c r="K735" s="3"/>
      <c r="L735" s="4">
        <f t="shared" si="164"/>
        <v>102.9366666666666</v>
      </c>
      <c r="M735" s="40">
        <v>0</v>
      </c>
      <c r="N735" s="40">
        <v>0</v>
      </c>
      <c r="O735" s="40">
        <v>0</v>
      </c>
      <c r="P735" s="40">
        <v>0</v>
      </c>
      <c r="Q735" s="40">
        <v>0</v>
      </c>
      <c r="R735" s="40">
        <v>0</v>
      </c>
      <c r="S735" s="2">
        <f t="shared" si="165"/>
        <v>35.000000000000384</v>
      </c>
      <c r="T735" s="2">
        <v>0</v>
      </c>
      <c r="U735" s="2">
        <v>0</v>
      </c>
      <c r="V735" s="2">
        <v>1</v>
      </c>
      <c r="W735" s="2">
        <v>0</v>
      </c>
      <c r="X735" s="2">
        <f t="shared" si="166"/>
        <v>85</v>
      </c>
      <c r="Z735" s="1"/>
      <c r="AA735" s="1"/>
      <c r="AB735" s="2" t="str">
        <f t="shared" si="167"/>
        <v/>
      </c>
      <c r="AD735" s="121">
        <v>12.2</v>
      </c>
      <c r="AE735" s="121" t="s">
        <v>1301</v>
      </c>
    </row>
    <row r="736" spans="1:31" x14ac:dyDescent="0.25">
      <c r="A736" s="2" t="s">
        <v>582</v>
      </c>
      <c r="B736" s="7">
        <v>0.6958333333333333</v>
      </c>
      <c r="C736" s="2">
        <v>1.1000000000000001</v>
      </c>
      <c r="D736" s="10" t="s">
        <v>509</v>
      </c>
      <c r="E736" s="40">
        <v>10</v>
      </c>
      <c r="F736" s="40">
        <v>2.2000000000000002</v>
      </c>
      <c r="G736" s="40">
        <v>1</v>
      </c>
      <c r="H736" s="3">
        <f t="shared" si="168"/>
        <v>0.45833333333333337</v>
      </c>
      <c r="I736" s="3">
        <f t="shared" si="169"/>
        <v>0.10083333333333334</v>
      </c>
      <c r="J736" s="3">
        <f t="shared" si="170"/>
        <v>4.5833333333333337E-2</v>
      </c>
      <c r="K736" s="3"/>
      <c r="L736" s="4">
        <f t="shared" si="164"/>
        <v>102.33166666666659</v>
      </c>
      <c r="M736" s="40">
        <v>0</v>
      </c>
      <c r="N736" s="40">
        <v>0</v>
      </c>
      <c r="O736" s="40">
        <v>0</v>
      </c>
      <c r="P736" s="40">
        <v>0</v>
      </c>
      <c r="Q736" s="40">
        <v>0</v>
      </c>
      <c r="R736" s="40">
        <v>0</v>
      </c>
      <c r="S736" s="2">
        <f t="shared" si="165"/>
        <v>35.000000000000384</v>
      </c>
      <c r="T736" s="2">
        <v>0</v>
      </c>
      <c r="U736" s="2">
        <v>0</v>
      </c>
      <c r="V736" s="2">
        <v>0</v>
      </c>
      <c r="W736" s="2">
        <v>0</v>
      </c>
      <c r="X736" s="2">
        <f t="shared" si="166"/>
        <v>85</v>
      </c>
      <c r="Z736" s="1"/>
      <c r="AA736" s="1"/>
      <c r="AB736" s="2" t="str">
        <f t="shared" si="167"/>
        <v/>
      </c>
      <c r="AD736" s="121"/>
      <c r="AE736" s="121"/>
    </row>
    <row r="737" spans="1:31" x14ac:dyDescent="0.25">
      <c r="A737" s="2" t="s">
        <v>583</v>
      </c>
      <c r="B737" s="65">
        <v>0.33333333333333331</v>
      </c>
      <c r="C737" s="2">
        <v>15.2</v>
      </c>
      <c r="D737" s="10" t="s">
        <v>509</v>
      </c>
      <c r="E737" s="40">
        <v>0</v>
      </c>
      <c r="F737" s="40">
        <v>2.2000000000000002</v>
      </c>
      <c r="G737" s="40">
        <v>1.2</v>
      </c>
      <c r="H737" s="3">
        <f t="shared" si="168"/>
        <v>0</v>
      </c>
      <c r="I737" s="3">
        <f t="shared" si="169"/>
        <v>1.3933333333333333</v>
      </c>
      <c r="J737" s="3">
        <f t="shared" si="170"/>
        <v>0.7599999999999999</v>
      </c>
      <c r="K737" s="3"/>
      <c r="L737" s="4">
        <f t="shared" si="164"/>
        <v>100.17833333333326</v>
      </c>
      <c r="M737" s="40">
        <v>0</v>
      </c>
      <c r="N737" s="40">
        <v>0</v>
      </c>
      <c r="O737" s="40">
        <v>0.1</v>
      </c>
      <c r="P737" s="40">
        <v>0</v>
      </c>
      <c r="Q737" s="40">
        <v>0</v>
      </c>
      <c r="R737" s="40">
        <v>0</v>
      </c>
      <c r="S737" s="2">
        <f t="shared" si="165"/>
        <v>34.900000000000382</v>
      </c>
      <c r="T737" s="2">
        <v>0</v>
      </c>
      <c r="U737" s="2">
        <v>0</v>
      </c>
      <c r="V737" s="2">
        <v>3</v>
      </c>
      <c r="W737" s="2">
        <v>0</v>
      </c>
      <c r="X737" s="2">
        <f t="shared" si="166"/>
        <v>82</v>
      </c>
      <c r="Z737" s="1">
        <v>27</v>
      </c>
      <c r="AA737" s="1">
        <v>57</v>
      </c>
      <c r="AB737" s="2">
        <f t="shared" si="167"/>
        <v>84</v>
      </c>
      <c r="AD737" s="121"/>
      <c r="AE737" s="121"/>
    </row>
    <row r="738" spans="1:31" x14ac:dyDescent="0.25">
      <c r="A738" s="2" t="s">
        <v>583</v>
      </c>
      <c r="B738" s="7">
        <v>0.6166666666666667</v>
      </c>
      <c r="C738" s="7">
        <v>6.8</v>
      </c>
      <c r="D738" s="10" t="s">
        <v>381</v>
      </c>
      <c r="E738" s="40">
        <v>0</v>
      </c>
      <c r="F738" s="40">
        <v>2.5</v>
      </c>
      <c r="G738" s="40">
        <v>2</v>
      </c>
      <c r="H738" s="3">
        <f t="shared" si="168"/>
        <v>0</v>
      </c>
      <c r="I738" s="3">
        <f t="shared" si="169"/>
        <v>0.70833333333333337</v>
      </c>
      <c r="J738" s="3">
        <f t="shared" si="170"/>
        <v>0.56666666666666665</v>
      </c>
      <c r="K738" s="3"/>
      <c r="L738" s="4">
        <f t="shared" si="164"/>
        <v>98.903333333333251</v>
      </c>
      <c r="M738" s="40">
        <v>0</v>
      </c>
      <c r="N738" s="40">
        <v>0</v>
      </c>
      <c r="O738" s="40">
        <v>0</v>
      </c>
      <c r="P738" s="40">
        <v>0</v>
      </c>
      <c r="Q738" s="40">
        <v>0</v>
      </c>
      <c r="R738" s="40">
        <v>0</v>
      </c>
      <c r="S738" s="2">
        <f t="shared" si="165"/>
        <v>34.900000000000382</v>
      </c>
      <c r="T738" s="2">
        <v>0</v>
      </c>
      <c r="U738" s="2">
        <v>0</v>
      </c>
      <c r="V738" s="2">
        <v>1</v>
      </c>
      <c r="W738" s="2">
        <v>0</v>
      </c>
      <c r="X738" s="2">
        <f t="shared" si="166"/>
        <v>81</v>
      </c>
      <c r="Z738" s="1"/>
      <c r="AA738" s="1"/>
      <c r="AB738" s="2" t="str">
        <f t="shared" si="167"/>
        <v/>
      </c>
      <c r="AD738" s="121"/>
      <c r="AE738" s="121"/>
    </row>
    <row r="739" spans="1:31" x14ac:dyDescent="0.25">
      <c r="A739" s="2" t="s">
        <v>583</v>
      </c>
      <c r="B739" s="7">
        <v>0.66666666666666663</v>
      </c>
      <c r="C739" s="2">
        <v>1.2</v>
      </c>
      <c r="D739" s="10" t="s">
        <v>355</v>
      </c>
      <c r="E739" s="40">
        <v>15</v>
      </c>
      <c r="F739" s="40">
        <v>2.5</v>
      </c>
      <c r="G739" s="40">
        <v>1</v>
      </c>
      <c r="H739" s="3">
        <f t="shared" si="168"/>
        <v>0.75</v>
      </c>
      <c r="I739" s="3">
        <f t="shared" si="169"/>
        <v>0.125</v>
      </c>
      <c r="J739" s="3">
        <f t="shared" si="170"/>
        <v>4.9999999999999996E-2</v>
      </c>
      <c r="K739" s="3"/>
      <c r="L739" s="4">
        <f t="shared" si="164"/>
        <v>97.978333333333254</v>
      </c>
      <c r="M739" s="40">
        <v>0</v>
      </c>
      <c r="N739" s="40">
        <v>0</v>
      </c>
      <c r="O739" s="40">
        <v>0</v>
      </c>
      <c r="P739" s="40">
        <v>0</v>
      </c>
      <c r="Q739" s="40">
        <v>0</v>
      </c>
      <c r="R739" s="40">
        <v>0</v>
      </c>
      <c r="S739" s="2">
        <f t="shared" si="165"/>
        <v>34.900000000000382</v>
      </c>
      <c r="T739" s="2">
        <v>0</v>
      </c>
      <c r="U739" s="2">
        <v>0</v>
      </c>
      <c r="V739" s="2">
        <v>0</v>
      </c>
      <c r="W739" s="2">
        <v>0</v>
      </c>
      <c r="X739" s="2">
        <f t="shared" si="166"/>
        <v>81</v>
      </c>
      <c r="Z739" s="1"/>
      <c r="AA739" s="1"/>
      <c r="AB739" s="2" t="str">
        <f t="shared" si="167"/>
        <v/>
      </c>
      <c r="AD739" s="121"/>
      <c r="AE739" s="121"/>
    </row>
    <row r="740" spans="1:31" x14ac:dyDescent="0.25">
      <c r="A740" s="2" t="s">
        <v>584</v>
      </c>
      <c r="B740" s="65">
        <v>0.33333333333333331</v>
      </c>
      <c r="C740" s="2">
        <v>16</v>
      </c>
      <c r="D740" s="10" t="s">
        <v>355</v>
      </c>
      <c r="E740" s="40">
        <v>24</v>
      </c>
      <c r="F740" s="40">
        <v>2.5</v>
      </c>
      <c r="G740" s="40">
        <v>0</v>
      </c>
      <c r="H740" s="3">
        <f t="shared" si="168"/>
        <v>16</v>
      </c>
      <c r="I740" s="3">
        <f t="shared" si="169"/>
        <v>1.6666666666666667</v>
      </c>
      <c r="J740" s="3">
        <f t="shared" si="170"/>
        <v>0</v>
      </c>
      <c r="K740" s="3"/>
      <c r="L740" s="4">
        <f t="shared" si="164"/>
        <v>80.311666666666582</v>
      </c>
      <c r="M740" s="40">
        <v>0</v>
      </c>
      <c r="N740" s="40">
        <v>0</v>
      </c>
      <c r="O740" s="40">
        <v>0.1</v>
      </c>
      <c r="P740" s="40">
        <v>0</v>
      </c>
      <c r="Q740" s="40">
        <v>0</v>
      </c>
      <c r="R740" s="40">
        <v>0</v>
      </c>
      <c r="S740" s="2">
        <f t="shared" si="165"/>
        <v>34.800000000000381</v>
      </c>
      <c r="T740" s="2">
        <v>5</v>
      </c>
      <c r="U740" s="2">
        <v>0</v>
      </c>
      <c r="V740" s="2">
        <v>3</v>
      </c>
      <c r="W740" s="2">
        <v>0</v>
      </c>
      <c r="X740" s="2">
        <f t="shared" si="166"/>
        <v>83</v>
      </c>
      <c r="Z740" s="1">
        <v>31</v>
      </c>
      <c r="AA740" s="1">
        <v>52</v>
      </c>
      <c r="AB740" s="2">
        <f t="shared" si="167"/>
        <v>83</v>
      </c>
      <c r="AD740" s="121"/>
      <c r="AE740" s="121"/>
    </row>
    <row r="741" spans="1:31" x14ac:dyDescent="0.25">
      <c r="A741" s="2" t="s">
        <v>584</v>
      </c>
      <c r="B741" s="7">
        <v>0.6875</v>
      </c>
      <c r="C741" s="2">
        <v>8.5</v>
      </c>
      <c r="D741" s="10" t="s">
        <v>381</v>
      </c>
      <c r="E741" s="40">
        <v>22</v>
      </c>
      <c r="F741" s="40">
        <v>2.4</v>
      </c>
      <c r="G741" s="40">
        <v>0</v>
      </c>
      <c r="H741" s="3">
        <f t="shared" si="168"/>
        <v>7.7916666666666661</v>
      </c>
      <c r="I741" s="3">
        <f t="shared" si="169"/>
        <v>0.85</v>
      </c>
      <c r="J741" s="3">
        <f t="shared" si="170"/>
        <v>0</v>
      </c>
      <c r="K741" s="3"/>
      <c r="L741" s="4">
        <f t="shared" si="164"/>
        <v>71.669999999999916</v>
      </c>
      <c r="M741" s="40">
        <v>0</v>
      </c>
      <c r="N741" s="40">
        <v>0</v>
      </c>
      <c r="O741" s="40">
        <v>0</v>
      </c>
      <c r="P741" s="40">
        <v>0</v>
      </c>
      <c r="Q741" s="40">
        <v>0</v>
      </c>
      <c r="R741" s="40">
        <v>0</v>
      </c>
      <c r="S741" s="2">
        <f t="shared" si="165"/>
        <v>34.800000000000381</v>
      </c>
      <c r="T741" s="2">
        <v>2</v>
      </c>
      <c r="U741" s="2">
        <v>0</v>
      </c>
      <c r="V741" s="2">
        <v>2</v>
      </c>
      <c r="W741" s="2">
        <v>0</v>
      </c>
      <c r="X741" s="2">
        <f t="shared" si="166"/>
        <v>83</v>
      </c>
      <c r="Z741" s="1">
        <v>34</v>
      </c>
      <c r="AA741" s="1">
        <v>49</v>
      </c>
      <c r="AB741" s="2">
        <f t="shared" si="167"/>
        <v>83</v>
      </c>
      <c r="AD741" s="121">
        <v>12.4</v>
      </c>
      <c r="AE741" s="121" t="s">
        <v>1295</v>
      </c>
    </row>
    <row r="742" spans="1:31" x14ac:dyDescent="0.25">
      <c r="A742" s="2" t="s">
        <v>584</v>
      </c>
      <c r="B742" s="7">
        <v>0.78333333333333333</v>
      </c>
      <c r="C742" s="2">
        <v>2.1800000000000002</v>
      </c>
      <c r="D742" s="10" t="s">
        <v>378</v>
      </c>
      <c r="E742" s="40">
        <v>10</v>
      </c>
      <c r="F742" s="40">
        <v>2.4</v>
      </c>
      <c r="G742" s="40">
        <v>1</v>
      </c>
      <c r="H742" s="3">
        <f t="shared" si="168"/>
        <v>0.90833333333333344</v>
      </c>
      <c r="I742" s="3">
        <f t="shared" si="169"/>
        <v>0.218</v>
      </c>
      <c r="J742" s="3">
        <f t="shared" si="170"/>
        <v>9.0833333333333335E-2</v>
      </c>
      <c r="K742" s="3"/>
      <c r="L742" s="4">
        <f t="shared" si="164"/>
        <v>70.452833333333245</v>
      </c>
      <c r="M742" s="40">
        <v>0</v>
      </c>
      <c r="N742" s="40">
        <v>0</v>
      </c>
      <c r="O742" s="40">
        <v>0</v>
      </c>
      <c r="P742" s="40">
        <v>0</v>
      </c>
      <c r="Q742" s="40">
        <v>0</v>
      </c>
      <c r="R742" s="40">
        <v>0</v>
      </c>
      <c r="S742" s="2">
        <f t="shared" si="165"/>
        <v>34.800000000000381</v>
      </c>
      <c r="T742" s="2">
        <v>0</v>
      </c>
      <c r="U742" s="2">
        <v>0</v>
      </c>
      <c r="V742" s="2">
        <v>0</v>
      </c>
      <c r="W742" s="2">
        <v>0</v>
      </c>
      <c r="X742" s="2">
        <f t="shared" si="166"/>
        <v>83</v>
      </c>
      <c r="Z742" s="1"/>
      <c r="AA742" s="1"/>
      <c r="AB742" s="2" t="str">
        <f t="shared" si="167"/>
        <v/>
      </c>
      <c r="AD742" s="121"/>
      <c r="AE742" s="121"/>
    </row>
    <row r="743" spans="1:31" x14ac:dyDescent="0.25">
      <c r="A743" s="2" t="s">
        <v>585</v>
      </c>
      <c r="B743" s="65">
        <v>0.33333333333333331</v>
      </c>
      <c r="C743" s="2">
        <v>13.2</v>
      </c>
      <c r="D743" s="10" t="s">
        <v>378</v>
      </c>
      <c r="E743" s="40">
        <v>0</v>
      </c>
      <c r="F743" s="40">
        <v>2.4</v>
      </c>
      <c r="G743" s="40">
        <v>2</v>
      </c>
      <c r="H743" s="3">
        <f t="shared" si="168"/>
        <v>0</v>
      </c>
      <c r="I743" s="3">
        <f t="shared" si="169"/>
        <v>1.3199999999999998</v>
      </c>
      <c r="J743" s="3">
        <f t="shared" si="170"/>
        <v>1.0999999999999999</v>
      </c>
      <c r="K743" s="3"/>
      <c r="L743" s="4">
        <f t="shared" si="164"/>
        <v>68.032833333333244</v>
      </c>
      <c r="M743" s="40">
        <v>0</v>
      </c>
      <c r="N743" s="40">
        <v>0</v>
      </c>
      <c r="O743" s="40">
        <v>0.1</v>
      </c>
      <c r="P743" s="40">
        <v>0</v>
      </c>
      <c r="Q743" s="40">
        <v>2.8</v>
      </c>
      <c r="R743" s="40">
        <v>0</v>
      </c>
      <c r="S743" s="2">
        <f t="shared" si="165"/>
        <v>31.900000000000382</v>
      </c>
      <c r="T743" s="2">
        <v>0</v>
      </c>
      <c r="U743" s="2">
        <v>0</v>
      </c>
      <c r="V743" s="2">
        <v>2</v>
      </c>
      <c r="W743" s="2">
        <v>0</v>
      </c>
      <c r="X743" s="2">
        <f t="shared" si="166"/>
        <v>81</v>
      </c>
      <c r="Z743" s="1">
        <v>35</v>
      </c>
      <c r="AA743" s="1">
        <v>47</v>
      </c>
      <c r="AB743" s="2">
        <f t="shared" si="167"/>
        <v>82</v>
      </c>
      <c r="AD743" s="121"/>
      <c r="AE743" s="121"/>
    </row>
    <row r="744" spans="1:31" x14ac:dyDescent="0.25">
      <c r="A744" s="2" t="s">
        <v>585</v>
      </c>
      <c r="B744" s="7">
        <v>0.36249999999999999</v>
      </c>
      <c r="C744" s="2">
        <v>0.7</v>
      </c>
      <c r="D744" s="10" t="s">
        <v>381</v>
      </c>
      <c r="E744" s="40">
        <v>0</v>
      </c>
      <c r="F744" s="40">
        <v>2.4</v>
      </c>
      <c r="G744" s="40">
        <v>2</v>
      </c>
      <c r="H744" s="3">
        <f t="shared" si="168"/>
        <v>0</v>
      </c>
      <c r="I744" s="3">
        <f t="shared" si="169"/>
        <v>6.9999999999999993E-2</v>
      </c>
      <c r="J744" s="3">
        <f t="shared" si="170"/>
        <v>5.8333333333333327E-2</v>
      </c>
      <c r="K744" s="3"/>
      <c r="L744" s="4">
        <f t="shared" si="164"/>
        <v>67.904499999999913</v>
      </c>
      <c r="M744" s="40">
        <v>0</v>
      </c>
      <c r="N744" s="40">
        <v>0</v>
      </c>
      <c r="O744" s="40">
        <v>0</v>
      </c>
      <c r="P744" s="40">
        <v>0</v>
      </c>
      <c r="Q744" s="40">
        <v>0</v>
      </c>
      <c r="R744" s="40">
        <v>0</v>
      </c>
      <c r="S744" s="2">
        <f t="shared" si="165"/>
        <v>31.900000000000382</v>
      </c>
      <c r="T744" s="2">
        <v>0</v>
      </c>
      <c r="U744" s="2">
        <v>0</v>
      </c>
      <c r="V744" s="2">
        <v>0</v>
      </c>
      <c r="W744" s="2">
        <v>0</v>
      </c>
      <c r="X744" s="2">
        <f t="shared" si="166"/>
        <v>81</v>
      </c>
      <c r="Z744" s="1"/>
      <c r="AA744" s="1"/>
      <c r="AB744" s="2" t="str">
        <f t="shared" si="167"/>
        <v/>
      </c>
      <c r="AD744" s="121"/>
      <c r="AE744" s="121"/>
    </row>
    <row r="745" spans="1:31" x14ac:dyDescent="0.25">
      <c r="A745" s="2" t="s">
        <v>585</v>
      </c>
      <c r="B745" s="7">
        <v>0.39583333333333331</v>
      </c>
      <c r="C745" s="2">
        <v>0.8</v>
      </c>
      <c r="D745" s="10" t="s">
        <v>355</v>
      </c>
      <c r="E745" s="40">
        <v>10</v>
      </c>
      <c r="F745" s="40">
        <v>2.2000000000000002</v>
      </c>
      <c r="G745" s="40">
        <v>1</v>
      </c>
      <c r="H745" s="3">
        <f t="shared" si="168"/>
        <v>0.33333333333333337</v>
      </c>
      <c r="I745" s="3">
        <f t="shared" si="169"/>
        <v>7.3333333333333348E-2</v>
      </c>
      <c r="J745" s="3">
        <f t="shared" si="170"/>
        <v>3.3333333333333333E-2</v>
      </c>
      <c r="K745" s="3"/>
      <c r="L745" s="4">
        <f t="shared" si="164"/>
        <v>67.464499999999916</v>
      </c>
      <c r="M745" s="40">
        <v>0</v>
      </c>
      <c r="N745" s="40">
        <v>0</v>
      </c>
      <c r="O745" s="40">
        <v>0</v>
      </c>
      <c r="P745" s="40">
        <v>0</v>
      </c>
      <c r="Q745" s="40">
        <v>0</v>
      </c>
      <c r="R745" s="40">
        <v>0</v>
      </c>
      <c r="S745" s="2">
        <f t="shared" si="165"/>
        <v>31.900000000000382</v>
      </c>
      <c r="T745" s="2">
        <v>0</v>
      </c>
      <c r="U745" s="2">
        <v>0</v>
      </c>
      <c r="V745" s="2">
        <v>0</v>
      </c>
      <c r="W745" s="2">
        <v>0</v>
      </c>
      <c r="X745" s="2">
        <f t="shared" si="166"/>
        <v>81</v>
      </c>
      <c r="Z745" s="1"/>
      <c r="AA745" s="1"/>
      <c r="AB745" s="2" t="str">
        <f t="shared" si="167"/>
        <v/>
      </c>
      <c r="AD745" s="121"/>
      <c r="AE745" s="121"/>
    </row>
    <row r="746" spans="1:31" x14ac:dyDescent="0.25">
      <c r="A746" s="2" t="s">
        <v>585</v>
      </c>
      <c r="B746" s="7">
        <v>0.75</v>
      </c>
      <c r="C746" s="2">
        <v>8.5</v>
      </c>
      <c r="D746" s="10" t="s">
        <v>374</v>
      </c>
      <c r="E746" s="40">
        <v>24</v>
      </c>
      <c r="F746" s="40">
        <v>2.2000000000000002</v>
      </c>
      <c r="G746" s="40">
        <v>0</v>
      </c>
      <c r="H746" s="3">
        <f t="shared" si="168"/>
        <v>8.5</v>
      </c>
      <c r="I746" s="3">
        <f t="shared" si="169"/>
        <v>0.77916666666666679</v>
      </c>
      <c r="J746" s="3">
        <f t="shared" si="170"/>
        <v>0</v>
      </c>
      <c r="K746" s="3"/>
      <c r="L746" s="4">
        <f t="shared" si="164"/>
        <v>58.185333333333247</v>
      </c>
      <c r="M746" s="40">
        <v>0</v>
      </c>
      <c r="N746" s="40">
        <v>0</v>
      </c>
      <c r="O746" s="40">
        <v>0</v>
      </c>
      <c r="P746" s="40">
        <v>0</v>
      </c>
      <c r="Q746" s="40">
        <v>0</v>
      </c>
      <c r="R746" s="40">
        <v>0</v>
      </c>
      <c r="S746" s="2">
        <f t="shared" si="165"/>
        <v>31.900000000000382</v>
      </c>
      <c r="T746" s="2">
        <v>2</v>
      </c>
      <c r="U746" s="2">
        <v>0</v>
      </c>
      <c r="V746" s="2">
        <v>1</v>
      </c>
      <c r="W746" s="2">
        <v>0</v>
      </c>
      <c r="X746" s="2">
        <f t="shared" si="166"/>
        <v>82</v>
      </c>
      <c r="Z746" s="1"/>
      <c r="AA746" s="1"/>
      <c r="AB746" s="2" t="str">
        <f t="shared" si="167"/>
        <v/>
      </c>
      <c r="AD746" s="121">
        <v>13.4</v>
      </c>
      <c r="AE746" s="121" t="s">
        <v>1303</v>
      </c>
    </row>
    <row r="747" spans="1:31" x14ac:dyDescent="0.25">
      <c r="A747" s="2" t="s">
        <v>585</v>
      </c>
      <c r="B747" s="7">
        <v>0.8041666666666667</v>
      </c>
      <c r="C747" s="2">
        <v>1.18</v>
      </c>
      <c r="D747" s="10" t="s">
        <v>587</v>
      </c>
      <c r="E747" s="40">
        <v>15</v>
      </c>
      <c r="F747" s="40">
        <v>2.2000000000000002</v>
      </c>
      <c r="G747" s="40">
        <v>1</v>
      </c>
      <c r="H747" s="3">
        <f t="shared" si="168"/>
        <v>0.73749999999999993</v>
      </c>
      <c r="I747" s="3">
        <f t="shared" si="169"/>
        <v>0.10816666666666667</v>
      </c>
      <c r="J747" s="3">
        <f t="shared" si="170"/>
        <v>4.9166666666666664E-2</v>
      </c>
      <c r="K747" s="3"/>
      <c r="L747" s="4">
        <f t="shared" si="164"/>
        <v>57.290499999999916</v>
      </c>
      <c r="M747" s="40">
        <v>0</v>
      </c>
      <c r="N747" s="40">
        <v>0</v>
      </c>
      <c r="O747" s="40">
        <v>0</v>
      </c>
      <c r="P747" s="40">
        <v>0</v>
      </c>
      <c r="Q747" s="40">
        <v>0</v>
      </c>
      <c r="R747" s="40">
        <v>0</v>
      </c>
      <c r="S747" s="2">
        <f t="shared" si="165"/>
        <v>31.900000000000382</v>
      </c>
      <c r="T747" s="2">
        <v>1</v>
      </c>
      <c r="U747" s="2">
        <v>0</v>
      </c>
      <c r="V747" s="2">
        <v>0</v>
      </c>
      <c r="W747" s="2">
        <v>0</v>
      </c>
      <c r="X747" s="2">
        <f t="shared" si="166"/>
        <v>83</v>
      </c>
      <c r="Z747" s="1"/>
      <c r="AA747" s="1"/>
      <c r="AB747" s="2" t="str">
        <f t="shared" si="167"/>
        <v/>
      </c>
      <c r="AD747" s="121"/>
      <c r="AE747" s="121"/>
    </row>
    <row r="748" spans="1:31" x14ac:dyDescent="0.25">
      <c r="A748" s="2" t="s">
        <v>588</v>
      </c>
      <c r="B748" s="7">
        <v>3.7499999999999999E-2</v>
      </c>
      <c r="C748" s="2">
        <v>5.6</v>
      </c>
      <c r="D748" s="10" t="s">
        <v>381</v>
      </c>
      <c r="E748" s="40">
        <v>0</v>
      </c>
      <c r="F748" s="40">
        <v>2.2000000000000002</v>
      </c>
      <c r="G748" s="40">
        <v>1.2</v>
      </c>
      <c r="H748" s="3">
        <f t="shared" si="168"/>
        <v>0</v>
      </c>
      <c r="I748" s="3">
        <f t="shared" si="169"/>
        <v>0.51333333333333331</v>
      </c>
      <c r="J748" s="3">
        <f t="shared" si="170"/>
        <v>0.27999999999999997</v>
      </c>
      <c r="K748" s="3"/>
      <c r="L748" s="4">
        <f t="shared" si="164"/>
        <v>56.49716666666658</v>
      </c>
      <c r="M748" s="40">
        <v>0</v>
      </c>
      <c r="N748" s="40">
        <v>0</v>
      </c>
      <c r="O748" s="40">
        <v>0.1</v>
      </c>
      <c r="P748" s="40">
        <v>0</v>
      </c>
      <c r="Q748" s="40">
        <v>0</v>
      </c>
      <c r="R748" s="40">
        <v>0</v>
      </c>
      <c r="S748" s="2">
        <f t="shared" si="165"/>
        <v>31.800000000000381</v>
      </c>
      <c r="T748" s="2">
        <v>0</v>
      </c>
      <c r="U748" s="2">
        <v>0</v>
      </c>
      <c r="V748" s="2">
        <v>2</v>
      </c>
      <c r="W748" s="2">
        <v>0</v>
      </c>
      <c r="X748" s="2">
        <f t="shared" si="166"/>
        <v>81</v>
      </c>
      <c r="Z748" s="1"/>
      <c r="AA748" s="1"/>
      <c r="AB748" s="2" t="str">
        <f t="shared" si="167"/>
        <v/>
      </c>
      <c r="AD748" s="121"/>
      <c r="AE748" s="121"/>
    </row>
    <row r="749" spans="1:31" x14ac:dyDescent="0.25">
      <c r="A749" s="35" t="s">
        <v>588</v>
      </c>
      <c r="B749" s="7">
        <v>6.6666666666666666E-2</v>
      </c>
      <c r="C749" s="2">
        <v>0.5</v>
      </c>
      <c r="D749" s="10" t="s">
        <v>590</v>
      </c>
      <c r="E749" s="40">
        <v>10</v>
      </c>
      <c r="F749" s="40">
        <v>2.2000000000000002</v>
      </c>
      <c r="G749" s="40">
        <v>1.2</v>
      </c>
      <c r="H749" s="3">
        <f t="shared" si="168"/>
        <v>0.20833333333333334</v>
      </c>
      <c r="I749" s="3">
        <f t="shared" si="169"/>
        <v>4.5833333333333337E-2</v>
      </c>
      <c r="J749" s="3">
        <f t="shared" si="170"/>
        <v>2.4999999999999998E-2</v>
      </c>
      <c r="K749" s="3"/>
      <c r="L749" s="4">
        <f t="shared" si="164"/>
        <v>56.217999999999911</v>
      </c>
      <c r="M749" s="40">
        <v>0</v>
      </c>
      <c r="N749" s="40">
        <v>0</v>
      </c>
      <c r="O749" s="40">
        <v>0</v>
      </c>
      <c r="P749" s="40">
        <v>0</v>
      </c>
      <c r="Q749" s="40">
        <v>0</v>
      </c>
      <c r="R749" s="40">
        <v>0</v>
      </c>
      <c r="S749" s="2">
        <f t="shared" si="165"/>
        <v>31.800000000000381</v>
      </c>
      <c r="T749" s="2">
        <v>0</v>
      </c>
      <c r="U749" s="2">
        <v>0</v>
      </c>
      <c r="V749" s="2">
        <v>0</v>
      </c>
      <c r="W749" s="2">
        <v>0</v>
      </c>
      <c r="X749" s="2">
        <f t="shared" si="166"/>
        <v>81</v>
      </c>
      <c r="Z749" s="1"/>
      <c r="AA749" s="1"/>
      <c r="AB749" s="2" t="str">
        <f t="shared" si="167"/>
        <v/>
      </c>
      <c r="AD749" s="121"/>
      <c r="AE749" s="121"/>
    </row>
    <row r="750" spans="1:31" x14ac:dyDescent="0.25">
      <c r="A750" s="35" t="s">
        <v>588</v>
      </c>
      <c r="B750" s="65">
        <v>0.33333333333333331</v>
      </c>
      <c r="C750" s="2">
        <v>6.6</v>
      </c>
      <c r="D750" s="10" t="s">
        <v>589</v>
      </c>
      <c r="E750" s="40">
        <v>0</v>
      </c>
      <c r="F750" s="40">
        <v>2.2000000000000002</v>
      </c>
      <c r="G750" s="40">
        <v>1.2</v>
      </c>
      <c r="H750" s="3">
        <f t="shared" si="168"/>
        <v>0</v>
      </c>
      <c r="I750" s="3">
        <f t="shared" si="169"/>
        <v>0.60499999999999998</v>
      </c>
      <c r="J750" s="3">
        <f t="shared" si="170"/>
        <v>0.32999999999999996</v>
      </c>
      <c r="K750" s="3"/>
      <c r="L750" s="4">
        <f t="shared" si="164"/>
        <v>55.282999999999909</v>
      </c>
      <c r="M750" s="40">
        <v>0</v>
      </c>
      <c r="N750" s="40">
        <v>0</v>
      </c>
      <c r="O750" s="40">
        <v>0</v>
      </c>
      <c r="P750" s="40">
        <v>0</v>
      </c>
      <c r="Q750" s="40">
        <v>0</v>
      </c>
      <c r="R750" s="40">
        <v>0</v>
      </c>
      <c r="S750" s="2">
        <f t="shared" si="165"/>
        <v>31.800000000000381</v>
      </c>
      <c r="T750" s="2">
        <v>0</v>
      </c>
      <c r="U750" s="2">
        <v>0</v>
      </c>
      <c r="V750" s="2">
        <v>1</v>
      </c>
      <c r="W750" s="2">
        <v>0</v>
      </c>
      <c r="X750" s="2">
        <f t="shared" si="166"/>
        <v>80</v>
      </c>
      <c r="Z750" s="1"/>
      <c r="AA750" s="1"/>
      <c r="AB750" s="2" t="str">
        <f t="shared" si="167"/>
        <v/>
      </c>
      <c r="AD750" s="121"/>
      <c r="AE750" s="121"/>
    </row>
    <row r="751" spans="1:31" x14ac:dyDescent="0.25">
      <c r="A751" s="35" t="s">
        <v>591</v>
      </c>
      <c r="B751" s="65">
        <v>0.33333333333333331</v>
      </c>
      <c r="C751" s="2">
        <v>24</v>
      </c>
      <c r="D751" s="10" t="s">
        <v>589</v>
      </c>
      <c r="E751" s="40">
        <v>0</v>
      </c>
      <c r="F751" s="40">
        <v>2.2000000000000002</v>
      </c>
      <c r="G751" s="40">
        <v>1.2</v>
      </c>
      <c r="H751" s="3">
        <f t="shared" si="168"/>
        <v>0</v>
      </c>
      <c r="I751" s="3">
        <f t="shared" si="169"/>
        <v>2.2000000000000002</v>
      </c>
      <c r="J751" s="3">
        <f t="shared" si="170"/>
        <v>1.2</v>
      </c>
      <c r="K751" s="3"/>
      <c r="L751" s="4">
        <f t="shared" si="164"/>
        <v>51.88299999999991</v>
      </c>
      <c r="M751" s="40">
        <v>0</v>
      </c>
      <c r="N751" s="40">
        <v>0</v>
      </c>
      <c r="O751" s="40">
        <v>0.1</v>
      </c>
      <c r="P751" s="40">
        <v>0</v>
      </c>
      <c r="Q751" s="40">
        <v>0</v>
      </c>
      <c r="R751" s="40">
        <v>0</v>
      </c>
      <c r="S751" s="2">
        <f t="shared" si="165"/>
        <v>31.700000000000379</v>
      </c>
      <c r="T751" s="2">
        <v>0</v>
      </c>
      <c r="U751" s="2">
        <v>0</v>
      </c>
      <c r="V751" s="2">
        <v>4</v>
      </c>
      <c r="W751" s="2">
        <v>0</v>
      </c>
      <c r="X751" s="2">
        <f t="shared" si="166"/>
        <v>76</v>
      </c>
      <c r="Z751" s="1"/>
      <c r="AA751" s="1"/>
      <c r="AB751" s="2" t="str">
        <f t="shared" si="167"/>
        <v/>
      </c>
      <c r="AD751" s="121"/>
      <c r="AE751" s="121"/>
    </row>
    <row r="752" spans="1:31" x14ac:dyDescent="0.25">
      <c r="A752" s="35" t="s">
        <v>592</v>
      </c>
      <c r="B752" s="7">
        <v>0.27083333333333331</v>
      </c>
      <c r="C752" s="2">
        <v>22.5</v>
      </c>
      <c r="D752" s="10" t="s">
        <v>381</v>
      </c>
      <c r="E752" s="40">
        <v>0</v>
      </c>
      <c r="F752" s="40">
        <v>2.1</v>
      </c>
      <c r="G752" s="40">
        <v>1</v>
      </c>
      <c r="H752" s="3">
        <f t="shared" si="168"/>
        <v>0</v>
      </c>
      <c r="I752" s="3">
        <f t="shared" si="169"/>
        <v>1.9687500000000002</v>
      </c>
      <c r="J752" s="3">
        <f t="shared" si="170"/>
        <v>0.9375</v>
      </c>
      <c r="K752" s="3"/>
      <c r="L752" s="4">
        <f t="shared" si="164"/>
        <v>48.97674999999991</v>
      </c>
      <c r="M752" s="40">
        <v>0</v>
      </c>
      <c r="N752" s="40">
        <v>0</v>
      </c>
      <c r="O752" s="40">
        <v>0.1</v>
      </c>
      <c r="P752" s="40">
        <v>0</v>
      </c>
      <c r="Q752" s="40">
        <v>0</v>
      </c>
      <c r="R752" s="40">
        <v>0</v>
      </c>
      <c r="S752" s="2">
        <f t="shared" si="165"/>
        <v>31.600000000000378</v>
      </c>
      <c r="T752" s="2">
        <v>0</v>
      </c>
      <c r="U752" s="2">
        <v>0</v>
      </c>
      <c r="V752" s="2">
        <v>1</v>
      </c>
      <c r="W752" s="2">
        <v>0</v>
      </c>
      <c r="X752" s="2">
        <f t="shared" si="166"/>
        <v>75</v>
      </c>
      <c r="Z752" s="1"/>
      <c r="AA752" s="1"/>
      <c r="AB752" s="2" t="str">
        <f t="shared" si="167"/>
        <v/>
      </c>
      <c r="AD752" s="121"/>
      <c r="AE752" s="121"/>
    </row>
    <row r="753" spans="1:31" x14ac:dyDescent="0.25">
      <c r="A753" s="35" t="s">
        <v>592</v>
      </c>
      <c r="B753" s="65">
        <v>0.33333333333333331</v>
      </c>
      <c r="C753" s="2">
        <v>1.5</v>
      </c>
      <c r="D753" s="10" t="s">
        <v>593</v>
      </c>
      <c r="E753" s="40">
        <v>15</v>
      </c>
      <c r="F753" s="40">
        <v>2.2000000000000002</v>
      </c>
      <c r="G753" s="40">
        <v>0.2</v>
      </c>
      <c r="H753" s="3">
        <f t="shared" si="168"/>
        <v>0.9375</v>
      </c>
      <c r="I753" s="3">
        <f t="shared" si="169"/>
        <v>0.13750000000000001</v>
      </c>
      <c r="J753" s="3">
        <f t="shared" si="170"/>
        <v>1.2500000000000001E-2</v>
      </c>
      <c r="K753" s="3"/>
      <c r="L753" s="4">
        <f t="shared" si="164"/>
        <v>47.889249999999912</v>
      </c>
      <c r="M753" s="40">
        <v>0</v>
      </c>
      <c r="N753" s="40">
        <v>0</v>
      </c>
      <c r="O753" s="40">
        <v>0</v>
      </c>
      <c r="P753" s="40">
        <v>0</v>
      </c>
      <c r="Q753" s="40">
        <v>0</v>
      </c>
      <c r="R753" s="40">
        <v>0</v>
      </c>
      <c r="S753" s="2">
        <f t="shared" si="165"/>
        <v>31.600000000000378</v>
      </c>
      <c r="T753" s="2">
        <v>0</v>
      </c>
      <c r="U753" s="2">
        <v>0</v>
      </c>
      <c r="V753" s="2">
        <v>2</v>
      </c>
      <c r="W753" s="2">
        <v>0</v>
      </c>
      <c r="X753" s="2">
        <f t="shared" si="166"/>
        <v>73</v>
      </c>
      <c r="Z753" s="1"/>
      <c r="AA753" s="1"/>
      <c r="AB753" s="2" t="str">
        <f t="shared" si="167"/>
        <v/>
      </c>
      <c r="AD753" s="121"/>
      <c r="AE753" s="121"/>
    </row>
    <row r="754" spans="1:31" x14ac:dyDescent="0.25">
      <c r="A754" s="35" t="s">
        <v>592</v>
      </c>
      <c r="B754" s="7">
        <v>0.39166666666666666</v>
      </c>
      <c r="C754" s="2">
        <v>1.5</v>
      </c>
      <c r="D754" s="10" t="s">
        <v>393</v>
      </c>
      <c r="E754" s="40">
        <v>10</v>
      </c>
      <c r="F754" s="40">
        <v>2.2000000000000002</v>
      </c>
      <c r="G754" s="40">
        <v>0.2</v>
      </c>
      <c r="H754" s="3">
        <f t="shared" si="168"/>
        <v>0.625</v>
      </c>
      <c r="I754" s="3">
        <f t="shared" si="169"/>
        <v>0.13750000000000001</v>
      </c>
      <c r="J754" s="3">
        <f t="shared" si="170"/>
        <v>1.2500000000000001E-2</v>
      </c>
      <c r="K754" s="3"/>
      <c r="L754" s="4">
        <f t="shared" si="164"/>
        <v>47.114249999999913</v>
      </c>
      <c r="M754" s="40">
        <v>0</v>
      </c>
      <c r="N754" s="40">
        <v>0</v>
      </c>
      <c r="O754" s="40">
        <v>0.1</v>
      </c>
      <c r="P754" s="40">
        <v>0</v>
      </c>
      <c r="Q754" s="40">
        <v>0</v>
      </c>
      <c r="R754" s="40">
        <v>0</v>
      </c>
      <c r="S754" s="2">
        <f t="shared" si="165"/>
        <v>31.500000000000377</v>
      </c>
      <c r="T754" s="2">
        <v>0</v>
      </c>
      <c r="U754" s="2">
        <v>0</v>
      </c>
      <c r="V754" s="2">
        <v>1</v>
      </c>
      <c r="W754" s="2">
        <v>0</v>
      </c>
      <c r="X754" s="2">
        <f t="shared" si="166"/>
        <v>72</v>
      </c>
      <c r="Z754" s="1"/>
      <c r="AA754" s="1"/>
      <c r="AB754" s="2" t="str">
        <f t="shared" si="167"/>
        <v/>
      </c>
      <c r="AD754" s="121"/>
      <c r="AE754" s="121"/>
    </row>
    <row r="755" spans="1:31" x14ac:dyDescent="0.25">
      <c r="A755" s="35" t="s">
        <v>594</v>
      </c>
      <c r="B755" s="65">
        <v>0.33333333333333331</v>
      </c>
      <c r="C755" s="2">
        <v>22.5</v>
      </c>
      <c r="D755" s="10" t="s">
        <v>595</v>
      </c>
      <c r="E755" s="40">
        <v>0</v>
      </c>
      <c r="F755" s="40">
        <v>3</v>
      </c>
      <c r="G755" s="40">
        <v>1.5</v>
      </c>
      <c r="H755" s="3">
        <f t="shared" si="168"/>
        <v>0</v>
      </c>
      <c r="I755" s="3">
        <f t="shared" si="169"/>
        <v>2.8125</v>
      </c>
      <c r="J755" s="3">
        <f t="shared" si="170"/>
        <v>1.40625</v>
      </c>
      <c r="K755" s="3"/>
      <c r="L755" s="4">
        <f t="shared" si="164"/>
        <v>42.895499999999913</v>
      </c>
      <c r="M755" s="40">
        <v>0</v>
      </c>
      <c r="N755" s="40">
        <v>0</v>
      </c>
      <c r="O755" s="40">
        <v>0.1</v>
      </c>
      <c r="P755" s="40">
        <v>0</v>
      </c>
      <c r="Q755" s="40">
        <v>0</v>
      </c>
      <c r="R755" s="40">
        <v>0</v>
      </c>
      <c r="S755" s="2">
        <f t="shared" si="165"/>
        <v>31.400000000000375</v>
      </c>
      <c r="T755" s="2">
        <v>0</v>
      </c>
      <c r="U755" s="2">
        <v>0</v>
      </c>
      <c r="V755" s="2">
        <v>4</v>
      </c>
      <c r="W755" s="2">
        <v>0</v>
      </c>
      <c r="X755" s="2">
        <f t="shared" si="166"/>
        <v>68</v>
      </c>
      <c r="Z755" s="1"/>
      <c r="AA755" s="1"/>
      <c r="AB755" s="2" t="str">
        <f t="shared" si="167"/>
        <v/>
      </c>
      <c r="AD755" s="121"/>
      <c r="AE755" s="121"/>
    </row>
    <row r="756" spans="1:31" x14ac:dyDescent="0.25">
      <c r="A756" s="35" t="s">
        <v>596</v>
      </c>
      <c r="B756" s="7">
        <v>0.29166666666666669</v>
      </c>
      <c r="C756" s="2">
        <v>23</v>
      </c>
      <c r="D756" s="10" t="s">
        <v>597</v>
      </c>
      <c r="E756" s="40">
        <v>0</v>
      </c>
      <c r="F756" s="40">
        <v>3</v>
      </c>
      <c r="G756" s="40">
        <v>1.5</v>
      </c>
      <c r="H756" s="3">
        <f t="shared" si="168"/>
        <v>0</v>
      </c>
      <c r="I756" s="3">
        <f t="shared" si="169"/>
        <v>2.875</v>
      </c>
      <c r="J756" s="3">
        <f t="shared" si="170"/>
        <v>1.4375</v>
      </c>
      <c r="K756" s="3"/>
      <c r="L756" s="4">
        <f t="shared" si="164"/>
        <v>38.582999999999913</v>
      </c>
      <c r="M756" s="40">
        <v>0</v>
      </c>
      <c r="N756" s="40">
        <v>0</v>
      </c>
      <c r="O756" s="40">
        <v>0.1</v>
      </c>
      <c r="P756" s="40">
        <v>0</v>
      </c>
      <c r="Q756" s="40">
        <v>0</v>
      </c>
      <c r="R756" s="40">
        <v>0</v>
      </c>
      <c r="S756" s="2">
        <f t="shared" si="165"/>
        <v>31.300000000000374</v>
      </c>
      <c r="T756" s="2">
        <v>0</v>
      </c>
      <c r="U756" s="2">
        <v>0</v>
      </c>
      <c r="V756" s="2">
        <v>4</v>
      </c>
      <c r="W756" s="2">
        <v>0</v>
      </c>
      <c r="X756" s="2">
        <f t="shared" si="166"/>
        <v>64</v>
      </c>
      <c r="Z756" s="1"/>
      <c r="AA756" s="1"/>
      <c r="AB756" s="2" t="str">
        <f t="shared" si="167"/>
        <v/>
      </c>
      <c r="AD756" s="121"/>
      <c r="AE756" s="121"/>
    </row>
    <row r="757" spans="1:31" x14ac:dyDescent="0.25">
      <c r="A757" s="35" t="s">
        <v>596</v>
      </c>
      <c r="B757" s="65">
        <v>0.33333333333333331</v>
      </c>
      <c r="C757" s="2">
        <v>1</v>
      </c>
      <c r="D757" s="10" t="s">
        <v>595</v>
      </c>
      <c r="E757" s="40">
        <v>0</v>
      </c>
      <c r="F757" s="40">
        <v>3</v>
      </c>
      <c r="G757" s="40">
        <v>1.5</v>
      </c>
      <c r="H757" s="3">
        <f t="shared" si="168"/>
        <v>0</v>
      </c>
      <c r="I757" s="3">
        <f t="shared" si="169"/>
        <v>0.125</v>
      </c>
      <c r="J757" s="3">
        <f t="shared" si="170"/>
        <v>6.25E-2</v>
      </c>
      <c r="K757" s="3"/>
      <c r="L757" s="4">
        <f t="shared" si="164"/>
        <v>38.395499999999913</v>
      </c>
      <c r="M757" s="40">
        <v>0</v>
      </c>
      <c r="N757" s="40">
        <v>0</v>
      </c>
      <c r="O757" s="40">
        <v>0</v>
      </c>
      <c r="P757" s="40">
        <v>0</v>
      </c>
      <c r="Q757" s="40">
        <v>0</v>
      </c>
      <c r="R757" s="40">
        <v>0</v>
      </c>
      <c r="S757" s="2">
        <f t="shared" si="165"/>
        <v>31.300000000000374</v>
      </c>
      <c r="T757" s="2">
        <v>0</v>
      </c>
      <c r="U757" s="2">
        <v>0</v>
      </c>
      <c r="V757" s="2">
        <v>1</v>
      </c>
      <c r="W757" s="2">
        <v>0</v>
      </c>
      <c r="X757" s="2">
        <f t="shared" si="166"/>
        <v>63</v>
      </c>
      <c r="Z757" s="1"/>
      <c r="AA757" s="1"/>
      <c r="AB757" s="2" t="str">
        <f t="shared" si="167"/>
        <v/>
      </c>
      <c r="AD757" s="121"/>
      <c r="AE757" s="121"/>
    </row>
    <row r="758" spans="1:31" x14ac:dyDescent="0.25">
      <c r="A758" s="35" t="s">
        <v>596</v>
      </c>
      <c r="B758" s="7">
        <v>0.48749999999999999</v>
      </c>
      <c r="C758" s="2">
        <v>3.8</v>
      </c>
      <c r="D758" s="10" t="s">
        <v>598</v>
      </c>
      <c r="E758" s="40">
        <v>0</v>
      </c>
      <c r="F758" s="40">
        <v>3</v>
      </c>
      <c r="G758" s="40">
        <v>1.5</v>
      </c>
      <c r="H758" s="3">
        <f t="shared" si="168"/>
        <v>0</v>
      </c>
      <c r="I758" s="3">
        <f t="shared" si="169"/>
        <v>0.47499999999999998</v>
      </c>
      <c r="J758" s="3">
        <f t="shared" si="170"/>
        <v>0.23749999999999999</v>
      </c>
      <c r="K758" s="3"/>
      <c r="L758" s="4">
        <f t="shared" si="164"/>
        <v>37.682999999999915</v>
      </c>
      <c r="M758" s="40">
        <v>0</v>
      </c>
      <c r="N758" s="40">
        <v>0</v>
      </c>
      <c r="O758" s="40">
        <v>0.1</v>
      </c>
      <c r="P758" s="40">
        <v>0</v>
      </c>
      <c r="Q758" s="40">
        <v>0</v>
      </c>
      <c r="R758" s="40">
        <v>0</v>
      </c>
      <c r="S758" s="2">
        <f t="shared" si="165"/>
        <v>31.200000000000372</v>
      </c>
      <c r="T758" s="2">
        <v>0</v>
      </c>
      <c r="U758" s="2">
        <v>0</v>
      </c>
      <c r="V758" s="2">
        <v>2</v>
      </c>
      <c r="W758" s="2">
        <v>0</v>
      </c>
      <c r="X758" s="2">
        <f t="shared" si="166"/>
        <v>61</v>
      </c>
      <c r="Z758" s="1"/>
      <c r="AA758" s="1"/>
      <c r="AB758" s="2" t="str">
        <f t="shared" si="167"/>
        <v/>
      </c>
      <c r="AD758" s="121"/>
      <c r="AE758" s="121"/>
    </row>
    <row r="759" spans="1:31" x14ac:dyDescent="0.25">
      <c r="A759" s="35" t="s">
        <v>596</v>
      </c>
      <c r="B759" s="7">
        <v>0.51666666666666672</v>
      </c>
      <c r="C759" s="2">
        <v>0.6</v>
      </c>
      <c r="D759" s="10" t="s">
        <v>381</v>
      </c>
      <c r="E759" s="40">
        <v>15</v>
      </c>
      <c r="F759" s="40">
        <v>3</v>
      </c>
      <c r="G759" s="40">
        <v>1.5</v>
      </c>
      <c r="H759" s="3">
        <f t="shared" si="168"/>
        <v>0.375</v>
      </c>
      <c r="I759" s="3">
        <f t="shared" si="169"/>
        <v>7.4999999999999997E-2</v>
      </c>
      <c r="J759" s="3">
        <f t="shared" si="170"/>
        <v>3.7499999999999999E-2</v>
      </c>
      <c r="K759" s="3"/>
      <c r="L759" s="4">
        <f t="shared" si="164"/>
        <v>37.195499999999917</v>
      </c>
      <c r="M759" s="40">
        <v>0</v>
      </c>
      <c r="N759" s="40">
        <v>0</v>
      </c>
      <c r="O759" s="40">
        <v>0</v>
      </c>
      <c r="P759" s="40">
        <v>0</v>
      </c>
      <c r="Q759" s="40">
        <v>0</v>
      </c>
      <c r="R759" s="40">
        <v>0</v>
      </c>
      <c r="S759" s="2">
        <f t="shared" si="165"/>
        <v>31.200000000000372</v>
      </c>
      <c r="T759" s="2">
        <v>0</v>
      </c>
      <c r="U759" s="2">
        <v>0</v>
      </c>
      <c r="V759" s="2">
        <v>0</v>
      </c>
      <c r="W759" s="2">
        <v>0</v>
      </c>
      <c r="X759" s="2">
        <f t="shared" si="166"/>
        <v>61</v>
      </c>
      <c r="Z759" s="1"/>
      <c r="AA759" s="1"/>
      <c r="AB759" s="2" t="str">
        <f t="shared" si="167"/>
        <v/>
      </c>
      <c r="AD759" s="121"/>
      <c r="AE759" s="121"/>
    </row>
    <row r="760" spans="1:31" x14ac:dyDescent="0.25">
      <c r="A760" s="35" t="s">
        <v>596</v>
      </c>
      <c r="B760" s="7">
        <v>0.57916666666666672</v>
      </c>
      <c r="C760" s="2">
        <v>1.5</v>
      </c>
      <c r="D760" s="10" t="s">
        <v>600</v>
      </c>
      <c r="E760" s="40">
        <v>15</v>
      </c>
      <c r="F760" s="40">
        <v>3</v>
      </c>
      <c r="G760" s="40">
        <v>1.5</v>
      </c>
      <c r="H760" s="3">
        <f t="shared" si="168"/>
        <v>0.9375</v>
      </c>
      <c r="I760" s="3">
        <f t="shared" si="169"/>
        <v>0.1875</v>
      </c>
      <c r="J760" s="3">
        <f t="shared" si="170"/>
        <v>9.375E-2</v>
      </c>
      <c r="K760" s="3"/>
      <c r="L760" s="4">
        <f t="shared" si="164"/>
        <v>35.976749999999917</v>
      </c>
      <c r="M760" s="40">
        <v>0</v>
      </c>
      <c r="N760" s="40">
        <v>0</v>
      </c>
      <c r="O760" s="40">
        <v>0</v>
      </c>
      <c r="P760" s="40">
        <v>0</v>
      </c>
      <c r="Q760" s="40">
        <v>0</v>
      </c>
      <c r="R760" s="40">
        <v>0</v>
      </c>
      <c r="S760" s="2">
        <f t="shared" si="165"/>
        <v>31.200000000000372</v>
      </c>
      <c r="T760" s="2">
        <v>0</v>
      </c>
      <c r="U760" s="2">
        <v>0</v>
      </c>
      <c r="V760" s="2">
        <v>0</v>
      </c>
      <c r="W760" s="2">
        <v>0</v>
      </c>
      <c r="X760" s="2">
        <f t="shared" si="166"/>
        <v>61</v>
      </c>
      <c r="Z760" s="1"/>
      <c r="AA760" s="1"/>
      <c r="AB760" s="2" t="str">
        <f t="shared" si="167"/>
        <v/>
      </c>
      <c r="AD760" s="121"/>
      <c r="AE760" s="121"/>
    </row>
    <row r="761" spans="1:31" x14ac:dyDescent="0.25">
      <c r="A761" s="35" t="s">
        <v>596</v>
      </c>
      <c r="B761" s="7">
        <v>0.65416666666666667</v>
      </c>
      <c r="C761" s="2">
        <v>1.9</v>
      </c>
      <c r="D761" s="10" t="s">
        <v>381</v>
      </c>
      <c r="E761" s="40">
        <v>0</v>
      </c>
      <c r="F761" s="40">
        <v>3</v>
      </c>
      <c r="G761" s="40">
        <v>1.5</v>
      </c>
      <c r="H761" s="3">
        <f t="shared" si="168"/>
        <v>0</v>
      </c>
      <c r="I761" s="3">
        <f t="shared" si="169"/>
        <v>0.23749999999999999</v>
      </c>
      <c r="J761" s="3">
        <f t="shared" si="170"/>
        <v>0.11874999999999999</v>
      </c>
      <c r="K761" s="3"/>
      <c r="L761" s="4">
        <f t="shared" si="164"/>
        <v>35.620499999999915</v>
      </c>
      <c r="M761" s="40">
        <v>0</v>
      </c>
      <c r="N761" s="40">
        <v>0</v>
      </c>
      <c r="O761" s="40">
        <v>0.1</v>
      </c>
      <c r="P761" s="40">
        <v>0</v>
      </c>
      <c r="Q761" s="40">
        <v>0</v>
      </c>
      <c r="R761" s="40">
        <v>0</v>
      </c>
      <c r="S761" s="2">
        <f t="shared" si="165"/>
        <v>31.100000000000371</v>
      </c>
      <c r="T761" s="2">
        <v>0</v>
      </c>
      <c r="U761" s="2">
        <v>0</v>
      </c>
      <c r="V761" s="2">
        <v>0</v>
      </c>
      <c r="W761" s="2">
        <v>0</v>
      </c>
      <c r="X761" s="2">
        <f t="shared" si="166"/>
        <v>61</v>
      </c>
      <c r="Z761" s="1"/>
      <c r="AA761" s="1"/>
      <c r="AB761" s="2" t="str">
        <f t="shared" si="167"/>
        <v/>
      </c>
      <c r="AD761" s="121"/>
      <c r="AE761" s="121"/>
    </row>
    <row r="762" spans="1:31" x14ac:dyDescent="0.25">
      <c r="A762" s="35" t="s">
        <v>596</v>
      </c>
      <c r="B762" s="7">
        <v>0.67499999999999993</v>
      </c>
      <c r="C762" s="2">
        <v>0.5</v>
      </c>
      <c r="D762" s="10" t="s">
        <v>599</v>
      </c>
      <c r="E762" s="40">
        <v>15</v>
      </c>
      <c r="F762" s="40">
        <v>3</v>
      </c>
      <c r="G762" s="40">
        <v>1.5</v>
      </c>
      <c r="H762" s="3">
        <f t="shared" si="168"/>
        <v>0.3125</v>
      </c>
      <c r="I762" s="3">
        <f t="shared" si="169"/>
        <v>6.25E-2</v>
      </c>
      <c r="J762" s="3">
        <f t="shared" si="170"/>
        <v>3.125E-2</v>
      </c>
      <c r="K762" s="3"/>
      <c r="L762" s="4">
        <f t="shared" si="164"/>
        <v>35.214249999999915</v>
      </c>
      <c r="M762" s="40">
        <v>0</v>
      </c>
      <c r="N762" s="40">
        <v>0</v>
      </c>
      <c r="O762" s="40">
        <v>0</v>
      </c>
      <c r="P762" s="40">
        <v>0</v>
      </c>
      <c r="Q762" s="40">
        <v>0</v>
      </c>
      <c r="R762" s="40">
        <v>0</v>
      </c>
      <c r="S762" s="2">
        <f t="shared" si="165"/>
        <v>31.100000000000371</v>
      </c>
      <c r="T762" s="2">
        <v>0</v>
      </c>
      <c r="U762" s="2">
        <v>0</v>
      </c>
      <c r="V762" s="2">
        <v>0</v>
      </c>
      <c r="W762" s="2">
        <v>0</v>
      </c>
      <c r="X762" s="2">
        <f t="shared" si="166"/>
        <v>61</v>
      </c>
      <c r="Z762" s="1"/>
      <c r="AA762" s="1"/>
      <c r="AB762" s="2" t="str">
        <f t="shared" si="167"/>
        <v/>
      </c>
      <c r="AD762" s="121"/>
      <c r="AE762" s="121"/>
    </row>
    <row r="763" spans="1:31" x14ac:dyDescent="0.25">
      <c r="A763" s="35" t="s">
        <v>596</v>
      </c>
      <c r="B763" s="7">
        <v>0.90833333333333333</v>
      </c>
      <c r="C763" s="2">
        <v>4.3</v>
      </c>
      <c r="D763" s="10" t="s">
        <v>381</v>
      </c>
      <c r="E763" s="40">
        <v>0</v>
      </c>
      <c r="F763" s="40">
        <v>3</v>
      </c>
      <c r="G763" s="40">
        <v>1.5</v>
      </c>
      <c r="H763" s="3">
        <f t="shared" si="168"/>
        <v>0</v>
      </c>
      <c r="I763" s="3">
        <f t="shared" si="169"/>
        <v>0.53749999999999998</v>
      </c>
      <c r="J763" s="3">
        <f t="shared" si="170"/>
        <v>0.26874999999999999</v>
      </c>
      <c r="K763" s="3"/>
      <c r="L763" s="4">
        <f t="shared" si="164"/>
        <v>34.407999999999916</v>
      </c>
      <c r="M763" s="40">
        <v>0</v>
      </c>
      <c r="N763" s="40">
        <v>0</v>
      </c>
      <c r="O763" s="40">
        <v>0</v>
      </c>
      <c r="P763" s="40">
        <v>0</v>
      </c>
      <c r="Q763" s="40">
        <v>0</v>
      </c>
      <c r="R763" s="40">
        <v>80</v>
      </c>
      <c r="S763" s="2">
        <f t="shared" si="165"/>
        <v>111.10000000000036</v>
      </c>
      <c r="T763" s="2">
        <v>0</v>
      </c>
      <c r="U763" s="2">
        <v>0</v>
      </c>
      <c r="V763" s="2">
        <v>0</v>
      </c>
      <c r="W763" s="2">
        <v>0</v>
      </c>
      <c r="X763" s="2">
        <f t="shared" si="166"/>
        <v>61</v>
      </c>
      <c r="Z763" s="1"/>
      <c r="AA763" s="1"/>
      <c r="AB763" s="2" t="str">
        <f t="shared" si="167"/>
        <v/>
      </c>
      <c r="AD763" s="121"/>
      <c r="AE763" s="121"/>
    </row>
    <row r="764" spans="1:31" x14ac:dyDescent="0.25">
      <c r="A764" s="35" t="s">
        <v>596</v>
      </c>
      <c r="B764" s="7">
        <v>0.9375</v>
      </c>
      <c r="C764" s="2">
        <v>0.9</v>
      </c>
      <c r="D764" s="10" t="s">
        <v>601</v>
      </c>
      <c r="E764" s="40">
        <v>15</v>
      </c>
      <c r="F764" s="40">
        <v>3</v>
      </c>
      <c r="G764" s="40">
        <v>1.5</v>
      </c>
      <c r="H764" s="3">
        <f t="shared" si="168"/>
        <v>0.5625</v>
      </c>
      <c r="I764" s="3">
        <f t="shared" si="169"/>
        <v>0.1125</v>
      </c>
      <c r="J764" s="3">
        <f t="shared" si="170"/>
        <v>5.6250000000000001E-2</v>
      </c>
      <c r="K764" s="3"/>
      <c r="L764" s="4">
        <f t="shared" si="164"/>
        <v>33.676749999999913</v>
      </c>
      <c r="M764" s="40">
        <v>0</v>
      </c>
      <c r="N764" s="40">
        <v>0</v>
      </c>
      <c r="O764" s="40">
        <v>0</v>
      </c>
      <c r="P764" s="40">
        <v>0</v>
      </c>
      <c r="Q764" s="40">
        <v>0</v>
      </c>
      <c r="R764" s="40">
        <v>0</v>
      </c>
      <c r="S764" s="2">
        <f t="shared" si="165"/>
        <v>111.10000000000036</v>
      </c>
      <c r="T764" s="2">
        <v>0</v>
      </c>
      <c r="U764" s="2">
        <v>0</v>
      </c>
      <c r="V764" s="2">
        <v>0</v>
      </c>
      <c r="W764" s="2">
        <v>0</v>
      </c>
      <c r="X764" s="2">
        <f t="shared" si="166"/>
        <v>61</v>
      </c>
      <c r="Z764" s="1"/>
      <c r="AA764" s="1"/>
      <c r="AB764" s="2" t="str">
        <f t="shared" si="167"/>
        <v/>
      </c>
      <c r="AD764" s="121"/>
      <c r="AE764" s="121"/>
    </row>
    <row r="765" spans="1:31" x14ac:dyDescent="0.25">
      <c r="A765" s="35" t="s">
        <v>602</v>
      </c>
      <c r="B765" s="65">
        <v>0.33333333333333331</v>
      </c>
      <c r="C765" s="2">
        <v>9.5</v>
      </c>
      <c r="D765" s="10" t="s">
        <v>603</v>
      </c>
      <c r="E765" s="40">
        <v>0</v>
      </c>
      <c r="F765" s="40">
        <v>3</v>
      </c>
      <c r="G765" s="40">
        <v>1.5</v>
      </c>
      <c r="H765" s="3">
        <f t="shared" si="168"/>
        <v>0</v>
      </c>
      <c r="I765" s="3">
        <f t="shared" si="169"/>
        <v>1.1875</v>
      </c>
      <c r="J765" s="3">
        <f t="shared" si="170"/>
        <v>0.59375</v>
      </c>
      <c r="K765" s="3"/>
      <c r="L765" s="4">
        <f t="shared" si="164"/>
        <v>31.895499999999913</v>
      </c>
      <c r="M765" s="40">
        <v>0</v>
      </c>
      <c r="N765" s="40">
        <v>0</v>
      </c>
      <c r="O765" s="40">
        <v>0</v>
      </c>
      <c r="P765" s="40">
        <v>0</v>
      </c>
      <c r="Q765" s="40">
        <v>0</v>
      </c>
      <c r="R765" s="40">
        <v>0</v>
      </c>
      <c r="S765" s="2">
        <f t="shared" si="165"/>
        <v>111.10000000000036</v>
      </c>
      <c r="T765" s="2">
        <v>0</v>
      </c>
      <c r="U765" s="2">
        <v>0</v>
      </c>
      <c r="V765" s="2">
        <v>2</v>
      </c>
      <c r="W765" s="2">
        <v>0</v>
      </c>
      <c r="X765" s="2">
        <f t="shared" si="166"/>
        <v>59</v>
      </c>
      <c r="Z765" s="1"/>
      <c r="AA765" s="1"/>
      <c r="AB765" s="2" t="str">
        <f t="shared" si="167"/>
        <v/>
      </c>
      <c r="AD765" s="121"/>
      <c r="AE765" s="121"/>
    </row>
    <row r="766" spans="1:31" x14ac:dyDescent="0.25">
      <c r="A766" s="35" t="s">
        <v>604</v>
      </c>
      <c r="B766" s="65">
        <v>0.33333333333333331</v>
      </c>
      <c r="C766" s="2">
        <v>24</v>
      </c>
      <c r="D766" s="10" t="s">
        <v>603</v>
      </c>
      <c r="E766" s="40">
        <v>0</v>
      </c>
      <c r="F766" s="40">
        <v>1.5</v>
      </c>
      <c r="G766" s="40">
        <v>1</v>
      </c>
      <c r="H766" s="3">
        <f t="shared" si="168"/>
        <v>0</v>
      </c>
      <c r="I766" s="3">
        <f t="shared" si="169"/>
        <v>1.5</v>
      </c>
      <c r="J766" s="3">
        <f t="shared" si="170"/>
        <v>1</v>
      </c>
      <c r="K766" s="3"/>
      <c r="L766" s="4">
        <f t="shared" si="164"/>
        <v>29.395499999999913</v>
      </c>
      <c r="M766" s="40">
        <v>0</v>
      </c>
      <c r="N766" s="40">
        <v>0</v>
      </c>
      <c r="O766" s="40">
        <v>0.1</v>
      </c>
      <c r="P766" s="40">
        <v>0</v>
      </c>
      <c r="Q766" s="40">
        <v>0</v>
      </c>
      <c r="R766" s="40">
        <v>0</v>
      </c>
      <c r="S766" s="2">
        <f t="shared" si="165"/>
        <v>111.00000000000037</v>
      </c>
      <c r="T766" s="2">
        <v>0</v>
      </c>
      <c r="U766" s="2">
        <v>200</v>
      </c>
      <c r="V766" s="2">
        <v>5</v>
      </c>
      <c r="W766" s="2">
        <v>0</v>
      </c>
      <c r="X766" s="2">
        <f t="shared" si="166"/>
        <v>254</v>
      </c>
      <c r="Z766" s="1"/>
      <c r="AA766" s="1"/>
      <c r="AB766" s="2" t="str">
        <f t="shared" si="167"/>
        <v/>
      </c>
      <c r="AD766" s="121"/>
      <c r="AE766" s="121"/>
    </row>
    <row r="767" spans="1:31" x14ac:dyDescent="0.25">
      <c r="A767" s="35" t="s">
        <v>605</v>
      </c>
      <c r="B767" s="65">
        <v>0.33333333333333331</v>
      </c>
      <c r="C767" s="2">
        <v>24</v>
      </c>
      <c r="D767" s="10" t="s">
        <v>603</v>
      </c>
      <c r="E767" s="40">
        <v>0</v>
      </c>
      <c r="F767" s="40">
        <v>1.5</v>
      </c>
      <c r="G767" s="40">
        <v>1</v>
      </c>
      <c r="H767" s="3">
        <f t="shared" si="168"/>
        <v>0</v>
      </c>
      <c r="I767" s="3">
        <f t="shared" si="169"/>
        <v>1.5</v>
      </c>
      <c r="J767" s="3">
        <f t="shared" si="170"/>
        <v>1</v>
      </c>
      <c r="K767" s="3"/>
      <c r="L767" s="4">
        <f t="shared" si="164"/>
        <v>26.895499999999913</v>
      </c>
      <c r="M767" s="40">
        <v>0</v>
      </c>
      <c r="N767" s="40">
        <v>0</v>
      </c>
      <c r="O767" s="40">
        <v>0.1</v>
      </c>
      <c r="P767" s="40">
        <v>0</v>
      </c>
      <c r="Q767" s="40">
        <v>0</v>
      </c>
      <c r="R767" s="40">
        <v>0</v>
      </c>
      <c r="S767" s="2">
        <f t="shared" si="165"/>
        <v>110.90000000000038</v>
      </c>
      <c r="T767" s="2">
        <v>0</v>
      </c>
      <c r="U767" s="2">
        <v>0</v>
      </c>
      <c r="V767" s="2">
        <v>4</v>
      </c>
      <c r="W767" s="2">
        <v>0</v>
      </c>
      <c r="X767" s="2">
        <f t="shared" si="166"/>
        <v>250</v>
      </c>
      <c r="Z767" s="1"/>
      <c r="AA767" s="1"/>
      <c r="AB767" s="2" t="str">
        <f t="shared" si="167"/>
        <v/>
      </c>
      <c r="AD767" s="121"/>
      <c r="AE767" s="121"/>
    </row>
    <row r="768" spans="1:31" x14ac:dyDescent="0.25">
      <c r="A768" s="35" t="s">
        <v>605</v>
      </c>
      <c r="B768" s="7">
        <v>0.78333333333333333</v>
      </c>
      <c r="C768" s="2">
        <v>10.8</v>
      </c>
      <c r="D768" s="10" t="s">
        <v>381</v>
      </c>
      <c r="E768" s="40">
        <v>0</v>
      </c>
      <c r="F768" s="40">
        <v>1.5</v>
      </c>
      <c r="G768" s="40">
        <v>1</v>
      </c>
      <c r="H768" s="3">
        <f t="shared" si="168"/>
        <v>0</v>
      </c>
      <c r="I768" s="3">
        <f t="shared" si="169"/>
        <v>0.67500000000000004</v>
      </c>
      <c r="J768" s="3">
        <f t="shared" si="170"/>
        <v>0.45</v>
      </c>
      <c r="K768" s="3"/>
      <c r="L768" s="4">
        <f t="shared" si="164"/>
        <v>25.770499999999913</v>
      </c>
      <c r="M768" s="40">
        <v>0</v>
      </c>
      <c r="N768" s="40">
        <v>0</v>
      </c>
      <c r="O768" s="40">
        <v>0.1</v>
      </c>
      <c r="P768" s="40">
        <v>0</v>
      </c>
      <c r="Q768" s="40">
        <v>0</v>
      </c>
      <c r="R768" s="40">
        <v>0</v>
      </c>
      <c r="S768" s="2">
        <f t="shared" si="165"/>
        <v>110.80000000000038</v>
      </c>
      <c r="T768" s="2">
        <v>0</v>
      </c>
      <c r="U768" s="2">
        <v>0</v>
      </c>
      <c r="V768" s="2">
        <v>2</v>
      </c>
      <c r="W768" s="2">
        <v>0</v>
      </c>
      <c r="X768" s="2">
        <f t="shared" si="166"/>
        <v>248</v>
      </c>
      <c r="Z768" s="1"/>
      <c r="AA768" s="1"/>
      <c r="AB768" s="2" t="str">
        <f t="shared" si="167"/>
        <v/>
      </c>
      <c r="AD768" s="121"/>
      <c r="AE768" s="121"/>
    </row>
    <row r="769" spans="1:31" x14ac:dyDescent="0.25">
      <c r="A769" s="35" t="s">
        <v>605</v>
      </c>
      <c r="B769" s="7">
        <v>0.90416666666666667</v>
      </c>
      <c r="C769" s="2">
        <v>3</v>
      </c>
      <c r="D769" s="10" t="s">
        <v>606</v>
      </c>
      <c r="E769" s="40">
        <v>15</v>
      </c>
      <c r="F769" s="40">
        <v>3</v>
      </c>
      <c r="G769" s="40">
        <v>1.5</v>
      </c>
      <c r="H769" s="3">
        <f t="shared" si="168"/>
        <v>1.875</v>
      </c>
      <c r="I769" s="3">
        <f t="shared" si="169"/>
        <v>0.375</v>
      </c>
      <c r="J769" s="3">
        <f t="shared" si="170"/>
        <v>0.1875</v>
      </c>
      <c r="K769" s="3"/>
      <c r="L769" s="4">
        <f t="shared" si="164"/>
        <v>23.332999999999913</v>
      </c>
      <c r="M769" s="40">
        <v>0</v>
      </c>
      <c r="N769" s="40">
        <v>0</v>
      </c>
      <c r="O769" s="40">
        <v>0</v>
      </c>
      <c r="P769" s="40">
        <v>0</v>
      </c>
      <c r="Q769" s="40">
        <v>0</v>
      </c>
      <c r="R769" s="40">
        <v>0</v>
      </c>
      <c r="S769" s="2">
        <f t="shared" si="165"/>
        <v>110.80000000000038</v>
      </c>
      <c r="T769" s="2">
        <v>0</v>
      </c>
      <c r="U769" s="2">
        <v>0</v>
      </c>
      <c r="V769" s="2">
        <v>1</v>
      </c>
      <c r="W769" s="2">
        <v>0</v>
      </c>
      <c r="X769" s="2">
        <f t="shared" si="166"/>
        <v>247</v>
      </c>
      <c r="Z769" s="1"/>
      <c r="AA769" s="1"/>
      <c r="AB769" s="2" t="str">
        <f t="shared" si="167"/>
        <v/>
      </c>
      <c r="AD769" s="121"/>
      <c r="AE769" s="121"/>
    </row>
    <row r="770" spans="1:31" x14ac:dyDescent="0.25">
      <c r="A770" s="35" t="s">
        <v>607</v>
      </c>
      <c r="B770" s="65">
        <v>0.33333333333333331</v>
      </c>
      <c r="C770" s="2">
        <v>10.199999999999999</v>
      </c>
      <c r="D770" s="10" t="s">
        <v>608</v>
      </c>
      <c r="E770" s="40">
        <v>0</v>
      </c>
      <c r="F770" s="40">
        <v>3</v>
      </c>
      <c r="G770" s="40">
        <v>1.5</v>
      </c>
      <c r="H770" s="3">
        <f t="shared" si="168"/>
        <v>0</v>
      </c>
      <c r="I770" s="3">
        <f t="shared" si="169"/>
        <v>1.2749999999999999</v>
      </c>
      <c r="J770" s="3">
        <f t="shared" si="170"/>
        <v>0.63749999999999996</v>
      </c>
      <c r="K770" s="3">
        <v>550</v>
      </c>
      <c r="L770" s="4">
        <f t="shared" si="164"/>
        <v>571.42049999999995</v>
      </c>
      <c r="M770" s="40">
        <v>0</v>
      </c>
      <c r="N770" s="40">
        <v>0</v>
      </c>
      <c r="O770" s="40">
        <v>0</v>
      </c>
      <c r="P770" s="40">
        <v>0</v>
      </c>
      <c r="Q770" s="40">
        <v>0</v>
      </c>
      <c r="R770" s="40">
        <v>0</v>
      </c>
      <c r="S770" s="2">
        <f t="shared" si="165"/>
        <v>110.80000000000038</v>
      </c>
      <c r="T770" s="2">
        <v>0</v>
      </c>
      <c r="U770" s="2">
        <v>0</v>
      </c>
      <c r="V770" s="2">
        <v>2</v>
      </c>
      <c r="W770" s="2">
        <v>0</v>
      </c>
      <c r="X770" s="2">
        <f t="shared" si="166"/>
        <v>245</v>
      </c>
      <c r="Z770" s="1"/>
      <c r="AA770" s="1"/>
      <c r="AB770" s="2" t="str">
        <f t="shared" si="167"/>
        <v/>
      </c>
      <c r="AD770" s="121"/>
      <c r="AE770" s="121"/>
    </row>
    <row r="771" spans="1:31" x14ac:dyDescent="0.25">
      <c r="A771" s="35" t="s">
        <v>609</v>
      </c>
      <c r="B771" s="65">
        <v>0.33333333333333331</v>
      </c>
      <c r="C771" s="2">
        <v>24</v>
      </c>
      <c r="D771" s="10" t="s">
        <v>608</v>
      </c>
      <c r="E771" s="40">
        <v>0</v>
      </c>
      <c r="F771" s="40">
        <v>3</v>
      </c>
      <c r="G771" s="40">
        <v>1.5</v>
      </c>
      <c r="H771" s="3">
        <f t="shared" si="168"/>
        <v>0</v>
      </c>
      <c r="I771" s="3">
        <f t="shared" si="169"/>
        <v>3</v>
      </c>
      <c r="J771" s="3">
        <f t="shared" si="170"/>
        <v>1.5</v>
      </c>
      <c r="K771" s="3"/>
      <c r="L771" s="4">
        <f t="shared" si="164"/>
        <v>566.92049999999995</v>
      </c>
      <c r="M771" s="40">
        <v>0</v>
      </c>
      <c r="N771" s="40">
        <v>0</v>
      </c>
      <c r="O771" s="40">
        <v>0.1</v>
      </c>
      <c r="P771" s="40">
        <v>0</v>
      </c>
      <c r="Q771" s="40">
        <v>0</v>
      </c>
      <c r="R771" s="40">
        <v>0</v>
      </c>
      <c r="S771" s="2">
        <f t="shared" si="165"/>
        <v>110.70000000000039</v>
      </c>
      <c r="T771" s="2">
        <v>0</v>
      </c>
      <c r="U771" s="2">
        <v>0</v>
      </c>
      <c r="V771" s="2">
        <v>5</v>
      </c>
      <c r="W771" s="2">
        <v>0</v>
      </c>
      <c r="X771" s="2">
        <f t="shared" si="166"/>
        <v>240</v>
      </c>
      <c r="Z771" s="1"/>
      <c r="AA771" s="1"/>
      <c r="AB771" s="2" t="str">
        <f t="shared" si="167"/>
        <v/>
      </c>
      <c r="AD771" s="121"/>
      <c r="AE771" s="121"/>
    </row>
    <row r="772" spans="1:31" x14ac:dyDescent="0.25">
      <c r="A772" s="35" t="s">
        <v>610</v>
      </c>
      <c r="B772" s="65">
        <v>0.33333333333333331</v>
      </c>
      <c r="C772" s="2">
        <v>24</v>
      </c>
      <c r="D772" s="10" t="s">
        <v>608</v>
      </c>
      <c r="E772" s="40">
        <v>0</v>
      </c>
      <c r="F772" s="40">
        <v>2.5</v>
      </c>
      <c r="G772" s="40">
        <v>1.2</v>
      </c>
      <c r="H772" s="3">
        <f t="shared" si="168"/>
        <v>0</v>
      </c>
      <c r="I772" s="3">
        <f t="shared" si="169"/>
        <v>2.5</v>
      </c>
      <c r="J772" s="3">
        <f t="shared" si="170"/>
        <v>1.2</v>
      </c>
      <c r="K772" s="3"/>
      <c r="L772" s="4">
        <f t="shared" si="164"/>
        <v>563.2204999999999</v>
      </c>
      <c r="M772" s="40">
        <v>0</v>
      </c>
      <c r="N772" s="40">
        <v>0</v>
      </c>
      <c r="O772" s="40">
        <v>0.1</v>
      </c>
      <c r="P772" s="40">
        <v>0</v>
      </c>
      <c r="Q772" s="40">
        <v>0</v>
      </c>
      <c r="R772" s="40">
        <v>0</v>
      </c>
      <c r="S772" s="2">
        <f t="shared" si="165"/>
        <v>110.60000000000039</v>
      </c>
      <c r="T772" s="2">
        <v>0</v>
      </c>
      <c r="U772" s="2">
        <v>0</v>
      </c>
      <c r="V772" s="2">
        <v>5</v>
      </c>
      <c r="W772" s="2">
        <v>0</v>
      </c>
      <c r="X772" s="2">
        <f t="shared" si="166"/>
        <v>235</v>
      </c>
      <c r="Z772" s="1">
        <v>141</v>
      </c>
      <c r="AA772" s="1">
        <v>106</v>
      </c>
      <c r="AB772" s="2">
        <f t="shared" si="167"/>
        <v>247</v>
      </c>
      <c r="AD772" s="121"/>
      <c r="AE772" s="121"/>
    </row>
    <row r="773" spans="1:31" x14ac:dyDescent="0.25">
      <c r="A773" s="79" t="s">
        <v>610</v>
      </c>
      <c r="B773" s="7">
        <v>0.9</v>
      </c>
      <c r="C773" s="2">
        <v>13.5</v>
      </c>
      <c r="D773" s="10" t="s">
        <v>608</v>
      </c>
      <c r="E773" s="2">
        <v>0</v>
      </c>
      <c r="F773" s="2">
        <v>2.5</v>
      </c>
      <c r="G773" s="2">
        <v>1.2</v>
      </c>
      <c r="H773" s="3">
        <f t="shared" ref="H773:H814" si="171">+IF(E773="","",(E773/24)*C773)</f>
        <v>0</v>
      </c>
      <c r="I773" s="3">
        <f t="shared" ref="I773:I814" si="172">+IF(F773="","",(F773/24)*C773)</f>
        <v>1.40625</v>
      </c>
      <c r="J773" s="3">
        <f t="shared" ref="J773:J814" si="173">+IF(G773="","",(G773/24)*C773)</f>
        <v>0.67499999999999993</v>
      </c>
      <c r="K773" s="3"/>
      <c r="L773" s="4">
        <f t="shared" ref="L773:L787" si="174">+IF(C773="","",((L772-(H773+I773+J773))+K773))</f>
        <v>561.13924999999995</v>
      </c>
      <c r="M773" s="2">
        <v>0</v>
      </c>
      <c r="N773" s="2">
        <v>0</v>
      </c>
      <c r="O773" s="2">
        <v>0.1</v>
      </c>
      <c r="P773" s="2">
        <v>0</v>
      </c>
      <c r="Q773" s="2">
        <v>0</v>
      </c>
      <c r="R773" s="2">
        <v>0</v>
      </c>
      <c r="S773" s="2">
        <f t="shared" si="165"/>
        <v>110.5000000000004</v>
      </c>
      <c r="T773" s="2">
        <v>0</v>
      </c>
      <c r="U773" s="2">
        <v>0</v>
      </c>
      <c r="V773" s="2">
        <v>3</v>
      </c>
      <c r="W773" s="2">
        <v>0</v>
      </c>
      <c r="X773" s="2">
        <f t="shared" si="166"/>
        <v>232</v>
      </c>
      <c r="Z773" s="1"/>
      <c r="AA773" s="1"/>
      <c r="AB773" s="2" t="str">
        <f t="shared" si="167"/>
        <v/>
      </c>
      <c r="AD773" s="121"/>
      <c r="AE773" s="121"/>
    </row>
    <row r="774" spans="1:31" x14ac:dyDescent="0.25">
      <c r="A774" s="79" t="s">
        <v>611</v>
      </c>
      <c r="B774" s="7">
        <v>9.1666666666666674E-2</v>
      </c>
      <c r="C774" s="2">
        <v>4.5999999999999996</v>
      </c>
      <c r="D774" s="10" t="s">
        <v>613</v>
      </c>
      <c r="E774" s="2">
        <v>0</v>
      </c>
      <c r="F774" s="2">
        <v>2.5</v>
      </c>
      <c r="G774" s="2">
        <v>1.2</v>
      </c>
      <c r="H774" s="3">
        <f t="shared" si="171"/>
        <v>0</v>
      </c>
      <c r="I774" s="3">
        <f t="shared" si="172"/>
        <v>0.47916666666666663</v>
      </c>
      <c r="J774" s="3">
        <f t="shared" si="173"/>
        <v>0.22999999999999995</v>
      </c>
      <c r="K774" s="3"/>
      <c r="L774" s="4">
        <f t="shared" si="174"/>
        <v>560.4300833333333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f t="shared" ref="S774:S814" si="175">IF(C774="","",(S773+R774)-(M774+N774+O774+P774+Q774))</f>
        <v>110.5000000000004</v>
      </c>
      <c r="T774" s="2">
        <v>0</v>
      </c>
      <c r="U774" s="2">
        <v>0</v>
      </c>
      <c r="V774" s="2">
        <v>0</v>
      </c>
      <c r="W774" s="2">
        <v>0</v>
      </c>
      <c r="X774" s="2">
        <f t="shared" ref="X774:X814" si="176">IF(V774="","",((X773+T774+U774)-(V774+W774)))</f>
        <v>232</v>
      </c>
      <c r="Z774" s="1"/>
      <c r="AA774" s="1"/>
      <c r="AB774" s="2" t="str">
        <f t="shared" ref="AB774:AB812" si="177">IF(Z774="","",Z774+AA774)</f>
        <v/>
      </c>
      <c r="AD774" s="121"/>
      <c r="AE774" s="121"/>
    </row>
    <row r="775" spans="1:31" x14ac:dyDescent="0.25">
      <c r="A775" s="79" t="s">
        <v>611</v>
      </c>
      <c r="B775" s="7">
        <v>0.14583333333333334</v>
      </c>
      <c r="C775" s="2">
        <v>1.2</v>
      </c>
      <c r="D775" s="10" t="s">
        <v>612</v>
      </c>
      <c r="E775" s="2">
        <v>10</v>
      </c>
      <c r="F775" s="2">
        <v>2.5</v>
      </c>
      <c r="G775" s="2">
        <v>1.2</v>
      </c>
      <c r="H775" s="3">
        <f t="shared" si="171"/>
        <v>0.5</v>
      </c>
      <c r="I775" s="3">
        <f t="shared" si="172"/>
        <v>0.125</v>
      </c>
      <c r="J775" s="3">
        <f t="shared" si="173"/>
        <v>5.9999999999999991E-2</v>
      </c>
      <c r="K775" s="3"/>
      <c r="L775" s="4">
        <f t="shared" si="174"/>
        <v>559.74508333333335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f t="shared" si="175"/>
        <v>110.5000000000004</v>
      </c>
      <c r="T775" s="2">
        <v>0</v>
      </c>
      <c r="U775" s="2">
        <v>0</v>
      </c>
      <c r="V775" s="2">
        <v>0</v>
      </c>
      <c r="W775" s="2">
        <v>0</v>
      </c>
      <c r="X775" s="2">
        <f t="shared" si="176"/>
        <v>232</v>
      </c>
      <c r="Z775" s="1"/>
      <c r="AA775" s="1"/>
      <c r="AB775" s="2" t="str">
        <f t="shared" si="177"/>
        <v/>
      </c>
      <c r="AD775" s="121"/>
      <c r="AE775" s="121"/>
    </row>
    <row r="776" spans="1:31" x14ac:dyDescent="0.25">
      <c r="A776" s="79" t="s">
        <v>611</v>
      </c>
      <c r="B776" s="65">
        <v>0.33333333333333331</v>
      </c>
      <c r="C776" s="2">
        <v>4.7</v>
      </c>
      <c r="D776" s="10" t="s">
        <v>355</v>
      </c>
      <c r="E776" s="2">
        <v>26</v>
      </c>
      <c r="F776" s="2">
        <v>2.5</v>
      </c>
      <c r="G776" s="2">
        <v>1</v>
      </c>
      <c r="H776" s="3">
        <f t="shared" si="171"/>
        <v>5.0916666666666668</v>
      </c>
      <c r="I776" s="3">
        <f t="shared" si="172"/>
        <v>0.48958333333333337</v>
      </c>
      <c r="J776" s="3">
        <f t="shared" si="173"/>
        <v>0.19583333333333333</v>
      </c>
      <c r="K776" s="3"/>
      <c r="L776" s="4">
        <f t="shared" si="174"/>
        <v>553.96800000000007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f t="shared" si="175"/>
        <v>110.5000000000004</v>
      </c>
      <c r="T776" s="2">
        <v>2</v>
      </c>
      <c r="U776" s="2">
        <v>0</v>
      </c>
      <c r="V776" s="2">
        <v>2</v>
      </c>
      <c r="W776" s="2">
        <v>0</v>
      </c>
      <c r="X776" s="2">
        <f t="shared" si="176"/>
        <v>232</v>
      </c>
      <c r="Z776" s="1">
        <v>141</v>
      </c>
      <c r="AA776" s="1">
        <v>100</v>
      </c>
      <c r="AB776" s="2">
        <f t="shared" si="177"/>
        <v>241</v>
      </c>
      <c r="AD776" s="121"/>
      <c r="AE776" s="121"/>
    </row>
    <row r="777" spans="1:31" x14ac:dyDescent="0.25">
      <c r="A777" s="79" t="s">
        <v>611</v>
      </c>
      <c r="B777" s="7">
        <v>0.4458333333333333</v>
      </c>
      <c r="C777" s="2">
        <v>2.6</v>
      </c>
      <c r="D777" s="10" t="s">
        <v>614</v>
      </c>
      <c r="E777" s="2">
        <v>25</v>
      </c>
      <c r="F777" s="2">
        <v>2.5</v>
      </c>
      <c r="G777" s="2">
        <v>1.2</v>
      </c>
      <c r="H777" s="3">
        <f t="shared" si="171"/>
        <v>2.7083333333333335</v>
      </c>
      <c r="I777" s="3">
        <f t="shared" si="172"/>
        <v>0.27083333333333337</v>
      </c>
      <c r="J777" s="3">
        <f t="shared" si="173"/>
        <v>0.13</v>
      </c>
      <c r="K777" s="3"/>
      <c r="L777" s="4">
        <f t="shared" si="174"/>
        <v>550.85883333333345</v>
      </c>
      <c r="M777" s="2">
        <v>0</v>
      </c>
      <c r="N777" s="2">
        <v>0</v>
      </c>
      <c r="O777" s="2">
        <v>0.1</v>
      </c>
      <c r="P777" s="2">
        <v>0</v>
      </c>
      <c r="Q777" s="2">
        <v>0</v>
      </c>
      <c r="R777" s="2">
        <v>0</v>
      </c>
      <c r="S777" s="2">
        <f t="shared" si="175"/>
        <v>110.4000000000004</v>
      </c>
      <c r="T777" s="2">
        <v>0</v>
      </c>
      <c r="U777" s="2">
        <v>0</v>
      </c>
      <c r="V777" s="2">
        <v>1</v>
      </c>
      <c r="W777" s="2">
        <v>0</v>
      </c>
      <c r="X777" s="2">
        <f t="shared" si="176"/>
        <v>231</v>
      </c>
      <c r="Z777" s="1"/>
      <c r="AA777" s="1"/>
      <c r="AB777" s="2" t="str">
        <f t="shared" si="177"/>
        <v/>
      </c>
      <c r="AD777" s="121">
        <v>12.5</v>
      </c>
      <c r="AE777" s="121" t="s">
        <v>1301</v>
      </c>
    </row>
    <row r="778" spans="1:31" x14ac:dyDescent="0.25">
      <c r="A778" s="79" t="s">
        <v>611</v>
      </c>
      <c r="B778" s="7">
        <v>0.47500000000000003</v>
      </c>
      <c r="C778" s="2">
        <v>0.6</v>
      </c>
      <c r="D778" s="10" t="s">
        <v>615</v>
      </c>
      <c r="E778" s="2">
        <v>10</v>
      </c>
      <c r="F778" s="2">
        <v>3</v>
      </c>
      <c r="G778" s="2">
        <v>1.5</v>
      </c>
      <c r="H778" s="3">
        <f t="shared" si="171"/>
        <v>0.25</v>
      </c>
      <c r="I778" s="3">
        <f t="shared" si="172"/>
        <v>7.4999999999999997E-2</v>
      </c>
      <c r="J778" s="3">
        <f t="shared" si="173"/>
        <v>3.7499999999999999E-2</v>
      </c>
      <c r="K778" s="2"/>
      <c r="L778" s="4">
        <f t="shared" si="174"/>
        <v>550.4963333333335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f t="shared" si="175"/>
        <v>110.4000000000004</v>
      </c>
      <c r="T778" s="2">
        <v>0</v>
      </c>
      <c r="U778" s="2">
        <v>0</v>
      </c>
      <c r="V778" s="2">
        <v>0</v>
      </c>
      <c r="W778" s="2">
        <v>0</v>
      </c>
      <c r="X778" s="2">
        <f t="shared" si="176"/>
        <v>231</v>
      </c>
      <c r="Z778" s="1"/>
      <c r="AA778" s="1"/>
      <c r="AB778" s="2" t="str">
        <f t="shared" si="177"/>
        <v/>
      </c>
      <c r="AD778" s="121"/>
      <c r="AE778" s="121"/>
    </row>
    <row r="779" spans="1:31" x14ac:dyDescent="0.25">
      <c r="A779" s="1" t="s">
        <v>611</v>
      </c>
      <c r="B779" s="7">
        <v>0.6333333333333333</v>
      </c>
      <c r="C779" s="2">
        <v>3.9</v>
      </c>
      <c r="D779" s="10" t="s">
        <v>381</v>
      </c>
      <c r="E779" s="2">
        <v>0</v>
      </c>
      <c r="F779" s="2">
        <v>2.5</v>
      </c>
      <c r="G779" s="2">
        <v>1.5</v>
      </c>
      <c r="H779" s="3">
        <f t="shared" si="171"/>
        <v>0</v>
      </c>
      <c r="I779" s="3">
        <f t="shared" si="172"/>
        <v>0.40625</v>
      </c>
      <c r="J779" s="3">
        <f t="shared" si="173"/>
        <v>0.24374999999999999</v>
      </c>
      <c r="K779" s="2"/>
      <c r="L779" s="4">
        <f t="shared" si="174"/>
        <v>549.84633333333352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f t="shared" si="175"/>
        <v>110.4000000000004</v>
      </c>
      <c r="T779" s="2">
        <v>0</v>
      </c>
      <c r="U779" s="2">
        <v>0</v>
      </c>
      <c r="V779" s="2">
        <v>1</v>
      </c>
      <c r="W779" s="2">
        <v>0</v>
      </c>
      <c r="X779" s="2">
        <f t="shared" si="176"/>
        <v>230</v>
      </c>
      <c r="Z779" s="1"/>
      <c r="AA779" s="1"/>
      <c r="AB779" s="2" t="str">
        <f t="shared" si="177"/>
        <v/>
      </c>
      <c r="AD779" s="121"/>
      <c r="AE779" s="121"/>
    </row>
    <row r="780" spans="1:31" x14ac:dyDescent="0.25">
      <c r="A780" s="1" t="s">
        <v>611</v>
      </c>
      <c r="B780" s="7">
        <v>0.70416666666666661</v>
      </c>
      <c r="C780" s="2">
        <v>1.5</v>
      </c>
      <c r="D780" s="10" t="s">
        <v>616</v>
      </c>
      <c r="E780" s="2">
        <v>10</v>
      </c>
      <c r="F780" s="2">
        <v>3</v>
      </c>
      <c r="G780" s="2">
        <v>1.5</v>
      </c>
      <c r="H780" s="3">
        <f t="shared" si="171"/>
        <v>0.625</v>
      </c>
      <c r="I780" s="3">
        <f t="shared" si="172"/>
        <v>0.1875</v>
      </c>
      <c r="J780" s="3">
        <f t="shared" si="173"/>
        <v>9.375E-2</v>
      </c>
      <c r="K780" s="2"/>
      <c r="L780" s="4">
        <f t="shared" si="174"/>
        <v>548.94008333333352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f t="shared" si="175"/>
        <v>110.4000000000004</v>
      </c>
      <c r="T780" s="2">
        <v>0</v>
      </c>
      <c r="U780" s="2">
        <v>0</v>
      </c>
      <c r="V780" s="2">
        <v>0</v>
      </c>
      <c r="W780" s="2">
        <v>0</v>
      </c>
      <c r="X780" s="2">
        <f t="shared" si="176"/>
        <v>230</v>
      </c>
      <c r="Z780" s="1"/>
      <c r="AA780" s="1"/>
      <c r="AB780" s="2" t="str">
        <f t="shared" si="177"/>
        <v/>
      </c>
      <c r="AD780" s="121"/>
      <c r="AE780" s="121"/>
    </row>
    <row r="781" spans="1:31" x14ac:dyDescent="0.25">
      <c r="A781" s="1" t="s">
        <v>617</v>
      </c>
      <c r="B781" s="65">
        <v>0.33333333333333331</v>
      </c>
      <c r="C781" s="2">
        <v>10.7</v>
      </c>
      <c r="D781" s="10" t="s">
        <v>618</v>
      </c>
      <c r="E781" s="2">
        <v>0</v>
      </c>
      <c r="F781" s="2">
        <v>3</v>
      </c>
      <c r="G781" s="2">
        <v>1.5</v>
      </c>
      <c r="H781" s="3">
        <f t="shared" si="171"/>
        <v>0</v>
      </c>
      <c r="I781" s="3">
        <f t="shared" si="172"/>
        <v>1.3374999999999999</v>
      </c>
      <c r="J781" s="3">
        <f t="shared" si="173"/>
        <v>0.66874999999999996</v>
      </c>
      <c r="K781" s="2"/>
      <c r="L781" s="4">
        <f t="shared" si="174"/>
        <v>546.9338333333335</v>
      </c>
      <c r="M781" s="2">
        <v>0</v>
      </c>
      <c r="N781" s="2">
        <v>0</v>
      </c>
      <c r="O781" s="2">
        <v>0</v>
      </c>
      <c r="P781" s="2">
        <v>0</v>
      </c>
      <c r="Q781" s="2">
        <v>3.7</v>
      </c>
      <c r="R781" s="2">
        <v>0</v>
      </c>
      <c r="S781" s="2">
        <f t="shared" si="175"/>
        <v>106.7000000000004</v>
      </c>
      <c r="T781" s="2">
        <v>0</v>
      </c>
      <c r="U781" s="2">
        <v>0</v>
      </c>
      <c r="V781" s="2">
        <v>1</v>
      </c>
      <c r="W781" s="2">
        <v>0</v>
      </c>
      <c r="X781" s="2">
        <f t="shared" si="176"/>
        <v>229</v>
      </c>
      <c r="Z781" s="1"/>
      <c r="AA781" s="1"/>
      <c r="AB781" s="2" t="str">
        <f t="shared" si="177"/>
        <v/>
      </c>
      <c r="AD781" s="121"/>
      <c r="AE781" s="121"/>
    </row>
    <row r="782" spans="1:31" x14ac:dyDescent="0.25">
      <c r="A782" s="1" t="s">
        <v>617</v>
      </c>
      <c r="B782" s="7">
        <v>0.47916666666666669</v>
      </c>
      <c r="C782" s="2">
        <v>3.5</v>
      </c>
      <c r="D782" s="10" t="s">
        <v>619</v>
      </c>
      <c r="E782" s="2">
        <v>0</v>
      </c>
      <c r="F782" s="2">
        <v>2.5</v>
      </c>
      <c r="G782" s="2">
        <v>1.2</v>
      </c>
      <c r="H782" s="3">
        <f t="shared" si="171"/>
        <v>0</v>
      </c>
      <c r="I782" s="3">
        <f t="shared" si="172"/>
        <v>0.36458333333333337</v>
      </c>
      <c r="J782" s="3">
        <f t="shared" si="173"/>
        <v>0.17499999999999999</v>
      </c>
      <c r="K782" s="2"/>
      <c r="L782" s="4">
        <f t="shared" si="174"/>
        <v>546.39425000000017</v>
      </c>
      <c r="M782" s="2">
        <v>0</v>
      </c>
      <c r="N782" s="2">
        <v>0</v>
      </c>
      <c r="O782" s="2">
        <v>0</v>
      </c>
      <c r="P782" s="2">
        <v>0</v>
      </c>
      <c r="Q782" s="2">
        <v>0.1</v>
      </c>
      <c r="R782" s="2">
        <v>0</v>
      </c>
      <c r="S782" s="2">
        <f t="shared" si="175"/>
        <v>106.60000000000041</v>
      </c>
      <c r="T782" s="2">
        <v>0</v>
      </c>
      <c r="U782" s="2">
        <v>0</v>
      </c>
      <c r="V782" s="2">
        <v>1</v>
      </c>
      <c r="W782" s="2">
        <v>0</v>
      </c>
      <c r="X782" s="2">
        <f t="shared" si="176"/>
        <v>228</v>
      </c>
      <c r="Z782" s="1"/>
      <c r="AA782" s="1"/>
      <c r="AB782" s="2" t="str">
        <f t="shared" si="177"/>
        <v/>
      </c>
      <c r="AD782" s="121"/>
      <c r="AE782" s="121"/>
    </row>
    <row r="783" spans="1:31" x14ac:dyDescent="0.25">
      <c r="A783" s="1" t="s">
        <v>617</v>
      </c>
      <c r="B783" s="7">
        <v>0.5</v>
      </c>
      <c r="C783" s="2">
        <v>0.5</v>
      </c>
      <c r="D783" s="10" t="s">
        <v>620</v>
      </c>
      <c r="E783" s="2">
        <v>10</v>
      </c>
      <c r="F783" s="2">
        <v>2.5</v>
      </c>
      <c r="G783" s="2">
        <v>1.5</v>
      </c>
      <c r="H783" s="3">
        <f t="shared" si="171"/>
        <v>0.20833333333333334</v>
      </c>
      <c r="I783" s="3">
        <f t="shared" si="172"/>
        <v>5.2083333333333336E-2</v>
      </c>
      <c r="J783" s="3">
        <f t="shared" si="173"/>
        <v>3.125E-2</v>
      </c>
      <c r="K783" s="2"/>
      <c r="L783" s="4">
        <f t="shared" si="174"/>
        <v>546.10258333333354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f t="shared" si="175"/>
        <v>106.60000000000041</v>
      </c>
      <c r="T783" s="2">
        <v>0</v>
      </c>
      <c r="U783" s="2">
        <v>0</v>
      </c>
      <c r="V783" s="2">
        <v>0</v>
      </c>
      <c r="W783" s="2">
        <v>0</v>
      </c>
      <c r="X783" s="2">
        <f t="shared" si="176"/>
        <v>228</v>
      </c>
      <c r="Z783" s="1"/>
      <c r="AA783" s="1"/>
      <c r="AB783" s="2" t="str">
        <f t="shared" si="177"/>
        <v/>
      </c>
      <c r="AD783" s="121"/>
      <c r="AE783" s="121"/>
    </row>
    <row r="784" spans="1:31" x14ac:dyDescent="0.25">
      <c r="A784" s="1" t="s">
        <v>621</v>
      </c>
      <c r="B784" s="65">
        <v>0.33333333333333331</v>
      </c>
      <c r="C784" s="2">
        <v>20</v>
      </c>
      <c r="D784" s="10" t="s">
        <v>622</v>
      </c>
      <c r="E784" s="2">
        <v>25</v>
      </c>
      <c r="F784" s="2">
        <v>3</v>
      </c>
      <c r="G784" s="2">
        <v>1.5</v>
      </c>
      <c r="H784" s="3">
        <f t="shared" si="171"/>
        <v>20.833333333333336</v>
      </c>
      <c r="I784" s="3">
        <f t="shared" si="172"/>
        <v>2.5</v>
      </c>
      <c r="J784" s="3">
        <f t="shared" si="173"/>
        <v>1.25</v>
      </c>
      <c r="K784" s="2"/>
      <c r="L784" s="4">
        <f t="shared" si="174"/>
        <v>521.51925000000017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f t="shared" si="175"/>
        <v>106.60000000000041</v>
      </c>
      <c r="T784" s="2">
        <v>6</v>
      </c>
      <c r="U784" s="2">
        <v>0</v>
      </c>
      <c r="V784" s="2">
        <v>3</v>
      </c>
      <c r="W784" s="2">
        <v>0</v>
      </c>
      <c r="X784" s="2">
        <f t="shared" si="176"/>
        <v>231</v>
      </c>
      <c r="Z784" s="1">
        <v>145</v>
      </c>
      <c r="AA784" s="1">
        <v>93</v>
      </c>
      <c r="AB784" s="2">
        <f t="shared" si="177"/>
        <v>238</v>
      </c>
      <c r="AD784" s="121"/>
      <c r="AE784" s="121"/>
    </row>
    <row r="785" spans="1:31" x14ac:dyDescent="0.25">
      <c r="A785" s="1" t="s">
        <v>621</v>
      </c>
      <c r="B785" s="7">
        <v>0.375</v>
      </c>
      <c r="C785" s="2">
        <v>1</v>
      </c>
      <c r="D785" s="10" t="s">
        <v>623</v>
      </c>
      <c r="E785" s="2">
        <v>25</v>
      </c>
      <c r="F785" s="2">
        <v>2.5</v>
      </c>
      <c r="G785" s="2">
        <v>1.2</v>
      </c>
      <c r="H785" s="3">
        <f t="shared" si="171"/>
        <v>1.0416666666666667</v>
      </c>
      <c r="I785" s="3">
        <f t="shared" si="172"/>
        <v>0.10416666666666667</v>
      </c>
      <c r="J785" s="3">
        <f t="shared" si="173"/>
        <v>4.9999999999999996E-2</v>
      </c>
      <c r="K785" s="2"/>
      <c r="L785" s="4">
        <f t="shared" si="174"/>
        <v>520.32341666666684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f t="shared" si="175"/>
        <v>106.60000000000041</v>
      </c>
      <c r="T785" s="2">
        <v>0</v>
      </c>
      <c r="U785" s="2">
        <v>0</v>
      </c>
      <c r="V785" s="2">
        <v>0</v>
      </c>
      <c r="W785" s="2">
        <v>0</v>
      </c>
      <c r="X785" s="2">
        <f t="shared" si="176"/>
        <v>231</v>
      </c>
      <c r="Z785" s="1"/>
      <c r="AA785" s="1"/>
      <c r="AB785" s="2" t="str">
        <f t="shared" si="177"/>
        <v/>
      </c>
      <c r="AD785" s="121">
        <v>12.6</v>
      </c>
      <c r="AE785" s="121" t="s">
        <v>1301</v>
      </c>
    </row>
    <row r="786" spans="1:31" x14ac:dyDescent="0.25">
      <c r="A786" s="1" t="s">
        <v>621</v>
      </c>
      <c r="B786" s="7">
        <v>0.39999999999999997</v>
      </c>
      <c r="C786" s="2">
        <v>0.5</v>
      </c>
      <c r="D786" s="10" t="s">
        <v>624</v>
      </c>
      <c r="E786" s="2">
        <v>10</v>
      </c>
      <c r="F786" s="2">
        <v>3</v>
      </c>
      <c r="G786" s="2">
        <v>1.2</v>
      </c>
      <c r="H786" s="3">
        <f t="shared" si="171"/>
        <v>0.20833333333333334</v>
      </c>
      <c r="I786" s="3">
        <f t="shared" si="172"/>
        <v>6.25E-2</v>
      </c>
      <c r="J786" s="3">
        <f t="shared" si="173"/>
        <v>2.4999999999999998E-2</v>
      </c>
      <c r="K786" s="2"/>
      <c r="L786" s="4">
        <f t="shared" si="174"/>
        <v>520.0275833333335</v>
      </c>
      <c r="M786" s="2">
        <v>0</v>
      </c>
      <c r="N786" s="2">
        <v>0</v>
      </c>
      <c r="O786" s="2">
        <v>0</v>
      </c>
      <c r="P786" s="2">
        <v>0</v>
      </c>
      <c r="Q786" s="2">
        <v>0.1</v>
      </c>
      <c r="R786" s="2">
        <v>0</v>
      </c>
      <c r="S786" s="2">
        <f t="shared" si="175"/>
        <v>106.50000000000041</v>
      </c>
      <c r="T786" s="2">
        <v>0</v>
      </c>
      <c r="U786" s="2">
        <v>0</v>
      </c>
      <c r="V786" s="2">
        <v>1</v>
      </c>
      <c r="W786" s="2">
        <v>0</v>
      </c>
      <c r="X786" s="2">
        <f t="shared" si="176"/>
        <v>230</v>
      </c>
      <c r="Z786" s="1"/>
      <c r="AA786" s="1"/>
      <c r="AB786" s="2" t="str">
        <f t="shared" si="177"/>
        <v/>
      </c>
      <c r="AD786" s="121"/>
      <c r="AE786" s="121"/>
    </row>
    <row r="787" spans="1:31" x14ac:dyDescent="0.25">
      <c r="A787" s="1" t="s">
        <v>621</v>
      </c>
      <c r="B787" s="7">
        <v>0.61249999999999993</v>
      </c>
      <c r="C787" s="2">
        <v>5.0999999999999996</v>
      </c>
      <c r="D787" s="10" t="s">
        <v>625</v>
      </c>
      <c r="E787" s="2">
        <v>0</v>
      </c>
      <c r="F787" s="2">
        <v>3</v>
      </c>
      <c r="G787" s="2">
        <v>1.2</v>
      </c>
      <c r="H787" s="3">
        <f t="shared" si="171"/>
        <v>0</v>
      </c>
      <c r="I787" s="3">
        <f t="shared" si="172"/>
        <v>0.63749999999999996</v>
      </c>
      <c r="J787" s="3">
        <f t="shared" si="173"/>
        <v>0.25499999999999995</v>
      </c>
      <c r="K787" s="2"/>
      <c r="L787" s="4">
        <f t="shared" si="174"/>
        <v>519.13508333333345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f t="shared" si="175"/>
        <v>106.50000000000041</v>
      </c>
      <c r="T787" s="2">
        <v>0</v>
      </c>
      <c r="U787" s="2">
        <v>0</v>
      </c>
      <c r="V787" s="2">
        <v>1</v>
      </c>
      <c r="W787" s="2">
        <v>0</v>
      </c>
      <c r="X787" s="2">
        <f t="shared" si="176"/>
        <v>229</v>
      </c>
      <c r="Z787" s="1"/>
      <c r="AA787" s="1"/>
      <c r="AB787" s="2" t="str">
        <f t="shared" si="177"/>
        <v/>
      </c>
      <c r="AD787" s="121"/>
      <c r="AE787" s="121"/>
    </row>
    <row r="788" spans="1:31" x14ac:dyDescent="0.25">
      <c r="A788" s="1" t="s">
        <v>621</v>
      </c>
      <c r="B788" s="7">
        <v>0.6791666666666667</v>
      </c>
      <c r="C788" s="2">
        <v>1.5</v>
      </c>
      <c r="D788" s="10" t="s">
        <v>626</v>
      </c>
      <c r="E788" s="2">
        <v>10</v>
      </c>
      <c r="F788" s="2">
        <v>3</v>
      </c>
      <c r="G788" s="2">
        <v>1.5</v>
      </c>
      <c r="H788" s="3">
        <f t="shared" si="171"/>
        <v>0.625</v>
      </c>
      <c r="I788" s="3">
        <f t="shared" si="172"/>
        <v>0.1875</v>
      </c>
      <c r="J788" s="3">
        <f t="shared" si="173"/>
        <v>9.375E-2</v>
      </c>
      <c r="K788" s="2"/>
      <c r="L788" s="4">
        <f>+IF(C788="","",((L787-(H788+I788+J788))+K788))</f>
        <v>518.22883333333345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f t="shared" si="175"/>
        <v>106.50000000000041</v>
      </c>
      <c r="T788" s="2">
        <v>0</v>
      </c>
      <c r="U788" s="2">
        <v>0</v>
      </c>
      <c r="V788" s="2">
        <v>0</v>
      </c>
      <c r="W788" s="2">
        <v>0</v>
      </c>
      <c r="X788" s="2">
        <f t="shared" si="176"/>
        <v>229</v>
      </c>
      <c r="Z788" s="1"/>
      <c r="AA788" s="1"/>
      <c r="AB788" s="2" t="str">
        <f t="shared" si="177"/>
        <v/>
      </c>
      <c r="AD788" s="121"/>
      <c r="AE788" s="121"/>
    </row>
    <row r="789" spans="1:31" x14ac:dyDescent="0.25">
      <c r="A789" s="1" t="s">
        <v>627</v>
      </c>
      <c r="B789" s="65">
        <v>0.33333333333333331</v>
      </c>
      <c r="C789" s="2">
        <v>15.9</v>
      </c>
      <c r="D789" s="10" t="s">
        <v>629</v>
      </c>
      <c r="E789" s="2">
        <v>0</v>
      </c>
      <c r="F789" s="2">
        <v>3</v>
      </c>
      <c r="G789" s="2">
        <v>1.5</v>
      </c>
      <c r="H789" s="3">
        <f t="shared" si="171"/>
        <v>0</v>
      </c>
      <c r="I789" s="3">
        <f t="shared" si="172"/>
        <v>1.9875</v>
      </c>
      <c r="J789" s="3">
        <f t="shared" si="173"/>
        <v>0.99375000000000002</v>
      </c>
      <c r="K789" s="2"/>
      <c r="L789" s="4">
        <f t="shared" ref="L789:L814" si="178">+IF(C789="","",((L788-(H789+I789+J789))+K789))</f>
        <v>515.24758333333341</v>
      </c>
      <c r="M789" s="2">
        <v>0</v>
      </c>
      <c r="N789" s="2">
        <v>0</v>
      </c>
      <c r="O789" s="2">
        <v>0</v>
      </c>
      <c r="P789" s="2">
        <v>0</v>
      </c>
      <c r="Q789" s="2">
        <v>3.7</v>
      </c>
      <c r="R789" s="2">
        <v>0</v>
      </c>
      <c r="S789" s="2">
        <f t="shared" si="175"/>
        <v>102.80000000000041</v>
      </c>
      <c r="T789" s="2">
        <v>0</v>
      </c>
      <c r="U789" s="2">
        <v>0</v>
      </c>
      <c r="V789" s="2">
        <v>1</v>
      </c>
      <c r="W789" s="2">
        <v>0</v>
      </c>
      <c r="X789" s="2">
        <f t="shared" si="176"/>
        <v>228</v>
      </c>
      <c r="Z789" s="1"/>
      <c r="AA789" s="1"/>
      <c r="AB789" s="2" t="str">
        <f t="shared" si="177"/>
        <v/>
      </c>
      <c r="AD789" s="121"/>
      <c r="AE789" s="121"/>
    </row>
    <row r="790" spans="1:31" x14ac:dyDescent="0.25">
      <c r="A790" s="1" t="s">
        <v>627</v>
      </c>
      <c r="B790" s="7">
        <v>0.64583333333333337</v>
      </c>
      <c r="C790" s="2">
        <v>7.5</v>
      </c>
      <c r="D790" s="10" t="s">
        <v>628</v>
      </c>
      <c r="E790" s="2">
        <v>0</v>
      </c>
      <c r="F790" s="2">
        <v>3</v>
      </c>
      <c r="G790" s="2">
        <v>1.5</v>
      </c>
      <c r="H790" s="3">
        <f t="shared" si="171"/>
        <v>0</v>
      </c>
      <c r="I790" s="3">
        <f t="shared" si="172"/>
        <v>0.9375</v>
      </c>
      <c r="J790" s="3">
        <f t="shared" si="173"/>
        <v>0.46875</v>
      </c>
      <c r="K790" s="2"/>
      <c r="L790" s="4">
        <f t="shared" si="178"/>
        <v>513.84133333333341</v>
      </c>
      <c r="M790" s="2">
        <v>0</v>
      </c>
      <c r="N790" s="2">
        <v>0</v>
      </c>
      <c r="O790" s="2">
        <v>0</v>
      </c>
      <c r="P790" s="2">
        <v>0</v>
      </c>
      <c r="Q790" s="2">
        <v>2.1</v>
      </c>
      <c r="R790" s="2">
        <v>0</v>
      </c>
      <c r="S790" s="2">
        <f t="shared" si="175"/>
        <v>100.70000000000041</v>
      </c>
      <c r="T790" s="2">
        <v>0</v>
      </c>
      <c r="U790" s="2">
        <v>0</v>
      </c>
      <c r="V790" s="2">
        <v>2</v>
      </c>
      <c r="W790" s="2">
        <v>0</v>
      </c>
      <c r="X790" s="2">
        <f t="shared" si="176"/>
        <v>226</v>
      </c>
      <c r="Z790" s="1"/>
      <c r="AA790" s="1"/>
      <c r="AB790" s="2" t="str">
        <f t="shared" si="177"/>
        <v/>
      </c>
      <c r="AD790" s="121"/>
      <c r="AE790" s="121"/>
    </row>
    <row r="791" spans="1:31" x14ac:dyDescent="0.25">
      <c r="A791" s="1" t="s">
        <v>627</v>
      </c>
      <c r="B791" s="7">
        <v>0.8125</v>
      </c>
      <c r="C791" s="2">
        <v>4</v>
      </c>
      <c r="D791" s="10" t="s">
        <v>630</v>
      </c>
      <c r="E791" s="2">
        <v>0</v>
      </c>
      <c r="F791" s="2">
        <v>3</v>
      </c>
      <c r="G791" s="2">
        <v>1.5</v>
      </c>
      <c r="H791" s="3">
        <f t="shared" si="171"/>
        <v>0</v>
      </c>
      <c r="I791" s="3">
        <f t="shared" si="172"/>
        <v>0.5</v>
      </c>
      <c r="J791" s="3">
        <f t="shared" si="173"/>
        <v>0.25</v>
      </c>
      <c r="K791" s="2"/>
      <c r="L791" s="4">
        <f t="shared" si="178"/>
        <v>513.09133333333341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f t="shared" si="175"/>
        <v>100.70000000000041</v>
      </c>
      <c r="T791" s="2">
        <v>0</v>
      </c>
      <c r="U791" s="2">
        <v>0</v>
      </c>
      <c r="V791" s="2">
        <v>1</v>
      </c>
      <c r="W791" s="2">
        <v>0</v>
      </c>
      <c r="X791" s="2">
        <f t="shared" si="176"/>
        <v>225</v>
      </c>
      <c r="Z791" s="1"/>
      <c r="AA791" s="1"/>
      <c r="AB791" s="2" t="str">
        <f t="shared" si="177"/>
        <v/>
      </c>
      <c r="AD791" s="121"/>
      <c r="AE791" s="121"/>
    </row>
    <row r="792" spans="1:31" x14ac:dyDescent="0.25">
      <c r="A792" s="1" t="s">
        <v>632</v>
      </c>
      <c r="B792" s="7">
        <v>0.14583333333333334</v>
      </c>
      <c r="C792" s="2">
        <v>8</v>
      </c>
      <c r="D792" s="10" t="s">
        <v>631</v>
      </c>
      <c r="E792" s="2">
        <v>25</v>
      </c>
      <c r="F792" s="2">
        <v>2.5</v>
      </c>
      <c r="G792" s="2">
        <v>1.2</v>
      </c>
      <c r="H792" s="3">
        <f t="shared" si="171"/>
        <v>8.3333333333333339</v>
      </c>
      <c r="I792" s="3">
        <f t="shared" si="172"/>
        <v>0.83333333333333337</v>
      </c>
      <c r="J792" s="3">
        <f t="shared" si="173"/>
        <v>0.39999999999999997</v>
      </c>
      <c r="K792" s="2"/>
      <c r="L792" s="4">
        <f t="shared" si="178"/>
        <v>503.52466666666675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f t="shared" si="175"/>
        <v>100.70000000000041</v>
      </c>
      <c r="T792" s="2">
        <v>3</v>
      </c>
      <c r="U792" s="2">
        <v>0</v>
      </c>
      <c r="V792" s="2">
        <v>1</v>
      </c>
      <c r="W792" s="2">
        <v>0</v>
      </c>
      <c r="X792" s="2">
        <f t="shared" si="176"/>
        <v>227</v>
      </c>
      <c r="Y792" s="37">
        <v>0.14583333333333334</v>
      </c>
      <c r="Z792" s="1"/>
      <c r="AA792" s="1"/>
      <c r="AB792" s="2" t="str">
        <f t="shared" si="177"/>
        <v/>
      </c>
      <c r="AD792" s="121">
        <v>12.1</v>
      </c>
      <c r="AE792" s="121" t="s">
        <v>1301</v>
      </c>
    </row>
    <row r="793" spans="1:31" x14ac:dyDescent="0.25">
      <c r="A793" s="1" t="s">
        <v>632</v>
      </c>
      <c r="B793" s="7">
        <v>0.30416666666666664</v>
      </c>
      <c r="C793" s="2">
        <v>3.9</v>
      </c>
      <c r="D793" s="10" t="s">
        <v>381</v>
      </c>
      <c r="E793" s="2">
        <v>0</v>
      </c>
      <c r="F793" s="2">
        <v>2.5</v>
      </c>
      <c r="G793" s="2">
        <v>1.5</v>
      </c>
      <c r="H793" s="3">
        <f t="shared" si="171"/>
        <v>0</v>
      </c>
      <c r="I793" s="3">
        <f t="shared" si="172"/>
        <v>0.40625</v>
      </c>
      <c r="J793" s="3">
        <f t="shared" si="173"/>
        <v>0.24374999999999999</v>
      </c>
      <c r="K793" s="2"/>
      <c r="L793" s="4">
        <f t="shared" si="178"/>
        <v>502.87466666666677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f t="shared" si="175"/>
        <v>100.70000000000041</v>
      </c>
      <c r="T793" s="2">
        <v>0</v>
      </c>
      <c r="U793" s="2">
        <v>0</v>
      </c>
      <c r="V793" s="2">
        <v>0</v>
      </c>
      <c r="W793" s="2">
        <v>0</v>
      </c>
      <c r="X793" s="2">
        <f t="shared" si="176"/>
        <v>227</v>
      </c>
      <c r="Z793" s="1"/>
      <c r="AA793" s="1"/>
      <c r="AB793" s="2" t="str">
        <f t="shared" si="177"/>
        <v/>
      </c>
      <c r="AD793" s="121"/>
      <c r="AE793" s="121"/>
    </row>
    <row r="794" spans="1:31" x14ac:dyDescent="0.25">
      <c r="A794" s="1" t="s">
        <v>632</v>
      </c>
      <c r="B794" s="65">
        <v>0.33333333333333331</v>
      </c>
      <c r="C794" s="2">
        <v>0.6</v>
      </c>
      <c r="D794" s="10" t="s">
        <v>633</v>
      </c>
      <c r="E794" s="2">
        <v>10</v>
      </c>
      <c r="F794" s="2">
        <v>2.5</v>
      </c>
      <c r="G794" s="2">
        <v>1.5</v>
      </c>
      <c r="H794" s="3">
        <f t="shared" si="171"/>
        <v>0.25</v>
      </c>
      <c r="I794" s="3">
        <f t="shared" si="172"/>
        <v>6.25E-2</v>
      </c>
      <c r="J794" s="3">
        <f t="shared" si="173"/>
        <v>3.7499999999999999E-2</v>
      </c>
      <c r="K794" s="2"/>
      <c r="L794" s="4">
        <f t="shared" si="178"/>
        <v>502.52466666666675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f t="shared" si="175"/>
        <v>100.70000000000041</v>
      </c>
      <c r="T794" s="2">
        <v>0</v>
      </c>
      <c r="U794" s="2">
        <v>0</v>
      </c>
      <c r="V794" s="2">
        <v>0</v>
      </c>
      <c r="W794" s="2">
        <v>0</v>
      </c>
      <c r="X794" s="2">
        <f t="shared" si="176"/>
        <v>227</v>
      </c>
      <c r="Z794" s="1"/>
      <c r="AA794" s="1"/>
      <c r="AB794" s="2" t="str">
        <f t="shared" si="177"/>
        <v/>
      </c>
      <c r="AD794" s="121"/>
      <c r="AE794" s="121"/>
    </row>
    <row r="795" spans="1:31" x14ac:dyDescent="0.25">
      <c r="A795" s="1" t="s">
        <v>632</v>
      </c>
      <c r="B795" s="7">
        <v>0.39999999999999997</v>
      </c>
      <c r="C795" s="2">
        <v>1.5</v>
      </c>
      <c r="D795" s="10" t="s">
        <v>634</v>
      </c>
      <c r="E795" s="2">
        <v>10</v>
      </c>
      <c r="F795" s="2">
        <v>2.5</v>
      </c>
      <c r="G795" s="2">
        <v>1.5</v>
      </c>
      <c r="H795" s="3">
        <f t="shared" si="171"/>
        <v>0.625</v>
      </c>
      <c r="I795" s="3">
        <f t="shared" si="172"/>
        <v>0.15625</v>
      </c>
      <c r="J795" s="3">
        <f t="shared" si="173"/>
        <v>9.375E-2</v>
      </c>
      <c r="K795" s="2"/>
      <c r="L795" s="4">
        <f t="shared" si="178"/>
        <v>501.64966666666675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f t="shared" si="175"/>
        <v>100.70000000000041</v>
      </c>
      <c r="T795" s="2">
        <v>0</v>
      </c>
      <c r="U795" s="2">
        <v>0</v>
      </c>
      <c r="V795" s="2">
        <v>0</v>
      </c>
      <c r="W795" s="2">
        <v>0</v>
      </c>
      <c r="X795" s="2">
        <f t="shared" si="176"/>
        <v>227</v>
      </c>
      <c r="Z795" s="1"/>
      <c r="AA795" s="1"/>
      <c r="AB795" s="2" t="str">
        <f t="shared" si="177"/>
        <v/>
      </c>
      <c r="AD795" s="121"/>
      <c r="AE795" s="121"/>
    </row>
    <row r="796" spans="1:31" x14ac:dyDescent="0.25">
      <c r="A796" s="1" t="s">
        <v>635</v>
      </c>
      <c r="B796" s="65">
        <v>0.33333333333333331</v>
      </c>
      <c r="C796" s="2">
        <v>22.5</v>
      </c>
      <c r="D796" s="10" t="s">
        <v>636</v>
      </c>
      <c r="E796" s="2">
        <v>0</v>
      </c>
      <c r="F796" s="2">
        <v>2.5</v>
      </c>
      <c r="G796" s="2">
        <v>1.5</v>
      </c>
      <c r="H796" s="3">
        <f t="shared" si="171"/>
        <v>0</v>
      </c>
      <c r="I796" s="3">
        <f t="shared" si="172"/>
        <v>2.34375</v>
      </c>
      <c r="J796" s="3">
        <f t="shared" si="173"/>
        <v>1.40625</v>
      </c>
      <c r="K796" s="2"/>
      <c r="L796" s="4">
        <f t="shared" si="178"/>
        <v>497.89966666666675</v>
      </c>
      <c r="M796" s="2">
        <v>0</v>
      </c>
      <c r="N796" s="2">
        <v>0</v>
      </c>
      <c r="O796" s="2">
        <v>0.1</v>
      </c>
      <c r="P796" s="2">
        <v>0</v>
      </c>
      <c r="Q796" s="2">
        <v>4</v>
      </c>
      <c r="R796" s="2">
        <v>0</v>
      </c>
      <c r="S796" s="2">
        <f t="shared" si="175"/>
        <v>96.600000000000421</v>
      </c>
      <c r="T796" s="2">
        <v>0</v>
      </c>
      <c r="U796" s="2">
        <v>0</v>
      </c>
      <c r="V796" s="2">
        <v>5</v>
      </c>
      <c r="W796" s="2">
        <v>0</v>
      </c>
      <c r="X796" s="2">
        <f t="shared" si="176"/>
        <v>222</v>
      </c>
      <c r="Z796" s="1">
        <v>149</v>
      </c>
      <c r="AA796" s="1">
        <v>78</v>
      </c>
      <c r="AB796" s="2">
        <f t="shared" si="177"/>
        <v>227</v>
      </c>
      <c r="AD796" s="121"/>
      <c r="AE796" s="121"/>
    </row>
    <row r="797" spans="1:31" x14ac:dyDescent="0.25">
      <c r="A797" s="1" t="s">
        <v>635</v>
      </c>
      <c r="B797" s="7">
        <v>0.4548611111111111</v>
      </c>
      <c r="C797" s="2">
        <v>3</v>
      </c>
      <c r="D797" s="10" t="s">
        <v>637</v>
      </c>
      <c r="E797" s="2">
        <v>0</v>
      </c>
      <c r="F797" s="2">
        <v>2.5</v>
      </c>
      <c r="G797" s="2">
        <v>1.5</v>
      </c>
      <c r="H797" s="3">
        <f t="shared" si="171"/>
        <v>0</v>
      </c>
      <c r="I797" s="3">
        <f t="shared" si="172"/>
        <v>0.3125</v>
      </c>
      <c r="J797" s="3">
        <f t="shared" si="173"/>
        <v>0.1875</v>
      </c>
      <c r="K797" s="2"/>
      <c r="L797" s="4">
        <f t="shared" si="178"/>
        <v>497.39966666666675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f t="shared" si="175"/>
        <v>96.600000000000421</v>
      </c>
      <c r="T797" s="2">
        <v>0</v>
      </c>
      <c r="U797" s="2">
        <v>0</v>
      </c>
      <c r="V797" s="2">
        <v>1</v>
      </c>
      <c r="W797" s="2">
        <v>0</v>
      </c>
      <c r="X797" s="2">
        <f t="shared" si="176"/>
        <v>221</v>
      </c>
      <c r="Z797" s="1"/>
      <c r="AA797" s="1"/>
      <c r="AB797" s="2" t="str">
        <f t="shared" si="177"/>
        <v/>
      </c>
      <c r="AD797" s="121"/>
      <c r="AE797" s="121"/>
    </row>
    <row r="798" spans="1:31" x14ac:dyDescent="0.25">
      <c r="A798" s="1" t="s">
        <v>635</v>
      </c>
      <c r="B798" s="7">
        <v>0.5</v>
      </c>
      <c r="C798" s="2">
        <v>1</v>
      </c>
      <c r="D798" s="10" t="s">
        <v>638</v>
      </c>
      <c r="E798" s="2">
        <v>10</v>
      </c>
      <c r="F798" s="2">
        <v>2.5</v>
      </c>
      <c r="G798" s="2">
        <v>1.5</v>
      </c>
      <c r="H798" s="3">
        <f t="shared" si="171"/>
        <v>0.41666666666666669</v>
      </c>
      <c r="I798" s="3">
        <f t="shared" si="172"/>
        <v>0.10416666666666667</v>
      </c>
      <c r="J798" s="3">
        <f t="shared" si="173"/>
        <v>6.25E-2</v>
      </c>
      <c r="K798" s="2"/>
      <c r="L798" s="4">
        <f t="shared" si="178"/>
        <v>496.81633333333343</v>
      </c>
      <c r="M798" s="2">
        <v>0</v>
      </c>
      <c r="N798" s="2">
        <v>0</v>
      </c>
      <c r="O798" s="2">
        <v>0.1</v>
      </c>
      <c r="P798" s="2">
        <v>0</v>
      </c>
      <c r="Q798" s="2">
        <v>0</v>
      </c>
      <c r="R798" s="2">
        <v>0</v>
      </c>
      <c r="S798" s="2">
        <f t="shared" si="175"/>
        <v>96.500000000000426</v>
      </c>
      <c r="T798" s="2">
        <v>0</v>
      </c>
      <c r="U798" s="2">
        <v>0</v>
      </c>
      <c r="V798" s="2">
        <v>0</v>
      </c>
      <c r="W798" s="2">
        <v>0</v>
      </c>
      <c r="X798" s="2">
        <f t="shared" si="176"/>
        <v>221</v>
      </c>
      <c r="Z798" s="1"/>
      <c r="AA798" s="1"/>
      <c r="AB798" s="2" t="str">
        <f t="shared" si="177"/>
        <v/>
      </c>
      <c r="AD798" s="121"/>
      <c r="AE798" s="121"/>
    </row>
    <row r="799" spans="1:31" x14ac:dyDescent="0.25">
      <c r="A799" s="1" t="s">
        <v>635</v>
      </c>
      <c r="B799" s="7">
        <v>0.72083333333333333</v>
      </c>
      <c r="C799" s="2">
        <v>5.3</v>
      </c>
      <c r="D799" s="10" t="s">
        <v>639</v>
      </c>
      <c r="E799" s="2">
        <v>30</v>
      </c>
      <c r="F799" s="2">
        <v>2.5</v>
      </c>
      <c r="G799" s="2">
        <v>1.2</v>
      </c>
      <c r="H799" s="3">
        <f t="shared" si="171"/>
        <v>6.625</v>
      </c>
      <c r="I799" s="3">
        <f t="shared" si="172"/>
        <v>0.55208333333333337</v>
      </c>
      <c r="J799" s="3">
        <f t="shared" si="173"/>
        <v>0.26499999999999996</v>
      </c>
      <c r="K799" s="2"/>
      <c r="L799" s="4">
        <f t="shared" si="178"/>
        <v>489.37425000000007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f t="shared" si="175"/>
        <v>96.500000000000426</v>
      </c>
      <c r="T799" s="2">
        <v>0</v>
      </c>
      <c r="U799" s="2">
        <v>0</v>
      </c>
      <c r="V799" s="2">
        <v>2</v>
      </c>
      <c r="W799" s="2">
        <v>0</v>
      </c>
      <c r="X799" s="2">
        <f t="shared" si="176"/>
        <v>219</v>
      </c>
      <c r="Z799" s="1"/>
      <c r="AA799" s="1"/>
      <c r="AB799" s="2" t="str">
        <f t="shared" si="177"/>
        <v/>
      </c>
      <c r="AD799" s="121">
        <v>12</v>
      </c>
      <c r="AE799" s="121" t="s">
        <v>1295</v>
      </c>
    </row>
    <row r="800" spans="1:31" x14ac:dyDescent="0.25">
      <c r="A800" s="1" t="s">
        <v>635</v>
      </c>
      <c r="B800" s="7">
        <v>0.75416666666666676</v>
      </c>
      <c r="C800" s="2">
        <v>0.9</v>
      </c>
      <c r="D800" s="10" t="s">
        <v>640</v>
      </c>
      <c r="E800" s="2">
        <v>12</v>
      </c>
      <c r="F800" s="2">
        <v>2.5</v>
      </c>
      <c r="G800" s="2">
        <v>1.5</v>
      </c>
      <c r="H800" s="3">
        <f t="shared" si="171"/>
        <v>0.45</v>
      </c>
      <c r="I800" s="3">
        <f t="shared" si="172"/>
        <v>9.375E-2</v>
      </c>
      <c r="J800" s="3">
        <f t="shared" si="173"/>
        <v>5.6250000000000001E-2</v>
      </c>
      <c r="K800" s="2"/>
      <c r="L800" s="4">
        <f t="shared" si="178"/>
        <v>488.77425000000005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f t="shared" si="175"/>
        <v>96.500000000000426</v>
      </c>
      <c r="T800" s="2">
        <v>0</v>
      </c>
      <c r="U800" s="2">
        <v>0</v>
      </c>
      <c r="V800" s="2">
        <v>0</v>
      </c>
      <c r="W800" s="2">
        <v>0</v>
      </c>
      <c r="X800" s="2">
        <f t="shared" si="176"/>
        <v>219</v>
      </c>
      <c r="Z800" s="1"/>
      <c r="AA800" s="1"/>
      <c r="AB800" s="2" t="str">
        <f t="shared" si="177"/>
        <v/>
      </c>
      <c r="AD800" s="121"/>
      <c r="AE800" s="121"/>
    </row>
    <row r="801" spans="1:31" x14ac:dyDescent="0.25">
      <c r="A801" s="1" t="s">
        <v>635</v>
      </c>
      <c r="B801" s="7">
        <v>0.85833333333333339</v>
      </c>
      <c r="C801" s="2">
        <v>2.5</v>
      </c>
      <c r="D801" s="10" t="s">
        <v>641</v>
      </c>
      <c r="E801" s="2">
        <v>0</v>
      </c>
      <c r="F801" s="2">
        <v>2.5</v>
      </c>
      <c r="G801" s="2">
        <v>1.2</v>
      </c>
      <c r="H801" s="3">
        <f t="shared" si="171"/>
        <v>0</v>
      </c>
      <c r="I801" s="3">
        <f t="shared" si="172"/>
        <v>0.26041666666666669</v>
      </c>
      <c r="J801" s="3">
        <f t="shared" si="173"/>
        <v>0.12499999999999999</v>
      </c>
      <c r="K801" s="2"/>
      <c r="L801" s="4">
        <f t="shared" si="178"/>
        <v>488.38883333333337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f t="shared" si="175"/>
        <v>96.500000000000426</v>
      </c>
      <c r="T801" s="2">
        <v>0</v>
      </c>
      <c r="U801" s="2">
        <v>0</v>
      </c>
      <c r="V801" s="2">
        <v>0</v>
      </c>
      <c r="W801" s="2">
        <v>0</v>
      </c>
      <c r="X801" s="2">
        <f t="shared" si="176"/>
        <v>219</v>
      </c>
      <c r="Z801" s="1"/>
      <c r="AA801" s="1"/>
      <c r="AB801" s="2" t="str">
        <f t="shared" si="177"/>
        <v/>
      </c>
      <c r="AD801" s="121"/>
      <c r="AE801" s="121"/>
    </row>
    <row r="802" spans="1:31" x14ac:dyDescent="0.25">
      <c r="A802" s="1" t="s">
        <v>635</v>
      </c>
      <c r="B802" s="7">
        <v>0.94166666666666676</v>
      </c>
      <c r="C802" s="2">
        <v>2</v>
      </c>
      <c r="D802" s="10" t="s">
        <v>616</v>
      </c>
      <c r="E802" s="2">
        <v>10</v>
      </c>
      <c r="F802" s="2">
        <v>2.5</v>
      </c>
      <c r="G802" s="2">
        <v>1.2</v>
      </c>
      <c r="H802" s="3">
        <f t="shared" si="171"/>
        <v>0.83333333333333337</v>
      </c>
      <c r="I802" s="3">
        <f t="shared" si="172"/>
        <v>0.20833333333333334</v>
      </c>
      <c r="J802" s="3">
        <f t="shared" si="173"/>
        <v>9.9999999999999992E-2</v>
      </c>
      <c r="K802" s="2"/>
      <c r="L802" s="4">
        <f t="shared" si="178"/>
        <v>487.24716666666671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f t="shared" si="175"/>
        <v>96.500000000000426</v>
      </c>
      <c r="T802" s="2">
        <v>0</v>
      </c>
      <c r="U802" s="2">
        <v>0</v>
      </c>
      <c r="V802" s="2">
        <v>1</v>
      </c>
      <c r="W802" s="2">
        <v>0</v>
      </c>
      <c r="X802" s="2">
        <f t="shared" si="176"/>
        <v>218</v>
      </c>
      <c r="Z802" s="1"/>
      <c r="AA802" s="1"/>
      <c r="AB802" s="2" t="str">
        <f t="shared" si="177"/>
        <v/>
      </c>
      <c r="AD802" s="121"/>
      <c r="AE802" s="121"/>
    </row>
    <row r="803" spans="1:31" x14ac:dyDescent="0.25">
      <c r="A803" s="1" t="s">
        <v>642</v>
      </c>
      <c r="B803" s="7">
        <v>0.16666666666666666</v>
      </c>
      <c r="C803" s="2">
        <v>5.5</v>
      </c>
      <c r="D803" s="10" t="s">
        <v>628</v>
      </c>
      <c r="E803" s="2">
        <v>0</v>
      </c>
      <c r="F803" s="2">
        <v>2.5</v>
      </c>
      <c r="G803" s="2">
        <v>1.2</v>
      </c>
      <c r="H803" s="3">
        <f t="shared" si="171"/>
        <v>0</v>
      </c>
      <c r="I803" s="3">
        <f t="shared" si="172"/>
        <v>0.57291666666666674</v>
      </c>
      <c r="J803" s="3">
        <f t="shared" si="173"/>
        <v>0.27499999999999997</v>
      </c>
      <c r="K803" s="2"/>
      <c r="L803" s="4">
        <f t="shared" si="178"/>
        <v>486.39925000000005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f t="shared" si="175"/>
        <v>96.500000000000426</v>
      </c>
      <c r="T803" s="2">
        <v>0</v>
      </c>
      <c r="U803" s="2">
        <v>0</v>
      </c>
      <c r="V803" s="2">
        <v>1</v>
      </c>
      <c r="W803" s="2">
        <v>0</v>
      </c>
      <c r="X803" s="2">
        <f t="shared" si="176"/>
        <v>217</v>
      </c>
      <c r="Z803" s="1"/>
      <c r="AA803" s="1"/>
      <c r="AB803" s="2" t="str">
        <f t="shared" si="177"/>
        <v/>
      </c>
      <c r="AD803" s="121"/>
      <c r="AE803" s="121"/>
    </row>
    <row r="804" spans="1:31" x14ac:dyDescent="0.25">
      <c r="A804" s="1" t="s">
        <v>642</v>
      </c>
      <c r="B804" s="7">
        <v>0.26250000000000001</v>
      </c>
      <c r="C804" s="2">
        <v>2.2000000000000002</v>
      </c>
      <c r="D804" s="10"/>
      <c r="E804" s="2">
        <v>0</v>
      </c>
      <c r="F804" s="2">
        <v>2.5</v>
      </c>
      <c r="G804" s="2">
        <v>1.2</v>
      </c>
      <c r="H804" s="3">
        <f t="shared" si="171"/>
        <v>0</v>
      </c>
      <c r="I804" s="3">
        <f t="shared" si="172"/>
        <v>0.22916666666666669</v>
      </c>
      <c r="J804" s="3">
        <f t="shared" si="173"/>
        <v>0.11</v>
      </c>
      <c r="K804" s="2"/>
      <c r="L804" s="4">
        <f t="shared" si="178"/>
        <v>486.06008333333341</v>
      </c>
      <c r="M804" s="2">
        <v>0</v>
      </c>
      <c r="N804" s="2">
        <v>0</v>
      </c>
      <c r="O804" s="2">
        <v>0</v>
      </c>
      <c r="P804" s="2">
        <v>0</v>
      </c>
      <c r="Q804" s="2">
        <v>1.25</v>
      </c>
      <c r="R804" s="2">
        <v>0</v>
      </c>
      <c r="S804" s="2">
        <f t="shared" si="175"/>
        <v>95.250000000000426</v>
      </c>
      <c r="T804" s="2">
        <v>0</v>
      </c>
      <c r="U804" s="2">
        <v>0</v>
      </c>
      <c r="V804" s="2">
        <v>0</v>
      </c>
      <c r="W804" s="2">
        <v>0</v>
      </c>
      <c r="X804" s="2">
        <f t="shared" si="176"/>
        <v>217</v>
      </c>
      <c r="Z804" s="1"/>
      <c r="AA804" s="1"/>
      <c r="AB804" s="2" t="str">
        <f t="shared" si="177"/>
        <v/>
      </c>
      <c r="AD804" s="121"/>
      <c r="AE804" s="121"/>
    </row>
    <row r="805" spans="1:31" x14ac:dyDescent="0.25">
      <c r="A805" s="1" t="s">
        <v>642</v>
      </c>
      <c r="B805" s="7">
        <v>0.3</v>
      </c>
      <c r="C805" s="2">
        <v>1</v>
      </c>
      <c r="D805" s="10" t="s">
        <v>643</v>
      </c>
      <c r="E805" s="2">
        <v>0</v>
      </c>
      <c r="F805" s="2">
        <v>2.5</v>
      </c>
      <c r="G805" s="2">
        <v>1.2</v>
      </c>
      <c r="H805" s="3">
        <f t="shared" si="171"/>
        <v>0</v>
      </c>
      <c r="I805" s="3">
        <f t="shared" si="172"/>
        <v>0.10416666666666667</v>
      </c>
      <c r="J805" s="3">
        <f t="shared" si="173"/>
        <v>4.9999999999999996E-2</v>
      </c>
      <c r="K805" s="2"/>
      <c r="L805" s="4">
        <f t="shared" si="178"/>
        <v>485.90591666666677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f t="shared" si="175"/>
        <v>95.250000000000426</v>
      </c>
      <c r="T805" s="2">
        <v>0</v>
      </c>
      <c r="U805" s="2">
        <v>0</v>
      </c>
      <c r="V805" s="2">
        <v>0</v>
      </c>
      <c r="W805" s="2">
        <v>0</v>
      </c>
      <c r="X805" s="2">
        <f t="shared" si="176"/>
        <v>217</v>
      </c>
      <c r="Z805" s="1"/>
      <c r="AA805" s="1"/>
      <c r="AB805" s="2" t="str">
        <f t="shared" si="177"/>
        <v/>
      </c>
      <c r="AD805" s="121"/>
      <c r="AE805" s="121"/>
    </row>
    <row r="806" spans="1:31" x14ac:dyDescent="0.25">
      <c r="A806" s="1" t="s">
        <v>642</v>
      </c>
      <c r="B806" s="65">
        <v>0.33333333333333331</v>
      </c>
      <c r="C806" s="2">
        <v>0.6</v>
      </c>
      <c r="D806" s="10" t="s">
        <v>644</v>
      </c>
      <c r="E806" s="2">
        <v>10</v>
      </c>
      <c r="F806" s="2">
        <v>2.5</v>
      </c>
      <c r="G806" s="2">
        <v>1.2</v>
      </c>
      <c r="H806" s="3">
        <f t="shared" si="171"/>
        <v>0.25</v>
      </c>
      <c r="I806" s="3">
        <f t="shared" si="172"/>
        <v>6.25E-2</v>
      </c>
      <c r="J806" s="3">
        <f t="shared" si="173"/>
        <v>2.9999999999999995E-2</v>
      </c>
      <c r="K806" s="2"/>
      <c r="L806" s="4">
        <f t="shared" si="178"/>
        <v>485.5634166666668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f t="shared" si="175"/>
        <v>95.250000000000426</v>
      </c>
      <c r="T806" s="2">
        <v>0</v>
      </c>
      <c r="U806" s="2">
        <v>0</v>
      </c>
      <c r="V806" s="2">
        <v>0</v>
      </c>
      <c r="W806" s="2">
        <v>0</v>
      </c>
      <c r="X806" s="2">
        <f t="shared" si="176"/>
        <v>217</v>
      </c>
      <c r="Z806" s="1"/>
      <c r="AA806" s="1"/>
      <c r="AB806" s="2" t="str">
        <f t="shared" si="177"/>
        <v/>
      </c>
      <c r="AD806" s="121"/>
      <c r="AE806" s="121"/>
    </row>
    <row r="807" spans="1:31" x14ac:dyDescent="0.25">
      <c r="A807" s="1" t="s">
        <v>642</v>
      </c>
      <c r="B807" s="7">
        <v>0.97916666666666663</v>
      </c>
      <c r="C807" s="2">
        <v>11.5</v>
      </c>
      <c r="D807" s="10" t="s">
        <v>645</v>
      </c>
      <c r="E807" s="2">
        <v>27</v>
      </c>
      <c r="F807" s="2">
        <v>2.5</v>
      </c>
      <c r="G807" s="2">
        <v>1.5</v>
      </c>
      <c r="H807" s="3">
        <f t="shared" si="171"/>
        <v>12.9375</v>
      </c>
      <c r="I807" s="3">
        <f t="shared" si="172"/>
        <v>1.1979166666666667</v>
      </c>
      <c r="J807" s="3">
        <f t="shared" si="173"/>
        <v>0.71875</v>
      </c>
      <c r="K807" s="2"/>
      <c r="L807" s="4">
        <f t="shared" si="178"/>
        <v>470.70925000000011</v>
      </c>
      <c r="M807" s="2">
        <v>0</v>
      </c>
      <c r="N807" s="2">
        <v>0</v>
      </c>
      <c r="O807" s="2">
        <v>0.1</v>
      </c>
      <c r="P807" s="2">
        <v>0</v>
      </c>
      <c r="Q807" s="2">
        <v>0</v>
      </c>
      <c r="R807" s="2">
        <v>0</v>
      </c>
      <c r="S807" s="2">
        <f t="shared" si="175"/>
        <v>95.150000000000432</v>
      </c>
      <c r="T807" s="2">
        <v>3</v>
      </c>
      <c r="U807" s="2">
        <v>0</v>
      </c>
      <c r="V807" s="2">
        <v>4</v>
      </c>
      <c r="W807" s="2">
        <v>0</v>
      </c>
      <c r="X807" s="2">
        <f t="shared" si="176"/>
        <v>216</v>
      </c>
      <c r="Z807" s="1"/>
      <c r="AA807" s="1"/>
      <c r="AB807" s="2" t="str">
        <f t="shared" si="177"/>
        <v/>
      </c>
      <c r="AD807" s="121">
        <v>12.8</v>
      </c>
      <c r="AE807" s="121" t="s">
        <v>1301</v>
      </c>
    </row>
    <row r="808" spans="1:31" x14ac:dyDescent="0.25">
      <c r="A808" s="1" t="s">
        <v>646</v>
      </c>
      <c r="B808" s="7">
        <v>8.3333333333333332E-3</v>
      </c>
      <c r="C808" s="2">
        <v>0.6</v>
      </c>
      <c r="D808" s="10" t="s">
        <v>97</v>
      </c>
      <c r="E808" s="2">
        <v>10</v>
      </c>
      <c r="F808" s="2">
        <v>2.5</v>
      </c>
      <c r="G808" s="2">
        <v>1.2</v>
      </c>
      <c r="H808" s="3">
        <f t="shared" si="171"/>
        <v>0.25</v>
      </c>
      <c r="I808" s="3">
        <f t="shared" si="172"/>
        <v>6.25E-2</v>
      </c>
      <c r="J808" s="3">
        <f t="shared" si="173"/>
        <v>2.9999999999999995E-2</v>
      </c>
      <c r="K808" s="2"/>
      <c r="L808" s="4">
        <f t="shared" si="178"/>
        <v>470.36675000000014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f t="shared" si="175"/>
        <v>95.150000000000432</v>
      </c>
      <c r="T808" s="2">
        <v>0</v>
      </c>
      <c r="U808" s="2">
        <v>0</v>
      </c>
      <c r="V808" s="2">
        <v>0</v>
      </c>
      <c r="W808" s="2">
        <v>0</v>
      </c>
      <c r="X808" s="2">
        <f t="shared" si="176"/>
        <v>216</v>
      </c>
      <c r="Z808" s="1"/>
      <c r="AA808" s="1"/>
      <c r="AB808" s="2" t="str">
        <f t="shared" si="177"/>
        <v/>
      </c>
      <c r="AD808" s="121"/>
      <c r="AE808" s="121"/>
    </row>
    <row r="809" spans="1:31" x14ac:dyDescent="0.25">
      <c r="A809" s="1" t="s">
        <v>646</v>
      </c>
      <c r="B809" s="7">
        <v>0.16250000000000001</v>
      </c>
      <c r="C809" s="2">
        <v>3.9</v>
      </c>
      <c r="D809" s="10" t="s">
        <v>647</v>
      </c>
      <c r="E809" s="2">
        <v>10</v>
      </c>
      <c r="F809" s="2">
        <v>2</v>
      </c>
      <c r="G809" s="2">
        <v>1.2</v>
      </c>
      <c r="H809" s="3">
        <f t="shared" si="171"/>
        <v>1.625</v>
      </c>
      <c r="I809" s="3">
        <f t="shared" si="172"/>
        <v>0.32499999999999996</v>
      </c>
      <c r="J809" s="3">
        <f t="shared" si="173"/>
        <v>0.19499999999999998</v>
      </c>
      <c r="K809" s="2"/>
      <c r="L809" s="4">
        <f t="shared" si="178"/>
        <v>468.22175000000016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f t="shared" si="175"/>
        <v>95.150000000000432</v>
      </c>
      <c r="T809" s="2">
        <v>0</v>
      </c>
      <c r="U809" s="2">
        <v>0</v>
      </c>
      <c r="V809" s="2">
        <v>1</v>
      </c>
      <c r="W809" s="2">
        <v>0</v>
      </c>
      <c r="X809" s="2">
        <f t="shared" si="176"/>
        <v>215</v>
      </c>
      <c r="Z809" s="1"/>
      <c r="AA809" s="1"/>
      <c r="AB809" s="2" t="str">
        <f t="shared" si="177"/>
        <v/>
      </c>
      <c r="AD809" s="121"/>
      <c r="AE809" s="121"/>
    </row>
    <row r="810" spans="1:31" x14ac:dyDescent="0.25">
      <c r="A810" s="1" t="s">
        <v>646</v>
      </c>
      <c r="B810" s="65">
        <v>0.33333333333333331</v>
      </c>
      <c r="C810" s="2">
        <v>8</v>
      </c>
      <c r="D810" s="10" t="s">
        <v>648</v>
      </c>
      <c r="E810" s="2">
        <v>0</v>
      </c>
      <c r="F810" s="2">
        <v>2.5</v>
      </c>
      <c r="G810" s="2">
        <v>1.2</v>
      </c>
      <c r="H810" s="3">
        <f t="shared" si="171"/>
        <v>0</v>
      </c>
      <c r="I810" s="3">
        <f t="shared" si="172"/>
        <v>0.83333333333333337</v>
      </c>
      <c r="J810" s="3">
        <f t="shared" si="173"/>
        <v>0.39999999999999997</v>
      </c>
      <c r="K810" s="2"/>
      <c r="L810" s="4">
        <f t="shared" si="178"/>
        <v>466.98841666666681</v>
      </c>
      <c r="M810" s="2">
        <v>0</v>
      </c>
      <c r="N810" s="2">
        <v>0</v>
      </c>
      <c r="O810" s="2">
        <v>0.05</v>
      </c>
      <c r="P810" s="2">
        <v>0</v>
      </c>
      <c r="Q810" s="2">
        <v>0</v>
      </c>
      <c r="R810" s="2">
        <v>0</v>
      </c>
      <c r="S810" s="2">
        <f t="shared" si="175"/>
        <v>95.100000000000435</v>
      </c>
      <c r="T810" s="2">
        <v>0</v>
      </c>
      <c r="U810" s="2">
        <v>0</v>
      </c>
      <c r="V810" s="2">
        <v>0</v>
      </c>
      <c r="W810" s="2">
        <v>1</v>
      </c>
      <c r="X810" s="2">
        <f t="shared" si="176"/>
        <v>214</v>
      </c>
      <c r="Z810" s="1"/>
      <c r="AA810" s="1"/>
      <c r="AB810" s="2" t="str">
        <f t="shared" si="177"/>
        <v/>
      </c>
      <c r="AD810" s="121"/>
      <c r="AE810" s="121"/>
    </row>
    <row r="811" spans="1:31" x14ac:dyDescent="0.25">
      <c r="A811" s="1" t="s">
        <v>649</v>
      </c>
      <c r="B811" s="65">
        <v>0.33333333333333331</v>
      </c>
      <c r="C811" s="2">
        <v>24</v>
      </c>
      <c r="D811" s="10" t="s">
        <v>648</v>
      </c>
      <c r="E811" s="2">
        <v>0</v>
      </c>
      <c r="F811" s="2">
        <v>2.5</v>
      </c>
      <c r="G811" s="2">
        <v>1.5</v>
      </c>
      <c r="H811" s="3">
        <f t="shared" si="171"/>
        <v>0</v>
      </c>
      <c r="I811" s="3">
        <f t="shared" si="172"/>
        <v>2.5</v>
      </c>
      <c r="J811" s="3">
        <f t="shared" si="173"/>
        <v>1.5</v>
      </c>
      <c r="K811" s="2"/>
      <c r="L811" s="4">
        <f t="shared" si="178"/>
        <v>462.98841666666681</v>
      </c>
      <c r="M811" s="2">
        <v>0</v>
      </c>
      <c r="N811" s="2">
        <v>0</v>
      </c>
      <c r="O811" s="2">
        <v>0.1</v>
      </c>
      <c r="P811" s="2">
        <v>0</v>
      </c>
      <c r="Q811" s="2">
        <v>0</v>
      </c>
      <c r="R811" s="2">
        <v>0</v>
      </c>
      <c r="S811" s="2">
        <f t="shared" si="175"/>
        <v>95.000000000000441</v>
      </c>
      <c r="T811" s="2">
        <v>0</v>
      </c>
      <c r="U811" s="2">
        <v>0</v>
      </c>
      <c r="V811" s="2">
        <v>5</v>
      </c>
      <c r="W811" s="2">
        <v>0</v>
      </c>
      <c r="X811" s="2">
        <f t="shared" si="176"/>
        <v>209</v>
      </c>
      <c r="Z811" s="1">
        <v>149</v>
      </c>
      <c r="AA811" s="1">
        <v>68</v>
      </c>
      <c r="AB811" s="2">
        <f t="shared" si="177"/>
        <v>217</v>
      </c>
      <c r="AD811" s="121"/>
      <c r="AE811" s="121"/>
    </row>
    <row r="812" spans="1:31" x14ac:dyDescent="0.25">
      <c r="A812" s="1" t="s">
        <v>650</v>
      </c>
      <c r="B812" s="65">
        <v>0.33333333333333331</v>
      </c>
      <c r="C812" s="2">
        <v>24</v>
      </c>
      <c r="D812" s="10" t="s">
        <v>648</v>
      </c>
      <c r="E812" s="2">
        <v>0</v>
      </c>
      <c r="F812" s="2">
        <v>2.5</v>
      </c>
      <c r="G812" s="2">
        <v>1.5</v>
      </c>
      <c r="H812" s="3">
        <f t="shared" si="171"/>
        <v>0</v>
      </c>
      <c r="I812" s="3">
        <f t="shared" si="172"/>
        <v>2.5</v>
      </c>
      <c r="J812" s="3">
        <f t="shared" si="173"/>
        <v>1.5</v>
      </c>
      <c r="K812" s="2"/>
      <c r="L812" s="4">
        <f t="shared" si="178"/>
        <v>458.98841666666681</v>
      </c>
      <c r="M812" s="2">
        <v>0</v>
      </c>
      <c r="N812" s="2">
        <v>0</v>
      </c>
      <c r="O812" s="2">
        <v>0.1</v>
      </c>
      <c r="P812" s="2">
        <v>0</v>
      </c>
      <c r="Q812" s="2">
        <v>0</v>
      </c>
      <c r="R812" s="2">
        <v>0</v>
      </c>
      <c r="S812" s="2">
        <f t="shared" si="175"/>
        <v>94.900000000000446</v>
      </c>
      <c r="T812" s="2">
        <v>0</v>
      </c>
      <c r="U812" s="2">
        <v>0</v>
      </c>
      <c r="V812" s="2">
        <v>5</v>
      </c>
      <c r="W812" s="2">
        <v>0</v>
      </c>
      <c r="X812" s="2">
        <f t="shared" si="176"/>
        <v>204</v>
      </c>
      <c r="Z812" s="1"/>
      <c r="AA812" s="1"/>
      <c r="AB812" s="2" t="str">
        <f t="shared" si="177"/>
        <v/>
      </c>
      <c r="AD812" s="121"/>
      <c r="AE812" s="121"/>
    </row>
    <row r="813" spans="1:31" x14ac:dyDescent="0.25">
      <c r="A813" s="1" t="s">
        <v>651</v>
      </c>
      <c r="B813" s="65">
        <v>0.33333333333333331</v>
      </c>
      <c r="C813" s="2">
        <v>24</v>
      </c>
      <c r="D813" s="10" t="s">
        <v>648</v>
      </c>
      <c r="E813" s="2">
        <v>0</v>
      </c>
      <c r="F813" s="2">
        <v>2.5</v>
      </c>
      <c r="G813" s="2">
        <v>1.5</v>
      </c>
      <c r="H813" s="3">
        <f t="shared" si="171"/>
        <v>0</v>
      </c>
      <c r="I813" s="3">
        <f t="shared" si="172"/>
        <v>2.5</v>
      </c>
      <c r="J813" s="3">
        <v>1.5</v>
      </c>
      <c r="K813" s="2"/>
      <c r="L813" s="4">
        <f t="shared" si="178"/>
        <v>454.98841666666681</v>
      </c>
      <c r="M813" s="2">
        <v>0</v>
      </c>
      <c r="N813" s="2">
        <v>0</v>
      </c>
      <c r="O813" s="2">
        <v>0.1</v>
      </c>
      <c r="P813" s="2">
        <v>0</v>
      </c>
      <c r="Q813" s="2">
        <v>0</v>
      </c>
      <c r="R813" s="2">
        <v>0</v>
      </c>
      <c r="S813" s="2">
        <f t="shared" si="175"/>
        <v>94.800000000000452</v>
      </c>
      <c r="T813" s="2">
        <v>0</v>
      </c>
      <c r="U813" s="2">
        <v>0</v>
      </c>
      <c r="V813" s="2">
        <v>5</v>
      </c>
      <c r="W813" s="2">
        <v>0</v>
      </c>
      <c r="X813" s="2">
        <f t="shared" si="176"/>
        <v>199</v>
      </c>
      <c r="Z813" s="1"/>
      <c r="AA813" s="1"/>
      <c r="AB813" s="2"/>
      <c r="AD813" s="121"/>
      <c r="AE813" s="121"/>
    </row>
    <row r="814" spans="1:31" x14ac:dyDescent="0.25">
      <c r="A814" s="1" t="s">
        <v>652</v>
      </c>
      <c r="B814" s="65">
        <v>0.33333333333333331</v>
      </c>
      <c r="C814" s="2">
        <v>24</v>
      </c>
      <c r="D814" s="10" t="s">
        <v>648</v>
      </c>
      <c r="E814" s="2">
        <v>0</v>
      </c>
      <c r="F814" s="2">
        <v>2.5</v>
      </c>
      <c r="G814" s="2">
        <v>1.5</v>
      </c>
      <c r="H814" s="3">
        <f t="shared" si="171"/>
        <v>0</v>
      </c>
      <c r="I814" s="3">
        <f t="shared" si="172"/>
        <v>2.5</v>
      </c>
      <c r="J814" s="3">
        <f t="shared" si="173"/>
        <v>1.5</v>
      </c>
      <c r="K814" s="2"/>
      <c r="L814" s="4">
        <f t="shared" si="178"/>
        <v>450.98841666666681</v>
      </c>
      <c r="M814" s="2">
        <v>0</v>
      </c>
      <c r="N814" s="2">
        <v>0</v>
      </c>
      <c r="O814" s="2">
        <v>0.1</v>
      </c>
      <c r="P814" s="2">
        <v>0</v>
      </c>
      <c r="Q814" s="2">
        <v>0</v>
      </c>
      <c r="R814" s="2">
        <v>0</v>
      </c>
      <c r="S814" s="2">
        <f t="shared" si="175"/>
        <v>94.700000000000458</v>
      </c>
      <c r="T814" s="2">
        <v>0</v>
      </c>
      <c r="U814" s="2">
        <v>0</v>
      </c>
      <c r="V814" s="2">
        <v>5</v>
      </c>
      <c r="W814" s="2">
        <v>0</v>
      </c>
      <c r="X814" s="2">
        <f t="shared" si="176"/>
        <v>194</v>
      </c>
      <c r="Z814" s="1"/>
      <c r="AA814" s="1"/>
      <c r="AB814" s="2"/>
      <c r="AD814" s="121"/>
      <c r="AE814" s="121"/>
    </row>
  </sheetData>
  <mergeCells count="6">
    <mergeCell ref="AD3:AE3"/>
    <mergeCell ref="E3:L3"/>
    <mergeCell ref="M3:S3"/>
    <mergeCell ref="A2:S2"/>
    <mergeCell ref="T3:X3"/>
    <mergeCell ref="Z3:AB3"/>
  </mergeCells>
  <pageMargins left="0.7" right="0.7" top="0.75" bottom="0.75" header="0.3" footer="0.3"/>
  <pageSetup scale="96" orientation="portrait" horizontalDpi="4294967294" r:id="rId1"/>
  <colBreaks count="1" manualBreakCount="1">
    <brk id="17" max="76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248"/>
  <sheetViews>
    <sheetView zoomScale="80" zoomScaleNormal="80" workbookViewId="0">
      <pane ySplit="4" topLeftCell="A1232" activePane="bottomLeft" state="frozen"/>
      <selection pane="bottomLeft" activeCell="A5" sqref="A5"/>
    </sheetView>
  </sheetViews>
  <sheetFormatPr baseColWidth="10" defaultColWidth="9.140625" defaultRowHeight="15" x14ac:dyDescent="0.25"/>
  <cols>
    <col min="2" max="2" width="11" customWidth="1"/>
    <col min="3" max="3" width="11.140625" style="8" bestFit="1" customWidth="1"/>
    <col min="4" max="4" width="21" style="17" customWidth="1"/>
    <col min="5" max="7" width="10.42578125" style="8" customWidth="1"/>
    <col min="8" max="8" width="9.85546875" style="8" customWidth="1"/>
    <col min="9" max="12" width="9.42578125" style="8" customWidth="1"/>
    <col min="13" max="13" width="10.140625" style="8" customWidth="1"/>
    <col min="14" max="14" width="10.85546875" style="8" customWidth="1"/>
    <col min="15" max="15" width="10.140625" style="8" customWidth="1"/>
    <col min="16" max="18" width="9.140625" style="8"/>
    <col min="19" max="19" width="9.42578125" style="8" bestFit="1" customWidth="1"/>
    <col min="20" max="21" width="9.85546875" style="8" customWidth="1"/>
    <col min="22" max="24" width="9.140625" style="8"/>
    <col min="25" max="25" width="2.42578125" customWidth="1"/>
    <col min="26" max="27" width="9.140625" customWidth="1"/>
    <col min="28" max="28" width="9.140625" style="8" customWidth="1"/>
    <col min="29" max="29" width="2.42578125" customWidth="1"/>
    <col min="30" max="31" width="11.42578125" customWidth="1"/>
  </cols>
  <sheetData>
    <row r="1" spans="1:31" ht="15.75" thickBot="1" x14ac:dyDescent="0.3"/>
    <row r="2" spans="1:31" ht="16.5" thickBot="1" x14ac:dyDescent="0.3">
      <c r="A2" s="364" t="s">
        <v>22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6"/>
      <c r="M2" s="365"/>
      <c r="N2" s="365"/>
      <c r="O2" s="365"/>
      <c r="P2" s="365"/>
      <c r="Q2" s="365"/>
      <c r="R2" s="365"/>
      <c r="S2" s="367"/>
    </row>
    <row r="3" spans="1:31" ht="16.5" thickTop="1" thickBot="1" x14ac:dyDescent="0.3">
      <c r="E3" s="361" t="s">
        <v>15</v>
      </c>
      <c r="F3" s="362"/>
      <c r="G3" s="362"/>
      <c r="H3" s="362"/>
      <c r="I3" s="370"/>
      <c r="J3" s="368" t="s">
        <v>574</v>
      </c>
      <c r="K3" s="369"/>
      <c r="L3" s="49"/>
      <c r="M3" s="362" t="s">
        <v>16</v>
      </c>
      <c r="N3" s="362"/>
      <c r="O3" s="362"/>
      <c r="P3" s="370"/>
      <c r="Q3" s="368" t="s">
        <v>574</v>
      </c>
      <c r="R3" s="369"/>
      <c r="S3" s="49"/>
      <c r="T3" s="362" t="s">
        <v>28</v>
      </c>
      <c r="U3" s="362"/>
      <c r="V3" s="362"/>
      <c r="W3" s="362"/>
      <c r="X3" s="363"/>
      <c r="Z3" s="353" t="s">
        <v>32</v>
      </c>
      <c r="AA3" s="353"/>
      <c r="AB3" s="353"/>
      <c r="AD3" s="353" t="s">
        <v>1291</v>
      </c>
      <c r="AE3" s="353"/>
    </row>
    <row r="4" spans="1:31" ht="44.25" customHeight="1" thickBot="1" x14ac:dyDescent="0.3">
      <c r="A4" s="27" t="s">
        <v>0</v>
      </c>
      <c r="B4" s="28" t="s">
        <v>1</v>
      </c>
      <c r="C4" s="34" t="s">
        <v>135</v>
      </c>
      <c r="D4" s="29" t="s">
        <v>60</v>
      </c>
      <c r="E4" s="30" t="s">
        <v>3</v>
      </c>
      <c r="F4" s="30" t="s">
        <v>4</v>
      </c>
      <c r="G4" s="30" t="s">
        <v>5</v>
      </c>
      <c r="H4" s="30" t="s">
        <v>6</v>
      </c>
      <c r="I4" s="30" t="s">
        <v>7</v>
      </c>
      <c r="J4" s="30" t="s">
        <v>8</v>
      </c>
      <c r="K4" s="30" t="s">
        <v>27</v>
      </c>
      <c r="L4" s="48" t="s">
        <v>2</v>
      </c>
      <c r="M4" s="31" t="s">
        <v>11</v>
      </c>
      <c r="N4" s="31" t="s">
        <v>12</v>
      </c>
      <c r="O4" s="31" t="s">
        <v>13</v>
      </c>
      <c r="P4" s="32" t="s">
        <v>20</v>
      </c>
      <c r="Q4" s="32" t="s">
        <v>21</v>
      </c>
      <c r="R4" s="32" t="s">
        <v>27</v>
      </c>
      <c r="S4" s="50" t="s">
        <v>14</v>
      </c>
      <c r="T4" s="14" t="s">
        <v>24</v>
      </c>
      <c r="U4" s="14" t="s">
        <v>27</v>
      </c>
      <c r="V4" s="14" t="s">
        <v>25</v>
      </c>
      <c r="W4" s="14" t="s">
        <v>26</v>
      </c>
      <c r="X4" s="15" t="s">
        <v>23</v>
      </c>
      <c r="Z4" s="11" t="s">
        <v>29</v>
      </c>
      <c r="AA4" s="11" t="s">
        <v>30</v>
      </c>
      <c r="AB4" s="11" t="s">
        <v>31</v>
      </c>
      <c r="AD4" s="118" t="s">
        <v>1289</v>
      </c>
      <c r="AE4" s="118" t="s">
        <v>1290</v>
      </c>
    </row>
    <row r="5" spans="1:31" ht="14.25" customHeight="1" x14ac:dyDescent="0.25">
      <c r="A5" s="63" t="s">
        <v>653</v>
      </c>
      <c r="B5" s="69">
        <v>0.33333333333333331</v>
      </c>
      <c r="C5" s="23">
        <v>24</v>
      </c>
      <c r="D5" s="25" t="s">
        <v>648</v>
      </c>
      <c r="E5" s="39">
        <v>0</v>
      </c>
      <c r="F5" s="39">
        <v>2.5</v>
      </c>
      <c r="G5" s="39">
        <v>1.2</v>
      </c>
      <c r="H5" s="46">
        <f t="shared" ref="H5:H29" si="0">+IF(E5="","",(E5/24)*C5)</f>
        <v>0</v>
      </c>
      <c r="I5" s="46">
        <f t="shared" ref="I5:I29" si="1">+IF(F5="","",(F5/24)*C5)</f>
        <v>2.5</v>
      </c>
      <c r="J5" s="46">
        <f t="shared" ref="J5:J29" si="2">+IF(G5="","",(G5/24)*C5)</f>
        <v>1.2</v>
      </c>
      <c r="K5" s="47"/>
      <c r="L5" s="72">
        <v>447.3</v>
      </c>
      <c r="M5" s="39">
        <v>0</v>
      </c>
      <c r="N5" s="39">
        <v>0</v>
      </c>
      <c r="O5" s="39">
        <v>0.1</v>
      </c>
      <c r="P5" s="41">
        <v>0</v>
      </c>
      <c r="Q5" s="41">
        <v>0</v>
      </c>
      <c r="R5" s="42">
        <v>0</v>
      </c>
      <c r="S5" s="74">
        <v>94.6</v>
      </c>
      <c r="T5" s="70">
        <v>0</v>
      </c>
      <c r="U5" s="70">
        <v>0</v>
      </c>
      <c r="V5" s="70">
        <v>5</v>
      </c>
      <c r="W5" s="70">
        <v>0</v>
      </c>
      <c r="X5" s="76">
        <v>189</v>
      </c>
      <c r="Z5" s="70"/>
      <c r="AA5" s="70"/>
      <c r="AB5" s="11" t="str">
        <f t="shared" ref="AB5:AB68" si="3">IF(Z5="","",Z5+AA5)</f>
        <v/>
      </c>
      <c r="AD5" s="123"/>
      <c r="AE5" s="123"/>
    </row>
    <row r="6" spans="1:31" ht="14.25" customHeight="1" x14ac:dyDescent="0.25">
      <c r="A6" s="5" t="s">
        <v>653</v>
      </c>
      <c r="B6" s="6">
        <v>0.72499999999999998</v>
      </c>
      <c r="C6" s="2">
        <v>9.5</v>
      </c>
      <c r="D6" s="10" t="s">
        <v>654</v>
      </c>
      <c r="E6" s="40">
        <v>0</v>
      </c>
      <c r="F6" s="40">
        <v>2.5</v>
      </c>
      <c r="G6" s="40">
        <v>1.2</v>
      </c>
      <c r="H6" s="3">
        <f t="shared" si="0"/>
        <v>0</v>
      </c>
      <c r="I6" s="51">
        <f t="shared" si="1"/>
        <v>0.98958333333333337</v>
      </c>
      <c r="J6" s="51">
        <f t="shared" si="2"/>
        <v>0.47499999999999998</v>
      </c>
      <c r="K6" s="13"/>
      <c r="L6" s="60">
        <f t="shared" ref="L6:L69" si="4">+IF(C6="","",(L5+K6)-(H6+I6+J6))</f>
        <v>445.83541666666667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61">
        <f t="shared" ref="S6:S39" si="5">IF(C6="","",S5-(M6+N6+O6+P6+Q6))</f>
        <v>94.6</v>
      </c>
      <c r="T6" s="40">
        <v>0</v>
      </c>
      <c r="U6" s="40">
        <v>0</v>
      </c>
      <c r="V6" s="40">
        <v>3</v>
      </c>
      <c r="W6" s="40">
        <v>0</v>
      </c>
      <c r="X6" s="67">
        <f t="shared" ref="X6" si="6">IF(V6="","",((X5+T6+U6)-(V6+W6)))</f>
        <v>186</v>
      </c>
      <c r="Z6" s="71"/>
      <c r="AA6" s="71"/>
      <c r="AB6" s="67" t="str">
        <f t="shared" si="3"/>
        <v/>
      </c>
      <c r="AD6" s="121"/>
      <c r="AE6" s="121"/>
    </row>
    <row r="7" spans="1:31" x14ac:dyDescent="0.25">
      <c r="A7" s="2" t="s">
        <v>653</v>
      </c>
      <c r="B7" s="7">
        <v>0.94166666666666676</v>
      </c>
      <c r="C7" s="2">
        <v>5</v>
      </c>
      <c r="D7" s="10" t="s">
        <v>625</v>
      </c>
      <c r="E7" s="40">
        <v>0</v>
      </c>
      <c r="F7" s="40">
        <v>2.5</v>
      </c>
      <c r="G7" s="40">
        <v>1.5</v>
      </c>
      <c r="H7" s="3">
        <f t="shared" si="0"/>
        <v>0</v>
      </c>
      <c r="I7" s="51">
        <f t="shared" si="1"/>
        <v>0.52083333333333337</v>
      </c>
      <c r="J7" s="51">
        <f t="shared" si="2"/>
        <v>0.3125</v>
      </c>
      <c r="K7" s="3"/>
      <c r="L7" s="60">
        <f t="shared" si="4"/>
        <v>445.00208333333336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61">
        <f t="shared" si="5"/>
        <v>94.6</v>
      </c>
      <c r="T7" s="40">
        <v>0</v>
      </c>
      <c r="U7" s="40">
        <v>0</v>
      </c>
      <c r="V7" s="40">
        <v>1</v>
      </c>
      <c r="W7" s="40">
        <v>0</v>
      </c>
      <c r="X7" s="67">
        <f>IF(V7="","",((X6+T7+U7)-(V7+W7)))</f>
        <v>185</v>
      </c>
      <c r="Z7" s="71"/>
      <c r="AA7" s="71"/>
      <c r="AB7" s="67" t="str">
        <f t="shared" si="3"/>
        <v/>
      </c>
      <c r="AD7" s="121"/>
      <c r="AE7" s="121"/>
    </row>
    <row r="8" spans="1:31" x14ac:dyDescent="0.25">
      <c r="A8" s="2" t="s">
        <v>653</v>
      </c>
      <c r="B8" s="7">
        <v>0.97083333333333333</v>
      </c>
      <c r="C8" s="2">
        <v>0.9</v>
      </c>
      <c r="D8" s="10" t="s">
        <v>643</v>
      </c>
      <c r="E8" s="40">
        <v>10</v>
      </c>
      <c r="F8" s="40">
        <v>2.5</v>
      </c>
      <c r="G8" s="40">
        <v>1.5</v>
      </c>
      <c r="H8" s="3">
        <f t="shared" si="0"/>
        <v>0.375</v>
      </c>
      <c r="I8" s="51">
        <f t="shared" si="1"/>
        <v>9.375E-2</v>
      </c>
      <c r="J8" s="51">
        <f t="shared" si="2"/>
        <v>5.6250000000000001E-2</v>
      </c>
      <c r="K8" s="3"/>
      <c r="L8" s="60">
        <f t="shared" si="4"/>
        <v>444.47708333333338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61">
        <f t="shared" si="5"/>
        <v>94.6</v>
      </c>
      <c r="T8" s="40">
        <v>0</v>
      </c>
      <c r="U8" s="40">
        <v>0</v>
      </c>
      <c r="V8" s="40">
        <v>0</v>
      </c>
      <c r="W8" s="40">
        <v>0</v>
      </c>
      <c r="X8" s="67">
        <f t="shared" ref="X8:X71" si="7">IF(V8="","",((X7+T8+U8)-(V8+W8)))</f>
        <v>185</v>
      </c>
      <c r="Z8" s="40"/>
      <c r="AA8" s="40"/>
      <c r="AB8" s="67" t="str">
        <f t="shared" si="3"/>
        <v/>
      </c>
      <c r="AD8" s="121"/>
      <c r="AE8" s="121"/>
    </row>
    <row r="9" spans="1:31" x14ac:dyDescent="0.25">
      <c r="A9" s="2" t="s">
        <v>655</v>
      </c>
      <c r="B9" s="7">
        <v>2.9166666666666664E-2</v>
      </c>
      <c r="C9" s="2">
        <v>1</v>
      </c>
      <c r="D9" s="10" t="s">
        <v>656</v>
      </c>
      <c r="E9" s="40">
        <v>20</v>
      </c>
      <c r="F9" s="40">
        <v>2.5</v>
      </c>
      <c r="G9" s="40">
        <v>1.5</v>
      </c>
      <c r="H9" s="3">
        <f t="shared" si="0"/>
        <v>0.83333333333333337</v>
      </c>
      <c r="I9" s="51">
        <f t="shared" si="1"/>
        <v>0.10416666666666667</v>
      </c>
      <c r="J9" s="51">
        <f t="shared" si="2"/>
        <v>6.25E-2</v>
      </c>
      <c r="K9" s="3"/>
      <c r="L9" s="60">
        <f t="shared" si="4"/>
        <v>443.47708333333338</v>
      </c>
      <c r="M9" s="40">
        <v>0</v>
      </c>
      <c r="N9" s="40">
        <v>0</v>
      </c>
      <c r="O9" s="40">
        <v>0</v>
      </c>
      <c r="P9" s="40">
        <v>0</v>
      </c>
      <c r="Q9" s="40">
        <v>0</v>
      </c>
      <c r="R9" s="40">
        <v>0</v>
      </c>
      <c r="S9" s="61">
        <f t="shared" si="5"/>
        <v>94.6</v>
      </c>
      <c r="T9" s="40">
        <v>0</v>
      </c>
      <c r="U9" s="40">
        <v>0</v>
      </c>
      <c r="V9" s="40">
        <v>0</v>
      </c>
      <c r="W9" s="40">
        <v>0</v>
      </c>
      <c r="X9" s="67">
        <f t="shared" si="7"/>
        <v>185</v>
      </c>
      <c r="Z9" s="71"/>
      <c r="AA9" s="71"/>
      <c r="AB9" s="67" t="str">
        <f t="shared" si="3"/>
        <v/>
      </c>
      <c r="AD9" s="121"/>
      <c r="AE9" s="121"/>
    </row>
    <row r="10" spans="1:31" x14ac:dyDescent="0.25">
      <c r="A10" s="2" t="s">
        <v>655</v>
      </c>
      <c r="B10" s="65">
        <v>0.33333333333333331</v>
      </c>
      <c r="C10" s="2">
        <v>7.6</v>
      </c>
      <c r="D10" s="10" t="s">
        <v>656</v>
      </c>
      <c r="E10" s="40">
        <v>0</v>
      </c>
      <c r="F10" s="40">
        <v>2.5</v>
      </c>
      <c r="G10" s="40">
        <v>1.2</v>
      </c>
      <c r="H10" s="3">
        <f t="shared" si="0"/>
        <v>0</v>
      </c>
      <c r="I10" s="51">
        <f t="shared" si="1"/>
        <v>0.79166666666666663</v>
      </c>
      <c r="J10" s="51">
        <f t="shared" si="2"/>
        <v>0.37999999999999995</v>
      </c>
      <c r="K10" s="3"/>
      <c r="L10" s="60">
        <f t="shared" si="4"/>
        <v>442.3054166666667</v>
      </c>
      <c r="M10" s="40">
        <v>0</v>
      </c>
      <c r="N10" s="40">
        <v>0</v>
      </c>
      <c r="O10" s="40">
        <v>0.1</v>
      </c>
      <c r="P10" s="40">
        <v>0</v>
      </c>
      <c r="Q10" s="40">
        <v>0</v>
      </c>
      <c r="R10" s="40">
        <v>0</v>
      </c>
      <c r="S10" s="75">
        <f t="shared" si="5"/>
        <v>94.5</v>
      </c>
      <c r="T10" s="40">
        <v>0</v>
      </c>
      <c r="U10" s="40">
        <v>0</v>
      </c>
      <c r="V10" s="40">
        <v>1</v>
      </c>
      <c r="W10" s="40">
        <v>0</v>
      </c>
      <c r="X10" s="67">
        <f t="shared" si="7"/>
        <v>184</v>
      </c>
      <c r="Z10" s="40"/>
      <c r="AA10" s="40"/>
      <c r="AB10" s="67" t="str">
        <f t="shared" si="3"/>
        <v/>
      </c>
      <c r="AD10" s="121"/>
      <c r="AE10" s="121"/>
    </row>
    <row r="11" spans="1:31" x14ac:dyDescent="0.25">
      <c r="A11" s="2" t="s">
        <v>655</v>
      </c>
      <c r="B11" s="7">
        <v>0.4375</v>
      </c>
      <c r="C11" s="2">
        <v>2.5</v>
      </c>
      <c r="D11" s="10" t="s">
        <v>657</v>
      </c>
      <c r="E11" s="40">
        <v>0</v>
      </c>
      <c r="F11" s="40">
        <v>2.5</v>
      </c>
      <c r="G11" s="40">
        <v>1.2</v>
      </c>
      <c r="H11" s="3">
        <f t="shared" si="0"/>
        <v>0</v>
      </c>
      <c r="I11" s="51">
        <f t="shared" si="1"/>
        <v>0.26041666666666669</v>
      </c>
      <c r="J11" s="51">
        <f t="shared" si="2"/>
        <v>0.12499999999999999</v>
      </c>
      <c r="K11" s="3"/>
      <c r="L11" s="60">
        <f t="shared" si="4"/>
        <v>441.92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61">
        <f t="shared" si="5"/>
        <v>94.5</v>
      </c>
      <c r="T11" s="40">
        <v>0</v>
      </c>
      <c r="U11" s="40">
        <v>0</v>
      </c>
      <c r="V11" s="40">
        <v>1</v>
      </c>
      <c r="W11" s="40">
        <v>0</v>
      </c>
      <c r="X11" s="67">
        <f t="shared" si="7"/>
        <v>183</v>
      </c>
      <c r="Z11" s="71"/>
      <c r="AA11" s="71"/>
      <c r="AB11" s="67" t="str">
        <f t="shared" si="3"/>
        <v/>
      </c>
      <c r="AD11" s="121"/>
      <c r="AE11" s="121"/>
    </row>
    <row r="12" spans="1:31" x14ac:dyDescent="0.25">
      <c r="A12" s="2" t="s">
        <v>655</v>
      </c>
      <c r="B12" s="7">
        <v>0.45833333333333331</v>
      </c>
      <c r="C12" s="2">
        <v>0.5</v>
      </c>
      <c r="D12" s="10" t="s">
        <v>658</v>
      </c>
      <c r="E12" s="40">
        <v>10</v>
      </c>
      <c r="F12" s="40">
        <v>2.5</v>
      </c>
      <c r="G12" s="40">
        <v>1.2</v>
      </c>
      <c r="H12" s="3">
        <f t="shared" si="0"/>
        <v>0.20833333333333334</v>
      </c>
      <c r="I12" s="51">
        <f t="shared" si="1"/>
        <v>5.2083333333333336E-2</v>
      </c>
      <c r="J12" s="51">
        <f t="shared" si="2"/>
        <v>2.4999999999999998E-2</v>
      </c>
      <c r="K12" s="3"/>
      <c r="L12" s="60">
        <f t="shared" si="4"/>
        <v>441.63458333333335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61">
        <f t="shared" si="5"/>
        <v>94.5</v>
      </c>
      <c r="T12" s="40">
        <v>0</v>
      </c>
      <c r="U12" s="40">
        <v>0</v>
      </c>
      <c r="V12" s="40">
        <v>0</v>
      </c>
      <c r="W12" s="40">
        <v>0</v>
      </c>
      <c r="X12" s="67">
        <f t="shared" si="7"/>
        <v>183</v>
      </c>
      <c r="Z12" s="71"/>
      <c r="AA12" s="71"/>
      <c r="AB12" s="67" t="str">
        <f t="shared" si="3"/>
        <v/>
      </c>
      <c r="AD12" s="121"/>
      <c r="AE12" s="121"/>
    </row>
    <row r="13" spans="1:31" x14ac:dyDescent="0.25">
      <c r="A13" s="2" t="s">
        <v>655</v>
      </c>
      <c r="B13" s="7">
        <v>0.75</v>
      </c>
      <c r="C13" s="2">
        <v>7</v>
      </c>
      <c r="D13" s="10" t="s">
        <v>614</v>
      </c>
      <c r="E13" s="40">
        <v>25</v>
      </c>
      <c r="F13" s="40">
        <v>2.5</v>
      </c>
      <c r="G13" s="40">
        <v>1.5</v>
      </c>
      <c r="H13" s="3">
        <f t="shared" si="0"/>
        <v>7.291666666666667</v>
      </c>
      <c r="I13" s="51">
        <f t="shared" si="1"/>
        <v>0.72916666666666674</v>
      </c>
      <c r="J13" s="51">
        <f t="shared" si="2"/>
        <v>0.4375</v>
      </c>
      <c r="K13" s="3"/>
      <c r="L13" s="60">
        <f t="shared" si="4"/>
        <v>433.17625000000004</v>
      </c>
      <c r="M13" s="40">
        <v>0</v>
      </c>
      <c r="N13" s="40">
        <v>0</v>
      </c>
      <c r="O13" s="40">
        <v>0.1</v>
      </c>
      <c r="P13" s="40">
        <v>0</v>
      </c>
      <c r="Q13" s="40">
        <v>0</v>
      </c>
      <c r="R13" s="40">
        <v>0</v>
      </c>
      <c r="S13" s="61">
        <f t="shared" si="5"/>
        <v>94.4</v>
      </c>
      <c r="T13" s="40">
        <v>0</v>
      </c>
      <c r="U13" s="40">
        <v>0</v>
      </c>
      <c r="V13" s="40">
        <v>1</v>
      </c>
      <c r="W13" s="40">
        <v>0</v>
      </c>
      <c r="X13" s="67">
        <f t="shared" si="7"/>
        <v>182</v>
      </c>
      <c r="Z13" s="71"/>
      <c r="AA13" s="71"/>
      <c r="AB13" s="67" t="str">
        <f t="shared" si="3"/>
        <v/>
      </c>
      <c r="AD13" s="121">
        <v>12.1</v>
      </c>
      <c r="AE13" s="121" t="s">
        <v>1301</v>
      </c>
    </row>
    <row r="14" spans="1:31" x14ac:dyDescent="0.25">
      <c r="A14" s="2" t="s">
        <v>655</v>
      </c>
      <c r="B14" s="7">
        <v>0.78749999999999998</v>
      </c>
      <c r="C14" s="2">
        <v>0.9</v>
      </c>
      <c r="D14" s="10" t="s">
        <v>659</v>
      </c>
      <c r="E14" s="40">
        <v>10</v>
      </c>
      <c r="F14" s="40">
        <v>2.5</v>
      </c>
      <c r="G14" s="40">
        <v>1.2</v>
      </c>
      <c r="H14" s="3">
        <f t="shared" si="0"/>
        <v>0.375</v>
      </c>
      <c r="I14" s="51">
        <f t="shared" si="1"/>
        <v>9.375E-2</v>
      </c>
      <c r="J14" s="51">
        <f t="shared" si="2"/>
        <v>4.4999999999999998E-2</v>
      </c>
      <c r="K14" s="3"/>
      <c r="L14" s="60">
        <f t="shared" si="4"/>
        <v>432.66250000000002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61">
        <f t="shared" si="5"/>
        <v>94.4</v>
      </c>
      <c r="T14" s="40">
        <v>0</v>
      </c>
      <c r="U14" s="40">
        <v>0</v>
      </c>
      <c r="V14" s="40">
        <v>0</v>
      </c>
      <c r="W14" s="40">
        <v>0</v>
      </c>
      <c r="X14" s="67">
        <f t="shared" si="7"/>
        <v>182</v>
      </c>
      <c r="Z14" s="71"/>
      <c r="AA14" s="71"/>
      <c r="AB14" s="67" t="str">
        <f t="shared" si="3"/>
        <v/>
      </c>
      <c r="AD14" s="121"/>
      <c r="AE14" s="121"/>
    </row>
    <row r="15" spans="1:31" x14ac:dyDescent="0.25">
      <c r="A15" s="2" t="s">
        <v>655</v>
      </c>
      <c r="B15" s="7">
        <v>0.91249999999999998</v>
      </c>
      <c r="C15" s="2">
        <v>3</v>
      </c>
      <c r="D15" s="10" t="s">
        <v>660</v>
      </c>
      <c r="E15" s="40">
        <v>0</v>
      </c>
      <c r="F15" s="40">
        <v>2.5</v>
      </c>
      <c r="G15" s="40">
        <v>1.5</v>
      </c>
      <c r="H15" s="3">
        <f t="shared" si="0"/>
        <v>0</v>
      </c>
      <c r="I15" s="51">
        <f t="shared" si="1"/>
        <v>0.3125</v>
      </c>
      <c r="J15" s="51">
        <f t="shared" si="2"/>
        <v>0.1875</v>
      </c>
      <c r="K15" s="3"/>
      <c r="L15" s="60">
        <f t="shared" si="4"/>
        <v>432.16250000000002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61">
        <f t="shared" si="5"/>
        <v>94.4</v>
      </c>
      <c r="T15" s="40">
        <v>0</v>
      </c>
      <c r="U15" s="40">
        <v>0</v>
      </c>
      <c r="V15" s="40">
        <v>0</v>
      </c>
      <c r="W15" s="40">
        <v>0</v>
      </c>
      <c r="X15" s="67">
        <f t="shared" si="7"/>
        <v>182</v>
      </c>
      <c r="Z15" s="71"/>
      <c r="AA15" s="71"/>
      <c r="AB15" s="67" t="str">
        <f t="shared" si="3"/>
        <v/>
      </c>
      <c r="AD15" s="121"/>
      <c r="AE15" s="121"/>
    </row>
    <row r="16" spans="1:31" x14ac:dyDescent="0.25">
      <c r="A16" s="2" t="s">
        <v>655</v>
      </c>
      <c r="B16" s="7">
        <v>0.97499999999999998</v>
      </c>
      <c r="C16" s="2">
        <v>1.5</v>
      </c>
      <c r="D16" s="10" t="s">
        <v>661</v>
      </c>
      <c r="E16" s="40">
        <v>10</v>
      </c>
      <c r="F16" s="40">
        <v>2.5</v>
      </c>
      <c r="G16" s="40">
        <v>1.2</v>
      </c>
      <c r="H16" s="3">
        <f t="shared" si="0"/>
        <v>0.625</v>
      </c>
      <c r="I16" s="51">
        <f t="shared" si="1"/>
        <v>0.15625</v>
      </c>
      <c r="J16" s="51">
        <f t="shared" si="2"/>
        <v>7.4999999999999997E-2</v>
      </c>
      <c r="K16" s="3"/>
      <c r="L16" s="60">
        <f t="shared" si="4"/>
        <v>431.30625000000003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61">
        <f t="shared" si="5"/>
        <v>94.4</v>
      </c>
      <c r="T16" s="40">
        <v>0</v>
      </c>
      <c r="U16" s="40">
        <v>0</v>
      </c>
      <c r="V16" s="40">
        <v>0</v>
      </c>
      <c r="W16" s="40">
        <v>0</v>
      </c>
      <c r="X16" s="67">
        <f t="shared" si="7"/>
        <v>182</v>
      </c>
      <c r="Z16" s="71"/>
      <c r="AA16" s="71"/>
      <c r="AB16" s="67" t="str">
        <f t="shared" si="3"/>
        <v/>
      </c>
      <c r="AD16" s="121"/>
      <c r="AE16" s="121"/>
    </row>
    <row r="17" spans="1:31" x14ac:dyDescent="0.25">
      <c r="A17" s="19" t="s">
        <v>662</v>
      </c>
      <c r="B17" s="65">
        <v>0.33333333333333331</v>
      </c>
      <c r="C17" s="2">
        <v>8.6</v>
      </c>
      <c r="D17" s="10" t="s">
        <v>618</v>
      </c>
      <c r="E17" s="40">
        <v>0</v>
      </c>
      <c r="F17" s="40">
        <v>2.5</v>
      </c>
      <c r="G17" s="40">
        <v>1.5</v>
      </c>
      <c r="H17" s="3">
        <f t="shared" si="0"/>
        <v>0</v>
      </c>
      <c r="I17" s="51">
        <f t="shared" si="1"/>
        <v>0.89583333333333337</v>
      </c>
      <c r="J17" s="51">
        <f t="shared" si="2"/>
        <v>0.53749999999999998</v>
      </c>
      <c r="K17" s="3"/>
      <c r="L17" s="60">
        <f t="shared" si="4"/>
        <v>429.8729166666667</v>
      </c>
      <c r="M17" s="40">
        <v>0</v>
      </c>
      <c r="N17" s="40">
        <v>0</v>
      </c>
      <c r="O17" s="40">
        <v>0</v>
      </c>
      <c r="P17" s="40">
        <v>0</v>
      </c>
      <c r="Q17" s="40">
        <v>2</v>
      </c>
      <c r="R17" s="40">
        <v>0</v>
      </c>
      <c r="S17" s="61">
        <f t="shared" si="5"/>
        <v>92.4</v>
      </c>
      <c r="T17" s="40">
        <v>0</v>
      </c>
      <c r="U17" s="40">
        <v>0</v>
      </c>
      <c r="V17" s="40">
        <v>2</v>
      </c>
      <c r="W17" s="40">
        <v>0</v>
      </c>
      <c r="X17" s="67">
        <f t="shared" si="7"/>
        <v>180</v>
      </c>
      <c r="Z17" s="71"/>
      <c r="AA17" s="71"/>
      <c r="AB17" s="67" t="str">
        <f t="shared" si="3"/>
        <v/>
      </c>
      <c r="AD17" s="121"/>
      <c r="AE17" s="121"/>
    </row>
    <row r="18" spans="1:31" x14ac:dyDescent="0.25">
      <c r="A18" s="2" t="s">
        <v>662</v>
      </c>
      <c r="B18" s="7">
        <v>0.68333333333333324</v>
      </c>
      <c r="C18" s="2">
        <v>8.5</v>
      </c>
      <c r="D18" s="10" t="s">
        <v>618</v>
      </c>
      <c r="E18" s="40">
        <v>0</v>
      </c>
      <c r="F18" s="40">
        <v>2.5</v>
      </c>
      <c r="G18" s="40">
        <v>1.5</v>
      </c>
      <c r="H18" s="3">
        <f t="shared" si="0"/>
        <v>0</v>
      </c>
      <c r="I18" s="51">
        <f t="shared" si="1"/>
        <v>0.88541666666666674</v>
      </c>
      <c r="J18" s="51">
        <f t="shared" si="2"/>
        <v>0.53125</v>
      </c>
      <c r="K18" s="20"/>
      <c r="L18" s="60">
        <f t="shared" si="4"/>
        <v>428.45625000000001</v>
      </c>
      <c r="M18" s="40">
        <v>0</v>
      </c>
      <c r="N18" s="40">
        <v>0</v>
      </c>
      <c r="O18" s="40">
        <v>0.1</v>
      </c>
      <c r="P18" s="40">
        <v>0</v>
      </c>
      <c r="Q18" s="40">
        <v>2.2000000000000002</v>
      </c>
      <c r="R18" s="40">
        <v>0</v>
      </c>
      <c r="S18" s="61">
        <f t="shared" si="5"/>
        <v>90.100000000000009</v>
      </c>
      <c r="T18" s="40">
        <v>0</v>
      </c>
      <c r="U18" s="40">
        <v>0</v>
      </c>
      <c r="V18" s="40">
        <v>1</v>
      </c>
      <c r="W18" s="40">
        <v>0</v>
      </c>
      <c r="X18" s="67">
        <f t="shared" si="7"/>
        <v>179</v>
      </c>
      <c r="Z18" s="71"/>
      <c r="AA18" s="71"/>
      <c r="AB18" s="67" t="str">
        <f t="shared" si="3"/>
        <v/>
      </c>
      <c r="AD18" s="121"/>
      <c r="AE18" s="121"/>
    </row>
    <row r="19" spans="1:31" x14ac:dyDescent="0.25">
      <c r="A19" s="2" t="s">
        <v>662</v>
      </c>
      <c r="B19" s="7">
        <v>0.80833333333333324</v>
      </c>
      <c r="C19" s="2">
        <v>3</v>
      </c>
      <c r="D19" s="10" t="s">
        <v>625</v>
      </c>
      <c r="E19" s="40">
        <v>0</v>
      </c>
      <c r="F19" s="40">
        <v>2.5</v>
      </c>
      <c r="G19" s="40">
        <v>1.5</v>
      </c>
      <c r="H19" s="3">
        <f t="shared" si="0"/>
        <v>0</v>
      </c>
      <c r="I19" s="51">
        <f t="shared" si="1"/>
        <v>0.3125</v>
      </c>
      <c r="J19" s="51">
        <f t="shared" si="2"/>
        <v>0.1875</v>
      </c>
      <c r="K19" s="3"/>
      <c r="L19" s="60">
        <f t="shared" si="4"/>
        <v>427.95625000000001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61">
        <f t="shared" si="5"/>
        <v>90.100000000000009</v>
      </c>
      <c r="T19" s="40">
        <v>0</v>
      </c>
      <c r="U19" s="40">
        <v>0</v>
      </c>
      <c r="V19" s="40">
        <v>0</v>
      </c>
      <c r="W19" s="40">
        <v>0</v>
      </c>
      <c r="X19" s="67">
        <f t="shared" si="7"/>
        <v>179</v>
      </c>
      <c r="Z19" s="71"/>
      <c r="AA19" s="71"/>
      <c r="AB19" s="67" t="str">
        <f t="shared" si="3"/>
        <v/>
      </c>
      <c r="AD19" s="121"/>
      <c r="AE19" s="121"/>
    </row>
    <row r="20" spans="1:31" x14ac:dyDescent="0.25">
      <c r="A20" s="2" t="s">
        <v>662</v>
      </c>
      <c r="B20" s="7">
        <v>0.83333333333333337</v>
      </c>
      <c r="C20" s="2">
        <v>0.5</v>
      </c>
      <c r="D20" s="10" t="s">
        <v>663</v>
      </c>
      <c r="E20" s="40">
        <v>10</v>
      </c>
      <c r="F20" s="40">
        <v>2.5</v>
      </c>
      <c r="G20" s="40">
        <v>1.2</v>
      </c>
      <c r="H20" s="3">
        <f t="shared" si="0"/>
        <v>0.20833333333333334</v>
      </c>
      <c r="I20" s="51">
        <f t="shared" si="1"/>
        <v>5.2083333333333336E-2</v>
      </c>
      <c r="J20" s="51">
        <f t="shared" si="2"/>
        <v>2.4999999999999998E-2</v>
      </c>
      <c r="K20" s="3"/>
      <c r="L20" s="60">
        <f t="shared" si="4"/>
        <v>427.67083333333335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75">
        <f t="shared" si="5"/>
        <v>90.100000000000009</v>
      </c>
      <c r="T20" s="40">
        <v>0</v>
      </c>
      <c r="U20" s="40">
        <v>0</v>
      </c>
      <c r="V20" s="40">
        <v>0</v>
      </c>
      <c r="W20" s="40">
        <v>0</v>
      </c>
      <c r="X20" s="67">
        <f t="shared" si="7"/>
        <v>179</v>
      </c>
      <c r="Z20" s="71"/>
      <c r="AA20" s="71"/>
      <c r="AB20" s="67" t="str">
        <f t="shared" si="3"/>
        <v/>
      </c>
      <c r="AD20" s="121"/>
      <c r="AE20" s="121"/>
    </row>
    <row r="21" spans="1:31" x14ac:dyDescent="0.25">
      <c r="A21" s="2" t="s">
        <v>664</v>
      </c>
      <c r="B21" s="65">
        <v>0.33333333333333331</v>
      </c>
      <c r="C21" s="2">
        <v>12</v>
      </c>
      <c r="D21" s="10" t="s">
        <v>665</v>
      </c>
      <c r="E21" s="40">
        <v>28</v>
      </c>
      <c r="F21" s="40">
        <v>2.5</v>
      </c>
      <c r="G21" s="40">
        <v>1.2</v>
      </c>
      <c r="H21" s="3">
        <f t="shared" si="0"/>
        <v>14</v>
      </c>
      <c r="I21" s="51">
        <f t="shared" si="1"/>
        <v>1.25</v>
      </c>
      <c r="J21" s="51">
        <f t="shared" si="2"/>
        <v>0.6</v>
      </c>
      <c r="K21" s="3"/>
      <c r="L21" s="60">
        <f t="shared" si="4"/>
        <v>411.82083333333333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75">
        <f t="shared" si="5"/>
        <v>90.100000000000009</v>
      </c>
      <c r="T21" s="40">
        <v>0</v>
      </c>
      <c r="U21" s="40">
        <v>0</v>
      </c>
      <c r="V21" s="40">
        <v>4</v>
      </c>
      <c r="W21" s="40">
        <v>0</v>
      </c>
      <c r="X21" s="67">
        <f t="shared" si="7"/>
        <v>175</v>
      </c>
      <c r="Z21" s="71"/>
      <c r="AA21" s="71"/>
      <c r="AB21" s="67" t="str">
        <f t="shared" si="3"/>
        <v/>
      </c>
      <c r="AD21" s="121"/>
      <c r="AE21" s="121"/>
    </row>
    <row r="22" spans="1:31" x14ac:dyDescent="0.25">
      <c r="A22" s="2" t="s">
        <v>664</v>
      </c>
      <c r="B22" s="7">
        <v>0.72083333333333333</v>
      </c>
      <c r="C22" s="2">
        <v>9.3000000000000007</v>
      </c>
      <c r="D22" s="10" t="s">
        <v>623</v>
      </c>
      <c r="E22" s="40">
        <v>28</v>
      </c>
      <c r="F22" s="40">
        <v>2.5</v>
      </c>
      <c r="G22" s="40">
        <v>1.2</v>
      </c>
      <c r="H22" s="3">
        <f t="shared" si="0"/>
        <v>10.850000000000001</v>
      </c>
      <c r="I22" s="51">
        <f t="shared" si="1"/>
        <v>0.96875000000000011</v>
      </c>
      <c r="J22" s="51">
        <f t="shared" si="2"/>
        <v>0.46500000000000002</v>
      </c>
      <c r="K22" s="3"/>
      <c r="L22" s="60">
        <f t="shared" si="4"/>
        <v>399.53708333333333</v>
      </c>
      <c r="M22" s="40">
        <v>0</v>
      </c>
      <c r="N22" s="40">
        <v>0</v>
      </c>
      <c r="O22" s="40">
        <v>0.1</v>
      </c>
      <c r="P22" s="40">
        <v>0</v>
      </c>
      <c r="Q22" s="40">
        <v>0</v>
      </c>
      <c r="R22" s="40">
        <v>0</v>
      </c>
      <c r="S22" s="61">
        <f t="shared" si="5"/>
        <v>90.000000000000014</v>
      </c>
      <c r="T22" s="40">
        <v>0</v>
      </c>
      <c r="U22" s="40">
        <v>0</v>
      </c>
      <c r="V22" s="40">
        <v>3</v>
      </c>
      <c r="W22" s="40">
        <v>0</v>
      </c>
      <c r="X22" s="67">
        <f t="shared" si="7"/>
        <v>172</v>
      </c>
      <c r="Z22" s="71"/>
      <c r="AA22" s="71"/>
      <c r="AB22" s="67" t="str">
        <f t="shared" si="3"/>
        <v/>
      </c>
      <c r="AD22" s="121">
        <v>12.6</v>
      </c>
      <c r="AE22" s="121" t="s">
        <v>1295</v>
      </c>
    </row>
    <row r="23" spans="1:31" x14ac:dyDescent="0.25">
      <c r="A23" s="2" t="s">
        <v>664</v>
      </c>
      <c r="B23" s="7">
        <v>0.75</v>
      </c>
      <c r="C23" s="2">
        <v>0.7</v>
      </c>
      <c r="D23" s="10" t="s">
        <v>624</v>
      </c>
      <c r="E23" s="40">
        <v>10</v>
      </c>
      <c r="F23" s="40">
        <v>2.5</v>
      </c>
      <c r="G23" s="40">
        <v>1.2</v>
      </c>
      <c r="H23" s="3">
        <f t="shared" si="0"/>
        <v>0.29166666666666669</v>
      </c>
      <c r="I23" s="51">
        <f t="shared" si="1"/>
        <v>7.2916666666666671E-2</v>
      </c>
      <c r="J23" s="51">
        <f t="shared" si="2"/>
        <v>3.4999999999999996E-2</v>
      </c>
      <c r="K23" s="3"/>
      <c r="L23" s="60">
        <f t="shared" si="4"/>
        <v>399.13749999999999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61">
        <f t="shared" si="5"/>
        <v>90.000000000000014</v>
      </c>
      <c r="T23" s="40">
        <v>0</v>
      </c>
      <c r="U23" s="40">
        <v>0</v>
      </c>
      <c r="V23" s="40">
        <v>0</v>
      </c>
      <c r="W23" s="40">
        <v>0</v>
      </c>
      <c r="X23" s="67">
        <f t="shared" si="7"/>
        <v>172</v>
      </c>
      <c r="Z23" s="71"/>
      <c r="AA23" s="71"/>
      <c r="AB23" s="67" t="str">
        <f t="shared" si="3"/>
        <v/>
      </c>
      <c r="AD23" s="121"/>
      <c r="AE23" s="121"/>
    </row>
    <row r="24" spans="1:31" x14ac:dyDescent="0.25">
      <c r="A24" s="2" t="s">
        <v>666</v>
      </c>
      <c r="B24" s="65">
        <v>0.33333333333333331</v>
      </c>
      <c r="C24" s="2">
        <v>14</v>
      </c>
      <c r="D24" s="10" t="s">
        <v>667</v>
      </c>
      <c r="E24" s="40">
        <v>0</v>
      </c>
      <c r="F24" s="40">
        <v>2.5</v>
      </c>
      <c r="G24" s="40">
        <v>1.2</v>
      </c>
      <c r="H24" s="3">
        <f t="shared" si="0"/>
        <v>0</v>
      </c>
      <c r="I24" s="51">
        <f t="shared" si="1"/>
        <v>1.4583333333333335</v>
      </c>
      <c r="J24" s="51">
        <f t="shared" si="2"/>
        <v>0.7</v>
      </c>
      <c r="K24" s="3"/>
      <c r="L24" s="60">
        <f t="shared" si="4"/>
        <v>396.97916666666663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61">
        <f t="shared" si="5"/>
        <v>90.000000000000014</v>
      </c>
      <c r="T24" s="40">
        <v>0</v>
      </c>
      <c r="U24" s="40">
        <v>0</v>
      </c>
      <c r="V24" s="40">
        <v>2</v>
      </c>
      <c r="W24" s="40">
        <v>0</v>
      </c>
      <c r="X24" s="67">
        <f t="shared" si="7"/>
        <v>170</v>
      </c>
      <c r="Z24" s="71"/>
      <c r="AA24" s="71"/>
      <c r="AB24" s="67" t="str">
        <f t="shared" si="3"/>
        <v/>
      </c>
      <c r="AD24" s="121"/>
      <c r="AE24" s="121"/>
    </row>
    <row r="25" spans="1:31" x14ac:dyDescent="0.25">
      <c r="A25" s="2" t="s">
        <v>666</v>
      </c>
      <c r="B25" s="7">
        <v>0.57500000000000007</v>
      </c>
      <c r="C25" s="2">
        <v>5.9</v>
      </c>
      <c r="D25" s="10" t="s">
        <v>660</v>
      </c>
      <c r="E25" s="40">
        <v>0</v>
      </c>
      <c r="F25" s="40">
        <v>2.5</v>
      </c>
      <c r="G25" s="40">
        <v>1.2</v>
      </c>
      <c r="H25" s="3">
        <f t="shared" si="0"/>
        <v>0</v>
      </c>
      <c r="I25" s="51">
        <f t="shared" si="1"/>
        <v>0.61458333333333337</v>
      </c>
      <c r="J25" s="51">
        <f t="shared" si="2"/>
        <v>0.29499999999999998</v>
      </c>
      <c r="K25" s="3"/>
      <c r="L25" s="60">
        <f t="shared" si="4"/>
        <v>396.0695833333333</v>
      </c>
      <c r="M25" s="40">
        <v>0</v>
      </c>
      <c r="N25" s="40">
        <v>0</v>
      </c>
      <c r="O25" s="40">
        <v>0.1</v>
      </c>
      <c r="P25" s="40">
        <v>0</v>
      </c>
      <c r="Q25" s="40">
        <v>0</v>
      </c>
      <c r="R25" s="40">
        <v>0</v>
      </c>
      <c r="S25" s="61">
        <f t="shared" si="5"/>
        <v>89.90000000000002</v>
      </c>
      <c r="T25" s="40">
        <v>0</v>
      </c>
      <c r="U25" s="40">
        <v>0</v>
      </c>
      <c r="V25" s="40">
        <v>2</v>
      </c>
      <c r="W25" s="40">
        <v>0</v>
      </c>
      <c r="X25" s="67">
        <f t="shared" si="7"/>
        <v>168</v>
      </c>
      <c r="Z25" s="71"/>
      <c r="AA25" s="71"/>
      <c r="AB25" s="67" t="str">
        <f t="shared" si="3"/>
        <v/>
      </c>
      <c r="AD25" s="121"/>
      <c r="AE25" s="121"/>
    </row>
    <row r="26" spans="1:31" x14ac:dyDescent="0.25">
      <c r="A26" s="2" t="s">
        <v>666</v>
      </c>
      <c r="B26" s="7">
        <v>0.65833333333333333</v>
      </c>
      <c r="C26" s="2">
        <v>2</v>
      </c>
      <c r="D26" s="10" t="s">
        <v>668</v>
      </c>
      <c r="E26" s="40">
        <v>10</v>
      </c>
      <c r="F26" s="40">
        <v>2.5</v>
      </c>
      <c r="G26" s="40">
        <v>1.1000000000000001</v>
      </c>
      <c r="H26" s="3">
        <f t="shared" si="0"/>
        <v>0.83333333333333337</v>
      </c>
      <c r="I26" s="51">
        <f t="shared" si="1"/>
        <v>0.20833333333333334</v>
      </c>
      <c r="J26" s="51">
        <f t="shared" si="2"/>
        <v>9.1666666666666674E-2</v>
      </c>
      <c r="K26" s="3"/>
      <c r="L26" s="60">
        <f t="shared" si="4"/>
        <v>394.93624999999997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61">
        <f t="shared" si="5"/>
        <v>89.90000000000002</v>
      </c>
      <c r="T26" s="40">
        <v>0</v>
      </c>
      <c r="U26" s="40">
        <v>0</v>
      </c>
      <c r="V26" s="40">
        <v>0</v>
      </c>
      <c r="W26" s="40">
        <v>0</v>
      </c>
      <c r="X26" s="67">
        <f t="shared" si="7"/>
        <v>168</v>
      </c>
      <c r="Z26" s="71"/>
      <c r="AA26" s="71"/>
      <c r="AB26" s="67" t="str">
        <f t="shared" si="3"/>
        <v/>
      </c>
      <c r="AD26" s="121"/>
      <c r="AE26" s="121"/>
    </row>
    <row r="27" spans="1:31" x14ac:dyDescent="0.25">
      <c r="A27" s="2" t="s">
        <v>669</v>
      </c>
      <c r="B27" s="65">
        <v>0.33333333333333331</v>
      </c>
      <c r="C27" s="2">
        <v>16.100000000000001</v>
      </c>
      <c r="D27" s="10" t="s">
        <v>629</v>
      </c>
      <c r="E27" s="40">
        <v>0</v>
      </c>
      <c r="F27" s="40">
        <v>2.5</v>
      </c>
      <c r="G27" s="40">
        <v>1.5</v>
      </c>
      <c r="H27" s="3">
        <f t="shared" si="0"/>
        <v>0</v>
      </c>
      <c r="I27" s="51">
        <f t="shared" si="1"/>
        <v>1.6770833333333335</v>
      </c>
      <c r="J27" s="51">
        <f t="shared" si="2"/>
        <v>1.0062500000000001</v>
      </c>
      <c r="K27" s="3"/>
      <c r="L27" s="60">
        <f t="shared" si="4"/>
        <v>392.25291666666664</v>
      </c>
      <c r="M27" s="40">
        <v>0</v>
      </c>
      <c r="N27" s="40">
        <v>0</v>
      </c>
      <c r="O27" s="40">
        <v>0</v>
      </c>
      <c r="P27" s="40">
        <v>0</v>
      </c>
      <c r="Q27" s="40">
        <v>4.3</v>
      </c>
      <c r="R27" s="40">
        <v>0</v>
      </c>
      <c r="S27" s="61">
        <f t="shared" si="5"/>
        <v>85.600000000000023</v>
      </c>
      <c r="T27" s="40">
        <v>0</v>
      </c>
      <c r="U27" s="40">
        <v>0</v>
      </c>
      <c r="V27" s="40">
        <v>3</v>
      </c>
      <c r="W27" s="40">
        <v>0</v>
      </c>
      <c r="X27" s="67">
        <f t="shared" si="7"/>
        <v>165</v>
      </c>
      <c r="Z27" s="71">
        <v>149</v>
      </c>
      <c r="AA27" s="71">
        <v>24</v>
      </c>
      <c r="AB27" s="67">
        <f t="shared" si="3"/>
        <v>173</v>
      </c>
      <c r="AD27" s="121"/>
      <c r="AE27" s="121"/>
    </row>
    <row r="28" spans="1:31" x14ac:dyDescent="0.25">
      <c r="A28" s="19" t="s">
        <v>669</v>
      </c>
      <c r="B28" s="7">
        <v>0.52500000000000002</v>
      </c>
      <c r="C28" s="2">
        <v>4.5</v>
      </c>
      <c r="D28" s="10" t="s">
        <v>628</v>
      </c>
      <c r="E28" s="40">
        <v>0</v>
      </c>
      <c r="F28" s="40">
        <v>2.5</v>
      </c>
      <c r="G28" s="40">
        <v>1.5</v>
      </c>
      <c r="H28" s="3">
        <f t="shared" si="0"/>
        <v>0</v>
      </c>
      <c r="I28" s="51">
        <f t="shared" si="1"/>
        <v>0.46875</v>
      </c>
      <c r="J28" s="51">
        <f t="shared" si="2"/>
        <v>0.28125</v>
      </c>
      <c r="K28" s="3"/>
      <c r="L28" s="73">
        <f t="shared" si="4"/>
        <v>391.50291666666664</v>
      </c>
      <c r="M28" s="40">
        <v>0</v>
      </c>
      <c r="N28" s="40">
        <v>0</v>
      </c>
      <c r="O28" s="40">
        <v>0</v>
      </c>
      <c r="P28" s="40">
        <v>0</v>
      </c>
      <c r="Q28" s="40">
        <v>1.3</v>
      </c>
      <c r="R28" s="40">
        <v>0</v>
      </c>
      <c r="S28" s="61">
        <f t="shared" si="5"/>
        <v>84.300000000000026</v>
      </c>
      <c r="T28" s="40">
        <v>0</v>
      </c>
      <c r="U28" s="40">
        <v>0</v>
      </c>
      <c r="V28" s="40">
        <v>1</v>
      </c>
      <c r="W28" s="40">
        <v>0</v>
      </c>
      <c r="X28" s="67">
        <f t="shared" si="7"/>
        <v>164</v>
      </c>
      <c r="Z28" s="71"/>
      <c r="AA28" s="71"/>
      <c r="AB28" s="67" t="str">
        <f t="shared" si="3"/>
        <v/>
      </c>
      <c r="AD28" s="121"/>
      <c r="AE28" s="121"/>
    </row>
    <row r="29" spans="1:31" x14ac:dyDescent="0.25">
      <c r="A29" s="19" t="s">
        <v>669</v>
      </c>
      <c r="B29" s="7">
        <v>0.64583333333333337</v>
      </c>
      <c r="C29" s="2">
        <v>3</v>
      </c>
      <c r="D29" s="10" t="s">
        <v>625</v>
      </c>
      <c r="E29" s="40">
        <v>0</v>
      </c>
      <c r="F29" s="40">
        <v>2.5</v>
      </c>
      <c r="G29" s="40">
        <v>1.5</v>
      </c>
      <c r="H29" s="3">
        <f t="shared" si="0"/>
        <v>0</v>
      </c>
      <c r="I29" s="51">
        <f t="shared" si="1"/>
        <v>0.3125</v>
      </c>
      <c r="J29" s="51">
        <f t="shared" si="2"/>
        <v>0.1875</v>
      </c>
      <c r="K29" s="3"/>
      <c r="L29" s="60">
        <f t="shared" si="4"/>
        <v>391.00291666666664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61">
        <f t="shared" si="5"/>
        <v>84.300000000000026</v>
      </c>
      <c r="T29" s="40">
        <v>0</v>
      </c>
      <c r="U29" s="40">
        <v>0</v>
      </c>
      <c r="V29" s="40">
        <v>0</v>
      </c>
      <c r="W29" s="40">
        <v>0</v>
      </c>
      <c r="X29" s="67">
        <f t="shared" si="7"/>
        <v>164</v>
      </c>
      <c r="Z29" s="71"/>
      <c r="AA29" s="71"/>
      <c r="AB29" s="67" t="str">
        <f t="shared" si="3"/>
        <v/>
      </c>
      <c r="AD29" s="121"/>
      <c r="AE29" s="121"/>
    </row>
    <row r="30" spans="1:31" x14ac:dyDescent="0.25">
      <c r="A30" s="19" t="s">
        <v>669</v>
      </c>
      <c r="B30" s="7">
        <v>0.6875</v>
      </c>
      <c r="C30" s="2">
        <v>1</v>
      </c>
      <c r="D30" s="10" t="s">
        <v>658</v>
      </c>
      <c r="E30" s="40">
        <v>10</v>
      </c>
      <c r="F30" s="40">
        <v>2.5</v>
      </c>
      <c r="G30" s="40">
        <v>1.5</v>
      </c>
      <c r="H30" s="3">
        <f t="shared" ref="H30:H74" si="8">+IF(E30="","",(E30/24)*C30)</f>
        <v>0.41666666666666669</v>
      </c>
      <c r="I30" s="3">
        <f t="shared" ref="I30:I74" si="9">+IF(F30="","",(F30/24)*C30)</f>
        <v>0.10416666666666667</v>
      </c>
      <c r="J30" s="3">
        <f t="shared" ref="J30:J74" si="10">+IF(G30="","",(G30/24)*C30)</f>
        <v>6.25E-2</v>
      </c>
      <c r="K30" s="3"/>
      <c r="L30" s="60">
        <f t="shared" si="4"/>
        <v>390.41958333333332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61">
        <f t="shared" si="5"/>
        <v>84.300000000000026</v>
      </c>
      <c r="T30" s="40">
        <v>0</v>
      </c>
      <c r="U30" s="40">
        <v>0</v>
      </c>
      <c r="V30" s="40">
        <v>0</v>
      </c>
      <c r="W30" s="40">
        <v>0</v>
      </c>
      <c r="X30" s="67">
        <f t="shared" si="7"/>
        <v>164</v>
      </c>
      <c r="Y30" s="22"/>
      <c r="Z30" s="71"/>
      <c r="AA30" s="71"/>
      <c r="AB30" s="67" t="str">
        <f t="shared" si="3"/>
        <v/>
      </c>
      <c r="AD30" s="121"/>
      <c r="AE30" s="121"/>
    </row>
    <row r="31" spans="1:31" x14ac:dyDescent="0.25">
      <c r="A31" s="2" t="s">
        <v>670</v>
      </c>
      <c r="B31" s="7">
        <v>1.2499999999999999E-2</v>
      </c>
      <c r="C31" s="2">
        <v>7.8</v>
      </c>
      <c r="D31" s="10" t="s">
        <v>631</v>
      </c>
      <c r="E31" s="40">
        <v>28</v>
      </c>
      <c r="F31" s="40">
        <v>2.5</v>
      </c>
      <c r="G31" s="40">
        <v>1.2</v>
      </c>
      <c r="H31" s="3">
        <f t="shared" si="8"/>
        <v>9.1</v>
      </c>
      <c r="I31" s="3">
        <f t="shared" si="9"/>
        <v>0.8125</v>
      </c>
      <c r="J31" s="3">
        <f t="shared" si="10"/>
        <v>0.38999999999999996</v>
      </c>
      <c r="K31" s="3"/>
      <c r="L31" s="60">
        <f t="shared" si="4"/>
        <v>380.11708333333331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61">
        <f t="shared" si="5"/>
        <v>84.300000000000026</v>
      </c>
      <c r="T31" s="40">
        <v>0</v>
      </c>
      <c r="U31" s="40">
        <v>0</v>
      </c>
      <c r="V31" s="40">
        <v>1</v>
      </c>
      <c r="W31" s="40">
        <v>0</v>
      </c>
      <c r="X31" s="67">
        <f t="shared" si="7"/>
        <v>163</v>
      </c>
      <c r="Z31" s="71"/>
      <c r="AA31" s="71"/>
      <c r="AB31" s="67" t="str">
        <f t="shared" si="3"/>
        <v/>
      </c>
      <c r="AD31" s="121">
        <v>12.2</v>
      </c>
      <c r="AE31" s="121" t="s">
        <v>1301</v>
      </c>
    </row>
    <row r="32" spans="1:31" x14ac:dyDescent="0.25">
      <c r="A32" s="2" t="s">
        <v>670</v>
      </c>
      <c r="B32" s="7">
        <v>8.3333333333333329E-2</v>
      </c>
      <c r="C32" s="2">
        <v>1.8</v>
      </c>
      <c r="D32" s="10" t="s">
        <v>625</v>
      </c>
      <c r="E32" s="40">
        <v>0</v>
      </c>
      <c r="F32" s="40">
        <v>2.5</v>
      </c>
      <c r="G32" s="40">
        <v>1.2</v>
      </c>
      <c r="H32" s="3">
        <f t="shared" si="8"/>
        <v>0</v>
      </c>
      <c r="I32" s="3">
        <f t="shared" si="9"/>
        <v>0.1875</v>
      </c>
      <c r="J32" s="3">
        <f t="shared" si="10"/>
        <v>0.09</v>
      </c>
      <c r="K32" s="3"/>
      <c r="L32" s="60">
        <f t="shared" si="4"/>
        <v>379.83958333333334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61">
        <f t="shared" si="5"/>
        <v>84.300000000000026</v>
      </c>
      <c r="T32" s="40">
        <v>0</v>
      </c>
      <c r="U32" s="40">
        <v>0</v>
      </c>
      <c r="V32" s="40">
        <v>0</v>
      </c>
      <c r="W32" s="40">
        <v>0</v>
      </c>
      <c r="X32" s="67">
        <f t="shared" si="7"/>
        <v>163</v>
      </c>
      <c r="Z32" s="71"/>
      <c r="AA32" s="71"/>
      <c r="AB32" s="67" t="str">
        <f t="shared" si="3"/>
        <v/>
      </c>
      <c r="AD32" s="121"/>
      <c r="AE32" s="121"/>
    </row>
    <row r="33" spans="1:31" x14ac:dyDescent="0.25">
      <c r="A33" s="2" t="s">
        <v>670</v>
      </c>
      <c r="B33" s="7">
        <v>0.15</v>
      </c>
      <c r="C33" s="2">
        <v>1.6</v>
      </c>
      <c r="D33" s="10" t="s">
        <v>671</v>
      </c>
      <c r="E33" s="40">
        <v>10</v>
      </c>
      <c r="F33" s="40">
        <v>2.5</v>
      </c>
      <c r="G33" s="40">
        <v>1.2</v>
      </c>
      <c r="H33" s="3">
        <f t="shared" si="8"/>
        <v>0.66666666666666674</v>
      </c>
      <c r="I33" s="3">
        <f t="shared" si="9"/>
        <v>0.16666666666666669</v>
      </c>
      <c r="J33" s="3">
        <f t="shared" si="10"/>
        <v>0.08</v>
      </c>
      <c r="K33" s="3"/>
      <c r="L33" s="60">
        <f t="shared" si="4"/>
        <v>378.92624999999998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61">
        <f t="shared" si="5"/>
        <v>84.300000000000026</v>
      </c>
      <c r="T33" s="40">
        <v>0</v>
      </c>
      <c r="U33" s="40">
        <v>0</v>
      </c>
      <c r="V33" s="40">
        <v>0</v>
      </c>
      <c r="W33" s="40">
        <v>0</v>
      </c>
      <c r="X33" s="67">
        <f t="shared" si="7"/>
        <v>163</v>
      </c>
      <c r="Z33" s="71"/>
      <c r="AA33" s="71"/>
      <c r="AB33" s="67" t="str">
        <f t="shared" si="3"/>
        <v/>
      </c>
      <c r="AD33" s="121"/>
      <c r="AE33" s="121"/>
    </row>
    <row r="34" spans="1:31" x14ac:dyDescent="0.25">
      <c r="A34" s="2" t="s">
        <v>670</v>
      </c>
      <c r="B34" s="65">
        <v>0.33333333333333331</v>
      </c>
      <c r="C34" s="2">
        <v>4.3</v>
      </c>
      <c r="D34" s="10" t="s">
        <v>672</v>
      </c>
      <c r="E34" s="40">
        <v>0</v>
      </c>
      <c r="F34" s="40">
        <v>2.5</v>
      </c>
      <c r="G34" s="40">
        <v>1.5</v>
      </c>
      <c r="H34" s="3">
        <f t="shared" si="8"/>
        <v>0</v>
      </c>
      <c r="I34" s="3">
        <f t="shared" si="9"/>
        <v>0.44791666666666669</v>
      </c>
      <c r="J34" s="3">
        <f t="shared" si="10"/>
        <v>0.26874999999999999</v>
      </c>
      <c r="K34" s="3"/>
      <c r="L34" s="60">
        <f t="shared" si="4"/>
        <v>378.20958333333334</v>
      </c>
      <c r="M34" s="40">
        <v>0</v>
      </c>
      <c r="N34" s="40">
        <v>0</v>
      </c>
      <c r="O34" s="40">
        <v>0.1</v>
      </c>
      <c r="P34" s="40">
        <v>0</v>
      </c>
      <c r="Q34" s="40">
        <v>1</v>
      </c>
      <c r="R34" s="40">
        <v>0</v>
      </c>
      <c r="S34" s="61">
        <f t="shared" si="5"/>
        <v>83.200000000000031</v>
      </c>
      <c r="T34" s="40">
        <v>0</v>
      </c>
      <c r="U34" s="40">
        <v>0</v>
      </c>
      <c r="V34" s="40">
        <v>3</v>
      </c>
      <c r="W34" s="40">
        <v>0</v>
      </c>
      <c r="X34" s="67">
        <f t="shared" si="7"/>
        <v>160</v>
      </c>
      <c r="Z34" s="71"/>
      <c r="AA34" s="71"/>
      <c r="AB34" s="67" t="str">
        <f t="shared" si="3"/>
        <v/>
      </c>
      <c r="AD34" s="121"/>
      <c r="AE34" s="121"/>
    </row>
    <row r="35" spans="1:31" x14ac:dyDescent="0.25">
      <c r="A35" s="2" t="s">
        <v>670</v>
      </c>
      <c r="B35" s="7">
        <v>0.98749999999999993</v>
      </c>
      <c r="C35" s="2">
        <v>15.8</v>
      </c>
      <c r="D35" s="10" t="s">
        <v>628</v>
      </c>
      <c r="E35" s="40">
        <v>0</v>
      </c>
      <c r="F35" s="40">
        <v>2.5</v>
      </c>
      <c r="G35" s="40">
        <v>1.5</v>
      </c>
      <c r="H35" s="3">
        <f t="shared" si="8"/>
        <v>0</v>
      </c>
      <c r="I35" s="3">
        <f t="shared" si="9"/>
        <v>1.6458333333333335</v>
      </c>
      <c r="J35" s="3">
        <f t="shared" si="10"/>
        <v>0.98750000000000004</v>
      </c>
      <c r="K35" s="3"/>
      <c r="L35" s="60">
        <f t="shared" si="4"/>
        <v>375.57625000000002</v>
      </c>
      <c r="M35" s="40">
        <v>0</v>
      </c>
      <c r="N35" s="40">
        <v>0</v>
      </c>
      <c r="O35" s="40">
        <v>0.1</v>
      </c>
      <c r="P35" s="40">
        <v>0</v>
      </c>
      <c r="Q35" s="40">
        <v>4</v>
      </c>
      <c r="R35" s="40">
        <v>0</v>
      </c>
      <c r="S35" s="61">
        <f t="shared" si="5"/>
        <v>79.100000000000037</v>
      </c>
      <c r="T35" s="40">
        <v>0</v>
      </c>
      <c r="U35" s="40">
        <v>0</v>
      </c>
      <c r="V35" s="40">
        <v>3</v>
      </c>
      <c r="W35" s="40">
        <v>0</v>
      </c>
      <c r="X35" s="67">
        <f t="shared" si="7"/>
        <v>157</v>
      </c>
      <c r="Z35" s="71"/>
      <c r="AA35" s="71"/>
      <c r="AB35" s="67" t="str">
        <f t="shared" si="3"/>
        <v/>
      </c>
      <c r="AD35" s="121"/>
      <c r="AE35" s="121"/>
    </row>
    <row r="36" spans="1:31" x14ac:dyDescent="0.25">
      <c r="A36" s="2" t="s">
        <v>674</v>
      </c>
      <c r="B36" s="7">
        <v>0.14166666666666666</v>
      </c>
      <c r="C36" s="2">
        <v>3</v>
      </c>
      <c r="D36" s="10" t="s">
        <v>625</v>
      </c>
      <c r="E36" s="40">
        <v>0</v>
      </c>
      <c r="F36" s="40">
        <v>2.5</v>
      </c>
      <c r="G36" s="40">
        <v>1.5</v>
      </c>
      <c r="H36" s="3">
        <f t="shared" si="8"/>
        <v>0</v>
      </c>
      <c r="I36" s="3">
        <f t="shared" si="9"/>
        <v>0.3125</v>
      </c>
      <c r="J36" s="3">
        <f t="shared" si="10"/>
        <v>0.1875</v>
      </c>
      <c r="K36" s="3"/>
      <c r="L36" s="60">
        <f t="shared" si="4"/>
        <v>375.07625000000002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61">
        <f t="shared" si="5"/>
        <v>79.100000000000037</v>
      </c>
      <c r="T36" s="40">
        <v>0</v>
      </c>
      <c r="U36" s="40">
        <v>0</v>
      </c>
      <c r="V36" s="40">
        <v>0</v>
      </c>
      <c r="W36" s="40">
        <v>0</v>
      </c>
      <c r="X36" s="67">
        <f t="shared" si="7"/>
        <v>157</v>
      </c>
      <c r="Z36" s="71"/>
      <c r="AA36" s="71"/>
      <c r="AB36" s="67" t="str">
        <f t="shared" si="3"/>
        <v/>
      </c>
      <c r="AD36" s="121"/>
      <c r="AE36" s="121"/>
    </row>
    <row r="37" spans="1:31" x14ac:dyDescent="0.25">
      <c r="A37" s="2" t="s">
        <v>674</v>
      </c>
      <c r="B37" s="7">
        <v>0.16666666666666666</v>
      </c>
      <c r="C37" s="2">
        <v>0.5</v>
      </c>
      <c r="D37" s="10" t="s">
        <v>673</v>
      </c>
      <c r="E37" s="40">
        <v>10</v>
      </c>
      <c r="F37" s="40">
        <v>2.5</v>
      </c>
      <c r="G37" s="40">
        <v>1.5</v>
      </c>
      <c r="H37" s="3">
        <f t="shared" si="8"/>
        <v>0.20833333333333334</v>
      </c>
      <c r="I37" s="3">
        <f t="shared" si="9"/>
        <v>5.2083333333333336E-2</v>
      </c>
      <c r="J37" s="3">
        <f t="shared" si="10"/>
        <v>3.125E-2</v>
      </c>
      <c r="K37" s="3"/>
      <c r="L37" s="60">
        <f t="shared" si="4"/>
        <v>374.78458333333333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61">
        <f t="shared" si="5"/>
        <v>79.100000000000037</v>
      </c>
      <c r="T37" s="40">
        <v>0</v>
      </c>
      <c r="U37" s="40">
        <v>0</v>
      </c>
      <c r="V37" s="40">
        <v>0</v>
      </c>
      <c r="W37" s="40">
        <v>0</v>
      </c>
      <c r="X37" s="67">
        <f t="shared" si="7"/>
        <v>157</v>
      </c>
      <c r="Z37" s="71"/>
      <c r="AA37" s="71"/>
      <c r="AB37" s="67" t="str">
        <f t="shared" si="3"/>
        <v/>
      </c>
      <c r="AD37" s="121"/>
      <c r="AE37" s="121"/>
    </row>
    <row r="38" spans="1:31" x14ac:dyDescent="0.25">
      <c r="A38" s="2" t="s">
        <v>674</v>
      </c>
      <c r="B38" s="65">
        <v>0.33333333333333331</v>
      </c>
      <c r="C38" s="2">
        <v>4.7</v>
      </c>
      <c r="D38" s="10" t="s">
        <v>665</v>
      </c>
      <c r="E38" s="40">
        <v>25</v>
      </c>
      <c r="F38" s="40">
        <v>2.5</v>
      </c>
      <c r="G38" s="40">
        <v>1.5</v>
      </c>
      <c r="H38" s="3">
        <f t="shared" si="8"/>
        <v>4.8958333333333339</v>
      </c>
      <c r="I38" s="3">
        <f t="shared" si="9"/>
        <v>0.48958333333333337</v>
      </c>
      <c r="J38" s="3">
        <f t="shared" si="10"/>
        <v>0.29375000000000001</v>
      </c>
      <c r="K38" s="3"/>
      <c r="L38" s="60">
        <f t="shared" si="4"/>
        <v>369.10541666666666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61">
        <f t="shared" si="5"/>
        <v>79.100000000000037</v>
      </c>
      <c r="T38" s="40">
        <v>0</v>
      </c>
      <c r="U38" s="40">
        <v>0</v>
      </c>
      <c r="V38" s="40">
        <v>2</v>
      </c>
      <c r="W38" s="40">
        <v>0</v>
      </c>
      <c r="X38" s="67">
        <f t="shared" si="7"/>
        <v>155</v>
      </c>
      <c r="Z38" s="71"/>
      <c r="AA38" s="71"/>
      <c r="AB38" s="67" t="str">
        <f t="shared" si="3"/>
        <v/>
      </c>
      <c r="AD38" s="121"/>
      <c r="AE38" s="121"/>
    </row>
    <row r="39" spans="1:31" x14ac:dyDescent="0.25">
      <c r="A39" s="2" t="s">
        <v>674</v>
      </c>
      <c r="B39" s="7">
        <v>0.38750000000000001</v>
      </c>
      <c r="C39" s="2">
        <v>1.2</v>
      </c>
      <c r="D39" s="10" t="s">
        <v>675</v>
      </c>
      <c r="E39" s="40">
        <v>25</v>
      </c>
      <c r="F39" s="40">
        <v>2.5</v>
      </c>
      <c r="G39" s="40">
        <v>1.5</v>
      </c>
      <c r="H39" s="3">
        <f t="shared" si="8"/>
        <v>1.25</v>
      </c>
      <c r="I39" s="3">
        <f t="shared" si="9"/>
        <v>0.125</v>
      </c>
      <c r="J39" s="3">
        <f t="shared" si="10"/>
        <v>7.4999999999999997E-2</v>
      </c>
      <c r="K39" s="3"/>
      <c r="L39" s="60">
        <f t="shared" si="4"/>
        <v>367.65541666666667</v>
      </c>
      <c r="M39" s="40">
        <v>0</v>
      </c>
      <c r="N39" s="40">
        <v>0</v>
      </c>
      <c r="O39" s="40">
        <v>0.1</v>
      </c>
      <c r="P39" s="40">
        <v>0</v>
      </c>
      <c r="Q39" s="40">
        <v>0</v>
      </c>
      <c r="R39" s="40">
        <v>0</v>
      </c>
      <c r="S39" s="61">
        <f t="shared" si="5"/>
        <v>79.000000000000043</v>
      </c>
      <c r="T39" s="40">
        <v>0</v>
      </c>
      <c r="U39" s="40">
        <v>0</v>
      </c>
      <c r="V39" s="40">
        <v>1</v>
      </c>
      <c r="W39" s="40">
        <v>0</v>
      </c>
      <c r="X39" s="67">
        <f t="shared" si="7"/>
        <v>154</v>
      </c>
      <c r="Z39" s="71"/>
      <c r="AA39" s="71"/>
      <c r="AB39" s="67" t="str">
        <f t="shared" si="3"/>
        <v/>
      </c>
      <c r="AD39" s="121">
        <v>12.1</v>
      </c>
      <c r="AE39" s="121" t="s">
        <v>1301</v>
      </c>
    </row>
    <row r="40" spans="1:31" x14ac:dyDescent="0.25">
      <c r="A40" s="2" t="s">
        <v>674</v>
      </c>
      <c r="B40" s="7">
        <v>0.4375</v>
      </c>
      <c r="C40" s="2">
        <v>1.1000000000000001</v>
      </c>
      <c r="D40" s="10" t="s">
        <v>640</v>
      </c>
      <c r="E40" s="40">
        <v>10</v>
      </c>
      <c r="F40" s="40">
        <v>2.5</v>
      </c>
      <c r="G40" s="40">
        <v>1.5</v>
      </c>
      <c r="H40" s="3">
        <f t="shared" si="8"/>
        <v>0.45833333333333337</v>
      </c>
      <c r="I40" s="3">
        <f t="shared" si="9"/>
        <v>0.11458333333333334</v>
      </c>
      <c r="J40" s="3">
        <f t="shared" si="10"/>
        <v>6.8750000000000006E-2</v>
      </c>
      <c r="K40" s="3"/>
      <c r="L40" s="60">
        <f t="shared" si="4"/>
        <v>367.01375000000002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61">
        <f>IF(C40="","",(S39+R40)-(M40+N40+O40+P40+Q40))</f>
        <v>79.000000000000043</v>
      </c>
      <c r="T40" s="40">
        <v>0</v>
      </c>
      <c r="U40" s="40">
        <v>0</v>
      </c>
      <c r="V40" s="40">
        <v>0</v>
      </c>
      <c r="W40" s="40">
        <v>0</v>
      </c>
      <c r="X40" s="67">
        <f t="shared" si="7"/>
        <v>154</v>
      </c>
      <c r="Z40" s="71"/>
      <c r="AA40" s="71"/>
      <c r="AB40" s="67" t="str">
        <f t="shared" si="3"/>
        <v/>
      </c>
      <c r="AD40" s="121"/>
      <c r="AE40" s="121"/>
    </row>
    <row r="41" spans="1:31" x14ac:dyDescent="0.25">
      <c r="A41" s="2" t="s">
        <v>674</v>
      </c>
      <c r="B41" s="7">
        <v>0.57916666666666672</v>
      </c>
      <c r="C41" s="2">
        <v>3.2</v>
      </c>
      <c r="D41" s="10" t="s">
        <v>660</v>
      </c>
      <c r="E41" s="40">
        <v>0</v>
      </c>
      <c r="F41" s="40">
        <v>2.5</v>
      </c>
      <c r="G41" s="40">
        <v>1.5</v>
      </c>
      <c r="H41" s="3">
        <f t="shared" si="8"/>
        <v>0</v>
      </c>
      <c r="I41" s="3">
        <f t="shared" si="9"/>
        <v>0.33333333333333337</v>
      </c>
      <c r="J41" s="3">
        <f t="shared" si="10"/>
        <v>0.2</v>
      </c>
      <c r="K41" s="3"/>
      <c r="L41" s="60">
        <f t="shared" si="4"/>
        <v>366.48041666666666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61">
        <f t="shared" ref="S41:S102" si="11">IF(C41="","",(S40+R41)-(M41+N41+O41+P41+Q41))</f>
        <v>79.000000000000043</v>
      </c>
      <c r="T41" s="40">
        <v>0</v>
      </c>
      <c r="U41" s="40">
        <v>0</v>
      </c>
      <c r="V41" s="40">
        <v>1</v>
      </c>
      <c r="W41" s="40">
        <v>0</v>
      </c>
      <c r="X41" s="67">
        <f t="shared" si="7"/>
        <v>153</v>
      </c>
      <c r="Z41" s="71"/>
      <c r="AA41" s="71"/>
      <c r="AB41" s="67" t="str">
        <f t="shared" si="3"/>
        <v/>
      </c>
      <c r="AD41" s="121"/>
      <c r="AE41" s="121"/>
    </row>
    <row r="42" spans="1:31" x14ac:dyDescent="0.25">
      <c r="A42" s="2" t="s">
        <v>674</v>
      </c>
      <c r="B42" s="7">
        <v>0.65</v>
      </c>
      <c r="C42" s="2">
        <v>1.5</v>
      </c>
      <c r="D42" s="10" t="s">
        <v>676</v>
      </c>
      <c r="E42" s="40">
        <v>10</v>
      </c>
      <c r="F42" s="40">
        <v>2.5</v>
      </c>
      <c r="G42" s="40">
        <v>1.5</v>
      </c>
      <c r="H42" s="3">
        <f t="shared" si="8"/>
        <v>0.625</v>
      </c>
      <c r="I42" s="3">
        <f t="shared" si="9"/>
        <v>0.15625</v>
      </c>
      <c r="J42" s="3">
        <f t="shared" si="10"/>
        <v>9.375E-2</v>
      </c>
      <c r="K42" s="3"/>
      <c r="L42" s="60">
        <f t="shared" si="4"/>
        <v>365.60541666666666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61">
        <f t="shared" si="11"/>
        <v>79.000000000000043</v>
      </c>
      <c r="T42" s="40">
        <v>0</v>
      </c>
      <c r="U42" s="40">
        <v>0</v>
      </c>
      <c r="V42" s="40">
        <v>0</v>
      </c>
      <c r="W42" s="40">
        <v>0</v>
      </c>
      <c r="X42" s="67">
        <f t="shared" si="7"/>
        <v>153</v>
      </c>
      <c r="Z42" s="71"/>
      <c r="AA42" s="71"/>
      <c r="AB42" s="67" t="str">
        <f t="shared" si="3"/>
        <v/>
      </c>
      <c r="AD42" s="121"/>
      <c r="AE42" s="121"/>
    </row>
    <row r="43" spans="1:31" x14ac:dyDescent="0.25">
      <c r="A43" s="2" t="s">
        <v>677</v>
      </c>
      <c r="B43" s="7">
        <v>0.13749999999999998</v>
      </c>
      <c r="C43" s="2">
        <v>11.8</v>
      </c>
      <c r="D43" s="10" t="s">
        <v>628</v>
      </c>
      <c r="E43" s="40">
        <v>0</v>
      </c>
      <c r="F43" s="40">
        <v>2.5</v>
      </c>
      <c r="G43" s="40">
        <v>1.5</v>
      </c>
      <c r="H43" s="3">
        <f t="shared" si="8"/>
        <v>0</v>
      </c>
      <c r="I43" s="3">
        <f t="shared" si="9"/>
        <v>1.2291666666666667</v>
      </c>
      <c r="J43" s="3">
        <f t="shared" si="10"/>
        <v>0.73750000000000004</v>
      </c>
      <c r="K43" s="3"/>
      <c r="L43" s="60">
        <f t="shared" si="4"/>
        <v>363.63875000000002</v>
      </c>
      <c r="M43" s="40">
        <v>0</v>
      </c>
      <c r="N43" s="40">
        <v>0</v>
      </c>
      <c r="O43" s="40">
        <v>0</v>
      </c>
      <c r="P43" s="40">
        <v>0</v>
      </c>
      <c r="Q43" s="40">
        <v>3</v>
      </c>
      <c r="R43" s="40">
        <v>0</v>
      </c>
      <c r="S43" s="61">
        <f t="shared" si="11"/>
        <v>76.000000000000043</v>
      </c>
      <c r="T43" s="40">
        <v>0</v>
      </c>
      <c r="U43" s="40">
        <v>0</v>
      </c>
      <c r="V43" s="40">
        <v>3</v>
      </c>
      <c r="W43" s="40">
        <v>0</v>
      </c>
      <c r="X43" s="67">
        <f t="shared" si="7"/>
        <v>150</v>
      </c>
      <c r="Z43" s="71"/>
      <c r="AA43" s="71"/>
      <c r="AB43" s="67" t="str">
        <f t="shared" si="3"/>
        <v/>
      </c>
      <c r="AD43" s="121"/>
      <c r="AE43" s="121"/>
    </row>
    <row r="44" spans="1:31" x14ac:dyDescent="0.25">
      <c r="A44" s="19" t="s">
        <v>677</v>
      </c>
      <c r="B44" s="7">
        <v>0.29583333333333334</v>
      </c>
      <c r="C44" s="2">
        <v>4.0999999999999996</v>
      </c>
      <c r="D44" s="10" t="s">
        <v>660</v>
      </c>
      <c r="E44" s="40">
        <v>0</v>
      </c>
      <c r="F44" s="40">
        <v>2.5</v>
      </c>
      <c r="G44" s="40">
        <v>1.5</v>
      </c>
      <c r="H44" s="3">
        <f t="shared" si="8"/>
        <v>0</v>
      </c>
      <c r="I44" s="3">
        <f t="shared" si="9"/>
        <v>0.42708333333333331</v>
      </c>
      <c r="J44" s="3">
        <f t="shared" si="10"/>
        <v>0.25624999999999998</v>
      </c>
      <c r="K44" s="3"/>
      <c r="L44" s="60">
        <f t="shared" si="4"/>
        <v>362.95541666666668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61">
        <f t="shared" si="11"/>
        <v>76.000000000000043</v>
      </c>
      <c r="T44" s="40">
        <v>0</v>
      </c>
      <c r="U44" s="40">
        <v>0</v>
      </c>
      <c r="V44" s="40">
        <v>1</v>
      </c>
      <c r="W44" s="40">
        <v>0</v>
      </c>
      <c r="X44" s="67">
        <f t="shared" si="7"/>
        <v>149</v>
      </c>
      <c r="Z44" s="71"/>
      <c r="AA44" s="71"/>
      <c r="AB44" s="67" t="str">
        <f t="shared" si="3"/>
        <v/>
      </c>
      <c r="AD44" s="121"/>
      <c r="AE44" s="121"/>
    </row>
    <row r="45" spans="1:31" x14ac:dyDescent="0.25">
      <c r="A45" s="2" t="s">
        <v>677</v>
      </c>
      <c r="B45" s="65">
        <v>0.33333333333333331</v>
      </c>
      <c r="C45" s="2">
        <v>1.1000000000000001</v>
      </c>
      <c r="D45" s="10" t="s">
        <v>658</v>
      </c>
      <c r="E45" s="40">
        <v>10</v>
      </c>
      <c r="F45" s="40">
        <v>2.5</v>
      </c>
      <c r="G45" s="40">
        <v>1.5</v>
      </c>
      <c r="H45" s="3">
        <f t="shared" si="8"/>
        <v>0.45833333333333337</v>
      </c>
      <c r="I45" s="3">
        <f t="shared" si="9"/>
        <v>0.11458333333333334</v>
      </c>
      <c r="J45" s="3">
        <f t="shared" si="10"/>
        <v>6.8750000000000006E-2</v>
      </c>
      <c r="K45" s="3"/>
      <c r="L45" s="60">
        <f t="shared" si="4"/>
        <v>362.31375000000003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  <c r="S45" s="61">
        <f t="shared" si="11"/>
        <v>76.000000000000043</v>
      </c>
      <c r="T45" s="40">
        <v>0</v>
      </c>
      <c r="U45" s="40">
        <v>0</v>
      </c>
      <c r="V45" s="40">
        <v>0</v>
      </c>
      <c r="W45" s="40">
        <v>0</v>
      </c>
      <c r="X45" s="67">
        <f t="shared" si="7"/>
        <v>149</v>
      </c>
      <c r="Z45" s="71"/>
      <c r="AA45" s="71"/>
      <c r="AB45" s="67" t="str">
        <f t="shared" si="3"/>
        <v/>
      </c>
      <c r="AD45" s="121"/>
      <c r="AE45" s="121"/>
    </row>
    <row r="46" spans="1:31" x14ac:dyDescent="0.25">
      <c r="A46" s="2" t="s">
        <v>678</v>
      </c>
      <c r="B46" s="65">
        <v>0.33333333333333331</v>
      </c>
      <c r="C46" s="2">
        <v>24</v>
      </c>
      <c r="D46" s="10" t="s">
        <v>665</v>
      </c>
      <c r="E46" s="40">
        <v>25</v>
      </c>
      <c r="F46" s="40">
        <v>2.5</v>
      </c>
      <c r="G46" s="40">
        <v>1.5</v>
      </c>
      <c r="H46" s="3">
        <f t="shared" si="8"/>
        <v>25</v>
      </c>
      <c r="I46" s="3">
        <f t="shared" si="9"/>
        <v>2.5</v>
      </c>
      <c r="J46" s="3">
        <f t="shared" si="10"/>
        <v>1.5</v>
      </c>
      <c r="K46" s="3"/>
      <c r="L46" s="60">
        <f t="shared" si="4"/>
        <v>333.31375000000003</v>
      </c>
      <c r="M46" s="40">
        <v>0</v>
      </c>
      <c r="N46" s="40">
        <v>0</v>
      </c>
      <c r="O46" s="40">
        <v>0.1</v>
      </c>
      <c r="P46" s="40">
        <v>0</v>
      </c>
      <c r="Q46" s="40">
        <v>0</v>
      </c>
      <c r="R46" s="40">
        <v>0</v>
      </c>
      <c r="S46" s="61">
        <f t="shared" si="11"/>
        <v>75.900000000000048</v>
      </c>
      <c r="T46" s="40">
        <v>0</v>
      </c>
      <c r="U46" s="40">
        <v>0</v>
      </c>
      <c r="V46" s="40">
        <v>5</v>
      </c>
      <c r="W46" s="40">
        <v>0</v>
      </c>
      <c r="X46" s="67">
        <f t="shared" si="7"/>
        <v>144</v>
      </c>
      <c r="Z46" s="71"/>
      <c r="AA46" s="71"/>
      <c r="AB46" s="67" t="str">
        <f t="shared" si="3"/>
        <v/>
      </c>
      <c r="AD46" s="121"/>
      <c r="AE46" s="121"/>
    </row>
    <row r="47" spans="1:31" x14ac:dyDescent="0.25">
      <c r="A47" s="2" t="s">
        <v>678</v>
      </c>
      <c r="B47" s="7">
        <v>0.41666666666666669</v>
      </c>
      <c r="C47" s="2">
        <v>2</v>
      </c>
      <c r="D47" s="10" t="s">
        <v>679</v>
      </c>
      <c r="E47" s="40">
        <v>25</v>
      </c>
      <c r="F47" s="40">
        <v>2.5</v>
      </c>
      <c r="G47" s="40">
        <v>1.5</v>
      </c>
      <c r="H47" s="3">
        <f t="shared" si="8"/>
        <v>2.0833333333333335</v>
      </c>
      <c r="I47" s="3">
        <f t="shared" si="9"/>
        <v>0.20833333333333334</v>
      </c>
      <c r="J47" s="3">
        <f t="shared" si="10"/>
        <v>0.125</v>
      </c>
      <c r="K47" s="3"/>
      <c r="L47" s="60">
        <f t="shared" si="4"/>
        <v>330.89708333333334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61">
        <f t="shared" si="11"/>
        <v>75.900000000000048</v>
      </c>
      <c r="T47" s="40">
        <v>0</v>
      </c>
      <c r="U47" s="40">
        <v>0</v>
      </c>
      <c r="V47" s="40">
        <v>1</v>
      </c>
      <c r="W47" s="40">
        <v>0</v>
      </c>
      <c r="X47" s="67">
        <f t="shared" si="7"/>
        <v>143</v>
      </c>
      <c r="Z47" s="71"/>
      <c r="AA47" s="71"/>
      <c r="AB47" s="67" t="str">
        <f t="shared" si="3"/>
        <v/>
      </c>
      <c r="AD47" s="121">
        <v>11.9</v>
      </c>
      <c r="AE47" s="121" t="s">
        <v>1295</v>
      </c>
    </row>
    <row r="48" spans="1:31" x14ac:dyDescent="0.25">
      <c r="A48" s="2" t="s">
        <v>678</v>
      </c>
      <c r="B48" s="7">
        <v>0.47916666666666669</v>
      </c>
      <c r="C48" s="2">
        <v>1.5</v>
      </c>
      <c r="D48" s="10" t="s">
        <v>667</v>
      </c>
      <c r="E48" s="40">
        <v>10</v>
      </c>
      <c r="F48" s="40">
        <v>2.5</v>
      </c>
      <c r="G48" s="40">
        <v>1.5</v>
      </c>
      <c r="H48" s="3">
        <f t="shared" si="8"/>
        <v>0.625</v>
      </c>
      <c r="I48" s="3">
        <f t="shared" si="9"/>
        <v>0.15625</v>
      </c>
      <c r="J48" s="3">
        <f t="shared" si="10"/>
        <v>9.375E-2</v>
      </c>
      <c r="K48" s="3"/>
      <c r="L48" s="60">
        <f t="shared" si="4"/>
        <v>330.02208333333334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61">
        <f t="shared" si="11"/>
        <v>75.900000000000048</v>
      </c>
      <c r="T48" s="40">
        <v>0</v>
      </c>
      <c r="U48" s="40">
        <v>0</v>
      </c>
      <c r="V48" s="40">
        <v>0</v>
      </c>
      <c r="W48" s="40">
        <v>0</v>
      </c>
      <c r="X48" s="67">
        <f t="shared" si="7"/>
        <v>143</v>
      </c>
      <c r="Z48" s="71"/>
      <c r="AA48" s="71"/>
      <c r="AB48" s="67" t="str">
        <f t="shared" si="3"/>
        <v/>
      </c>
      <c r="AD48" s="121"/>
      <c r="AE48" s="121"/>
    </row>
    <row r="49" spans="1:31" x14ac:dyDescent="0.25">
      <c r="A49" s="2" t="s">
        <v>681</v>
      </c>
      <c r="B49" s="7">
        <v>0.10833333333333334</v>
      </c>
      <c r="C49" s="2">
        <v>15</v>
      </c>
      <c r="D49" s="10" t="s">
        <v>625</v>
      </c>
      <c r="E49" s="40">
        <v>0</v>
      </c>
      <c r="F49" s="40">
        <v>2.5</v>
      </c>
      <c r="G49" s="40">
        <v>1.5</v>
      </c>
      <c r="H49" s="3">
        <f t="shared" si="8"/>
        <v>0</v>
      </c>
      <c r="I49" s="3">
        <f t="shared" si="9"/>
        <v>1.5625</v>
      </c>
      <c r="J49" s="3">
        <f t="shared" si="10"/>
        <v>0.9375</v>
      </c>
      <c r="K49" s="3"/>
      <c r="L49" s="60">
        <f t="shared" si="4"/>
        <v>327.52208333333334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61">
        <f t="shared" si="11"/>
        <v>75.900000000000048</v>
      </c>
      <c r="T49" s="40">
        <v>0</v>
      </c>
      <c r="U49" s="40">
        <v>0</v>
      </c>
      <c r="V49" s="40">
        <v>2</v>
      </c>
      <c r="W49" s="40">
        <v>0</v>
      </c>
      <c r="X49" s="67">
        <f t="shared" si="7"/>
        <v>141</v>
      </c>
      <c r="Z49" s="71"/>
      <c r="AA49" s="71"/>
      <c r="AB49" s="67" t="str">
        <f t="shared" si="3"/>
        <v/>
      </c>
      <c r="AD49" s="121"/>
      <c r="AE49" s="121"/>
    </row>
    <row r="50" spans="1:31" x14ac:dyDescent="0.25">
      <c r="A50" s="2" t="s">
        <v>681</v>
      </c>
      <c r="B50" s="7">
        <v>0.19166666666666665</v>
      </c>
      <c r="C50" s="2">
        <v>2</v>
      </c>
      <c r="D50" s="10" t="s">
        <v>680</v>
      </c>
      <c r="E50" s="40">
        <v>10</v>
      </c>
      <c r="F50" s="40">
        <v>2.5</v>
      </c>
      <c r="G50" s="40">
        <v>1.5</v>
      </c>
      <c r="H50" s="3">
        <f t="shared" si="8"/>
        <v>0.83333333333333337</v>
      </c>
      <c r="I50" s="3">
        <f t="shared" si="9"/>
        <v>0.20833333333333334</v>
      </c>
      <c r="J50" s="3">
        <f t="shared" si="10"/>
        <v>0.125</v>
      </c>
      <c r="K50" s="3"/>
      <c r="L50" s="60">
        <f t="shared" si="4"/>
        <v>326.35541666666666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61">
        <f t="shared" si="11"/>
        <v>75.900000000000048</v>
      </c>
      <c r="T50" s="40">
        <v>0</v>
      </c>
      <c r="U50" s="40">
        <v>0</v>
      </c>
      <c r="V50" s="40">
        <v>1</v>
      </c>
      <c r="W50" s="40">
        <v>0</v>
      </c>
      <c r="X50" s="67">
        <f t="shared" si="7"/>
        <v>140</v>
      </c>
      <c r="Z50" s="71"/>
      <c r="AA50" s="71"/>
      <c r="AB50" s="67" t="str">
        <f t="shared" si="3"/>
        <v/>
      </c>
      <c r="AD50" s="121"/>
      <c r="AE50" s="121"/>
    </row>
    <row r="51" spans="1:31" x14ac:dyDescent="0.25">
      <c r="A51" s="2" t="s">
        <v>681</v>
      </c>
      <c r="B51" s="65">
        <v>0.33333333333333331</v>
      </c>
      <c r="C51" s="2">
        <v>3.5</v>
      </c>
      <c r="D51" s="10" t="s">
        <v>672</v>
      </c>
      <c r="E51" s="40">
        <v>0</v>
      </c>
      <c r="F51" s="40">
        <v>2.5</v>
      </c>
      <c r="G51" s="40">
        <v>1.5</v>
      </c>
      <c r="H51" s="3">
        <f t="shared" si="8"/>
        <v>0</v>
      </c>
      <c r="I51" s="3">
        <f t="shared" si="9"/>
        <v>0.36458333333333337</v>
      </c>
      <c r="J51" s="3">
        <f t="shared" si="10"/>
        <v>0.21875</v>
      </c>
      <c r="K51" s="3"/>
      <c r="L51" s="60">
        <f t="shared" si="4"/>
        <v>325.77208333333334</v>
      </c>
      <c r="M51" s="40">
        <v>0</v>
      </c>
      <c r="N51" s="40">
        <v>0</v>
      </c>
      <c r="O51" s="40">
        <v>0</v>
      </c>
      <c r="P51" s="40">
        <v>0</v>
      </c>
      <c r="Q51" s="40">
        <v>1</v>
      </c>
      <c r="R51" s="40">
        <v>0</v>
      </c>
      <c r="S51" s="61">
        <f t="shared" si="11"/>
        <v>74.900000000000048</v>
      </c>
      <c r="T51" s="40">
        <v>0</v>
      </c>
      <c r="U51" s="40">
        <v>0</v>
      </c>
      <c r="V51" s="40">
        <v>1</v>
      </c>
      <c r="W51" s="40">
        <v>0</v>
      </c>
      <c r="X51" s="67">
        <f t="shared" si="7"/>
        <v>139</v>
      </c>
      <c r="Z51" s="71"/>
      <c r="AA51" s="71"/>
      <c r="AB51" s="67" t="str">
        <f t="shared" si="3"/>
        <v/>
      </c>
      <c r="AD51" s="121"/>
      <c r="AE51" s="121"/>
    </row>
    <row r="52" spans="1:31" x14ac:dyDescent="0.25">
      <c r="A52" s="2" t="s">
        <v>681</v>
      </c>
      <c r="B52" s="7">
        <v>0.54583333333333328</v>
      </c>
      <c r="C52" s="2">
        <v>5</v>
      </c>
      <c r="D52" s="10" t="s">
        <v>628</v>
      </c>
      <c r="E52" s="40">
        <v>0</v>
      </c>
      <c r="F52" s="40">
        <v>2.5</v>
      </c>
      <c r="G52" s="40">
        <v>1.5</v>
      </c>
      <c r="H52" s="3">
        <f t="shared" si="8"/>
        <v>0</v>
      </c>
      <c r="I52" s="3">
        <f t="shared" si="9"/>
        <v>0.52083333333333337</v>
      </c>
      <c r="J52" s="3">
        <f t="shared" si="10"/>
        <v>0.3125</v>
      </c>
      <c r="K52" s="3"/>
      <c r="L52" s="60">
        <f t="shared" si="4"/>
        <v>324.93875000000003</v>
      </c>
      <c r="M52" s="40">
        <v>0</v>
      </c>
      <c r="N52" s="40">
        <v>0</v>
      </c>
      <c r="O52" s="40">
        <v>0</v>
      </c>
      <c r="P52" s="40">
        <v>0</v>
      </c>
      <c r="Q52" s="40">
        <v>1.3</v>
      </c>
      <c r="R52" s="40">
        <v>0</v>
      </c>
      <c r="S52" s="61">
        <f t="shared" si="11"/>
        <v>73.600000000000051</v>
      </c>
      <c r="T52" s="40">
        <v>0</v>
      </c>
      <c r="U52" s="40">
        <v>0</v>
      </c>
      <c r="V52" s="40">
        <v>1</v>
      </c>
      <c r="W52" s="40">
        <v>0</v>
      </c>
      <c r="X52" s="67">
        <f t="shared" si="7"/>
        <v>138</v>
      </c>
      <c r="Z52" s="71"/>
      <c r="AA52" s="71"/>
      <c r="AB52" s="67" t="str">
        <f t="shared" si="3"/>
        <v/>
      </c>
      <c r="AD52" s="121"/>
      <c r="AE52" s="121"/>
    </row>
    <row r="53" spans="1:31" x14ac:dyDescent="0.25">
      <c r="A53" s="2" t="s">
        <v>681</v>
      </c>
      <c r="B53" s="7">
        <v>0.64166666666666672</v>
      </c>
      <c r="C53" s="2">
        <v>2.4</v>
      </c>
      <c r="D53" s="10" t="s">
        <v>660</v>
      </c>
      <c r="E53" s="40">
        <v>0</v>
      </c>
      <c r="F53" s="40">
        <v>2.5</v>
      </c>
      <c r="G53" s="40">
        <v>1.5</v>
      </c>
      <c r="H53" s="3">
        <f t="shared" si="8"/>
        <v>0</v>
      </c>
      <c r="I53" s="3">
        <f t="shared" si="9"/>
        <v>0.25</v>
      </c>
      <c r="J53" s="3">
        <f t="shared" si="10"/>
        <v>0.15</v>
      </c>
      <c r="K53" s="3"/>
      <c r="L53" s="60">
        <f t="shared" si="4"/>
        <v>324.53875000000005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 s="61">
        <f t="shared" si="11"/>
        <v>73.600000000000051</v>
      </c>
      <c r="T53" s="40">
        <v>0</v>
      </c>
      <c r="U53" s="40">
        <v>0</v>
      </c>
      <c r="V53" s="40">
        <v>1</v>
      </c>
      <c r="W53" s="40">
        <v>0</v>
      </c>
      <c r="X53" s="67">
        <f t="shared" si="7"/>
        <v>137</v>
      </c>
      <c r="Z53" s="71"/>
      <c r="AA53" s="71"/>
      <c r="AB53" s="67" t="str">
        <f t="shared" si="3"/>
        <v/>
      </c>
      <c r="AD53" s="121"/>
      <c r="AE53" s="121"/>
    </row>
    <row r="54" spans="1:31" x14ac:dyDescent="0.25">
      <c r="A54" s="2" t="s">
        <v>681</v>
      </c>
      <c r="B54" s="7">
        <v>0.6875</v>
      </c>
      <c r="C54" s="2">
        <v>1</v>
      </c>
      <c r="D54" s="10" t="s">
        <v>658</v>
      </c>
      <c r="E54" s="40">
        <v>10</v>
      </c>
      <c r="F54" s="40">
        <v>2.5</v>
      </c>
      <c r="G54" s="40">
        <v>1.5</v>
      </c>
      <c r="H54" s="3">
        <f t="shared" si="8"/>
        <v>0.41666666666666669</v>
      </c>
      <c r="I54" s="3">
        <f t="shared" si="9"/>
        <v>0.10416666666666667</v>
      </c>
      <c r="J54" s="3">
        <f t="shared" si="10"/>
        <v>6.25E-2</v>
      </c>
      <c r="K54" s="3"/>
      <c r="L54" s="60">
        <f t="shared" si="4"/>
        <v>323.95541666666674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61">
        <f t="shared" si="11"/>
        <v>73.600000000000051</v>
      </c>
      <c r="T54" s="40">
        <v>0</v>
      </c>
      <c r="U54" s="40">
        <v>0</v>
      </c>
      <c r="V54" s="40">
        <v>0</v>
      </c>
      <c r="W54" s="40">
        <v>0</v>
      </c>
      <c r="X54" s="67">
        <f t="shared" si="7"/>
        <v>137</v>
      </c>
      <c r="Z54" s="71"/>
      <c r="AA54" s="71"/>
      <c r="AB54" s="67" t="str">
        <f t="shared" si="3"/>
        <v/>
      </c>
      <c r="AD54" s="121"/>
      <c r="AE54" s="121"/>
    </row>
    <row r="55" spans="1:31" x14ac:dyDescent="0.25">
      <c r="A55" s="2" t="s">
        <v>682</v>
      </c>
      <c r="B55" s="7">
        <v>2.9166666666666664E-2</v>
      </c>
      <c r="C55" s="2">
        <v>11.5</v>
      </c>
      <c r="D55" s="10" t="s">
        <v>645</v>
      </c>
      <c r="E55" s="40">
        <v>25</v>
      </c>
      <c r="F55" s="40">
        <v>2.5</v>
      </c>
      <c r="G55" s="40">
        <v>1.5</v>
      </c>
      <c r="H55" s="3">
        <f t="shared" si="8"/>
        <v>11.979166666666668</v>
      </c>
      <c r="I55" s="3">
        <f t="shared" si="9"/>
        <v>1.1979166666666667</v>
      </c>
      <c r="J55" s="3">
        <f t="shared" si="10"/>
        <v>0.71875</v>
      </c>
      <c r="K55" s="3"/>
      <c r="L55" s="60">
        <f t="shared" si="4"/>
        <v>310.05958333333342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  <c r="R55" s="40">
        <v>0</v>
      </c>
      <c r="S55" s="61">
        <f t="shared" si="11"/>
        <v>73.600000000000051</v>
      </c>
      <c r="T55" s="40">
        <v>0</v>
      </c>
      <c r="U55" s="40">
        <v>0</v>
      </c>
      <c r="V55" s="40">
        <v>2</v>
      </c>
      <c r="W55" s="40">
        <v>0</v>
      </c>
      <c r="X55" s="67">
        <f t="shared" si="7"/>
        <v>135</v>
      </c>
      <c r="Z55" s="71"/>
      <c r="AA55" s="71"/>
      <c r="AB55" s="67" t="str">
        <f t="shared" si="3"/>
        <v/>
      </c>
      <c r="AD55" s="121">
        <v>12.8</v>
      </c>
      <c r="AE55" s="121" t="s">
        <v>1301</v>
      </c>
    </row>
    <row r="56" spans="1:31" x14ac:dyDescent="0.25">
      <c r="A56" s="2" t="s">
        <v>682</v>
      </c>
      <c r="B56" s="7">
        <v>7.4999999999999997E-2</v>
      </c>
      <c r="C56" s="2">
        <v>1</v>
      </c>
      <c r="D56" s="10" t="s">
        <v>616</v>
      </c>
      <c r="E56" s="40">
        <v>10</v>
      </c>
      <c r="F56" s="40">
        <v>2.5</v>
      </c>
      <c r="G56" s="40">
        <v>1.5</v>
      </c>
      <c r="H56" s="3">
        <f t="shared" si="8"/>
        <v>0.41666666666666669</v>
      </c>
      <c r="I56" s="3">
        <f t="shared" si="9"/>
        <v>0.10416666666666667</v>
      </c>
      <c r="J56" s="3">
        <f t="shared" si="10"/>
        <v>6.25E-2</v>
      </c>
      <c r="K56" s="3"/>
      <c r="L56" s="60">
        <f t="shared" si="4"/>
        <v>309.47625000000011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61">
        <f t="shared" si="11"/>
        <v>73.600000000000051</v>
      </c>
      <c r="T56" s="40">
        <v>0</v>
      </c>
      <c r="U56" s="40">
        <v>0</v>
      </c>
      <c r="V56" s="40">
        <v>0</v>
      </c>
      <c r="W56" s="40">
        <v>0</v>
      </c>
      <c r="X56" s="67">
        <f t="shared" si="7"/>
        <v>135</v>
      </c>
      <c r="Z56" s="71"/>
      <c r="AA56" s="71"/>
      <c r="AB56" s="67" t="str">
        <f t="shared" si="3"/>
        <v/>
      </c>
      <c r="AD56" s="121"/>
      <c r="AE56" s="121"/>
    </row>
    <row r="57" spans="1:31" x14ac:dyDescent="0.25">
      <c r="A57" s="2" t="s">
        <v>682</v>
      </c>
      <c r="B57" s="65">
        <v>0.33333333333333331</v>
      </c>
      <c r="C57" s="2">
        <v>3.1</v>
      </c>
      <c r="D57" s="10" t="s">
        <v>684</v>
      </c>
      <c r="E57" s="40">
        <v>0</v>
      </c>
      <c r="F57" s="40">
        <v>2.5</v>
      </c>
      <c r="G57" s="40">
        <v>1.2</v>
      </c>
      <c r="H57" s="3">
        <f t="shared" si="8"/>
        <v>0</v>
      </c>
      <c r="I57" s="3">
        <f t="shared" si="9"/>
        <v>0.32291666666666669</v>
      </c>
      <c r="J57" s="3">
        <f t="shared" si="10"/>
        <v>0.155</v>
      </c>
      <c r="K57" s="3"/>
      <c r="L57" s="60">
        <f t="shared" si="4"/>
        <v>308.99833333333345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61">
        <f t="shared" si="11"/>
        <v>73.600000000000051</v>
      </c>
      <c r="T57" s="40">
        <v>0</v>
      </c>
      <c r="U57" s="40">
        <v>0</v>
      </c>
      <c r="V57" s="40">
        <v>1</v>
      </c>
      <c r="W57" s="40">
        <v>0</v>
      </c>
      <c r="X57" s="67">
        <f t="shared" si="7"/>
        <v>134</v>
      </c>
      <c r="Z57" s="71"/>
      <c r="AA57" s="71"/>
      <c r="AB57" s="67" t="str">
        <f t="shared" si="3"/>
        <v/>
      </c>
      <c r="AD57" s="121"/>
      <c r="AE57" s="121"/>
    </row>
    <row r="58" spans="1:31" x14ac:dyDescent="0.25">
      <c r="A58" s="2" t="s">
        <v>682</v>
      </c>
      <c r="B58" s="7">
        <v>0.61111111111111105</v>
      </c>
      <c r="C58" s="2">
        <v>6.4</v>
      </c>
      <c r="D58" s="10" t="s">
        <v>660</v>
      </c>
      <c r="E58" s="40">
        <v>0</v>
      </c>
      <c r="F58" s="40">
        <v>2.5</v>
      </c>
      <c r="G58" s="40">
        <v>1.2</v>
      </c>
      <c r="H58" s="3">
        <f t="shared" si="8"/>
        <v>0</v>
      </c>
      <c r="I58" s="3">
        <f t="shared" si="9"/>
        <v>0.66666666666666674</v>
      </c>
      <c r="J58" s="3">
        <f t="shared" si="10"/>
        <v>0.32</v>
      </c>
      <c r="K58" s="3"/>
      <c r="L58" s="60">
        <f t="shared" si="4"/>
        <v>308.01166666666677</v>
      </c>
      <c r="M58" s="40">
        <v>0</v>
      </c>
      <c r="N58" s="40">
        <v>0</v>
      </c>
      <c r="O58" s="40">
        <v>0.1</v>
      </c>
      <c r="P58" s="40">
        <v>0</v>
      </c>
      <c r="Q58" s="40">
        <v>0</v>
      </c>
      <c r="R58" s="40">
        <v>0</v>
      </c>
      <c r="S58" s="61">
        <f t="shared" si="11"/>
        <v>73.500000000000057</v>
      </c>
      <c r="T58" s="40">
        <v>0</v>
      </c>
      <c r="U58" s="40">
        <v>0</v>
      </c>
      <c r="V58" s="40">
        <v>2</v>
      </c>
      <c r="W58" s="40">
        <v>0</v>
      </c>
      <c r="X58" s="67">
        <f t="shared" si="7"/>
        <v>132</v>
      </c>
      <c r="Z58" s="71"/>
      <c r="AA58" s="71"/>
      <c r="AB58" s="67" t="str">
        <f t="shared" si="3"/>
        <v/>
      </c>
      <c r="AD58" s="121"/>
      <c r="AE58" s="121"/>
    </row>
    <row r="59" spans="1:31" x14ac:dyDescent="0.25">
      <c r="A59" s="2" t="s">
        <v>682</v>
      </c>
      <c r="B59" s="7">
        <v>0.64583333333333337</v>
      </c>
      <c r="C59" s="2">
        <v>0.9</v>
      </c>
      <c r="D59" s="10" t="s">
        <v>683</v>
      </c>
      <c r="E59" s="40">
        <v>10</v>
      </c>
      <c r="F59" s="40">
        <v>2.5</v>
      </c>
      <c r="G59" s="40">
        <v>1.2</v>
      </c>
      <c r="H59" s="3">
        <f t="shared" si="8"/>
        <v>0.375</v>
      </c>
      <c r="I59" s="3">
        <f t="shared" si="9"/>
        <v>9.375E-2</v>
      </c>
      <c r="J59" s="3">
        <f t="shared" si="10"/>
        <v>4.4999999999999998E-2</v>
      </c>
      <c r="K59" s="3"/>
      <c r="L59" s="60">
        <f t="shared" si="4"/>
        <v>307.49791666666675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61">
        <f t="shared" si="11"/>
        <v>73.500000000000057</v>
      </c>
      <c r="T59" s="40">
        <v>0</v>
      </c>
      <c r="U59" s="40">
        <v>0</v>
      </c>
      <c r="V59" s="40">
        <v>1</v>
      </c>
      <c r="W59" s="40">
        <v>0</v>
      </c>
      <c r="X59" s="67">
        <f t="shared" si="7"/>
        <v>131</v>
      </c>
      <c r="Z59" s="71"/>
      <c r="AA59" s="71"/>
      <c r="AB59" s="67" t="str">
        <f t="shared" si="3"/>
        <v/>
      </c>
      <c r="AD59" s="121"/>
      <c r="AE59" s="121"/>
    </row>
    <row r="60" spans="1:31" x14ac:dyDescent="0.25">
      <c r="A60" s="2" t="s">
        <v>685</v>
      </c>
      <c r="B60" s="65">
        <v>0.33333333333333331</v>
      </c>
      <c r="C60" s="2">
        <v>16.7</v>
      </c>
      <c r="D60" s="10" t="s">
        <v>683</v>
      </c>
      <c r="E60" s="40">
        <v>0</v>
      </c>
      <c r="F60" s="40">
        <v>2.5</v>
      </c>
      <c r="G60" s="40">
        <v>1.5</v>
      </c>
      <c r="H60" s="3">
        <f t="shared" si="8"/>
        <v>0</v>
      </c>
      <c r="I60" s="3">
        <f t="shared" si="9"/>
        <v>1.7395833333333333</v>
      </c>
      <c r="J60" s="3">
        <f t="shared" si="10"/>
        <v>1.04375</v>
      </c>
      <c r="K60" s="3"/>
      <c r="L60" s="60">
        <f t="shared" si="4"/>
        <v>304.71458333333339</v>
      </c>
      <c r="M60" s="40">
        <v>0</v>
      </c>
      <c r="N60" s="40">
        <v>0</v>
      </c>
      <c r="O60" s="40">
        <v>0</v>
      </c>
      <c r="P60" s="40">
        <v>0</v>
      </c>
      <c r="Q60" s="43">
        <v>0</v>
      </c>
      <c r="R60" s="40">
        <v>0</v>
      </c>
      <c r="S60" s="61">
        <f t="shared" si="11"/>
        <v>73.500000000000057</v>
      </c>
      <c r="T60" s="40">
        <v>0</v>
      </c>
      <c r="U60" s="40">
        <v>0</v>
      </c>
      <c r="V60" s="40">
        <v>2</v>
      </c>
      <c r="W60" s="40">
        <v>0</v>
      </c>
      <c r="X60" s="67">
        <f t="shared" si="7"/>
        <v>129</v>
      </c>
      <c r="Z60" s="71"/>
      <c r="AA60" s="71"/>
      <c r="AB60" s="67" t="str">
        <f t="shared" si="3"/>
        <v/>
      </c>
      <c r="AD60" s="121"/>
      <c r="AE60" s="121"/>
    </row>
    <row r="61" spans="1:31" x14ac:dyDescent="0.25">
      <c r="A61" s="2" t="s">
        <v>685</v>
      </c>
      <c r="B61" s="7">
        <v>0.36249999999999999</v>
      </c>
      <c r="C61" s="2">
        <v>0.7</v>
      </c>
      <c r="D61" s="10" t="s">
        <v>660</v>
      </c>
      <c r="E61" s="40">
        <v>0</v>
      </c>
      <c r="F61" s="40">
        <v>2.5</v>
      </c>
      <c r="G61" s="40">
        <v>1.5</v>
      </c>
      <c r="H61" s="3">
        <f t="shared" si="8"/>
        <v>0</v>
      </c>
      <c r="I61" s="3">
        <f t="shared" si="9"/>
        <v>7.2916666666666671E-2</v>
      </c>
      <c r="J61" s="3">
        <f t="shared" si="10"/>
        <v>4.3749999999999997E-2</v>
      </c>
      <c r="K61" s="3"/>
      <c r="L61" s="60">
        <f t="shared" si="4"/>
        <v>304.59791666666672</v>
      </c>
      <c r="M61" s="40">
        <v>0</v>
      </c>
      <c r="N61" s="40">
        <v>0</v>
      </c>
      <c r="O61" s="40">
        <v>0.1</v>
      </c>
      <c r="P61" s="40">
        <v>0</v>
      </c>
      <c r="Q61" s="40">
        <v>0</v>
      </c>
      <c r="R61" s="40">
        <v>0</v>
      </c>
      <c r="S61" s="61">
        <f t="shared" si="11"/>
        <v>73.400000000000063</v>
      </c>
      <c r="T61" s="40">
        <v>0</v>
      </c>
      <c r="U61" s="40">
        <v>0</v>
      </c>
      <c r="V61" s="40">
        <v>1</v>
      </c>
      <c r="W61" s="40">
        <v>0</v>
      </c>
      <c r="X61" s="67">
        <f t="shared" si="7"/>
        <v>128</v>
      </c>
      <c r="Z61" s="71"/>
      <c r="AA61" s="71"/>
      <c r="AB61" s="67" t="str">
        <f t="shared" si="3"/>
        <v/>
      </c>
      <c r="AD61" s="121"/>
      <c r="AE61" s="121"/>
    </row>
    <row r="62" spans="1:31" x14ac:dyDescent="0.25">
      <c r="A62" s="2" t="s">
        <v>685</v>
      </c>
      <c r="B62" s="7">
        <v>0.4291666666666667</v>
      </c>
      <c r="C62" s="2">
        <v>1.8</v>
      </c>
      <c r="D62" s="10" t="s">
        <v>625</v>
      </c>
      <c r="E62" s="40">
        <v>0</v>
      </c>
      <c r="F62" s="40">
        <v>2.5</v>
      </c>
      <c r="G62" s="40">
        <v>1.5</v>
      </c>
      <c r="H62" s="3">
        <f t="shared" si="8"/>
        <v>0</v>
      </c>
      <c r="I62" s="3">
        <f t="shared" si="9"/>
        <v>0.1875</v>
      </c>
      <c r="J62" s="3">
        <f t="shared" si="10"/>
        <v>0.1125</v>
      </c>
      <c r="K62" s="3"/>
      <c r="L62" s="60">
        <f t="shared" si="4"/>
        <v>304.29791666666671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61">
        <f t="shared" si="11"/>
        <v>73.400000000000063</v>
      </c>
      <c r="T62" s="40">
        <v>0</v>
      </c>
      <c r="U62" s="40">
        <v>0</v>
      </c>
      <c r="V62" s="40">
        <v>0</v>
      </c>
      <c r="W62" s="40">
        <v>0</v>
      </c>
      <c r="X62" s="67">
        <f t="shared" si="7"/>
        <v>128</v>
      </c>
      <c r="Z62" s="71"/>
      <c r="AA62" s="71"/>
      <c r="AB62" s="67" t="str">
        <f t="shared" si="3"/>
        <v/>
      </c>
      <c r="AD62" s="121"/>
      <c r="AE62" s="121"/>
    </row>
    <row r="63" spans="1:31" x14ac:dyDescent="0.25">
      <c r="A63" s="2" t="s">
        <v>685</v>
      </c>
      <c r="B63" s="7">
        <v>0.47083333333333338</v>
      </c>
      <c r="C63" s="2">
        <v>1</v>
      </c>
      <c r="D63" s="10" t="s">
        <v>616</v>
      </c>
      <c r="E63" s="40">
        <v>10</v>
      </c>
      <c r="F63" s="40">
        <v>2.5</v>
      </c>
      <c r="G63" s="40">
        <v>1.5</v>
      </c>
      <c r="H63" s="3">
        <f t="shared" si="8"/>
        <v>0.41666666666666669</v>
      </c>
      <c r="I63" s="3">
        <f t="shared" si="9"/>
        <v>0.10416666666666667</v>
      </c>
      <c r="J63" s="3">
        <f t="shared" si="10"/>
        <v>6.25E-2</v>
      </c>
      <c r="K63" s="3"/>
      <c r="L63" s="60">
        <f t="shared" si="4"/>
        <v>303.71458333333339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 s="61">
        <f t="shared" si="11"/>
        <v>73.400000000000063</v>
      </c>
      <c r="T63" s="40">
        <v>0</v>
      </c>
      <c r="U63" s="40">
        <v>0</v>
      </c>
      <c r="V63" s="40">
        <v>1</v>
      </c>
      <c r="W63" s="40">
        <v>0</v>
      </c>
      <c r="X63" s="67">
        <f t="shared" si="7"/>
        <v>127</v>
      </c>
      <c r="Z63" s="71"/>
      <c r="AA63" s="71"/>
      <c r="AB63" s="67" t="str">
        <f t="shared" si="3"/>
        <v/>
      </c>
      <c r="AD63" s="121"/>
      <c r="AE63" s="121"/>
    </row>
    <row r="64" spans="1:31" x14ac:dyDescent="0.25">
      <c r="A64" s="2" t="s">
        <v>686</v>
      </c>
      <c r="B64" s="65">
        <v>0.33333333333333331</v>
      </c>
      <c r="C64" s="2">
        <v>20.5</v>
      </c>
      <c r="D64" s="10" t="s">
        <v>687</v>
      </c>
      <c r="E64" s="40">
        <v>0</v>
      </c>
      <c r="F64" s="40">
        <v>2.5</v>
      </c>
      <c r="G64" s="40">
        <v>1.2</v>
      </c>
      <c r="H64" s="3">
        <f t="shared" si="8"/>
        <v>0</v>
      </c>
      <c r="I64" s="3">
        <f t="shared" si="9"/>
        <v>2.135416666666667</v>
      </c>
      <c r="J64" s="3">
        <f t="shared" si="10"/>
        <v>1.0249999999999999</v>
      </c>
      <c r="K64" s="3"/>
      <c r="L64" s="60">
        <f t="shared" si="4"/>
        <v>300.55416666666673</v>
      </c>
      <c r="M64" s="40">
        <v>0</v>
      </c>
      <c r="N64" s="40">
        <v>0</v>
      </c>
      <c r="O64" s="40">
        <v>0.1</v>
      </c>
      <c r="P64" s="40">
        <v>0</v>
      </c>
      <c r="Q64" s="40">
        <v>0</v>
      </c>
      <c r="R64" s="40">
        <v>0</v>
      </c>
      <c r="S64" s="61">
        <f t="shared" si="11"/>
        <v>73.300000000000068</v>
      </c>
      <c r="T64" s="40">
        <v>0</v>
      </c>
      <c r="U64" s="40">
        <v>0</v>
      </c>
      <c r="V64" s="40">
        <v>3</v>
      </c>
      <c r="W64" s="40">
        <v>0</v>
      </c>
      <c r="X64" s="67">
        <f t="shared" si="7"/>
        <v>124</v>
      </c>
      <c r="Z64" s="71"/>
      <c r="AA64" s="71"/>
      <c r="AB64" s="67" t="str">
        <f t="shared" si="3"/>
        <v/>
      </c>
      <c r="AD64" s="121"/>
      <c r="AE64" s="121"/>
    </row>
    <row r="65" spans="1:31" x14ac:dyDescent="0.25">
      <c r="A65" s="2" t="s">
        <v>688</v>
      </c>
      <c r="B65" s="65">
        <v>0.33333333333333331</v>
      </c>
      <c r="C65" s="2">
        <v>24</v>
      </c>
      <c r="D65" s="10" t="s">
        <v>687</v>
      </c>
      <c r="E65" s="40">
        <v>0</v>
      </c>
      <c r="F65" s="40">
        <v>2</v>
      </c>
      <c r="G65" s="40">
        <v>1</v>
      </c>
      <c r="H65" s="3">
        <f t="shared" si="8"/>
        <v>0</v>
      </c>
      <c r="I65" s="3">
        <f t="shared" si="9"/>
        <v>2</v>
      </c>
      <c r="J65" s="3">
        <f t="shared" si="10"/>
        <v>1</v>
      </c>
      <c r="K65" s="3"/>
      <c r="L65" s="60">
        <f t="shared" si="4"/>
        <v>297.55416666666673</v>
      </c>
      <c r="M65" s="40">
        <v>0</v>
      </c>
      <c r="N65" s="40">
        <v>0</v>
      </c>
      <c r="O65" s="40">
        <v>0.2</v>
      </c>
      <c r="P65" s="40">
        <v>0</v>
      </c>
      <c r="Q65" s="40">
        <v>0</v>
      </c>
      <c r="R65" s="40">
        <v>0</v>
      </c>
      <c r="S65" s="61">
        <f t="shared" si="11"/>
        <v>73.100000000000065</v>
      </c>
      <c r="T65" s="40">
        <v>0</v>
      </c>
      <c r="U65" s="40">
        <v>0</v>
      </c>
      <c r="V65" s="40">
        <v>4</v>
      </c>
      <c r="W65" s="40">
        <v>0</v>
      </c>
      <c r="X65" s="67">
        <f t="shared" si="7"/>
        <v>120</v>
      </c>
      <c r="Z65" s="71">
        <v>106</v>
      </c>
      <c r="AA65" s="71">
        <v>27</v>
      </c>
      <c r="AB65" s="67">
        <f t="shared" si="3"/>
        <v>133</v>
      </c>
      <c r="AD65" s="121"/>
      <c r="AE65" s="121"/>
    </row>
    <row r="66" spans="1:31" x14ac:dyDescent="0.25">
      <c r="A66" s="2" t="s">
        <v>689</v>
      </c>
      <c r="B66" s="65">
        <v>0.33333333333333331</v>
      </c>
      <c r="C66" s="2">
        <v>24</v>
      </c>
      <c r="D66" s="10" t="s">
        <v>687</v>
      </c>
      <c r="E66" s="40">
        <v>0</v>
      </c>
      <c r="F66" s="40">
        <v>2</v>
      </c>
      <c r="G66" s="40">
        <v>1</v>
      </c>
      <c r="H66" s="3">
        <f t="shared" si="8"/>
        <v>0</v>
      </c>
      <c r="I66" s="3">
        <f t="shared" si="9"/>
        <v>2</v>
      </c>
      <c r="J66" s="3">
        <f t="shared" si="10"/>
        <v>1</v>
      </c>
      <c r="K66" s="3"/>
      <c r="L66" s="60">
        <f t="shared" si="4"/>
        <v>294.55416666666673</v>
      </c>
      <c r="M66" s="40">
        <v>0</v>
      </c>
      <c r="N66" s="40">
        <v>0.5</v>
      </c>
      <c r="O66" s="40">
        <v>0.1</v>
      </c>
      <c r="P66" s="40">
        <v>0</v>
      </c>
      <c r="Q66" s="43">
        <v>0</v>
      </c>
      <c r="R66" s="40">
        <v>0</v>
      </c>
      <c r="S66" s="61">
        <f t="shared" si="11"/>
        <v>72.500000000000071</v>
      </c>
      <c r="T66" s="40">
        <v>0</v>
      </c>
      <c r="U66" s="40">
        <v>0</v>
      </c>
      <c r="V66" s="40">
        <v>4</v>
      </c>
      <c r="W66" s="40">
        <v>0</v>
      </c>
      <c r="X66" s="67">
        <f t="shared" si="7"/>
        <v>116</v>
      </c>
      <c r="Z66" s="71">
        <v>101</v>
      </c>
      <c r="AA66" s="71">
        <v>27</v>
      </c>
      <c r="AB66" s="67">
        <f t="shared" si="3"/>
        <v>128</v>
      </c>
      <c r="AD66" s="121"/>
      <c r="AE66" s="121"/>
    </row>
    <row r="67" spans="1:31" x14ac:dyDescent="0.25">
      <c r="A67" s="2" t="s">
        <v>690</v>
      </c>
      <c r="B67" s="65">
        <v>0.33333333333333331</v>
      </c>
      <c r="C67" s="2">
        <v>24</v>
      </c>
      <c r="D67" s="10" t="s">
        <v>687</v>
      </c>
      <c r="E67" s="40">
        <v>0</v>
      </c>
      <c r="F67" s="40">
        <v>2</v>
      </c>
      <c r="G67" s="40">
        <v>1</v>
      </c>
      <c r="H67" s="3">
        <f t="shared" si="8"/>
        <v>0</v>
      </c>
      <c r="I67" s="3">
        <f t="shared" si="9"/>
        <v>2</v>
      </c>
      <c r="J67" s="3">
        <f t="shared" si="10"/>
        <v>1</v>
      </c>
      <c r="K67" s="3"/>
      <c r="L67" s="60">
        <f t="shared" si="4"/>
        <v>291.55416666666673</v>
      </c>
      <c r="M67" s="40">
        <v>0</v>
      </c>
      <c r="N67" s="40">
        <v>0.5</v>
      </c>
      <c r="O67" s="40">
        <v>0.1</v>
      </c>
      <c r="P67" s="40">
        <v>0</v>
      </c>
      <c r="Q67" s="40">
        <v>0</v>
      </c>
      <c r="R67" s="40">
        <v>0</v>
      </c>
      <c r="S67" s="61">
        <f t="shared" si="11"/>
        <v>71.900000000000077</v>
      </c>
      <c r="T67" s="40">
        <v>0</v>
      </c>
      <c r="U67" s="40">
        <v>0</v>
      </c>
      <c r="V67" s="40">
        <v>4</v>
      </c>
      <c r="W67" s="40">
        <v>0</v>
      </c>
      <c r="X67" s="67">
        <f t="shared" si="7"/>
        <v>112</v>
      </c>
      <c r="Z67" s="71">
        <v>91</v>
      </c>
      <c r="AA67" s="71">
        <v>27</v>
      </c>
      <c r="AB67" s="67">
        <f t="shared" si="3"/>
        <v>118</v>
      </c>
      <c r="AD67" s="121"/>
      <c r="AE67" s="121"/>
    </row>
    <row r="68" spans="1:31" x14ac:dyDescent="0.25">
      <c r="A68" s="2" t="s">
        <v>691</v>
      </c>
      <c r="B68" s="65">
        <v>0.33333333333333331</v>
      </c>
      <c r="C68" s="2">
        <v>24</v>
      </c>
      <c r="D68" s="10" t="s">
        <v>687</v>
      </c>
      <c r="E68" s="40">
        <v>0</v>
      </c>
      <c r="F68" s="40">
        <v>2</v>
      </c>
      <c r="G68" s="40">
        <v>1</v>
      </c>
      <c r="H68" s="3">
        <f t="shared" si="8"/>
        <v>0</v>
      </c>
      <c r="I68" s="3">
        <f t="shared" si="9"/>
        <v>2</v>
      </c>
      <c r="J68" s="3">
        <f t="shared" si="10"/>
        <v>1</v>
      </c>
      <c r="K68" s="3"/>
      <c r="L68" s="60">
        <f t="shared" si="4"/>
        <v>288.55416666666673</v>
      </c>
      <c r="M68" s="40">
        <v>0</v>
      </c>
      <c r="N68" s="40">
        <v>0.5</v>
      </c>
      <c r="O68" s="40">
        <v>0.1</v>
      </c>
      <c r="P68" s="40">
        <v>0</v>
      </c>
      <c r="Q68" s="40">
        <v>0</v>
      </c>
      <c r="R68" s="40">
        <v>0</v>
      </c>
      <c r="S68" s="61">
        <f t="shared" si="11"/>
        <v>71.300000000000082</v>
      </c>
      <c r="T68" s="40">
        <v>0</v>
      </c>
      <c r="U68" s="40">
        <v>0</v>
      </c>
      <c r="V68" s="40">
        <v>4</v>
      </c>
      <c r="W68" s="40">
        <v>0</v>
      </c>
      <c r="X68" s="67">
        <f t="shared" si="7"/>
        <v>108</v>
      </c>
      <c r="Z68" s="71">
        <v>88</v>
      </c>
      <c r="AA68" s="71">
        <v>27</v>
      </c>
      <c r="AB68" s="67">
        <f t="shared" si="3"/>
        <v>115</v>
      </c>
      <c r="AD68" s="121"/>
      <c r="AE68" s="121"/>
    </row>
    <row r="69" spans="1:31" x14ac:dyDescent="0.25">
      <c r="A69" s="2" t="s">
        <v>692</v>
      </c>
      <c r="B69" s="65">
        <v>0.33333333333333331</v>
      </c>
      <c r="C69" s="2">
        <v>24</v>
      </c>
      <c r="D69" s="10" t="s">
        <v>687</v>
      </c>
      <c r="E69" s="40">
        <v>0</v>
      </c>
      <c r="F69" s="40">
        <v>2</v>
      </c>
      <c r="G69" s="40">
        <v>1</v>
      </c>
      <c r="H69" s="3">
        <f t="shared" si="8"/>
        <v>0</v>
      </c>
      <c r="I69" s="3">
        <f t="shared" si="9"/>
        <v>2</v>
      </c>
      <c r="J69" s="3">
        <f t="shared" si="10"/>
        <v>1</v>
      </c>
      <c r="K69" s="3"/>
      <c r="L69" s="60">
        <f t="shared" si="4"/>
        <v>285.55416666666673</v>
      </c>
      <c r="M69" s="40">
        <v>0</v>
      </c>
      <c r="N69" s="40">
        <v>0</v>
      </c>
      <c r="O69" s="40">
        <v>0.1</v>
      </c>
      <c r="P69" s="40">
        <v>0</v>
      </c>
      <c r="Q69" s="40">
        <v>4</v>
      </c>
      <c r="R69" s="40">
        <v>0</v>
      </c>
      <c r="S69" s="61">
        <f t="shared" si="11"/>
        <v>67.200000000000088</v>
      </c>
      <c r="T69" s="40">
        <v>0</v>
      </c>
      <c r="U69" s="40">
        <v>0</v>
      </c>
      <c r="V69" s="40">
        <v>4</v>
      </c>
      <c r="W69" s="40">
        <v>0</v>
      </c>
      <c r="X69" s="67">
        <f t="shared" si="7"/>
        <v>104</v>
      </c>
      <c r="Z69" s="71">
        <v>84</v>
      </c>
      <c r="AA69" s="71">
        <v>27</v>
      </c>
      <c r="AB69" s="67">
        <f t="shared" ref="AB69:AB133" si="12">IF(Z69="","",Z69+AA69)</f>
        <v>111</v>
      </c>
      <c r="AD69" s="121"/>
      <c r="AE69" s="121"/>
    </row>
    <row r="70" spans="1:31" x14ac:dyDescent="0.25">
      <c r="A70" s="2" t="s">
        <v>692</v>
      </c>
      <c r="B70" s="7">
        <v>0.45</v>
      </c>
      <c r="C70" s="2">
        <v>2.8</v>
      </c>
      <c r="D70" s="10" t="s">
        <v>660</v>
      </c>
      <c r="E70" s="40">
        <v>0</v>
      </c>
      <c r="F70" s="40">
        <v>2</v>
      </c>
      <c r="G70" s="40">
        <v>1</v>
      </c>
      <c r="H70" s="3">
        <f t="shared" si="8"/>
        <v>0</v>
      </c>
      <c r="I70" s="3">
        <f t="shared" si="9"/>
        <v>0.23333333333333331</v>
      </c>
      <c r="J70" s="3">
        <f t="shared" si="10"/>
        <v>0.11666666666666665</v>
      </c>
      <c r="K70" s="3"/>
      <c r="L70" s="60">
        <f t="shared" ref="L70:L134" si="13">+IF(C70="","",(L69+K70)-(H70+I70+J70))</f>
        <v>285.20416666666671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61">
        <f t="shared" si="11"/>
        <v>67.200000000000088</v>
      </c>
      <c r="T70" s="40">
        <v>0</v>
      </c>
      <c r="U70" s="40">
        <v>0</v>
      </c>
      <c r="V70" s="40">
        <v>0</v>
      </c>
      <c r="W70" s="40">
        <v>0</v>
      </c>
      <c r="X70" s="67">
        <f t="shared" si="7"/>
        <v>104</v>
      </c>
      <c r="Z70" s="71"/>
      <c r="AA70" s="71"/>
      <c r="AB70" s="67" t="str">
        <f t="shared" si="12"/>
        <v/>
      </c>
      <c r="AD70" s="121"/>
      <c r="AE70" s="121"/>
    </row>
    <row r="71" spans="1:31" x14ac:dyDescent="0.25">
      <c r="A71" s="2" t="s">
        <v>692</v>
      </c>
      <c r="B71" s="7">
        <v>0.5</v>
      </c>
      <c r="C71" s="2">
        <v>1.2</v>
      </c>
      <c r="D71" s="10" t="s">
        <v>105</v>
      </c>
      <c r="E71" s="40">
        <v>10</v>
      </c>
      <c r="F71" s="40">
        <v>2</v>
      </c>
      <c r="G71" s="40">
        <v>0</v>
      </c>
      <c r="H71" s="3">
        <f t="shared" si="8"/>
        <v>0.5</v>
      </c>
      <c r="I71" s="3">
        <f t="shared" si="9"/>
        <v>9.9999999999999992E-2</v>
      </c>
      <c r="J71" s="3">
        <f t="shared" si="10"/>
        <v>0</v>
      </c>
      <c r="K71" s="3"/>
      <c r="L71" s="60">
        <f t="shared" si="13"/>
        <v>284.60416666666669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61">
        <f t="shared" si="11"/>
        <v>67.200000000000088</v>
      </c>
      <c r="T71" s="40">
        <v>0</v>
      </c>
      <c r="U71" s="40">
        <v>0</v>
      </c>
      <c r="V71" s="40">
        <v>0</v>
      </c>
      <c r="W71" s="40">
        <v>0</v>
      </c>
      <c r="X71" s="67">
        <f t="shared" si="7"/>
        <v>104</v>
      </c>
      <c r="Z71" s="71"/>
      <c r="AA71" s="71"/>
      <c r="AB71" s="67" t="str">
        <f t="shared" si="12"/>
        <v/>
      </c>
      <c r="AD71" s="121"/>
      <c r="AE71" s="121"/>
    </row>
    <row r="72" spans="1:31" x14ac:dyDescent="0.25">
      <c r="A72" s="2" t="s">
        <v>693</v>
      </c>
      <c r="B72" s="65">
        <v>0.33333333333333331</v>
      </c>
      <c r="C72" s="2">
        <v>20</v>
      </c>
      <c r="D72" s="10" t="s">
        <v>665</v>
      </c>
      <c r="E72" s="40">
        <v>22</v>
      </c>
      <c r="F72" s="40">
        <v>2</v>
      </c>
      <c r="G72" s="40">
        <v>0</v>
      </c>
      <c r="H72" s="3">
        <f t="shared" si="8"/>
        <v>18.333333333333332</v>
      </c>
      <c r="I72" s="3">
        <f t="shared" si="9"/>
        <v>1.6666666666666665</v>
      </c>
      <c r="J72" s="3">
        <f t="shared" si="10"/>
        <v>0</v>
      </c>
      <c r="K72" s="3"/>
      <c r="L72" s="60">
        <f t="shared" si="13"/>
        <v>264.60416666666669</v>
      </c>
      <c r="M72" s="40">
        <v>0</v>
      </c>
      <c r="N72" s="40">
        <v>0</v>
      </c>
      <c r="O72" s="40">
        <v>0.1</v>
      </c>
      <c r="P72" s="40">
        <v>0</v>
      </c>
      <c r="Q72" s="40">
        <v>0</v>
      </c>
      <c r="R72" s="40">
        <v>0</v>
      </c>
      <c r="S72" s="61">
        <f t="shared" si="11"/>
        <v>67.100000000000094</v>
      </c>
      <c r="T72" s="40">
        <v>8</v>
      </c>
      <c r="U72" s="40">
        <v>0</v>
      </c>
      <c r="V72" s="40">
        <v>4</v>
      </c>
      <c r="W72" s="40">
        <v>0</v>
      </c>
      <c r="X72" s="67">
        <f t="shared" ref="X72:X136" si="14">IF(V72="","",((X71+T72+U72)-(V72+W72)))</f>
        <v>108</v>
      </c>
      <c r="Z72" s="71">
        <v>91</v>
      </c>
      <c r="AA72" s="71">
        <v>27</v>
      </c>
      <c r="AB72" s="67">
        <f t="shared" si="12"/>
        <v>118</v>
      </c>
      <c r="AD72" s="121"/>
      <c r="AE72" s="121"/>
    </row>
    <row r="73" spans="1:31" x14ac:dyDescent="0.25">
      <c r="A73" s="2" t="s">
        <v>694</v>
      </c>
      <c r="B73" s="65">
        <v>0.33333333333333331</v>
      </c>
      <c r="C73" s="2">
        <v>24</v>
      </c>
      <c r="D73" s="10" t="s">
        <v>665</v>
      </c>
      <c r="E73" s="40">
        <v>22</v>
      </c>
      <c r="F73" s="40">
        <v>2</v>
      </c>
      <c r="G73" s="40">
        <v>0</v>
      </c>
      <c r="H73" s="3">
        <f t="shared" si="8"/>
        <v>22</v>
      </c>
      <c r="I73" s="3">
        <f t="shared" si="9"/>
        <v>2</v>
      </c>
      <c r="J73" s="3">
        <f t="shared" si="10"/>
        <v>0</v>
      </c>
      <c r="K73" s="3"/>
      <c r="L73" s="60">
        <f t="shared" si="13"/>
        <v>240.60416666666669</v>
      </c>
      <c r="M73" s="40">
        <v>0</v>
      </c>
      <c r="N73" s="40">
        <v>0</v>
      </c>
      <c r="O73" s="40">
        <v>0.1</v>
      </c>
      <c r="P73" s="40">
        <v>0</v>
      </c>
      <c r="Q73" s="40">
        <v>0</v>
      </c>
      <c r="R73" s="40">
        <v>0</v>
      </c>
      <c r="S73" s="61">
        <f t="shared" si="11"/>
        <v>67.000000000000099</v>
      </c>
      <c r="T73" s="40">
        <v>6</v>
      </c>
      <c r="U73" s="40">
        <v>0</v>
      </c>
      <c r="V73" s="40">
        <v>4</v>
      </c>
      <c r="W73" s="40">
        <v>0</v>
      </c>
      <c r="X73" s="67">
        <f t="shared" si="14"/>
        <v>110</v>
      </c>
      <c r="Z73" s="71">
        <v>88</v>
      </c>
      <c r="AA73" s="71">
        <v>28</v>
      </c>
      <c r="AB73" s="67">
        <f t="shared" si="12"/>
        <v>116</v>
      </c>
      <c r="AD73" s="121"/>
      <c r="AE73" s="121"/>
    </row>
    <row r="74" spans="1:31" x14ac:dyDescent="0.25">
      <c r="A74" s="2" t="s">
        <v>694</v>
      </c>
      <c r="B74" s="7">
        <v>0.48749999999999999</v>
      </c>
      <c r="C74" s="2">
        <v>3.7</v>
      </c>
      <c r="D74" s="10" t="s">
        <v>695</v>
      </c>
      <c r="E74" s="40">
        <v>22</v>
      </c>
      <c r="F74" s="40">
        <v>2</v>
      </c>
      <c r="G74" s="40">
        <v>0</v>
      </c>
      <c r="H74" s="3">
        <f t="shared" si="8"/>
        <v>3.3916666666666666</v>
      </c>
      <c r="I74" s="3">
        <f t="shared" si="9"/>
        <v>0.30833333333333335</v>
      </c>
      <c r="J74" s="3">
        <f t="shared" si="10"/>
        <v>0</v>
      </c>
      <c r="K74" s="3"/>
      <c r="L74" s="60">
        <f t="shared" si="13"/>
        <v>236.9041666666667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61">
        <f t="shared" si="11"/>
        <v>67.000000000000099</v>
      </c>
      <c r="T74" s="40">
        <v>0</v>
      </c>
      <c r="U74" s="40">
        <v>0</v>
      </c>
      <c r="V74" s="40">
        <v>1</v>
      </c>
      <c r="W74" s="40">
        <v>0</v>
      </c>
      <c r="X74" s="67">
        <f t="shared" si="14"/>
        <v>109</v>
      </c>
      <c r="Z74" s="71"/>
      <c r="AA74" s="71"/>
      <c r="AB74" s="67" t="str">
        <f t="shared" si="12"/>
        <v/>
      </c>
      <c r="AD74" s="121">
        <v>10.8</v>
      </c>
      <c r="AE74" s="121" t="s">
        <v>1308</v>
      </c>
    </row>
    <row r="75" spans="1:31" x14ac:dyDescent="0.25">
      <c r="A75" s="2" t="s">
        <v>694</v>
      </c>
      <c r="B75" s="7">
        <v>0.54166666666666663</v>
      </c>
      <c r="C75" s="2">
        <v>1.3</v>
      </c>
      <c r="D75" s="10" t="s">
        <v>696</v>
      </c>
      <c r="E75" s="40">
        <v>8</v>
      </c>
      <c r="F75" s="40">
        <v>2</v>
      </c>
      <c r="G75" s="40">
        <v>0</v>
      </c>
      <c r="H75" s="3">
        <f t="shared" ref="H75:H139" si="15">+IF(E75="","",(E75/24)*C75)</f>
        <v>0.43333333333333335</v>
      </c>
      <c r="I75" s="3">
        <f t="shared" ref="I75:I139" si="16">+IF(F75="","",(F75/24)*C75)</f>
        <v>0.10833333333333334</v>
      </c>
      <c r="J75" s="3">
        <f t="shared" ref="J75:J139" si="17">+IF(G75="","",(G75/24)*C75)</f>
        <v>0</v>
      </c>
      <c r="K75" s="3"/>
      <c r="L75" s="60">
        <f t="shared" si="13"/>
        <v>236.36250000000004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61">
        <f t="shared" si="11"/>
        <v>67.000000000000099</v>
      </c>
      <c r="T75" s="40">
        <v>0</v>
      </c>
      <c r="U75" s="40">
        <v>0</v>
      </c>
      <c r="V75" s="40">
        <v>0</v>
      </c>
      <c r="W75" s="40">
        <v>0</v>
      </c>
      <c r="X75" s="67">
        <f t="shared" si="14"/>
        <v>109</v>
      </c>
      <c r="Z75" s="71"/>
      <c r="AA75" s="71"/>
      <c r="AB75" s="67" t="str">
        <f t="shared" si="12"/>
        <v/>
      </c>
      <c r="AD75" s="121"/>
      <c r="AE75" s="121"/>
    </row>
    <row r="76" spans="1:31" x14ac:dyDescent="0.25">
      <c r="A76" s="36" t="s">
        <v>694</v>
      </c>
      <c r="B76" s="7">
        <v>0.66666666666666663</v>
      </c>
      <c r="C76" s="2">
        <v>3</v>
      </c>
      <c r="D76" s="10" t="s">
        <v>660</v>
      </c>
      <c r="E76" s="40">
        <v>0</v>
      </c>
      <c r="F76" s="40">
        <v>2</v>
      </c>
      <c r="G76" s="40">
        <v>1</v>
      </c>
      <c r="H76" s="3">
        <f t="shared" si="15"/>
        <v>0</v>
      </c>
      <c r="I76" s="3">
        <f t="shared" si="16"/>
        <v>0.25</v>
      </c>
      <c r="J76" s="3">
        <f t="shared" si="17"/>
        <v>0.125</v>
      </c>
      <c r="K76" s="3"/>
      <c r="L76" s="60">
        <f t="shared" si="13"/>
        <v>235.98750000000004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75">
        <f t="shared" si="11"/>
        <v>67.000000000000099</v>
      </c>
      <c r="T76" s="40">
        <v>0</v>
      </c>
      <c r="U76" s="40">
        <v>0</v>
      </c>
      <c r="V76" s="40">
        <v>0</v>
      </c>
      <c r="W76" s="40">
        <v>0</v>
      </c>
      <c r="X76" s="67">
        <f t="shared" si="14"/>
        <v>109</v>
      </c>
      <c r="Z76" s="71"/>
      <c r="AA76" s="71"/>
      <c r="AB76" s="67" t="str">
        <f t="shared" si="12"/>
        <v/>
      </c>
      <c r="AD76" s="121"/>
      <c r="AE76" s="121"/>
    </row>
    <row r="77" spans="1:31" x14ac:dyDescent="0.25">
      <c r="A77" s="2" t="s">
        <v>694</v>
      </c>
      <c r="B77" s="7">
        <v>0.78749999999999998</v>
      </c>
      <c r="C77" s="2">
        <v>2.9</v>
      </c>
      <c r="D77" s="10" t="s">
        <v>702</v>
      </c>
      <c r="E77" s="40">
        <v>5</v>
      </c>
      <c r="F77" s="40">
        <v>2</v>
      </c>
      <c r="G77" s="40">
        <v>0</v>
      </c>
      <c r="H77" s="3">
        <f t="shared" si="15"/>
        <v>0.60416666666666663</v>
      </c>
      <c r="I77" s="3">
        <f t="shared" si="16"/>
        <v>0.24166666666666664</v>
      </c>
      <c r="J77" s="3">
        <f t="shared" si="17"/>
        <v>0</v>
      </c>
      <c r="K77" s="3"/>
      <c r="L77" s="60">
        <f t="shared" si="13"/>
        <v>235.14166666666671</v>
      </c>
      <c r="M77" s="40">
        <v>0</v>
      </c>
      <c r="N77" s="40">
        <v>0</v>
      </c>
      <c r="O77" s="40">
        <v>0</v>
      </c>
      <c r="P77" s="40">
        <v>0</v>
      </c>
      <c r="Q77" s="40">
        <v>0</v>
      </c>
      <c r="R77" s="40">
        <v>0</v>
      </c>
      <c r="S77" s="61">
        <f t="shared" si="11"/>
        <v>67.000000000000099</v>
      </c>
      <c r="T77" s="40">
        <v>0</v>
      </c>
      <c r="U77" s="40">
        <v>0</v>
      </c>
      <c r="V77" s="40">
        <v>1</v>
      </c>
      <c r="W77" s="40">
        <v>0</v>
      </c>
      <c r="X77" s="67">
        <f t="shared" si="14"/>
        <v>108</v>
      </c>
      <c r="Z77" s="71"/>
      <c r="AA77" s="71"/>
      <c r="AB77" s="67" t="str">
        <f t="shared" si="12"/>
        <v/>
      </c>
      <c r="AD77" s="121">
        <v>12.6</v>
      </c>
      <c r="AE77" s="121" t="s">
        <v>1301</v>
      </c>
    </row>
    <row r="78" spans="1:31" x14ac:dyDescent="0.25">
      <c r="A78" s="2" t="s">
        <v>698</v>
      </c>
      <c r="B78" s="65">
        <v>0.33333333333333331</v>
      </c>
      <c r="C78" s="2">
        <v>13.1</v>
      </c>
      <c r="D78" s="10" t="s">
        <v>697</v>
      </c>
      <c r="E78" s="40">
        <v>0</v>
      </c>
      <c r="F78" s="40">
        <v>2.2000000000000002</v>
      </c>
      <c r="G78" s="40">
        <v>1</v>
      </c>
      <c r="H78" s="3">
        <f t="shared" si="15"/>
        <v>0</v>
      </c>
      <c r="I78" s="3">
        <f t="shared" si="16"/>
        <v>1.2008333333333334</v>
      </c>
      <c r="J78" s="3">
        <f t="shared" si="17"/>
        <v>0.54583333333333328</v>
      </c>
      <c r="K78" s="3"/>
      <c r="L78" s="60">
        <f t="shared" si="13"/>
        <v>233.39500000000004</v>
      </c>
      <c r="M78" s="40">
        <v>0</v>
      </c>
      <c r="N78" s="40">
        <v>0</v>
      </c>
      <c r="O78" s="40">
        <v>0.1</v>
      </c>
      <c r="P78" s="40">
        <v>0.2</v>
      </c>
      <c r="Q78" s="40">
        <v>3.3</v>
      </c>
      <c r="R78" s="40">
        <v>0</v>
      </c>
      <c r="S78" s="61">
        <f t="shared" si="11"/>
        <v>63.400000000000098</v>
      </c>
      <c r="T78" s="40">
        <v>0</v>
      </c>
      <c r="U78" s="40">
        <v>0</v>
      </c>
      <c r="V78" s="40">
        <v>2</v>
      </c>
      <c r="W78" s="40">
        <v>0</v>
      </c>
      <c r="X78" s="67">
        <f t="shared" si="14"/>
        <v>106</v>
      </c>
      <c r="Z78" s="71">
        <v>86</v>
      </c>
      <c r="AA78" s="71">
        <v>28</v>
      </c>
      <c r="AB78" s="67">
        <f t="shared" si="12"/>
        <v>114</v>
      </c>
      <c r="AD78" s="121"/>
      <c r="AE78" s="121"/>
    </row>
    <row r="79" spans="1:31" x14ac:dyDescent="0.25">
      <c r="A79" s="2" t="s">
        <v>698</v>
      </c>
      <c r="B79" s="7">
        <v>0.60416666666666663</v>
      </c>
      <c r="C79" s="2">
        <v>6.5</v>
      </c>
      <c r="D79" s="10" t="s">
        <v>697</v>
      </c>
      <c r="E79" s="40">
        <v>0</v>
      </c>
      <c r="F79" s="40">
        <v>2.4</v>
      </c>
      <c r="G79" s="40">
        <v>2</v>
      </c>
      <c r="H79" s="3">
        <f t="shared" si="15"/>
        <v>0</v>
      </c>
      <c r="I79" s="3">
        <f t="shared" si="16"/>
        <v>0.64999999999999991</v>
      </c>
      <c r="J79" s="3">
        <f t="shared" si="17"/>
        <v>0.54166666666666663</v>
      </c>
      <c r="K79" s="3"/>
      <c r="L79" s="60">
        <f t="shared" si="13"/>
        <v>232.20333333333338</v>
      </c>
      <c r="M79" s="40">
        <v>0</v>
      </c>
      <c r="N79" s="40">
        <v>0</v>
      </c>
      <c r="O79" s="40">
        <v>0</v>
      </c>
      <c r="P79" s="40">
        <v>0.2</v>
      </c>
      <c r="Q79" s="40">
        <v>1.6</v>
      </c>
      <c r="R79" s="40">
        <v>0</v>
      </c>
      <c r="S79" s="61">
        <f t="shared" si="11"/>
        <v>61.600000000000101</v>
      </c>
      <c r="T79" s="40">
        <v>0</v>
      </c>
      <c r="U79" s="40">
        <v>0</v>
      </c>
      <c r="V79" s="40">
        <v>1</v>
      </c>
      <c r="W79" s="40">
        <v>0</v>
      </c>
      <c r="X79" s="67">
        <f t="shared" si="14"/>
        <v>105</v>
      </c>
      <c r="Z79" s="71"/>
      <c r="AA79" s="71"/>
      <c r="AB79" s="67" t="str">
        <f t="shared" si="12"/>
        <v/>
      </c>
      <c r="AD79" s="121"/>
      <c r="AE79" s="121"/>
    </row>
    <row r="80" spans="1:31" x14ac:dyDescent="0.25">
      <c r="A80" s="2" t="s">
        <v>698</v>
      </c>
      <c r="B80" s="7">
        <v>0.85416666666666663</v>
      </c>
      <c r="C80" s="2">
        <v>6</v>
      </c>
      <c r="D80" s="10" t="s">
        <v>699</v>
      </c>
      <c r="E80" s="40">
        <v>0</v>
      </c>
      <c r="F80" s="40">
        <v>2</v>
      </c>
      <c r="G80" s="40">
        <v>1</v>
      </c>
      <c r="H80" s="3">
        <f t="shared" si="15"/>
        <v>0</v>
      </c>
      <c r="I80" s="3">
        <f t="shared" si="16"/>
        <v>0.5</v>
      </c>
      <c r="J80" s="3">
        <f t="shared" si="17"/>
        <v>0.25</v>
      </c>
      <c r="K80" s="3"/>
      <c r="L80" s="60">
        <f t="shared" si="13"/>
        <v>231.45333333333338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61">
        <f t="shared" si="11"/>
        <v>61.600000000000101</v>
      </c>
      <c r="T80" s="40">
        <v>0</v>
      </c>
      <c r="U80" s="40">
        <v>0</v>
      </c>
      <c r="V80" s="40">
        <v>1</v>
      </c>
      <c r="W80" s="40">
        <v>0</v>
      </c>
      <c r="X80" s="67">
        <f t="shared" si="14"/>
        <v>104</v>
      </c>
      <c r="Z80" s="71"/>
      <c r="AA80" s="71"/>
      <c r="AB80" s="67" t="str">
        <f t="shared" si="12"/>
        <v/>
      </c>
      <c r="AD80" s="121"/>
      <c r="AE80" s="121"/>
    </row>
    <row r="81" spans="1:31" x14ac:dyDescent="0.25">
      <c r="A81" s="2" t="s">
        <v>698</v>
      </c>
      <c r="B81" s="7">
        <v>0.875</v>
      </c>
      <c r="C81" s="2">
        <v>0.5</v>
      </c>
      <c r="D81" s="10" t="s">
        <v>105</v>
      </c>
      <c r="E81" s="40">
        <v>12</v>
      </c>
      <c r="F81" s="40">
        <v>2</v>
      </c>
      <c r="G81" s="40">
        <v>0</v>
      </c>
      <c r="H81" s="3">
        <f t="shared" si="15"/>
        <v>0.25</v>
      </c>
      <c r="I81" s="3">
        <f t="shared" si="16"/>
        <v>4.1666666666666664E-2</v>
      </c>
      <c r="J81" s="3">
        <f t="shared" si="17"/>
        <v>0</v>
      </c>
      <c r="K81" s="3"/>
      <c r="L81" s="60">
        <f t="shared" si="13"/>
        <v>231.16166666666672</v>
      </c>
      <c r="M81" s="40">
        <v>0</v>
      </c>
      <c r="N81" s="40">
        <v>0</v>
      </c>
      <c r="O81" s="40">
        <v>0</v>
      </c>
      <c r="P81" s="40">
        <v>0</v>
      </c>
      <c r="Q81" s="40">
        <v>0</v>
      </c>
      <c r="R81" s="40">
        <v>0</v>
      </c>
      <c r="S81" s="61">
        <f t="shared" si="11"/>
        <v>61.600000000000101</v>
      </c>
      <c r="T81" s="40">
        <v>0</v>
      </c>
      <c r="U81" s="40">
        <v>0</v>
      </c>
      <c r="V81" s="40">
        <v>0</v>
      </c>
      <c r="W81" s="40">
        <v>0</v>
      </c>
      <c r="X81" s="67">
        <f t="shared" si="14"/>
        <v>104</v>
      </c>
      <c r="Z81" s="71"/>
      <c r="AA81" s="71"/>
      <c r="AB81" s="67" t="str">
        <f t="shared" si="12"/>
        <v/>
      </c>
      <c r="AD81" s="121"/>
      <c r="AE81" s="121"/>
    </row>
    <row r="82" spans="1:31" x14ac:dyDescent="0.25">
      <c r="A82" s="2" t="s">
        <v>698</v>
      </c>
      <c r="B82" s="7">
        <v>0.89583333333333337</v>
      </c>
      <c r="C82" s="2">
        <v>0.5</v>
      </c>
      <c r="D82" s="10" t="s">
        <v>695</v>
      </c>
      <c r="E82" s="40">
        <v>12</v>
      </c>
      <c r="F82" s="40">
        <v>2</v>
      </c>
      <c r="G82" s="40">
        <v>0</v>
      </c>
      <c r="H82" s="3">
        <f t="shared" si="15"/>
        <v>0.25</v>
      </c>
      <c r="I82" s="3">
        <f t="shared" si="16"/>
        <v>4.1666666666666664E-2</v>
      </c>
      <c r="J82" s="3">
        <f t="shared" si="17"/>
        <v>0</v>
      </c>
      <c r="K82" s="3"/>
      <c r="L82" s="60">
        <f t="shared" si="13"/>
        <v>230.87000000000006</v>
      </c>
      <c r="M82" s="40">
        <v>0</v>
      </c>
      <c r="N82" s="40">
        <v>0</v>
      </c>
      <c r="O82" s="40">
        <v>0</v>
      </c>
      <c r="P82" s="40">
        <v>0</v>
      </c>
      <c r="Q82" s="40">
        <v>0</v>
      </c>
      <c r="R82" s="40">
        <v>0</v>
      </c>
      <c r="S82" s="61">
        <f t="shared" si="11"/>
        <v>61.600000000000101</v>
      </c>
      <c r="T82" s="40">
        <v>0</v>
      </c>
      <c r="U82" s="40">
        <v>0</v>
      </c>
      <c r="V82" s="40">
        <v>0</v>
      </c>
      <c r="W82" s="40">
        <v>0</v>
      </c>
      <c r="X82" s="67">
        <f t="shared" si="14"/>
        <v>104</v>
      </c>
      <c r="Z82" s="71"/>
      <c r="AA82" s="71"/>
      <c r="AB82" s="67" t="str">
        <f t="shared" si="12"/>
        <v/>
      </c>
      <c r="AD82" s="121">
        <v>12.6</v>
      </c>
      <c r="AE82" s="121" t="s">
        <v>1296</v>
      </c>
    </row>
    <row r="83" spans="1:31" x14ac:dyDescent="0.25">
      <c r="A83" s="2" t="s">
        <v>698</v>
      </c>
      <c r="B83" s="7">
        <v>0.92499999999999993</v>
      </c>
      <c r="C83" s="2">
        <v>0.7</v>
      </c>
      <c r="D83" s="10" t="s">
        <v>703</v>
      </c>
      <c r="E83" s="40">
        <v>8</v>
      </c>
      <c r="F83" s="40">
        <v>2</v>
      </c>
      <c r="G83" s="40">
        <v>0</v>
      </c>
      <c r="H83" s="3">
        <f t="shared" si="15"/>
        <v>0.23333333333333331</v>
      </c>
      <c r="I83" s="3">
        <f t="shared" si="16"/>
        <v>5.8333333333333327E-2</v>
      </c>
      <c r="J83" s="3">
        <f t="shared" si="17"/>
        <v>0</v>
      </c>
      <c r="K83" s="3"/>
      <c r="L83" s="60">
        <f t="shared" si="13"/>
        <v>230.5783333333334</v>
      </c>
      <c r="M83" s="40">
        <v>0</v>
      </c>
      <c r="N83" s="40">
        <v>0</v>
      </c>
      <c r="O83" s="40">
        <v>0</v>
      </c>
      <c r="P83" s="40">
        <v>0</v>
      </c>
      <c r="Q83" s="40">
        <v>0</v>
      </c>
      <c r="R83" s="40">
        <v>0</v>
      </c>
      <c r="S83" s="61">
        <f t="shared" si="11"/>
        <v>61.600000000000101</v>
      </c>
      <c r="T83" s="40">
        <v>0</v>
      </c>
      <c r="U83" s="40">
        <v>0</v>
      </c>
      <c r="V83" s="40">
        <v>0</v>
      </c>
      <c r="W83" s="40">
        <v>0</v>
      </c>
      <c r="X83" s="67">
        <f t="shared" si="14"/>
        <v>104</v>
      </c>
      <c r="Z83" s="71"/>
      <c r="AA83" s="71"/>
      <c r="AB83" s="67" t="str">
        <f t="shared" si="12"/>
        <v/>
      </c>
      <c r="AD83" s="121"/>
      <c r="AE83" s="121"/>
    </row>
    <row r="84" spans="1:31" x14ac:dyDescent="0.25">
      <c r="A84" s="2" t="s">
        <v>700</v>
      </c>
      <c r="B84" s="65">
        <v>0.33333333333333331</v>
      </c>
      <c r="C84" s="2">
        <v>9.8000000000000007</v>
      </c>
      <c r="D84" s="10" t="s">
        <v>703</v>
      </c>
      <c r="E84" s="40">
        <v>0</v>
      </c>
      <c r="F84" s="40">
        <v>2</v>
      </c>
      <c r="G84" s="40">
        <v>1</v>
      </c>
      <c r="H84" s="3">
        <f t="shared" si="15"/>
        <v>0</v>
      </c>
      <c r="I84" s="3">
        <f t="shared" si="16"/>
        <v>0.81666666666666665</v>
      </c>
      <c r="J84" s="3">
        <f t="shared" si="17"/>
        <v>0.40833333333333333</v>
      </c>
      <c r="K84" s="3"/>
      <c r="L84" s="60">
        <f t="shared" si="13"/>
        <v>229.35333333333341</v>
      </c>
      <c r="M84" s="40">
        <v>0</v>
      </c>
      <c r="N84" s="40">
        <v>0</v>
      </c>
      <c r="O84" s="40">
        <v>0.1</v>
      </c>
      <c r="P84" s="40">
        <v>0</v>
      </c>
      <c r="Q84" s="40">
        <v>0</v>
      </c>
      <c r="R84" s="40">
        <v>0</v>
      </c>
      <c r="S84" s="61">
        <f t="shared" si="11"/>
        <v>61.500000000000099</v>
      </c>
      <c r="T84" s="40">
        <v>0</v>
      </c>
      <c r="U84" s="40">
        <v>0</v>
      </c>
      <c r="V84" s="40">
        <v>2</v>
      </c>
      <c r="W84" s="40">
        <v>0</v>
      </c>
      <c r="X84" s="67">
        <f t="shared" si="14"/>
        <v>102</v>
      </c>
      <c r="Z84" s="71">
        <v>81</v>
      </c>
      <c r="AA84" s="71">
        <v>30</v>
      </c>
      <c r="AB84" s="67">
        <f t="shared" si="12"/>
        <v>111</v>
      </c>
      <c r="AD84" s="121"/>
      <c r="AE84" s="121"/>
    </row>
    <row r="85" spans="1:31" x14ac:dyDescent="0.25">
      <c r="A85" s="2" t="s">
        <v>700</v>
      </c>
      <c r="B85" s="7">
        <v>0.43333333333333335</v>
      </c>
      <c r="C85" s="2">
        <v>2.4</v>
      </c>
      <c r="D85" s="10" t="s">
        <v>660</v>
      </c>
      <c r="E85" s="40">
        <v>0</v>
      </c>
      <c r="F85" s="40">
        <v>2</v>
      </c>
      <c r="G85" s="40">
        <v>1</v>
      </c>
      <c r="H85" s="3">
        <f t="shared" si="15"/>
        <v>0</v>
      </c>
      <c r="I85" s="3">
        <f t="shared" si="16"/>
        <v>0.19999999999999998</v>
      </c>
      <c r="J85" s="3">
        <f t="shared" si="17"/>
        <v>9.9999999999999992E-2</v>
      </c>
      <c r="K85" s="3"/>
      <c r="L85" s="60">
        <f t="shared" si="13"/>
        <v>229.0533333333334</v>
      </c>
      <c r="M85" s="40">
        <v>0</v>
      </c>
      <c r="N85" s="40">
        <v>0</v>
      </c>
      <c r="O85" s="40">
        <v>0</v>
      </c>
      <c r="P85" s="40">
        <v>0</v>
      </c>
      <c r="Q85" s="40">
        <v>0</v>
      </c>
      <c r="R85" s="40">
        <v>0</v>
      </c>
      <c r="S85" s="61">
        <f t="shared" si="11"/>
        <v>61.500000000000099</v>
      </c>
      <c r="T85" s="40">
        <v>0</v>
      </c>
      <c r="U85" s="40">
        <v>0</v>
      </c>
      <c r="V85" s="40">
        <v>0</v>
      </c>
      <c r="W85" s="40">
        <v>0</v>
      </c>
      <c r="X85" s="67">
        <f t="shared" si="14"/>
        <v>102</v>
      </c>
      <c r="Z85" s="71"/>
      <c r="AA85" s="71"/>
      <c r="AB85" s="67" t="str">
        <f t="shared" si="12"/>
        <v/>
      </c>
      <c r="AD85" s="121"/>
      <c r="AE85" s="121"/>
    </row>
    <row r="86" spans="1:31" x14ac:dyDescent="0.25">
      <c r="A86" s="2" t="s">
        <v>700</v>
      </c>
      <c r="B86" s="7">
        <v>0.49583333333333335</v>
      </c>
      <c r="C86" s="2">
        <v>1.6</v>
      </c>
      <c r="D86" s="10" t="s">
        <v>704</v>
      </c>
      <c r="E86" s="40">
        <v>8</v>
      </c>
      <c r="F86" s="40">
        <v>2</v>
      </c>
      <c r="G86" s="40">
        <v>0</v>
      </c>
      <c r="H86" s="3">
        <f t="shared" si="15"/>
        <v>0.53333333333333333</v>
      </c>
      <c r="I86" s="3">
        <f t="shared" si="16"/>
        <v>0.13333333333333333</v>
      </c>
      <c r="J86" s="3">
        <f t="shared" si="17"/>
        <v>0</v>
      </c>
      <c r="K86" s="3"/>
      <c r="L86" s="60">
        <f t="shared" si="13"/>
        <v>228.38666666666674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61">
        <f t="shared" si="11"/>
        <v>61.500000000000099</v>
      </c>
      <c r="T86" s="40">
        <v>0</v>
      </c>
      <c r="U86" s="40">
        <v>0</v>
      </c>
      <c r="V86" s="40">
        <v>0</v>
      </c>
      <c r="W86" s="40">
        <v>0</v>
      </c>
      <c r="X86" s="67">
        <f t="shared" si="14"/>
        <v>102</v>
      </c>
      <c r="Z86" s="71"/>
      <c r="AA86" s="71"/>
      <c r="AB86" s="67" t="str">
        <f t="shared" si="12"/>
        <v/>
      </c>
      <c r="AD86" s="121"/>
      <c r="AE86" s="121"/>
    </row>
    <row r="87" spans="1:31" x14ac:dyDescent="0.25">
      <c r="A87" s="2" t="s">
        <v>701</v>
      </c>
      <c r="B87" s="7">
        <v>0.10833333333333334</v>
      </c>
      <c r="C87" s="2">
        <v>14.7</v>
      </c>
      <c r="D87" s="10" t="s">
        <v>660</v>
      </c>
      <c r="E87" s="40">
        <v>0</v>
      </c>
      <c r="F87" s="40">
        <v>3</v>
      </c>
      <c r="G87" s="40">
        <v>1</v>
      </c>
      <c r="H87" s="3">
        <f t="shared" si="15"/>
        <v>0</v>
      </c>
      <c r="I87" s="3">
        <f t="shared" si="16"/>
        <v>1.8374999999999999</v>
      </c>
      <c r="J87" s="3">
        <f t="shared" si="17"/>
        <v>0.61249999999999993</v>
      </c>
      <c r="K87" s="3"/>
      <c r="L87" s="60">
        <f t="shared" si="13"/>
        <v>225.93666666666675</v>
      </c>
      <c r="M87" s="40">
        <v>0</v>
      </c>
      <c r="N87" s="40">
        <v>0</v>
      </c>
      <c r="O87" s="40">
        <v>0</v>
      </c>
      <c r="P87" s="40">
        <v>0.5</v>
      </c>
      <c r="Q87" s="40">
        <v>2.1</v>
      </c>
      <c r="R87" s="40">
        <v>0</v>
      </c>
      <c r="S87" s="61">
        <f t="shared" si="11"/>
        <v>58.900000000000098</v>
      </c>
      <c r="T87" s="40">
        <v>0</v>
      </c>
      <c r="U87" s="40">
        <v>0</v>
      </c>
      <c r="V87" s="40">
        <v>2</v>
      </c>
      <c r="W87" s="40">
        <v>0</v>
      </c>
      <c r="X87" s="67">
        <v>99</v>
      </c>
      <c r="Z87" s="71"/>
      <c r="AA87" s="71"/>
      <c r="AB87" s="67" t="str">
        <f t="shared" si="12"/>
        <v/>
      </c>
      <c r="AD87" s="121"/>
      <c r="AE87" s="121"/>
    </row>
    <row r="88" spans="1:31" x14ac:dyDescent="0.25">
      <c r="A88" s="2" t="s">
        <v>701</v>
      </c>
      <c r="B88" s="7">
        <v>0.14583333333333334</v>
      </c>
      <c r="C88" s="2">
        <v>0.9</v>
      </c>
      <c r="D88" s="10" t="s">
        <v>105</v>
      </c>
      <c r="E88" s="40">
        <v>8</v>
      </c>
      <c r="F88" s="40">
        <v>2.4</v>
      </c>
      <c r="G88" s="40">
        <v>1</v>
      </c>
      <c r="H88" s="3">
        <f t="shared" si="15"/>
        <v>0.3</v>
      </c>
      <c r="I88" s="3">
        <f t="shared" si="16"/>
        <v>0.09</v>
      </c>
      <c r="J88" s="3">
        <f t="shared" si="17"/>
        <v>3.7499999999999999E-2</v>
      </c>
      <c r="K88" s="3"/>
      <c r="L88" s="60">
        <f t="shared" si="13"/>
        <v>225.50916666666674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40">
        <v>0</v>
      </c>
      <c r="S88" s="61">
        <f t="shared" si="11"/>
        <v>58.900000000000098</v>
      </c>
      <c r="T88" s="40">
        <v>0</v>
      </c>
      <c r="U88" s="40">
        <v>0</v>
      </c>
      <c r="V88" s="40">
        <v>1</v>
      </c>
      <c r="W88" s="40">
        <v>0</v>
      </c>
      <c r="X88" s="67">
        <f t="shared" si="14"/>
        <v>98</v>
      </c>
      <c r="Z88" s="71"/>
      <c r="AA88" s="71"/>
      <c r="AB88" s="67" t="str">
        <f t="shared" si="12"/>
        <v/>
      </c>
      <c r="AD88" s="121"/>
      <c r="AE88" s="121"/>
    </row>
    <row r="89" spans="1:31" x14ac:dyDescent="0.25">
      <c r="A89" s="2" t="s">
        <v>701</v>
      </c>
      <c r="B89" s="65">
        <v>0.33333333333333331</v>
      </c>
      <c r="C89" s="2">
        <v>4.5</v>
      </c>
      <c r="D89" s="10" t="s">
        <v>695</v>
      </c>
      <c r="E89" s="40">
        <v>22</v>
      </c>
      <c r="F89" s="40">
        <v>2</v>
      </c>
      <c r="G89" s="40">
        <v>0</v>
      </c>
      <c r="H89" s="3">
        <f t="shared" si="15"/>
        <v>4.125</v>
      </c>
      <c r="I89" s="3">
        <f t="shared" si="16"/>
        <v>0.375</v>
      </c>
      <c r="J89" s="3">
        <f t="shared" si="17"/>
        <v>0</v>
      </c>
      <c r="K89" s="3"/>
      <c r="L89" s="60">
        <f t="shared" si="13"/>
        <v>221.00916666666674</v>
      </c>
      <c r="M89" s="40">
        <v>0</v>
      </c>
      <c r="N89" s="40">
        <v>0</v>
      </c>
      <c r="O89" s="40">
        <v>0</v>
      </c>
      <c r="P89" s="40">
        <v>0</v>
      </c>
      <c r="Q89" s="40">
        <v>0</v>
      </c>
      <c r="R89" s="40">
        <v>0</v>
      </c>
      <c r="S89" s="61">
        <f t="shared" si="11"/>
        <v>58.900000000000098</v>
      </c>
      <c r="T89" s="40">
        <v>0</v>
      </c>
      <c r="U89" s="40">
        <v>0</v>
      </c>
      <c r="V89" s="40">
        <v>0</v>
      </c>
      <c r="W89" s="40">
        <v>0</v>
      </c>
      <c r="X89" s="67">
        <f t="shared" si="14"/>
        <v>98</v>
      </c>
      <c r="Z89" s="71">
        <v>76</v>
      </c>
      <c r="AA89" s="71">
        <v>30</v>
      </c>
      <c r="AB89" s="67">
        <f t="shared" si="12"/>
        <v>106</v>
      </c>
      <c r="AD89" s="121">
        <v>12.4</v>
      </c>
      <c r="AE89" s="121" t="s">
        <v>1301</v>
      </c>
    </row>
    <row r="90" spans="1:31" x14ac:dyDescent="0.25">
      <c r="A90" s="2" t="s">
        <v>701</v>
      </c>
      <c r="B90" s="7">
        <v>0.38750000000000001</v>
      </c>
      <c r="C90" s="2">
        <v>1.3</v>
      </c>
      <c r="D90" s="10" t="s">
        <v>705</v>
      </c>
      <c r="E90" s="40">
        <v>8</v>
      </c>
      <c r="F90" s="40">
        <v>2</v>
      </c>
      <c r="G90" s="40">
        <v>0</v>
      </c>
      <c r="H90" s="3">
        <f t="shared" si="15"/>
        <v>0.43333333333333335</v>
      </c>
      <c r="I90" s="3">
        <f t="shared" si="16"/>
        <v>0.10833333333333334</v>
      </c>
      <c r="J90" s="3">
        <f t="shared" si="17"/>
        <v>0</v>
      </c>
      <c r="K90" s="3"/>
      <c r="L90" s="60">
        <f t="shared" si="13"/>
        <v>220.46750000000009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61">
        <f t="shared" si="11"/>
        <v>58.900000000000098</v>
      </c>
      <c r="T90" s="40">
        <v>0</v>
      </c>
      <c r="U90" s="40">
        <v>0</v>
      </c>
      <c r="V90" s="40">
        <v>0</v>
      </c>
      <c r="W90" s="40">
        <v>0</v>
      </c>
      <c r="X90" s="67">
        <f t="shared" si="14"/>
        <v>98</v>
      </c>
      <c r="Z90" s="71"/>
      <c r="AA90" s="71"/>
      <c r="AB90" s="67" t="str">
        <f t="shared" si="12"/>
        <v/>
      </c>
      <c r="AD90" s="121"/>
      <c r="AE90" s="121"/>
    </row>
    <row r="91" spans="1:31" x14ac:dyDescent="0.25">
      <c r="A91" s="2" t="s">
        <v>701</v>
      </c>
      <c r="B91" s="7">
        <v>0.54166666666666663</v>
      </c>
      <c r="C91" s="2">
        <v>3.7</v>
      </c>
      <c r="D91" s="10" t="s">
        <v>660</v>
      </c>
      <c r="E91" s="40">
        <v>0</v>
      </c>
      <c r="F91" s="40">
        <v>2</v>
      </c>
      <c r="G91" s="40">
        <v>1</v>
      </c>
      <c r="H91" s="3">
        <f t="shared" si="15"/>
        <v>0</v>
      </c>
      <c r="I91" s="3">
        <f t="shared" si="16"/>
        <v>0.30833333333333335</v>
      </c>
      <c r="J91" s="3">
        <f t="shared" si="17"/>
        <v>0.15416666666666667</v>
      </c>
      <c r="K91" s="3"/>
      <c r="L91" s="60">
        <f t="shared" si="13"/>
        <v>220.00500000000008</v>
      </c>
      <c r="M91" s="40">
        <v>0</v>
      </c>
      <c r="N91" s="40">
        <v>0</v>
      </c>
      <c r="O91" s="40">
        <v>0</v>
      </c>
      <c r="P91" s="40">
        <v>0</v>
      </c>
      <c r="Q91" s="40">
        <v>0</v>
      </c>
      <c r="R91" s="40">
        <v>0</v>
      </c>
      <c r="S91" s="61">
        <f t="shared" si="11"/>
        <v>58.900000000000098</v>
      </c>
      <c r="T91" s="40">
        <v>0</v>
      </c>
      <c r="U91" s="40">
        <v>0</v>
      </c>
      <c r="V91" s="40">
        <v>1</v>
      </c>
      <c r="W91" s="40">
        <v>0</v>
      </c>
      <c r="X91" s="67">
        <f t="shared" si="14"/>
        <v>97</v>
      </c>
      <c r="Z91" s="71"/>
      <c r="AA91" s="71"/>
      <c r="AB91" s="67" t="str">
        <f t="shared" si="12"/>
        <v/>
      </c>
      <c r="AD91" s="121"/>
      <c r="AE91" s="121"/>
    </row>
    <row r="92" spans="1:31" x14ac:dyDescent="0.25">
      <c r="A92" s="2" t="s">
        <v>701</v>
      </c>
      <c r="B92" s="7">
        <v>0.5625</v>
      </c>
      <c r="C92" s="2">
        <v>0.5</v>
      </c>
      <c r="D92" s="10" t="s">
        <v>105</v>
      </c>
      <c r="E92" s="40">
        <v>10</v>
      </c>
      <c r="F92" s="40">
        <v>2</v>
      </c>
      <c r="G92" s="40">
        <v>0</v>
      </c>
      <c r="H92" s="3">
        <f t="shared" si="15"/>
        <v>0.20833333333333334</v>
      </c>
      <c r="I92" s="3">
        <f t="shared" si="16"/>
        <v>4.1666666666666664E-2</v>
      </c>
      <c r="J92" s="3">
        <f t="shared" si="17"/>
        <v>0</v>
      </c>
      <c r="K92" s="3"/>
      <c r="L92" s="60">
        <f t="shared" si="13"/>
        <v>219.75500000000008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61">
        <f t="shared" si="11"/>
        <v>58.900000000000098</v>
      </c>
      <c r="T92" s="40">
        <v>0</v>
      </c>
      <c r="U92" s="40">
        <v>0</v>
      </c>
      <c r="V92" s="40">
        <v>0</v>
      </c>
      <c r="W92" s="40">
        <v>0</v>
      </c>
      <c r="X92" s="67">
        <f t="shared" si="14"/>
        <v>97</v>
      </c>
      <c r="Z92" s="71"/>
      <c r="AA92" s="71"/>
      <c r="AB92" s="67" t="str">
        <f t="shared" si="12"/>
        <v/>
      </c>
      <c r="AD92" s="121"/>
      <c r="AE92" s="121"/>
    </row>
    <row r="93" spans="1:31" x14ac:dyDescent="0.25">
      <c r="A93" s="2" t="s">
        <v>701</v>
      </c>
      <c r="B93" s="7">
        <v>0.58333333333333337</v>
      </c>
      <c r="C93" s="2">
        <v>0.5</v>
      </c>
      <c r="D93" s="10" t="s">
        <v>695</v>
      </c>
      <c r="E93" s="40">
        <v>20</v>
      </c>
      <c r="F93" s="40">
        <v>2</v>
      </c>
      <c r="G93" s="40">
        <v>0</v>
      </c>
      <c r="H93" s="3">
        <f t="shared" si="15"/>
        <v>0.41666666666666669</v>
      </c>
      <c r="I93" s="3">
        <f t="shared" si="16"/>
        <v>4.1666666666666664E-2</v>
      </c>
      <c r="J93" s="3">
        <f t="shared" si="17"/>
        <v>0</v>
      </c>
      <c r="K93" s="3"/>
      <c r="L93" s="60">
        <f t="shared" si="13"/>
        <v>219.29666666666674</v>
      </c>
      <c r="M93" s="40">
        <v>0</v>
      </c>
      <c r="N93" s="40">
        <v>0</v>
      </c>
      <c r="O93" s="40">
        <v>0</v>
      </c>
      <c r="P93" s="40">
        <v>0</v>
      </c>
      <c r="Q93" s="40">
        <v>0</v>
      </c>
      <c r="R93" s="40">
        <v>0</v>
      </c>
      <c r="S93" s="61">
        <f t="shared" si="11"/>
        <v>58.900000000000098</v>
      </c>
      <c r="T93" s="40">
        <v>0</v>
      </c>
      <c r="U93" s="40">
        <v>0</v>
      </c>
      <c r="V93" s="40">
        <v>0</v>
      </c>
      <c r="W93" s="40">
        <v>0</v>
      </c>
      <c r="X93" s="67">
        <f t="shared" si="14"/>
        <v>97</v>
      </c>
      <c r="Z93" s="71"/>
      <c r="AA93" s="71"/>
      <c r="AB93" s="67" t="str">
        <f t="shared" si="12"/>
        <v/>
      </c>
      <c r="AD93" s="121">
        <v>12.2</v>
      </c>
      <c r="AE93" s="121" t="s">
        <v>1303</v>
      </c>
    </row>
    <row r="94" spans="1:31" x14ac:dyDescent="0.25">
      <c r="A94" s="2" t="s">
        <v>701</v>
      </c>
      <c r="B94" s="7">
        <v>0.66666666666666663</v>
      </c>
      <c r="C94" s="2">
        <v>2</v>
      </c>
      <c r="D94" s="10" t="s">
        <v>706</v>
      </c>
      <c r="E94" s="40">
        <v>8</v>
      </c>
      <c r="F94" s="40">
        <v>2</v>
      </c>
      <c r="G94" s="40">
        <v>0</v>
      </c>
      <c r="H94" s="3">
        <f t="shared" si="15"/>
        <v>0.66666666666666663</v>
      </c>
      <c r="I94" s="3">
        <f t="shared" si="16"/>
        <v>0.16666666666666666</v>
      </c>
      <c r="J94" s="3">
        <f t="shared" si="17"/>
        <v>0</v>
      </c>
      <c r="K94" s="3"/>
      <c r="L94" s="60">
        <f t="shared" si="13"/>
        <v>218.4633333333334</v>
      </c>
      <c r="M94" s="40">
        <v>0</v>
      </c>
      <c r="N94" s="40">
        <v>0</v>
      </c>
      <c r="O94" s="40">
        <v>0</v>
      </c>
      <c r="P94" s="40">
        <v>0</v>
      </c>
      <c r="Q94" s="40">
        <v>0</v>
      </c>
      <c r="R94" s="40">
        <v>0</v>
      </c>
      <c r="S94" s="61">
        <f t="shared" si="11"/>
        <v>58.900000000000098</v>
      </c>
      <c r="T94" s="40">
        <v>0</v>
      </c>
      <c r="U94" s="40">
        <v>0</v>
      </c>
      <c r="V94" s="40">
        <v>0</v>
      </c>
      <c r="W94" s="40">
        <v>0</v>
      </c>
      <c r="X94" s="67">
        <f t="shared" si="14"/>
        <v>97</v>
      </c>
      <c r="Z94" s="71"/>
      <c r="AA94" s="71"/>
      <c r="AB94" s="67" t="str">
        <f t="shared" si="12"/>
        <v/>
      </c>
      <c r="AD94" s="121"/>
      <c r="AE94" s="121"/>
    </row>
    <row r="95" spans="1:31" x14ac:dyDescent="0.25">
      <c r="A95" s="2" t="s">
        <v>707</v>
      </c>
      <c r="B95" s="65">
        <v>0.33333333333333331</v>
      </c>
      <c r="C95" s="2">
        <v>16</v>
      </c>
      <c r="D95" s="10" t="s">
        <v>706</v>
      </c>
      <c r="E95" s="40">
        <v>0</v>
      </c>
      <c r="F95" s="40">
        <v>2.5</v>
      </c>
      <c r="G95" s="40">
        <v>1</v>
      </c>
      <c r="H95" s="3">
        <f t="shared" si="15"/>
        <v>0</v>
      </c>
      <c r="I95" s="3">
        <f t="shared" si="16"/>
        <v>1.6666666666666667</v>
      </c>
      <c r="J95" s="3">
        <f t="shared" si="17"/>
        <v>0.66666666666666663</v>
      </c>
      <c r="K95" s="3"/>
      <c r="L95" s="60">
        <f t="shared" si="13"/>
        <v>216.13000000000005</v>
      </c>
      <c r="M95" s="40">
        <v>0</v>
      </c>
      <c r="N95" s="40">
        <v>0.1</v>
      </c>
      <c r="O95" s="40">
        <v>0</v>
      </c>
      <c r="P95" s="40">
        <v>0.6</v>
      </c>
      <c r="Q95" s="40">
        <v>4</v>
      </c>
      <c r="R95" s="40">
        <v>0</v>
      </c>
      <c r="S95" s="61">
        <f t="shared" si="11"/>
        <v>54.200000000000095</v>
      </c>
      <c r="T95" s="40">
        <v>0</v>
      </c>
      <c r="U95" s="40">
        <v>0</v>
      </c>
      <c r="V95" s="40">
        <v>3</v>
      </c>
      <c r="W95" s="40">
        <v>0</v>
      </c>
      <c r="X95" s="67">
        <f t="shared" si="14"/>
        <v>94</v>
      </c>
      <c r="Z95" s="71"/>
      <c r="AA95" s="71"/>
      <c r="AB95" s="67" t="str">
        <f t="shared" si="12"/>
        <v/>
      </c>
      <c r="AD95" s="121"/>
      <c r="AE95" s="121"/>
    </row>
    <row r="96" spans="1:31" x14ac:dyDescent="0.25">
      <c r="A96" s="2" t="s">
        <v>708</v>
      </c>
      <c r="B96" s="7">
        <v>0.22916666666666666</v>
      </c>
      <c r="C96" s="2">
        <v>21.5</v>
      </c>
      <c r="D96" s="10" t="s">
        <v>660</v>
      </c>
      <c r="E96" s="40">
        <v>0</v>
      </c>
      <c r="F96" s="40">
        <v>2.5</v>
      </c>
      <c r="G96" s="40">
        <v>1</v>
      </c>
      <c r="H96" s="3">
        <f t="shared" si="15"/>
        <v>0</v>
      </c>
      <c r="I96" s="3">
        <f t="shared" si="16"/>
        <v>2.2395833333333335</v>
      </c>
      <c r="J96" s="3">
        <f t="shared" si="17"/>
        <v>0.89583333333333326</v>
      </c>
      <c r="K96" s="3"/>
      <c r="L96" s="60">
        <f t="shared" si="13"/>
        <v>212.9945833333334</v>
      </c>
      <c r="M96" s="40">
        <v>0</v>
      </c>
      <c r="N96" s="40">
        <v>0.1</v>
      </c>
      <c r="O96" s="40">
        <v>0</v>
      </c>
      <c r="P96" s="40">
        <v>0</v>
      </c>
      <c r="Q96" s="40">
        <v>4.4000000000000004</v>
      </c>
      <c r="R96" s="40">
        <v>0</v>
      </c>
      <c r="S96" s="61">
        <f t="shared" si="11"/>
        <v>49.700000000000095</v>
      </c>
      <c r="T96" s="40">
        <v>0</v>
      </c>
      <c r="U96" s="40">
        <v>0</v>
      </c>
      <c r="V96" s="40">
        <v>3</v>
      </c>
      <c r="W96" s="40">
        <v>0</v>
      </c>
      <c r="X96" s="67">
        <f t="shared" si="14"/>
        <v>91</v>
      </c>
      <c r="Z96" s="71"/>
      <c r="AA96" s="71"/>
      <c r="AB96" s="67" t="str">
        <f t="shared" si="12"/>
        <v/>
      </c>
      <c r="AD96" s="121"/>
      <c r="AE96" s="121"/>
    </row>
    <row r="97" spans="1:31" x14ac:dyDescent="0.25">
      <c r="A97" s="2" t="s">
        <v>708</v>
      </c>
      <c r="B97" s="7">
        <v>0.25</v>
      </c>
      <c r="C97" s="2">
        <v>0.5</v>
      </c>
      <c r="D97" s="10" t="s">
        <v>105</v>
      </c>
      <c r="E97" s="40">
        <v>10</v>
      </c>
      <c r="F97" s="40">
        <v>2.5</v>
      </c>
      <c r="G97" s="40">
        <v>0</v>
      </c>
      <c r="H97" s="3">
        <f t="shared" si="15"/>
        <v>0.20833333333333334</v>
      </c>
      <c r="I97" s="3">
        <f t="shared" si="16"/>
        <v>5.2083333333333336E-2</v>
      </c>
      <c r="J97" s="3">
        <f t="shared" si="17"/>
        <v>0</v>
      </c>
      <c r="K97" s="3"/>
      <c r="L97" s="60">
        <f t="shared" si="13"/>
        <v>212.73416666666674</v>
      </c>
      <c r="M97" s="40">
        <v>0</v>
      </c>
      <c r="N97" s="40">
        <v>0</v>
      </c>
      <c r="O97" s="40">
        <v>0</v>
      </c>
      <c r="P97" s="40">
        <v>0</v>
      </c>
      <c r="Q97" s="40">
        <v>0</v>
      </c>
      <c r="R97" s="40">
        <v>0</v>
      </c>
      <c r="S97" s="61">
        <f t="shared" si="11"/>
        <v>49.700000000000095</v>
      </c>
      <c r="T97" s="40">
        <v>0</v>
      </c>
      <c r="U97" s="40">
        <v>0</v>
      </c>
      <c r="V97" s="40">
        <v>1</v>
      </c>
      <c r="W97" s="40">
        <v>0</v>
      </c>
      <c r="X97" s="67">
        <f t="shared" si="14"/>
        <v>90</v>
      </c>
      <c r="Z97" s="71"/>
      <c r="AA97" s="71"/>
      <c r="AB97" s="67" t="str">
        <f t="shared" si="12"/>
        <v/>
      </c>
      <c r="AD97" s="121"/>
      <c r="AE97" s="121"/>
    </row>
    <row r="98" spans="1:31" x14ac:dyDescent="0.25">
      <c r="A98" s="2" t="s">
        <v>82</v>
      </c>
      <c r="B98" s="65">
        <v>0.33333333333333331</v>
      </c>
      <c r="C98" s="2">
        <v>2</v>
      </c>
      <c r="D98" s="10" t="s">
        <v>665</v>
      </c>
      <c r="E98" s="40">
        <v>22</v>
      </c>
      <c r="F98" s="40">
        <v>2</v>
      </c>
      <c r="G98" s="40">
        <v>0</v>
      </c>
      <c r="H98" s="3">
        <f t="shared" si="15"/>
        <v>1.8333333333333333</v>
      </c>
      <c r="I98" s="3">
        <f t="shared" si="16"/>
        <v>0.16666666666666666</v>
      </c>
      <c r="J98" s="3">
        <f t="shared" si="17"/>
        <v>0</v>
      </c>
      <c r="K98" s="3"/>
      <c r="L98" s="60">
        <f t="shared" si="13"/>
        <v>210.73416666666674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61">
        <f t="shared" si="11"/>
        <v>49.700000000000095</v>
      </c>
      <c r="T98" s="40">
        <v>0</v>
      </c>
      <c r="U98" s="40">
        <v>0</v>
      </c>
      <c r="V98" s="40">
        <v>0</v>
      </c>
      <c r="W98" s="40">
        <v>0</v>
      </c>
      <c r="X98" s="67">
        <f t="shared" si="14"/>
        <v>90</v>
      </c>
      <c r="Z98" s="71"/>
      <c r="AA98" s="71"/>
      <c r="AB98" s="67" t="str">
        <f t="shared" si="12"/>
        <v/>
      </c>
      <c r="AD98" s="121"/>
      <c r="AE98" s="121"/>
    </row>
    <row r="99" spans="1:31" x14ac:dyDescent="0.25">
      <c r="A99" s="2" t="s">
        <v>709</v>
      </c>
      <c r="B99" s="65">
        <v>0.33333333333333331</v>
      </c>
      <c r="C99" s="2">
        <v>24</v>
      </c>
      <c r="D99" s="10" t="s">
        <v>665</v>
      </c>
      <c r="E99" s="40">
        <v>23</v>
      </c>
      <c r="F99" s="40">
        <v>2</v>
      </c>
      <c r="G99" s="40">
        <v>0</v>
      </c>
      <c r="H99" s="3">
        <f t="shared" si="15"/>
        <v>23</v>
      </c>
      <c r="I99" s="3">
        <f t="shared" si="16"/>
        <v>2</v>
      </c>
      <c r="J99" s="3">
        <f t="shared" si="17"/>
        <v>0</v>
      </c>
      <c r="K99" s="3"/>
      <c r="L99" s="60">
        <f t="shared" si="13"/>
        <v>185.73416666666674</v>
      </c>
      <c r="M99" s="40">
        <v>0</v>
      </c>
      <c r="N99" s="40">
        <v>0</v>
      </c>
      <c r="O99" s="40">
        <v>0.1</v>
      </c>
      <c r="P99" s="40">
        <v>0</v>
      </c>
      <c r="Q99" s="40">
        <v>1</v>
      </c>
      <c r="R99" s="40">
        <v>0</v>
      </c>
      <c r="S99" s="61">
        <f t="shared" si="11"/>
        <v>48.600000000000094</v>
      </c>
      <c r="T99" s="40">
        <v>0</v>
      </c>
      <c r="U99" s="40">
        <v>0</v>
      </c>
      <c r="V99" s="40">
        <v>0</v>
      </c>
      <c r="W99" s="40">
        <v>4</v>
      </c>
      <c r="X99" s="67">
        <f t="shared" si="14"/>
        <v>86</v>
      </c>
      <c r="Z99" s="71">
        <v>56</v>
      </c>
      <c r="AA99" s="71">
        <v>30</v>
      </c>
      <c r="AB99" s="67">
        <f t="shared" si="12"/>
        <v>86</v>
      </c>
      <c r="AD99" s="121"/>
      <c r="AE99" s="121"/>
    </row>
    <row r="100" spans="1:31" x14ac:dyDescent="0.25">
      <c r="A100" s="2" t="s">
        <v>709</v>
      </c>
      <c r="B100" s="7">
        <v>0.39583333333333331</v>
      </c>
      <c r="C100" s="2">
        <v>1.5</v>
      </c>
      <c r="D100" s="10" t="s">
        <v>695</v>
      </c>
      <c r="E100" s="40">
        <v>20</v>
      </c>
      <c r="F100" s="40">
        <v>2</v>
      </c>
      <c r="G100" s="40">
        <v>0</v>
      </c>
      <c r="H100" s="3">
        <f t="shared" si="15"/>
        <v>1.25</v>
      </c>
      <c r="I100" s="3">
        <f t="shared" si="16"/>
        <v>0.125</v>
      </c>
      <c r="J100" s="3">
        <f t="shared" si="17"/>
        <v>0</v>
      </c>
      <c r="K100" s="3"/>
      <c r="L100" s="60">
        <f t="shared" si="13"/>
        <v>184.35916666666674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61">
        <f t="shared" si="11"/>
        <v>48.600000000000094</v>
      </c>
      <c r="T100" s="40">
        <v>0</v>
      </c>
      <c r="U100" s="40">
        <v>0</v>
      </c>
      <c r="V100" s="40">
        <v>0</v>
      </c>
      <c r="W100" s="40">
        <v>0</v>
      </c>
      <c r="X100" s="67">
        <f t="shared" si="14"/>
        <v>86</v>
      </c>
      <c r="Z100" s="71"/>
      <c r="AA100" s="71"/>
      <c r="AB100" s="67" t="str">
        <f t="shared" si="12"/>
        <v/>
      </c>
      <c r="AD100" s="121">
        <v>12</v>
      </c>
      <c r="AE100" s="121" t="s">
        <v>1301</v>
      </c>
    </row>
    <row r="101" spans="1:31" x14ac:dyDescent="0.25">
      <c r="A101" s="2" t="s">
        <v>709</v>
      </c>
      <c r="B101" s="7">
        <v>0.58750000000000002</v>
      </c>
      <c r="C101" s="2">
        <v>4.5999999999999996</v>
      </c>
      <c r="D101" s="10" t="s">
        <v>710</v>
      </c>
      <c r="E101" s="40">
        <v>4</v>
      </c>
      <c r="F101" s="40">
        <v>2</v>
      </c>
      <c r="G101" s="40">
        <v>0</v>
      </c>
      <c r="H101" s="3">
        <f t="shared" si="15"/>
        <v>0.76666666666666661</v>
      </c>
      <c r="I101" s="3">
        <f t="shared" si="16"/>
        <v>0.3833333333333333</v>
      </c>
      <c r="J101" s="3">
        <f t="shared" si="17"/>
        <v>0</v>
      </c>
      <c r="K101" s="3"/>
      <c r="L101" s="60">
        <f t="shared" si="13"/>
        <v>183.20916666666673</v>
      </c>
      <c r="M101" s="40">
        <v>0</v>
      </c>
      <c r="N101" s="40">
        <v>0</v>
      </c>
      <c r="O101" s="40">
        <v>0</v>
      </c>
      <c r="P101" s="40">
        <v>0</v>
      </c>
      <c r="Q101" s="40">
        <v>0</v>
      </c>
      <c r="R101" s="40">
        <v>0</v>
      </c>
      <c r="S101" s="61">
        <f t="shared" si="11"/>
        <v>48.600000000000094</v>
      </c>
      <c r="T101" s="40">
        <v>0</v>
      </c>
      <c r="U101" s="40">
        <v>0</v>
      </c>
      <c r="V101" s="40">
        <v>0</v>
      </c>
      <c r="W101" s="40">
        <v>1</v>
      </c>
      <c r="X101" s="67">
        <f t="shared" si="14"/>
        <v>85</v>
      </c>
      <c r="Z101" s="71"/>
      <c r="AA101" s="71"/>
      <c r="AB101" s="67" t="str">
        <f t="shared" si="12"/>
        <v/>
      </c>
      <c r="AD101" s="121"/>
      <c r="AE101" s="121"/>
    </row>
    <row r="102" spans="1:31" x14ac:dyDescent="0.25">
      <c r="A102" s="2" t="s">
        <v>711</v>
      </c>
      <c r="B102" s="7">
        <v>0.14166666666666666</v>
      </c>
      <c r="C102" s="2">
        <v>13.3</v>
      </c>
      <c r="D102" s="10" t="s">
        <v>660</v>
      </c>
      <c r="E102" s="40">
        <v>0</v>
      </c>
      <c r="F102" s="40">
        <v>2</v>
      </c>
      <c r="G102" s="40">
        <v>1</v>
      </c>
      <c r="H102" s="3">
        <f t="shared" si="15"/>
        <v>0</v>
      </c>
      <c r="I102" s="3">
        <f t="shared" si="16"/>
        <v>1.1083333333333334</v>
      </c>
      <c r="J102" s="3">
        <f t="shared" si="17"/>
        <v>0.5541666666666667</v>
      </c>
      <c r="K102" s="3"/>
      <c r="L102" s="60">
        <f t="shared" si="13"/>
        <v>181.54666666666674</v>
      </c>
      <c r="M102" s="40">
        <v>0</v>
      </c>
      <c r="N102" s="40">
        <v>0</v>
      </c>
      <c r="O102" s="40">
        <v>0.1</v>
      </c>
      <c r="P102" s="40">
        <v>0</v>
      </c>
      <c r="Q102" s="40">
        <v>2.7</v>
      </c>
      <c r="R102" s="40">
        <v>0</v>
      </c>
      <c r="S102" s="61">
        <f t="shared" si="11"/>
        <v>45.800000000000097</v>
      </c>
      <c r="T102" s="40">
        <v>0</v>
      </c>
      <c r="U102" s="40">
        <v>0</v>
      </c>
      <c r="V102" s="40">
        <v>0</v>
      </c>
      <c r="W102" s="40">
        <v>2</v>
      </c>
      <c r="X102" s="67">
        <f t="shared" si="14"/>
        <v>83</v>
      </c>
      <c r="Z102" s="71"/>
      <c r="AA102" s="71"/>
      <c r="AB102" s="67" t="str">
        <f t="shared" si="12"/>
        <v/>
      </c>
      <c r="AD102" s="121"/>
      <c r="AE102" s="121"/>
    </row>
    <row r="103" spans="1:31" x14ac:dyDescent="0.25">
      <c r="A103" s="2" t="s">
        <v>711</v>
      </c>
      <c r="B103" s="7">
        <v>0.1875</v>
      </c>
      <c r="C103" s="2">
        <v>1.1000000000000001</v>
      </c>
      <c r="D103" s="10" t="s">
        <v>105</v>
      </c>
      <c r="E103" s="40">
        <v>12</v>
      </c>
      <c r="F103" s="40">
        <v>2</v>
      </c>
      <c r="G103" s="40">
        <v>0</v>
      </c>
      <c r="H103" s="3">
        <f t="shared" si="15"/>
        <v>0.55000000000000004</v>
      </c>
      <c r="I103" s="3">
        <f t="shared" si="16"/>
        <v>9.1666666666666674E-2</v>
      </c>
      <c r="J103" s="3">
        <f t="shared" si="17"/>
        <v>0</v>
      </c>
      <c r="K103" s="3"/>
      <c r="L103" s="60">
        <f t="shared" si="13"/>
        <v>180.90500000000006</v>
      </c>
      <c r="M103" s="40">
        <v>0</v>
      </c>
      <c r="N103" s="40">
        <v>0</v>
      </c>
      <c r="O103" s="40">
        <v>0</v>
      </c>
      <c r="P103" s="40">
        <v>0</v>
      </c>
      <c r="Q103" s="40">
        <v>0</v>
      </c>
      <c r="R103" s="40">
        <v>0</v>
      </c>
      <c r="S103" s="61">
        <v>45.8</v>
      </c>
      <c r="T103" s="40">
        <v>0</v>
      </c>
      <c r="U103" s="40">
        <v>0</v>
      </c>
      <c r="V103" s="40">
        <v>0</v>
      </c>
      <c r="W103" s="40">
        <v>0</v>
      </c>
      <c r="X103" s="67">
        <v>83</v>
      </c>
      <c r="Z103" s="71"/>
      <c r="AA103" s="71"/>
      <c r="AB103" s="67" t="str">
        <f t="shared" si="12"/>
        <v/>
      </c>
      <c r="AD103" s="121"/>
      <c r="AE103" s="121"/>
    </row>
    <row r="104" spans="1:31" x14ac:dyDescent="0.25">
      <c r="A104" s="2" t="s">
        <v>711</v>
      </c>
      <c r="B104" s="65">
        <v>0.33333333333333331</v>
      </c>
      <c r="C104" s="2">
        <v>3.5</v>
      </c>
      <c r="D104" s="10" t="s">
        <v>665</v>
      </c>
      <c r="E104" s="40">
        <v>22</v>
      </c>
      <c r="F104" s="40">
        <v>2</v>
      </c>
      <c r="G104" s="40">
        <v>0</v>
      </c>
      <c r="H104" s="3">
        <f t="shared" si="15"/>
        <v>3.208333333333333</v>
      </c>
      <c r="I104" s="3">
        <f t="shared" si="16"/>
        <v>0.29166666666666663</v>
      </c>
      <c r="J104" s="3">
        <f t="shared" si="17"/>
        <v>0</v>
      </c>
      <c r="K104" s="3"/>
      <c r="L104" s="60">
        <f t="shared" si="13"/>
        <v>177.40500000000006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61">
        <f>IF(C104="","",(S102+R104)-(M104+N104+O104+P104+Q104))</f>
        <v>45.800000000000097</v>
      </c>
      <c r="T104" s="40">
        <v>0</v>
      </c>
      <c r="U104" s="40">
        <v>0</v>
      </c>
      <c r="V104" s="40">
        <v>5</v>
      </c>
      <c r="W104" s="40">
        <v>1</v>
      </c>
      <c r="X104" s="67">
        <f>IF(V104="","",((X102+T104+U104)-(V104+W104)))</f>
        <v>77</v>
      </c>
      <c r="Z104" s="71">
        <v>46</v>
      </c>
      <c r="AA104" s="71">
        <v>30</v>
      </c>
      <c r="AB104" s="67">
        <f t="shared" si="12"/>
        <v>76</v>
      </c>
      <c r="AD104" s="121"/>
      <c r="AE104" s="121"/>
    </row>
    <row r="105" spans="1:31" x14ac:dyDescent="0.25">
      <c r="A105" s="2" t="s">
        <v>711</v>
      </c>
      <c r="B105" s="7">
        <v>0.5541666666666667</v>
      </c>
      <c r="C105" s="2">
        <v>5.3</v>
      </c>
      <c r="D105" s="10" t="s">
        <v>695</v>
      </c>
      <c r="E105" s="40">
        <v>22</v>
      </c>
      <c r="F105" s="40">
        <v>2</v>
      </c>
      <c r="G105" s="40">
        <v>0</v>
      </c>
      <c r="H105" s="3">
        <f t="shared" si="15"/>
        <v>4.8583333333333334</v>
      </c>
      <c r="I105" s="3">
        <f t="shared" si="16"/>
        <v>0.44166666666666665</v>
      </c>
      <c r="J105" s="3">
        <f t="shared" si="17"/>
        <v>0</v>
      </c>
      <c r="K105" s="3"/>
      <c r="L105" s="60">
        <f t="shared" si="13"/>
        <v>172.10500000000005</v>
      </c>
      <c r="M105" s="40">
        <v>0</v>
      </c>
      <c r="N105" s="40">
        <v>0</v>
      </c>
      <c r="O105" s="40">
        <v>0</v>
      </c>
      <c r="P105" s="40">
        <v>0</v>
      </c>
      <c r="Q105" s="40">
        <v>0</v>
      </c>
      <c r="R105" s="40">
        <v>0</v>
      </c>
      <c r="S105" s="61">
        <f t="shared" ref="S105:S169" si="18">IF(C105="","",(S104+R105)-(M105+N105+O105+P105+Q105))</f>
        <v>45.800000000000097</v>
      </c>
      <c r="T105" s="40">
        <v>0</v>
      </c>
      <c r="U105" s="40">
        <v>0</v>
      </c>
      <c r="V105" s="40">
        <v>0</v>
      </c>
      <c r="W105" s="40">
        <v>0</v>
      </c>
      <c r="X105" s="67">
        <f t="shared" si="14"/>
        <v>77</v>
      </c>
      <c r="Z105" s="71"/>
      <c r="AA105" s="71"/>
      <c r="AB105" s="67" t="str">
        <f t="shared" si="12"/>
        <v/>
      </c>
      <c r="AD105" s="121">
        <v>12.7</v>
      </c>
      <c r="AE105" s="121" t="s">
        <v>1295</v>
      </c>
    </row>
    <row r="106" spans="1:31" x14ac:dyDescent="0.25">
      <c r="A106" s="2" t="s">
        <v>711</v>
      </c>
      <c r="B106" s="7">
        <v>0.62083333333333335</v>
      </c>
      <c r="C106" s="2">
        <v>1.6</v>
      </c>
      <c r="D106" s="10" t="s">
        <v>712</v>
      </c>
      <c r="E106" s="40">
        <v>8</v>
      </c>
      <c r="F106" s="40">
        <v>2</v>
      </c>
      <c r="G106" s="40">
        <v>1</v>
      </c>
      <c r="H106" s="3">
        <f t="shared" si="15"/>
        <v>0.53333333333333333</v>
      </c>
      <c r="I106" s="3">
        <f t="shared" si="16"/>
        <v>0.13333333333333333</v>
      </c>
      <c r="J106" s="3">
        <f t="shared" si="17"/>
        <v>6.6666666666666666E-2</v>
      </c>
      <c r="K106" s="3"/>
      <c r="L106" s="60">
        <f t="shared" si="13"/>
        <v>171.37166666666673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61">
        <f t="shared" si="18"/>
        <v>45.800000000000097</v>
      </c>
      <c r="T106" s="40">
        <v>0</v>
      </c>
      <c r="U106" s="40">
        <v>0</v>
      </c>
      <c r="V106" s="40">
        <v>1</v>
      </c>
      <c r="W106" s="40">
        <v>1</v>
      </c>
      <c r="X106" s="67">
        <f t="shared" si="14"/>
        <v>75</v>
      </c>
      <c r="Z106" s="71"/>
      <c r="AA106" s="71"/>
      <c r="AB106" s="67" t="str">
        <f t="shared" si="12"/>
        <v/>
      </c>
      <c r="AD106" s="121"/>
      <c r="AE106" s="121"/>
    </row>
    <row r="107" spans="1:31" x14ac:dyDescent="0.25">
      <c r="A107" s="2" t="s">
        <v>713</v>
      </c>
      <c r="B107" s="65">
        <v>0.33333333333333331</v>
      </c>
      <c r="C107" s="2">
        <v>17.100000000000001</v>
      </c>
      <c r="D107" s="10" t="s">
        <v>712</v>
      </c>
      <c r="E107" s="40">
        <v>0</v>
      </c>
      <c r="F107" s="40">
        <v>2</v>
      </c>
      <c r="G107" s="40">
        <v>1</v>
      </c>
      <c r="H107" s="3">
        <f t="shared" si="15"/>
        <v>0</v>
      </c>
      <c r="I107" s="3">
        <f t="shared" si="16"/>
        <v>1.425</v>
      </c>
      <c r="J107" s="3">
        <f t="shared" si="17"/>
        <v>0.71250000000000002</v>
      </c>
      <c r="K107" s="3"/>
      <c r="L107" s="60">
        <f t="shared" si="13"/>
        <v>169.23416666666674</v>
      </c>
      <c r="M107" s="40">
        <v>0</v>
      </c>
      <c r="N107" s="40">
        <v>0</v>
      </c>
      <c r="O107" s="40">
        <v>0.1</v>
      </c>
      <c r="P107" s="40">
        <v>0</v>
      </c>
      <c r="Q107" s="40">
        <v>0</v>
      </c>
      <c r="R107" s="40">
        <v>0</v>
      </c>
      <c r="S107" s="61">
        <f t="shared" si="18"/>
        <v>45.700000000000095</v>
      </c>
      <c r="T107" s="40">
        <v>0</v>
      </c>
      <c r="U107" s="40">
        <v>0</v>
      </c>
      <c r="V107" s="40">
        <v>3</v>
      </c>
      <c r="W107" s="40">
        <v>1</v>
      </c>
      <c r="X107" s="67">
        <f t="shared" si="14"/>
        <v>71</v>
      </c>
      <c r="Z107" s="71"/>
      <c r="AA107" s="71"/>
      <c r="AB107" s="67" t="str">
        <f t="shared" si="12"/>
        <v/>
      </c>
      <c r="AD107" s="121"/>
      <c r="AE107" s="121"/>
    </row>
    <row r="108" spans="1:31" x14ac:dyDescent="0.25">
      <c r="A108" s="2" t="s">
        <v>714</v>
      </c>
      <c r="B108" s="65">
        <v>0.33333333333333331</v>
      </c>
      <c r="C108" s="2">
        <v>24</v>
      </c>
      <c r="D108" s="10" t="s">
        <v>712</v>
      </c>
      <c r="E108" s="40">
        <v>0</v>
      </c>
      <c r="F108" s="40">
        <v>2</v>
      </c>
      <c r="G108" s="40">
        <v>1</v>
      </c>
      <c r="H108" s="3">
        <f t="shared" si="15"/>
        <v>0</v>
      </c>
      <c r="I108" s="3">
        <f t="shared" si="16"/>
        <v>2</v>
      </c>
      <c r="J108" s="3">
        <f t="shared" si="17"/>
        <v>1</v>
      </c>
      <c r="K108" s="3"/>
      <c r="L108" s="60">
        <f t="shared" si="13"/>
        <v>166.23416666666674</v>
      </c>
      <c r="M108" s="40">
        <v>0</v>
      </c>
      <c r="N108" s="40">
        <v>0</v>
      </c>
      <c r="O108" s="40">
        <v>0.1</v>
      </c>
      <c r="P108" s="40">
        <v>0</v>
      </c>
      <c r="Q108" s="40">
        <v>0</v>
      </c>
      <c r="R108" s="40">
        <v>0</v>
      </c>
      <c r="S108" s="61">
        <f t="shared" si="18"/>
        <v>45.600000000000094</v>
      </c>
      <c r="T108" s="40">
        <v>0</v>
      </c>
      <c r="U108" s="40">
        <v>0</v>
      </c>
      <c r="V108" s="40">
        <v>5</v>
      </c>
      <c r="W108" s="40">
        <v>0</v>
      </c>
      <c r="X108" s="67">
        <f t="shared" si="14"/>
        <v>66</v>
      </c>
      <c r="Z108" s="71">
        <v>37</v>
      </c>
      <c r="AA108" s="71">
        <v>30</v>
      </c>
      <c r="AB108" s="67">
        <f t="shared" si="12"/>
        <v>67</v>
      </c>
      <c r="AD108" s="121"/>
      <c r="AE108" s="121"/>
    </row>
    <row r="109" spans="1:31" x14ac:dyDescent="0.25">
      <c r="A109" s="2" t="s">
        <v>714</v>
      </c>
      <c r="B109" s="7">
        <v>0.53749999999999998</v>
      </c>
      <c r="C109" s="2">
        <v>4.9000000000000004</v>
      </c>
      <c r="D109" s="10" t="s">
        <v>660</v>
      </c>
      <c r="E109" s="40">
        <v>0</v>
      </c>
      <c r="F109" s="40">
        <v>2</v>
      </c>
      <c r="G109" s="40">
        <v>1</v>
      </c>
      <c r="H109" s="3">
        <f t="shared" si="15"/>
        <v>0</v>
      </c>
      <c r="I109" s="3">
        <f t="shared" si="16"/>
        <v>0.40833333333333333</v>
      </c>
      <c r="J109" s="3">
        <f t="shared" si="17"/>
        <v>0.20416666666666666</v>
      </c>
      <c r="K109" s="3"/>
      <c r="L109" s="60">
        <f t="shared" si="13"/>
        <v>165.62166666666673</v>
      </c>
      <c r="M109" s="40">
        <v>0</v>
      </c>
      <c r="N109" s="40">
        <v>0</v>
      </c>
      <c r="O109" s="40">
        <v>0</v>
      </c>
      <c r="P109" s="40">
        <v>0</v>
      </c>
      <c r="Q109" s="40">
        <v>0</v>
      </c>
      <c r="R109" s="40">
        <v>0</v>
      </c>
      <c r="S109" s="61">
        <f t="shared" si="18"/>
        <v>45.600000000000094</v>
      </c>
      <c r="T109" s="40">
        <v>0</v>
      </c>
      <c r="U109" s="40">
        <v>0</v>
      </c>
      <c r="V109" s="40">
        <v>1</v>
      </c>
      <c r="W109" s="40">
        <v>0</v>
      </c>
      <c r="X109" s="67">
        <f t="shared" si="14"/>
        <v>65</v>
      </c>
      <c r="Z109" s="71"/>
      <c r="AA109" s="71"/>
      <c r="AB109" s="67" t="str">
        <f t="shared" si="12"/>
        <v/>
      </c>
      <c r="AD109" s="121"/>
      <c r="AE109" s="121"/>
    </row>
    <row r="110" spans="1:31" x14ac:dyDescent="0.25">
      <c r="A110" s="2" t="s">
        <v>714</v>
      </c>
      <c r="B110" s="7">
        <v>0.58333333333333337</v>
      </c>
      <c r="C110" s="2">
        <v>1.1000000000000001</v>
      </c>
      <c r="D110" s="10" t="s">
        <v>715</v>
      </c>
      <c r="E110" s="40">
        <v>5</v>
      </c>
      <c r="F110" s="40">
        <v>2</v>
      </c>
      <c r="G110" s="40">
        <v>1</v>
      </c>
      <c r="H110" s="3">
        <f t="shared" si="15"/>
        <v>0.22916666666666669</v>
      </c>
      <c r="I110" s="3">
        <f t="shared" si="16"/>
        <v>9.1666666666666674E-2</v>
      </c>
      <c r="J110" s="3">
        <f t="shared" si="17"/>
        <v>4.5833333333333337E-2</v>
      </c>
      <c r="K110" s="3"/>
      <c r="L110" s="60">
        <f t="shared" si="13"/>
        <v>165.25500000000005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61">
        <f t="shared" si="18"/>
        <v>45.600000000000094</v>
      </c>
      <c r="T110" s="40">
        <v>0</v>
      </c>
      <c r="U110" s="40">
        <v>0</v>
      </c>
      <c r="V110" s="40">
        <v>0</v>
      </c>
      <c r="W110" s="40">
        <v>0</v>
      </c>
      <c r="X110" s="67">
        <f t="shared" si="14"/>
        <v>65</v>
      </c>
      <c r="Z110" s="71"/>
      <c r="AA110" s="71"/>
      <c r="AB110" s="67" t="str">
        <f t="shared" si="12"/>
        <v/>
      </c>
      <c r="AD110" s="121"/>
      <c r="AE110" s="121"/>
    </row>
    <row r="111" spans="1:31" x14ac:dyDescent="0.25">
      <c r="A111" s="2" t="s">
        <v>717</v>
      </c>
      <c r="B111" s="7">
        <v>2.0833333333333332E-2</v>
      </c>
      <c r="C111" s="2">
        <v>10.5</v>
      </c>
      <c r="D111" s="10" t="s">
        <v>660</v>
      </c>
      <c r="E111" s="40">
        <v>0</v>
      </c>
      <c r="F111" s="40">
        <v>2</v>
      </c>
      <c r="G111" s="40">
        <v>1</v>
      </c>
      <c r="H111" s="3">
        <f t="shared" si="15"/>
        <v>0</v>
      </c>
      <c r="I111" s="3">
        <f t="shared" si="16"/>
        <v>0.875</v>
      </c>
      <c r="J111" s="3">
        <f t="shared" si="17"/>
        <v>0.4375</v>
      </c>
      <c r="K111" s="3"/>
      <c r="L111" s="60">
        <f t="shared" si="13"/>
        <v>163.94250000000005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61">
        <f t="shared" si="18"/>
        <v>45.600000000000094</v>
      </c>
      <c r="T111" s="40">
        <v>0</v>
      </c>
      <c r="U111" s="40">
        <v>200</v>
      </c>
      <c r="V111" s="40">
        <v>3</v>
      </c>
      <c r="W111" s="40">
        <v>0</v>
      </c>
      <c r="X111" s="67">
        <f t="shared" si="14"/>
        <v>262</v>
      </c>
      <c r="Z111" s="71">
        <v>125</v>
      </c>
      <c r="AA111" s="71">
        <v>160</v>
      </c>
      <c r="AB111" s="67">
        <f t="shared" si="12"/>
        <v>285</v>
      </c>
      <c r="AD111" s="121"/>
      <c r="AE111" s="121"/>
    </row>
    <row r="112" spans="1:31" x14ac:dyDescent="0.25">
      <c r="A112" s="2" t="s">
        <v>717</v>
      </c>
      <c r="B112" s="7">
        <v>6.25E-2</v>
      </c>
      <c r="C112" s="2">
        <v>1</v>
      </c>
      <c r="D112" s="10" t="s">
        <v>712</v>
      </c>
      <c r="E112" s="40">
        <v>5</v>
      </c>
      <c r="F112" s="40">
        <v>2</v>
      </c>
      <c r="G112" s="40">
        <v>1</v>
      </c>
      <c r="H112" s="3">
        <f t="shared" si="15"/>
        <v>0.20833333333333334</v>
      </c>
      <c r="I112" s="3">
        <f t="shared" si="16"/>
        <v>8.3333333333333329E-2</v>
      </c>
      <c r="J112" s="3">
        <f t="shared" si="17"/>
        <v>4.1666666666666664E-2</v>
      </c>
      <c r="K112" s="3"/>
      <c r="L112" s="60">
        <f t="shared" si="13"/>
        <v>163.60916666666671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61">
        <f t="shared" si="18"/>
        <v>45.600000000000094</v>
      </c>
      <c r="T112" s="40">
        <v>0</v>
      </c>
      <c r="U112" s="40">
        <v>0</v>
      </c>
      <c r="V112" s="40">
        <v>0</v>
      </c>
      <c r="W112" s="40">
        <v>0</v>
      </c>
      <c r="X112" s="67">
        <f t="shared" si="14"/>
        <v>262</v>
      </c>
      <c r="Z112" s="71"/>
      <c r="AA112" s="71" t="s">
        <v>716</v>
      </c>
      <c r="AB112" s="67" t="str">
        <f t="shared" si="12"/>
        <v/>
      </c>
      <c r="AD112" s="121"/>
      <c r="AE112" s="121"/>
    </row>
    <row r="113" spans="1:31" x14ac:dyDescent="0.25">
      <c r="A113" s="2" t="s">
        <v>717</v>
      </c>
      <c r="B113" s="65">
        <v>0.33333333333333331</v>
      </c>
      <c r="C113" s="2">
        <v>6.5</v>
      </c>
      <c r="D113" s="10" t="s">
        <v>712</v>
      </c>
      <c r="E113" s="40">
        <v>0</v>
      </c>
      <c r="F113" s="40">
        <v>2</v>
      </c>
      <c r="G113" s="40">
        <v>1</v>
      </c>
      <c r="H113" s="3">
        <f t="shared" si="15"/>
        <v>0</v>
      </c>
      <c r="I113" s="3">
        <f t="shared" si="16"/>
        <v>0.54166666666666663</v>
      </c>
      <c r="J113" s="3">
        <f t="shared" si="17"/>
        <v>0.27083333333333331</v>
      </c>
      <c r="K113" s="3"/>
      <c r="L113" s="60">
        <f t="shared" si="13"/>
        <v>162.79666666666671</v>
      </c>
      <c r="M113" s="40">
        <v>0</v>
      </c>
      <c r="N113" s="40">
        <v>0</v>
      </c>
      <c r="O113" s="40">
        <v>0.1</v>
      </c>
      <c r="P113" s="40">
        <v>0</v>
      </c>
      <c r="Q113" s="40">
        <v>0</v>
      </c>
      <c r="R113" s="40">
        <v>0</v>
      </c>
      <c r="S113" s="61">
        <f t="shared" si="18"/>
        <v>45.500000000000092</v>
      </c>
      <c r="T113" s="40">
        <v>0</v>
      </c>
      <c r="U113" s="40">
        <v>0</v>
      </c>
      <c r="V113" s="40">
        <v>1</v>
      </c>
      <c r="W113" s="40">
        <v>0</v>
      </c>
      <c r="X113" s="67">
        <f t="shared" si="14"/>
        <v>261</v>
      </c>
      <c r="Z113" s="71"/>
      <c r="AA113" s="71"/>
      <c r="AB113" s="67" t="str">
        <f t="shared" si="12"/>
        <v/>
      </c>
      <c r="AD113" s="121"/>
      <c r="AE113" s="121"/>
    </row>
    <row r="114" spans="1:31" x14ac:dyDescent="0.25">
      <c r="A114" s="58"/>
      <c r="B114" s="7"/>
      <c r="C114" s="58"/>
      <c r="D114" s="10"/>
      <c r="E114" s="40"/>
      <c r="F114" s="40"/>
      <c r="G114" s="40"/>
      <c r="H114" s="3"/>
      <c r="I114" s="3"/>
      <c r="J114" s="3"/>
      <c r="K114" s="3"/>
      <c r="L114" s="60"/>
      <c r="M114" s="40"/>
      <c r="N114" s="40"/>
      <c r="O114" s="40"/>
      <c r="P114" s="40"/>
      <c r="Q114" s="40"/>
      <c r="R114" s="40"/>
      <c r="S114" s="61"/>
      <c r="T114" s="40"/>
      <c r="U114" s="40"/>
      <c r="V114" s="40"/>
      <c r="W114" s="40"/>
      <c r="X114" s="67"/>
      <c r="Z114" s="71"/>
      <c r="AA114" s="71"/>
      <c r="AB114" s="67"/>
      <c r="AD114" s="121"/>
      <c r="AE114" s="121"/>
    </row>
    <row r="115" spans="1:31" x14ac:dyDescent="0.25">
      <c r="A115" s="9" t="s">
        <v>718</v>
      </c>
      <c r="B115" s="65">
        <v>0.33333333333333331</v>
      </c>
      <c r="C115" s="2">
        <v>24</v>
      </c>
      <c r="D115" s="10" t="s">
        <v>712</v>
      </c>
      <c r="E115" s="40">
        <v>0</v>
      </c>
      <c r="F115" s="40">
        <v>2</v>
      </c>
      <c r="G115" s="40">
        <v>1</v>
      </c>
      <c r="H115" s="3">
        <f t="shared" si="15"/>
        <v>0</v>
      </c>
      <c r="I115" s="3">
        <f t="shared" si="16"/>
        <v>2</v>
      </c>
      <c r="J115" s="3">
        <f t="shared" si="17"/>
        <v>1</v>
      </c>
      <c r="K115" s="3"/>
      <c r="L115" s="60">
        <f>+IF(C115="","",(L113+K115)-(H115+I115+J115))</f>
        <v>159.79666666666671</v>
      </c>
      <c r="M115" s="40">
        <v>0</v>
      </c>
      <c r="N115" s="40">
        <v>0</v>
      </c>
      <c r="O115" s="40">
        <v>0.1</v>
      </c>
      <c r="P115" s="40">
        <v>0</v>
      </c>
      <c r="Q115" s="40">
        <v>0</v>
      </c>
      <c r="R115" s="40">
        <v>0</v>
      </c>
      <c r="S115" s="61">
        <f>IF(C115="","",(S113+R115)-(M115+N115+O115+P115+Q115))</f>
        <v>45.400000000000091</v>
      </c>
      <c r="T115" s="40">
        <v>0</v>
      </c>
      <c r="U115" s="40">
        <v>0</v>
      </c>
      <c r="V115" s="40">
        <v>4</v>
      </c>
      <c r="W115" s="40">
        <v>0</v>
      </c>
      <c r="X115" s="67">
        <f>IF(V115="","",((X113+T115+U115)-(V115+W115)))</f>
        <v>257</v>
      </c>
      <c r="Z115" s="71"/>
      <c r="AA115" s="71"/>
      <c r="AB115" s="67" t="str">
        <f t="shared" si="12"/>
        <v/>
      </c>
      <c r="AD115" s="121"/>
      <c r="AE115" s="121"/>
    </row>
    <row r="116" spans="1:31" x14ac:dyDescent="0.25">
      <c r="A116" s="2" t="s">
        <v>718</v>
      </c>
      <c r="B116" s="7">
        <v>0.79166666666666663</v>
      </c>
      <c r="C116" s="2">
        <v>11</v>
      </c>
      <c r="D116" s="10" t="s">
        <v>660</v>
      </c>
      <c r="E116" s="40">
        <v>0</v>
      </c>
      <c r="F116" s="40">
        <v>2</v>
      </c>
      <c r="G116" s="40">
        <v>1</v>
      </c>
      <c r="H116" s="3">
        <f t="shared" si="15"/>
        <v>0</v>
      </c>
      <c r="I116" s="3">
        <f t="shared" si="16"/>
        <v>0.91666666666666663</v>
      </c>
      <c r="J116" s="3">
        <f t="shared" si="17"/>
        <v>0.45833333333333331</v>
      </c>
      <c r="K116" s="3"/>
      <c r="L116" s="60">
        <f t="shared" si="13"/>
        <v>158.42166666666671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61">
        <f t="shared" si="18"/>
        <v>45.400000000000091</v>
      </c>
      <c r="T116" s="40">
        <v>0</v>
      </c>
      <c r="U116" s="40">
        <v>0</v>
      </c>
      <c r="V116" s="40">
        <v>2</v>
      </c>
      <c r="W116" s="40">
        <v>0</v>
      </c>
      <c r="X116" s="67">
        <f t="shared" si="14"/>
        <v>255</v>
      </c>
      <c r="Z116" s="71"/>
      <c r="AA116" s="71"/>
      <c r="AB116" s="67" t="str">
        <f t="shared" si="12"/>
        <v/>
      </c>
      <c r="AD116" s="121"/>
      <c r="AE116" s="121"/>
    </row>
    <row r="117" spans="1:31" x14ac:dyDescent="0.25">
      <c r="A117" s="2" t="s">
        <v>718</v>
      </c>
      <c r="B117" s="7">
        <v>0.82500000000000007</v>
      </c>
      <c r="C117" s="2">
        <v>0.8</v>
      </c>
      <c r="D117" s="10" t="s">
        <v>715</v>
      </c>
      <c r="E117" s="40">
        <v>5</v>
      </c>
      <c r="F117" s="40">
        <v>2</v>
      </c>
      <c r="G117" s="40">
        <v>1</v>
      </c>
      <c r="H117" s="3">
        <f t="shared" si="15"/>
        <v>0.16666666666666669</v>
      </c>
      <c r="I117" s="3">
        <f t="shared" si="16"/>
        <v>6.6666666666666666E-2</v>
      </c>
      <c r="J117" s="3">
        <f t="shared" si="17"/>
        <v>3.3333333333333333E-2</v>
      </c>
      <c r="K117" s="3"/>
      <c r="L117" s="60">
        <f t="shared" si="13"/>
        <v>158.15500000000003</v>
      </c>
      <c r="M117" s="40">
        <v>0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61">
        <f t="shared" si="18"/>
        <v>45.400000000000091</v>
      </c>
      <c r="T117" s="40">
        <v>0</v>
      </c>
      <c r="U117" s="40">
        <v>0</v>
      </c>
      <c r="V117" s="40">
        <v>0</v>
      </c>
      <c r="W117" s="40">
        <v>0</v>
      </c>
      <c r="X117" s="67">
        <f t="shared" si="14"/>
        <v>255</v>
      </c>
      <c r="Z117" s="71"/>
      <c r="AA117" s="71"/>
      <c r="AB117" s="67" t="str">
        <f t="shared" si="12"/>
        <v/>
      </c>
      <c r="AD117" s="121"/>
      <c r="AE117" s="121"/>
    </row>
    <row r="118" spans="1:31" x14ac:dyDescent="0.25">
      <c r="A118" s="2" t="s">
        <v>719</v>
      </c>
      <c r="B118" s="7">
        <v>0.17083333333333331</v>
      </c>
      <c r="C118" s="2">
        <v>8.3000000000000007</v>
      </c>
      <c r="D118" s="10" t="s">
        <v>660</v>
      </c>
      <c r="E118" s="40">
        <v>0</v>
      </c>
      <c r="F118" s="40">
        <v>2</v>
      </c>
      <c r="G118" s="40">
        <v>1</v>
      </c>
      <c r="H118" s="3">
        <f t="shared" si="15"/>
        <v>0</v>
      </c>
      <c r="I118" s="3">
        <f t="shared" si="16"/>
        <v>0.69166666666666665</v>
      </c>
      <c r="J118" s="3">
        <f t="shared" si="17"/>
        <v>0.34583333333333333</v>
      </c>
      <c r="K118" s="3">
        <v>400</v>
      </c>
      <c r="L118" s="60">
        <f t="shared" si="13"/>
        <v>557.11749999999995</v>
      </c>
      <c r="M118" s="40">
        <v>0</v>
      </c>
      <c r="N118" s="40">
        <v>0</v>
      </c>
      <c r="O118" s="40">
        <v>0.1</v>
      </c>
      <c r="P118" s="40">
        <v>0</v>
      </c>
      <c r="Q118" s="40">
        <v>0</v>
      </c>
      <c r="R118" s="40">
        <v>0</v>
      </c>
      <c r="S118" s="61">
        <f t="shared" si="18"/>
        <v>45.30000000000009</v>
      </c>
      <c r="T118" s="40">
        <v>0</v>
      </c>
      <c r="U118" s="40">
        <v>0</v>
      </c>
      <c r="V118" s="40">
        <v>2</v>
      </c>
      <c r="W118" s="40">
        <v>0</v>
      </c>
      <c r="X118" s="67">
        <f t="shared" si="14"/>
        <v>253</v>
      </c>
      <c r="Z118" s="71"/>
      <c r="AA118" s="71"/>
      <c r="AB118" s="67" t="str">
        <f t="shared" si="12"/>
        <v/>
      </c>
      <c r="AD118" s="121"/>
      <c r="AE118" s="121"/>
    </row>
    <row r="119" spans="1:31" x14ac:dyDescent="0.25">
      <c r="A119" s="2" t="s">
        <v>719</v>
      </c>
      <c r="B119" s="7">
        <v>0.20833333333333334</v>
      </c>
      <c r="C119" s="2">
        <v>0.9</v>
      </c>
      <c r="D119" s="10" t="s">
        <v>712</v>
      </c>
      <c r="E119" s="40">
        <v>5</v>
      </c>
      <c r="F119" s="40">
        <v>2</v>
      </c>
      <c r="G119" s="40">
        <v>1</v>
      </c>
      <c r="H119" s="3">
        <f t="shared" si="15"/>
        <v>0.1875</v>
      </c>
      <c r="I119" s="3">
        <f t="shared" si="16"/>
        <v>7.4999999999999997E-2</v>
      </c>
      <c r="J119" s="3">
        <f t="shared" si="17"/>
        <v>3.7499999999999999E-2</v>
      </c>
      <c r="K119" s="3"/>
      <c r="L119" s="60">
        <f t="shared" si="13"/>
        <v>556.8175</v>
      </c>
      <c r="M119" s="40">
        <v>0</v>
      </c>
      <c r="N119" s="40">
        <v>0</v>
      </c>
      <c r="O119" s="40">
        <v>0</v>
      </c>
      <c r="P119" s="40">
        <v>0</v>
      </c>
      <c r="Q119" s="40">
        <v>0</v>
      </c>
      <c r="R119" s="40">
        <v>0</v>
      </c>
      <c r="S119" s="61">
        <f t="shared" si="18"/>
        <v>45.30000000000009</v>
      </c>
      <c r="T119" s="40">
        <v>0</v>
      </c>
      <c r="U119" s="40">
        <v>0</v>
      </c>
      <c r="V119" s="40">
        <v>0</v>
      </c>
      <c r="W119" s="40">
        <v>0</v>
      </c>
      <c r="X119" s="67">
        <f t="shared" si="14"/>
        <v>253</v>
      </c>
      <c r="Z119" s="71"/>
      <c r="AA119" s="71"/>
      <c r="AB119" s="67" t="str">
        <f t="shared" si="12"/>
        <v/>
      </c>
      <c r="AD119" s="121"/>
      <c r="AE119" s="121"/>
    </row>
    <row r="120" spans="1:31" x14ac:dyDescent="0.25">
      <c r="A120" s="2" t="s">
        <v>719</v>
      </c>
      <c r="B120" s="65">
        <v>0.33333333333333331</v>
      </c>
      <c r="C120" s="2">
        <v>3</v>
      </c>
      <c r="D120" s="10" t="s">
        <v>712</v>
      </c>
      <c r="E120" s="40">
        <v>0</v>
      </c>
      <c r="F120" s="40">
        <v>2</v>
      </c>
      <c r="G120" s="40">
        <v>1</v>
      </c>
      <c r="H120" s="3">
        <f t="shared" si="15"/>
        <v>0</v>
      </c>
      <c r="I120" s="3">
        <f t="shared" si="16"/>
        <v>0.25</v>
      </c>
      <c r="J120" s="3">
        <f t="shared" si="17"/>
        <v>0.125</v>
      </c>
      <c r="K120" s="3"/>
      <c r="L120" s="60">
        <f t="shared" si="13"/>
        <v>556.4425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61">
        <f t="shared" si="18"/>
        <v>45.30000000000009</v>
      </c>
      <c r="T120" s="40">
        <v>0</v>
      </c>
      <c r="U120" s="40">
        <v>0</v>
      </c>
      <c r="V120" s="40">
        <v>0</v>
      </c>
      <c r="W120" s="40">
        <v>0</v>
      </c>
      <c r="X120" s="67">
        <f t="shared" si="14"/>
        <v>253</v>
      </c>
      <c r="Z120" s="71"/>
      <c r="AA120" s="71"/>
      <c r="AB120" s="67" t="str">
        <f t="shared" si="12"/>
        <v/>
      </c>
      <c r="AD120" s="121"/>
      <c r="AE120" s="121"/>
    </row>
    <row r="121" spans="1:31" x14ac:dyDescent="0.25">
      <c r="A121" s="2" t="s">
        <v>720</v>
      </c>
      <c r="B121" s="65">
        <v>0.33333333333333331</v>
      </c>
      <c r="C121" s="2">
        <v>24</v>
      </c>
      <c r="D121" s="10" t="s">
        <v>712</v>
      </c>
      <c r="E121" s="40">
        <v>0</v>
      </c>
      <c r="F121" s="40">
        <v>2</v>
      </c>
      <c r="G121" s="40">
        <v>1</v>
      </c>
      <c r="H121" s="3">
        <f t="shared" si="15"/>
        <v>0</v>
      </c>
      <c r="I121" s="3">
        <f t="shared" si="16"/>
        <v>2</v>
      </c>
      <c r="J121" s="3">
        <f t="shared" si="17"/>
        <v>1</v>
      </c>
      <c r="K121" s="3"/>
      <c r="L121" s="60">
        <f t="shared" si="13"/>
        <v>553.4425</v>
      </c>
      <c r="M121" s="40">
        <v>0</v>
      </c>
      <c r="N121" s="40">
        <v>0</v>
      </c>
      <c r="O121" s="40">
        <v>0.1</v>
      </c>
      <c r="P121" s="40">
        <v>0</v>
      </c>
      <c r="Q121" s="40">
        <v>0</v>
      </c>
      <c r="R121" s="40">
        <v>0</v>
      </c>
      <c r="S121" s="61">
        <f t="shared" si="18"/>
        <v>45.200000000000088</v>
      </c>
      <c r="T121" s="40">
        <v>0</v>
      </c>
      <c r="U121" s="40">
        <v>0</v>
      </c>
      <c r="V121" s="40">
        <v>4</v>
      </c>
      <c r="W121" s="40">
        <v>0</v>
      </c>
      <c r="X121" s="67">
        <f t="shared" si="14"/>
        <v>249</v>
      </c>
      <c r="Z121" s="71"/>
      <c r="AA121" s="71"/>
      <c r="AB121" s="67" t="str">
        <f t="shared" si="12"/>
        <v/>
      </c>
      <c r="AD121" s="121"/>
      <c r="AE121" s="121"/>
    </row>
    <row r="122" spans="1:31" x14ac:dyDescent="0.25">
      <c r="A122" s="2" t="s">
        <v>720</v>
      </c>
      <c r="B122" s="7">
        <v>0.39166666666666666</v>
      </c>
      <c r="C122" s="2">
        <v>1.4</v>
      </c>
      <c r="D122" s="10" t="s">
        <v>660</v>
      </c>
      <c r="E122" s="40">
        <v>0</v>
      </c>
      <c r="F122" s="40">
        <v>2</v>
      </c>
      <c r="G122" s="40">
        <v>1</v>
      </c>
      <c r="H122" s="3">
        <f t="shared" si="15"/>
        <v>0</v>
      </c>
      <c r="I122" s="3">
        <f t="shared" si="16"/>
        <v>0.11666666666666665</v>
      </c>
      <c r="J122" s="3">
        <f t="shared" si="17"/>
        <v>5.8333333333333327E-2</v>
      </c>
      <c r="K122" s="3"/>
      <c r="L122" s="60">
        <f t="shared" si="13"/>
        <v>553.26750000000004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0</v>
      </c>
      <c r="S122" s="61">
        <f t="shared" si="18"/>
        <v>45.200000000000088</v>
      </c>
      <c r="T122" s="40">
        <v>0</v>
      </c>
      <c r="U122" s="40">
        <v>0</v>
      </c>
      <c r="V122" s="40">
        <v>0</v>
      </c>
      <c r="W122" s="40">
        <v>0</v>
      </c>
      <c r="X122" s="67">
        <f t="shared" si="14"/>
        <v>249</v>
      </c>
      <c r="Z122" s="71"/>
      <c r="AA122" s="71"/>
      <c r="AB122" s="67" t="str">
        <f t="shared" si="12"/>
        <v/>
      </c>
      <c r="AD122" s="121"/>
      <c r="AE122" s="121"/>
    </row>
    <row r="123" spans="1:31" x14ac:dyDescent="0.25">
      <c r="A123" s="2" t="s">
        <v>720</v>
      </c>
      <c r="B123" s="7">
        <v>0.41250000000000003</v>
      </c>
      <c r="C123" s="2">
        <v>0.5</v>
      </c>
      <c r="D123" s="10" t="s">
        <v>665</v>
      </c>
      <c r="E123" s="40">
        <v>5</v>
      </c>
      <c r="F123" s="40">
        <v>2</v>
      </c>
      <c r="G123" s="40">
        <v>1</v>
      </c>
      <c r="H123" s="3">
        <f t="shared" si="15"/>
        <v>0.10416666666666667</v>
      </c>
      <c r="I123" s="3">
        <f t="shared" si="16"/>
        <v>4.1666666666666664E-2</v>
      </c>
      <c r="J123" s="3">
        <f t="shared" si="17"/>
        <v>2.0833333333333332E-2</v>
      </c>
      <c r="K123" s="3"/>
      <c r="L123" s="60">
        <f t="shared" si="13"/>
        <v>553.10083333333341</v>
      </c>
      <c r="M123" s="40">
        <v>0</v>
      </c>
      <c r="N123" s="40">
        <v>0</v>
      </c>
      <c r="O123" s="40">
        <v>0</v>
      </c>
      <c r="P123" s="40">
        <v>0</v>
      </c>
      <c r="Q123" s="40">
        <v>0</v>
      </c>
      <c r="R123" s="40">
        <v>0</v>
      </c>
      <c r="S123" s="61">
        <f t="shared" si="18"/>
        <v>45.200000000000088</v>
      </c>
      <c r="T123" s="40">
        <v>0</v>
      </c>
      <c r="U123" s="40">
        <v>0</v>
      </c>
      <c r="V123" s="40">
        <v>0</v>
      </c>
      <c r="W123" s="40">
        <v>0</v>
      </c>
      <c r="X123" s="67">
        <f t="shared" si="14"/>
        <v>249</v>
      </c>
      <c r="Z123" s="71"/>
      <c r="AA123" s="71"/>
      <c r="AB123" s="67" t="str">
        <f t="shared" si="12"/>
        <v/>
      </c>
      <c r="AD123" s="121"/>
      <c r="AE123" s="121"/>
    </row>
    <row r="124" spans="1:31" x14ac:dyDescent="0.25">
      <c r="A124" s="2" t="s">
        <v>720</v>
      </c>
      <c r="B124" s="7">
        <v>0.43333333333333335</v>
      </c>
      <c r="C124" s="2">
        <v>0.5</v>
      </c>
      <c r="D124" s="10" t="s">
        <v>695</v>
      </c>
      <c r="E124" s="40">
        <v>8</v>
      </c>
      <c r="F124" s="40">
        <v>2</v>
      </c>
      <c r="G124" s="40">
        <v>0</v>
      </c>
      <c r="H124" s="3">
        <f t="shared" si="15"/>
        <v>0.16666666666666666</v>
      </c>
      <c r="I124" s="3">
        <f t="shared" si="16"/>
        <v>4.1666666666666664E-2</v>
      </c>
      <c r="J124" s="3">
        <f t="shared" si="17"/>
        <v>0</v>
      </c>
      <c r="K124" s="3"/>
      <c r="L124" s="60">
        <f t="shared" si="13"/>
        <v>552.89250000000004</v>
      </c>
      <c r="M124" s="40">
        <v>0</v>
      </c>
      <c r="N124" s="40">
        <v>0</v>
      </c>
      <c r="O124" s="40">
        <v>0</v>
      </c>
      <c r="P124" s="40">
        <v>0</v>
      </c>
      <c r="Q124" s="40">
        <v>0</v>
      </c>
      <c r="R124" s="40">
        <v>0</v>
      </c>
      <c r="S124" s="61">
        <f t="shared" si="18"/>
        <v>45.200000000000088</v>
      </c>
      <c r="T124" s="40">
        <v>0</v>
      </c>
      <c r="U124" s="40">
        <v>0</v>
      </c>
      <c r="V124" s="40">
        <v>0</v>
      </c>
      <c r="W124" s="40">
        <v>0</v>
      </c>
      <c r="X124" s="67">
        <f t="shared" si="14"/>
        <v>249</v>
      </c>
      <c r="Z124" s="71"/>
      <c r="AA124" s="71"/>
      <c r="AB124" s="67" t="str">
        <f t="shared" si="12"/>
        <v/>
      </c>
      <c r="AD124" s="121"/>
      <c r="AE124" s="121"/>
    </row>
    <row r="125" spans="1:31" x14ac:dyDescent="0.25">
      <c r="A125" s="2" t="s">
        <v>720</v>
      </c>
      <c r="B125" s="7">
        <v>0.53333333333333333</v>
      </c>
      <c r="C125" s="2">
        <v>2.4</v>
      </c>
      <c r="D125" s="10" t="s">
        <v>648</v>
      </c>
      <c r="E125" s="40">
        <v>5</v>
      </c>
      <c r="F125" s="40">
        <v>2</v>
      </c>
      <c r="G125" s="40">
        <v>1</v>
      </c>
      <c r="H125" s="3">
        <f t="shared" si="15"/>
        <v>0.5</v>
      </c>
      <c r="I125" s="3">
        <f t="shared" si="16"/>
        <v>0.19999999999999998</v>
      </c>
      <c r="J125" s="3">
        <f t="shared" si="17"/>
        <v>9.9999999999999992E-2</v>
      </c>
      <c r="K125" s="3">
        <v>29.4</v>
      </c>
      <c r="L125" s="60">
        <f t="shared" si="13"/>
        <v>581.49250000000006</v>
      </c>
      <c r="M125" s="40">
        <v>0</v>
      </c>
      <c r="N125" s="40">
        <v>0</v>
      </c>
      <c r="O125" s="40">
        <v>0</v>
      </c>
      <c r="P125" s="40">
        <v>0</v>
      </c>
      <c r="Q125" s="40">
        <v>0</v>
      </c>
      <c r="R125" s="40">
        <v>0</v>
      </c>
      <c r="S125" s="61">
        <f t="shared" si="18"/>
        <v>45.200000000000088</v>
      </c>
      <c r="T125" s="40">
        <v>0</v>
      </c>
      <c r="U125" s="40">
        <v>0</v>
      </c>
      <c r="V125" s="40">
        <v>1</v>
      </c>
      <c r="W125" s="40">
        <v>0</v>
      </c>
      <c r="X125" s="67">
        <f t="shared" si="14"/>
        <v>248</v>
      </c>
      <c r="Z125" s="71"/>
      <c r="AA125" s="71"/>
      <c r="AB125" s="67" t="str">
        <f t="shared" si="12"/>
        <v/>
      </c>
      <c r="AD125" s="121"/>
      <c r="AE125" s="121"/>
    </row>
    <row r="126" spans="1:31" x14ac:dyDescent="0.25">
      <c r="A126" s="2" t="s">
        <v>721</v>
      </c>
      <c r="B126" s="65">
        <v>0.33333333333333331</v>
      </c>
      <c r="C126" s="2">
        <v>19.2</v>
      </c>
      <c r="D126" s="10" t="s">
        <v>648</v>
      </c>
      <c r="E126" s="40">
        <v>0</v>
      </c>
      <c r="F126" s="40">
        <v>3</v>
      </c>
      <c r="G126" s="40">
        <v>1.5</v>
      </c>
      <c r="H126" s="3">
        <f t="shared" si="15"/>
        <v>0</v>
      </c>
      <c r="I126" s="3">
        <f t="shared" si="16"/>
        <v>2.4</v>
      </c>
      <c r="J126" s="3">
        <f t="shared" si="17"/>
        <v>1.2</v>
      </c>
      <c r="K126" s="3"/>
      <c r="L126" s="60">
        <f t="shared" si="13"/>
        <v>577.89250000000004</v>
      </c>
      <c r="M126" s="40">
        <v>0</v>
      </c>
      <c r="N126" s="40">
        <v>0</v>
      </c>
      <c r="O126" s="40">
        <v>0.1</v>
      </c>
      <c r="P126" s="40">
        <v>0</v>
      </c>
      <c r="Q126" s="40">
        <v>0</v>
      </c>
      <c r="R126" s="40">
        <v>0</v>
      </c>
      <c r="S126" s="61">
        <f t="shared" si="18"/>
        <v>45.100000000000087</v>
      </c>
      <c r="T126" s="40">
        <v>0</v>
      </c>
      <c r="U126" s="40">
        <v>0</v>
      </c>
      <c r="V126" s="40">
        <v>4</v>
      </c>
      <c r="W126" s="40">
        <v>0</v>
      </c>
      <c r="X126" s="67">
        <f t="shared" si="14"/>
        <v>244</v>
      </c>
      <c r="Z126" s="71"/>
      <c r="AA126" s="71"/>
      <c r="AB126" s="67" t="str">
        <f t="shared" si="12"/>
        <v/>
      </c>
      <c r="AD126" s="121"/>
      <c r="AE126" s="121"/>
    </row>
    <row r="127" spans="1:31" x14ac:dyDescent="0.25">
      <c r="A127" s="2" t="s">
        <v>722</v>
      </c>
      <c r="B127" s="65">
        <v>0.33333333333333331</v>
      </c>
      <c r="C127" s="2">
        <v>24</v>
      </c>
      <c r="D127" s="10" t="s">
        <v>648</v>
      </c>
      <c r="E127" s="40">
        <v>0</v>
      </c>
      <c r="F127" s="40">
        <v>2.1</v>
      </c>
      <c r="G127" s="40">
        <v>1.5</v>
      </c>
      <c r="H127" s="3">
        <f t="shared" si="15"/>
        <v>0</v>
      </c>
      <c r="I127" s="3">
        <f t="shared" si="16"/>
        <v>2.1</v>
      </c>
      <c r="J127" s="3">
        <f t="shared" si="17"/>
        <v>1.5</v>
      </c>
      <c r="K127" s="3"/>
      <c r="L127" s="60">
        <f t="shared" si="13"/>
        <v>574.29250000000002</v>
      </c>
      <c r="M127" s="40">
        <v>0</v>
      </c>
      <c r="N127" s="40">
        <v>0</v>
      </c>
      <c r="O127" s="40">
        <v>0.1</v>
      </c>
      <c r="P127" s="40">
        <v>0</v>
      </c>
      <c r="Q127" s="40">
        <v>0</v>
      </c>
      <c r="R127" s="40">
        <v>0</v>
      </c>
      <c r="S127" s="61">
        <f t="shared" si="18"/>
        <v>45.000000000000085</v>
      </c>
      <c r="T127" s="40">
        <v>0</v>
      </c>
      <c r="U127" s="40">
        <v>0</v>
      </c>
      <c r="V127" s="40">
        <v>4</v>
      </c>
      <c r="W127" s="40">
        <v>0</v>
      </c>
      <c r="X127" s="67">
        <f t="shared" si="14"/>
        <v>240</v>
      </c>
      <c r="Z127" s="71">
        <v>125</v>
      </c>
      <c r="AA127" s="71">
        <v>126</v>
      </c>
      <c r="AB127" s="67">
        <f t="shared" si="12"/>
        <v>251</v>
      </c>
      <c r="AD127" s="121"/>
      <c r="AE127" s="121"/>
    </row>
    <row r="128" spans="1:31" x14ac:dyDescent="0.25">
      <c r="A128" s="2" t="s">
        <v>723</v>
      </c>
      <c r="B128" s="65">
        <v>0.33333333333333331</v>
      </c>
      <c r="C128" s="2">
        <v>24</v>
      </c>
      <c r="D128" s="10" t="s">
        <v>648</v>
      </c>
      <c r="E128" s="40">
        <v>0</v>
      </c>
      <c r="F128" s="40">
        <v>2.6</v>
      </c>
      <c r="G128" s="40">
        <v>1.5</v>
      </c>
      <c r="H128" s="3">
        <f t="shared" si="15"/>
        <v>0</v>
      </c>
      <c r="I128" s="3">
        <f t="shared" si="16"/>
        <v>2.6</v>
      </c>
      <c r="J128" s="3">
        <f t="shared" si="17"/>
        <v>1.5</v>
      </c>
      <c r="K128" s="3"/>
      <c r="L128" s="60">
        <f t="shared" si="13"/>
        <v>570.1925</v>
      </c>
      <c r="M128" s="40">
        <v>0</v>
      </c>
      <c r="N128" s="40">
        <v>0</v>
      </c>
      <c r="O128" s="40">
        <v>0.1</v>
      </c>
      <c r="P128" s="40">
        <v>0</v>
      </c>
      <c r="Q128" s="40">
        <v>0</v>
      </c>
      <c r="R128" s="40">
        <v>0</v>
      </c>
      <c r="S128" s="61">
        <f t="shared" si="18"/>
        <v>44.900000000000084</v>
      </c>
      <c r="T128" s="40">
        <v>0</v>
      </c>
      <c r="U128" s="40">
        <v>0</v>
      </c>
      <c r="V128" s="40">
        <v>4</v>
      </c>
      <c r="W128" s="40">
        <v>0</v>
      </c>
      <c r="X128" s="67">
        <f t="shared" si="14"/>
        <v>236</v>
      </c>
      <c r="Z128" s="71">
        <v>121</v>
      </c>
      <c r="AA128" s="71">
        <v>126</v>
      </c>
      <c r="AB128" s="67">
        <f t="shared" si="12"/>
        <v>247</v>
      </c>
      <c r="AD128" s="121"/>
      <c r="AE128" s="121"/>
    </row>
    <row r="129" spans="1:31" x14ac:dyDescent="0.25">
      <c r="A129" s="2" t="s">
        <v>724</v>
      </c>
      <c r="B129" s="65">
        <v>0.33333333333333331</v>
      </c>
      <c r="C129" s="2">
        <v>24</v>
      </c>
      <c r="D129" s="10" t="s">
        <v>648</v>
      </c>
      <c r="E129" s="40">
        <v>0</v>
      </c>
      <c r="F129" s="40">
        <v>2.8</v>
      </c>
      <c r="G129" s="40">
        <v>1.7</v>
      </c>
      <c r="H129" s="3">
        <f t="shared" si="15"/>
        <v>0</v>
      </c>
      <c r="I129" s="3">
        <f t="shared" si="16"/>
        <v>2.8</v>
      </c>
      <c r="J129" s="3">
        <f t="shared" si="17"/>
        <v>1.7</v>
      </c>
      <c r="K129" s="3"/>
      <c r="L129" s="60">
        <f t="shared" si="13"/>
        <v>565.6925</v>
      </c>
      <c r="M129" s="40">
        <v>0</v>
      </c>
      <c r="N129" s="40">
        <v>0</v>
      </c>
      <c r="O129" s="40">
        <v>0.1</v>
      </c>
      <c r="P129" s="40">
        <v>0</v>
      </c>
      <c r="Q129" s="40">
        <v>0</v>
      </c>
      <c r="R129" s="40">
        <v>0</v>
      </c>
      <c r="S129" s="61">
        <f t="shared" si="18"/>
        <v>44.800000000000082</v>
      </c>
      <c r="T129" s="40">
        <v>0</v>
      </c>
      <c r="U129" s="40">
        <v>0</v>
      </c>
      <c r="V129" s="40">
        <v>6</v>
      </c>
      <c r="W129" s="40">
        <v>0</v>
      </c>
      <c r="X129" s="67">
        <f t="shared" si="14"/>
        <v>230</v>
      </c>
      <c r="Z129" s="71">
        <v>115</v>
      </c>
      <c r="AA129" s="71">
        <v>126</v>
      </c>
      <c r="AB129" s="67">
        <f t="shared" si="12"/>
        <v>241</v>
      </c>
      <c r="AD129" s="121"/>
      <c r="AE129" s="121"/>
    </row>
    <row r="130" spans="1:31" x14ac:dyDescent="0.25">
      <c r="A130" s="2" t="s">
        <v>725</v>
      </c>
      <c r="B130" s="65">
        <v>0.33333333333333331</v>
      </c>
      <c r="C130" s="2">
        <v>24</v>
      </c>
      <c r="D130" s="10" t="s">
        <v>648</v>
      </c>
      <c r="E130" s="40">
        <v>0</v>
      </c>
      <c r="F130" s="40">
        <v>2</v>
      </c>
      <c r="G130" s="40">
        <v>1.2</v>
      </c>
      <c r="H130" s="3">
        <f t="shared" si="15"/>
        <v>0</v>
      </c>
      <c r="I130" s="3">
        <f t="shared" si="16"/>
        <v>2</v>
      </c>
      <c r="J130" s="3">
        <f t="shared" si="17"/>
        <v>1.2</v>
      </c>
      <c r="K130" s="3"/>
      <c r="L130" s="60">
        <f t="shared" si="13"/>
        <v>562.49249999999995</v>
      </c>
      <c r="M130" s="40">
        <v>0</v>
      </c>
      <c r="N130" s="40">
        <v>0</v>
      </c>
      <c r="O130" s="40">
        <v>0.1</v>
      </c>
      <c r="P130" s="40">
        <v>0</v>
      </c>
      <c r="Q130" s="40">
        <v>0</v>
      </c>
      <c r="R130" s="40">
        <v>0</v>
      </c>
      <c r="S130" s="61">
        <f t="shared" si="18"/>
        <v>44.700000000000081</v>
      </c>
      <c r="T130" s="40">
        <v>0</v>
      </c>
      <c r="U130" s="40">
        <v>0</v>
      </c>
      <c r="V130" s="40">
        <v>6</v>
      </c>
      <c r="W130" s="40">
        <v>0</v>
      </c>
      <c r="X130" s="67">
        <f t="shared" si="14"/>
        <v>224</v>
      </c>
      <c r="Z130" s="71">
        <v>109</v>
      </c>
      <c r="AA130" s="71">
        <v>126</v>
      </c>
      <c r="AB130" s="67">
        <f t="shared" si="12"/>
        <v>235</v>
      </c>
      <c r="AD130" s="121"/>
      <c r="AE130" s="121"/>
    </row>
    <row r="131" spans="1:31" x14ac:dyDescent="0.25">
      <c r="A131" s="2" t="s">
        <v>726</v>
      </c>
      <c r="B131" s="65">
        <v>0.33333333333333331</v>
      </c>
      <c r="C131" s="2">
        <v>24</v>
      </c>
      <c r="D131" s="10" t="s">
        <v>648</v>
      </c>
      <c r="E131" s="40">
        <v>0</v>
      </c>
      <c r="F131" s="40">
        <v>2.1</v>
      </c>
      <c r="G131" s="40">
        <v>1.2</v>
      </c>
      <c r="H131" s="3">
        <f t="shared" si="15"/>
        <v>0</v>
      </c>
      <c r="I131" s="3">
        <f t="shared" si="16"/>
        <v>2.1</v>
      </c>
      <c r="J131" s="3">
        <f t="shared" si="17"/>
        <v>1.2</v>
      </c>
      <c r="K131" s="3"/>
      <c r="L131" s="60">
        <f t="shared" si="13"/>
        <v>559.1925</v>
      </c>
      <c r="M131" s="40">
        <v>0</v>
      </c>
      <c r="N131" s="40">
        <v>0</v>
      </c>
      <c r="O131" s="40">
        <v>0.1</v>
      </c>
      <c r="P131" s="40">
        <v>0</v>
      </c>
      <c r="Q131" s="40">
        <v>0</v>
      </c>
      <c r="R131" s="40">
        <v>0</v>
      </c>
      <c r="S131" s="61">
        <f t="shared" si="18"/>
        <v>44.60000000000008</v>
      </c>
      <c r="T131" s="40">
        <v>0</v>
      </c>
      <c r="U131" s="40">
        <v>0</v>
      </c>
      <c r="V131" s="40">
        <v>4</v>
      </c>
      <c r="W131" s="40">
        <v>0</v>
      </c>
      <c r="X131" s="67">
        <f t="shared" si="14"/>
        <v>220</v>
      </c>
      <c r="Z131" s="71">
        <v>105</v>
      </c>
      <c r="AA131" s="71">
        <v>126</v>
      </c>
      <c r="AB131" s="67">
        <f t="shared" si="12"/>
        <v>231</v>
      </c>
      <c r="AD131" s="121"/>
      <c r="AE131" s="121"/>
    </row>
    <row r="132" spans="1:31" x14ac:dyDescent="0.25">
      <c r="A132" s="2" t="s">
        <v>727</v>
      </c>
      <c r="B132" s="65">
        <v>0.33333333333333331</v>
      </c>
      <c r="C132" s="2">
        <v>24</v>
      </c>
      <c r="D132" s="10" t="s">
        <v>648</v>
      </c>
      <c r="E132" s="40">
        <v>0</v>
      </c>
      <c r="F132" s="40">
        <v>2.8</v>
      </c>
      <c r="G132" s="40">
        <v>1.7</v>
      </c>
      <c r="H132" s="3">
        <f t="shared" si="15"/>
        <v>0</v>
      </c>
      <c r="I132" s="3">
        <f t="shared" si="16"/>
        <v>2.8</v>
      </c>
      <c r="J132" s="3">
        <f t="shared" si="17"/>
        <v>1.7</v>
      </c>
      <c r="K132" s="3"/>
      <c r="L132" s="60">
        <f t="shared" si="13"/>
        <v>554.6925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61">
        <f t="shared" si="18"/>
        <v>44.60000000000008</v>
      </c>
      <c r="T132" s="40">
        <v>0</v>
      </c>
      <c r="U132" s="40">
        <v>0</v>
      </c>
      <c r="V132" s="40">
        <v>4</v>
      </c>
      <c r="W132" s="40">
        <v>0</v>
      </c>
      <c r="X132" s="67">
        <f t="shared" si="14"/>
        <v>216</v>
      </c>
      <c r="Z132" s="71">
        <v>98</v>
      </c>
      <c r="AA132" s="71">
        <v>126</v>
      </c>
      <c r="AB132" s="67">
        <f t="shared" si="12"/>
        <v>224</v>
      </c>
      <c r="AD132" s="121"/>
      <c r="AE132" s="121"/>
    </row>
    <row r="133" spans="1:31" x14ac:dyDescent="0.25">
      <c r="A133" s="35" t="s">
        <v>727</v>
      </c>
      <c r="B133" s="7">
        <v>0.40833333333333338</v>
      </c>
      <c r="C133" s="2">
        <v>1.8</v>
      </c>
      <c r="D133" s="10" t="s">
        <v>660</v>
      </c>
      <c r="E133" s="40">
        <v>0</v>
      </c>
      <c r="F133" s="40">
        <v>2.8</v>
      </c>
      <c r="G133" s="40">
        <v>1.7</v>
      </c>
      <c r="H133" s="3">
        <f t="shared" si="15"/>
        <v>0</v>
      </c>
      <c r="I133" s="3">
        <f t="shared" si="16"/>
        <v>0.21</v>
      </c>
      <c r="J133" s="3">
        <f t="shared" si="17"/>
        <v>0.1275</v>
      </c>
      <c r="K133" s="3"/>
      <c r="L133" s="60">
        <f t="shared" si="13"/>
        <v>554.35500000000002</v>
      </c>
      <c r="M133" s="40">
        <v>0</v>
      </c>
      <c r="N133" s="40">
        <v>0</v>
      </c>
      <c r="O133" s="40">
        <v>0</v>
      </c>
      <c r="P133" s="40">
        <v>0</v>
      </c>
      <c r="Q133" s="40">
        <v>0</v>
      </c>
      <c r="R133" s="40">
        <v>0</v>
      </c>
      <c r="S133" s="61">
        <f t="shared" si="18"/>
        <v>44.60000000000008</v>
      </c>
      <c r="T133" s="40">
        <v>0</v>
      </c>
      <c r="U133" s="40">
        <v>0</v>
      </c>
      <c r="V133" s="40">
        <v>0</v>
      </c>
      <c r="W133" s="40">
        <v>0</v>
      </c>
      <c r="X133" s="67">
        <f t="shared" si="14"/>
        <v>216</v>
      </c>
      <c r="Z133" s="71"/>
      <c r="AA133" s="71"/>
      <c r="AB133" s="67" t="str">
        <f t="shared" si="12"/>
        <v/>
      </c>
      <c r="AD133" s="121"/>
      <c r="AE133" s="121"/>
    </row>
    <row r="134" spans="1:31" x14ac:dyDescent="0.25">
      <c r="A134" s="2" t="s">
        <v>727</v>
      </c>
      <c r="B134" s="7">
        <v>0.45833333333333331</v>
      </c>
      <c r="C134" s="2">
        <v>1.2</v>
      </c>
      <c r="D134" s="10" t="s">
        <v>105</v>
      </c>
      <c r="E134" s="40">
        <v>15</v>
      </c>
      <c r="F134" s="40">
        <v>2.8</v>
      </c>
      <c r="G134" s="40">
        <v>1.7</v>
      </c>
      <c r="H134" s="3">
        <f t="shared" si="15"/>
        <v>0.75</v>
      </c>
      <c r="I134" s="3">
        <f t="shared" si="16"/>
        <v>0.13999999999999999</v>
      </c>
      <c r="J134" s="3">
        <f t="shared" si="17"/>
        <v>8.4999999999999992E-2</v>
      </c>
      <c r="K134" s="3"/>
      <c r="L134" s="60">
        <f t="shared" si="13"/>
        <v>553.38</v>
      </c>
      <c r="M134" s="40">
        <v>0</v>
      </c>
      <c r="N134" s="40">
        <v>0</v>
      </c>
      <c r="O134" s="40">
        <v>0</v>
      </c>
      <c r="P134" s="40">
        <v>0</v>
      </c>
      <c r="Q134" s="40">
        <v>0</v>
      </c>
      <c r="R134" s="40">
        <v>0</v>
      </c>
      <c r="S134" s="61">
        <f t="shared" si="18"/>
        <v>44.60000000000008</v>
      </c>
      <c r="T134" s="40">
        <v>0</v>
      </c>
      <c r="U134" s="40">
        <v>0</v>
      </c>
      <c r="V134" s="40">
        <v>0</v>
      </c>
      <c r="W134" s="40">
        <v>0</v>
      </c>
      <c r="X134" s="67">
        <f t="shared" si="14"/>
        <v>216</v>
      </c>
      <c r="Z134" s="71"/>
      <c r="AA134" s="71"/>
      <c r="AB134" s="67" t="str">
        <f t="shared" ref="AB134:AB197" si="19">IF(Z134="","",Z134+AA134)</f>
        <v/>
      </c>
      <c r="AD134" s="121"/>
      <c r="AE134" s="121"/>
    </row>
    <row r="135" spans="1:31" x14ac:dyDescent="0.25">
      <c r="A135" s="2" t="s">
        <v>728</v>
      </c>
      <c r="B135" s="65">
        <v>0.33333333333333331</v>
      </c>
      <c r="C135" s="2">
        <v>21</v>
      </c>
      <c r="D135" s="10" t="s">
        <v>665</v>
      </c>
      <c r="E135" s="40">
        <v>20</v>
      </c>
      <c r="F135" s="40">
        <v>2.5</v>
      </c>
      <c r="G135" s="40">
        <v>0</v>
      </c>
      <c r="H135" s="3">
        <f t="shared" si="15"/>
        <v>17.5</v>
      </c>
      <c r="I135" s="3">
        <f t="shared" si="16"/>
        <v>2.1875</v>
      </c>
      <c r="J135" s="3">
        <f t="shared" si="17"/>
        <v>0</v>
      </c>
      <c r="K135" s="3"/>
      <c r="L135" s="60">
        <f t="shared" ref="L135:L197" si="20">+IF(C135="","",(L134+K135)-(H135+I135+J135))</f>
        <v>533.6925</v>
      </c>
      <c r="M135" s="40">
        <v>0</v>
      </c>
      <c r="N135" s="40">
        <v>0</v>
      </c>
      <c r="O135" s="40">
        <v>0</v>
      </c>
      <c r="P135" s="40">
        <v>0</v>
      </c>
      <c r="Q135" s="40">
        <v>0</v>
      </c>
      <c r="R135" s="40">
        <v>0</v>
      </c>
      <c r="S135" s="61">
        <f t="shared" si="18"/>
        <v>44.60000000000008</v>
      </c>
      <c r="T135" s="40">
        <v>0</v>
      </c>
      <c r="U135" s="40">
        <v>0</v>
      </c>
      <c r="V135" s="40">
        <v>6</v>
      </c>
      <c r="W135" s="40">
        <v>0</v>
      </c>
      <c r="X135" s="67">
        <f t="shared" si="14"/>
        <v>210</v>
      </c>
      <c r="Z135" s="71">
        <v>90</v>
      </c>
      <c r="AA135" s="71">
        <v>126</v>
      </c>
      <c r="AB135" s="67">
        <f t="shared" si="19"/>
        <v>216</v>
      </c>
      <c r="AD135" s="121"/>
      <c r="AE135" s="121"/>
    </row>
    <row r="136" spans="1:31" x14ac:dyDescent="0.25">
      <c r="A136" s="2" t="s">
        <v>729</v>
      </c>
      <c r="B136" s="7">
        <v>0.20833333333333334</v>
      </c>
      <c r="C136" s="2">
        <v>21</v>
      </c>
      <c r="D136" s="10" t="s">
        <v>695</v>
      </c>
      <c r="E136" s="40">
        <v>22</v>
      </c>
      <c r="F136" s="40">
        <v>2.5</v>
      </c>
      <c r="G136" s="40">
        <v>0</v>
      </c>
      <c r="H136" s="3">
        <f t="shared" si="15"/>
        <v>19.25</v>
      </c>
      <c r="I136" s="3">
        <f t="shared" si="16"/>
        <v>2.1875</v>
      </c>
      <c r="J136" s="3">
        <f t="shared" si="17"/>
        <v>0</v>
      </c>
      <c r="K136" s="3"/>
      <c r="L136" s="60">
        <f t="shared" si="20"/>
        <v>512.255</v>
      </c>
      <c r="M136" s="40">
        <v>0</v>
      </c>
      <c r="N136" s="40">
        <v>0</v>
      </c>
      <c r="O136" s="40">
        <v>0.1</v>
      </c>
      <c r="P136" s="40">
        <v>0</v>
      </c>
      <c r="Q136" s="40">
        <v>0</v>
      </c>
      <c r="R136" s="40">
        <v>0</v>
      </c>
      <c r="S136" s="61">
        <f t="shared" si="18"/>
        <v>44.500000000000078</v>
      </c>
      <c r="T136" s="40">
        <v>0</v>
      </c>
      <c r="U136" s="40">
        <v>0</v>
      </c>
      <c r="V136" s="40">
        <v>4</v>
      </c>
      <c r="W136" s="40">
        <v>0</v>
      </c>
      <c r="X136" s="67">
        <f t="shared" si="14"/>
        <v>206</v>
      </c>
      <c r="Z136" s="71">
        <v>78</v>
      </c>
      <c r="AA136" s="71">
        <v>126</v>
      </c>
      <c r="AB136" s="67">
        <f t="shared" si="19"/>
        <v>204</v>
      </c>
      <c r="AD136" s="121">
        <v>12.1</v>
      </c>
      <c r="AE136" s="121" t="s">
        <v>1295</v>
      </c>
    </row>
    <row r="137" spans="1:31" x14ac:dyDescent="0.25">
      <c r="A137" s="2" t="s">
        <v>729</v>
      </c>
      <c r="B137" s="7">
        <v>0.24166666666666667</v>
      </c>
      <c r="C137" s="2">
        <v>0.8</v>
      </c>
      <c r="D137" s="10" t="s">
        <v>705</v>
      </c>
      <c r="E137" s="40">
        <v>10</v>
      </c>
      <c r="F137" s="40">
        <v>2.5</v>
      </c>
      <c r="G137" s="40">
        <v>1</v>
      </c>
      <c r="H137" s="3">
        <f t="shared" si="15"/>
        <v>0.33333333333333337</v>
      </c>
      <c r="I137" s="3">
        <f t="shared" si="16"/>
        <v>8.3333333333333343E-2</v>
      </c>
      <c r="J137" s="3">
        <f t="shared" si="17"/>
        <v>3.3333333333333333E-2</v>
      </c>
      <c r="K137" s="3"/>
      <c r="L137" s="60">
        <f t="shared" si="20"/>
        <v>511.80500000000001</v>
      </c>
      <c r="M137" s="40">
        <v>0</v>
      </c>
      <c r="N137" s="40">
        <v>0</v>
      </c>
      <c r="O137" s="40">
        <v>0</v>
      </c>
      <c r="P137" s="40">
        <v>0</v>
      </c>
      <c r="Q137" s="40">
        <v>0</v>
      </c>
      <c r="R137" s="40">
        <v>0</v>
      </c>
      <c r="S137" s="61">
        <f t="shared" si="18"/>
        <v>44.500000000000078</v>
      </c>
      <c r="T137" s="40">
        <v>0</v>
      </c>
      <c r="U137" s="40">
        <v>0</v>
      </c>
      <c r="V137" s="40">
        <v>0</v>
      </c>
      <c r="W137" s="40">
        <v>0</v>
      </c>
      <c r="X137" s="67">
        <f t="shared" ref="X137:X201" si="21">IF(V137="","",((X136+T137+U137)-(V137+W137)))</f>
        <v>206</v>
      </c>
      <c r="Z137" s="71"/>
      <c r="AA137" s="71"/>
      <c r="AB137" s="67" t="str">
        <f t="shared" si="19"/>
        <v/>
      </c>
      <c r="AD137" s="121"/>
      <c r="AE137" s="121"/>
    </row>
    <row r="138" spans="1:31" x14ac:dyDescent="0.25">
      <c r="A138" s="2" t="s">
        <v>729</v>
      </c>
      <c r="B138" s="65">
        <v>0.33333333333333331</v>
      </c>
      <c r="C138" s="2">
        <v>2.2000000000000002</v>
      </c>
      <c r="D138" s="10" t="s">
        <v>705</v>
      </c>
      <c r="E138" s="40">
        <v>0</v>
      </c>
      <c r="F138" s="40">
        <v>2</v>
      </c>
      <c r="G138" s="40">
        <v>1</v>
      </c>
      <c r="H138" s="3">
        <f t="shared" si="15"/>
        <v>0</v>
      </c>
      <c r="I138" s="3">
        <f t="shared" si="16"/>
        <v>0.18333333333333335</v>
      </c>
      <c r="J138" s="3">
        <f t="shared" si="17"/>
        <v>9.1666666666666674E-2</v>
      </c>
      <c r="K138" s="3"/>
      <c r="L138" s="60">
        <f t="shared" si="20"/>
        <v>511.53000000000003</v>
      </c>
      <c r="M138" s="40">
        <v>0</v>
      </c>
      <c r="N138" s="40">
        <v>0</v>
      </c>
      <c r="O138" s="40">
        <v>0</v>
      </c>
      <c r="P138" s="40">
        <v>0</v>
      </c>
      <c r="Q138" s="40">
        <v>0</v>
      </c>
      <c r="R138" s="40">
        <v>0</v>
      </c>
      <c r="S138" s="61">
        <f t="shared" si="18"/>
        <v>44.500000000000078</v>
      </c>
      <c r="T138" s="40">
        <v>0</v>
      </c>
      <c r="U138" s="40">
        <v>0</v>
      </c>
      <c r="V138" s="40">
        <v>1</v>
      </c>
      <c r="W138" s="40">
        <v>0</v>
      </c>
      <c r="X138" s="67">
        <f t="shared" si="21"/>
        <v>205</v>
      </c>
      <c r="Z138" s="71"/>
      <c r="AA138" s="71"/>
      <c r="AB138" s="67" t="str">
        <f t="shared" si="19"/>
        <v/>
      </c>
      <c r="AD138" s="121"/>
      <c r="AE138" s="121"/>
    </row>
    <row r="139" spans="1:31" x14ac:dyDescent="0.25">
      <c r="A139" s="36" t="s">
        <v>730</v>
      </c>
      <c r="B139" s="7">
        <v>8.7500000000000008E-2</v>
      </c>
      <c r="C139" s="2">
        <v>18.100000000000001</v>
      </c>
      <c r="D139" s="10" t="s">
        <v>660</v>
      </c>
      <c r="E139" s="40">
        <v>0</v>
      </c>
      <c r="F139" s="40">
        <v>2</v>
      </c>
      <c r="G139" s="40">
        <v>1</v>
      </c>
      <c r="H139" s="3">
        <f t="shared" si="15"/>
        <v>0</v>
      </c>
      <c r="I139" s="3">
        <f t="shared" si="16"/>
        <v>1.5083333333333333</v>
      </c>
      <c r="J139" s="3">
        <f t="shared" si="17"/>
        <v>0.75416666666666665</v>
      </c>
      <c r="K139" s="3"/>
      <c r="L139" s="60">
        <f t="shared" si="20"/>
        <v>509.26750000000004</v>
      </c>
      <c r="M139" s="40">
        <v>0</v>
      </c>
      <c r="N139" s="40">
        <v>0</v>
      </c>
      <c r="O139" s="40">
        <v>0</v>
      </c>
      <c r="P139" s="40">
        <v>0</v>
      </c>
      <c r="Q139" s="40">
        <v>0</v>
      </c>
      <c r="R139" s="40">
        <v>0</v>
      </c>
      <c r="S139" s="61">
        <f t="shared" si="18"/>
        <v>44.500000000000078</v>
      </c>
      <c r="T139" s="40">
        <v>0</v>
      </c>
      <c r="U139" s="40">
        <v>0</v>
      </c>
      <c r="V139" s="40">
        <v>3</v>
      </c>
      <c r="W139" s="40">
        <v>0</v>
      </c>
      <c r="X139" s="67">
        <f t="shared" si="21"/>
        <v>202</v>
      </c>
      <c r="Z139" s="71"/>
      <c r="AA139" s="71"/>
      <c r="AB139" s="67" t="str">
        <f t="shared" si="19"/>
        <v/>
      </c>
      <c r="AD139" s="121"/>
      <c r="AE139" s="121"/>
    </row>
    <row r="140" spans="1:31" x14ac:dyDescent="0.25">
      <c r="A140" s="36" t="s">
        <v>730</v>
      </c>
      <c r="B140" s="7">
        <v>0.10416666666666667</v>
      </c>
      <c r="C140" s="2">
        <v>0.4</v>
      </c>
      <c r="D140" s="10" t="s">
        <v>665</v>
      </c>
      <c r="E140" s="40">
        <v>10</v>
      </c>
      <c r="F140" s="40">
        <v>2</v>
      </c>
      <c r="G140" s="40">
        <v>0</v>
      </c>
      <c r="H140" s="3">
        <f t="shared" ref="H140:H204" si="22">+IF(E140="","",(E140/24)*C140)</f>
        <v>0.16666666666666669</v>
      </c>
      <c r="I140" s="3">
        <f t="shared" ref="I140:I204" si="23">+IF(F140="","",(F140/24)*C140)</f>
        <v>3.3333333333333333E-2</v>
      </c>
      <c r="J140" s="3">
        <f t="shared" ref="J140:J204" si="24">+IF(G140="","",(G140/24)*C140)</f>
        <v>0</v>
      </c>
      <c r="K140" s="3"/>
      <c r="L140" s="60">
        <f t="shared" si="20"/>
        <v>509.06750000000005</v>
      </c>
      <c r="M140" s="40">
        <v>0</v>
      </c>
      <c r="N140" s="40">
        <v>0</v>
      </c>
      <c r="O140" s="40">
        <v>0</v>
      </c>
      <c r="P140" s="40">
        <v>0</v>
      </c>
      <c r="Q140" s="40">
        <v>0</v>
      </c>
      <c r="R140" s="40">
        <v>0</v>
      </c>
      <c r="S140" s="61">
        <f t="shared" si="18"/>
        <v>44.500000000000078</v>
      </c>
      <c r="T140" s="40">
        <v>0</v>
      </c>
      <c r="U140" s="40">
        <v>0</v>
      </c>
      <c r="V140" s="40">
        <v>0</v>
      </c>
      <c r="W140" s="40">
        <v>0</v>
      </c>
      <c r="X140" s="67">
        <f t="shared" si="21"/>
        <v>202</v>
      </c>
      <c r="Z140" s="71"/>
      <c r="AA140" s="71"/>
      <c r="AB140" s="67" t="str">
        <f t="shared" si="19"/>
        <v/>
      </c>
      <c r="AD140" s="121"/>
      <c r="AE140" s="121"/>
    </row>
    <row r="141" spans="1:31" x14ac:dyDescent="0.25">
      <c r="A141" s="2" t="s">
        <v>730</v>
      </c>
      <c r="B141" s="7">
        <v>0.13749999999999998</v>
      </c>
      <c r="C141" s="2">
        <v>0.8</v>
      </c>
      <c r="D141" s="10" t="s">
        <v>695</v>
      </c>
      <c r="E141" s="40">
        <v>15</v>
      </c>
      <c r="F141" s="40">
        <v>2</v>
      </c>
      <c r="G141" s="40">
        <v>0</v>
      </c>
      <c r="H141" s="3">
        <f t="shared" si="22"/>
        <v>0.5</v>
      </c>
      <c r="I141" s="3">
        <f t="shared" si="23"/>
        <v>6.6666666666666666E-2</v>
      </c>
      <c r="J141" s="3">
        <f t="shared" si="24"/>
        <v>0</v>
      </c>
      <c r="K141" s="3"/>
      <c r="L141" s="60">
        <f t="shared" si="20"/>
        <v>508.50083333333339</v>
      </c>
      <c r="M141" s="40">
        <v>0</v>
      </c>
      <c r="N141" s="40">
        <v>0</v>
      </c>
      <c r="O141" s="40">
        <v>0</v>
      </c>
      <c r="P141" s="40">
        <v>0</v>
      </c>
      <c r="Q141" s="40">
        <v>0</v>
      </c>
      <c r="R141" s="40">
        <v>0</v>
      </c>
      <c r="S141" s="61">
        <f t="shared" si="18"/>
        <v>44.500000000000078</v>
      </c>
      <c r="T141" s="40">
        <v>0</v>
      </c>
      <c r="U141" s="40">
        <v>0</v>
      </c>
      <c r="V141" s="40">
        <v>0</v>
      </c>
      <c r="W141" s="40">
        <v>0</v>
      </c>
      <c r="X141" s="67">
        <f t="shared" si="21"/>
        <v>202</v>
      </c>
      <c r="Z141" s="71"/>
      <c r="AA141" s="71"/>
      <c r="AB141" s="67" t="str">
        <f t="shared" si="19"/>
        <v/>
      </c>
      <c r="AD141" s="121">
        <v>12</v>
      </c>
      <c r="AE141" s="121" t="s">
        <v>1301</v>
      </c>
    </row>
    <row r="142" spans="1:31" x14ac:dyDescent="0.25">
      <c r="A142" s="2" t="s">
        <v>730</v>
      </c>
      <c r="B142" s="7">
        <v>0.26250000000000001</v>
      </c>
      <c r="C142" s="2">
        <v>3</v>
      </c>
      <c r="D142" s="10" t="s">
        <v>706</v>
      </c>
      <c r="E142" s="40">
        <v>10</v>
      </c>
      <c r="F142" s="40">
        <v>2</v>
      </c>
      <c r="G142" s="40">
        <v>1</v>
      </c>
      <c r="H142" s="3">
        <f t="shared" si="22"/>
        <v>1.25</v>
      </c>
      <c r="I142" s="3">
        <f t="shared" si="23"/>
        <v>0.25</v>
      </c>
      <c r="J142" s="3">
        <f t="shared" si="24"/>
        <v>0.125</v>
      </c>
      <c r="K142" s="3"/>
      <c r="L142" s="60">
        <f t="shared" si="20"/>
        <v>506.87583333333339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40">
        <v>0</v>
      </c>
      <c r="S142" s="61">
        <f t="shared" si="18"/>
        <v>44.500000000000078</v>
      </c>
      <c r="T142" s="40">
        <v>0</v>
      </c>
      <c r="U142" s="40">
        <v>0</v>
      </c>
      <c r="V142" s="40">
        <v>0</v>
      </c>
      <c r="W142" s="40">
        <v>0</v>
      </c>
      <c r="X142" s="67">
        <f t="shared" si="21"/>
        <v>202</v>
      </c>
      <c r="Z142" s="71"/>
      <c r="AA142" s="71"/>
      <c r="AB142" s="67" t="str">
        <f t="shared" si="19"/>
        <v/>
      </c>
      <c r="AD142" s="121"/>
      <c r="AE142" s="121"/>
    </row>
    <row r="143" spans="1:31" x14ac:dyDescent="0.25">
      <c r="A143" s="2" t="s">
        <v>730</v>
      </c>
      <c r="B143" s="65">
        <v>0.33333333333333331</v>
      </c>
      <c r="C143" s="2">
        <v>1.7</v>
      </c>
      <c r="D143" s="10" t="s">
        <v>706</v>
      </c>
      <c r="E143" s="40">
        <v>0</v>
      </c>
      <c r="F143" s="40">
        <v>2</v>
      </c>
      <c r="G143" s="40">
        <v>1</v>
      </c>
      <c r="H143" s="3">
        <f t="shared" si="22"/>
        <v>0</v>
      </c>
      <c r="I143" s="3">
        <f t="shared" si="23"/>
        <v>0.14166666666666666</v>
      </c>
      <c r="J143" s="3">
        <f t="shared" si="24"/>
        <v>7.0833333333333331E-2</v>
      </c>
      <c r="K143" s="3"/>
      <c r="L143" s="60">
        <f t="shared" si="20"/>
        <v>506.66333333333341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61">
        <f t="shared" si="18"/>
        <v>44.500000000000078</v>
      </c>
      <c r="T143" s="40">
        <v>0</v>
      </c>
      <c r="U143" s="40">
        <v>0</v>
      </c>
      <c r="V143" s="40">
        <v>1</v>
      </c>
      <c r="W143" s="40">
        <v>0</v>
      </c>
      <c r="X143" s="67">
        <f t="shared" si="21"/>
        <v>201</v>
      </c>
      <c r="Z143" s="71">
        <v>71</v>
      </c>
      <c r="AA143" s="71">
        <v>132</v>
      </c>
      <c r="AB143" s="67">
        <f t="shared" si="19"/>
        <v>203</v>
      </c>
      <c r="AD143" s="121"/>
      <c r="AE143" s="121"/>
    </row>
    <row r="144" spans="1:31" x14ac:dyDescent="0.25">
      <c r="A144" s="2" t="s">
        <v>730</v>
      </c>
      <c r="B144" s="7">
        <v>0.89166666666666661</v>
      </c>
      <c r="C144" s="2">
        <v>13.4</v>
      </c>
      <c r="D144" s="10" t="s">
        <v>706</v>
      </c>
      <c r="E144" s="40">
        <v>2</v>
      </c>
      <c r="F144" s="40">
        <v>2.5</v>
      </c>
      <c r="G144" s="40">
        <v>4</v>
      </c>
      <c r="H144" s="3">
        <f t="shared" si="22"/>
        <v>1.1166666666666667</v>
      </c>
      <c r="I144" s="3">
        <f t="shared" si="23"/>
        <v>1.3958333333333335</v>
      </c>
      <c r="J144" s="3">
        <f t="shared" si="24"/>
        <v>2.2333333333333334</v>
      </c>
      <c r="K144" s="3"/>
      <c r="L144" s="60">
        <f t="shared" si="20"/>
        <v>501.91750000000008</v>
      </c>
      <c r="M144" s="40">
        <v>0</v>
      </c>
      <c r="N144" s="40">
        <v>0</v>
      </c>
      <c r="O144" s="40">
        <v>0</v>
      </c>
      <c r="P144" s="40">
        <v>0</v>
      </c>
      <c r="Q144" s="40">
        <v>0</v>
      </c>
      <c r="R144" s="40">
        <v>0</v>
      </c>
      <c r="S144" s="61">
        <f t="shared" si="18"/>
        <v>44.500000000000078</v>
      </c>
      <c r="T144" s="40">
        <v>0</v>
      </c>
      <c r="U144" s="40">
        <v>0</v>
      </c>
      <c r="V144" s="40">
        <v>2</v>
      </c>
      <c r="W144" s="40">
        <v>0</v>
      </c>
      <c r="X144" s="67">
        <f t="shared" si="21"/>
        <v>199</v>
      </c>
      <c r="Z144" s="71"/>
      <c r="AA144" s="71"/>
      <c r="AB144" s="67" t="str">
        <f t="shared" si="19"/>
        <v/>
      </c>
      <c r="AD144" s="121"/>
      <c r="AE144" s="121"/>
    </row>
    <row r="145" spans="1:31" x14ac:dyDescent="0.25">
      <c r="A145" s="2" t="s">
        <v>731</v>
      </c>
      <c r="B145" s="7">
        <v>3.7499999999999999E-2</v>
      </c>
      <c r="C145" s="2">
        <v>3.5</v>
      </c>
      <c r="D145" s="10" t="s">
        <v>660</v>
      </c>
      <c r="E145" s="40">
        <v>0</v>
      </c>
      <c r="F145" s="40">
        <v>2.5</v>
      </c>
      <c r="G145" s="40">
        <v>4</v>
      </c>
      <c r="H145" s="3">
        <f t="shared" si="22"/>
        <v>0</v>
      </c>
      <c r="I145" s="3">
        <f t="shared" si="23"/>
        <v>0.36458333333333337</v>
      </c>
      <c r="J145" s="3">
        <f t="shared" si="24"/>
        <v>0.58333333333333326</v>
      </c>
      <c r="K145" s="3"/>
      <c r="L145" s="60">
        <f t="shared" si="20"/>
        <v>500.96958333333339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61">
        <f t="shared" si="18"/>
        <v>44.500000000000078</v>
      </c>
      <c r="T145" s="40">
        <v>0</v>
      </c>
      <c r="U145" s="40">
        <v>0</v>
      </c>
      <c r="V145" s="40">
        <v>0</v>
      </c>
      <c r="W145" s="40">
        <v>0</v>
      </c>
      <c r="X145" s="67">
        <f t="shared" si="21"/>
        <v>199</v>
      </c>
      <c r="Z145" s="71"/>
      <c r="AA145" s="71"/>
      <c r="AB145" s="67" t="str">
        <f t="shared" si="19"/>
        <v/>
      </c>
      <c r="AD145" s="121"/>
      <c r="AE145" s="121"/>
    </row>
    <row r="146" spans="1:31" x14ac:dyDescent="0.25">
      <c r="A146" s="2" t="s">
        <v>731</v>
      </c>
      <c r="B146" s="7">
        <v>6.25E-2</v>
      </c>
      <c r="C146" s="2">
        <v>0.4</v>
      </c>
      <c r="D146" s="10" t="s">
        <v>665</v>
      </c>
      <c r="E146" s="40">
        <v>10</v>
      </c>
      <c r="F146" s="40">
        <v>2.5</v>
      </c>
      <c r="G146" s="40">
        <v>3.5</v>
      </c>
      <c r="H146" s="3">
        <f t="shared" si="22"/>
        <v>0.16666666666666669</v>
      </c>
      <c r="I146" s="3">
        <f t="shared" si="23"/>
        <v>4.1666666666666671E-2</v>
      </c>
      <c r="J146" s="3">
        <f t="shared" si="24"/>
        <v>5.8333333333333341E-2</v>
      </c>
      <c r="K146" s="3"/>
      <c r="L146" s="60">
        <f t="shared" si="20"/>
        <v>500.70291666666674</v>
      </c>
      <c r="M146" s="40">
        <v>0</v>
      </c>
      <c r="N146" s="40">
        <v>0</v>
      </c>
      <c r="O146" s="40">
        <v>0</v>
      </c>
      <c r="P146" s="40">
        <v>0</v>
      </c>
      <c r="Q146" s="40">
        <v>0</v>
      </c>
      <c r="R146" s="40">
        <v>0</v>
      </c>
      <c r="S146" s="61">
        <f t="shared" si="18"/>
        <v>44.500000000000078</v>
      </c>
      <c r="T146" s="40">
        <v>0</v>
      </c>
      <c r="U146" s="40">
        <v>0</v>
      </c>
      <c r="V146" s="40">
        <v>1</v>
      </c>
      <c r="W146" s="40">
        <v>0</v>
      </c>
      <c r="X146" s="67">
        <f t="shared" si="21"/>
        <v>198</v>
      </c>
      <c r="Z146" s="71"/>
      <c r="AA146" s="71"/>
      <c r="AB146" s="67" t="str">
        <f t="shared" si="19"/>
        <v/>
      </c>
      <c r="AD146" s="121"/>
      <c r="AE146" s="121"/>
    </row>
    <row r="147" spans="1:31" x14ac:dyDescent="0.25">
      <c r="A147" s="2" t="s">
        <v>731</v>
      </c>
      <c r="B147" s="7">
        <v>0.24166666666666667</v>
      </c>
      <c r="C147" s="2">
        <v>4.3</v>
      </c>
      <c r="D147" s="10" t="s">
        <v>695</v>
      </c>
      <c r="E147" s="40">
        <v>23</v>
      </c>
      <c r="F147" s="40">
        <v>2.5</v>
      </c>
      <c r="G147" s="40">
        <v>3.5</v>
      </c>
      <c r="H147" s="3">
        <f t="shared" si="22"/>
        <v>4.1208333333333336</v>
      </c>
      <c r="I147" s="3">
        <f t="shared" si="23"/>
        <v>0.44791666666666669</v>
      </c>
      <c r="J147" s="3">
        <f t="shared" si="24"/>
        <v>0.62708333333333333</v>
      </c>
      <c r="K147" s="3"/>
      <c r="L147" s="60">
        <f t="shared" si="20"/>
        <v>495.50708333333341</v>
      </c>
      <c r="M147" s="40">
        <v>0</v>
      </c>
      <c r="N147" s="40">
        <v>0</v>
      </c>
      <c r="O147" s="40">
        <v>0</v>
      </c>
      <c r="P147" s="40">
        <v>0</v>
      </c>
      <c r="Q147" s="40">
        <v>1.4</v>
      </c>
      <c r="R147" s="40">
        <v>0</v>
      </c>
      <c r="S147" s="61">
        <f t="shared" si="18"/>
        <v>43.10000000000008</v>
      </c>
      <c r="T147" s="40">
        <v>0</v>
      </c>
      <c r="U147" s="40">
        <v>0</v>
      </c>
      <c r="V147" s="40">
        <v>0</v>
      </c>
      <c r="W147" s="40">
        <v>0</v>
      </c>
      <c r="X147" s="67">
        <f t="shared" si="21"/>
        <v>198</v>
      </c>
      <c r="Z147" s="71">
        <v>63</v>
      </c>
      <c r="AA147" s="71">
        <v>132</v>
      </c>
      <c r="AB147" s="67">
        <f t="shared" si="19"/>
        <v>195</v>
      </c>
      <c r="AD147" s="121">
        <v>12.1</v>
      </c>
      <c r="AE147" s="121" t="s">
        <v>1301</v>
      </c>
    </row>
    <row r="148" spans="1:31" x14ac:dyDescent="0.25">
      <c r="A148" s="2" t="s">
        <v>731</v>
      </c>
      <c r="B148" s="7">
        <v>0.29166666666666669</v>
      </c>
      <c r="C148" s="2">
        <v>1.2</v>
      </c>
      <c r="D148" s="10" t="s">
        <v>703</v>
      </c>
      <c r="E148" s="40">
        <v>10</v>
      </c>
      <c r="F148" s="40">
        <v>2.5</v>
      </c>
      <c r="G148" s="40">
        <v>3.5</v>
      </c>
      <c r="H148" s="3">
        <f t="shared" si="22"/>
        <v>0.5</v>
      </c>
      <c r="I148" s="3">
        <f t="shared" si="23"/>
        <v>0.125</v>
      </c>
      <c r="J148" s="3">
        <f t="shared" si="24"/>
        <v>0.17500000000000002</v>
      </c>
      <c r="K148" s="3"/>
      <c r="L148" s="60">
        <f t="shared" si="20"/>
        <v>494.7070833333334</v>
      </c>
      <c r="M148" s="40">
        <v>0</v>
      </c>
      <c r="N148" s="40">
        <v>0</v>
      </c>
      <c r="O148" s="40">
        <v>0</v>
      </c>
      <c r="P148" s="40">
        <v>0</v>
      </c>
      <c r="Q148" s="40">
        <v>0</v>
      </c>
      <c r="R148" s="40">
        <v>0</v>
      </c>
      <c r="S148" s="61">
        <f t="shared" si="18"/>
        <v>43.10000000000008</v>
      </c>
      <c r="T148" s="40">
        <v>0</v>
      </c>
      <c r="U148" s="40">
        <v>0</v>
      </c>
      <c r="V148" s="40">
        <v>1</v>
      </c>
      <c r="W148" s="40">
        <v>0</v>
      </c>
      <c r="X148" s="67">
        <f t="shared" si="21"/>
        <v>197</v>
      </c>
      <c r="Z148" s="71"/>
      <c r="AA148" s="71"/>
      <c r="AB148" s="67" t="str">
        <f t="shared" si="19"/>
        <v/>
      </c>
      <c r="AD148" s="121"/>
      <c r="AE148" s="121"/>
    </row>
    <row r="149" spans="1:31" x14ac:dyDescent="0.25">
      <c r="A149" s="2" t="s">
        <v>731</v>
      </c>
      <c r="B149" s="65">
        <v>0.33333333333333331</v>
      </c>
      <c r="C149" s="2">
        <v>1</v>
      </c>
      <c r="D149" s="10" t="s">
        <v>703</v>
      </c>
      <c r="E149" s="40">
        <v>0</v>
      </c>
      <c r="F149" s="40">
        <v>2.2000000000000002</v>
      </c>
      <c r="G149" s="40">
        <v>4</v>
      </c>
      <c r="H149" s="3">
        <f t="shared" si="22"/>
        <v>0</v>
      </c>
      <c r="I149" s="3">
        <f t="shared" si="23"/>
        <v>9.1666666666666674E-2</v>
      </c>
      <c r="J149" s="3">
        <f t="shared" si="24"/>
        <v>0.16666666666666666</v>
      </c>
      <c r="K149" s="3"/>
      <c r="L149" s="60">
        <f t="shared" si="20"/>
        <v>494.44875000000008</v>
      </c>
      <c r="M149" s="40">
        <v>0</v>
      </c>
      <c r="N149" s="40">
        <v>0</v>
      </c>
      <c r="O149" s="40">
        <v>0</v>
      </c>
      <c r="P149" s="40">
        <v>0</v>
      </c>
      <c r="Q149" s="40">
        <v>0</v>
      </c>
      <c r="R149" s="40">
        <v>0</v>
      </c>
      <c r="S149" s="61">
        <f t="shared" si="18"/>
        <v>43.10000000000008</v>
      </c>
      <c r="T149" s="40">
        <v>0</v>
      </c>
      <c r="U149" s="40">
        <v>0</v>
      </c>
      <c r="V149" s="40">
        <v>0</v>
      </c>
      <c r="W149" s="40">
        <v>0</v>
      </c>
      <c r="X149" s="67">
        <f t="shared" si="21"/>
        <v>197</v>
      </c>
      <c r="Z149" s="71"/>
      <c r="AA149" s="71"/>
      <c r="AB149" s="67" t="str">
        <f t="shared" si="19"/>
        <v/>
      </c>
      <c r="AD149" s="121"/>
      <c r="AE149" s="121"/>
    </row>
    <row r="150" spans="1:31" x14ac:dyDescent="0.25">
      <c r="A150" s="2" t="s">
        <v>731</v>
      </c>
      <c r="B150" s="7">
        <v>0.41666666666666669</v>
      </c>
      <c r="C150" s="2">
        <v>2</v>
      </c>
      <c r="D150" s="10" t="s">
        <v>660</v>
      </c>
      <c r="E150" s="40">
        <v>0</v>
      </c>
      <c r="F150" s="40">
        <v>2.2000000000000002</v>
      </c>
      <c r="G150" s="40">
        <v>4</v>
      </c>
      <c r="H150" s="3">
        <f t="shared" si="22"/>
        <v>0</v>
      </c>
      <c r="I150" s="3">
        <f t="shared" si="23"/>
        <v>0.18333333333333335</v>
      </c>
      <c r="J150" s="3">
        <f t="shared" si="24"/>
        <v>0.33333333333333331</v>
      </c>
      <c r="K150" s="3"/>
      <c r="L150" s="60">
        <f t="shared" si="20"/>
        <v>493.93208333333342</v>
      </c>
      <c r="M150" s="40">
        <v>0</v>
      </c>
      <c r="N150" s="40">
        <v>0</v>
      </c>
      <c r="O150" s="40">
        <v>0</v>
      </c>
      <c r="P150" s="40">
        <v>0</v>
      </c>
      <c r="Q150" s="40">
        <v>0</v>
      </c>
      <c r="R150" s="40">
        <v>0</v>
      </c>
      <c r="S150" s="61">
        <f t="shared" si="18"/>
        <v>43.10000000000008</v>
      </c>
      <c r="T150" s="40">
        <v>0</v>
      </c>
      <c r="U150" s="40">
        <v>0</v>
      </c>
      <c r="V150" s="40">
        <v>0</v>
      </c>
      <c r="W150" s="40">
        <v>0</v>
      </c>
      <c r="X150" s="67">
        <f t="shared" si="21"/>
        <v>197</v>
      </c>
      <c r="Z150" s="71"/>
      <c r="AA150" s="71"/>
      <c r="AB150" s="67" t="str">
        <f t="shared" si="19"/>
        <v/>
      </c>
      <c r="AD150" s="121"/>
      <c r="AE150" s="121"/>
    </row>
    <row r="151" spans="1:31" x14ac:dyDescent="0.25">
      <c r="A151" s="2" t="s">
        <v>731</v>
      </c>
      <c r="B151" s="7">
        <v>0.48749999999999999</v>
      </c>
      <c r="C151" s="2">
        <v>1.7</v>
      </c>
      <c r="D151" s="10" t="s">
        <v>732</v>
      </c>
      <c r="E151" s="40">
        <v>10</v>
      </c>
      <c r="F151" s="40">
        <v>2.2000000000000002</v>
      </c>
      <c r="G151" s="40">
        <v>4</v>
      </c>
      <c r="H151" s="3">
        <f t="shared" si="22"/>
        <v>0.70833333333333337</v>
      </c>
      <c r="I151" s="3">
        <f t="shared" si="23"/>
        <v>0.15583333333333335</v>
      </c>
      <c r="J151" s="3">
        <f t="shared" si="24"/>
        <v>0.28333333333333333</v>
      </c>
      <c r="K151" s="3"/>
      <c r="L151" s="60">
        <f t="shared" si="20"/>
        <v>492.78458333333344</v>
      </c>
      <c r="M151" s="40">
        <v>0</v>
      </c>
      <c r="N151" s="40">
        <v>0</v>
      </c>
      <c r="O151" s="40">
        <v>0</v>
      </c>
      <c r="P151" s="40">
        <v>0</v>
      </c>
      <c r="Q151" s="40">
        <v>0</v>
      </c>
      <c r="R151" s="40">
        <v>0</v>
      </c>
      <c r="S151" s="61">
        <f t="shared" si="18"/>
        <v>43.10000000000008</v>
      </c>
      <c r="T151" s="40">
        <v>0</v>
      </c>
      <c r="U151" s="40">
        <v>0</v>
      </c>
      <c r="V151" s="40">
        <v>1</v>
      </c>
      <c r="W151" s="40">
        <v>0</v>
      </c>
      <c r="X151" s="67">
        <f t="shared" si="21"/>
        <v>196</v>
      </c>
      <c r="Z151" s="71"/>
      <c r="AA151" s="71"/>
      <c r="AB151" s="67" t="str">
        <f t="shared" si="19"/>
        <v/>
      </c>
      <c r="AD151" s="121"/>
      <c r="AE151" s="121"/>
    </row>
    <row r="152" spans="1:31" x14ac:dyDescent="0.25">
      <c r="A152" s="2" t="s">
        <v>731</v>
      </c>
      <c r="B152" s="7">
        <v>0.95833333333333337</v>
      </c>
      <c r="C152" s="2">
        <v>11.3</v>
      </c>
      <c r="D152" s="10" t="s">
        <v>732</v>
      </c>
      <c r="E152" s="40">
        <v>0</v>
      </c>
      <c r="F152" s="40">
        <v>3</v>
      </c>
      <c r="G152" s="40">
        <v>4</v>
      </c>
      <c r="H152" s="3">
        <f t="shared" si="22"/>
        <v>0</v>
      </c>
      <c r="I152" s="3">
        <f t="shared" si="23"/>
        <v>1.4125000000000001</v>
      </c>
      <c r="J152" s="3">
        <f t="shared" si="24"/>
        <v>1.8833333333333333</v>
      </c>
      <c r="K152" s="3"/>
      <c r="L152" s="60">
        <f t="shared" si="20"/>
        <v>489.4887500000001</v>
      </c>
      <c r="M152" s="40">
        <v>0</v>
      </c>
      <c r="N152" s="40">
        <v>0</v>
      </c>
      <c r="O152" s="40">
        <v>0</v>
      </c>
      <c r="P152" s="40">
        <v>1</v>
      </c>
      <c r="Q152" s="40">
        <v>3</v>
      </c>
      <c r="R152" s="40">
        <v>0</v>
      </c>
      <c r="S152" s="61">
        <f t="shared" si="18"/>
        <v>39.10000000000008</v>
      </c>
      <c r="T152" s="40">
        <v>0</v>
      </c>
      <c r="U152" s="40">
        <v>0</v>
      </c>
      <c r="V152" s="40">
        <v>2</v>
      </c>
      <c r="W152" s="40">
        <v>0</v>
      </c>
      <c r="X152" s="67">
        <f t="shared" si="21"/>
        <v>194</v>
      </c>
      <c r="Z152" s="71"/>
      <c r="AA152" s="71"/>
      <c r="AB152" s="67" t="str">
        <f t="shared" si="19"/>
        <v/>
      </c>
      <c r="AD152" s="121"/>
      <c r="AE152" s="121"/>
    </row>
    <row r="153" spans="1:31" x14ac:dyDescent="0.25">
      <c r="A153" s="2" t="s">
        <v>733</v>
      </c>
      <c r="B153" s="7">
        <v>9.9999999999999992E-2</v>
      </c>
      <c r="C153" s="2">
        <v>3.4</v>
      </c>
      <c r="D153" s="10" t="s">
        <v>660</v>
      </c>
      <c r="E153" s="40">
        <v>0</v>
      </c>
      <c r="F153" s="40">
        <v>2.5</v>
      </c>
      <c r="G153" s="40">
        <v>4</v>
      </c>
      <c r="H153" s="3">
        <f t="shared" si="22"/>
        <v>0</v>
      </c>
      <c r="I153" s="3">
        <f t="shared" si="23"/>
        <v>0.35416666666666669</v>
      </c>
      <c r="J153" s="3">
        <f t="shared" si="24"/>
        <v>0.56666666666666665</v>
      </c>
      <c r="K153" s="3"/>
      <c r="L153" s="60">
        <f t="shared" si="20"/>
        <v>488.56791666666675</v>
      </c>
      <c r="M153" s="40">
        <v>0</v>
      </c>
      <c r="N153" s="40">
        <v>0</v>
      </c>
      <c r="O153" s="40">
        <v>0</v>
      </c>
      <c r="P153" s="40">
        <v>0</v>
      </c>
      <c r="Q153" s="40">
        <v>0</v>
      </c>
      <c r="R153" s="40">
        <v>0</v>
      </c>
      <c r="S153" s="61">
        <f t="shared" si="18"/>
        <v>39.10000000000008</v>
      </c>
      <c r="T153" s="40">
        <v>0</v>
      </c>
      <c r="U153" s="40">
        <v>0</v>
      </c>
      <c r="V153" s="40">
        <v>0</v>
      </c>
      <c r="W153" s="40">
        <v>0</v>
      </c>
      <c r="X153" s="67">
        <f t="shared" si="21"/>
        <v>194</v>
      </c>
      <c r="Z153" s="71"/>
      <c r="AA153" s="71"/>
      <c r="AB153" s="67" t="str">
        <f t="shared" si="19"/>
        <v/>
      </c>
      <c r="AD153" s="121"/>
      <c r="AE153" s="121"/>
    </row>
    <row r="154" spans="1:31" x14ac:dyDescent="0.25">
      <c r="A154" s="2" t="s">
        <v>733</v>
      </c>
      <c r="B154" s="7">
        <v>0.13333333333333333</v>
      </c>
      <c r="C154" s="2">
        <v>0.8</v>
      </c>
      <c r="D154" s="10" t="s">
        <v>705</v>
      </c>
      <c r="E154" s="40">
        <v>10</v>
      </c>
      <c r="F154" s="40">
        <v>2.5</v>
      </c>
      <c r="G154" s="40">
        <v>4</v>
      </c>
      <c r="H154" s="3">
        <f t="shared" si="22"/>
        <v>0.33333333333333337</v>
      </c>
      <c r="I154" s="3">
        <f t="shared" si="23"/>
        <v>8.3333333333333343E-2</v>
      </c>
      <c r="J154" s="3">
        <f t="shared" si="24"/>
        <v>0.13333333333333333</v>
      </c>
      <c r="K154" s="3"/>
      <c r="L154" s="60">
        <f t="shared" si="20"/>
        <v>488.01791666666674</v>
      </c>
      <c r="M154" s="40">
        <v>0</v>
      </c>
      <c r="N154" s="40">
        <v>0</v>
      </c>
      <c r="O154" s="40">
        <v>0</v>
      </c>
      <c r="P154" s="40">
        <v>0</v>
      </c>
      <c r="Q154" s="40">
        <v>0</v>
      </c>
      <c r="R154" s="40">
        <v>0</v>
      </c>
      <c r="S154" s="61">
        <f t="shared" si="18"/>
        <v>39.10000000000008</v>
      </c>
      <c r="T154" s="40">
        <v>0</v>
      </c>
      <c r="U154" s="40">
        <v>0</v>
      </c>
      <c r="V154" s="40">
        <v>0</v>
      </c>
      <c r="W154" s="40">
        <v>0</v>
      </c>
      <c r="X154" s="67">
        <f t="shared" si="21"/>
        <v>194</v>
      </c>
      <c r="Z154" s="71"/>
      <c r="AA154" s="71"/>
      <c r="AB154" s="67" t="str">
        <f t="shared" si="19"/>
        <v/>
      </c>
      <c r="AD154" s="121"/>
      <c r="AE154" s="121"/>
    </row>
    <row r="155" spans="1:31" x14ac:dyDescent="0.25">
      <c r="A155" s="2" t="s">
        <v>733</v>
      </c>
      <c r="B155" s="7">
        <v>0.3</v>
      </c>
      <c r="C155" s="2">
        <v>4</v>
      </c>
      <c r="D155" s="10" t="s">
        <v>695</v>
      </c>
      <c r="E155" s="40">
        <v>22</v>
      </c>
      <c r="F155" s="40">
        <v>2.5</v>
      </c>
      <c r="G155" s="40">
        <v>4</v>
      </c>
      <c r="H155" s="3">
        <f t="shared" si="22"/>
        <v>3.6666666666666665</v>
      </c>
      <c r="I155" s="3">
        <f t="shared" si="23"/>
        <v>0.41666666666666669</v>
      </c>
      <c r="J155" s="3">
        <f t="shared" si="24"/>
        <v>0.66666666666666663</v>
      </c>
      <c r="K155" s="3"/>
      <c r="L155" s="60">
        <f t="shared" si="20"/>
        <v>483.26791666666674</v>
      </c>
      <c r="M155" s="40">
        <v>0</v>
      </c>
      <c r="N155" s="40">
        <v>0</v>
      </c>
      <c r="O155" s="40">
        <v>0</v>
      </c>
      <c r="P155" s="40">
        <v>0</v>
      </c>
      <c r="Q155" s="40">
        <v>0</v>
      </c>
      <c r="R155" s="40">
        <v>0</v>
      </c>
      <c r="S155" s="61">
        <f t="shared" si="18"/>
        <v>39.10000000000008</v>
      </c>
      <c r="T155" s="40">
        <v>0</v>
      </c>
      <c r="U155" s="40">
        <v>0</v>
      </c>
      <c r="V155" s="40">
        <v>2</v>
      </c>
      <c r="W155" s="40">
        <v>8</v>
      </c>
      <c r="X155" s="67">
        <f t="shared" si="21"/>
        <v>184</v>
      </c>
      <c r="Z155" s="71">
        <v>51</v>
      </c>
      <c r="AA155" s="71">
        <v>132</v>
      </c>
      <c r="AB155" s="67">
        <f t="shared" si="19"/>
        <v>183</v>
      </c>
      <c r="AD155" s="121">
        <v>13.2</v>
      </c>
      <c r="AE155" s="121" t="s">
        <v>1295</v>
      </c>
    </row>
    <row r="156" spans="1:31" x14ac:dyDescent="0.25">
      <c r="A156" s="2" t="s">
        <v>733</v>
      </c>
      <c r="B156" s="7">
        <v>0.39999999999999997</v>
      </c>
      <c r="C156" s="2">
        <v>2.4</v>
      </c>
      <c r="D156" s="10" t="s">
        <v>105</v>
      </c>
      <c r="E156" s="40">
        <v>5</v>
      </c>
      <c r="F156" s="40">
        <v>2.5</v>
      </c>
      <c r="G156" s="40">
        <v>4</v>
      </c>
      <c r="H156" s="3">
        <f t="shared" si="22"/>
        <v>0.5</v>
      </c>
      <c r="I156" s="3">
        <f t="shared" si="23"/>
        <v>0.25</v>
      </c>
      <c r="J156" s="3">
        <f t="shared" si="24"/>
        <v>0.39999999999999997</v>
      </c>
      <c r="K156" s="3"/>
      <c r="L156" s="60">
        <f t="shared" si="20"/>
        <v>482.11791666666676</v>
      </c>
      <c r="M156" s="40">
        <v>0</v>
      </c>
      <c r="N156" s="40">
        <v>0</v>
      </c>
      <c r="O156" s="40">
        <v>0</v>
      </c>
      <c r="P156" s="40">
        <v>0</v>
      </c>
      <c r="Q156" s="40">
        <v>0</v>
      </c>
      <c r="R156" s="40">
        <v>0</v>
      </c>
      <c r="S156" s="61">
        <f t="shared" si="18"/>
        <v>39.10000000000008</v>
      </c>
      <c r="T156" s="40">
        <v>0</v>
      </c>
      <c r="U156" s="40">
        <v>0</v>
      </c>
      <c r="V156" s="40">
        <v>0</v>
      </c>
      <c r="W156" s="40">
        <v>0</v>
      </c>
      <c r="X156" s="67">
        <f t="shared" si="21"/>
        <v>184</v>
      </c>
      <c r="Z156" s="71"/>
      <c r="AA156" s="71"/>
      <c r="AB156" s="67" t="str">
        <f t="shared" si="19"/>
        <v/>
      </c>
      <c r="AD156" s="121"/>
      <c r="AE156" s="121"/>
    </row>
    <row r="157" spans="1:31" x14ac:dyDescent="0.25">
      <c r="A157" s="2" t="s">
        <v>733</v>
      </c>
      <c r="B157" s="7">
        <v>0.44166666666666665</v>
      </c>
      <c r="C157" s="2">
        <v>1</v>
      </c>
      <c r="D157" s="10" t="s">
        <v>695</v>
      </c>
      <c r="E157" s="40">
        <v>22</v>
      </c>
      <c r="F157" s="40">
        <v>2.5</v>
      </c>
      <c r="G157" s="40">
        <v>3</v>
      </c>
      <c r="H157" s="3">
        <f t="shared" si="22"/>
        <v>0.91666666666666663</v>
      </c>
      <c r="I157" s="3">
        <f t="shared" si="23"/>
        <v>0.10416666666666667</v>
      </c>
      <c r="J157" s="3">
        <f t="shared" si="24"/>
        <v>0.125</v>
      </c>
      <c r="K157" s="3"/>
      <c r="L157" s="60">
        <f t="shared" si="20"/>
        <v>480.97208333333344</v>
      </c>
      <c r="M157" s="40">
        <v>0</v>
      </c>
      <c r="N157" s="40">
        <v>0</v>
      </c>
      <c r="O157" s="40">
        <v>0</v>
      </c>
      <c r="P157" s="40">
        <v>0</v>
      </c>
      <c r="Q157" s="40">
        <v>0</v>
      </c>
      <c r="R157" s="40">
        <v>0</v>
      </c>
      <c r="S157" s="61">
        <f t="shared" si="18"/>
        <v>39.10000000000008</v>
      </c>
      <c r="T157" s="40">
        <v>0</v>
      </c>
      <c r="U157" s="40">
        <v>0</v>
      </c>
      <c r="V157" s="40">
        <v>0</v>
      </c>
      <c r="W157" s="40">
        <v>0</v>
      </c>
      <c r="X157" s="67">
        <f t="shared" si="21"/>
        <v>184</v>
      </c>
      <c r="Z157" s="71">
        <v>49</v>
      </c>
      <c r="AA157" s="71">
        <v>129</v>
      </c>
      <c r="AB157" s="67">
        <f t="shared" si="19"/>
        <v>178</v>
      </c>
      <c r="AD157" s="121"/>
      <c r="AE157" s="121"/>
    </row>
    <row r="158" spans="1:31" x14ac:dyDescent="0.25">
      <c r="A158" s="2" t="s">
        <v>733</v>
      </c>
      <c r="B158" s="7">
        <v>0.53749999999999998</v>
      </c>
      <c r="C158" s="2">
        <v>2.2999999999999998</v>
      </c>
      <c r="D158" s="10" t="s">
        <v>706</v>
      </c>
      <c r="E158" s="40">
        <v>5</v>
      </c>
      <c r="F158" s="40">
        <v>2.5</v>
      </c>
      <c r="G158" s="40">
        <v>3</v>
      </c>
      <c r="H158" s="3">
        <f t="shared" si="22"/>
        <v>0.47916666666666663</v>
      </c>
      <c r="I158" s="3">
        <f t="shared" si="23"/>
        <v>0.23958333333333331</v>
      </c>
      <c r="J158" s="3">
        <f t="shared" si="24"/>
        <v>0.28749999999999998</v>
      </c>
      <c r="K158" s="3"/>
      <c r="L158" s="60">
        <f t="shared" si="20"/>
        <v>479.96583333333342</v>
      </c>
      <c r="M158" s="40">
        <v>0</v>
      </c>
      <c r="N158" s="40">
        <v>0</v>
      </c>
      <c r="O158" s="40">
        <v>0</v>
      </c>
      <c r="P158" s="40">
        <v>0</v>
      </c>
      <c r="Q158" s="40">
        <v>0</v>
      </c>
      <c r="R158" s="40">
        <v>0</v>
      </c>
      <c r="S158" s="61">
        <f t="shared" si="18"/>
        <v>39.10000000000008</v>
      </c>
      <c r="T158" s="40">
        <v>0</v>
      </c>
      <c r="U158" s="40">
        <v>0</v>
      </c>
      <c r="V158" s="40">
        <v>1</v>
      </c>
      <c r="W158" s="40">
        <v>4</v>
      </c>
      <c r="X158" s="67">
        <f t="shared" si="21"/>
        <v>179</v>
      </c>
      <c r="Z158" s="71">
        <v>49</v>
      </c>
      <c r="AA158" s="71">
        <v>129</v>
      </c>
      <c r="AB158" s="67">
        <f t="shared" si="19"/>
        <v>178</v>
      </c>
      <c r="AD158" s="121">
        <v>12.1</v>
      </c>
      <c r="AE158" s="121" t="s">
        <v>1295</v>
      </c>
    </row>
    <row r="159" spans="1:31" x14ac:dyDescent="0.25">
      <c r="A159" s="2" t="s">
        <v>733</v>
      </c>
      <c r="B159" s="7">
        <v>0.95833333333333337</v>
      </c>
      <c r="C159" s="2">
        <v>10.1</v>
      </c>
      <c r="D159" s="10" t="s">
        <v>660</v>
      </c>
      <c r="E159" s="40">
        <v>0</v>
      </c>
      <c r="F159" s="40">
        <v>2</v>
      </c>
      <c r="G159" s="40">
        <v>2</v>
      </c>
      <c r="H159" s="3">
        <f t="shared" si="22"/>
        <v>0</v>
      </c>
      <c r="I159" s="3">
        <f t="shared" si="23"/>
        <v>0.84166666666666656</v>
      </c>
      <c r="J159" s="3">
        <f t="shared" si="24"/>
        <v>0.84166666666666656</v>
      </c>
      <c r="K159" s="3"/>
      <c r="L159" s="60">
        <f t="shared" si="20"/>
        <v>478.28250000000008</v>
      </c>
      <c r="M159" s="40">
        <v>0</v>
      </c>
      <c r="N159" s="40">
        <v>0</v>
      </c>
      <c r="O159" s="40">
        <v>0</v>
      </c>
      <c r="P159" s="40">
        <v>0.2</v>
      </c>
      <c r="Q159" s="40">
        <v>1.5</v>
      </c>
      <c r="R159" s="40">
        <v>0</v>
      </c>
      <c r="S159" s="61">
        <f t="shared" si="18"/>
        <v>37.400000000000077</v>
      </c>
      <c r="T159" s="40">
        <v>0</v>
      </c>
      <c r="U159" s="40">
        <v>0</v>
      </c>
      <c r="V159" s="40">
        <v>1</v>
      </c>
      <c r="W159" s="40">
        <v>3</v>
      </c>
      <c r="X159" s="67">
        <f t="shared" si="21"/>
        <v>175</v>
      </c>
      <c r="Z159" s="71">
        <v>46</v>
      </c>
      <c r="AA159" s="71">
        <v>129</v>
      </c>
      <c r="AB159" s="67">
        <f t="shared" si="19"/>
        <v>175</v>
      </c>
      <c r="AD159" s="121"/>
      <c r="AE159" s="121"/>
    </row>
    <row r="160" spans="1:31" x14ac:dyDescent="0.25">
      <c r="A160" s="2" t="s">
        <v>733</v>
      </c>
      <c r="B160" s="7">
        <v>0.97916666666666663</v>
      </c>
      <c r="C160" s="2">
        <v>0.5</v>
      </c>
      <c r="D160" s="10" t="s">
        <v>665</v>
      </c>
      <c r="E160" s="40">
        <v>10</v>
      </c>
      <c r="F160" s="40">
        <v>2.5</v>
      </c>
      <c r="G160" s="40">
        <v>3</v>
      </c>
      <c r="H160" s="3">
        <f t="shared" si="22"/>
        <v>0.20833333333333334</v>
      </c>
      <c r="I160" s="3">
        <f t="shared" si="23"/>
        <v>5.2083333333333336E-2</v>
      </c>
      <c r="J160" s="3">
        <f t="shared" si="24"/>
        <v>6.25E-2</v>
      </c>
      <c r="K160" s="3"/>
      <c r="L160" s="60">
        <f t="shared" si="20"/>
        <v>477.9595833333334</v>
      </c>
      <c r="M160" s="40">
        <v>0</v>
      </c>
      <c r="N160" s="40">
        <v>0</v>
      </c>
      <c r="O160" s="40">
        <v>0</v>
      </c>
      <c r="P160" s="40">
        <v>0</v>
      </c>
      <c r="Q160" s="40">
        <v>0</v>
      </c>
      <c r="R160" s="40">
        <v>0</v>
      </c>
      <c r="S160" s="61">
        <f t="shared" si="18"/>
        <v>37.400000000000077</v>
      </c>
      <c r="T160" s="40">
        <v>0</v>
      </c>
      <c r="U160" s="40">
        <v>0</v>
      </c>
      <c r="V160" s="40">
        <v>0</v>
      </c>
      <c r="W160" s="40">
        <v>0</v>
      </c>
      <c r="X160" s="67">
        <f t="shared" si="21"/>
        <v>175</v>
      </c>
      <c r="Z160" s="71">
        <v>44</v>
      </c>
      <c r="AA160" s="71">
        <v>129</v>
      </c>
      <c r="AB160" s="67">
        <f t="shared" si="19"/>
        <v>173</v>
      </c>
      <c r="AD160" s="121"/>
      <c r="AE160" s="121"/>
    </row>
    <row r="161" spans="1:31" x14ac:dyDescent="0.25">
      <c r="A161" s="2" t="s">
        <v>734</v>
      </c>
      <c r="B161" s="65">
        <v>0.33333333333333331</v>
      </c>
      <c r="C161" s="2">
        <v>8.5</v>
      </c>
      <c r="D161" s="10" t="s">
        <v>665</v>
      </c>
      <c r="E161" s="40">
        <v>20</v>
      </c>
      <c r="F161" s="40">
        <v>2.4</v>
      </c>
      <c r="G161" s="40">
        <v>2</v>
      </c>
      <c r="H161" s="3">
        <f t="shared" si="22"/>
        <v>7.0833333333333339</v>
      </c>
      <c r="I161" s="3">
        <f t="shared" si="23"/>
        <v>0.85</v>
      </c>
      <c r="J161" s="3">
        <f t="shared" si="24"/>
        <v>0.70833333333333326</v>
      </c>
      <c r="K161" s="3"/>
      <c r="L161" s="60">
        <f t="shared" si="20"/>
        <v>469.31791666666675</v>
      </c>
      <c r="M161" s="40">
        <v>0</v>
      </c>
      <c r="N161" s="40">
        <v>0</v>
      </c>
      <c r="O161" s="40">
        <v>0</v>
      </c>
      <c r="P161" s="40">
        <v>0</v>
      </c>
      <c r="Q161" s="40">
        <v>0</v>
      </c>
      <c r="R161" s="40">
        <v>0</v>
      </c>
      <c r="S161" s="61">
        <f t="shared" si="18"/>
        <v>37.400000000000077</v>
      </c>
      <c r="T161" s="40">
        <v>0</v>
      </c>
      <c r="U161" s="40">
        <v>0</v>
      </c>
      <c r="V161" s="40">
        <v>2</v>
      </c>
      <c r="W161" s="40">
        <v>0</v>
      </c>
      <c r="X161" s="67">
        <f t="shared" si="21"/>
        <v>173</v>
      </c>
      <c r="Z161" s="71">
        <v>41</v>
      </c>
      <c r="AA161" s="71">
        <v>129</v>
      </c>
      <c r="AB161" s="67">
        <f t="shared" si="19"/>
        <v>170</v>
      </c>
      <c r="AD161" s="121"/>
      <c r="AE161" s="121"/>
    </row>
    <row r="162" spans="1:31" x14ac:dyDescent="0.25">
      <c r="A162" s="2" t="s">
        <v>734</v>
      </c>
      <c r="B162" s="7">
        <v>0.75</v>
      </c>
      <c r="C162" s="2">
        <v>10</v>
      </c>
      <c r="D162" s="10" t="s">
        <v>695</v>
      </c>
      <c r="E162" s="40">
        <v>20</v>
      </c>
      <c r="F162" s="40">
        <v>2</v>
      </c>
      <c r="G162" s="40">
        <v>1</v>
      </c>
      <c r="H162" s="3">
        <f t="shared" si="22"/>
        <v>8.3333333333333339</v>
      </c>
      <c r="I162" s="3">
        <f t="shared" si="23"/>
        <v>0.83333333333333326</v>
      </c>
      <c r="J162" s="3">
        <f t="shared" si="24"/>
        <v>0.41666666666666663</v>
      </c>
      <c r="K162" s="3"/>
      <c r="L162" s="60">
        <f t="shared" si="20"/>
        <v>459.73458333333343</v>
      </c>
      <c r="M162" s="40">
        <v>0</v>
      </c>
      <c r="N162" s="40">
        <v>0</v>
      </c>
      <c r="O162" s="40">
        <v>0</v>
      </c>
      <c r="P162" s="40">
        <v>0</v>
      </c>
      <c r="Q162" s="40">
        <v>0</v>
      </c>
      <c r="R162" s="40">
        <v>0</v>
      </c>
      <c r="S162" s="61">
        <f t="shared" si="18"/>
        <v>37.400000000000077</v>
      </c>
      <c r="T162" s="40">
        <v>0</v>
      </c>
      <c r="U162" s="40">
        <v>0</v>
      </c>
      <c r="V162" s="40">
        <v>2</v>
      </c>
      <c r="W162" s="40">
        <v>1</v>
      </c>
      <c r="X162" s="67">
        <f t="shared" si="21"/>
        <v>170</v>
      </c>
      <c r="Z162" s="71"/>
      <c r="AA162" s="71"/>
      <c r="AB162" s="67" t="str">
        <f t="shared" si="19"/>
        <v/>
      </c>
      <c r="AD162" s="121">
        <v>12.4</v>
      </c>
      <c r="AE162" s="121" t="s">
        <v>1296</v>
      </c>
    </row>
    <row r="163" spans="1:31" x14ac:dyDescent="0.25">
      <c r="A163" s="2" t="s">
        <v>734</v>
      </c>
      <c r="B163" s="7">
        <v>0.8041666666666667</v>
      </c>
      <c r="C163" s="2">
        <v>1.3</v>
      </c>
      <c r="D163" s="10" t="s">
        <v>736</v>
      </c>
      <c r="E163" s="40">
        <v>5</v>
      </c>
      <c r="F163" s="40">
        <v>2</v>
      </c>
      <c r="G163" s="40">
        <v>1</v>
      </c>
      <c r="H163" s="3">
        <f t="shared" si="22"/>
        <v>0.27083333333333337</v>
      </c>
      <c r="I163" s="3">
        <f t="shared" si="23"/>
        <v>0.10833333333333334</v>
      </c>
      <c r="J163" s="3">
        <f t="shared" si="24"/>
        <v>5.4166666666666669E-2</v>
      </c>
      <c r="K163" s="3"/>
      <c r="L163" s="60">
        <f t="shared" si="20"/>
        <v>459.3012500000001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0">
        <v>0</v>
      </c>
      <c r="S163" s="61">
        <f t="shared" si="18"/>
        <v>37.400000000000077</v>
      </c>
      <c r="T163" s="40">
        <v>0</v>
      </c>
      <c r="U163" s="40">
        <v>0</v>
      </c>
      <c r="V163" s="40">
        <v>0</v>
      </c>
      <c r="W163" s="40">
        <v>0</v>
      </c>
      <c r="X163" s="67">
        <f t="shared" si="21"/>
        <v>170</v>
      </c>
      <c r="Z163" s="71"/>
      <c r="AA163" s="71"/>
      <c r="AB163" s="67" t="str">
        <f t="shared" si="19"/>
        <v/>
      </c>
      <c r="AD163" s="121"/>
      <c r="AE163" s="121"/>
    </row>
    <row r="164" spans="1:31" x14ac:dyDescent="0.25">
      <c r="A164" s="2" t="s">
        <v>734</v>
      </c>
      <c r="B164" s="7">
        <v>0.86249999999999993</v>
      </c>
      <c r="C164" s="2">
        <v>1.4</v>
      </c>
      <c r="D164" s="10" t="s">
        <v>660</v>
      </c>
      <c r="E164" s="40">
        <v>0</v>
      </c>
      <c r="F164" s="40">
        <v>1.5</v>
      </c>
      <c r="G164" s="40">
        <v>1</v>
      </c>
      <c r="H164" s="3">
        <f t="shared" si="22"/>
        <v>0</v>
      </c>
      <c r="I164" s="3">
        <f t="shared" si="23"/>
        <v>8.7499999999999994E-2</v>
      </c>
      <c r="J164" s="3">
        <f t="shared" si="24"/>
        <v>5.8333333333333327E-2</v>
      </c>
      <c r="K164" s="3"/>
      <c r="L164" s="60">
        <f t="shared" si="20"/>
        <v>459.15541666666678</v>
      </c>
      <c r="M164" s="40">
        <v>0</v>
      </c>
      <c r="N164" s="40">
        <v>0</v>
      </c>
      <c r="O164" s="40">
        <v>0</v>
      </c>
      <c r="P164" s="40">
        <v>0</v>
      </c>
      <c r="Q164" s="40">
        <v>0</v>
      </c>
      <c r="R164" s="40">
        <v>0</v>
      </c>
      <c r="S164" s="61">
        <f t="shared" si="18"/>
        <v>37.400000000000077</v>
      </c>
      <c r="T164" s="40">
        <v>0</v>
      </c>
      <c r="U164" s="40">
        <v>0</v>
      </c>
      <c r="V164" s="40">
        <v>0</v>
      </c>
      <c r="W164" s="40">
        <v>0</v>
      </c>
      <c r="X164" s="67">
        <f t="shared" si="21"/>
        <v>170</v>
      </c>
      <c r="Z164" s="71"/>
      <c r="AA164" s="71"/>
      <c r="AB164" s="67" t="str">
        <f t="shared" si="19"/>
        <v/>
      </c>
      <c r="AD164" s="121"/>
      <c r="AE164" s="121"/>
    </row>
    <row r="165" spans="1:31" x14ac:dyDescent="0.25">
      <c r="A165" s="2" t="s">
        <v>734</v>
      </c>
      <c r="B165" s="7">
        <v>0.95416666666666661</v>
      </c>
      <c r="C165" s="2">
        <v>2.2000000000000002</v>
      </c>
      <c r="D165" s="10" t="s">
        <v>735</v>
      </c>
      <c r="E165" s="40">
        <v>5</v>
      </c>
      <c r="F165" s="40">
        <v>1.5</v>
      </c>
      <c r="G165" s="40">
        <v>1</v>
      </c>
      <c r="H165" s="3">
        <f t="shared" si="22"/>
        <v>0.45833333333333337</v>
      </c>
      <c r="I165" s="3">
        <f t="shared" si="23"/>
        <v>0.13750000000000001</v>
      </c>
      <c r="J165" s="3">
        <f t="shared" si="24"/>
        <v>9.1666666666666674E-2</v>
      </c>
      <c r="K165" s="3"/>
      <c r="L165" s="60">
        <f t="shared" si="20"/>
        <v>458.46791666666678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61">
        <f t="shared" si="18"/>
        <v>37.400000000000077</v>
      </c>
      <c r="T165" s="40">
        <v>0</v>
      </c>
      <c r="U165" s="40">
        <v>0</v>
      </c>
      <c r="V165" s="40">
        <v>1</v>
      </c>
      <c r="W165" s="40">
        <v>0</v>
      </c>
      <c r="X165" s="67">
        <f t="shared" si="21"/>
        <v>169</v>
      </c>
      <c r="Z165" s="71"/>
      <c r="AA165" s="71"/>
      <c r="AB165" s="67" t="str">
        <f t="shared" si="19"/>
        <v/>
      </c>
      <c r="AD165" s="121"/>
      <c r="AE165" s="121"/>
    </row>
    <row r="166" spans="1:31" x14ac:dyDescent="0.25">
      <c r="A166" s="2" t="s">
        <v>737</v>
      </c>
      <c r="B166" s="65">
        <v>0.33333333333333331</v>
      </c>
      <c r="C166" s="2">
        <v>9.1</v>
      </c>
      <c r="D166" s="10" t="s">
        <v>735</v>
      </c>
      <c r="E166" s="40">
        <v>0</v>
      </c>
      <c r="F166" s="40">
        <v>2</v>
      </c>
      <c r="G166" s="40">
        <v>1</v>
      </c>
      <c r="H166" s="3">
        <f t="shared" si="22"/>
        <v>0</v>
      </c>
      <c r="I166" s="3">
        <f t="shared" si="23"/>
        <v>0.7583333333333333</v>
      </c>
      <c r="J166" s="3">
        <f t="shared" si="24"/>
        <v>0.37916666666666665</v>
      </c>
      <c r="K166" s="3"/>
      <c r="L166" s="60">
        <f t="shared" si="20"/>
        <v>457.33041666666679</v>
      </c>
      <c r="M166" s="40">
        <v>0</v>
      </c>
      <c r="N166" s="40">
        <v>0</v>
      </c>
      <c r="O166" s="40">
        <v>0</v>
      </c>
      <c r="P166" s="40">
        <v>0.1</v>
      </c>
      <c r="Q166" s="40">
        <v>0.3</v>
      </c>
      <c r="R166" s="40">
        <v>0</v>
      </c>
      <c r="S166" s="61">
        <f t="shared" si="18"/>
        <v>37.000000000000078</v>
      </c>
      <c r="T166" s="40">
        <v>0</v>
      </c>
      <c r="U166" s="40">
        <v>0</v>
      </c>
      <c r="V166" s="40">
        <v>1</v>
      </c>
      <c r="W166" s="40">
        <v>3</v>
      </c>
      <c r="X166" s="67">
        <f t="shared" si="21"/>
        <v>165</v>
      </c>
      <c r="Z166" s="71">
        <v>36</v>
      </c>
      <c r="AA166" s="71">
        <v>129</v>
      </c>
      <c r="AB166" s="67">
        <f t="shared" si="19"/>
        <v>165</v>
      </c>
      <c r="AD166" s="121"/>
      <c r="AE166" s="121"/>
    </row>
    <row r="167" spans="1:31" x14ac:dyDescent="0.25">
      <c r="A167" s="2" t="s">
        <v>738</v>
      </c>
      <c r="B167" s="65">
        <v>0.33333333333333331</v>
      </c>
      <c r="C167" s="2">
        <v>24</v>
      </c>
      <c r="D167" s="10" t="s">
        <v>735</v>
      </c>
      <c r="E167" s="40">
        <v>0</v>
      </c>
      <c r="F167" s="40">
        <v>2.5</v>
      </c>
      <c r="G167" s="40">
        <v>1.5</v>
      </c>
      <c r="H167" s="3">
        <f t="shared" si="22"/>
        <v>0</v>
      </c>
      <c r="I167" s="3">
        <f t="shared" si="23"/>
        <v>2.5</v>
      </c>
      <c r="J167" s="3">
        <f t="shared" si="24"/>
        <v>1.5</v>
      </c>
      <c r="K167" s="3"/>
      <c r="L167" s="60">
        <f t="shared" si="20"/>
        <v>453.33041666666679</v>
      </c>
      <c r="M167" s="40">
        <v>0</v>
      </c>
      <c r="N167" s="40">
        <v>0</v>
      </c>
      <c r="O167" s="40">
        <v>0</v>
      </c>
      <c r="P167" s="40">
        <v>0.6</v>
      </c>
      <c r="Q167" s="40">
        <v>3</v>
      </c>
      <c r="R167" s="40">
        <v>0</v>
      </c>
      <c r="S167" s="61">
        <f t="shared" si="18"/>
        <v>33.400000000000077</v>
      </c>
      <c r="T167" s="40">
        <v>0</v>
      </c>
      <c r="U167" s="40">
        <v>0</v>
      </c>
      <c r="V167" s="40">
        <v>4</v>
      </c>
      <c r="W167" s="40">
        <v>3</v>
      </c>
      <c r="X167" s="67">
        <f t="shared" si="21"/>
        <v>158</v>
      </c>
      <c r="Z167" s="71">
        <v>28</v>
      </c>
      <c r="AA167" s="71">
        <v>129</v>
      </c>
      <c r="AB167" s="67">
        <f t="shared" si="19"/>
        <v>157</v>
      </c>
      <c r="AD167" s="121"/>
      <c r="AE167" s="121"/>
    </row>
    <row r="168" spans="1:31" x14ac:dyDescent="0.25">
      <c r="A168" s="2" t="s">
        <v>738</v>
      </c>
      <c r="B168" s="7">
        <v>0.37083333333333335</v>
      </c>
      <c r="C168" s="2">
        <v>0.9</v>
      </c>
      <c r="D168" s="10" t="s">
        <v>625</v>
      </c>
      <c r="E168" s="40">
        <v>0</v>
      </c>
      <c r="F168" s="40">
        <v>2.5</v>
      </c>
      <c r="G168" s="40">
        <v>1.5</v>
      </c>
      <c r="H168" s="3">
        <f t="shared" si="22"/>
        <v>0</v>
      </c>
      <c r="I168" s="3">
        <f t="shared" si="23"/>
        <v>9.375E-2</v>
      </c>
      <c r="J168" s="3">
        <f t="shared" si="24"/>
        <v>5.6250000000000001E-2</v>
      </c>
      <c r="K168" s="3"/>
      <c r="L168" s="60">
        <f t="shared" si="20"/>
        <v>453.18041666666682</v>
      </c>
      <c r="M168" s="40">
        <v>0</v>
      </c>
      <c r="N168" s="40">
        <v>0</v>
      </c>
      <c r="O168" s="40">
        <v>0</v>
      </c>
      <c r="P168" s="40">
        <v>0</v>
      </c>
      <c r="Q168" s="40">
        <v>0</v>
      </c>
      <c r="R168" s="40">
        <v>0</v>
      </c>
      <c r="S168" s="61">
        <f t="shared" si="18"/>
        <v>33.400000000000077</v>
      </c>
      <c r="T168" s="40">
        <v>0</v>
      </c>
      <c r="U168" s="40">
        <v>0</v>
      </c>
      <c r="V168" s="40">
        <v>0</v>
      </c>
      <c r="W168" s="40">
        <v>0</v>
      </c>
      <c r="X168" s="67">
        <f t="shared" si="21"/>
        <v>158</v>
      </c>
      <c r="Z168" s="71"/>
      <c r="AA168" s="71"/>
      <c r="AB168" s="67" t="str">
        <f t="shared" si="19"/>
        <v/>
      </c>
      <c r="AD168" s="121"/>
      <c r="AE168" s="121"/>
    </row>
    <row r="169" spans="1:31" x14ac:dyDescent="0.25">
      <c r="A169" s="2" t="s">
        <v>738</v>
      </c>
      <c r="B169" s="7">
        <v>0.41666666666666669</v>
      </c>
      <c r="C169" s="2">
        <v>1.1000000000000001</v>
      </c>
      <c r="D169" s="10" t="s">
        <v>665</v>
      </c>
      <c r="E169" s="40">
        <v>10</v>
      </c>
      <c r="F169" s="40">
        <v>2.5</v>
      </c>
      <c r="G169" s="40">
        <v>0</v>
      </c>
      <c r="H169" s="3">
        <f t="shared" si="22"/>
        <v>0.45833333333333337</v>
      </c>
      <c r="I169" s="3">
        <f t="shared" si="23"/>
        <v>0.11458333333333334</v>
      </c>
      <c r="J169" s="3">
        <f t="shared" si="24"/>
        <v>0</v>
      </c>
      <c r="K169" s="3"/>
      <c r="L169" s="60">
        <f t="shared" si="20"/>
        <v>452.60750000000013</v>
      </c>
      <c r="M169" s="40">
        <v>0</v>
      </c>
      <c r="N169" s="40">
        <v>0</v>
      </c>
      <c r="O169" s="40">
        <v>0</v>
      </c>
      <c r="P169" s="40">
        <v>0</v>
      </c>
      <c r="Q169" s="40">
        <v>0</v>
      </c>
      <c r="R169" s="40">
        <v>0</v>
      </c>
      <c r="S169" s="61">
        <f t="shared" si="18"/>
        <v>33.400000000000077</v>
      </c>
      <c r="T169" s="40">
        <v>0</v>
      </c>
      <c r="U169" s="40">
        <v>0</v>
      </c>
      <c r="V169" s="40">
        <v>0</v>
      </c>
      <c r="W169" s="40">
        <v>0</v>
      </c>
      <c r="X169" s="67">
        <f t="shared" si="21"/>
        <v>158</v>
      </c>
      <c r="Z169" s="71"/>
      <c r="AA169" s="71"/>
      <c r="AB169" s="67" t="str">
        <f t="shared" si="19"/>
        <v/>
      </c>
      <c r="AD169" s="121"/>
      <c r="AE169" s="121"/>
    </row>
    <row r="170" spans="1:31" x14ac:dyDescent="0.25">
      <c r="A170" s="2" t="s">
        <v>738</v>
      </c>
      <c r="B170" s="7">
        <v>0.83333333333333337</v>
      </c>
      <c r="C170" s="2">
        <v>10</v>
      </c>
      <c r="D170" s="10" t="s">
        <v>695</v>
      </c>
      <c r="E170" s="40">
        <v>22</v>
      </c>
      <c r="F170" s="40">
        <v>2.5</v>
      </c>
      <c r="G170" s="40">
        <v>0</v>
      </c>
      <c r="H170" s="3">
        <f t="shared" si="22"/>
        <v>9.1666666666666661</v>
      </c>
      <c r="I170" s="3">
        <f t="shared" si="23"/>
        <v>1.0416666666666667</v>
      </c>
      <c r="J170" s="3">
        <f t="shared" si="24"/>
        <v>0</v>
      </c>
      <c r="K170" s="3"/>
      <c r="L170" s="60">
        <f t="shared" si="20"/>
        <v>442.39916666666682</v>
      </c>
      <c r="M170" s="40">
        <v>0</v>
      </c>
      <c r="N170" s="40">
        <v>0</v>
      </c>
      <c r="O170" s="40">
        <v>0</v>
      </c>
      <c r="P170" s="40">
        <v>0</v>
      </c>
      <c r="Q170" s="40">
        <v>0</v>
      </c>
      <c r="R170" s="40">
        <v>0</v>
      </c>
      <c r="S170" s="61">
        <f t="shared" ref="S170:S234" si="25">IF(C170="","",(S169+R170)-(M170+N170+O170+P170+Q170))</f>
        <v>33.400000000000077</v>
      </c>
      <c r="T170" s="40">
        <v>0</v>
      </c>
      <c r="U170" s="40">
        <v>0</v>
      </c>
      <c r="V170" s="40">
        <v>2</v>
      </c>
      <c r="W170" s="40">
        <v>4</v>
      </c>
      <c r="X170" s="67">
        <f t="shared" si="21"/>
        <v>152</v>
      </c>
      <c r="Z170" s="71">
        <v>28</v>
      </c>
      <c r="AA170" s="71">
        <v>123</v>
      </c>
      <c r="AB170" s="67">
        <f t="shared" si="19"/>
        <v>151</v>
      </c>
      <c r="AD170" s="121">
        <v>12.7</v>
      </c>
      <c r="AE170" s="121" t="s">
        <v>1296</v>
      </c>
    </row>
    <row r="171" spans="1:31" x14ac:dyDescent="0.25">
      <c r="A171" s="2" t="s">
        <v>738</v>
      </c>
      <c r="B171" s="7">
        <v>0.89583333333333337</v>
      </c>
      <c r="C171" s="2">
        <v>1.5</v>
      </c>
      <c r="D171" s="10" t="s">
        <v>739</v>
      </c>
      <c r="E171" s="40">
        <v>10</v>
      </c>
      <c r="F171" s="40">
        <v>2.5</v>
      </c>
      <c r="G171" s="40">
        <v>0</v>
      </c>
      <c r="H171" s="3">
        <f t="shared" si="22"/>
        <v>0.625</v>
      </c>
      <c r="I171" s="3">
        <f t="shared" si="23"/>
        <v>0.15625</v>
      </c>
      <c r="J171" s="3">
        <f t="shared" si="24"/>
        <v>0</v>
      </c>
      <c r="K171" s="3"/>
      <c r="L171" s="60">
        <f t="shared" si="20"/>
        <v>441.61791666666682</v>
      </c>
      <c r="M171" s="40">
        <v>0</v>
      </c>
      <c r="N171" s="40">
        <v>0</v>
      </c>
      <c r="O171" s="40">
        <v>0</v>
      </c>
      <c r="P171" s="40">
        <v>0</v>
      </c>
      <c r="Q171" s="40">
        <v>0</v>
      </c>
      <c r="R171" s="40">
        <v>0</v>
      </c>
      <c r="S171" s="61">
        <f t="shared" si="25"/>
        <v>33.400000000000077</v>
      </c>
      <c r="T171" s="40">
        <v>0</v>
      </c>
      <c r="U171" s="40">
        <v>0</v>
      </c>
      <c r="V171" s="40">
        <v>0</v>
      </c>
      <c r="W171" s="40">
        <v>0</v>
      </c>
      <c r="X171" s="67">
        <f t="shared" si="21"/>
        <v>152</v>
      </c>
      <c r="Z171" s="71"/>
      <c r="AA171" s="71"/>
      <c r="AB171" s="67" t="str">
        <f t="shared" si="19"/>
        <v/>
      </c>
      <c r="AD171" s="121"/>
      <c r="AE171" s="121"/>
    </row>
    <row r="172" spans="1:31" x14ac:dyDescent="0.25">
      <c r="A172" s="2" t="s">
        <v>740</v>
      </c>
      <c r="B172" s="65">
        <v>0.33333333333333331</v>
      </c>
      <c r="C172" s="2">
        <v>10.5</v>
      </c>
      <c r="D172" s="10" t="s">
        <v>739</v>
      </c>
      <c r="E172" s="40">
        <v>0</v>
      </c>
      <c r="F172" s="40">
        <v>2</v>
      </c>
      <c r="G172" s="40">
        <v>1</v>
      </c>
      <c r="H172" s="3">
        <f t="shared" si="22"/>
        <v>0</v>
      </c>
      <c r="I172" s="3">
        <f t="shared" si="23"/>
        <v>0.875</v>
      </c>
      <c r="J172" s="3">
        <f t="shared" si="24"/>
        <v>0.4375</v>
      </c>
      <c r="K172" s="3"/>
      <c r="L172" s="60">
        <f t="shared" si="20"/>
        <v>440.30541666666682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0">
        <v>0</v>
      </c>
      <c r="S172" s="61">
        <f t="shared" si="25"/>
        <v>33.400000000000077</v>
      </c>
      <c r="T172" s="40">
        <v>0</v>
      </c>
      <c r="U172" s="40">
        <v>0</v>
      </c>
      <c r="V172" s="40">
        <v>2</v>
      </c>
      <c r="W172" s="40">
        <v>0</v>
      </c>
      <c r="X172" s="67">
        <f t="shared" si="21"/>
        <v>150</v>
      </c>
      <c r="Z172" s="71">
        <v>28</v>
      </c>
      <c r="AA172" s="71">
        <v>122</v>
      </c>
      <c r="AB172" s="67">
        <f t="shared" si="19"/>
        <v>150</v>
      </c>
      <c r="AD172" s="121"/>
      <c r="AE172" s="121"/>
    </row>
    <row r="173" spans="1:31" x14ac:dyDescent="0.25">
      <c r="A173" s="2" t="s">
        <v>740</v>
      </c>
      <c r="B173" s="7">
        <v>0.65833333333333333</v>
      </c>
      <c r="C173" s="2">
        <v>7.8</v>
      </c>
      <c r="D173" s="10" t="s">
        <v>660</v>
      </c>
      <c r="E173" s="40">
        <v>0</v>
      </c>
      <c r="F173" s="40">
        <v>2</v>
      </c>
      <c r="G173" s="40">
        <v>1</v>
      </c>
      <c r="H173" s="3">
        <f t="shared" si="22"/>
        <v>0</v>
      </c>
      <c r="I173" s="3">
        <f t="shared" si="23"/>
        <v>0.64999999999999991</v>
      </c>
      <c r="J173" s="3">
        <f t="shared" si="24"/>
        <v>0.32499999999999996</v>
      </c>
      <c r="K173" s="3"/>
      <c r="L173" s="60">
        <f t="shared" si="20"/>
        <v>439.33041666666679</v>
      </c>
      <c r="M173" s="40">
        <v>0</v>
      </c>
      <c r="N173" s="40">
        <v>0</v>
      </c>
      <c r="O173" s="40">
        <v>0</v>
      </c>
      <c r="P173" s="40">
        <v>0</v>
      </c>
      <c r="Q173" s="40">
        <v>0</v>
      </c>
      <c r="R173" s="40">
        <v>0</v>
      </c>
      <c r="S173" s="61">
        <f t="shared" si="25"/>
        <v>33.400000000000077</v>
      </c>
      <c r="T173" s="40">
        <v>0</v>
      </c>
      <c r="U173" s="40">
        <v>0</v>
      </c>
      <c r="V173" s="40">
        <v>1</v>
      </c>
      <c r="W173" s="40">
        <v>0</v>
      </c>
      <c r="X173" s="67">
        <f t="shared" si="21"/>
        <v>149</v>
      </c>
      <c r="Z173" s="71"/>
      <c r="AA173" s="71"/>
      <c r="AB173" s="67" t="str">
        <f t="shared" si="19"/>
        <v/>
      </c>
      <c r="AD173" s="121"/>
      <c r="AE173" s="121"/>
    </row>
    <row r="174" spans="1:31" x14ac:dyDescent="0.25">
      <c r="A174" s="2" t="s">
        <v>740</v>
      </c>
      <c r="B174" s="7">
        <v>0.90833333333333333</v>
      </c>
      <c r="C174" s="2">
        <v>6</v>
      </c>
      <c r="D174" s="10" t="s">
        <v>710</v>
      </c>
      <c r="E174" s="40">
        <v>2</v>
      </c>
      <c r="F174" s="40">
        <v>2</v>
      </c>
      <c r="G174" s="40">
        <v>1</v>
      </c>
      <c r="H174" s="3">
        <f t="shared" si="22"/>
        <v>0.5</v>
      </c>
      <c r="I174" s="3">
        <f t="shared" si="23"/>
        <v>0.5</v>
      </c>
      <c r="J174" s="3">
        <f t="shared" si="24"/>
        <v>0.25</v>
      </c>
      <c r="K174" s="3"/>
      <c r="L174" s="60">
        <f t="shared" si="20"/>
        <v>438.08041666666679</v>
      </c>
      <c r="M174" s="40">
        <v>0</v>
      </c>
      <c r="N174" s="40">
        <v>0</v>
      </c>
      <c r="O174" s="40">
        <v>0</v>
      </c>
      <c r="P174" s="40">
        <v>0</v>
      </c>
      <c r="Q174" s="40">
        <v>0</v>
      </c>
      <c r="R174" s="40">
        <v>0</v>
      </c>
      <c r="S174" s="61">
        <f t="shared" si="25"/>
        <v>33.400000000000077</v>
      </c>
      <c r="T174" s="40">
        <v>0</v>
      </c>
      <c r="U174" s="40">
        <v>0</v>
      </c>
      <c r="V174" s="40">
        <v>1</v>
      </c>
      <c r="W174" s="40">
        <v>3</v>
      </c>
      <c r="X174" s="67">
        <f t="shared" si="21"/>
        <v>145</v>
      </c>
      <c r="Z174" s="71">
        <v>32</v>
      </c>
      <c r="AA174" s="71">
        <v>113</v>
      </c>
      <c r="AB174" s="67">
        <f t="shared" si="19"/>
        <v>145</v>
      </c>
      <c r="AD174" s="121"/>
      <c r="AE174" s="121"/>
    </row>
    <row r="175" spans="1:31" x14ac:dyDescent="0.25">
      <c r="A175" s="2" t="s">
        <v>741</v>
      </c>
      <c r="B175" s="65">
        <v>0.33333333333333331</v>
      </c>
      <c r="C175" s="2">
        <v>10.199999999999999</v>
      </c>
      <c r="D175" s="10" t="s">
        <v>710</v>
      </c>
      <c r="E175" s="40">
        <v>0</v>
      </c>
      <c r="F175" s="40">
        <v>3</v>
      </c>
      <c r="G175" s="40">
        <v>1.5</v>
      </c>
      <c r="H175" s="3">
        <f t="shared" si="22"/>
        <v>0</v>
      </c>
      <c r="I175" s="3">
        <f t="shared" si="23"/>
        <v>1.2749999999999999</v>
      </c>
      <c r="J175" s="3">
        <f t="shared" si="24"/>
        <v>0.63749999999999996</v>
      </c>
      <c r="K175" s="3"/>
      <c r="L175" s="60">
        <f t="shared" si="20"/>
        <v>436.16791666666677</v>
      </c>
      <c r="M175" s="40">
        <v>0</v>
      </c>
      <c r="N175" s="40">
        <v>0</v>
      </c>
      <c r="O175" s="40">
        <v>0</v>
      </c>
      <c r="P175" s="40">
        <v>0.4</v>
      </c>
      <c r="Q175" s="40">
        <v>1</v>
      </c>
      <c r="R175" s="40">
        <v>0</v>
      </c>
      <c r="S175" s="61">
        <f t="shared" si="25"/>
        <v>32.000000000000078</v>
      </c>
      <c r="T175" s="40">
        <v>0</v>
      </c>
      <c r="U175" s="40">
        <v>0</v>
      </c>
      <c r="V175" s="40">
        <v>2</v>
      </c>
      <c r="W175" s="40">
        <v>2</v>
      </c>
      <c r="X175" s="67">
        <f t="shared" si="21"/>
        <v>141</v>
      </c>
      <c r="Z175" s="71">
        <v>29</v>
      </c>
      <c r="AA175" s="71">
        <v>112</v>
      </c>
      <c r="AB175" s="67">
        <f t="shared" si="19"/>
        <v>141</v>
      </c>
      <c r="AD175" s="121"/>
      <c r="AE175" s="121"/>
    </row>
    <row r="176" spans="1:31" x14ac:dyDescent="0.25">
      <c r="A176" s="2" t="s">
        <v>741</v>
      </c>
      <c r="B176" s="7">
        <v>0.98749999999999993</v>
      </c>
      <c r="C176" s="2">
        <v>15.7</v>
      </c>
      <c r="D176" s="10" t="s">
        <v>660</v>
      </c>
      <c r="E176" s="40">
        <v>0</v>
      </c>
      <c r="F176" s="40">
        <v>3</v>
      </c>
      <c r="G176" s="40">
        <v>1.5</v>
      </c>
      <c r="H176" s="3">
        <f t="shared" si="22"/>
        <v>0</v>
      </c>
      <c r="I176" s="3">
        <f t="shared" si="23"/>
        <v>1.9624999999999999</v>
      </c>
      <c r="J176" s="3">
        <f t="shared" si="24"/>
        <v>0.98124999999999996</v>
      </c>
      <c r="K176" s="3"/>
      <c r="L176" s="60">
        <f t="shared" si="20"/>
        <v>433.22416666666675</v>
      </c>
      <c r="M176" s="40">
        <v>0</v>
      </c>
      <c r="N176" s="40">
        <v>0</v>
      </c>
      <c r="O176" s="40">
        <v>0</v>
      </c>
      <c r="P176" s="40">
        <v>0.4</v>
      </c>
      <c r="Q176" s="40">
        <v>1</v>
      </c>
      <c r="R176" s="40">
        <v>0</v>
      </c>
      <c r="S176" s="61">
        <f t="shared" si="25"/>
        <v>30.60000000000008</v>
      </c>
      <c r="T176" s="40">
        <v>0</v>
      </c>
      <c r="U176" s="40">
        <v>0</v>
      </c>
      <c r="V176" s="40">
        <v>1</v>
      </c>
      <c r="W176" s="40">
        <v>1</v>
      </c>
      <c r="X176" s="67">
        <f t="shared" si="21"/>
        <v>139</v>
      </c>
      <c r="Z176" s="71"/>
      <c r="AA176" s="71"/>
      <c r="AB176" s="67" t="str">
        <f t="shared" si="19"/>
        <v/>
      </c>
      <c r="AD176" s="121"/>
      <c r="AE176" s="121"/>
    </row>
    <row r="177" spans="1:31" x14ac:dyDescent="0.25">
      <c r="A177" s="2" t="s">
        <v>742</v>
      </c>
      <c r="B177" s="7">
        <v>4.1666666666666664E-2</v>
      </c>
      <c r="C177" s="2">
        <v>1.3</v>
      </c>
      <c r="D177" s="10" t="s">
        <v>105</v>
      </c>
      <c r="E177" s="40">
        <v>12</v>
      </c>
      <c r="F177" s="40">
        <v>2.5</v>
      </c>
      <c r="G177" s="40">
        <v>1</v>
      </c>
      <c r="H177" s="3">
        <f t="shared" si="22"/>
        <v>0.65</v>
      </c>
      <c r="I177" s="3">
        <f t="shared" si="23"/>
        <v>0.13541666666666669</v>
      </c>
      <c r="J177" s="3">
        <f t="shared" si="24"/>
        <v>5.4166666666666669E-2</v>
      </c>
      <c r="K177" s="3"/>
      <c r="L177" s="60">
        <f t="shared" si="20"/>
        <v>432.38458333333341</v>
      </c>
      <c r="M177" s="40">
        <v>0</v>
      </c>
      <c r="N177" s="40">
        <v>0</v>
      </c>
      <c r="O177" s="40">
        <v>0</v>
      </c>
      <c r="P177" s="40">
        <v>0</v>
      </c>
      <c r="Q177" s="40">
        <v>0</v>
      </c>
      <c r="R177" s="40">
        <v>0</v>
      </c>
      <c r="S177" s="61">
        <f t="shared" si="25"/>
        <v>30.60000000000008</v>
      </c>
      <c r="T177" s="40">
        <v>0</v>
      </c>
      <c r="U177" s="40">
        <v>0</v>
      </c>
      <c r="V177" s="40">
        <v>0</v>
      </c>
      <c r="W177" s="40">
        <v>0</v>
      </c>
      <c r="X177" s="67">
        <f t="shared" si="21"/>
        <v>139</v>
      </c>
      <c r="Z177" s="71"/>
      <c r="AA177" s="71"/>
      <c r="AB177" s="67" t="str">
        <f t="shared" si="19"/>
        <v/>
      </c>
      <c r="AD177" s="121"/>
      <c r="AE177" s="121"/>
    </row>
    <row r="178" spans="1:31" x14ac:dyDescent="0.25">
      <c r="A178" s="2" t="s">
        <v>742</v>
      </c>
      <c r="B178" s="65">
        <v>0.33333333333333331</v>
      </c>
      <c r="C178" s="2">
        <v>7</v>
      </c>
      <c r="D178" s="10" t="s">
        <v>665</v>
      </c>
      <c r="E178" s="40">
        <v>26</v>
      </c>
      <c r="F178" s="40">
        <v>2.5</v>
      </c>
      <c r="G178" s="40">
        <v>0</v>
      </c>
      <c r="H178" s="3">
        <f t="shared" si="22"/>
        <v>7.583333333333333</v>
      </c>
      <c r="I178" s="3">
        <f t="shared" si="23"/>
        <v>0.72916666666666674</v>
      </c>
      <c r="J178" s="3">
        <v>0</v>
      </c>
      <c r="K178" s="3"/>
      <c r="L178" s="60">
        <f t="shared" si="20"/>
        <v>424.07208333333341</v>
      </c>
      <c r="M178" s="40">
        <v>0</v>
      </c>
      <c r="N178" s="40">
        <v>0</v>
      </c>
      <c r="O178" s="40">
        <v>0</v>
      </c>
      <c r="P178" s="40">
        <v>0</v>
      </c>
      <c r="Q178" s="40">
        <v>0</v>
      </c>
      <c r="R178" s="40">
        <v>0</v>
      </c>
      <c r="S178" s="61">
        <f t="shared" si="25"/>
        <v>30.60000000000008</v>
      </c>
      <c r="T178" s="40">
        <v>0</v>
      </c>
      <c r="U178" s="40">
        <v>0</v>
      </c>
      <c r="V178" s="40">
        <v>4</v>
      </c>
      <c r="W178" s="40">
        <v>6</v>
      </c>
      <c r="X178" s="67">
        <f t="shared" si="21"/>
        <v>129</v>
      </c>
      <c r="Z178" s="71">
        <v>29</v>
      </c>
      <c r="AA178" s="71">
        <v>100</v>
      </c>
      <c r="AB178" s="67">
        <v>129</v>
      </c>
      <c r="AD178" s="121"/>
      <c r="AE178" s="121"/>
    </row>
    <row r="179" spans="1:31" x14ac:dyDescent="0.25">
      <c r="A179" s="2" t="s">
        <v>742</v>
      </c>
      <c r="B179" s="7">
        <v>0.38750000000000001</v>
      </c>
      <c r="C179" s="2">
        <v>1.3</v>
      </c>
      <c r="D179" s="10" t="s">
        <v>695</v>
      </c>
      <c r="E179" s="40">
        <v>26</v>
      </c>
      <c r="F179" s="40">
        <v>2.5</v>
      </c>
      <c r="G179" s="40">
        <v>0</v>
      </c>
      <c r="H179" s="3">
        <f t="shared" si="22"/>
        <v>1.4083333333333332</v>
      </c>
      <c r="I179" s="3">
        <f t="shared" si="23"/>
        <v>0.13541666666666669</v>
      </c>
      <c r="J179" s="3">
        <f t="shared" si="24"/>
        <v>0</v>
      </c>
      <c r="K179" s="3"/>
      <c r="L179" s="60">
        <f t="shared" si="20"/>
        <v>422.52833333333342</v>
      </c>
      <c r="M179" s="40">
        <v>0</v>
      </c>
      <c r="N179" s="40">
        <v>0</v>
      </c>
      <c r="O179" s="40">
        <v>0</v>
      </c>
      <c r="P179" s="40">
        <v>0</v>
      </c>
      <c r="Q179" s="40">
        <v>0</v>
      </c>
      <c r="R179" s="40">
        <v>0</v>
      </c>
      <c r="S179" s="61">
        <f t="shared" si="25"/>
        <v>30.60000000000008</v>
      </c>
      <c r="T179" s="40">
        <v>0</v>
      </c>
      <c r="U179" s="40">
        <v>0</v>
      </c>
      <c r="V179" s="40">
        <v>0</v>
      </c>
      <c r="W179" s="40">
        <v>0</v>
      </c>
      <c r="X179" s="67">
        <f t="shared" si="21"/>
        <v>129</v>
      </c>
      <c r="Z179" s="71"/>
      <c r="AA179" s="71"/>
      <c r="AB179" s="67" t="str">
        <f t="shared" si="19"/>
        <v/>
      </c>
      <c r="AD179" s="121">
        <v>13</v>
      </c>
      <c r="AE179" s="121" t="s">
        <v>1303</v>
      </c>
    </row>
    <row r="180" spans="1:31" x14ac:dyDescent="0.25">
      <c r="A180" s="2" t="s">
        <v>742</v>
      </c>
      <c r="B180" s="7">
        <v>0.45833333333333331</v>
      </c>
      <c r="C180" s="2">
        <v>1.7</v>
      </c>
      <c r="D180" s="10" t="s">
        <v>712</v>
      </c>
      <c r="E180" s="40">
        <v>10</v>
      </c>
      <c r="F180" s="40">
        <v>2.5</v>
      </c>
      <c r="G180" s="40">
        <v>1</v>
      </c>
      <c r="H180" s="3">
        <f t="shared" si="22"/>
        <v>0.70833333333333337</v>
      </c>
      <c r="I180" s="3">
        <f t="shared" si="23"/>
        <v>0.17708333333333334</v>
      </c>
      <c r="J180" s="3">
        <f t="shared" si="24"/>
        <v>7.0833333333333331E-2</v>
      </c>
      <c r="K180" s="3"/>
      <c r="L180" s="60">
        <f t="shared" si="20"/>
        <v>421.57208333333341</v>
      </c>
      <c r="M180" s="40">
        <v>0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61">
        <f t="shared" si="25"/>
        <v>30.60000000000008</v>
      </c>
      <c r="T180" s="40">
        <v>0</v>
      </c>
      <c r="U180" s="40">
        <v>0</v>
      </c>
      <c r="V180" s="40">
        <v>0</v>
      </c>
      <c r="W180" s="40">
        <v>3</v>
      </c>
      <c r="X180" s="67">
        <f t="shared" si="21"/>
        <v>126</v>
      </c>
      <c r="Z180" s="71">
        <v>29</v>
      </c>
      <c r="AA180" s="71">
        <v>97</v>
      </c>
      <c r="AB180" s="67">
        <f t="shared" si="19"/>
        <v>126</v>
      </c>
      <c r="AD180" s="121"/>
      <c r="AE180" s="121"/>
    </row>
    <row r="181" spans="1:31" x14ac:dyDescent="0.25">
      <c r="A181" s="2" t="s">
        <v>743</v>
      </c>
      <c r="B181" s="7">
        <v>0.33333333333333331</v>
      </c>
      <c r="C181" s="2">
        <v>21</v>
      </c>
      <c r="D181" s="10" t="s">
        <v>712</v>
      </c>
      <c r="E181" s="40">
        <v>0</v>
      </c>
      <c r="F181" s="40">
        <v>3</v>
      </c>
      <c r="G181" s="40">
        <v>1.5</v>
      </c>
      <c r="H181" s="3">
        <f t="shared" si="22"/>
        <v>0</v>
      </c>
      <c r="I181" s="3">
        <f t="shared" si="23"/>
        <v>2.625</v>
      </c>
      <c r="J181" s="3">
        <f t="shared" si="24"/>
        <v>1.3125</v>
      </c>
      <c r="K181" s="3"/>
      <c r="L181" s="60">
        <f t="shared" si="20"/>
        <v>417.63458333333341</v>
      </c>
      <c r="M181" s="40">
        <v>0</v>
      </c>
      <c r="N181" s="40">
        <v>0</v>
      </c>
      <c r="O181" s="40">
        <v>0.1</v>
      </c>
      <c r="P181" s="40">
        <v>0</v>
      </c>
      <c r="Q181" s="40">
        <v>0</v>
      </c>
      <c r="R181" s="40">
        <v>0</v>
      </c>
      <c r="S181" s="61">
        <f t="shared" si="25"/>
        <v>30.500000000000078</v>
      </c>
      <c r="T181" s="40">
        <v>0</v>
      </c>
      <c r="U181" s="40">
        <v>150</v>
      </c>
      <c r="V181" s="40">
        <v>4</v>
      </c>
      <c r="W181" s="40">
        <v>10</v>
      </c>
      <c r="X181" s="67">
        <f t="shared" si="21"/>
        <v>262</v>
      </c>
      <c r="Z181" s="71">
        <v>145</v>
      </c>
      <c r="AA181" s="71">
        <v>110</v>
      </c>
      <c r="AB181" s="67">
        <f t="shared" si="19"/>
        <v>255</v>
      </c>
      <c r="AD181" s="121"/>
      <c r="AE181" s="121"/>
    </row>
    <row r="182" spans="1:31" x14ac:dyDescent="0.25">
      <c r="A182" s="2" t="s">
        <v>743</v>
      </c>
      <c r="B182" s="7">
        <v>0.97499999999999998</v>
      </c>
      <c r="C182" s="2">
        <v>15.7</v>
      </c>
      <c r="D182" s="10" t="s">
        <v>660</v>
      </c>
      <c r="E182" s="40">
        <v>0</v>
      </c>
      <c r="F182" s="40">
        <v>3</v>
      </c>
      <c r="G182" s="40">
        <v>1.5</v>
      </c>
      <c r="H182" s="3">
        <f t="shared" si="22"/>
        <v>0</v>
      </c>
      <c r="I182" s="3">
        <f t="shared" si="23"/>
        <v>1.9624999999999999</v>
      </c>
      <c r="J182" s="3">
        <f t="shared" si="24"/>
        <v>0.98124999999999996</v>
      </c>
      <c r="K182" s="3"/>
      <c r="L182" s="60">
        <f t="shared" si="20"/>
        <v>414.69083333333339</v>
      </c>
      <c r="M182" s="40">
        <v>0</v>
      </c>
      <c r="N182" s="40">
        <v>0</v>
      </c>
      <c r="O182" s="40">
        <v>0</v>
      </c>
      <c r="P182" s="40">
        <v>0</v>
      </c>
      <c r="Q182" s="40">
        <v>0</v>
      </c>
      <c r="R182" s="40">
        <v>0</v>
      </c>
      <c r="S182" s="61">
        <f t="shared" si="25"/>
        <v>30.500000000000078</v>
      </c>
      <c r="T182" s="40">
        <v>0</v>
      </c>
      <c r="U182" s="40">
        <v>0</v>
      </c>
      <c r="V182" s="40">
        <v>3</v>
      </c>
      <c r="W182" s="40">
        <v>5</v>
      </c>
      <c r="X182" s="67">
        <f t="shared" si="21"/>
        <v>254</v>
      </c>
      <c r="Z182" s="71">
        <v>145</v>
      </c>
      <c r="AA182" s="71">
        <v>102</v>
      </c>
      <c r="AB182" s="67">
        <f t="shared" si="19"/>
        <v>247</v>
      </c>
      <c r="AD182" s="121"/>
      <c r="AE182" s="121"/>
    </row>
    <row r="183" spans="1:31" x14ac:dyDescent="0.25">
      <c r="A183" s="2" t="s">
        <v>743</v>
      </c>
      <c r="B183" s="7">
        <v>0.98749999999999993</v>
      </c>
      <c r="C183" s="2">
        <v>0.3</v>
      </c>
      <c r="D183" s="10" t="s">
        <v>105</v>
      </c>
      <c r="E183" s="40">
        <v>10</v>
      </c>
      <c r="F183" s="40">
        <v>3</v>
      </c>
      <c r="G183" s="40">
        <v>1.5</v>
      </c>
      <c r="H183" s="3">
        <f>+IF(E183="","",(E183/24)*C183)</f>
        <v>0.125</v>
      </c>
      <c r="I183" s="3">
        <f>+IF(F183="","",(F183/24)*C183)</f>
        <v>3.7499999999999999E-2</v>
      </c>
      <c r="J183" s="3">
        <f>+IF(G183="","",(G183/24)*C183)</f>
        <v>1.8749999999999999E-2</v>
      </c>
      <c r="K183" s="3"/>
      <c r="L183" s="60">
        <f t="shared" si="20"/>
        <v>414.50958333333341</v>
      </c>
      <c r="M183" s="40">
        <v>0</v>
      </c>
      <c r="N183" s="40">
        <v>0</v>
      </c>
      <c r="O183" s="40">
        <v>0</v>
      </c>
      <c r="P183" s="40">
        <v>0</v>
      </c>
      <c r="Q183" s="40">
        <v>0</v>
      </c>
      <c r="R183" s="40">
        <v>0</v>
      </c>
      <c r="S183" s="61">
        <f>IF(C183="","",(S182+R183)-(M183+N183+O183+P183+Q183))</f>
        <v>30.500000000000078</v>
      </c>
      <c r="T183" s="40">
        <v>0</v>
      </c>
      <c r="U183" s="40">
        <v>0</v>
      </c>
      <c r="V183" s="40">
        <v>0</v>
      </c>
      <c r="W183" s="40">
        <v>0</v>
      </c>
      <c r="X183" s="67">
        <f t="shared" si="21"/>
        <v>254</v>
      </c>
      <c r="Z183" s="71">
        <v>152</v>
      </c>
      <c r="AA183" s="71">
        <v>102</v>
      </c>
      <c r="AB183" s="67">
        <f t="shared" si="19"/>
        <v>254</v>
      </c>
      <c r="AD183" s="121"/>
      <c r="AE183" s="121"/>
    </row>
    <row r="184" spans="1:31" x14ac:dyDescent="0.25">
      <c r="A184" s="2" t="s">
        <v>744</v>
      </c>
      <c r="B184" s="7">
        <v>1.2499999999999999E-2</v>
      </c>
      <c r="C184" s="2">
        <v>0.6</v>
      </c>
      <c r="D184" s="10" t="s">
        <v>695</v>
      </c>
      <c r="E184" s="40">
        <v>0</v>
      </c>
      <c r="F184" s="40">
        <v>3</v>
      </c>
      <c r="G184" s="40">
        <v>1</v>
      </c>
      <c r="H184" s="3">
        <f t="shared" si="22"/>
        <v>0</v>
      </c>
      <c r="I184" s="3">
        <f t="shared" si="23"/>
        <v>7.4999999999999997E-2</v>
      </c>
      <c r="J184" s="3">
        <f t="shared" si="24"/>
        <v>2.4999999999999998E-2</v>
      </c>
      <c r="K184" s="3"/>
      <c r="L184" s="60">
        <f t="shared" si="20"/>
        <v>414.40958333333339</v>
      </c>
      <c r="M184" s="40">
        <v>2</v>
      </c>
      <c r="N184" s="40">
        <v>0</v>
      </c>
      <c r="O184" s="40">
        <v>0</v>
      </c>
      <c r="P184" s="40">
        <v>0</v>
      </c>
      <c r="Q184" s="40">
        <v>0</v>
      </c>
      <c r="R184" s="40">
        <v>0</v>
      </c>
      <c r="S184" s="61">
        <f t="shared" si="25"/>
        <v>28.500000000000078</v>
      </c>
      <c r="T184" s="40">
        <v>0</v>
      </c>
      <c r="U184" s="40">
        <v>0</v>
      </c>
      <c r="V184" s="40">
        <v>0</v>
      </c>
      <c r="W184" s="40">
        <v>0</v>
      </c>
      <c r="X184" s="67">
        <f t="shared" si="21"/>
        <v>254</v>
      </c>
      <c r="Z184" s="71"/>
      <c r="AA184" s="71"/>
      <c r="AB184" s="67" t="str">
        <f t="shared" si="19"/>
        <v/>
      </c>
      <c r="AD184" s="121"/>
      <c r="AE184" s="121"/>
    </row>
    <row r="185" spans="1:31" x14ac:dyDescent="0.25">
      <c r="A185" s="2" t="s">
        <v>744</v>
      </c>
      <c r="B185" s="7">
        <v>9.5833333333333326E-2</v>
      </c>
      <c r="C185" s="2">
        <v>1.7</v>
      </c>
      <c r="D185" s="10" t="s">
        <v>648</v>
      </c>
      <c r="E185" s="40">
        <v>0</v>
      </c>
      <c r="F185" s="40">
        <v>3</v>
      </c>
      <c r="G185" s="40">
        <v>1.5</v>
      </c>
      <c r="H185" s="3">
        <f t="shared" si="22"/>
        <v>0</v>
      </c>
      <c r="I185" s="3">
        <f t="shared" si="23"/>
        <v>0.21249999999999999</v>
      </c>
      <c r="J185" s="3">
        <f t="shared" si="24"/>
        <v>0.10625</v>
      </c>
      <c r="K185" s="3"/>
      <c r="L185" s="60">
        <f t="shared" si="20"/>
        <v>414.09083333333336</v>
      </c>
      <c r="M185" s="40">
        <v>0.6</v>
      </c>
      <c r="N185" s="40">
        <v>0</v>
      </c>
      <c r="O185" s="40">
        <v>0</v>
      </c>
      <c r="P185" s="40">
        <v>0</v>
      </c>
      <c r="Q185" s="40">
        <v>0</v>
      </c>
      <c r="R185" s="40">
        <v>0</v>
      </c>
      <c r="S185" s="61">
        <f t="shared" si="25"/>
        <v>27.900000000000077</v>
      </c>
      <c r="T185" s="40">
        <v>0</v>
      </c>
      <c r="U185" s="40">
        <v>0</v>
      </c>
      <c r="V185" s="40">
        <v>0</v>
      </c>
      <c r="W185" s="40">
        <v>0</v>
      </c>
      <c r="X185" s="67">
        <f t="shared" si="21"/>
        <v>254</v>
      </c>
      <c r="Z185" s="71">
        <v>150</v>
      </c>
      <c r="AA185" s="71">
        <v>103</v>
      </c>
      <c r="AB185" s="67">
        <f t="shared" si="19"/>
        <v>253</v>
      </c>
      <c r="AD185" s="121"/>
      <c r="AE185" s="121"/>
    </row>
    <row r="186" spans="1:31" x14ac:dyDescent="0.25">
      <c r="A186" s="7" t="s">
        <v>744</v>
      </c>
      <c r="B186" s="65">
        <v>0.33333333333333331</v>
      </c>
      <c r="C186" s="2">
        <v>5.7</v>
      </c>
      <c r="D186" s="10" t="s">
        <v>648</v>
      </c>
      <c r="E186" s="40">
        <v>0</v>
      </c>
      <c r="F186" s="40">
        <v>1.5</v>
      </c>
      <c r="G186" s="40">
        <v>0</v>
      </c>
      <c r="H186" s="3">
        <f t="shared" si="22"/>
        <v>0</v>
      </c>
      <c r="I186" s="3">
        <f t="shared" si="23"/>
        <v>0.35625000000000001</v>
      </c>
      <c r="J186" s="3">
        <f t="shared" si="24"/>
        <v>0</v>
      </c>
      <c r="K186" s="3"/>
      <c r="L186" s="60">
        <f t="shared" si="20"/>
        <v>413.73458333333338</v>
      </c>
      <c r="M186" s="40">
        <v>0</v>
      </c>
      <c r="N186" s="40">
        <v>0</v>
      </c>
      <c r="O186" s="40">
        <v>0.1</v>
      </c>
      <c r="P186" s="40">
        <v>0</v>
      </c>
      <c r="Q186" s="40">
        <v>0</v>
      </c>
      <c r="R186" s="40">
        <v>0</v>
      </c>
      <c r="S186" s="61">
        <f t="shared" si="25"/>
        <v>27.800000000000075</v>
      </c>
      <c r="T186" s="40">
        <v>0</v>
      </c>
      <c r="U186" s="40">
        <v>0</v>
      </c>
      <c r="V186" s="40">
        <v>1</v>
      </c>
      <c r="W186" s="40">
        <v>0</v>
      </c>
      <c r="X186" s="67">
        <f t="shared" si="21"/>
        <v>253</v>
      </c>
      <c r="Z186" s="71"/>
      <c r="AA186" s="71"/>
      <c r="AB186" s="67" t="str">
        <f t="shared" si="19"/>
        <v/>
      </c>
      <c r="AD186" s="121"/>
      <c r="AE186" s="121"/>
    </row>
    <row r="187" spans="1:31" x14ac:dyDescent="0.25">
      <c r="A187" s="2" t="s">
        <v>127</v>
      </c>
      <c r="B187" s="65">
        <v>0.33333333333333331</v>
      </c>
      <c r="C187" s="2">
        <v>24</v>
      </c>
      <c r="D187" s="10" t="s">
        <v>648</v>
      </c>
      <c r="E187" s="40">
        <v>0</v>
      </c>
      <c r="F187" s="40">
        <v>2</v>
      </c>
      <c r="G187" s="40">
        <v>1</v>
      </c>
      <c r="H187" s="3">
        <f>+IF(E187="","",(E187/24)*C187)</f>
        <v>0</v>
      </c>
      <c r="I187" s="3">
        <f>+IF(F187="","",(F187/24)*C187)</f>
        <v>2</v>
      </c>
      <c r="J187" s="3">
        <f>+IF(G187="","",(G187/24)*C187)</f>
        <v>1</v>
      </c>
      <c r="K187" s="3"/>
      <c r="L187" s="60">
        <f t="shared" si="20"/>
        <v>410.73458333333338</v>
      </c>
      <c r="M187" s="40">
        <v>0</v>
      </c>
      <c r="N187" s="40">
        <v>0</v>
      </c>
      <c r="O187" s="40">
        <v>0.5</v>
      </c>
      <c r="P187" s="40">
        <v>0</v>
      </c>
      <c r="Q187" s="40">
        <v>0</v>
      </c>
      <c r="R187" s="40">
        <v>0</v>
      </c>
      <c r="S187" s="61">
        <f>IF(C187="","",(S186+R187)-(M187+N187+O187+P187+Q187))</f>
        <v>27.300000000000075</v>
      </c>
      <c r="T187" s="40">
        <v>0</v>
      </c>
      <c r="U187" s="40">
        <v>0</v>
      </c>
      <c r="V187" s="40">
        <v>5</v>
      </c>
      <c r="W187" s="40">
        <v>5</v>
      </c>
      <c r="X187" s="67">
        <f t="shared" si="21"/>
        <v>243</v>
      </c>
      <c r="Z187" s="71">
        <v>150</v>
      </c>
      <c r="AA187" s="71">
        <v>93</v>
      </c>
      <c r="AB187" s="67">
        <f t="shared" si="19"/>
        <v>243</v>
      </c>
      <c r="AD187" s="121"/>
      <c r="AE187" s="121"/>
    </row>
    <row r="188" spans="1:31" x14ac:dyDescent="0.25">
      <c r="A188" s="2" t="s">
        <v>745</v>
      </c>
      <c r="B188" s="65">
        <v>0.33333333333333331</v>
      </c>
      <c r="C188" s="2">
        <v>24</v>
      </c>
      <c r="D188" s="10" t="s">
        <v>648</v>
      </c>
      <c r="E188" s="40">
        <v>0</v>
      </c>
      <c r="F188" s="40">
        <v>1</v>
      </c>
      <c r="G188" s="40">
        <v>0</v>
      </c>
      <c r="H188" s="3">
        <f t="shared" si="22"/>
        <v>0</v>
      </c>
      <c r="I188" s="3">
        <f t="shared" si="23"/>
        <v>1</v>
      </c>
      <c r="J188" s="3">
        <f t="shared" si="24"/>
        <v>0</v>
      </c>
      <c r="K188" s="3"/>
      <c r="L188" s="60">
        <f t="shared" si="20"/>
        <v>409.73458333333338</v>
      </c>
      <c r="M188" s="40">
        <v>0</v>
      </c>
      <c r="N188" s="40">
        <v>1</v>
      </c>
      <c r="O188" s="40">
        <v>1</v>
      </c>
      <c r="P188" s="40">
        <v>0</v>
      </c>
      <c r="Q188" s="40">
        <v>0</v>
      </c>
      <c r="R188" s="40">
        <v>0</v>
      </c>
      <c r="S188" s="61">
        <f t="shared" si="25"/>
        <v>25.300000000000075</v>
      </c>
      <c r="T188" s="40">
        <v>0</v>
      </c>
      <c r="U188" s="40">
        <v>0</v>
      </c>
      <c r="V188" s="40">
        <v>4</v>
      </c>
      <c r="W188" s="40">
        <v>0</v>
      </c>
      <c r="X188" s="67">
        <f t="shared" si="21"/>
        <v>239</v>
      </c>
      <c r="Z188" s="71">
        <v>150</v>
      </c>
      <c r="AA188" s="71">
        <v>83</v>
      </c>
      <c r="AB188" s="67">
        <f t="shared" si="19"/>
        <v>233</v>
      </c>
      <c r="AD188" s="121"/>
      <c r="AE188" s="121"/>
    </row>
    <row r="189" spans="1:31" x14ac:dyDescent="0.25">
      <c r="A189" s="2" t="s">
        <v>746</v>
      </c>
      <c r="B189" s="65">
        <v>0.33333333333333331</v>
      </c>
      <c r="C189" s="2">
        <v>24</v>
      </c>
      <c r="D189" s="10" t="s">
        <v>648</v>
      </c>
      <c r="E189" s="40">
        <v>0</v>
      </c>
      <c r="F189" s="40">
        <v>2.7</v>
      </c>
      <c r="G189" s="40">
        <v>0</v>
      </c>
      <c r="H189" s="3">
        <f t="shared" si="22"/>
        <v>0</v>
      </c>
      <c r="I189" s="3">
        <f t="shared" si="23"/>
        <v>2.7</v>
      </c>
      <c r="J189" s="3">
        <f t="shared" si="24"/>
        <v>0</v>
      </c>
      <c r="K189" s="3"/>
      <c r="L189" s="60">
        <f t="shared" si="20"/>
        <v>407.03458333333339</v>
      </c>
      <c r="M189" s="40">
        <v>0</v>
      </c>
      <c r="N189" s="40">
        <v>0</v>
      </c>
      <c r="O189" s="40">
        <v>0.5</v>
      </c>
      <c r="P189" s="40">
        <v>0</v>
      </c>
      <c r="Q189" s="40">
        <v>0</v>
      </c>
      <c r="R189" s="40">
        <v>0</v>
      </c>
      <c r="S189" s="61">
        <f t="shared" si="25"/>
        <v>24.800000000000075</v>
      </c>
      <c r="T189" s="40">
        <v>0</v>
      </c>
      <c r="U189" s="40">
        <v>0</v>
      </c>
      <c r="V189" s="40">
        <v>6</v>
      </c>
      <c r="W189" s="40">
        <v>15</v>
      </c>
      <c r="X189" s="67">
        <f t="shared" si="21"/>
        <v>218</v>
      </c>
      <c r="Z189" s="71">
        <v>150</v>
      </c>
      <c r="AA189" s="71">
        <v>67</v>
      </c>
      <c r="AB189" s="67">
        <f t="shared" si="19"/>
        <v>217</v>
      </c>
      <c r="AD189" s="121"/>
      <c r="AE189" s="121"/>
    </row>
    <row r="190" spans="1:31" x14ac:dyDescent="0.25">
      <c r="A190" s="2" t="s">
        <v>746</v>
      </c>
      <c r="B190" s="7">
        <v>0.66249999999999998</v>
      </c>
      <c r="C190" s="2">
        <v>7.9</v>
      </c>
      <c r="D190" s="10" t="s">
        <v>660</v>
      </c>
      <c r="E190" s="40">
        <v>0</v>
      </c>
      <c r="F190" s="40">
        <v>2.7</v>
      </c>
      <c r="G190" s="40">
        <v>0</v>
      </c>
      <c r="H190" s="3">
        <f t="shared" si="22"/>
        <v>0</v>
      </c>
      <c r="I190" s="3">
        <f t="shared" si="23"/>
        <v>0.88875000000000004</v>
      </c>
      <c r="J190" s="3">
        <f t="shared" si="24"/>
        <v>0</v>
      </c>
      <c r="K190" s="3"/>
      <c r="L190" s="60">
        <f t="shared" si="20"/>
        <v>406.14583333333337</v>
      </c>
      <c r="M190" s="40">
        <v>0</v>
      </c>
      <c r="N190" s="40">
        <v>0</v>
      </c>
      <c r="O190" s="40">
        <v>0.5</v>
      </c>
      <c r="P190" s="40">
        <v>0</v>
      </c>
      <c r="Q190" s="40">
        <v>0</v>
      </c>
      <c r="R190" s="40">
        <v>0</v>
      </c>
      <c r="S190" s="61">
        <f t="shared" si="25"/>
        <v>24.300000000000075</v>
      </c>
      <c r="T190" s="40">
        <v>0</v>
      </c>
      <c r="U190" s="40">
        <v>0</v>
      </c>
      <c r="V190" s="40">
        <v>0</v>
      </c>
      <c r="W190" s="40">
        <v>0</v>
      </c>
      <c r="X190" s="67">
        <f t="shared" si="21"/>
        <v>218</v>
      </c>
      <c r="Z190" s="71"/>
      <c r="AA190" s="71"/>
      <c r="AB190" s="67" t="str">
        <f t="shared" si="19"/>
        <v/>
      </c>
      <c r="AD190" s="121"/>
      <c r="AE190" s="121"/>
    </row>
    <row r="191" spans="1:31" x14ac:dyDescent="0.25">
      <c r="A191" s="2" t="s">
        <v>746</v>
      </c>
      <c r="B191" s="7">
        <v>0.73749999999999993</v>
      </c>
      <c r="C191" s="2">
        <v>1.8</v>
      </c>
      <c r="D191" s="10" t="s">
        <v>492</v>
      </c>
      <c r="E191" s="40">
        <v>10</v>
      </c>
      <c r="F191" s="40">
        <v>2.5</v>
      </c>
      <c r="G191" s="40">
        <v>1.5</v>
      </c>
      <c r="H191" s="3">
        <f t="shared" si="22"/>
        <v>0.75</v>
      </c>
      <c r="I191" s="3">
        <f t="shared" si="23"/>
        <v>0.1875</v>
      </c>
      <c r="J191" s="3">
        <f t="shared" si="24"/>
        <v>0.1125</v>
      </c>
      <c r="K191" s="3"/>
      <c r="L191" s="60">
        <f t="shared" si="20"/>
        <v>405.09583333333336</v>
      </c>
      <c r="M191" s="40">
        <v>0.5</v>
      </c>
      <c r="N191" s="40">
        <v>0</v>
      </c>
      <c r="O191" s="40">
        <v>0</v>
      </c>
      <c r="P191" s="40">
        <v>0</v>
      </c>
      <c r="Q191" s="40">
        <v>0</v>
      </c>
      <c r="R191" s="40">
        <v>0</v>
      </c>
      <c r="S191" s="61">
        <f t="shared" si="25"/>
        <v>23.800000000000075</v>
      </c>
      <c r="T191" s="40">
        <v>0</v>
      </c>
      <c r="U191" s="40">
        <v>0</v>
      </c>
      <c r="V191" s="40">
        <v>1</v>
      </c>
      <c r="W191" s="40">
        <v>0</v>
      </c>
      <c r="X191" s="67">
        <f t="shared" si="21"/>
        <v>217</v>
      </c>
      <c r="Z191" s="71"/>
      <c r="AA191" s="71"/>
      <c r="AB191" s="67" t="str">
        <f t="shared" si="19"/>
        <v/>
      </c>
      <c r="AD191" s="121"/>
      <c r="AE191" s="121"/>
    </row>
    <row r="192" spans="1:31" x14ac:dyDescent="0.25">
      <c r="A192" s="2" t="s">
        <v>746</v>
      </c>
      <c r="B192" s="7">
        <v>0.95416666666666661</v>
      </c>
      <c r="C192" s="2">
        <v>5.2</v>
      </c>
      <c r="D192" s="10" t="s">
        <v>660</v>
      </c>
      <c r="E192" s="40">
        <v>0</v>
      </c>
      <c r="F192" s="40">
        <v>2</v>
      </c>
      <c r="G192" s="40">
        <v>1.5</v>
      </c>
      <c r="H192" s="3">
        <f t="shared" si="22"/>
        <v>0</v>
      </c>
      <c r="I192" s="3">
        <f t="shared" si="23"/>
        <v>0.43333333333333335</v>
      </c>
      <c r="J192" s="3">
        <f t="shared" si="24"/>
        <v>0.32500000000000001</v>
      </c>
      <c r="K192" s="3"/>
      <c r="L192" s="60">
        <f t="shared" si="20"/>
        <v>404.33750000000003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  <c r="R192" s="40">
        <v>73.3</v>
      </c>
      <c r="S192" s="61">
        <f t="shared" si="25"/>
        <v>97.10000000000008</v>
      </c>
      <c r="T192" s="40">
        <v>0</v>
      </c>
      <c r="U192" s="40">
        <v>0</v>
      </c>
      <c r="V192" s="40">
        <v>1</v>
      </c>
      <c r="W192" s="40">
        <v>0</v>
      </c>
      <c r="X192" s="67">
        <f t="shared" si="21"/>
        <v>216</v>
      </c>
      <c r="Z192" s="71"/>
      <c r="AA192" s="71"/>
      <c r="AB192" s="67" t="str">
        <f t="shared" si="19"/>
        <v/>
      </c>
      <c r="AD192" s="121"/>
      <c r="AE192" s="121"/>
    </row>
    <row r="193" spans="1:31" x14ac:dyDescent="0.25">
      <c r="A193" s="7" t="s">
        <v>747</v>
      </c>
      <c r="B193" s="7">
        <v>0</v>
      </c>
      <c r="C193" s="2">
        <v>1.1000000000000001</v>
      </c>
      <c r="D193" s="10" t="s">
        <v>665</v>
      </c>
      <c r="E193" s="40">
        <v>15</v>
      </c>
      <c r="F193" s="40">
        <v>2.5</v>
      </c>
      <c r="G193" s="40">
        <v>1.5</v>
      </c>
      <c r="H193" s="3">
        <f t="shared" si="22"/>
        <v>0.6875</v>
      </c>
      <c r="I193" s="3">
        <f t="shared" si="23"/>
        <v>0.11458333333333334</v>
      </c>
      <c r="J193" s="3">
        <f t="shared" si="24"/>
        <v>6.8750000000000006E-2</v>
      </c>
      <c r="K193" s="3"/>
      <c r="L193" s="60">
        <f t="shared" si="20"/>
        <v>403.4666666666667</v>
      </c>
      <c r="M193" s="40">
        <v>0</v>
      </c>
      <c r="N193" s="40">
        <v>0</v>
      </c>
      <c r="O193" s="40">
        <v>0</v>
      </c>
      <c r="P193" s="40">
        <v>0</v>
      </c>
      <c r="Q193" s="40">
        <v>0</v>
      </c>
      <c r="R193" s="40">
        <v>0</v>
      </c>
      <c r="S193" s="61">
        <f t="shared" si="25"/>
        <v>97.10000000000008</v>
      </c>
      <c r="T193" s="40">
        <v>0</v>
      </c>
      <c r="U193" s="40">
        <v>0</v>
      </c>
      <c r="V193" s="40">
        <v>1</v>
      </c>
      <c r="W193" s="40">
        <v>0</v>
      </c>
      <c r="X193" s="67">
        <f t="shared" si="21"/>
        <v>215</v>
      </c>
      <c r="Z193" s="71"/>
      <c r="AA193" s="71"/>
      <c r="AB193" s="67" t="str">
        <f t="shared" si="19"/>
        <v/>
      </c>
      <c r="AD193" s="121"/>
      <c r="AE193" s="121"/>
    </row>
    <row r="194" spans="1:31" x14ac:dyDescent="0.25">
      <c r="A194" s="2" t="s">
        <v>747</v>
      </c>
      <c r="B194" s="65">
        <v>0.33333333333333331</v>
      </c>
      <c r="C194" s="2">
        <v>8</v>
      </c>
      <c r="D194" s="10" t="s">
        <v>665</v>
      </c>
      <c r="E194" s="40">
        <v>20</v>
      </c>
      <c r="F194" s="40">
        <v>2.2000000000000002</v>
      </c>
      <c r="G194" s="40">
        <v>0</v>
      </c>
      <c r="H194" s="3">
        <f t="shared" si="22"/>
        <v>6.666666666666667</v>
      </c>
      <c r="I194" s="3">
        <f t="shared" si="23"/>
        <v>0.73333333333333339</v>
      </c>
      <c r="J194" s="3">
        <f t="shared" si="24"/>
        <v>0</v>
      </c>
      <c r="K194" s="3"/>
      <c r="L194" s="60">
        <f t="shared" si="20"/>
        <v>396.06666666666672</v>
      </c>
      <c r="M194" s="40">
        <v>0</v>
      </c>
      <c r="N194" s="40">
        <v>0</v>
      </c>
      <c r="O194" s="40">
        <v>0</v>
      </c>
      <c r="P194" s="40">
        <v>0</v>
      </c>
      <c r="Q194" s="40">
        <v>0</v>
      </c>
      <c r="R194" s="40">
        <v>0</v>
      </c>
      <c r="S194" s="61">
        <f t="shared" si="25"/>
        <v>97.10000000000008</v>
      </c>
      <c r="T194" s="40">
        <v>0</v>
      </c>
      <c r="U194" s="40">
        <v>0</v>
      </c>
      <c r="V194" s="40">
        <v>2</v>
      </c>
      <c r="W194" s="40">
        <v>0</v>
      </c>
      <c r="X194" s="67">
        <f t="shared" si="21"/>
        <v>213</v>
      </c>
      <c r="Z194" s="71">
        <v>150</v>
      </c>
      <c r="AA194" s="71">
        <v>61</v>
      </c>
      <c r="AB194" s="67">
        <f t="shared" si="19"/>
        <v>211</v>
      </c>
      <c r="AD194" s="121"/>
      <c r="AE194" s="121"/>
    </row>
    <row r="195" spans="1:31" x14ac:dyDescent="0.25">
      <c r="A195" s="2" t="s">
        <v>748</v>
      </c>
      <c r="B195" s="65">
        <v>0.33333333333333331</v>
      </c>
      <c r="C195" s="2">
        <v>24</v>
      </c>
      <c r="D195" s="10" t="s">
        <v>665</v>
      </c>
      <c r="E195" s="40">
        <v>20</v>
      </c>
      <c r="F195" s="40">
        <v>2.2000000000000002</v>
      </c>
      <c r="G195" s="40">
        <v>0</v>
      </c>
      <c r="H195" s="3">
        <f t="shared" si="22"/>
        <v>20</v>
      </c>
      <c r="I195" s="3">
        <f t="shared" si="23"/>
        <v>2.2000000000000002</v>
      </c>
      <c r="J195" s="3">
        <f t="shared" si="24"/>
        <v>0</v>
      </c>
      <c r="K195" s="3"/>
      <c r="L195" s="60">
        <f t="shared" si="20"/>
        <v>373.86666666666673</v>
      </c>
      <c r="M195" s="40">
        <v>0</v>
      </c>
      <c r="N195" s="40">
        <v>0</v>
      </c>
      <c r="O195" s="40">
        <v>0</v>
      </c>
      <c r="P195" s="40">
        <v>0</v>
      </c>
      <c r="Q195" s="40">
        <v>0</v>
      </c>
      <c r="R195" s="40">
        <v>0</v>
      </c>
      <c r="S195" s="61">
        <f t="shared" si="25"/>
        <v>97.10000000000008</v>
      </c>
      <c r="T195" s="40">
        <v>0</v>
      </c>
      <c r="U195" s="40">
        <v>0</v>
      </c>
      <c r="V195" s="40">
        <v>5</v>
      </c>
      <c r="W195" s="40">
        <v>5</v>
      </c>
      <c r="X195" s="67">
        <f t="shared" si="21"/>
        <v>203</v>
      </c>
      <c r="Z195" s="71">
        <v>150</v>
      </c>
      <c r="AA195" s="71">
        <v>53</v>
      </c>
      <c r="AB195" s="67">
        <f t="shared" si="19"/>
        <v>203</v>
      </c>
      <c r="AD195" s="121"/>
      <c r="AE195" s="121"/>
    </row>
    <row r="196" spans="1:31" x14ac:dyDescent="0.25">
      <c r="A196" s="2" t="s">
        <v>748</v>
      </c>
      <c r="B196" s="7">
        <v>0.6875</v>
      </c>
      <c r="C196" s="2">
        <v>8.5</v>
      </c>
      <c r="D196" s="10" t="s">
        <v>695</v>
      </c>
      <c r="E196" s="40">
        <v>20</v>
      </c>
      <c r="F196" s="40">
        <v>2.2000000000000002</v>
      </c>
      <c r="G196" s="40">
        <v>0</v>
      </c>
      <c r="H196" s="3">
        <f t="shared" si="22"/>
        <v>7.0833333333333339</v>
      </c>
      <c r="I196" s="3">
        <f t="shared" si="23"/>
        <v>0.77916666666666679</v>
      </c>
      <c r="J196" s="3">
        <f t="shared" si="24"/>
        <v>0</v>
      </c>
      <c r="K196" s="3"/>
      <c r="L196" s="60">
        <f t="shared" si="20"/>
        <v>366.00416666666672</v>
      </c>
      <c r="M196" s="40">
        <v>0</v>
      </c>
      <c r="N196" s="40">
        <v>0</v>
      </c>
      <c r="O196" s="40">
        <v>0</v>
      </c>
      <c r="P196" s="40">
        <v>0</v>
      </c>
      <c r="Q196" s="40">
        <v>0</v>
      </c>
      <c r="R196" s="40">
        <v>0</v>
      </c>
      <c r="S196" s="61">
        <f t="shared" si="25"/>
        <v>97.10000000000008</v>
      </c>
      <c r="T196" s="40">
        <v>0</v>
      </c>
      <c r="U196" s="40">
        <v>0</v>
      </c>
      <c r="V196" s="40">
        <v>1</v>
      </c>
      <c r="W196" s="40">
        <v>0</v>
      </c>
      <c r="X196" s="67">
        <f t="shared" si="21"/>
        <v>202</v>
      </c>
      <c r="Z196" s="71"/>
      <c r="AA196" s="71"/>
      <c r="AB196" s="67" t="str">
        <f t="shared" si="19"/>
        <v/>
      </c>
      <c r="AD196" s="121">
        <v>11.4</v>
      </c>
      <c r="AE196" s="121" t="s">
        <v>1309</v>
      </c>
    </row>
    <row r="197" spans="1:31" x14ac:dyDescent="0.25">
      <c r="A197" s="2" t="s">
        <v>748</v>
      </c>
      <c r="B197" s="7">
        <v>0.71666666666666667</v>
      </c>
      <c r="C197" s="2">
        <v>0.7</v>
      </c>
      <c r="D197" s="10" t="s">
        <v>706</v>
      </c>
      <c r="E197" s="40">
        <v>10</v>
      </c>
      <c r="F197" s="40">
        <v>2.2000000000000002</v>
      </c>
      <c r="G197" s="40">
        <v>0</v>
      </c>
      <c r="H197" s="3">
        <f t="shared" si="22"/>
        <v>0.29166666666666669</v>
      </c>
      <c r="I197" s="3">
        <f t="shared" si="23"/>
        <v>6.4166666666666664E-2</v>
      </c>
      <c r="J197" s="3">
        <f t="shared" si="24"/>
        <v>0</v>
      </c>
      <c r="K197" s="3"/>
      <c r="L197" s="60">
        <f t="shared" si="20"/>
        <v>365.64833333333337</v>
      </c>
      <c r="M197" s="40">
        <v>0</v>
      </c>
      <c r="N197" s="40">
        <v>0</v>
      </c>
      <c r="O197" s="40">
        <v>0</v>
      </c>
      <c r="P197" s="40">
        <v>0</v>
      </c>
      <c r="Q197" s="40">
        <v>0</v>
      </c>
      <c r="R197" s="40">
        <v>0</v>
      </c>
      <c r="S197" s="61">
        <f t="shared" si="25"/>
        <v>97.10000000000008</v>
      </c>
      <c r="T197" s="40">
        <v>0</v>
      </c>
      <c r="U197" s="40">
        <v>0</v>
      </c>
      <c r="V197" s="40">
        <v>0</v>
      </c>
      <c r="W197" s="40">
        <v>0</v>
      </c>
      <c r="X197" s="67">
        <f t="shared" si="21"/>
        <v>202</v>
      </c>
      <c r="Z197" s="71"/>
      <c r="AA197" s="71"/>
      <c r="AB197" s="67" t="str">
        <f t="shared" si="19"/>
        <v/>
      </c>
      <c r="AD197" s="121"/>
      <c r="AE197" s="121"/>
    </row>
    <row r="198" spans="1:31" x14ac:dyDescent="0.25">
      <c r="A198" s="58"/>
      <c r="B198" s="7"/>
      <c r="C198" s="58"/>
      <c r="D198" s="10"/>
      <c r="E198" s="40"/>
      <c r="F198" s="40"/>
      <c r="G198" s="40"/>
      <c r="H198" s="3"/>
      <c r="I198" s="3"/>
      <c r="J198" s="3"/>
      <c r="K198" s="3"/>
      <c r="L198" s="60"/>
      <c r="M198" s="40"/>
      <c r="N198" s="40"/>
      <c r="O198" s="40"/>
      <c r="P198" s="40"/>
      <c r="Q198" s="40"/>
      <c r="R198" s="40"/>
      <c r="S198" s="61"/>
      <c r="T198" s="40"/>
      <c r="U198" s="40"/>
      <c r="V198" s="40"/>
      <c r="W198" s="40"/>
      <c r="X198" s="67"/>
      <c r="Z198" s="71"/>
      <c r="AA198" s="71"/>
      <c r="AB198" s="67"/>
      <c r="AD198" s="121"/>
      <c r="AE198" s="121"/>
    </row>
    <row r="199" spans="1:31" x14ac:dyDescent="0.25">
      <c r="A199" s="9" t="s">
        <v>749</v>
      </c>
      <c r="B199" s="7">
        <v>0.14583333333333334</v>
      </c>
      <c r="C199" s="2">
        <v>10.3</v>
      </c>
      <c r="D199" s="10" t="s">
        <v>660</v>
      </c>
      <c r="E199" s="40">
        <v>0</v>
      </c>
      <c r="F199" s="40">
        <v>2.2000000000000002</v>
      </c>
      <c r="G199" s="40">
        <v>2</v>
      </c>
      <c r="H199" s="3">
        <f t="shared" si="22"/>
        <v>0</v>
      </c>
      <c r="I199" s="3">
        <f t="shared" si="23"/>
        <v>0.94416666666666682</v>
      </c>
      <c r="J199" s="3">
        <f t="shared" si="24"/>
        <v>0.85833333333333339</v>
      </c>
      <c r="K199" s="3"/>
      <c r="L199" s="60">
        <f>+IF(C199="","",(L197+K199)-(H199+I199+J199))</f>
        <v>363.84583333333336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61">
        <f>IF(C199="","",(S197+R199)-(M199+N199+O199+P199+Q199))</f>
        <v>97.10000000000008</v>
      </c>
      <c r="T199" s="40">
        <v>0</v>
      </c>
      <c r="U199" s="40">
        <v>0</v>
      </c>
      <c r="V199" s="40">
        <v>2</v>
      </c>
      <c r="W199" s="40">
        <v>0</v>
      </c>
      <c r="X199" s="67">
        <f>IF(V199="","",((X197+T199+U199)-(V199+W199)))</f>
        <v>200</v>
      </c>
      <c r="Z199" s="71">
        <v>150</v>
      </c>
      <c r="AA199" s="71">
        <v>50</v>
      </c>
      <c r="AB199" s="67">
        <f t="shared" ref="AB199:AB262" si="26">IF(Z199="","",Z199+AA199)</f>
        <v>200</v>
      </c>
      <c r="AD199" s="121"/>
      <c r="AE199" s="121"/>
    </row>
    <row r="200" spans="1:31" x14ac:dyDescent="0.25">
      <c r="A200" s="2" t="s">
        <v>749</v>
      </c>
      <c r="B200" s="7">
        <v>0.15833333333333333</v>
      </c>
      <c r="C200" s="2">
        <v>0.3</v>
      </c>
      <c r="D200" s="10" t="s">
        <v>665</v>
      </c>
      <c r="E200" s="40">
        <v>10</v>
      </c>
      <c r="F200" s="40">
        <v>2.2000000000000002</v>
      </c>
      <c r="G200" s="40">
        <v>2</v>
      </c>
      <c r="H200" s="3">
        <f t="shared" si="22"/>
        <v>0.125</v>
      </c>
      <c r="I200" s="3">
        <f t="shared" si="23"/>
        <v>2.75E-2</v>
      </c>
      <c r="J200" s="3">
        <f t="shared" si="24"/>
        <v>2.4999999999999998E-2</v>
      </c>
      <c r="K200" s="3"/>
      <c r="L200" s="60">
        <f t="shared" ref="L200:L263" si="27">+IF(C200="","",(L199+K200)-(H200+I200+J200))</f>
        <v>363.66833333333335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61">
        <f t="shared" si="25"/>
        <v>97.10000000000008</v>
      </c>
      <c r="T200" s="40">
        <v>0</v>
      </c>
      <c r="U200" s="40">
        <v>0</v>
      </c>
      <c r="V200" s="40">
        <v>0</v>
      </c>
      <c r="W200" s="40">
        <v>0</v>
      </c>
      <c r="X200" s="67">
        <f t="shared" si="21"/>
        <v>200</v>
      </c>
      <c r="Z200" s="71"/>
      <c r="AA200" s="71"/>
      <c r="AB200" s="67" t="str">
        <f t="shared" si="26"/>
        <v/>
      </c>
      <c r="AD200" s="121"/>
      <c r="AE200" s="121"/>
    </row>
    <row r="201" spans="1:31" x14ac:dyDescent="0.25">
      <c r="A201" s="2" t="s">
        <v>749</v>
      </c>
      <c r="B201" s="7">
        <v>0.19999999999999998</v>
      </c>
      <c r="C201" s="2">
        <v>1</v>
      </c>
      <c r="D201" s="10" t="s">
        <v>695</v>
      </c>
      <c r="E201" s="40">
        <v>15</v>
      </c>
      <c r="F201" s="40">
        <v>2.2000000000000002</v>
      </c>
      <c r="G201" s="40">
        <v>2</v>
      </c>
      <c r="H201" s="3">
        <f t="shared" si="22"/>
        <v>0.625</v>
      </c>
      <c r="I201" s="3">
        <f t="shared" si="23"/>
        <v>9.1666666666666674E-2</v>
      </c>
      <c r="J201" s="3">
        <f t="shared" si="24"/>
        <v>8.3333333333333329E-2</v>
      </c>
      <c r="K201" s="3"/>
      <c r="L201" s="60">
        <f t="shared" si="27"/>
        <v>362.86833333333334</v>
      </c>
      <c r="M201" s="40">
        <v>0</v>
      </c>
      <c r="N201" s="40">
        <v>0</v>
      </c>
      <c r="O201" s="40">
        <v>0</v>
      </c>
      <c r="P201" s="40">
        <v>0</v>
      </c>
      <c r="Q201" s="40">
        <v>0</v>
      </c>
      <c r="R201" s="40">
        <v>0</v>
      </c>
      <c r="S201" s="61">
        <f t="shared" si="25"/>
        <v>97.10000000000008</v>
      </c>
      <c r="T201" s="40">
        <v>0</v>
      </c>
      <c r="U201" s="40">
        <v>0</v>
      </c>
      <c r="V201" s="40">
        <v>0</v>
      </c>
      <c r="W201" s="40">
        <v>0</v>
      </c>
      <c r="X201" s="67">
        <f t="shared" si="21"/>
        <v>200</v>
      </c>
      <c r="Z201" s="71"/>
      <c r="AA201" s="71"/>
      <c r="AB201" s="67" t="str">
        <f t="shared" si="26"/>
        <v/>
      </c>
      <c r="AD201" s="121">
        <v>12</v>
      </c>
      <c r="AE201" s="121" t="s">
        <v>1295</v>
      </c>
    </row>
    <row r="202" spans="1:31" x14ac:dyDescent="0.25">
      <c r="A202" s="2" t="s">
        <v>749</v>
      </c>
      <c r="B202" s="7">
        <v>0.28333333333333333</v>
      </c>
      <c r="C202" s="2">
        <v>2</v>
      </c>
      <c r="D202" s="10" t="s">
        <v>706</v>
      </c>
      <c r="E202" s="40">
        <v>10</v>
      </c>
      <c r="F202" s="40">
        <v>2.2000000000000002</v>
      </c>
      <c r="G202" s="40">
        <v>2</v>
      </c>
      <c r="H202" s="3">
        <f t="shared" si="22"/>
        <v>0.83333333333333337</v>
      </c>
      <c r="I202" s="3">
        <f t="shared" si="23"/>
        <v>0.18333333333333335</v>
      </c>
      <c r="J202" s="3">
        <f t="shared" si="24"/>
        <v>0.16666666666666666</v>
      </c>
      <c r="K202" s="3"/>
      <c r="L202" s="60">
        <f t="shared" si="27"/>
        <v>361.685</v>
      </c>
      <c r="M202" s="40">
        <v>0</v>
      </c>
      <c r="N202" s="40">
        <v>0</v>
      </c>
      <c r="O202" s="40">
        <v>0</v>
      </c>
      <c r="P202" s="40">
        <v>0</v>
      </c>
      <c r="Q202" s="40">
        <v>0</v>
      </c>
      <c r="R202" s="40">
        <v>0</v>
      </c>
      <c r="S202" s="61">
        <f t="shared" si="25"/>
        <v>97.10000000000008</v>
      </c>
      <c r="T202" s="40">
        <v>0</v>
      </c>
      <c r="U202" s="40">
        <v>0</v>
      </c>
      <c r="V202" s="40">
        <v>1</v>
      </c>
      <c r="W202" s="40">
        <v>0</v>
      </c>
      <c r="X202" s="67">
        <f t="shared" ref="X202:X265" si="28">IF(V202="","",((X201+T202+U202)-(V202+W202)))</f>
        <v>199</v>
      </c>
      <c r="Z202" s="71"/>
      <c r="AA202" s="71"/>
      <c r="AB202" s="67" t="str">
        <f t="shared" si="26"/>
        <v/>
      </c>
      <c r="AD202" s="121"/>
      <c r="AE202" s="121"/>
    </row>
    <row r="203" spans="1:31" x14ac:dyDescent="0.25">
      <c r="A203" s="2" t="s">
        <v>749</v>
      </c>
      <c r="B203" s="65">
        <v>0.33333333333333331</v>
      </c>
      <c r="C203" s="2">
        <v>1.2</v>
      </c>
      <c r="D203" s="10" t="s">
        <v>706</v>
      </c>
      <c r="E203" s="40">
        <v>0</v>
      </c>
      <c r="F203" s="40">
        <v>2.2000000000000002</v>
      </c>
      <c r="G203" s="40">
        <v>2</v>
      </c>
      <c r="H203" s="3">
        <f t="shared" si="22"/>
        <v>0</v>
      </c>
      <c r="I203" s="3">
        <f t="shared" si="23"/>
        <v>0.11</v>
      </c>
      <c r="J203" s="3">
        <f t="shared" si="24"/>
        <v>9.9999999999999992E-2</v>
      </c>
      <c r="K203" s="3"/>
      <c r="L203" s="60">
        <f t="shared" si="27"/>
        <v>361.47500000000002</v>
      </c>
      <c r="M203" s="40">
        <v>0</v>
      </c>
      <c r="N203" s="40">
        <v>0</v>
      </c>
      <c r="O203" s="40">
        <v>0</v>
      </c>
      <c r="P203" s="40">
        <v>0</v>
      </c>
      <c r="Q203" s="40">
        <v>0.3</v>
      </c>
      <c r="R203" s="40">
        <v>0</v>
      </c>
      <c r="S203" s="61">
        <f t="shared" si="25"/>
        <v>96.800000000000082</v>
      </c>
      <c r="T203" s="40">
        <v>0</v>
      </c>
      <c r="U203" s="40">
        <v>0</v>
      </c>
      <c r="V203" s="40">
        <v>1</v>
      </c>
      <c r="W203" s="40">
        <v>0</v>
      </c>
      <c r="X203" s="67">
        <f t="shared" si="28"/>
        <v>198</v>
      </c>
      <c r="Z203" s="71">
        <v>150</v>
      </c>
      <c r="AA203" s="71">
        <v>47</v>
      </c>
      <c r="AB203" s="67">
        <f t="shared" si="26"/>
        <v>197</v>
      </c>
      <c r="AD203" s="121"/>
      <c r="AE203" s="121"/>
    </row>
    <row r="204" spans="1:31" x14ac:dyDescent="0.25">
      <c r="A204" s="2" t="s">
        <v>750</v>
      </c>
      <c r="B204" s="65">
        <v>0.33333333333333331</v>
      </c>
      <c r="C204" s="2">
        <v>24</v>
      </c>
      <c r="D204" s="10" t="s">
        <v>706</v>
      </c>
      <c r="E204" s="40">
        <v>0</v>
      </c>
      <c r="F204" s="40">
        <v>3</v>
      </c>
      <c r="G204" s="40">
        <v>2.5</v>
      </c>
      <c r="H204" s="3">
        <f t="shared" si="22"/>
        <v>0</v>
      </c>
      <c r="I204" s="3">
        <f t="shared" si="23"/>
        <v>3</v>
      </c>
      <c r="J204" s="3">
        <f t="shared" si="24"/>
        <v>2.5</v>
      </c>
      <c r="K204" s="3"/>
      <c r="L204" s="60">
        <f t="shared" si="27"/>
        <v>355.97500000000002</v>
      </c>
      <c r="M204" s="40">
        <v>0</v>
      </c>
      <c r="N204" s="40">
        <v>0</v>
      </c>
      <c r="O204" s="40">
        <v>0</v>
      </c>
      <c r="P204" s="40">
        <v>0.1</v>
      </c>
      <c r="Q204" s="40">
        <v>5.9</v>
      </c>
      <c r="R204" s="40">
        <v>0</v>
      </c>
      <c r="S204" s="61">
        <f t="shared" si="25"/>
        <v>90.800000000000082</v>
      </c>
      <c r="T204" s="40">
        <v>0</v>
      </c>
      <c r="U204" s="40">
        <v>0</v>
      </c>
      <c r="V204" s="40">
        <v>5</v>
      </c>
      <c r="W204" s="40">
        <v>0</v>
      </c>
      <c r="X204" s="67">
        <f t="shared" si="28"/>
        <v>193</v>
      </c>
      <c r="Z204" s="71">
        <v>150</v>
      </c>
      <c r="AA204" s="71">
        <v>43</v>
      </c>
      <c r="AB204" s="67">
        <f t="shared" si="26"/>
        <v>193</v>
      </c>
      <c r="AD204" s="121"/>
      <c r="AE204" s="121"/>
    </row>
    <row r="205" spans="1:31" x14ac:dyDescent="0.25">
      <c r="A205" s="2" t="s">
        <v>750</v>
      </c>
      <c r="B205" s="7">
        <v>0.80833333333333324</v>
      </c>
      <c r="C205" s="2">
        <v>11.4</v>
      </c>
      <c r="D205" s="10" t="s">
        <v>660</v>
      </c>
      <c r="E205" s="40">
        <v>0</v>
      </c>
      <c r="F205" s="40">
        <v>3</v>
      </c>
      <c r="G205" s="40">
        <v>2.5</v>
      </c>
      <c r="H205" s="3">
        <f t="shared" ref="H205:H268" si="29">+IF(E205="","",(E205/24)*C205)</f>
        <v>0</v>
      </c>
      <c r="I205" s="3">
        <f t="shared" ref="I205:I268" si="30">+IF(F205="","",(F205/24)*C205)</f>
        <v>1.425</v>
      </c>
      <c r="J205" s="3">
        <f t="shared" ref="J205:J268" si="31">+IF(G205="","",(G205/24)*C205)</f>
        <v>1.1875</v>
      </c>
      <c r="K205" s="3"/>
      <c r="L205" s="60">
        <f t="shared" si="27"/>
        <v>353.36250000000001</v>
      </c>
      <c r="M205" s="40">
        <v>0</v>
      </c>
      <c r="N205" s="40">
        <v>0</v>
      </c>
      <c r="O205" s="40">
        <v>0</v>
      </c>
      <c r="P205" s="40">
        <v>0</v>
      </c>
      <c r="Q205" s="40">
        <v>2</v>
      </c>
      <c r="R205" s="40">
        <v>0</v>
      </c>
      <c r="S205" s="61">
        <f t="shared" si="25"/>
        <v>88.800000000000082</v>
      </c>
      <c r="T205" s="40">
        <v>0</v>
      </c>
      <c r="U205" s="40">
        <v>0</v>
      </c>
      <c r="V205" s="40">
        <v>2</v>
      </c>
      <c r="W205" s="40">
        <v>0</v>
      </c>
      <c r="X205" s="67">
        <f t="shared" si="28"/>
        <v>191</v>
      </c>
      <c r="Z205" s="71"/>
      <c r="AA205" s="71"/>
      <c r="AB205" s="67" t="str">
        <f t="shared" si="26"/>
        <v/>
      </c>
      <c r="AD205" s="121"/>
      <c r="AE205" s="121"/>
    </row>
    <row r="206" spans="1:31" x14ac:dyDescent="0.25">
      <c r="A206" s="2" t="s">
        <v>750</v>
      </c>
      <c r="B206" s="7">
        <v>0.83333333333333337</v>
      </c>
      <c r="C206" s="2">
        <v>0.6</v>
      </c>
      <c r="D206" s="10" t="s">
        <v>105</v>
      </c>
      <c r="E206" s="40">
        <v>0</v>
      </c>
      <c r="F206" s="40">
        <v>2.2000000000000002</v>
      </c>
      <c r="G206" s="40">
        <v>2.5</v>
      </c>
      <c r="H206" s="3">
        <f t="shared" si="29"/>
        <v>0</v>
      </c>
      <c r="I206" s="3">
        <f t="shared" si="30"/>
        <v>5.5E-2</v>
      </c>
      <c r="J206" s="3">
        <f t="shared" si="31"/>
        <v>6.25E-2</v>
      </c>
      <c r="K206" s="3"/>
      <c r="L206" s="60">
        <f t="shared" si="27"/>
        <v>353.245</v>
      </c>
      <c r="M206" s="40">
        <v>0</v>
      </c>
      <c r="N206" s="40">
        <v>0</v>
      </c>
      <c r="O206" s="40">
        <v>0</v>
      </c>
      <c r="P206" s="40">
        <v>0</v>
      </c>
      <c r="Q206" s="40">
        <v>0</v>
      </c>
      <c r="R206" s="40">
        <v>0</v>
      </c>
      <c r="S206" s="61">
        <f t="shared" si="25"/>
        <v>88.800000000000082</v>
      </c>
      <c r="T206" s="40">
        <v>0</v>
      </c>
      <c r="U206" s="40">
        <v>0</v>
      </c>
      <c r="V206" s="40">
        <v>0</v>
      </c>
      <c r="W206" s="40">
        <v>0</v>
      </c>
      <c r="X206" s="67">
        <f t="shared" si="28"/>
        <v>191</v>
      </c>
      <c r="Z206" s="71"/>
      <c r="AA206" s="71"/>
      <c r="AB206" s="67" t="str">
        <f t="shared" si="26"/>
        <v/>
      </c>
      <c r="AD206" s="121"/>
      <c r="AE206" s="121"/>
    </row>
    <row r="207" spans="1:31" x14ac:dyDescent="0.25">
      <c r="A207" s="2" t="s">
        <v>750</v>
      </c>
      <c r="B207" s="7">
        <v>0.98749999999999993</v>
      </c>
      <c r="C207" s="2">
        <v>3.7</v>
      </c>
      <c r="D207" s="10" t="s">
        <v>695</v>
      </c>
      <c r="E207" s="40">
        <v>25</v>
      </c>
      <c r="F207" s="40">
        <v>2.2000000000000002</v>
      </c>
      <c r="G207" s="40">
        <v>2</v>
      </c>
      <c r="H207" s="3">
        <f t="shared" si="29"/>
        <v>3.854166666666667</v>
      </c>
      <c r="I207" s="3">
        <f t="shared" si="30"/>
        <v>0.33916666666666673</v>
      </c>
      <c r="J207" s="3">
        <f t="shared" si="31"/>
        <v>0.30833333333333335</v>
      </c>
      <c r="K207" s="3"/>
      <c r="L207" s="60">
        <f t="shared" si="27"/>
        <v>348.74333333333334</v>
      </c>
      <c r="M207" s="40">
        <v>0</v>
      </c>
      <c r="N207" s="40">
        <v>0</v>
      </c>
      <c r="O207" s="40">
        <v>0</v>
      </c>
      <c r="P207" s="40">
        <v>0</v>
      </c>
      <c r="Q207" s="40">
        <v>0</v>
      </c>
      <c r="R207" s="40">
        <v>0</v>
      </c>
      <c r="S207" s="61">
        <f t="shared" si="25"/>
        <v>88.800000000000082</v>
      </c>
      <c r="T207" s="40">
        <v>0</v>
      </c>
      <c r="U207" s="40">
        <v>0</v>
      </c>
      <c r="V207" s="40">
        <v>1</v>
      </c>
      <c r="W207" s="40">
        <v>0</v>
      </c>
      <c r="X207" s="67">
        <f t="shared" si="28"/>
        <v>190</v>
      </c>
      <c r="Z207" s="71"/>
      <c r="AA207" s="71"/>
      <c r="AB207" s="67" t="str">
        <f t="shared" si="26"/>
        <v/>
      </c>
      <c r="AD207" s="121">
        <v>12.2</v>
      </c>
      <c r="AE207" s="121" t="s">
        <v>1302</v>
      </c>
    </row>
    <row r="208" spans="1:31" x14ac:dyDescent="0.25">
      <c r="A208" s="2" t="s">
        <v>751</v>
      </c>
      <c r="B208" s="7">
        <v>2.9166666666666664E-2</v>
      </c>
      <c r="C208" s="2">
        <v>1</v>
      </c>
      <c r="D208" s="10" t="s">
        <v>703</v>
      </c>
      <c r="E208" s="40">
        <v>15</v>
      </c>
      <c r="F208" s="40">
        <v>2.2000000000000002</v>
      </c>
      <c r="G208" s="40">
        <v>2</v>
      </c>
      <c r="H208" s="3">
        <f t="shared" si="29"/>
        <v>0.625</v>
      </c>
      <c r="I208" s="3">
        <f t="shared" si="30"/>
        <v>9.1666666666666674E-2</v>
      </c>
      <c r="J208" s="3">
        <f t="shared" si="31"/>
        <v>8.3333333333333329E-2</v>
      </c>
      <c r="K208" s="3"/>
      <c r="L208" s="60">
        <f t="shared" si="27"/>
        <v>347.94333333333333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  <c r="R208" s="40">
        <v>0</v>
      </c>
      <c r="S208" s="61">
        <f t="shared" si="25"/>
        <v>88.800000000000082</v>
      </c>
      <c r="T208" s="40">
        <v>0</v>
      </c>
      <c r="U208" s="40">
        <v>0</v>
      </c>
      <c r="V208" s="40">
        <v>0</v>
      </c>
      <c r="W208" s="40">
        <v>0</v>
      </c>
      <c r="X208" s="67">
        <f t="shared" si="28"/>
        <v>190</v>
      </c>
      <c r="Z208" s="71"/>
      <c r="AA208" s="71"/>
      <c r="AB208" s="67" t="str">
        <f t="shared" si="26"/>
        <v/>
      </c>
      <c r="AD208" s="121"/>
      <c r="AE208" s="121"/>
    </row>
    <row r="209" spans="1:31" x14ac:dyDescent="0.25">
      <c r="A209" s="2" t="s">
        <v>751</v>
      </c>
      <c r="B209" s="65">
        <v>0.33333333333333331</v>
      </c>
      <c r="C209" s="2">
        <v>7.3</v>
      </c>
      <c r="D209" s="10" t="s">
        <v>703</v>
      </c>
      <c r="E209" s="40">
        <v>0</v>
      </c>
      <c r="F209" s="40">
        <v>2.2000000000000002</v>
      </c>
      <c r="G209" s="40">
        <v>2.5</v>
      </c>
      <c r="H209" s="3">
        <f t="shared" si="29"/>
        <v>0</v>
      </c>
      <c r="I209" s="3">
        <f t="shared" si="30"/>
        <v>0.66916666666666669</v>
      </c>
      <c r="J209" s="3">
        <f t="shared" si="31"/>
        <v>0.76041666666666663</v>
      </c>
      <c r="K209" s="3"/>
      <c r="L209" s="60">
        <f t="shared" si="27"/>
        <v>346.51375000000002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61">
        <f t="shared" si="25"/>
        <v>88.800000000000082</v>
      </c>
      <c r="T209" s="40">
        <v>0</v>
      </c>
      <c r="U209" s="40">
        <v>0</v>
      </c>
      <c r="V209" s="40">
        <v>1</v>
      </c>
      <c r="W209" s="40">
        <v>1</v>
      </c>
      <c r="X209" s="67">
        <f t="shared" si="28"/>
        <v>188</v>
      </c>
      <c r="Z209" s="71">
        <v>150</v>
      </c>
      <c r="AA209" s="71">
        <v>38</v>
      </c>
      <c r="AB209" s="67">
        <f t="shared" si="26"/>
        <v>188</v>
      </c>
      <c r="AD209" s="121"/>
      <c r="AE209" s="121"/>
    </row>
    <row r="210" spans="1:31" x14ac:dyDescent="0.25">
      <c r="A210" s="2" t="s">
        <v>751</v>
      </c>
      <c r="B210" s="7">
        <v>0.37916666666666665</v>
      </c>
      <c r="C210" s="2">
        <v>1.1000000000000001</v>
      </c>
      <c r="D210" s="10" t="s">
        <v>660</v>
      </c>
      <c r="E210" s="40">
        <v>0</v>
      </c>
      <c r="F210" s="40">
        <v>2.2000000000000002</v>
      </c>
      <c r="G210" s="40">
        <v>2.2000000000000002</v>
      </c>
      <c r="H210" s="3">
        <f t="shared" si="29"/>
        <v>0</v>
      </c>
      <c r="I210" s="3">
        <f t="shared" si="30"/>
        <v>0.10083333333333334</v>
      </c>
      <c r="J210" s="3">
        <f t="shared" si="31"/>
        <v>0.10083333333333334</v>
      </c>
      <c r="K210" s="3"/>
      <c r="L210" s="60">
        <f t="shared" si="27"/>
        <v>346.31208333333336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61">
        <f t="shared" si="25"/>
        <v>88.800000000000082</v>
      </c>
      <c r="T210" s="40">
        <v>0</v>
      </c>
      <c r="U210" s="40">
        <v>0</v>
      </c>
      <c r="V210" s="40">
        <v>0</v>
      </c>
      <c r="W210" s="40">
        <v>0</v>
      </c>
      <c r="X210" s="67">
        <f t="shared" si="28"/>
        <v>188</v>
      </c>
      <c r="Z210" s="71"/>
      <c r="AA210" s="71"/>
      <c r="AB210" s="67" t="str">
        <f t="shared" si="26"/>
        <v/>
      </c>
      <c r="AD210" s="121"/>
      <c r="AE210" s="121"/>
    </row>
    <row r="211" spans="1:31" x14ac:dyDescent="0.25">
      <c r="A211" s="2" t="s">
        <v>751</v>
      </c>
      <c r="B211" s="7">
        <v>0.45833333333333331</v>
      </c>
      <c r="C211" s="2">
        <v>1.9</v>
      </c>
      <c r="D211" s="10" t="s">
        <v>732</v>
      </c>
      <c r="E211" s="40">
        <v>12</v>
      </c>
      <c r="F211" s="40">
        <v>2.2000000000000002</v>
      </c>
      <c r="G211" s="40">
        <v>2.5</v>
      </c>
      <c r="H211" s="3">
        <f t="shared" si="29"/>
        <v>0.95</v>
      </c>
      <c r="I211" s="3">
        <f t="shared" si="30"/>
        <v>0.17416666666666666</v>
      </c>
      <c r="J211" s="3">
        <f t="shared" si="31"/>
        <v>0.19791666666666666</v>
      </c>
      <c r="K211" s="3"/>
      <c r="L211" s="60">
        <f t="shared" si="27"/>
        <v>344.99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61">
        <f t="shared" si="25"/>
        <v>88.800000000000082</v>
      </c>
      <c r="T211" s="40">
        <v>0</v>
      </c>
      <c r="U211" s="40">
        <v>0</v>
      </c>
      <c r="V211" s="40">
        <v>0</v>
      </c>
      <c r="W211" s="40">
        <v>0</v>
      </c>
      <c r="X211" s="67">
        <f t="shared" si="28"/>
        <v>188</v>
      </c>
      <c r="Z211" s="71"/>
      <c r="AA211" s="71"/>
      <c r="AB211" s="67" t="str">
        <f t="shared" si="26"/>
        <v/>
      </c>
      <c r="AD211" s="121"/>
      <c r="AE211" s="121"/>
    </row>
    <row r="212" spans="1:31" x14ac:dyDescent="0.25">
      <c r="A212" s="2" t="s">
        <v>751</v>
      </c>
      <c r="B212" s="7">
        <v>0.87916666666666676</v>
      </c>
      <c r="C212" s="2">
        <v>10.1</v>
      </c>
      <c r="D212" s="10" t="s">
        <v>660</v>
      </c>
      <c r="E212" s="40">
        <v>0</v>
      </c>
      <c r="F212" s="40">
        <v>3</v>
      </c>
      <c r="G212" s="40">
        <v>2.5</v>
      </c>
      <c r="H212" s="3">
        <f t="shared" si="29"/>
        <v>0</v>
      </c>
      <c r="I212" s="3">
        <f t="shared" si="30"/>
        <v>1.2625</v>
      </c>
      <c r="J212" s="3">
        <f t="shared" si="31"/>
        <v>1.0520833333333333</v>
      </c>
      <c r="K212" s="3"/>
      <c r="L212" s="60">
        <f t="shared" si="27"/>
        <v>342.67541666666665</v>
      </c>
      <c r="M212" s="40">
        <v>0</v>
      </c>
      <c r="N212" s="40">
        <v>0</v>
      </c>
      <c r="O212" s="40">
        <v>0</v>
      </c>
      <c r="P212" s="40">
        <v>0</v>
      </c>
      <c r="Q212" s="40">
        <v>2</v>
      </c>
      <c r="R212" s="40">
        <v>0</v>
      </c>
      <c r="S212" s="61">
        <f t="shared" si="25"/>
        <v>86.800000000000082</v>
      </c>
      <c r="T212" s="40">
        <v>0</v>
      </c>
      <c r="U212" s="40">
        <v>0</v>
      </c>
      <c r="V212" s="40">
        <v>2</v>
      </c>
      <c r="W212" s="40">
        <v>0</v>
      </c>
      <c r="X212" s="67">
        <f t="shared" si="28"/>
        <v>186</v>
      </c>
      <c r="Z212" s="71"/>
      <c r="AA212" s="71"/>
      <c r="AB212" s="67" t="str">
        <f t="shared" si="26"/>
        <v/>
      </c>
      <c r="AD212" s="121"/>
      <c r="AE212" s="121"/>
    </row>
    <row r="213" spans="1:31" x14ac:dyDescent="0.25">
      <c r="A213" s="2" t="s">
        <v>751</v>
      </c>
      <c r="B213" s="7">
        <v>0.95833333333333337</v>
      </c>
      <c r="C213" s="2">
        <v>1.9</v>
      </c>
      <c r="D213" s="10" t="s">
        <v>665</v>
      </c>
      <c r="E213" s="40">
        <v>15</v>
      </c>
      <c r="F213" s="40">
        <v>3</v>
      </c>
      <c r="G213" s="40">
        <v>2.5</v>
      </c>
      <c r="H213" s="3">
        <f t="shared" si="29"/>
        <v>1.1875</v>
      </c>
      <c r="I213" s="3">
        <f t="shared" si="30"/>
        <v>0.23749999999999999</v>
      </c>
      <c r="J213" s="3">
        <f t="shared" si="31"/>
        <v>0.19791666666666666</v>
      </c>
      <c r="K213" s="3"/>
      <c r="L213" s="60">
        <f t="shared" si="27"/>
        <v>341.05250000000001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61">
        <f t="shared" si="25"/>
        <v>86.800000000000082</v>
      </c>
      <c r="T213" s="40">
        <v>0</v>
      </c>
      <c r="U213" s="40">
        <v>0</v>
      </c>
      <c r="V213" s="40">
        <v>0</v>
      </c>
      <c r="W213" s="40">
        <v>0</v>
      </c>
      <c r="X213" s="67">
        <f t="shared" si="28"/>
        <v>186</v>
      </c>
      <c r="Z213" s="71"/>
      <c r="AA213" s="71"/>
      <c r="AB213" s="67" t="str">
        <f t="shared" si="26"/>
        <v/>
      </c>
      <c r="AD213" s="121"/>
      <c r="AE213" s="121"/>
    </row>
    <row r="214" spans="1:31" x14ac:dyDescent="0.25">
      <c r="A214" s="2" t="s">
        <v>752</v>
      </c>
      <c r="B214" s="65">
        <v>0.33333333333333331</v>
      </c>
      <c r="C214" s="2">
        <v>9</v>
      </c>
      <c r="D214" s="10" t="s">
        <v>665</v>
      </c>
      <c r="E214" s="40">
        <v>24</v>
      </c>
      <c r="F214" s="40">
        <v>2.5</v>
      </c>
      <c r="G214" s="40">
        <v>2.5</v>
      </c>
      <c r="H214" s="3">
        <f t="shared" si="29"/>
        <v>9</v>
      </c>
      <c r="I214" s="3">
        <f t="shared" si="30"/>
        <v>0.9375</v>
      </c>
      <c r="J214" s="3">
        <f t="shared" si="31"/>
        <v>0.9375</v>
      </c>
      <c r="K214" s="3"/>
      <c r="L214" s="60">
        <f t="shared" si="27"/>
        <v>330.17750000000001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61">
        <f t="shared" si="25"/>
        <v>86.800000000000082</v>
      </c>
      <c r="T214" s="40">
        <v>0</v>
      </c>
      <c r="U214" s="40">
        <v>0</v>
      </c>
      <c r="V214" s="40">
        <v>2</v>
      </c>
      <c r="W214" s="40">
        <v>3</v>
      </c>
      <c r="X214" s="67">
        <f t="shared" si="28"/>
        <v>181</v>
      </c>
      <c r="Z214" s="71">
        <v>143</v>
      </c>
      <c r="AA214" s="71">
        <v>38</v>
      </c>
      <c r="AB214" s="67">
        <f t="shared" si="26"/>
        <v>181</v>
      </c>
      <c r="AD214" s="121"/>
      <c r="AE214" s="121"/>
    </row>
    <row r="215" spans="1:31" x14ac:dyDescent="0.25">
      <c r="A215" s="2" t="s">
        <v>752</v>
      </c>
      <c r="B215" s="7">
        <v>0.8041666666666667</v>
      </c>
      <c r="C215" s="2">
        <v>11.3</v>
      </c>
      <c r="D215" s="10" t="s">
        <v>695</v>
      </c>
      <c r="E215" s="40">
        <v>24</v>
      </c>
      <c r="F215" s="40">
        <v>2.5</v>
      </c>
      <c r="G215" s="40">
        <v>2.5</v>
      </c>
      <c r="H215" s="3">
        <f t="shared" si="29"/>
        <v>11.3</v>
      </c>
      <c r="I215" s="3">
        <f t="shared" si="30"/>
        <v>1.1770833333333335</v>
      </c>
      <c r="J215" s="3">
        <f t="shared" si="31"/>
        <v>1.1770833333333335</v>
      </c>
      <c r="K215" s="3"/>
      <c r="L215" s="60">
        <f t="shared" si="27"/>
        <v>316.52333333333331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61">
        <f t="shared" si="25"/>
        <v>86.800000000000082</v>
      </c>
      <c r="T215" s="40">
        <v>0</v>
      </c>
      <c r="U215" s="40">
        <v>0</v>
      </c>
      <c r="V215" s="40">
        <v>2</v>
      </c>
      <c r="W215" s="40">
        <v>0</v>
      </c>
      <c r="X215" s="67">
        <f t="shared" si="28"/>
        <v>179</v>
      </c>
      <c r="Z215" s="71"/>
      <c r="AA215" s="71"/>
      <c r="AB215" s="67" t="str">
        <f t="shared" si="26"/>
        <v/>
      </c>
      <c r="AD215" s="121">
        <v>13.7</v>
      </c>
      <c r="AE215" s="121" t="s">
        <v>1296</v>
      </c>
    </row>
    <row r="216" spans="1:31" x14ac:dyDescent="0.25">
      <c r="A216" s="2" t="s">
        <v>752</v>
      </c>
      <c r="B216" s="7">
        <v>0.85416666666666663</v>
      </c>
      <c r="C216" s="2">
        <v>1.2</v>
      </c>
      <c r="D216" s="10" t="s">
        <v>753</v>
      </c>
      <c r="E216" s="40">
        <v>15</v>
      </c>
      <c r="F216" s="40">
        <v>2.5</v>
      </c>
      <c r="G216" s="40">
        <v>2.5</v>
      </c>
      <c r="H216" s="3">
        <f t="shared" si="29"/>
        <v>0.75</v>
      </c>
      <c r="I216" s="3">
        <f t="shared" si="30"/>
        <v>0.125</v>
      </c>
      <c r="J216" s="3">
        <f t="shared" si="31"/>
        <v>0.125</v>
      </c>
      <c r="K216" s="3"/>
      <c r="L216" s="60">
        <f t="shared" si="27"/>
        <v>315.52333333333331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61">
        <f t="shared" si="25"/>
        <v>86.800000000000082</v>
      </c>
      <c r="T216" s="40">
        <v>0</v>
      </c>
      <c r="U216" s="40">
        <v>0</v>
      </c>
      <c r="V216" s="40">
        <v>0</v>
      </c>
      <c r="W216" s="40">
        <v>0</v>
      </c>
      <c r="X216" s="67">
        <f t="shared" si="28"/>
        <v>179</v>
      </c>
      <c r="Z216" s="71"/>
      <c r="AA216" s="71"/>
      <c r="AB216" s="67" t="str">
        <f t="shared" si="26"/>
        <v/>
      </c>
      <c r="AD216" s="121"/>
      <c r="AE216" s="121"/>
    </row>
    <row r="217" spans="1:31" x14ac:dyDescent="0.25">
      <c r="A217" s="2" t="s">
        <v>754</v>
      </c>
      <c r="B217" s="7">
        <v>0.13749999999999998</v>
      </c>
      <c r="C217" s="2">
        <v>6.8</v>
      </c>
      <c r="D217" s="10" t="s">
        <v>660</v>
      </c>
      <c r="E217" s="40">
        <v>0</v>
      </c>
      <c r="F217" s="40">
        <v>2.5</v>
      </c>
      <c r="G217" s="40">
        <v>2.5</v>
      </c>
      <c r="H217" s="3">
        <f t="shared" si="29"/>
        <v>0</v>
      </c>
      <c r="I217" s="3">
        <f t="shared" si="30"/>
        <v>0.70833333333333337</v>
      </c>
      <c r="J217" s="3">
        <f t="shared" si="31"/>
        <v>0.70833333333333337</v>
      </c>
      <c r="K217" s="3"/>
      <c r="L217" s="60">
        <f t="shared" si="27"/>
        <v>314.10666666666663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61">
        <f t="shared" si="25"/>
        <v>86.800000000000082</v>
      </c>
      <c r="T217" s="40">
        <v>0</v>
      </c>
      <c r="U217" s="40">
        <v>0</v>
      </c>
      <c r="V217" s="40">
        <v>2</v>
      </c>
      <c r="W217" s="40">
        <v>0</v>
      </c>
      <c r="X217" s="67">
        <f t="shared" si="28"/>
        <v>177</v>
      </c>
      <c r="Z217" s="71"/>
      <c r="AA217" s="71"/>
      <c r="AB217" s="67" t="str">
        <f t="shared" si="26"/>
        <v/>
      </c>
      <c r="AD217" s="121"/>
      <c r="AE217" s="121"/>
    </row>
    <row r="218" spans="1:31" x14ac:dyDescent="0.25">
      <c r="A218" s="2" t="s">
        <v>754</v>
      </c>
      <c r="B218" s="7">
        <v>0.21249999999999999</v>
      </c>
      <c r="C218" s="2">
        <v>1.8</v>
      </c>
      <c r="D218" s="10" t="s">
        <v>755</v>
      </c>
      <c r="E218" s="40">
        <v>15</v>
      </c>
      <c r="F218" s="40">
        <v>2.5</v>
      </c>
      <c r="G218" s="40">
        <v>2.5</v>
      </c>
      <c r="H218" s="3">
        <f t="shared" si="29"/>
        <v>1.125</v>
      </c>
      <c r="I218" s="3">
        <f t="shared" si="30"/>
        <v>0.1875</v>
      </c>
      <c r="J218" s="3">
        <f t="shared" si="31"/>
        <v>0.1875</v>
      </c>
      <c r="K218" s="3"/>
      <c r="L218" s="60">
        <f t="shared" si="27"/>
        <v>312.60666666666663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61">
        <f t="shared" si="25"/>
        <v>86.800000000000082</v>
      </c>
      <c r="T218" s="40">
        <v>0</v>
      </c>
      <c r="U218" s="40">
        <v>0</v>
      </c>
      <c r="V218" s="40">
        <v>0</v>
      </c>
      <c r="W218" s="40">
        <v>0</v>
      </c>
      <c r="X218" s="67">
        <f t="shared" si="28"/>
        <v>177</v>
      </c>
      <c r="Z218" s="71"/>
      <c r="AA218" s="71"/>
      <c r="AB218" s="67" t="str">
        <f t="shared" si="26"/>
        <v/>
      </c>
      <c r="AD218" s="121"/>
      <c r="AE218" s="121"/>
    </row>
    <row r="219" spans="1:31" x14ac:dyDescent="0.25">
      <c r="A219" s="2" t="s">
        <v>754</v>
      </c>
      <c r="B219" s="65">
        <v>0.33333333333333331</v>
      </c>
      <c r="C219" s="2">
        <v>2.9</v>
      </c>
      <c r="D219" s="10" t="s">
        <v>755</v>
      </c>
      <c r="E219" s="40">
        <v>0</v>
      </c>
      <c r="F219" s="40">
        <v>2.5</v>
      </c>
      <c r="G219" s="40">
        <v>2.5</v>
      </c>
      <c r="H219" s="3">
        <f t="shared" si="29"/>
        <v>0</v>
      </c>
      <c r="I219" s="3">
        <f t="shared" si="30"/>
        <v>0.30208333333333331</v>
      </c>
      <c r="J219" s="3">
        <f t="shared" si="31"/>
        <v>0.30208333333333331</v>
      </c>
      <c r="K219" s="3"/>
      <c r="L219" s="60">
        <f t="shared" si="27"/>
        <v>312.00249999999994</v>
      </c>
      <c r="M219" s="40">
        <v>0</v>
      </c>
      <c r="N219" s="40">
        <v>0</v>
      </c>
      <c r="O219" s="40">
        <v>0</v>
      </c>
      <c r="P219" s="40">
        <v>0</v>
      </c>
      <c r="Q219" s="40">
        <v>0.7</v>
      </c>
      <c r="R219" s="40">
        <v>0</v>
      </c>
      <c r="S219" s="61">
        <f t="shared" si="25"/>
        <v>86.10000000000008</v>
      </c>
      <c r="T219" s="40">
        <v>0</v>
      </c>
      <c r="U219" s="40">
        <v>0</v>
      </c>
      <c r="V219" s="40">
        <v>0</v>
      </c>
      <c r="W219" s="40">
        <v>0</v>
      </c>
      <c r="X219" s="67">
        <f t="shared" si="28"/>
        <v>177</v>
      </c>
      <c r="Z219" s="71"/>
      <c r="AA219" s="71"/>
      <c r="AB219" s="67" t="str">
        <f t="shared" si="26"/>
        <v/>
      </c>
      <c r="AD219" s="121"/>
      <c r="AE219" s="121"/>
    </row>
    <row r="220" spans="1:31" x14ac:dyDescent="0.25">
      <c r="A220" s="2" t="s">
        <v>756</v>
      </c>
      <c r="B220" s="7">
        <v>0.34166666666666662</v>
      </c>
      <c r="C220" s="2">
        <v>24</v>
      </c>
      <c r="D220" s="10" t="s">
        <v>625</v>
      </c>
      <c r="E220" s="40">
        <v>0</v>
      </c>
      <c r="F220" s="40">
        <v>2.5</v>
      </c>
      <c r="G220" s="40">
        <v>1.7</v>
      </c>
      <c r="H220" s="3">
        <f t="shared" si="29"/>
        <v>0</v>
      </c>
      <c r="I220" s="3">
        <f t="shared" si="30"/>
        <v>2.5</v>
      </c>
      <c r="J220" s="3">
        <f t="shared" si="31"/>
        <v>1.7</v>
      </c>
      <c r="K220" s="3"/>
      <c r="L220" s="60">
        <f t="shared" si="27"/>
        <v>307.80249999999995</v>
      </c>
      <c r="M220" s="40">
        <v>0</v>
      </c>
      <c r="N220" s="40">
        <v>0</v>
      </c>
      <c r="O220" s="40">
        <v>0</v>
      </c>
      <c r="P220" s="40">
        <v>0</v>
      </c>
      <c r="Q220" s="40">
        <v>3</v>
      </c>
      <c r="R220" s="40">
        <v>0</v>
      </c>
      <c r="S220" s="61">
        <f t="shared" si="25"/>
        <v>83.10000000000008</v>
      </c>
      <c r="T220" s="40">
        <v>0</v>
      </c>
      <c r="U220" s="40">
        <v>0</v>
      </c>
      <c r="V220" s="40">
        <v>4</v>
      </c>
      <c r="W220" s="40">
        <v>0</v>
      </c>
      <c r="X220" s="67">
        <f t="shared" si="28"/>
        <v>173</v>
      </c>
      <c r="Z220" s="71">
        <v>137</v>
      </c>
      <c r="AA220" s="71">
        <v>38</v>
      </c>
      <c r="AB220" s="67">
        <f t="shared" si="26"/>
        <v>175</v>
      </c>
      <c r="AD220" s="121"/>
      <c r="AE220" s="121"/>
    </row>
    <row r="221" spans="1:31" x14ac:dyDescent="0.25">
      <c r="A221" s="2" t="s">
        <v>756</v>
      </c>
      <c r="B221" s="7">
        <v>0.39583333333333331</v>
      </c>
      <c r="C221" s="2">
        <v>1.3</v>
      </c>
      <c r="D221" s="10" t="s">
        <v>665</v>
      </c>
      <c r="E221" s="40">
        <v>15</v>
      </c>
      <c r="F221" s="40">
        <v>2.5</v>
      </c>
      <c r="G221" s="40">
        <v>1.7</v>
      </c>
      <c r="H221" s="3">
        <f t="shared" si="29"/>
        <v>0.8125</v>
      </c>
      <c r="I221" s="3">
        <f t="shared" si="30"/>
        <v>0.13541666666666669</v>
      </c>
      <c r="J221" s="3">
        <f t="shared" si="31"/>
        <v>9.2083333333333336E-2</v>
      </c>
      <c r="K221" s="3"/>
      <c r="L221" s="60">
        <f t="shared" si="27"/>
        <v>306.76249999999993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61">
        <f t="shared" si="25"/>
        <v>83.10000000000008</v>
      </c>
      <c r="T221" s="40">
        <v>0</v>
      </c>
      <c r="U221" s="40">
        <v>0</v>
      </c>
      <c r="V221" s="40">
        <v>0</v>
      </c>
      <c r="W221" s="40">
        <v>0</v>
      </c>
      <c r="X221" s="67">
        <f t="shared" si="28"/>
        <v>173</v>
      </c>
      <c r="Z221" s="71"/>
      <c r="AA221" s="71"/>
      <c r="AB221" s="67" t="str">
        <f t="shared" si="26"/>
        <v/>
      </c>
      <c r="AD221" s="121"/>
      <c r="AE221" s="121"/>
    </row>
    <row r="222" spans="1:31" x14ac:dyDescent="0.25">
      <c r="A222" s="2" t="s">
        <v>756</v>
      </c>
      <c r="B222" s="7">
        <v>0.8208333333333333</v>
      </c>
      <c r="C222" s="2">
        <v>10.199999999999999</v>
      </c>
      <c r="D222" s="10" t="s">
        <v>695</v>
      </c>
      <c r="E222" s="40">
        <v>27.5</v>
      </c>
      <c r="F222" s="40">
        <v>2.5</v>
      </c>
      <c r="G222" s="40">
        <v>0</v>
      </c>
      <c r="H222" s="3">
        <f t="shared" si="29"/>
        <v>11.687499999999998</v>
      </c>
      <c r="I222" s="3">
        <f t="shared" si="30"/>
        <v>1.0625</v>
      </c>
      <c r="J222" s="3">
        <f t="shared" si="31"/>
        <v>0</v>
      </c>
      <c r="K222" s="3"/>
      <c r="L222" s="60">
        <f t="shared" si="27"/>
        <v>294.01249999999993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61">
        <f t="shared" si="25"/>
        <v>83.10000000000008</v>
      </c>
      <c r="T222" s="40">
        <v>0</v>
      </c>
      <c r="U222" s="40">
        <v>0</v>
      </c>
      <c r="V222" s="40">
        <v>2</v>
      </c>
      <c r="W222" s="40">
        <v>0</v>
      </c>
      <c r="X222" s="67">
        <f t="shared" si="28"/>
        <v>171</v>
      </c>
      <c r="Z222" s="71"/>
      <c r="AA222" s="71"/>
      <c r="AB222" s="67" t="str">
        <f t="shared" si="26"/>
        <v/>
      </c>
      <c r="AD222" s="121">
        <v>12.7</v>
      </c>
      <c r="AE222" s="121" t="s">
        <v>1309</v>
      </c>
    </row>
    <row r="223" spans="1:31" x14ac:dyDescent="0.25">
      <c r="A223" s="2" t="s">
        <v>756</v>
      </c>
      <c r="B223" s="7">
        <v>0.97083333333333333</v>
      </c>
      <c r="C223" s="2">
        <v>3.6</v>
      </c>
      <c r="D223" s="10" t="s">
        <v>710</v>
      </c>
      <c r="E223" s="40">
        <v>13.5</v>
      </c>
      <c r="F223" s="40">
        <v>2.5</v>
      </c>
      <c r="G223" s="40">
        <v>1.5</v>
      </c>
      <c r="H223" s="3">
        <f t="shared" si="29"/>
        <v>2.0249999999999999</v>
      </c>
      <c r="I223" s="3">
        <f t="shared" si="30"/>
        <v>0.375</v>
      </c>
      <c r="J223" s="3">
        <f t="shared" si="31"/>
        <v>0.22500000000000001</v>
      </c>
      <c r="K223" s="3"/>
      <c r="L223" s="60">
        <f t="shared" si="27"/>
        <v>291.38749999999993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61">
        <f t="shared" si="25"/>
        <v>83.10000000000008</v>
      </c>
      <c r="T223" s="40">
        <v>0</v>
      </c>
      <c r="U223" s="40">
        <v>0</v>
      </c>
      <c r="V223" s="40">
        <v>0</v>
      </c>
      <c r="W223" s="40">
        <v>0</v>
      </c>
      <c r="X223" s="67">
        <f t="shared" si="28"/>
        <v>171</v>
      </c>
      <c r="Z223" s="71">
        <v>132</v>
      </c>
      <c r="AA223" s="71">
        <v>38</v>
      </c>
      <c r="AB223" s="67">
        <f t="shared" si="26"/>
        <v>170</v>
      </c>
      <c r="AD223" s="121"/>
      <c r="AE223" s="121"/>
    </row>
    <row r="224" spans="1:31" x14ac:dyDescent="0.25">
      <c r="A224" s="2" t="s">
        <v>757</v>
      </c>
      <c r="B224" s="65">
        <v>0.33333333333333331</v>
      </c>
      <c r="C224" s="2">
        <v>8.6999999999999993</v>
      </c>
      <c r="D224" s="10" t="s">
        <v>710</v>
      </c>
      <c r="E224" s="40">
        <v>0</v>
      </c>
      <c r="F224" s="40">
        <v>2.5</v>
      </c>
      <c r="G224" s="40">
        <v>1.5</v>
      </c>
      <c r="H224" s="3">
        <f t="shared" si="29"/>
        <v>0</v>
      </c>
      <c r="I224" s="3">
        <f t="shared" si="30"/>
        <v>0.90625</v>
      </c>
      <c r="J224" s="3">
        <f t="shared" si="31"/>
        <v>0.54374999999999996</v>
      </c>
      <c r="K224" s="3"/>
      <c r="L224" s="60">
        <f t="shared" si="27"/>
        <v>289.93749999999994</v>
      </c>
      <c r="M224" s="40">
        <v>0</v>
      </c>
      <c r="N224" s="40">
        <v>0</v>
      </c>
      <c r="O224" s="40">
        <v>0</v>
      </c>
      <c r="P224" s="40">
        <v>0</v>
      </c>
      <c r="Q224" s="40">
        <v>2</v>
      </c>
      <c r="R224" s="40">
        <v>0</v>
      </c>
      <c r="S224" s="61">
        <f t="shared" si="25"/>
        <v>81.10000000000008</v>
      </c>
      <c r="T224" s="40">
        <v>0</v>
      </c>
      <c r="U224" s="40">
        <v>0</v>
      </c>
      <c r="V224" s="40">
        <v>2</v>
      </c>
      <c r="W224" s="40">
        <v>0</v>
      </c>
      <c r="X224" s="67">
        <f t="shared" si="28"/>
        <v>169</v>
      </c>
      <c r="Z224" s="71"/>
      <c r="AA224" s="71"/>
      <c r="AB224" s="67" t="str">
        <f t="shared" si="26"/>
        <v/>
      </c>
      <c r="AD224" s="121"/>
      <c r="AE224" s="121"/>
    </row>
    <row r="225" spans="1:31" x14ac:dyDescent="0.25">
      <c r="A225" s="2" t="s">
        <v>757</v>
      </c>
      <c r="B225" s="7">
        <v>0.48333333333333334</v>
      </c>
      <c r="C225" s="2">
        <v>3.6</v>
      </c>
      <c r="D225" s="10" t="s">
        <v>660</v>
      </c>
      <c r="E225" s="40">
        <v>0</v>
      </c>
      <c r="F225" s="40">
        <v>2.5</v>
      </c>
      <c r="G225" s="40">
        <v>1.5</v>
      </c>
      <c r="H225" s="3">
        <f t="shared" si="29"/>
        <v>0</v>
      </c>
      <c r="I225" s="3">
        <f t="shared" si="30"/>
        <v>0.375</v>
      </c>
      <c r="J225" s="3">
        <f t="shared" si="31"/>
        <v>0.22500000000000001</v>
      </c>
      <c r="K225" s="3"/>
      <c r="L225" s="60">
        <f t="shared" si="27"/>
        <v>289.33749999999992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61">
        <f t="shared" si="25"/>
        <v>81.10000000000008</v>
      </c>
      <c r="T225" s="40">
        <v>0</v>
      </c>
      <c r="U225" s="40">
        <v>0</v>
      </c>
      <c r="V225" s="40">
        <v>0</v>
      </c>
      <c r="W225" s="40">
        <v>0</v>
      </c>
      <c r="X225" s="67">
        <f t="shared" si="28"/>
        <v>169</v>
      </c>
      <c r="Z225" s="71"/>
      <c r="AA225" s="71"/>
      <c r="AB225" s="67" t="str">
        <f t="shared" si="26"/>
        <v/>
      </c>
      <c r="AD225" s="121"/>
      <c r="AE225" s="121"/>
    </row>
    <row r="226" spans="1:31" x14ac:dyDescent="0.25">
      <c r="A226" s="2" t="s">
        <v>757</v>
      </c>
      <c r="B226" s="7">
        <v>0.52083333333333337</v>
      </c>
      <c r="C226" s="2">
        <v>0.9</v>
      </c>
      <c r="D226" s="10" t="s">
        <v>665</v>
      </c>
      <c r="E226" s="40">
        <v>15</v>
      </c>
      <c r="F226" s="40">
        <v>2.5</v>
      </c>
      <c r="G226" s="40">
        <v>0</v>
      </c>
      <c r="H226" s="3">
        <f t="shared" si="29"/>
        <v>0.5625</v>
      </c>
      <c r="I226" s="3">
        <f t="shared" si="30"/>
        <v>9.375E-2</v>
      </c>
      <c r="J226" s="3">
        <f t="shared" si="31"/>
        <v>0</v>
      </c>
      <c r="K226" s="3"/>
      <c r="L226" s="60">
        <f t="shared" si="27"/>
        <v>288.68124999999992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61">
        <f t="shared" si="25"/>
        <v>81.10000000000008</v>
      </c>
      <c r="T226" s="40">
        <v>0</v>
      </c>
      <c r="U226" s="40">
        <v>0</v>
      </c>
      <c r="V226" s="40">
        <v>0</v>
      </c>
      <c r="W226" s="40">
        <v>0</v>
      </c>
      <c r="X226" s="67">
        <f t="shared" si="28"/>
        <v>169</v>
      </c>
      <c r="Z226" s="71"/>
      <c r="AA226" s="71"/>
      <c r="AB226" s="67" t="str">
        <f t="shared" si="26"/>
        <v/>
      </c>
      <c r="AD226" s="121"/>
      <c r="AE226" s="121"/>
    </row>
    <row r="227" spans="1:31" x14ac:dyDescent="0.25">
      <c r="A227" s="2" t="s">
        <v>757</v>
      </c>
      <c r="B227" s="7">
        <v>0.89166666666666661</v>
      </c>
      <c r="C227" s="2">
        <v>8.9</v>
      </c>
      <c r="D227" s="10" t="s">
        <v>695</v>
      </c>
      <c r="E227" s="40">
        <v>26</v>
      </c>
      <c r="F227" s="40">
        <v>2.5</v>
      </c>
      <c r="G227" s="40">
        <v>0</v>
      </c>
      <c r="H227" s="3">
        <f t="shared" si="29"/>
        <v>9.6416666666666657</v>
      </c>
      <c r="I227" s="3">
        <f t="shared" si="30"/>
        <v>0.92708333333333337</v>
      </c>
      <c r="J227" s="3">
        <f t="shared" si="31"/>
        <v>0</v>
      </c>
      <c r="K227" s="3"/>
      <c r="L227" s="60">
        <f t="shared" si="27"/>
        <v>278.1124999999999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61">
        <f t="shared" si="25"/>
        <v>81.10000000000008</v>
      </c>
      <c r="T227" s="40">
        <v>0</v>
      </c>
      <c r="U227" s="40">
        <v>0</v>
      </c>
      <c r="V227" s="40">
        <v>2</v>
      </c>
      <c r="W227" s="40">
        <v>0</v>
      </c>
      <c r="X227" s="67">
        <f t="shared" si="28"/>
        <v>167</v>
      </c>
      <c r="Z227" s="71"/>
      <c r="AA227" s="71"/>
      <c r="AB227" s="67" t="str">
        <f t="shared" si="26"/>
        <v/>
      </c>
      <c r="AD227" s="121">
        <v>12.8</v>
      </c>
      <c r="AE227" s="121" t="s">
        <v>1303</v>
      </c>
    </row>
    <row r="228" spans="1:31" x14ac:dyDescent="0.25">
      <c r="A228" s="2" t="s">
        <v>757</v>
      </c>
      <c r="B228" s="7">
        <v>0.9458333333333333</v>
      </c>
      <c r="C228" s="2">
        <v>1.3</v>
      </c>
      <c r="D228" s="10" t="s">
        <v>712</v>
      </c>
      <c r="E228" s="40">
        <v>15</v>
      </c>
      <c r="F228" s="40">
        <v>0.5</v>
      </c>
      <c r="G228" s="40">
        <v>0</v>
      </c>
      <c r="H228" s="3">
        <f t="shared" si="29"/>
        <v>0.8125</v>
      </c>
      <c r="I228" s="3">
        <f t="shared" si="30"/>
        <v>2.7083333333333334E-2</v>
      </c>
      <c r="J228" s="3">
        <f t="shared" si="31"/>
        <v>0</v>
      </c>
      <c r="K228" s="3"/>
      <c r="L228" s="60">
        <f t="shared" si="27"/>
        <v>277.27291666666656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61">
        <f t="shared" si="25"/>
        <v>81.10000000000008</v>
      </c>
      <c r="T228" s="40">
        <v>0</v>
      </c>
      <c r="U228" s="40">
        <v>0</v>
      </c>
      <c r="V228" s="40">
        <v>0</v>
      </c>
      <c r="W228" s="40">
        <v>0</v>
      </c>
      <c r="X228" s="67">
        <f t="shared" si="28"/>
        <v>167</v>
      </c>
      <c r="Z228" s="71"/>
      <c r="AA228" s="71"/>
      <c r="AB228" s="67" t="str">
        <f t="shared" si="26"/>
        <v/>
      </c>
      <c r="AD228" s="121"/>
      <c r="AE228" s="121"/>
    </row>
    <row r="229" spans="1:31" x14ac:dyDescent="0.25">
      <c r="A229" s="2" t="s">
        <v>758</v>
      </c>
      <c r="B229" s="7">
        <v>0</v>
      </c>
      <c r="C229" s="2">
        <v>1.3</v>
      </c>
      <c r="D229" s="10" t="s">
        <v>660</v>
      </c>
      <c r="E229" s="40">
        <v>0</v>
      </c>
      <c r="F229" s="40">
        <v>2.5</v>
      </c>
      <c r="G229" s="40">
        <v>1.5</v>
      </c>
      <c r="H229" s="3">
        <f t="shared" si="29"/>
        <v>0</v>
      </c>
      <c r="I229" s="3">
        <f t="shared" si="30"/>
        <v>0.13541666666666669</v>
      </c>
      <c r="J229" s="3">
        <f t="shared" si="31"/>
        <v>8.1250000000000003E-2</v>
      </c>
      <c r="K229" s="3"/>
      <c r="L229" s="60">
        <f t="shared" si="27"/>
        <v>277.05624999999992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61">
        <f t="shared" si="25"/>
        <v>81.10000000000008</v>
      </c>
      <c r="T229" s="40">
        <v>0</v>
      </c>
      <c r="U229" s="40">
        <v>0</v>
      </c>
      <c r="V229" s="40">
        <v>1</v>
      </c>
      <c r="W229" s="40">
        <v>0</v>
      </c>
      <c r="X229" s="67">
        <f t="shared" si="28"/>
        <v>166</v>
      </c>
      <c r="Z229" s="71"/>
      <c r="AA229" s="71"/>
      <c r="AB229" s="67" t="str">
        <f t="shared" si="26"/>
        <v/>
      </c>
      <c r="AD229" s="121"/>
      <c r="AE229" s="121"/>
    </row>
    <row r="230" spans="1:31" x14ac:dyDescent="0.25">
      <c r="A230" s="2" t="s">
        <v>758</v>
      </c>
      <c r="B230" s="7">
        <v>1.2499999999999999E-2</v>
      </c>
      <c r="C230" s="2">
        <v>0.3</v>
      </c>
      <c r="D230" s="10" t="s">
        <v>665</v>
      </c>
      <c r="E230" s="40">
        <v>10</v>
      </c>
      <c r="F230" s="40">
        <v>2.5</v>
      </c>
      <c r="G230" s="40">
        <v>1.5</v>
      </c>
      <c r="H230" s="3">
        <f t="shared" si="29"/>
        <v>0.125</v>
      </c>
      <c r="I230" s="3">
        <f t="shared" si="30"/>
        <v>3.125E-2</v>
      </c>
      <c r="J230" s="3">
        <f t="shared" si="31"/>
        <v>1.8749999999999999E-2</v>
      </c>
      <c r="K230" s="3"/>
      <c r="L230" s="60">
        <f t="shared" si="27"/>
        <v>276.88124999999991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61">
        <f t="shared" si="25"/>
        <v>81.10000000000008</v>
      </c>
      <c r="T230" s="40">
        <v>0</v>
      </c>
      <c r="U230" s="40">
        <v>0</v>
      </c>
      <c r="V230" s="40">
        <v>0</v>
      </c>
      <c r="W230" s="40">
        <v>0</v>
      </c>
      <c r="X230" s="67">
        <f t="shared" si="28"/>
        <v>166</v>
      </c>
      <c r="Z230" s="71"/>
      <c r="AA230" s="71"/>
      <c r="AB230" s="67" t="str">
        <f t="shared" si="26"/>
        <v/>
      </c>
      <c r="AD230" s="121"/>
      <c r="AE230" s="121"/>
    </row>
    <row r="231" spans="1:31" x14ac:dyDescent="0.25">
      <c r="A231" s="2" t="s">
        <v>758</v>
      </c>
      <c r="B231" s="7">
        <v>2.4999999999999998E-2</v>
      </c>
      <c r="C231" s="2">
        <v>0.3</v>
      </c>
      <c r="D231" s="10" t="s">
        <v>695</v>
      </c>
      <c r="E231" s="40">
        <v>15</v>
      </c>
      <c r="F231" s="40">
        <v>2.5</v>
      </c>
      <c r="G231" s="40">
        <v>1.5</v>
      </c>
      <c r="H231" s="3">
        <f t="shared" si="29"/>
        <v>0.1875</v>
      </c>
      <c r="I231" s="3">
        <f t="shared" si="30"/>
        <v>3.125E-2</v>
      </c>
      <c r="J231" s="3">
        <f t="shared" si="31"/>
        <v>1.8749999999999999E-2</v>
      </c>
      <c r="K231" s="3"/>
      <c r="L231" s="60">
        <f t="shared" si="27"/>
        <v>276.6437499999999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61">
        <f t="shared" si="25"/>
        <v>81.10000000000008</v>
      </c>
      <c r="T231" s="40">
        <v>0</v>
      </c>
      <c r="U231" s="40">
        <v>0</v>
      </c>
      <c r="V231" s="40">
        <v>0</v>
      </c>
      <c r="W231" s="40">
        <v>0</v>
      </c>
      <c r="X231" s="67">
        <f t="shared" si="28"/>
        <v>166</v>
      </c>
      <c r="Z231" s="71"/>
      <c r="AA231" s="71"/>
      <c r="AB231" s="67" t="str">
        <f t="shared" si="26"/>
        <v/>
      </c>
      <c r="AD231" s="121"/>
      <c r="AE231" s="121"/>
    </row>
    <row r="232" spans="1:31" x14ac:dyDescent="0.25">
      <c r="A232" s="2" t="s">
        <v>758</v>
      </c>
      <c r="B232" s="7">
        <v>0.13749999999999998</v>
      </c>
      <c r="C232" s="2">
        <v>2.7</v>
      </c>
      <c r="D232" s="10" t="s">
        <v>648</v>
      </c>
      <c r="E232" s="40">
        <v>10</v>
      </c>
      <c r="F232" s="40">
        <v>2.5</v>
      </c>
      <c r="G232" s="40">
        <v>1.5</v>
      </c>
      <c r="H232" s="3">
        <f t="shared" si="29"/>
        <v>1.1250000000000002</v>
      </c>
      <c r="I232" s="3">
        <f t="shared" si="30"/>
        <v>0.28125000000000006</v>
      </c>
      <c r="J232" s="3">
        <f t="shared" si="31"/>
        <v>0.16875000000000001</v>
      </c>
      <c r="K232" s="3"/>
      <c r="L232" s="60">
        <f t="shared" si="27"/>
        <v>275.06874999999991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61">
        <f t="shared" si="25"/>
        <v>81.10000000000008</v>
      </c>
      <c r="T232" s="40">
        <v>0</v>
      </c>
      <c r="U232" s="40">
        <v>0</v>
      </c>
      <c r="V232" s="40">
        <v>0</v>
      </c>
      <c r="W232" s="40">
        <v>0</v>
      </c>
      <c r="X232" s="67">
        <f t="shared" si="28"/>
        <v>166</v>
      </c>
      <c r="Z232" s="71"/>
      <c r="AA232" s="71"/>
      <c r="AB232" s="67" t="str">
        <f t="shared" si="26"/>
        <v/>
      </c>
      <c r="AD232" s="121"/>
      <c r="AE232" s="121"/>
    </row>
    <row r="233" spans="1:31" x14ac:dyDescent="0.25">
      <c r="A233" s="2" t="s">
        <v>758</v>
      </c>
      <c r="B233" s="65">
        <v>0.33333333333333331</v>
      </c>
      <c r="C233" s="2">
        <v>4.7</v>
      </c>
      <c r="D233" s="10" t="s">
        <v>648</v>
      </c>
      <c r="E233" s="40">
        <v>0</v>
      </c>
      <c r="F233" s="40">
        <v>2.5</v>
      </c>
      <c r="G233" s="40">
        <v>1.5</v>
      </c>
      <c r="H233" s="3">
        <f t="shared" si="29"/>
        <v>0</v>
      </c>
      <c r="I233" s="3">
        <f t="shared" si="30"/>
        <v>0.48958333333333337</v>
      </c>
      <c r="J233" s="3">
        <f t="shared" si="31"/>
        <v>0.29375000000000001</v>
      </c>
      <c r="K233" s="3"/>
      <c r="L233" s="60">
        <f t="shared" si="27"/>
        <v>274.28541666666655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61">
        <f t="shared" si="25"/>
        <v>81.10000000000008</v>
      </c>
      <c r="T233" s="40">
        <v>0</v>
      </c>
      <c r="U233" s="40">
        <v>0</v>
      </c>
      <c r="V233" s="40">
        <v>1</v>
      </c>
      <c r="W233" s="40">
        <v>0</v>
      </c>
      <c r="X233" s="67">
        <f t="shared" si="28"/>
        <v>165</v>
      </c>
      <c r="Z233" s="71">
        <v>124</v>
      </c>
      <c r="AA233" s="71">
        <v>38</v>
      </c>
      <c r="AB233" s="67">
        <f t="shared" si="26"/>
        <v>162</v>
      </c>
      <c r="AD233" s="121"/>
      <c r="AE233" s="121"/>
    </row>
    <row r="234" spans="1:31" x14ac:dyDescent="0.25">
      <c r="A234" s="2" t="s">
        <v>759</v>
      </c>
      <c r="B234" s="65">
        <v>0.33333333333333331</v>
      </c>
      <c r="C234" s="2">
        <v>24</v>
      </c>
      <c r="D234" s="10" t="s">
        <v>648</v>
      </c>
      <c r="E234" s="40">
        <v>0</v>
      </c>
      <c r="F234" s="40">
        <v>2.5</v>
      </c>
      <c r="G234" s="40">
        <v>1.5</v>
      </c>
      <c r="H234" s="3">
        <f t="shared" si="29"/>
        <v>0</v>
      </c>
      <c r="I234" s="3">
        <f t="shared" si="30"/>
        <v>2.5</v>
      </c>
      <c r="J234" s="3">
        <f t="shared" si="31"/>
        <v>1.5</v>
      </c>
      <c r="K234" s="3"/>
      <c r="L234" s="60">
        <f t="shared" si="27"/>
        <v>270.28541666666655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61">
        <f t="shared" si="25"/>
        <v>81.10000000000008</v>
      </c>
      <c r="T234" s="40">
        <v>0</v>
      </c>
      <c r="U234" s="40">
        <v>0</v>
      </c>
      <c r="V234" s="40">
        <v>4</v>
      </c>
      <c r="W234" s="40">
        <v>4</v>
      </c>
      <c r="X234" s="67">
        <f t="shared" si="28"/>
        <v>157</v>
      </c>
      <c r="Z234" s="71">
        <v>119</v>
      </c>
      <c r="AA234" s="71">
        <v>38</v>
      </c>
      <c r="AB234" s="67">
        <f t="shared" si="26"/>
        <v>157</v>
      </c>
      <c r="AD234" s="121"/>
      <c r="AE234" s="121"/>
    </row>
    <row r="235" spans="1:31" x14ac:dyDescent="0.25">
      <c r="A235" s="2" t="s">
        <v>760</v>
      </c>
      <c r="B235" s="65">
        <v>0.33333333333333331</v>
      </c>
      <c r="C235" s="2">
        <v>24</v>
      </c>
      <c r="D235" s="10" t="s">
        <v>648</v>
      </c>
      <c r="E235" s="40">
        <v>0</v>
      </c>
      <c r="F235" s="40">
        <v>2.5</v>
      </c>
      <c r="G235" s="40">
        <v>1.5</v>
      </c>
      <c r="H235" s="3">
        <f t="shared" si="29"/>
        <v>0</v>
      </c>
      <c r="I235" s="3">
        <f t="shared" si="30"/>
        <v>2.5</v>
      </c>
      <c r="J235" s="3">
        <f t="shared" si="31"/>
        <v>1.5</v>
      </c>
      <c r="K235" s="3"/>
      <c r="L235" s="60">
        <f t="shared" si="27"/>
        <v>266.28541666666655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61">
        <f t="shared" ref="S235:S298" si="32">IF(C235="","",(S234+R235)-(M235+N235+O235+P235+Q235))</f>
        <v>81.10000000000008</v>
      </c>
      <c r="T235" s="40">
        <v>0</v>
      </c>
      <c r="U235" s="40">
        <v>0</v>
      </c>
      <c r="V235" s="40">
        <v>4</v>
      </c>
      <c r="W235" s="40">
        <v>0</v>
      </c>
      <c r="X235" s="67">
        <f t="shared" si="28"/>
        <v>153</v>
      </c>
      <c r="Z235" s="71">
        <v>115</v>
      </c>
      <c r="AA235" s="71">
        <v>38</v>
      </c>
      <c r="AB235" s="67">
        <f t="shared" si="26"/>
        <v>153</v>
      </c>
      <c r="AD235" s="121"/>
      <c r="AE235" s="121"/>
    </row>
    <row r="236" spans="1:31" x14ac:dyDescent="0.25">
      <c r="A236" s="2" t="s">
        <v>761</v>
      </c>
      <c r="B236" s="7">
        <v>7.0833333333333331E-2</v>
      </c>
      <c r="C236" s="2">
        <v>17.7</v>
      </c>
      <c r="D236" s="10" t="s">
        <v>660</v>
      </c>
      <c r="E236" s="40">
        <v>0</v>
      </c>
      <c r="F236" s="40">
        <v>2.5</v>
      </c>
      <c r="G236" s="40">
        <v>2</v>
      </c>
      <c r="H236" s="3">
        <f t="shared" si="29"/>
        <v>0</v>
      </c>
      <c r="I236" s="3">
        <f t="shared" si="30"/>
        <v>1.84375</v>
      </c>
      <c r="J236" s="3">
        <f t="shared" si="31"/>
        <v>1.4749999999999999</v>
      </c>
      <c r="K236" s="3"/>
      <c r="L236" s="60">
        <f t="shared" si="27"/>
        <v>262.96666666666653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61">
        <f t="shared" si="32"/>
        <v>81.10000000000008</v>
      </c>
      <c r="T236" s="40">
        <v>0</v>
      </c>
      <c r="U236" s="40">
        <v>0</v>
      </c>
      <c r="V236" s="40">
        <v>3</v>
      </c>
      <c r="W236" s="40">
        <v>0</v>
      </c>
      <c r="X236" s="67">
        <f t="shared" si="28"/>
        <v>150</v>
      </c>
      <c r="Z236" s="71"/>
      <c r="AA236" s="71"/>
      <c r="AB236" s="67" t="str">
        <f t="shared" si="26"/>
        <v/>
      </c>
      <c r="AD236" s="121"/>
      <c r="AE236" s="121"/>
    </row>
    <row r="237" spans="1:31" x14ac:dyDescent="0.25">
      <c r="A237" s="2" t="s">
        <v>762</v>
      </c>
      <c r="B237" s="7">
        <v>9.9999999999999992E-2</v>
      </c>
      <c r="C237" s="2">
        <v>0.7</v>
      </c>
      <c r="D237" s="10" t="s">
        <v>665</v>
      </c>
      <c r="E237" s="40">
        <v>15</v>
      </c>
      <c r="F237" s="40">
        <v>2.5</v>
      </c>
      <c r="G237" s="40">
        <v>1.5</v>
      </c>
      <c r="H237" s="3">
        <f t="shared" si="29"/>
        <v>0.4375</v>
      </c>
      <c r="I237" s="3">
        <f t="shared" si="30"/>
        <v>7.2916666666666671E-2</v>
      </c>
      <c r="J237" s="3">
        <f t="shared" si="31"/>
        <v>4.3749999999999997E-2</v>
      </c>
      <c r="K237" s="3"/>
      <c r="L237" s="60">
        <f t="shared" si="27"/>
        <v>262.41249999999985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61">
        <f t="shared" si="32"/>
        <v>81.10000000000008</v>
      </c>
      <c r="T237" s="40">
        <v>0</v>
      </c>
      <c r="U237" s="40">
        <v>0</v>
      </c>
      <c r="V237" s="40">
        <v>0</v>
      </c>
      <c r="W237" s="40">
        <v>0</v>
      </c>
      <c r="X237" s="67">
        <f t="shared" si="28"/>
        <v>150</v>
      </c>
      <c r="Z237" s="71"/>
      <c r="AA237" s="71"/>
      <c r="AB237" s="67" t="str">
        <f t="shared" si="26"/>
        <v/>
      </c>
      <c r="AD237" s="121"/>
      <c r="AE237" s="121"/>
    </row>
    <row r="238" spans="1:31" x14ac:dyDescent="0.25">
      <c r="A238" s="2" t="s">
        <v>762</v>
      </c>
      <c r="B238" s="7">
        <v>0.11666666666666665</v>
      </c>
      <c r="C238" s="2">
        <v>0.4</v>
      </c>
      <c r="D238" s="10" t="s">
        <v>695</v>
      </c>
      <c r="E238" s="40">
        <v>20</v>
      </c>
      <c r="F238" s="40">
        <v>2.5</v>
      </c>
      <c r="G238" s="40">
        <v>1</v>
      </c>
      <c r="H238" s="3">
        <f t="shared" si="29"/>
        <v>0.33333333333333337</v>
      </c>
      <c r="I238" s="3">
        <f t="shared" si="30"/>
        <v>4.1666666666666671E-2</v>
      </c>
      <c r="J238" s="3">
        <f t="shared" si="31"/>
        <v>1.6666666666666666E-2</v>
      </c>
      <c r="K238" s="3"/>
      <c r="L238" s="60">
        <f t="shared" si="27"/>
        <v>262.0208333333332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61">
        <f t="shared" si="32"/>
        <v>81.10000000000008</v>
      </c>
      <c r="T238" s="40">
        <v>0</v>
      </c>
      <c r="U238" s="40">
        <v>0</v>
      </c>
      <c r="V238" s="40">
        <v>0</v>
      </c>
      <c r="W238" s="40">
        <v>0</v>
      </c>
      <c r="X238" s="67">
        <f t="shared" si="28"/>
        <v>150</v>
      </c>
      <c r="Z238" s="71"/>
      <c r="AA238" s="71"/>
      <c r="AB238" s="67" t="str">
        <f t="shared" si="26"/>
        <v/>
      </c>
      <c r="AD238" s="121"/>
      <c r="AE238" s="121"/>
    </row>
    <row r="239" spans="1:31" x14ac:dyDescent="0.25">
      <c r="A239" s="2" t="s">
        <v>762</v>
      </c>
      <c r="B239" s="7">
        <v>0.13333333333333333</v>
      </c>
      <c r="C239" s="2">
        <v>0.4</v>
      </c>
      <c r="D239" s="10" t="s">
        <v>492</v>
      </c>
      <c r="E239" s="40">
        <v>15</v>
      </c>
      <c r="F239" s="40">
        <v>2.5</v>
      </c>
      <c r="G239" s="40">
        <v>1</v>
      </c>
      <c r="H239" s="3">
        <f t="shared" si="29"/>
        <v>0.25</v>
      </c>
      <c r="I239" s="3">
        <f t="shared" si="30"/>
        <v>4.1666666666666671E-2</v>
      </c>
      <c r="J239" s="3">
        <f t="shared" si="31"/>
        <v>1.6666666666666666E-2</v>
      </c>
      <c r="K239" s="3"/>
      <c r="L239" s="60">
        <f t="shared" si="27"/>
        <v>261.71249999999986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61">
        <f t="shared" si="32"/>
        <v>81.10000000000008</v>
      </c>
      <c r="T239" s="40">
        <v>0</v>
      </c>
      <c r="U239" s="40">
        <v>0</v>
      </c>
      <c r="V239" s="40">
        <v>0</v>
      </c>
      <c r="W239" s="40">
        <v>0</v>
      </c>
      <c r="X239" s="67">
        <f t="shared" si="28"/>
        <v>150</v>
      </c>
      <c r="Z239" s="71"/>
      <c r="AA239" s="71"/>
      <c r="AB239" s="67" t="str">
        <f t="shared" si="26"/>
        <v/>
      </c>
      <c r="AD239" s="121"/>
      <c r="AE239" s="121"/>
    </row>
    <row r="240" spans="1:31" x14ac:dyDescent="0.25">
      <c r="A240" s="2" t="s">
        <v>762</v>
      </c>
      <c r="B240" s="65">
        <v>0.33333333333333331</v>
      </c>
      <c r="C240" s="2">
        <v>4.8</v>
      </c>
      <c r="D240" s="10" t="s">
        <v>492</v>
      </c>
      <c r="E240" s="40">
        <v>0</v>
      </c>
      <c r="F240" s="40">
        <v>2.5</v>
      </c>
      <c r="G240" s="40">
        <v>1.5</v>
      </c>
      <c r="H240" s="3">
        <f t="shared" si="29"/>
        <v>0</v>
      </c>
      <c r="I240" s="3">
        <f t="shared" si="30"/>
        <v>0.5</v>
      </c>
      <c r="J240" s="3">
        <f t="shared" si="31"/>
        <v>0.3</v>
      </c>
      <c r="K240" s="3"/>
      <c r="L240" s="60">
        <f t="shared" si="27"/>
        <v>260.91249999999985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61">
        <f t="shared" si="32"/>
        <v>81.10000000000008</v>
      </c>
      <c r="T240" s="40">
        <v>0</v>
      </c>
      <c r="U240" s="40">
        <v>0</v>
      </c>
      <c r="V240" s="40">
        <v>1</v>
      </c>
      <c r="W240" s="40">
        <v>0</v>
      </c>
      <c r="X240" s="67">
        <f t="shared" si="28"/>
        <v>149</v>
      </c>
      <c r="Z240" s="71">
        <v>106</v>
      </c>
      <c r="AA240" s="71">
        <v>38</v>
      </c>
      <c r="AB240" s="67">
        <f t="shared" si="26"/>
        <v>144</v>
      </c>
      <c r="AD240" s="121"/>
      <c r="AE240" s="121"/>
    </row>
    <row r="241" spans="1:31" x14ac:dyDescent="0.25">
      <c r="A241" s="2" t="s">
        <v>762</v>
      </c>
      <c r="B241" s="7">
        <v>0.5541666666666667</v>
      </c>
      <c r="C241" s="2">
        <v>5.3</v>
      </c>
      <c r="D241" s="10" t="s">
        <v>660</v>
      </c>
      <c r="E241" s="40">
        <v>0</v>
      </c>
      <c r="F241" s="40">
        <v>2.5</v>
      </c>
      <c r="G241" s="40">
        <v>1.5</v>
      </c>
      <c r="H241" s="3">
        <f t="shared" si="29"/>
        <v>0</v>
      </c>
      <c r="I241" s="3">
        <f t="shared" si="30"/>
        <v>0.55208333333333337</v>
      </c>
      <c r="J241" s="3">
        <f t="shared" si="31"/>
        <v>0.33124999999999999</v>
      </c>
      <c r="K241" s="3"/>
      <c r="L241" s="60">
        <f t="shared" si="27"/>
        <v>260.02916666666653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61">
        <f t="shared" si="32"/>
        <v>81.10000000000008</v>
      </c>
      <c r="T241" s="40">
        <v>0</v>
      </c>
      <c r="U241" s="40">
        <v>0</v>
      </c>
      <c r="V241" s="40">
        <v>0</v>
      </c>
      <c r="W241" s="40">
        <v>4</v>
      </c>
      <c r="X241" s="67">
        <f t="shared" si="28"/>
        <v>145</v>
      </c>
      <c r="Z241" s="71"/>
      <c r="AA241" s="71"/>
      <c r="AB241" s="67" t="str">
        <f t="shared" si="26"/>
        <v/>
      </c>
      <c r="AD241" s="121"/>
      <c r="AE241" s="121"/>
    </row>
    <row r="242" spans="1:31" x14ac:dyDescent="0.25">
      <c r="A242" s="2" t="s">
        <v>762</v>
      </c>
      <c r="B242" s="7">
        <v>0.58333333333333337</v>
      </c>
      <c r="C242" s="2">
        <v>0.7</v>
      </c>
      <c r="D242" s="10" t="s">
        <v>665</v>
      </c>
      <c r="E242" s="40">
        <v>15</v>
      </c>
      <c r="F242" s="40">
        <v>2.5</v>
      </c>
      <c r="G242" s="40">
        <v>0</v>
      </c>
      <c r="H242" s="3">
        <f t="shared" si="29"/>
        <v>0.4375</v>
      </c>
      <c r="I242" s="3">
        <f t="shared" si="30"/>
        <v>7.2916666666666671E-2</v>
      </c>
      <c r="J242" s="3">
        <f t="shared" si="31"/>
        <v>0</v>
      </c>
      <c r="K242" s="3"/>
      <c r="L242" s="60">
        <f t="shared" si="27"/>
        <v>259.51874999999984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61">
        <f t="shared" si="32"/>
        <v>81.10000000000008</v>
      </c>
      <c r="T242" s="40">
        <v>0</v>
      </c>
      <c r="U242" s="40">
        <v>0</v>
      </c>
      <c r="V242" s="40">
        <v>1</v>
      </c>
      <c r="W242" s="40">
        <v>0</v>
      </c>
      <c r="X242" s="67">
        <f t="shared" si="28"/>
        <v>144</v>
      </c>
      <c r="Z242" s="71"/>
      <c r="AA242" s="71"/>
      <c r="AB242" s="67" t="str">
        <f t="shared" si="26"/>
        <v/>
      </c>
      <c r="AD242" s="121"/>
      <c r="AE242" s="121"/>
    </row>
    <row r="243" spans="1:31" x14ac:dyDescent="0.25">
      <c r="A243" s="2" t="s">
        <v>763</v>
      </c>
      <c r="B243" s="65">
        <v>0.33333333333333331</v>
      </c>
      <c r="C243" s="2">
        <v>18</v>
      </c>
      <c r="D243" s="10" t="s">
        <v>665</v>
      </c>
      <c r="E243" s="40">
        <v>25</v>
      </c>
      <c r="F243" s="40">
        <v>2.5</v>
      </c>
      <c r="G243" s="40">
        <v>2</v>
      </c>
      <c r="H243" s="3">
        <f t="shared" si="29"/>
        <v>18.75</v>
      </c>
      <c r="I243" s="3">
        <f t="shared" si="30"/>
        <v>1.875</v>
      </c>
      <c r="J243" s="3">
        <f t="shared" si="31"/>
        <v>1.5</v>
      </c>
      <c r="K243" s="3"/>
      <c r="L243" s="60">
        <f t="shared" si="27"/>
        <v>237.39374999999984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61">
        <f t="shared" si="32"/>
        <v>81.10000000000008</v>
      </c>
      <c r="T243" s="40">
        <v>4</v>
      </c>
      <c r="U243" s="40">
        <v>0</v>
      </c>
      <c r="V243" s="40">
        <v>3</v>
      </c>
      <c r="W243" s="40">
        <v>0</v>
      </c>
      <c r="X243" s="67">
        <f t="shared" si="28"/>
        <v>145</v>
      </c>
      <c r="Z243" s="71">
        <v>100</v>
      </c>
      <c r="AA243" s="71">
        <v>45</v>
      </c>
      <c r="AB243" s="67">
        <f t="shared" si="26"/>
        <v>145</v>
      </c>
      <c r="AD243" s="121"/>
      <c r="AE243" s="121"/>
    </row>
    <row r="244" spans="1:31" x14ac:dyDescent="0.25">
      <c r="A244" s="2" t="s">
        <v>764</v>
      </c>
      <c r="B244" s="65">
        <v>0.33333333333333331</v>
      </c>
      <c r="C244" s="2">
        <v>24</v>
      </c>
      <c r="D244" s="10" t="s">
        <v>665</v>
      </c>
      <c r="E244" s="40">
        <v>25</v>
      </c>
      <c r="F244" s="40">
        <v>2.5</v>
      </c>
      <c r="G244" s="40">
        <v>1</v>
      </c>
      <c r="H244" s="3">
        <f t="shared" si="29"/>
        <v>25</v>
      </c>
      <c r="I244" s="3">
        <f t="shared" si="30"/>
        <v>2.5</v>
      </c>
      <c r="J244" s="3">
        <f t="shared" si="31"/>
        <v>1</v>
      </c>
      <c r="K244" s="3"/>
      <c r="L244" s="60">
        <f t="shared" si="27"/>
        <v>208.89374999999984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61">
        <f t="shared" si="32"/>
        <v>81.10000000000008</v>
      </c>
      <c r="T244" s="40">
        <v>9</v>
      </c>
      <c r="U244" s="40">
        <v>0</v>
      </c>
      <c r="V244" s="40">
        <v>4</v>
      </c>
      <c r="W244" s="40">
        <v>3</v>
      </c>
      <c r="X244" s="67">
        <f t="shared" si="28"/>
        <v>147</v>
      </c>
      <c r="Z244" s="71">
        <v>94</v>
      </c>
      <c r="AA244" s="71">
        <v>53</v>
      </c>
      <c r="AB244" s="67">
        <f t="shared" si="26"/>
        <v>147</v>
      </c>
      <c r="AD244" s="121"/>
      <c r="AE244" s="121"/>
    </row>
    <row r="245" spans="1:31" x14ac:dyDescent="0.25">
      <c r="A245" s="2" t="s">
        <v>764</v>
      </c>
      <c r="B245" s="7">
        <v>0.35416666666666669</v>
      </c>
      <c r="C245" s="2">
        <v>0.5</v>
      </c>
      <c r="D245" s="10" t="s">
        <v>695</v>
      </c>
      <c r="E245" s="40">
        <v>25</v>
      </c>
      <c r="F245" s="40">
        <v>2.5</v>
      </c>
      <c r="G245" s="40">
        <v>1</v>
      </c>
      <c r="H245" s="3">
        <f t="shared" si="29"/>
        <v>0.52083333333333337</v>
      </c>
      <c r="I245" s="3">
        <f t="shared" si="30"/>
        <v>5.2083333333333336E-2</v>
      </c>
      <c r="J245" s="3">
        <f t="shared" si="31"/>
        <v>2.0833333333333332E-2</v>
      </c>
      <c r="K245" s="3"/>
      <c r="L245" s="60">
        <f t="shared" si="27"/>
        <v>208.29999999999984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61">
        <f t="shared" si="32"/>
        <v>81.10000000000008</v>
      </c>
      <c r="T245" s="40">
        <v>0</v>
      </c>
      <c r="U245" s="40">
        <v>0</v>
      </c>
      <c r="V245" s="40">
        <v>0</v>
      </c>
      <c r="W245" s="40">
        <v>0</v>
      </c>
      <c r="X245" s="67">
        <f t="shared" si="28"/>
        <v>147</v>
      </c>
      <c r="Z245" s="71"/>
      <c r="AA245" s="71"/>
      <c r="AB245" s="67" t="str">
        <f t="shared" si="26"/>
        <v/>
      </c>
      <c r="AD245" s="121">
        <v>10.6</v>
      </c>
      <c r="AE245" s="121" t="s">
        <v>1312</v>
      </c>
    </row>
    <row r="246" spans="1:31" x14ac:dyDescent="0.25">
      <c r="A246" s="2" t="s">
        <v>764</v>
      </c>
      <c r="B246" s="7">
        <v>0.6333333333333333</v>
      </c>
      <c r="C246" s="2">
        <v>6.7</v>
      </c>
      <c r="D246" s="10" t="s">
        <v>706</v>
      </c>
      <c r="E246" s="40">
        <v>4</v>
      </c>
      <c r="F246" s="40">
        <v>2.5</v>
      </c>
      <c r="G246" s="40">
        <v>1</v>
      </c>
      <c r="H246" s="3">
        <f t="shared" si="29"/>
        <v>1.1166666666666667</v>
      </c>
      <c r="I246" s="3">
        <f t="shared" si="30"/>
        <v>0.69791666666666674</v>
      </c>
      <c r="J246" s="3">
        <f t="shared" si="31"/>
        <v>0.27916666666666667</v>
      </c>
      <c r="K246" s="2"/>
      <c r="L246" s="60">
        <f t="shared" si="27"/>
        <v>206.20624999999984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61">
        <f>IF(C246="","",(S244+R246)-(M246+N246+O246+P246+Q246))</f>
        <v>81.10000000000008</v>
      </c>
      <c r="T246" s="40">
        <v>0</v>
      </c>
      <c r="U246" s="40">
        <v>0</v>
      </c>
      <c r="V246" s="40">
        <v>1</v>
      </c>
      <c r="W246" s="40">
        <v>0</v>
      </c>
      <c r="X246" s="67">
        <f t="shared" si="28"/>
        <v>146</v>
      </c>
      <c r="Z246" s="71"/>
      <c r="AA246" s="71"/>
      <c r="AB246" s="67" t="str">
        <f t="shared" si="26"/>
        <v/>
      </c>
      <c r="AD246" s="121"/>
      <c r="AE246" s="121"/>
    </row>
    <row r="247" spans="1:31" x14ac:dyDescent="0.25">
      <c r="A247" s="2" t="s">
        <v>765</v>
      </c>
      <c r="B247" s="7">
        <v>0.33333333333333331</v>
      </c>
      <c r="C247" s="2">
        <v>16.8</v>
      </c>
      <c r="D247" s="10" t="s">
        <v>706</v>
      </c>
      <c r="E247" s="40">
        <v>0</v>
      </c>
      <c r="F247" s="40">
        <v>3</v>
      </c>
      <c r="G247" s="40">
        <v>2.5</v>
      </c>
      <c r="H247" s="3">
        <f t="shared" si="29"/>
        <v>0</v>
      </c>
      <c r="I247" s="3">
        <f t="shared" si="30"/>
        <v>2.1</v>
      </c>
      <c r="J247" s="3">
        <f t="shared" si="31"/>
        <v>1.7500000000000002</v>
      </c>
      <c r="K247" s="3"/>
      <c r="L247" s="60">
        <f t="shared" si="27"/>
        <v>202.35624999999985</v>
      </c>
      <c r="M247" s="40">
        <v>0</v>
      </c>
      <c r="N247" s="40">
        <v>0</v>
      </c>
      <c r="O247" s="40">
        <v>0</v>
      </c>
      <c r="P247" s="40">
        <v>4.2</v>
      </c>
      <c r="Q247" s="40">
        <v>0</v>
      </c>
      <c r="R247" s="40">
        <v>0</v>
      </c>
      <c r="S247" s="61">
        <f>IF(C247="","",(S245+R247)-(M247+N247+O247+P247+Q247))</f>
        <v>76.900000000000077</v>
      </c>
      <c r="T247" s="40">
        <v>0</v>
      </c>
      <c r="U247" s="40">
        <v>0</v>
      </c>
      <c r="V247" s="40">
        <v>3</v>
      </c>
      <c r="W247" s="40">
        <v>4</v>
      </c>
      <c r="X247" s="67">
        <f t="shared" si="28"/>
        <v>139</v>
      </c>
      <c r="Z247" s="71">
        <v>86</v>
      </c>
      <c r="AA247" s="71">
        <v>53</v>
      </c>
      <c r="AB247" s="67">
        <f t="shared" si="26"/>
        <v>139</v>
      </c>
      <c r="AD247" s="121"/>
      <c r="AE247" s="121"/>
    </row>
    <row r="248" spans="1:31" x14ac:dyDescent="0.25">
      <c r="A248" s="2" t="s">
        <v>766</v>
      </c>
      <c r="B248" s="65">
        <v>0.33333333333333331</v>
      </c>
      <c r="C248" s="2">
        <v>24</v>
      </c>
      <c r="D248" s="10" t="s">
        <v>706</v>
      </c>
      <c r="E248" s="40">
        <v>0</v>
      </c>
      <c r="F248" s="40">
        <v>4</v>
      </c>
      <c r="G248" s="40">
        <v>4</v>
      </c>
      <c r="H248" s="3">
        <f t="shared" si="29"/>
        <v>0</v>
      </c>
      <c r="I248" s="3">
        <f t="shared" si="30"/>
        <v>4</v>
      </c>
      <c r="J248" s="3">
        <f t="shared" si="31"/>
        <v>4</v>
      </c>
      <c r="K248" s="3"/>
      <c r="L248" s="60">
        <f t="shared" si="27"/>
        <v>194.35624999999985</v>
      </c>
      <c r="M248" s="40">
        <v>0</v>
      </c>
      <c r="N248" s="40">
        <v>0</v>
      </c>
      <c r="O248" s="40">
        <v>0</v>
      </c>
      <c r="P248" s="40">
        <v>4</v>
      </c>
      <c r="Q248" s="40">
        <v>0</v>
      </c>
      <c r="R248" s="40">
        <v>0</v>
      </c>
      <c r="S248" s="61">
        <f t="shared" si="32"/>
        <v>72.900000000000077</v>
      </c>
      <c r="T248" s="40">
        <v>0</v>
      </c>
      <c r="U248" s="40">
        <v>0</v>
      </c>
      <c r="V248" s="40">
        <v>5</v>
      </c>
      <c r="W248" s="40">
        <v>0</v>
      </c>
      <c r="X248" s="67">
        <f t="shared" si="28"/>
        <v>134</v>
      </c>
      <c r="Z248" s="71">
        <v>81</v>
      </c>
      <c r="AA248" s="71">
        <v>53</v>
      </c>
      <c r="AB248" s="67">
        <f t="shared" si="26"/>
        <v>134</v>
      </c>
      <c r="AD248" s="121"/>
      <c r="AE248" s="121"/>
    </row>
    <row r="249" spans="1:31" x14ac:dyDescent="0.25">
      <c r="A249" s="2" t="s">
        <v>766</v>
      </c>
      <c r="B249" s="7">
        <v>0.52083333333333337</v>
      </c>
      <c r="C249" s="2">
        <v>4.5</v>
      </c>
      <c r="D249" s="10" t="s">
        <v>660</v>
      </c>
      <c r="E249" s="40">
        <v>0</v>
      </c>
      <c r="F249" s="40">
        <v>3</v>
      </c>
      <c r="G249" s="40">
        <v>3</v>
      </c>
      <c r="H249" s="3">
        <f t="shared" si="29"/>
        <v>0</v>
      </c>
      <c r="I249" s="3">
        <f t="shared" si="30"/>
        <v>0.5625</v>
      </c>
      <c r="J249" s="3">
        <f t="shared" si="31"/>
        <v>0.5625</v>
      </c>
      <c r="K249" s="3"/>
      <c r="L249" s="60">
        <f t="shared" si="27"/>
        <v>193.23124999999985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61">
        <f t="shared" si="32"/>
        <v>72.900000000000077</v>
      </c>
      <c r="T249" s="40">
        <v>0</v>
      </c>
      <c r="U249" s="40">
        <v>0</v>
      </c>
      <c r="V249" s="40">
        <v>1</v>
      </c>
      <c r="W249" s="40">
        <v>0</v>
      </c>
      <c r="X249" s="67">
        <f t="shared" si="28"/>
        <v>133</v>
      </c>
      <c r="Z249" s="71"/>
      <c r="AA249" s="71"/>
      <c r="AB249" s="67" t="str">
        <f t="shared" si="26"/>
        <v/>
      </c>
      <c r="AD249" s="121"/>
      <c r="AE249" s="121"/>
    </row>
    <row r="250" spans="1:31" x14ac:dyDescent="0.25">
      <c r="A250" s="2" t="s">
        <v>766</v>
      </c>
      <c r="B250" s="7">
        <v>0.54166666666666663</v>
      </c>
      <c r="C250" s="2">
        <v>0.5</v>
      </c>
      <c r="D250" s="10" t="s">
        <v>105</v>
      </c>
      <c r="E250" s="40">
        <v>15</v>
      </c>
      <c r="F250" s="40">
        <v>2.5</v>
      </c>
      <c r="G250" s="40">
        <v>2</v>
      </c>
      <c r="H250" s="3">
        <f t="shared" si="29"/>
        <v>0.3125</v>
      </c>
      <c r="I250" s="3">
        <f t="shared" si="30"/>
        <v>5.2083333333333336E-2</v>
      </c>
      <c r="J250" s="3">
        <f t="shared" si="31"/>
        <v>4.1666666666666664E-2</v>
      </c>
      <c r="K250" s="3"/>
      <c r="L250" s="60">
        <f t="shared" si="27"/>
        <v>192.82499999999985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61">
        <f t="shared" si="32"/>
        <v>72.900000000000077</v>
      </c>
      <c r="T250" s="40">
        <v>0</v>
      </c>
      <c r="U250" s="40">
        <v>0</v>
      </c>
      <c r="V250" s="40">
        <v>0</v>
      </c>
      <c r="W250" s="40">
        <v>0</v>
      </c>
      <c r="X250" s="67">
        <f t="shared" si="28"/>
        <v>133</v>
      </c>
      <c r="Z250" s="71"/>
      <c r="AA250" s="71"/>
      <c r="AB250" s="67" t="str">
        <f t="shared" si="26"/>
        <v/>
      </c>
      <c r="AD250" s="121"/>
      <c r="AE250" s="121"/>
    </row>
    <row r="251" spans="1:31" x14ac:dyDescent="0.25">
      <c r="A251" s="2" t="s">
        <v>766</v>
      </c>
      <c r="B251" s="7">
        <v>0.75</v>
      </c>
      <c r="C251" s="2">
        <v>5</v>
      </c>
      <c r="D251" s="10" t="s">
        <v>695</v>
      </c>
      <c r="E251" s="40">
        <v>24</v>
      </c>
      <c r="F251" s="40">
        <v>2.5</v>
      </c>
      <c r="G251" s="40">
        <v>2</v>
      </c>
      <c r="H251" s="3">
        <f t="shared" si="29"/>
        <v>5</v>
      </c>
      <c r="I251" s="3">
        <f t="shared" si="30"/>
        <v>0.52083333333333337</v>
      </c>
      <c r="J251" s="3">
        <f t="shared" si="31"/>
        <v>0.41666666666666663</v>
      </c>
      <c r="K251" s="3"/>
      <c r="L251" s="60">
        <f t="shared" si="27"/>
        <v>186.88749999999985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61">
        <f t="shared" si="32"/>
        <v>72.900000000000077</v>
      </c>
      <c r="T251" s="40">
        <v>0</v>
      </c>
      <c r="U251" s="40">
        <v>0</v>
      </c>
      <c r="V251" s="40">
        <v>1</v>
      </c>
      <c r="W251" s="40">
        <v>0</v>
      </c>
      <c r="X251" s="67">
        <f t="shared" si="28"/>
        <v>132</v>
      </c>
      <c r="Z251" s="71"/>
      <c r="AA251" s="71"/>
      <c r="AB251" s="67" t="str">
        <f t="shared" si="26"/>
        <v/>
      </c>
      <c r="AD251" s="121">
        <v>10.6</v>
      </c>
      <c r="AE251" s="121" t="s">
        <v>1312</v>
      </c>
    </row>
    <row r="252" spans="1:31" x14ac:dyDescent="0.25">
      <c r="A252" s="2" t="s">
        <v>766</v>
      </c>
      <c r="B252" s="7">
        <v>0.79166666666666663</v>
      </c>
      <c r="C252" s="2">
        <v>1</v>
      </c>
      <c r="D252" s="10" t="s">
        <v>703</v>
      </c>
      <c r="E252" s="40">
        <v>10</v>
      </c>
      <c r="F252" s="40">
        <v>2.5</v>
      </c>
      <c r="G252" s="40">
        <v>2</v>
      </c>
      <c r="H252" s="3">
        <f t="shared" si="29"/>
        <v>0.41666666666666669</v>
      </c>
      <c r="I252" s="3">
        <f t="shared" si="30"/>
        <v>0.10416666666666667</v>
      </c>
      <c r="J252" s="3">
        <f t="shared" si="31"/>
        <v>8.3333333333333329E-2</v>
      </c>
      <c r="K252" s="3"/>
      <c r="L252" s="60">
        <f t="shared" si="27"/>
        <v>186.28333333333319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61">
        <f t="shared" si="32"/>
        <v>72.900000000000077</v>
      </c>
      <c r="T252" s="40">
        <v>0</v>
      </c>
      <c r="U252" s="40">
        <v>0</v>
      </c>
      <c r="V252" s="40">
        <v>0</v>
      </c>
      <c r="W252" s="40">
        <v>0</v>
      </c>
      <c r="X252" s="67">
        <f t="shared" si="28"/>
        <v>132</v>
      </c>
      <c r="Z252" s="71"/>
      <c r="AA252" s="71"/>
      <c r="AB252" s="67" t="str">
        <f t="shared" si="26"/>
        <v/>
      </c>
      <c r="AD252" s="121"/>
      <c r="AE252" s="121"/>
    </row>
    <row r="253" spans="1:31" x14ac:dyDescent="0.25">
      <c r="A253" s="2" t="s">
        <v>767</v>
      </c>
      <c r="B253" s="65">
        <v>0.33333333333333331</v>
      </c>
      <c r="C253" s="2">
        <v>13</v>
      </c>
      <c r="D253" s="10" t="s">
        <v>703</v>
      </c>
      <c r="E253" s="40">
        <v>0</v>
      </c>
      <c r="F253" s="40">
        <v>2.5</v>
      </c>
      <c r="G253" s="40">
        <v>2</v>
      </c>
      <c r="H253" s="3">
        <f t="shared" si="29"/>
        <v>0</v>
      </c>
      <c r="I253" s="3">
        <f t="shared" si="30"/>
        <v>1.3541666666666667</v>
      </c>
      <c r="J253" s="3">
        <f t="shared" si="31"/>
        <v>1.0833333333333333</v>
      </c>
      <c r="K253" s="3"/>
      <c r="L253" s="60">
        <f t="shared" si="27"/>
        <v>183.84583333333319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61">
        <f t="shared" si="32"/>
        <v>72.900000000000077</v>
      </c>
      <c r="T253" s="40">
        <v>0</v>
      </c>
      <c r="U253" s="40">
        <v>0</v>
      </c>
      <c r="V253" s="40">
        <v>4</v>
      </c>
      <c r="W253" s="40">
        <v>1</v>
      </c>
      <c r="X253" s="67">
        <f t="shared" si="28"/>
        <v>127</v>
      </c>
      <c r="Z253" s="71">
        <v>72</v>
      </c>
      <c r="AA253" s="71">
        <v>53</v>
      </c>
      <c r="AB253" s="67">
        <f t="shared" si="26"/>
        <v>125</v>
      </c>
      <c r="AD253" s="121"/>
      <c r="AE253" s="121"/>
    </row>
    <row r="254" spans="1:31" x14ac:dyDescent="0.25">
      <c r="A254" s="2" t="s">
        <v>767</v>
      </c>
      <c r="B254" s="7">
        <v>0.4458333333333333</v>
      </c>
      <c r="C254" s="2">
        <v>2.7</v>
      </c>
      <c r="D254" s="10" t="s">
        <v>660</v>
      </c>
      <c r="E254" s="40">
        <v>0</v>
      </c>
      <c r="F254" s="40">
        <v>2.5</v>
      </c>
      <c r="G254" s="40">
        <v>2</v>
      </c>
      <c r="H254" s="3">
        <f t="shared" si="29"/>
        <v>0</v>
      </c>
      <c r="I254" s="3">
        <f t="shared" si="30"/>
        <v>0.28125000000000006</v>
      </c>
      <c r="J254" s="3">
        <f t="shared" si="31"/>
        <v>0.22500000000000001</v>
      </c>
      <c r="K254" s="3"/>
      <c r="L254" s="60">
        <f t="shared" si="27"/>
        <v>183.3395833333332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61">
        <f t="shared" si="32"/>
        <v>72.900000000000077</v>
      </c>
      <c r="T254" s="40">
        <v>0</v>
      </c>
      <c r="U254" s="40">
        <v>0</v>
      </c>
      <c r="V254" s="40">
        <v>0</v>
      </c>
      <c r="W254" s="40">
        <v>0</v>
      </c>
      <c r="X254" s="67">
        <f t="shared" si="28"/>
        <v>127</v>
      </c>
      <c r="Z254" s="71"/>
      <c r="AA254" s="71"/>
      <c r="AB254" s="67" t="str">
        <f t="shared" si="26"/>
        <v/>
      </c>
      <c r="AD254" s="121"/>
      <c r="AE254" s="121"/>
    </row>
    <row r="255" spans="1:31" x14ac:dyDescent="0.25">
      <c r="A255" s="2" t="s">
        <v>767</v>
      </c>
      <c r="B255" s="7">
        <v>0.52500000000000002</v>
      </c>
      <c r="C255" s="2">
        <v>1.9</v>
      </c>
      <c r="D255" s="10" t="s">
        <v>732</v>
      </c>
      <c r="E255" s="40">
        <v>10</v>
      </c>
      <c r="F255" s="40">
        <v>2.5</v>
      </c>
      <c r="G255" s="40">
        <v>2</v>
      </c>
      <c r="H255" s="3">
        <f t="shared" si="29"/>
        <v>0.79166666666666663</v>
      </c>
      <c r="I255" s="3">
        <f t="shared" si="30"/>
        <v>0.19791666666666666</v>
      </c>
      <c r="J255" s="3">
        <f t="shared" si="31"/>
        <v>0.15833333333333333</v>
      </c>
      <c r="K255" s="3"/>
      <c r="L255" s="60">
        <f t="shared" si="27"/>
        <v>182.19166666666652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61">
        <f t="shared" si="32"/>
        <v>72.900000000000077</v>
      </c>
      <c r="T255" s="40">
        <v>0</v>
      </c>
      <c r="U255" s="40">
        <v>0</v>
      </c>
      <c r="V255" s="40">
        <v>1</v>
      </c>
      <c r="W255" s="40">
        <v>1</v>
      </c>
      <c r="X255" s="67">
        <f t="shared" si="28"/>
        <v>125</v>
      </c>
      <c r="Z255" s="71"/>
      <c r="AA255" s="71"/>
      <c r="AB255" s="67" t="str">
        <f t="shared" si="26"/>
        <v/>
      </c>
      <c r="AD255" s="121"/>
      <c r="AE255" s="121"/>
    </row>
    <row r="256" spans="1:31" x14ac:dyDescent="0.25">
      <c r="A256" s="2" t="s">
        <v>767</v>
      </c>
      <c r="B256" s="7">
        <v>0.91666666666666663</v>
      </c>
      <c r="C256" s="2">
        <v>7.4</v>
      </c>
      <c r="D256" s="10" t="s">
        <v>660</v>
      </c>
      <c r="E256" s="40">
        <v>0</v>
      </c>
      <c r="F256" s="40">
        <v>2.5</v>
      </c>
      <c r="G256" s="40">
        <v>2</v>
      </c>
      <c r="H256" s="3">
        <f t="shared" si="29"/>
        <v>0</v>
      </c>
      <c r="I256" s="3">
        <f t="shared" si="30"/>
        <v>0.77083333333333337</v>
      </c>
      <c r="J256" s="3">
        <f t="shared" si="31"/>
        <v>0.6166666666666667</v>
      </c>
      <c r="K256" s="3"/>
      <c r="L256" s="60">
        <f t="shared" si="27"/>
        <v>180.80416666666653</v>
      </c>
      <c r="M256" s="40">
        <v>0</v>
      </c>
      <c r="N256" s="40">
        <v>0</v>
      </c>
      <c r="O256" s="40">
        <v>0</v>
      </c>
      <c r="P256" s="40">
        <v>0</v>
      </c>
      <c r="Q256" s="40">
        <v>1.8</v>
      </c>
      <c r="R256" s="40">
        <v>0</v>
      </c>
      <c r="S256" s="61">
        <f t="shared" si="32"/>
        <v>71.10000000000008</v>
      </c>
      <c r="T256" s="40">
        <v>0</v>
      </c>
      <c r="U256" s="40">
        <v>0</v>
      </c>
      <c r="V256" s="40">
        <v>1</v>
      </c>
      <c r="W256" s="40">
        <v>0</v>
      </c>
      <c r="X256" s="67">
        <f t="shared" si="28"/>
        <v>124</v>
      </c>
      <c r="Z256" s="71"/>
      <c r="AA256" s="71"/>
      <c r="AB256" s="67" t="str">
        <f t="shared" si="26"/>
        <v/>
      </c>
      <c r="AD256" s="121"/>
      <c r="AE256" s="121"/>
    </row>
    <row r="257" spans="1:31" x14ac:dyDescent="0.25">
      <c r="A257" s="2" t="s">
        <v>767</v>
      </c>
      <c r="B257" s="7">
        <v>0.95833333333333337</v>
      </c>
      <c r="C257" s="2">
        <v>1</v>
      </c>
      <c r="D257" s="10" t="s">
        <v>665</v>
      </c>
      <c r="E257" s="40">
        <v>10</v>
      </c>
      <c r="F257" s="40">
        <v>2.5</v>
      </c>
      <c r="G257" s="40">
        <v>2</v>
      </c>
      <c r="H257" s="3">
        <f t="shared" si="29"/>
        <v>0.41666666666666669</v>
      </c>
      <c r="I257" s="3">
        <f t="shared" si="30"/>
        <v>0.10416666666666667</v>
      </c>
      <c r="J257" s="3">
        <f t="shared" si="31"/>
        <v>8.3333333333333329E-2</v>
      </c>
      <c r="K257" s="3"/>
      <c r="L257" s="60">
        <f t="shared" si="27"/>
        <v>180.19999999999987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61">
        <f t="shared" si="32"/>
        <v>71.10000000000008</v>
      </c>
      <c r="T257" s="40">
        <v>0</v>
      </c>
      <c r="U257" s="40">
        <v>0</v>
      </c>
      <c r="V257" s="40">
        <v>0</v>
      </c>
      <c r="W257" s="40">
        <v>0</v>
      </c>
      <c r="X257" s="67">
        <f t="shared" si="28"/>
        <v>124</v>
      </c>
      <c r="Z257" s="71">
        <v>65</v>
      </c>
      <c r="AA257" s="71">
        <v>56</v>
      </c>
      <c r="AB257" s="67">
        <f t="shared" si="26"/>
        <v>121</v>
      </c>
      <c r="AD257" s="121"/>
      <c r="AE257" s="121"/>
    </row>
    <row r="258" spans="1:31" x14ac:dyDescent="0.25">
      <c r="A258" s="2" t="s">
        <v>768</v>
      </c>
      <c r="B258" s="65">
        <v>0.33333333333333331</v>
      </c>
      <c r="C258" s="2">
        <v>9</v>
      </c>
      <c r="D258" s="10" t="s">
        <v>665</v>
      </c>
      <c r="E258" s="40">
        <v>26</v>
      </c>
      <c r="F258" s="40">
        <v>2.5</v>
      </c>
      <c r="G258" s="40">
        <v>2</v>
      </c>
      <c r="H258" s="3">
        <f t="shared" si="29"/>
        <v>9.75</v>
      </c>
      <c r="I258" s="3">
        <f t="shared" si="30"/>
        <v>0.9375</v>
      </c>
      <c r="J258" s="3">
        <f t="shared" si="31"/>
        <v>0.75</v>
      </c>
      <c r="K258" s="3"/>
      <c r="L258" s="60">
        <f t="shared" si="27"/>
        <v>168.76249999999987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61">
        <f t="shared" si="32"/>
        <v>71.10000000000008</v>
      </c>
      <c r="T258" s="40">
        <v>3</v>
      </c>
      <c r="U258" s="40">
        <v>0</v>
      </c>
      <c r="V258" s="40">
        <v>2</v>
      </c>
      <c r="W258" s="40">
        <v>4</v>
      </c>
      <c r="X258" s="67">
        <f t="shared" si="28"/>
        <v>121</v>
      </c>
      <c r="Z258" s="71"/>
      <c r="AA258" s="71"/>
      <c r="AB258" s="67" t="str">
        <f t="shared" si="26"/>
        <v/>
      </c>
      <c r="AD258" s="121"/>
      <c r="AE258" s="121"/>
    </row>
    <row r="259" spans="1:31" x14ac:dyDescent="0.25">
      <c r="A259" s="2" t="s">
        <v>768</v>
      </c>
      <c r="B259" s="7">
        <v>0.83333333333333337</v>
      </c>
      <c r="C259" s="2">
        <v>12</v>
      </c>
      <c r="D259" s="10" t="s">
        <v>695</v>
      </c>
      <c r="E259" s="40">
        <v>26</v>
      </c>
      <c r="F259" s="40">
        <v>2.5</v>
      </c>
      <c r="G259" s="40">
        <v>2</v>
      </c>
      <c r="H259" s="3">
        <f t="shared" si="29"/>
        <v>13</v>
      </c>
      <c r="I259" s="3">
        <f t="shared" si="30"/>
        <v>1.25</v>
      </c>
      <c r="J259" s="3">
        <f t="shared" si="31"/>
        <v>1</v>
      </c>
      <c r="K259" s="3"/>
      <c r="L259" s="60">
        <f t="shared" si="27"/>
        <v>153.51249999999987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61">
        <f t="shared" si="32"/>
        <v>71.10000000000008</v>
      </c>
      <c r="T259" s="40">
        <v>0</v>
      </c>
      <c r="U259" s="40">
        <v>0</v>
      </c>
      <c r="V259" s="40">
        <v>2</v>
      </c>
      <c r="W259" s="40">
        <v>0</v>
      </c>
      <c r="X259" s="67">
        <f t="shared" si="28"/>
        <v>119</v>
      </c>
      <c r="Z259" s="71">
        <v>60</v>
      </c>
      <c r="AA259" s="71">
        <v>57</v>
      </c>
      <c r="AB259" s="67">
        <f t="shared" si="26"/>
        <v>117</v>
      </c>
      <c r="AD259" s="121">
        <v>13</v>
      </c>
      <c r="AE259" s="121" t="s">
        <v>1303</v>
      </c>
    </row>
    <row r="260" spans="1:31" x14ac:dyDescent="0.25">
      <c r="A260" s="2" t="s">
        <v>768</v>
      </c>
      <c r="B260" s="7">
        <v>0.95833333333333337</v>
      </c>
      <c r="C260" s="2">
        <v>3</v>
      </c>
      <c r="D260" s="10" t="s">
        <v>755</v>
      </c>
      <c r="E260" s="40">
        <v>10</v>
      </c>
      <c r="F260" s="40">
        <v>2.5</v>
      </c>
      <c r="G260" s="40">
        <v>2</v>
      </c>
      <c r="H260" s="3">
        <f t="shared" si="29"/>
        <v>1.25</v>
      </c>
      <c r="I260" s="3">
        <f t="shared" si="30"/>
        <v>0.3125</v>
      </c>
      <c r="J260" s="3">
        <f t="shared" si="31"/>
        <v>0.25</v>
      </c>
      <c r="K260" s="3"/>
      <c r="L260" s="60">
        <f t="shared" si="27"/>
        <v>151.69999999999987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61">
        <f t="shared" si="32"/>
        <v>71.10000000000008</v>
      </c>
      <c r="T260" s="40">
        <v>0</v>
      </c>
      <c r="U260" s="40">
        <v>0</v>
      </c>
      <c r="V260" s="40">
        <v>0</v>
      </c>
      <c r="W260" s="40">
        <v>0</v>
      </c>
      <c r="X260" s="67">
        <f t="shared" si="28"/>
        <v>119</v>
      </c>
      <c r="Z260" s="71"/>
      <c r="AA260" s="71"/>
      <c r="AB260" s="67" t="str">
        <f t="shared" si="26"/>
        <v/>
      </c>
      <c r="AD260" s="121"/>
      <c r="AE260" s="121"/>
    </row>
    <row r="261" spans="1:31" x14ac:dyDescent="0.25">
      <c r="A261" s="2" t="s">
        <v>769</v>
      </c>
      <c r="B261" s="65">
        <v>0.33333333333333331</v>
      </c>
      <c r="C261" s="2">
        <v>9</v>
      </c>
      <c r="D261" s="10" t="s">
        <v>755</v>
      </c>
      <c r="E261" s="40">
        <v>0</v>
      </c>
      <c r="F261" s="40">
        <v>2.5</v>
      </c>
      <c r="G261" s="40">
        <v>2</v>
      </c>
      <c r="H261" s="3">
        <f t="shared" si="29"/>
        <v>0</v>
      </c>
      <c r="I261" s="3">
        <f t="shared" si="30"/>
        <v>0.9375</v>
      </c>
      <c r="J261" s="3">
        <f t="shared" si="31"/>
        <v>0.75</v>
      </c>
      <c r="K261" s="3"/>
      <c r="L261" s="60">
        <f t="shared" si="27"/>
        <v>150.01249999999987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61">
        <f t="shared" si="32"/>
        <v>71.10000000000008</v>
      </c>
      <c r="T261" s="40">
        <v>0</v>
      </c>
      <c r="U261" s="40">
        <v>0</v>
      </c>
      <c r="V261" s="40">
        <v>2</v>
      </c>
      <c r="W261" s="40">
        <v>0</v>
      </c>
      <c r="X261" s="67">
        <f t="shared" si="28"/>
        <v>117</v>
      </c>
      <c r="Z261" s="71"/>
      <c r="AA261" s="71"/>
      <c r="AB261" s="67" t="str">
        <f t="shared" si="26"/>
        <v/>
      </c>
      <c r="AD261" s="121"/>
      <c r="AE261" s="121"/>
    </row>
    <row r="262" spans="1:31" x14ac:dyDescent="0.25">
      <c r="A262" s="2" t="s">
        <v>769</v>
      </c>
      <c r="B262" s="7">
        <v>0.89583333333333337</v>
      </c>
      <c r="C262" s="2">
        <v>13.5</v>
      </c>
      <c r="D262" s="10" t="s">
        <v>755</v>
      </c>
      <c r="E262" s="40">
        <v>0</v>
      </c>
      <c r="F262" s="40">
        <v>2.5</v>
      </c>
      <c r="G262" s="40">
        <v>2</v>
      </c>
      <c r="H262" s="3">
        <f t="shared" si="29"/>
        <v>0</v>
      </c>
      <c r="I262" s="3">
        <f t="shared" si="30"/>
        <v>1.40625</v>
      </c>
      <c r="J262" s="3">
        <f t="shared" si="31"/>
        <v>1.125</v>
      </c>
      <c r="K262" s="3"/>
      <c r="L262" s="60">
        <f t="shared" si="27"/>
        <v>147.48124999999987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61">
        <f t="shared" si="32"/>
        <v>71.10000000000008</v>
      </c>
      <c r="T262" s="40">
        <v>0</v>
      </c>
      <c r="U262" s="40">
        <v>0</v>
      </c>
      <c r="V262" s="40">
        <v>2</v>
      </c>
      <c r="W262" s="40">
        <v>0</v>
      </c>
      <c r="X262" s="67">
        <f t="shared" si="28"/>
        <v>115</v>
      </c>
      <c r="Z262" s="71"/>
      <c r="AA262" s="71"/>
      <c r="AB262" s="67" t="str">
        <f t="shared" si="26"/>
        <v/>
      </c>
      <c r="AD262" s="121"/>
      <c r="AE262" s="121"/>
    </row>
    <row r="263" spans="1:31" x14ac:dyDescent="0.25">
      <c r="A263" s="2" t="s">
        <v>770</v>
      </c>
      <c r="B263" s="7">
        <v>3.7499999999999999E-2</v>
      </c>
      <c r="C263" s="2">
        <v>3.4</v>
      </c>
      <c r="D263" s="10" t="s">
        <v>625</v>
      </c>
      <c r="E263" s="40">
        <v>0</v>
      </c>
      <c r="F263" s="40">
        <v>2.5</v>
      </c>
      <c r="G263" s="40">
        <v>2</v>
      </c>
      <c r="H263" s="3">
        <f t="shared" si="29"/>
        <v>0</v>
      </c>
      <c r="I263" s="3">
        <f t="shared" si="30"/>
        <v>0.35416666666666669</v>
      </c>
      <c r="J263" s="3">
        <f t="shared" si="31"/>
        <v>0.28333333333333333</v>
      </c>
      <c r="K263" s="3"/>
      <c r="L263" s="60">
        <f t="shared" si="27"/>
        <v>146.84374999999989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61">
        <f t="shared" si="32"/>
        <v>71.10000000000008</v>
      </c>
      <c r="T263" s="40">
        <v>0</v>
      </c>
      <c r="U263" s="40">
        <v>0</v>
      </c>
      <c r="V263" s="40">
        <v>1</v>
      </c>
      <c r="W263" s="40">
        <v>0</v>
      </c>
      <c r="X263" s="67">
        <f t="shared" si="28"/>
        <v>114</v>
      </c>
      <c r="Z263" s="71"/>
      <c r="AA263" s="71"/>
      <c r="AB263" s="67" t="str">
        <f t="shared" ref="AB263:AB327" si="33">IF(Z263="","",Z263+AA263)</f>
        <v/>
      </c>
      <c r="AD263" s="121"/>
      <c r="AE263" s="121"/>
    </row>
    <row r="264" spans="1:31" x14ac:dyDescent="0.25">
      <c r="A264" s="2" t="s">
        <v>770</v>
      </c>
      <c r="B264" s="7">
        <v>8.3333333333333329E-2</v>
      </c>
      <c r="C264" s="2">
        <v>1.1000000000000001</v>
      </c>
      <c r="D264" s="10" t="s">
        <v>665</v>
      </c>
      <c r="E264" s="40">
        <v>15</v>
      </c>
      <c r="F264" s="40">
        <v>2.5</v>
      </c>
      <c r="G264" s="40">
        <v>0</v>
      </c>
      <c r="H264" s="3">
        <f t="shared" si="29"/>
        <v>0.6875</v>
      </c>
      <c r="I264" s="3">
        <f t="shared" si="30"/>
        <v>0.11458333333333334</v>
      </c>
      <c r="J264" s="3">
        <f t="shared" si="31"/>
        <v>0</v>
      </c>
      <c r="K264" s="3"/>
      <c r="L264" s="60">
        <f t="shared" ref="L264:L281" si="34">+IF(C264="","",(L263+K264)-(H264+I264+J264))</f>
        <v>146.04166666666654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61">
        <f t="shared" si="32"/>
        <v>71.10000000000008</v>
      </c>
      <c r="T264" s="40">
        <v>0</v>
      </c>
      <c r="U264" s="40">
        <v>0</v>
      </c>
      <c r="V264" s="40">
        <v>0</v>
      </c>
      <c r="W264" s="40">
        <v>0</v>
      </c>
      <c r="X264" s="67">
        <f t="shared" si="28"/>
        <v>114</v>
      </c>
      <c r="Z264" s="71"/>
      <c r="AA264" s="71"/>
      <c r="AB264" s="67" t="str">
        <f t="shared" si="33"/>
        <v/>
      </c>
      <c r="AD264" s="121"/>
      <c r="AE264" s="121"/>
    </row>
    <row r="265" spans="1:31" x14ac:dyDescent="0.25">
      <c r="A265" s="2" t="s">
        <v>770</v>
      </c>
      <c r="B265" s="65">
        <v>0.33333333333333331</v>
      </c>
      <c r="C265" s="2">
        <v>6</v>
      </c>
      <c r="D265" s="10" t="s">
        <v>665</v>
      </c>
      <c r="E265" s="40">
        <v>26</v>
      </c>
      <c r="F265" s="40">
        <v>2.5</v>
      </c>
      <c r="G265" s="40">
        <v>0</v>
      </c>
      <c r="H265" s="3">
        <f t="shared" si="29"/>
        <v>6.5</v>
      </c>
      <c r="I265" s="3">
        <f t="shared" si="30"/>
        <v>0.625</v>
      </c>
      <c r="J265" s="3">
        <f t="shared" si="31"/>
        <v>0</v>
      </c>
      <c r="K265" s="3"/>
      <c r="L265" s="60">
        <f t="shared" si="34"/>
        <v>138.91666666666654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61">
        <f t="shared" si="32"/>
        <v>71.10000000000008</v>
      </c>
      <c r="T265" s="40">
        <v>0</v>
      </c>
      <c r="U265" s="40">
        <v>0</v>
      </c>
      <c r="V265" s="40">
        <v>1</v>
      </c>
      <c r="W265" s="40">
        <v>0</v>
      </c>
      <c r="X265" s="67">
        <f t="shared" si="28"/>
        <v>113</v>
      </c>
      <c r="Z265" s="71">
        <v>55</v>
      </c>
      <c r="AA265" s="71">
        <v>59</v>
      </c>
      <c r="AB265" s="67">
        <f t="shared" si="33"/>
        <v>114</v>
      </c>
      <c r="AD265" s="121"/>
      <c r="AE265" s="121"/>
    </row>
    <row r="266" spans="1:31" x14ac:dyDescent="0.25">
      <c r="A266" s="2" t="s">
        <v>770</v>
      </c>
      <c r="B266" s="7">
        <v>0.5</v>
      </c>
      <c r="C266" s="2">
        <v>4</v>
      </c>
      <c r="D266" s="10" t="s">
        <v>695</v>
      </c>
      <c r="E266" s="40">
        <v>26</v>
      </c>
      <c r="F266" s="40">
        <v>2.5</v>
      </c>
      <c r="G266" s="40">
        <v>0</v>
      </c>
      <c r="H266" s="3">
        <f t="shared" si="29"/>
        <v>4.333333333333333</v>
      </c>
      <c r="I266" s="3">
        <f t="shared" si="30"/>
        <v>0.41666666666666669</v>
      </c>
      <c r="J266" s="3">
        <f t="shared" si="31"/>
        <v>0</v>
      </c>
      <c r="K266" s="3"/>
      <c r="L266" s="60">
        <f t="shared" si="34"/>
        <v>134.16666666666654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61">
        <f t="shared" si="32"/>
        <v>71.10000000000008</v>
      </c>
      <c r="T266" s="40">
        <v>0</v>
      </c>
      <c r="U266" s="40">
        <v>0</v>
      </c>
      <c r="V266" s="40">
        <v>1</v>
      </c>
      <c r="W266" s="40">
        <v>0</v>
      </c>
      <c r="X266" s="67">
        <f t="shared" ref="X266:X330" si="35">IF(V266="","",((X265+T266+U266)-(V266+W266)))</f>
        <v>112</v>
      </c>
      <c r="Z266" s="71"/>
      <c r="AA266" s="71"/>
      <c r="AB266" s="67" t="str">
        <f t="shared" si="33"/>
        <v/>
      </c>
      <c r="AD266" s="121">
        <v>13</v>
      </c>
      <c r="AE266" s="121" t="s">
        <v>1296</v>
      </c>
    </row>
    <row r="267" spans="1:31" x14ac:dyDescent="0.25">
      <c r="A267" s="2" t="s">
        <v>770</v>
      </c>
      <c r="B267" s="7">
        <v>0.60833333333333328</v>
      </c>
      <c r="C267" s="2">
        <v>2.6</v>
      </c>
      <c r="D267" s="10" t="s">
        <v>710</v>
      </c>
      <c r="E267" s="40">
        <v>10</v>
      </c>
      <c r="F267" s="40">
        <v>2.5</v>
      </c>
      <c r="G267" s="40">
        <v>0</v>
      </c>
      <c r="H267" s="3">
        <f t="shared" si="29"/>
        <v>1.0833333333333335</v>
      </c>
      <c r="I267" s="3">
        <f t="shared" si="30"/>
        <v>0.27083333333333337</v>
      </c>
      <c r="J267" s="3">
        <f t="shared" si="31"/>
        <v>0</v>
      </c>
      <c r="K267" s="3"/>
      <c r="L267" s="60">
        <f t="shared" si="34"/>
        <v>132.81249999999989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61">
        <f t="shared" si="32"/>
        <v>71.10000000000008</v>
      </c>
      <c r="T267" s="40">
        <v>0</v>
      </c>
      <c r="U267" s="40">
        <v>0</v>
      </c>
      <c r="V267" s="40">
        <v>0</v>
      </c>
      <c r="W267" s="40">
        <v>0</v>
      </c>
      <c r="X267" s="67">
        <f t="shared" si="35"/>
        <v>112</v>
      </c>
      <c r="Z267" s="71"/>
      <c r="AA267" s="71"/>
      <c r="AB267" s="67" t="str">
        <f t="shared" si="33"/>
        <v/>
      </c>
      <c r="AD267" s="121"/>
      <c r="AE267" s="121"/>
    </row>
    <row r="268" spans="1:31" x14ac:dyDescent="0.25">
      <c r="A268" s="2" t="s">
        <v>771</v>
      </c>
      <c r="B268" s="7">
        <v>0.13333333333333333</v>
      </c>
      <c r="C268" s="2">
        <v>12.6</v>
      </c>
      <c r="D268" s="10" t="s">
        <v>660</v>
      </c>
      <c r="E268" s="40">
        <v>0</v>
      </c>
      <c r="F268" s="40">
        <v>3.5</v>
      </c>
      <c r="G268" s="40">
        <v>1</v>
      </c>
      <c r="H268" s="3">
        <f t="shared" si="29"/>
        <v>0</v>
      </c>
      <c r="I268" s="3">
        <f t="shared" si="30"/>
        <v>1.8375000000000001</v>
      </c>
      <c r="J268" s="3">
        <f t="shared" si="31"/>
        <v>0.52499999999999991</v>
      </c>
      <c r="K268" s="3"/>
      <c r="L268" s="60">
        <f t="shared" si="34"/>
        <v>130.44999999999987</v>
      </c>
      <c r="M268" s="40">
        <v>0</v>
      </c>
      <c r="N268" s="40">
        <v>0</v>
      </c>
      <c r="O268" s="40">
        <v>0</v>
      </c>
      <c r="P268" s="40">
        <v>0</v>
      </c>
      <c r="Q268" s="40">
        <v>2.2000000000000002</v>
      </c>
      <c r="R268" s="40">
        <v>0</v>
      </c>
      <c r="S268" s="61">
        <f t="shared" si="32"/>
        <v>68.900000000000077</v>
      </c>
      <c r="T268" s="40">
        <v>0</v>
      </c>
      <c r="U268" s="40">
        <v>0</v>
      </c>
      <c r="V268" s="40">
        <v>1</v>
      </c>
      <c r="W268" s="40">
        <v>0</v>
      </c>
      <c r="X268" s="67">
        <f t="shared" si="35"/>
        <v>111</v>
      </c>
      <c r="Z268" s="71"/>
      <c r="AA268" s="71"/>
      <c r="AB268" s="67" t="str">
        <f t="shared" si="33"/>
        <v/>
      </c>
      <c r="AD268" s="121"/>
      <c r="AE268" s="121"/>
    </row>
    <row r="269" spans="1:31" x14ac:dyDescent="0.25">
      <c r="A269" s="2" t="s">
        <v>771</v>
      </c>
      <c r="B269" s="7">
        <v>0.16666666666666666</v>
      </c>
      <c r="C269" s="2">
        <v>0.8</v>
      </c>
      <c r="D269" s="10" t="s">
        <v>105</v>
      </c>
      <c r="E269" s="40">
        <v>10</v>
      </c>
      <c r="F269" s="40">
        <v>3</v>
      </c>
      <c r="G269" s="40">
        <v>1.5</v>
      </c>
      <c r="H269" s="3">
        <f t="shared" ref="H269:H333" si="36">+IF(E269="","",(E269/24)*C269)</f>
        <v>0.33333333333333337</v>
      </c>
      <c r="I269" s="3">
        <f t="shared" ref="I269:I333" si="37">+IF(F269="","",(F269/24)*C269)</f>
        <v>0.1</v>
      </c>
      <c r="J269" s="3">
        <f t="shared" ref="J269:J333" si="38">+IF(G269="","",(G269/24)*C269)</f>
        <v>0.05</v>
      </c>
      <c r="K269" s="3"/>
      <c r="L269" s="60">
        <f t="shared" si="34"/>
        <v>129.96666666666655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61">
        <f t="shared" si="32"/>
        <v>68.900000000000077</v>
      </c>
      <c r="T269" s="40">
        <v>0</v>
      </c>
      <c r="U269" s="40">
        <v>0</v>
      </c>
      <c r="V269" s="40">
        <v>1</v>
      </c>
      <c r="W269" s="40">
        <v>0</v>
      </c>
      <c r="X269" s="67">
        <f t="shared" si="35"/>
        <v>110</v>
      </c>
      <c r="Z269" s="71"/>
      <c r="AA269" s="71"/>
      <c r="AB269" s="67" t="str">
        <f t="shared" si="33"/>
        <v/>
      </c>
      <c r="AD269" s="121"/>
      <c r="AE269" s="121"/>
    </row>
    <row r="270" spans="1:31" x14ac:dyDescent="0.25">
      <c r="A270" s="2" t="s">
        <v>771</v>
      </c>
      <c r="B270" s="65">
        <v>0.33333333333333331</v>
      </c>
      <c r="C270" s="2">
        <v>4</v>
      </c>
      <c r="D270" s="10" t="s">
        <v>665</v>
      </c>
      <c r="E270" s="40">
        <v>26</v>
      </c>
      <c r="F270" s="40">
        <v>2.5</v>
      </c>
      <c r="G270" s="40">
        <v>0</v>
      </c>
      <c r="H270" s="68">
        <f t="shared" si="36"/>
        <v>4.333333333333333</v>
      </c>
      <c r="I270" s="68">
        <f t="shared" si="37"/>
        <v>0.41666666666666669</v>
      </c>
      <c r="J270" s="68">
        <f t="shared" si="38"/>
        <v>0</v>
      </c>
      <c r="K270" s="3"/>
      <c r="L270" s="60">
        <f t="shared" si="34"/>
        <v>125.21666666666655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0</v>
      </c>
      <c r="S270" s="61">
        <f t="shared" si="32"/>
        <v>68.900000000000077</v>
      </c>
      <c r="T270" s="40">
        <v>0</v>
      </c>
      <c r="U270" s="40">
        <v>0</v>
      </c>
      <c r="V270" s="40">
        <v>1</v>
      </c>
      <c r="W270" s="40">
        <v>0</v>
      </c>
      <c r="X270" s="67">
        <f t="shared" si="35"/>
        <v>109</v>
      </c>
      <c r="Z270" s="71">
        <v>42</v>
      </c>
      <c r="AA270" s="71">
        <v>59</v>
      </c>
      <c r="AB270" s="67">
        <f t="shared" si="33"/>
        <v>101</v>
      </c>
      <c r="AD270" s="121"/>
      <c r="AE270" s="121"/>
    </row>
    <row r="271" spans="1:31" x14ac:dyDescent="0.25">
      <c r="A271" s="2" t="s">
        <v>771</v>
      </c>
      <c r="B271" s="7">
        <v>0.52083333333333337</v>
      </c>
      <c r="C271" s="2">
        <v>4.5</v>
      </c>
      <c r="D271" s="10" t="s">
        <v>695</v>
      </c>
      <c r="E271" s="40">
        <v>28</v>
      </c>
      <c r="F271" s="40">
        <v>2.5</v>
      </c>
      <c r="G271" s="40">
        <v>0</v>
      </c>
      <c r="H271" s="68">
        <f t="shared" si="36"/>
        <v>5.25</v>
      </c>
      <c r="I271" s="68">
        <f t="shared" si="37"/>
        <v>0.46875</v>
      </c>
      <c r="J271" s="68">
        <f t="shared" si="38"/>
        <v>0</v>
      </c>
      <c r="K271" s="3"/>
      <c r="L271" s="60">
        <f t="shared" si="34"/>
        <v>119.49791666666655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61">
        <f t="shared" si="32"/>
        <v>68.900000000000077</v>
      </c>
      <c r="T271" s="40">
        <v>0</v>
      </c>
      <c r="U271" s="40">
        <v>0</v>
      </c>
      <c r="V271" s="40">
        <v>1</v>
      </c>
      <c r="W271" s="40">
        <v>5</v>
      </c>
      <c r="X271" s="67">
        <f t="shared" si="35"/>
        <v>103</v>
      </c>
      <c r="Z271" s="71">
        <v>37</v>
      </c>
      <c r="AA271" s="71">
        <v>58</v>
      </c>
      <c r="AB271" s="67">
        <f t="shared" si="33"/>
        <v>95</v>
      </c>
      <c r="AD271" s="121">
        <v>13.3</v>
      </c>
      <c r="AE271" s="121" t="s">
        <v>1295</v>
      </c>
    </row>
    <row r="272" spans="1:31" x14ac:dyDescent="0.25">
      <c r="A272" s="2" t="s">
        <v>771</v>
      </c>
      <c r="B272" s="7">
        <v>0.58333333333333337</v>
      </c>
      <c r="C272" s="2">
        <v>1.5</v>
      </c>
      <c r="D272" s="10" t="s">
        <v>712</v>
      </c>
      <c r="E272" s="40">
        <v>15</v>
      </c>
      <c r="F272" s="40">
        <v>2.5</v>
      </c>
      <c r="G272" s="40">
        <v>1</v>
      </c>
      <c r="H272" s="68">
        <f t="shared" si="36"/>
        <v>0.9375</v>
      </c>
      <c r="I272" s="68">
        <f t="shared" si="37"/>
        <v>0.15625</v>
      </c>
      <c r="J272" s="68">
        <f t="shared" si="38"/>
        <v>6.25E-2</v>
      </c>
      <c r="K272" s="3"/>
      <c r="L272" s="60">
        <f t="shared" si="34"/>
        <v>118.34166666666655</v>
      </c>
      <c r="M272" s="40">
        <v>0.5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61">
        <f t="shared" si="32"/>
        <v>68.400000000000077</v>
      </c>
      <c r="T272" s="40">
        <v>0</v>
      </c>
      <c r="U272" s="40">
        <v>0</v>
      </c>
      <c r="V272" s="40">
        <v>0</v>
      </c>
      <c r="W272" s="40">
        <v>2</v>
      </c>
      <c r="X272" s="67">
        <f t="shared" si="35"/>
        <v>101</v>
      </c>
      <c r="Z272" s="71"/>
      <c r="AA272" s="71"/>
      <c r="AB272" s="67" t="str">
        <f t="shared" si="33"/>
        <v/>
      </c>
      <c r="AD272" s="121"/>
      <c r="AE272" s="121"/>
    </row>
    <row r="273" spans="1:31" x14ac:dyDescent="0.25">
      <c r="A273" s="2" t="s">
        <v>771</v>
      </c>
      <c r="B273" s="7">
        <v>0.65416666666666667</v>
      </c>
      <c r="C273" s="2">
        <v>1.7</v>
      </c>
      <c r="D273" s="10" t="s">
        <v>660</v>
      </c>
      <c r="E273" s="40">
        <v>0</v>
      </c>
      <c r="F273" s="40">
        <v>2.5</v>
      </c>
      <c r="G273" s="40">
        <v>1.5</v>
      </c>
      <c r="H273" s="68">
        <f t="shared" si="36"/>
        <v>0</v>
      </c>
      <c r="I273" s="68">
        <f t="shared" si="37"/>
        <v>0.17708333333333334</v>
      </c>
      <c r="J273" s="68">
        <f t="shared" si="38"/>
        <v>0.10625</v>
      </c>
      <c r="K273" s="3"/>
      <c r="L273" s="60">
        <f t="shared" si="34"/>
        <v>118.05833333333322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61">
        <f t="shared" si="32"/>
        <v>68.400000000000077</v>
      </c>
      <c r="T273" s="40">
        <v>0</v>
      </c>
      <c r="U273" s="40">
        <v>0</v>
      </c>
      <c r="V273" s="40">
        <v>1</v>
      </c>
      <c r="W273" s="40">
        <v>0</v>
      </c>
      <c r="X273" s="67">
        <f t="shared" si="35"/>
        <v>100</v>
      </c>
      <c r="Z273" s="71"/>
      <c r="AA273" s="71"/>
      <c r="AB273" s="67" t="str">
        <f t="shared" si="33"/>
        <v/>
      </c>
      <c r="AD273" s="121"/>
      <c r="AE273" s="121"/>
    </row>
    <row r="274" spans="1:31" x14ac:dyDescent="0.25">
      <c r="A274" s="2" t="s">
        <v>771</v>
      </c>
      <c r="B274" s="7">
        <v>0.66249999999999998</v>
      </c>
      <c r="C274" s="2">
        <v>0.2</v>
      </c>
      <c r="D274" s="10" t="s">
        <v>105</v>
      </c>
      <c r="E274" s="40">
        <v>15</v>
      </c>
      <c r="F274" s="40">
        <v>2.5</v>
      </c>
      <c r="G274" s="40">
        <v>1</v>
      </c>
      <c r="H274" s="68">
        <f t="shared" si="36"/>
        <v>0.125</v>
      </c>
      <c r="I274" s="68">
        <f t="shared" si="37"/>
        <v>2.0833333333333336E-2</v>
      </c>
      <c r="J274" s="68">
        <f t="shared" si="38"/>
        <v>8.3333333333333332E-3</v>
      </c>
      <c r="K274" s="3"/>
      <c r="L274" s="60">
        <f t="shared" si="34"/>
        <v>117.90416666666655</v>
      </c>
      <c r="M274" s="40">
        <v>0</v>
      </c>
      <c r="N274" s="40">
        <v>0</v>
      </c>
      <c r="O274" s="40">
        <v>0</v>
      </c>
      <c r="P274" s="40">
        <v>0</v>
      </c>
      <c r="Q274" s="40">
        <v>0</v>
      </c>
      <c r="R274" s="40">
        <v>0</v>
      </c>
      <c r="S274" s="61">
        <f t="shared" si="32"/>
        <v>68.400000000000077</v>
      </c>
      <c r="T274" s="40">
        <v>0</v>
      </c>
      <c r="U274" s="40">
        <v>0</v>
      </c>
      <c r="V274" s="40">
        <v>0</v>
      </c>
      <c r="W274" s="40">
        <v>0</v>
      </c>
      <c r="X274" s="67">
        <f t="shared" si="35"/>
        <v>100</v>
      </c>
      <c r="Z274" s="71"/>
      <c r="AA274" s="71"/>
      <c r="AB274" s="67" t="str">
        <f t="shared" si="33"/>
        <v/>
      </c>
      <c r="AD274" s="121"/>
      <c r="AE274" s="121"/>
    </row>
    <row r="275" spans="1:31" x14ac:dyDescent="0.25">
      <c r="A275" s="2" t="s">
        <v>771</v>
      </c>
      <c r="B275" s="7">
        <v>0.67499999999999993</v>
      </c>
      <c r="C275" s="2">
        <v>0.3</v>
      </c>
      <c r="D275" s="10" t="s">
        <v>695</v>
      </c>
      <c r="E275" s="40">
        <v>20</v>
      </c>
      <c r="F275" s="40">
        <v>2.5</v>
      </c>
      <c r="G275" s="40">
        <v>1</v>
      </c>
      <c r="H275" s="68">
        <f t="shared" si="36"/>
        <v>0.25</v>
      </c>
      <c r="I275" s="68">
        <f t="shared" si="37"/>
        <v>3.125E-2</v>
      </c>
      <c r="J275" s="68">
        <f t="shared" si="38"/>
        <v>1.2499999999999999E-2</v>
      </c>
      <c r="K275" s="3"/>
      <c r="L275" s="60">
        <f t="shared" si="34"/>
        <v>117.61041666666655</v>
      </c>
      <c r="M275" s="40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0</v>
      </c>
      <c r="S275" s="61">
        <f t="shared" si="32"/>
        <v>68.400000000000077</v>
      </c>
      <c r="T275" s="40">
        <v>0</v>
      </c>
      <c r="U275" s="40">
        <v>0</v>
      </c>
      <c r="V275" s="40">
        <v>0</v>
      </c>
      <c r="W275" s="40">
        <v>0</v>
      </c>
      <c r="X275" s="67">
        <f t="shared" si="35"/>
        <v>100</v>
      </c>
      <c r="Z275" s="71"/>
      <c r="AA275" s="71"/>
      <c r="AB275" s="67" t="str">
        <f t="shared" si="33"/>
        <v/>
      </c>
      <c r="AD275" s="121"/>
      <c r="AE275" s="121"/>
    </row>
    <row r="276" spans="1:31" x14ac:dyDescent="0.25">
      <c r="A276" s="2" t="s">
        <v>771</v>
      </c>
      <c r="B276" s="7">
        <v>0.76250000000000007</v>
      </c>
      <c r="C276" s="2">
        <v>2.1</v>
      </c>
      <c r="D276" s="10" t="s">
        <v>648</v>
      </c>
      <c r="E276" s="40">
        <v>10</v>
      </c>
      <c r="F276" s="40">
        <v>2.5</v>
      </c>
      <c r="G276" s="40">
        <v>1</v>
      </c>
      <c r="H276" s="68">
        <f t="shared" si="36"/>
        <v>0.87500000000000011</v>
      </c>
      <c r="I276" s="68">
        <f t="shared" si="37"/>
        <v>0.21875000000000003</v>
      </c>
      <c r="J276" s="68">
        <f t="shared" si="38"/>
        <v>8.7499999999999994E-2</v>
      </c>
      <c r="K276" s="3"/>
      <c r="L276" s="60">
        <f t="shared" si="34"/>
        <v>116.42916666666655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61">
        <f t="shared" si="32"/>
        <v>68.400000000000077</v>
      </c>
      <c r="T276" s="40">
        <v>0</v>
      </c>
      <c r="U276" s="40">
        <v>0</v>
      </c>
      <c r="V276" s="40">
        <v>1</v>
      </c>
      <c r="W276" s="40">
        <v>0</v>
      </c>
      <c r="X276" s="67">
        <f t="shared" si="35"/>
        <v>99</v>
      </c>
      <c r="Z276" s="71"/>
      <c r="AA276" s="71"/>
      <c r="AB276" s="67" t="str">
        <f t="shared" si="33"/>
        <v/>
      </c>
      <c r="AD276" s="121"/>
      <c r="AE276" s="121"/>
    </row>
    <row r="277" spans="1:31" x14ac:dyDescent="0.25">
      <c r="A277" s="2" t="s">
        <v>772</v>
      </c>
      <c r="B277" s="65">
        <v>0.33333333333333331</v>
      </c>
      <c r="C277" s="2">
        <v>13.7</v>
      </c>
      <c r="D277" s="10" t="s">
        <v>648</v>
      </c>
      <c r="E277" s="40">
        <v>0</v>
      </c>
      <c r="F277" s="40">
        <v>2</v>
      </c>
      <c r="G277" s="40">
        <v>0</v>
      </c>
      <c r="H277" s="68">
        <f t="shared" si="36"/>
        <v>0</v>
      </c>
      <c r="I277" s="68">
        <f t="shared" si="37"/>
        <v>1.1416666666666666</v>
      </c>
      <c r="J277" s="68">
        <f t="shared" si="38"/>
        <v>0</v>
      </c>
      <c r="K277" s="3"/>
      <c r="L277" s="60">
        <f t="shared" si="34"/>
        <v>115.28749999999988</v>
      </c>
      <c r="M277" s="40">
        <v>0</v>
      </c>
      <c r="N277" s="40">
        <v>0</v>
      </c>
      <c r="O277" s="40">
        <v>0</v>
      </c>
      <c r="P277" s="40">
        <v>0</v>
      </c>
      <c r="Q277" s="40">
        <v>0</v>
      </c>
      <c r="R277" s="40">
        <v>0</v>
      </c>
      <c r="S277" s="61">
        <f t="shared" si="32"/>
        <v>68.400000000000077</v>
      </c>
      <c r="T277" s="40">
        <v>0</v>
      </c>
      <c r="U277" s="40">
        <v>0</v>
      </c>
      <c r="V277" s="40">
        <v>4</v>
      </c>
      <c r="W277" s="40">
        <v>4</v>
      </c>
      <c r="X277" s="67">
        <f t="shared" si="35"/>
        <v>91</v>
      </c>
      <c r="Z277" s="71">
        <v>32</v>
      </c>
      <c r="AA277" s="71">
        <v>59</v>
      </c>
      <c r="AB277" s="67">
        <f t="shared" si="33"/>
        <v>91</v>
      </c>
      <c r="AD277" s="121"/>
      <c r="AE277" s="121"/>
    </row>
    <row r="278" spans="1:31" x14ac:dyDescent="0.25">
      <c r="A278" s="2" t="s">
        <v>773</v>
      </c>
      <c r="B278" s="65">
        <v>0.33333333333333331</v>
      </c>
      <c r="C278" s="2">
        <v>24</v>
      </c>
      <c r="D278" s="10" t="s">
        <v>648</v>
      </c>
      <c r="E278" s="40">
        <v>0</v>
      </c>
      <c r="F278" s="40">
        <v>2.5</v>
      </c>
      <c r="G278" s="40">
        <v>2</v>
      </c>
      <c r="H278" s="68">
        <f t="shared" si="36"/>
        <v>0</v>
      </c>
      <c r="I278" s="68">
        <f t="shared" si="37"/>
        <v>2.5</v>
      </c>
      <c r="J278" s="68">
        <f t="shared" si="38"/>
        <v>2</v>
      </c>
      <c r="K278" s="3"/>
      <c r="L278" s="60">
        <f t="shared" si="34"/>
        <v>110.78749999999988</v>
      </c>
      <c r="M278" s="40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0</v>
      </c>
      <c r="S278" s="61">
        <f t="shared" si="32"/>
        <v>68.400000000000077</v>
      </c>
      <c r="T278" s="40">
        <v>0</v>
      </c>
      <c r="U278" s="40">
        <v>0</v>
      </c>
      <c r="V278" s="40">
        <v>5</v>
      </c>
      <c r="W278" s="40">
        <v>2</v>
      </c>
      <c r="X278" s="67">
        <f t="shared" si="35"/>
        <v>84</v>
      </c>
      <c r="Z278" s="71">
        <v>27</v>
      </c>
      <c r="AA278" s="71">
        <v>58</v>
      </c>
      <c r="AB278" s="67">
        <f t="shared" si="33"/>
        <v>85</v>
      </c>
      <c r="AD278" s="121"/>
      <c r="AE278" s="121"/>
    </row>
    <row r="279" spans="1:31" x14ac:dyDescent="0.25">
      <c r="A279" s="2" t="s">
        <v>774</v>
      </c>
      <c r="B279" s="65">
        <v>0.33333333333333331</v>
      </c>
      <c r="C279" s="2">
        <v>24</v>
      </c>
      <c r="D279" s="10" t="s">
        <v>648</v>
      </c>
      <c r="E279" s="40">
        <v>0</v>
      </c>
      <c r="F279" s="40">
        <v>2.5</v>
      </c>
      <c r="G279" s="40">
        <v>0</v>
      </c>
      <c r="H279" s="68">
        <f t="shared" si="36"/>
        <v>0</v>
      </c>
      <c r="I279" s="68">
        <f t="shared" si="37"/>
        <v>2.5</v>
      </c>
      <c r="J279" s="68">
        <f t="shared" si="38"/>
        <v>0</v>
      </c>
      <c r="K279" s="3"/>
      <c r="L279" s="60">
        <f t="shared" si="34"/>
        <v>108.28749999999988</v>
      </c>
      <c r="M279" s="40">
        <v>0</v>
      </c>
      <c r="N279" s="40">
        <v>0</v>
      </c>
      <c r="O279" s="40">
        <v>0</v>
      </c>
      <c r="P279" s="40">
        <v>0</v>
      </c>
      <c r="Q279" s="40">
        <v>0</v>
      </c>
      <c r="R279" s="40">
        <v>0</v>
      </c>
      <c r="S279" s="61">
        <f t="shared" si="32"/>
        <v>68.400000000000077</v>
      </c>
      <c r="T279" s="40">
        <v>0</v>
      </c>
      <c r="U279" s="40">
        <v>0</v>
      </c>
      <c r="V279" s="40">
        <v>5</v>
      </c>
      <c r="W279" s="40">
        <v>9</v>
      </c>
      <c r="X279" s="67">
        <f t="shared" si="35"/>
        <v>70</v>
      </c>
      <c r="Z279" s="71">
        <v>24</v>
      </c>
      <c r="AA279" s="71">
        <v>46</v>
      </c>
      <c r="AB279" s="67">
        <f t="shared" si="33"/>
        <v>70</v>
      </c>
      <c r="AD279" s="121"/>
      <c r="AE279" s="121"/>
    </row>
    <row r="280" spans="1:31" x14ac:dyDescent="0.25">
      <c r="A280" s="2" t="s">
        <v>775</v>
      </c>
      <c r="B280" s="7">
        <v>0.22916666666666666</v>
      </c>
      <c r="C280" s="2">
        <v>21.5</v>
      </c>
      <c r="D280" s="10" t="s">
        <v>660</v>
      </c>
      <c r="E280" s="40">
        <v>0</v>
      </c>
      <c r="F280" s="40">
        <v>2.5</v>
      </c>
      <c r="G280" s="40">
        <v>2</v>
      </c>
      <c r="H280" s="68">
        <f t="shared" si="36"/>
        <v>0</v>
      </c>
      <c r="I280" s="68">
        <f t="shared" si="37"/>
        <v>2.2395833333333335</v>
      </c>
      <c r="J280" s="68">
        <f t="shared" si="38"/>
        <v>1.7916666666666665</v>
      </c>
      <c r="K280" s="3"/>
      <c r="L280" s="60">
        <f t="shared" si="34"/>
        <v>104.25624999999988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0</v>
      </c>
      <c r="S280" s="61">
        <f t="shared" si="32"/>
        <v>68.400000000000077</v>
      </c>
      <c r="T280" s="40">
        <v>0</v>
      </c>
      <c r="U280" s="40">
        <v>0</v>
      </c>
      <c r="V280" s="40">
        <v>2</v>
      </c>
      <c r="W280" s="40">
        <v>0</v>
      </c>
      <c r="X280" s="67">
        <f t="shared" si="35"/>
        <v>68</v>
      </c>
      <c r="Z280" s="71"/>
      <c r="AA280" s="71"/>
      <c r="AB280" s="67" t="str">
        <f t="shared" si="33"/>
        <v/>
      </c>
      <c r="AD280" s="121"/>
      <c r="AE280" s="121"/>
    </row>
    <row r="281" spans="1:31" x14ac:dyDescent="0.25">
      <c r="A281" s="2" t="s">
        <v>775</v>
      </c>
      <c r="B281" s="7">
        <v>0.3125</v>
      </c>
      <c r="C281" s="2">
        <v>2</v>
      </c>
      <c r="D281" s="10" t="s">
        <v>715</v>
      </c>
      <c r="E281" s="40">
        <v>24</v>
      </c>
      <c r="F281" s="40">
        <v>2.5</v>
      </c>
      <c r="G281" s="40">
        <v>2</v>
      </c>
      <c r="H281" s="3">
        <f t="shared" si="36"/>
        <v>2</v>
      </c>
      <c r="I281" s="3">
        <f t="shared" si="37"/>
        <v>0.20833333333333334</v>
      </c>
      <c r="J281" s="3">
        <f t="shared" si="38"/>
        <v>0.16666666666666666</v>
      </c>
      <c r="K281" s="3"/>
      <c r="L281" s="60">
        <f t="shared" si="34"/>
        <v>101.88124999999988</v>
      </c>
      <c r="M281" s="40">
        <v>0</v>
      </c>
      <c r="N281" s="40">
        <v>0</v>
      </c>
      <c r="O281" s="40">
        <v>0</v>
      </c>
      <c r="P281" s="40">
        <v>0</v>
      </c>
      <c r="Q281" s="40">
        <v>0</v>
      </c>
      <c r="R281" s="40">
        <v>0</v>
      </c>
      <c r="S281" s="61">
        <f t="shared" si="32"/>
        <v>68.400000000000077</v>
      </c>
      <c r="T281" s="40">
        <v>0</v>
      </c>
      <c r="U281" s="40">
        <v>0</v>
      </c>
      <c r="V281" s="40">
        <v>2</v>
      </c>
      <c r="W281" s="40">
        <v>0</v>
      </c>
      <c r="X281" s="67">
        <f t="shared" si="35"/>
        <v>66</v>
      </c>
      <c r="Z281" s="71"/>
      <c r="AA281" s="71"/>
      <c r="AB281" s="67" t="str">
        <f t="shared" si="33"/>
        <v/>
      </c>
      <c r="AD281" s="121"/>
      <c r="AE281" s="121"/>
    </row>
    <row r="282" spans="1:31" x14ac:dyDescent="0.25">
      <c r="A282" s="2" t="s">
        <v>775</v>
      </c>
      <c r="B282" s="7">
        <v>0.9291666666666667</v>
      </c>
      <c r="C282" s="2">
        <v>14.8</v>
      </c>
      <c r="D282" s="10" t="s">
        <v>660</v>
      </c>
      <c r="E282" s="40">
        <v>0</v>
      </c>
      <c r="F282" s="40">
        <v>2.5</v>
      </c>
      <c r="G282" s="40">
        <v>2.5</v>
      </c>
      <c r="H282" s="3">
        <f t="shared" si="36"/>
        <v>0</v>
      </c>
      <c r="I282" s="3">
        <f t="shared" si="37"/>
        <v>1.5416666666666667</v>
      </c>
      <c r="J282" s="3">
        <f t="shared" si="38"/>
        <v>1.5416666666666667</v>
      </c>
      <c r="K282" s="3">
        <v>600</v>
      </c>
      <c r="L282" s="60">
        <f>+IF(C282="","",(L281+K282)-(H282+I282+J282))</f>
        <v>698.79791666666654</v>
      </c>
      <c r="M282" s="40">
        <v>0</v>
      </c>
      <c r="N282" s="40">
        <v>0</v>
      </c>
      <c r="O282" s="40">
        <v>0</v>
      </c>
      <c r="P282" s="40">
        <v>0</v>
      </c>
      <c r="Q282" s="40">
        <v>0</v>
      </c>
      <c r="R282" s="40">
        <v>0</v>
      </c>
      <c r="S282" s="61">
        <f t="shared" si="32"/>
        <v>68.400000000000077</v>
      </c>
      <c r="T282" s="40">
        <v>0</v>
      </c>
      <c r="U282" s="40">
        <v>200</v>
      </c>
      <c r="V282" s="40">
        <v>0</v>
      </c>
      <c r="W282" s="40">
        <v>0</v>
      </c>
      <c r="X282" s="67">
        <f t="shared" si="35"/>
        <v>266</v>
      </c>
      <c r="Z282" s="71">
        <v>140</v>
      </c>
      <c r="AA282" s="71">
        <v>150</v>
      </c>
      <c r="AB282" s="67">
        <f t="shared" si="33"/>
        <v>290</v>
      </c>
      <c r="AD282" s="121"/>
      <c r="AE282" s="121"/>
    </row>
    <row r="283" spans="1:31" x14ac:dyDescent="0.25">
      <c r="A283" s="2" t="s">
        <v>775</v>
      </c>
      <c r="B283" s="7">
        <v>0.97916666666666663</v>
      </c>
      <c r="C283" s="2">
        <v>1.2</v>
      </c>
      <c r="D283" s="10" t="s">
        <v>665</v>
      </c>
      <c r="E283" s="40">
        <v>15</v>
      </c>
      <c r="F283" s="40">
        <v>2.5</v>
      </c>
      <c r="G283" s="40">
        <v>2</v>
      </c>
      <c r="H283" s="3">
        <f t="shared" si="36"/>
        <v>0.75</v>
      </c>
      <c r="I283" s="3">
        <f t="shared" si="37"/>
        <v>0.125</v>
      </c>
      <c r="J283" s="3">
        <f t="shared" si="38"/>
        <v>9.9999999999999992E-2</v>
      </c>
      <c r="K283" s="3"/>
      <c r="L283" s="60">
        <f t="shared" ref="L283:L347" si="39">+IF(C283="","",(L282+K283)-(H283+I283+J283))</f>
        <v>697.82291666666652</v>
      </c>
      <c r="M283" s="40">
        <v>0</v>
      </c>
      <c r="N283" s="40">
        <v>0</v>
      </c>
      <c r="O283" s="40">
        <v>0</v>
      </c>
      <c r="P283" s="40">
        <v>0</v>
      </c>
      <c r="Q283" s="40">
        <v>0</v>
      </c>
      <c r="R283" s="40">
        <v>0</v>
      </c>
      <c r="S283" s="61">
        <f t="shared" si="32"/>
        <v>68.400000000000077</v>
      </c>
      <c r="T283" s="40">
        <v>0</v>
      </c>
      <c r="U283" s="40">
        <v>0</v>
      </c>
      <c r="V283" s="40">
        <v>2</v>
      </c>
      <c r="W283" s="40">
        <v>0</v>
      </c>
      <c r="X283" s="67">
        <f t="shared" si="35"/>
        <v>264</v>
      </c>
      <c r="Z283" s="71"/>
      <c r="AA283" s="71"/>
      <c r="AB283" s="67" t="str">
        <f t="shared" si="33"/>
        <v/>
      </c>
      <c r="AD283" s="121"/>
      <c r="AE283" s="121"/>
    </row>
    <row r="284" spans="1:31" x14ac:dyDescent="0.25">
      <c r="A284" s="2" t="s">
        <v>776</v>
      </c>
      <c r="B284" s="65">
        <v>0.33333333333333331</v>
      </c>
      <c r="C284" s="2">
        <v>8.5</v>
      </c>
      <c r="D284" s="10" t="s">
        <v>665</v>
      </c>
      <c r="E284" s="40">
        <v>25</v>
      </c>
      <c r="F284" s="40">
        <v>2.5</v>
      </c>
      <c r="G284" s="40">
        <v>0</v>
      </c>
      <c r="H284" s="3">
        <f t="shared" si="36"/>
        <v>8.8541666666666679</v>
      </c>
      <c r="I284" s="3">
        <f t="shared" si="37"/>
        <v>0.88541666666666674</v>
      </c>
      <c r="J284" s="3">
        <f t="shared" si="38"/>
        <v>0</v>
      </c>
      <c r="K284" s="3"/>
      <c r="L284" s="60">
        <f t="shared" si="39"/>
        <v>688.08333333333314</v>
      </c>
      <c r="M284" s="40">
        <v>0</v>
      </c>
      <c r="N284" s="40">
        <v>0</v>
      </c>
      <c r="O284" s="40">
        <v>0</v>
      </c>
      <c r="P284" s="40">
        <v>0</v>
      </c>
      <c r="Q284" s="40">
        <v>0</v>
      </c>
      <c r="R284" s="40">
        <v>0</v>
      </c>
      <c r="S284" s="61">
        <f t="shared" si="32"/>
        <v>68.400000000000077</v>
      </c>
      <c r="T284" s="40">
        <v>2</v>
      </c>
      <c r="U284" s="40">
        <v>0</v>
      </c>
      <c r="V284" s="40">
        <v>2</v>
      </c>
      <c r="W284" s="40">
        <v>1</v>
      </c>
      <c r="X284" s="67">
        <f t="shared" si="35"/>
        <v>263</v>
      </c>
      <c r="Z284" s="71">
        <v>140</v>
      </c>
      <c r="AA284" s="71">
        <v>146</v>
      </c>
      <c r="AB284" s="67">
        <f t="shared" si="33"/>
        <v>286</v>
      </c>
      <c r="AD284" s="121"/>
      <c r="AE284" s="121"/>
    </row>
    <row r="285" spans="1:31" x14ac:dyDescent="0.25">
      <c r="A285" s="2" t="s">
        <v>777</v>
      </c>
      <c r="B285" s="7">
        <v>2.9166666666666664E-2</v>
      </c>
      <c r="C285" s="2">
        <v>16.7</v>
      </c>
      <c r="D285" s="10" t="s">
        <v>778</v>
      </c>
      <c r="E285" s="40">
        <v>25</v>
      </c>
      <c r="F285" s="40">
        <v>2.5</v>
      </c>
      <c r="G285" s="40">
        <v>2</v>
      </c>
      <c r="H285" s="3">
        <f t="shared" si="36"/>
        <v>17.395833333333332</v>
      </c>
      <c r="I285" s="3">
        <f t="shared" si="37"/>
        <v>1.7395833333333333</v>
      </c>
      <c r="J285" s="3">
        <f t="shared" si="38"/>
        <v>1.3916666666666666</v>
      </c>
      <c r="K285" s="3"/>
      <c r="L285" s="60">
        <f t="shared" si="39"/>
        <v>667.55624999999986</v>
      </c>
      <c r="M285" s="40">
        <v>0</v>
      </c>
      <c r="N285" s="40">
        <v>0</v>
      </c>
      <c r="O285" s="40">
        <v>0</v>
      </c>
      <c r="P285" s="40">
        <v>0</v>
      </c>
      <c r="Q285" s="40">
        <v>0</v>
      </c>
      <c r="R285" s="40">
        <v>0</v>
      </c>
      <c r="S285" s="61">
        <f t="shared" si="32"/>
        <v>68.400000000000077</v>
      </c>
      <c r="T285" s="40">
        <v>0</v>
      </c>
      <c r="U285" s="40">
        <v>0</v>
      </c>
      <c r="V285" s="40">
        <v>3</v>
      </c>
      <c r="W285" s="40">
        <v>3</v>
      </c>
      <c r="X285" s="67">
        <f t="shared" si="35"/>
        <v>257</v>
      </c>
      <c r="Z285" s="71">
        <v>139</v>
      </c>
      <c r="AA285" s="71">
        <v>133</v>
      </c>
      <c r="AB285" s="67">
        <f t="shared" si="33"/>
        <v>272</v>
      </c>
      <c r="AD285" s="121"/>
      <c r="AE285" s="121"/>
    </row>
    <row r="286" spans="1:31" x14ac:dyDescent="0.25">
      <c r="A286" s="2" t="s">
        <v>777</v>
      </c>
      <c r="B286" s="65">
        <v>0.33333333333333331</v>
      </c>
      <c r="C286" s="2">
        <v>7.3</v>
      </c>
      <c r="D286" s="10" t="s">
        <v>778</v>
      </c>
      <c r="E286" s="40">
        <v>0</v>
      </c>
      <c r="F286" s="40">
        <v>2.5</v>
      </c>
      <c r="G286" s="40">
        <v>2</v>
      </c>
      <c r="H286" s="3">
        <f t="shared" si="36"/>
        <v>0</v>
      </c>
      <c r="I286" s="3">
        <f t="shared" si="37"/>
        <v>0.76041666666666663</v>
      </c>
      <c r="J286" s="3">
        <f t="shared" si="38"/>
        <v>0.60833333333333328</v>
      </c>
      <c r="K286" s="3"/>
      <c r="L286" s="60">
        <f t="shared" si="39"/>
        <v>666.18749999999989</v>
      </c>
      <c r="M286" s="40">
        <v>0</v>
      </c>
      <c r="N286" s="40">
        <v>0</v>
      </c>
      <c r="O286" s="40">
        <v>0</v>
      </c>
      <c r="P286" s="40">
        <v>0</v>
      </c>
      <c r="Q286" s="40">
        <v>0</v>
      </c>
      <c r="R286" s="40">
        <v>0</v>
      </c>
      <c r="S286" s="61">
        <f t="shared" si="32"/>
        <v>68.400000000000077</v>
      </c>
      <c r="T286" s="40">
        <v>0</v>
      </c>
      <c r="U286" s="40">
        <v>0</v>
      </c>
      <c r="V286" s="40">
        <v>1</v>
      </c>
      <c r="W286" s="40">
        <v>0</v>
      </c>
      <c r="X286" s="67">
        <f t="shared" si="35"/>
        <v>256</v>
      </c>
      <c r="Z286" s="71"/>
      <c r="AA286" s="71"/>
      <c r="AB286" s="67" t="str">
        <f t="shared" si="33"/>
        <v/>
      </c>
      <c r="AD286" s="121"/>
      <c r="AE286" s="121"/>
    </row>
    <row r="287" spans="1:31" x14ac:dyDescent="0.25">
      <c r="A287" s="2" t="s">
        <v>777</v>
      </c>
      <c r="B287" s="7">
        <v>0.51250000000000007</v>
      </c>
      <c r="C287" s="2">
        <v>4.3</v>
      </c>
      <c r="D287" s="10" t="s">
        <v>665</v>
      </c>
      <c r="E287" s="40">
        <v>0</v>
      </c>
      <c r="F287" s="40">
        <v>2.5</v>
      </c>
      <c r="G287" s="40">
        <v>2</v>
      </c>
      <c r="H287" s="3">
        <f t="shared" si="36"/>
        <v>0</v>
      </c>
      <c r="I287" s="3">
        <f t="shared" si="37"/>
        <v>0.44791666666666669</v>
      </c>
      <c r="J287" s="3">
        <f t="shared" si="38"/>
        <v>0.35833333333333328</v>
      </c>
      <c r="K287" s="3"/>
      <c r="L287" s="60">
        <f t="shared" si="39"/>
        <v>665.38124999999991</v>
      </c>
      <c r="M287" s="40">
        <v>0</v>
      </c>
      <c r="N287" s="40">
        <v>0</v>
      </c>
      <c r="O287" s="40">
        <v>0</v>
      </c>
      <c r="P287" s="40">
        <v>0</v>
      </c>
      <c r="Q287" s="40">
        <v>0</v>
      </c>
      <c r="R287" s="40">
        <v>0</v>
      </c>
      <c r="S287" s="61">
        <f t="shared" si="32"/>
        <v>68.400000000000077</v>
      </c>
      <c r="T287" s="40">
        <v>0</v>
      </c>
      <c r="U287" s="40">
        <v>0</v>
      </c>
      <c r="V287" s="40">
        <v>1</v>
      </c>
      <c r="W287" s="40">
        <v>0</v>
      </c>
      <c r="X287" s="67">
        <f t="shared" si="35"/>
        <v>255</v>
      </c>
      <c r="Z287" s="71"/>
      <c r="AA287" s="71"/>
      <c r="AB287" s="67" t="str">
        <f t="shared" si="33"/>
        <v/>
      </c>
      <c r="AD287" s="121"/>
      <c r="AE287" s="121"/>
    </row>
    <row r="288" spans="1:31" x14ac:dyDescent="0.25">
      <c r="A288" s="2" t="s">
        <v>779</v>
      </c>
      <c r="B288" s="7">
        <v>0.14583333333333334</v>
      </c>
      <c r="C288" s="2">
        <v>15.2</v>
      </c>
      <c r="D288" s="10" t="s">
        <v>695</v>
      </c>
      <c r="E288" s="40">
        <v>25</v>
      </c>
      <c r="F288" s="40">
        <v>2.5</v>
      </c>
      <c r="G288" s="40">
        <v>2</v>
      </c>
      <c r="H288" s="3">
        <f t="shared" si="36"/>
        <v>15.833333333333334</v>
      </c>
      <c r="I288" s="3">
        <f t="shared" si="37"/>
        <v>1.5833333333333333</v>
      </c>
      <c r="J288" s="3">
        <f t="shared" si="38"/>
        <v>1.2666666666666666</v>
      </c>
      <c r="K288" s="3"/>
      <c r="L288" s="60">
        <f t="shared" si="39"/>
        <v>646.69791666666663</v>
      </c>
      <c r="M288" s="40">
        <v>0</v>
      </c>
      <c r="N288" s="40">
        <v>0</v>
      </c>
      <c r="O288" s="40">
        <v>0</v>
      </c>
      <c r="P288" s="40">
        <v>0</v>
      </c>
      <c r="Q288" s="40">
        <v>0</v>
      </c>
      <c r="R288" s="40">
        <v>0</v>
      </c>
      <c r="S288" s="61">
        <f t="shared" si="32"/>
        <v>68.400000000000077</v>
      </c>
      <c r="T288" s="40">
        <v>0</v>
      </c>
      <c r="U288" s="40">
        <v>0</v>
      </c>
      <c r="V288" s="40">
        <v>2</v>
      </c>
      <c r="W288" s="40">
        <v>1</v>
      </c>
      <c r="X288" s="67">
        <f t="shared" si="35"/>
        <v>252</v>
      </c>
      <c r="Z288" s="71"/>
      <c r="AA288" s="71"/>
      <c r="AB288" s="67" t="str">
        <f t="shared" si="33"/>
        <v/>
      </c>
      <c r="AD288" s="121">
        <v>12.5</v>
      </c>
      <c r="AE288" s="121" t="s">
        <v>1295</v>
      </c>
    </row>
    <row r="289" spans="1:31" x14ac:dyDescent="0.25">
      <c r="A289" s="2" t="s">
        <v>779</v>
      </c>
      <c r="B289" s="7">
        <v>0.19583333333333333</v>
      </c>
      <c r="C289" s="2">
        <v>1.2</v>
      </c>
      <c r="D289" s="10" t="s">
        <v>706</v>
      </c>
      <c r="E289" s="40">
        <v>10</v>
      </c>
      <c r="F289" s="40">
        <v>2.5</v>
      </c>
      <c r="G289" s="40">
        <v>2</v>
      </c>
      <c r="H289" s="3">
        <f t="shared" si="36"/>
        <v>0.5</v>
      </c>
      <c r="I289" s="3">
        <f t="shared" si="37"/>
        <v>0.125</v>
      </c>
      <c r="J289" s="3">
        <f t="shared" si="38"/>
        <v>9.9999999999999992E-2</v>
      </c>
      <c r="K289" s="3"/>
      <c r="L289" s="60">
        <f t="shared" si="39"/>
        <v>645.97291666666661</v>
      </c>
      <c r="M289" s="40">
        <v>0</v>
      </c>
      <c r="N289" s="40">
        <v>0</v>
      </c>
      <c r="O289" s="40">
        <v>0</v>
      </c>
      <c r="P289" s="40">
        <v>0</v>
      </c>
      <c r="Q289" s="40">
        <v>0</v>
      </c>
      <c r="R289" s="40">
        <v>0</v>
      </c>
      <c r="S289" s="61">
        <f t="shared" si="32"/>
        <v>68.400000000000077</v>
      </c>
      <c r="T289" s="40">
        <v>0</v>
      </c>
      <c r="U289" s="40">
        <v>0</v>
      </c>
      <c r="V289" s="40">
        <v>1</v>
      </c>
      <c r="W289" s="40">
        <v>0</v>
      </c>
      <c r="X289" s="67">
        <f t="shared" si="35"/>
        <v>251</v>
      </c>
      <c r="Z289" s="71"/>
      <c r="AA289" s="71"/>
      <c r="AB289" s="67" t="str">
        <f t="shared" si="33"/>
        <v/>
      </c>
      <c r="AD289" s="121"/>
      <c r="AE289" s="121"/>
    </row>
    <row r="290" spans="1:31" x14ac:dyDescent="0.25">
      <c r="A290" s="2" t="s">
        <v>779</v>
      </c>
      <c r="B290" s="65">
        <v>0.33333333333333331</v>
      </c>
      <c r="C290" s="2">
        <v>3.3</v>
      </c>
      <c r="D290" s="10" t="s">
        <v>706</v>
      </c>
      <c r="E290" s="40">
        <v>0</v>
      </c>
      <c r="F290" s="40">
        <v>2.5</v>
      </c>
      <c r="G290" s="40">
        <v>2</v>
      </c>
      <c r="H290" s="3">
        <f t="shared" si="36"/>
        <v>0</v>
      </c>
      <c r="I290" s="3">
        <f t="shared" si="37"/>
        <v>0.34375</v>
      </c>
      <c r="J290" s="3">
        <f t="shared" si="38"/>
        <v>0.27499999999999997</v>
      </c>
      <c r="K290" s="3"/>
      <c r="L290" s="60">
        <f t="shared" si="39"/>
        <v>645.35416666666663</v>
      </c>
      <c r="M290" s="40">
        <v>0</v>
      </c>
      <c r="N290" s="40">
        <v>0</v>
      </c>
      <c r="O290" s="40">
        <v>0</v>
      </c>
      <c r="P290" s="40">
        <v>0</v>
      </c>
      <c r="Q290" s="40">
        <v>0</v>
      </c>
      <c r="R290" s="40">
        <v>0</v>
      </c>
      <c r="S290" s="61">
        <f t="shared" si="32"/>
        <v>68.400000000000077</v>
      </c>
      <c r="T290" s="40">
        <v>0</v>
      </c>
      <c r="U290" s="40">
        <v>0</v>
      </c>
      <c r="V290" s="40">
        <v>0</v>
      </c>
      <c r="W290" s="40">
        <v>0</v>
      </c>
      <c r="X290" s="67">
        <f t="shared" si="35"/>
        <v>251</v>
      </c>
      <c r="Z290" s="71">
        <v>140</v>
      </c>
      <c r="AA290" s="71">
        <v>130</v>
      </c>
      <c r="AB290" s="67">
        <f t="shared" si="33"/>
        <v>270</v>
      </c>
      <c r="AD290" s="121"/>
      <c r="AE290" s="121"/>
    </row>
    <row r="291" spans="1:31" x14ac:dyDescent="0.25">
      <c r="A291" s="7" t="s">
        <v>780</v>
      </c>
      <c r="B291" s="65">
        <v>0.33333333333333331</v>
      </c>
      <c r="C291" s="2">
        <v>24</v>
      </c>
      <c r="D291" s="10" t="s">
        <v>706</v>
      </c>
      <c r="E291" s="40">
        <v>0</v>
      </c>
      <c r="F291" s="40">
        <v>2</v>
      </c>
      <c r="G291" s="40">
        <v>0</v>
      </c>
      <c r="H291" s="3">
        <f t="shared" si="36"/>
        <v>0</v>
      </c>
      <c r="I291" s="3">
        <f t="shared" si="37"/>
        <v>2</v>
      </c>
      <c r="J291" s="3">
        <f t="shared" si="38"/>
        <v>0</v>
      </c>
      <c r="K291" s="3"/>
      <c r="L291" s="60">
        <f t="shared" si="39"/>
        <v>643.35416666666663</v>
      </c>
      <c r="M291" s="40">
        <v>0</v>
      </c>
      <c r="N291" s="40">
        <v>0</v>
      </c>
      <c r="O291" s="40">
        <v>0</v>
      </c>
      <c r="P291" s="40">
        <v>0</v>
      </c>
      <c r="Q291" s="40">
        <v>0</v>
      </c>
      <c r="R291" s="40">
        <v>0</v>
      </c>
      <c r="S291" s="61">
        <f t="shared" si="32"/>
        <v>68.400000000000077</v>
      </c>
      <c r="T291" s="40">
        <v>0</v>
      </c>
      <c r="U291" s="40">
        <v>0</v>
      </c>
      <c r="V291" s="40">
        <v>4</v>
      </c>
      <c r="W291" s="40">
        <v>1</v>
      </c>
      <c r="X291" s="67">
        <f t="shared" si="35"/>
        <v>246</v>
      </c>
      <c r="Z291" s="71">
        <v>140</v>
      </c>
      <c r="AA291" s="71">
        <v>125</v>
      </c>
      <c r="AB291" s="67">
        <f t="shared" si="33"/>
        <v>265</v>
      </c>
      <c r="AD291" s="121"/>
      <c r="AE291" s="121"/>
    </row>
    <row r="292" spans="1:31" x14ac:dyDescent="0.25">
      <c r="A292" s="7" t="s">
        <v>780</v>
      </c>
      <c r="B292" s="7">
        <v>0.65416666666666667</v>
      </c>
      <c r="C292" s="2">
        <v>7.7</v>
      </c>
      <c r="D292" s="10" t="s">
        <v>660</v>
      </c>
      <c r="E292" s="40">
        <v>0</v>
      </c>
      <c r="F292" s="40">
        <v>2</v>
      </c>
      <c r="G292" s="40">
        <v>0</v>
      </c>
      <c r="H292" s="3">
        <f t="shared" si="36"/>
        <v>0</v>
      </c>
      <c r="I292" s="3">
        <f t="shared" si="37"/>
        <v>0.64166666666666661</v>
      </c>
      <c r="J292" s="3">
        <f t="shared" si="38"/>
        <v>0</v>
      </c>
      <c r="K292" s="3"/>
      <c r="L292" s="60">
        <f t="shared" si="39"/>
        <v>642.71249999999998</v>
      </c>
      <c r="M292" s="40">
        <v>0</v>
      </c>
      <c r="N292" s="40">
        <v>0</v>
      </c>
      <c r="O292" s="40">
        <v>0</v>
      </c>
      <c r="P292" s="40">
        <v>0</v>
      </c>
      <c r="Q292" s="40">
        <v>0</v>
      </c>
      <c r="R292" s="40">
        <v>0</v>
      </c>
      <c r="S292" s="61">
        <f t="shared" si="32"/>
        <v>68.400000000000077</v>
      </c>
      <c r="T292" s="40">
        <v>0</v>
      </c>
      <c r="U292" s="40">
        <v>0</v>
      </c>
      <c r="V292" s="40">
        <v>1</v>
      </c>
      <c r="W292" s="40">
        <v>0</v>
      </c>
      <c r="X292" s="67">
        <f t="shared" si="35"/>
        <v>245</v>
      </c>
      <c r="Z292" s="71"/>
      <c r="AA292" s="71"/>
      <c r="AB292" s="67" t="str">
        <f t="shared" si="33"/>
        <v/>
      </c>
      <c r="AD292" s="121"/>
      <c r="AE292" s="121"/>
    </row>
    <row r="293" spans="1:31" x14ac:dyDescent="0.25">
      <c r="A293" s="2" t="s">
        <v>780</v>
      </c>
      <c r="B293" s="7">
        <v>0.66666666666666663</v>
      </c>
      <c r="C293" s="2">
        <v>0.3</v>
      </c>
      <c r="D293" s="10" t="s">
        <v>665</v>
      </c>
      <c r="E293" s="40">
        <v>10</v>
      </c>
      <c r="F293" s="40">
        <v>2</v>
      </c>
      <c r="G293" s="40">
        <v>1</v>
      </c>
      <c r="H293" s="3">
        <f t="shared" si="36"/>
        <v>0.125</v>
      </c>
      <c r="I293" s="3">
        <f t="shared" si="37"/>
        <v>2.4999999999999998E-2</v>
      </c>
      <c r="J293" s="3">
        <f t="shared" si="38"/>
        <v>1.2499999999999999E-2</v>
      </c>
      <c r="K293" s="3"/>
      <c r="L293" s="60">
        <f t="shared" si="39"/>
        <v>642.54999999999995</v>
      </c>
      <c r="M293" s="40">
        <v>0</v>
      </c>
      <c r="N293" s="40">
        <v>0</v>
      </c>
      <c r="O293" s="40">
        <v>0</v>
      </c>
      <c r="P293" s="40">
        <v>0</v>
      </c>
      <c r="Q293" s="40">
        <v>0</v>
      </c>
      <c r="R293" s="40">
        <v>0</v>
      </c>
      <c r="S293" s="61">
        <f t="shared" si="32"/>
        <v>68.400000000000077</v>
      </c>
      <c r="T293" s="40">
        <v>0</v>
      </c>
      <c r="U293" s="40">
        <v>0</v>
      </c>
      <c r="V293" s="40">
        <v>0</v>
      </c>
      <c r="W293" s="40">
        <v>5</v>
      </c>
      <c r="X293" s="67">
        <f t="shared" si="35"/>
        <v>240</v>
      </c>
      <c r="Z293" s="71">
        <v>140</v>
      </c>
      <c r="AA293" s="71">
        <v>114</v>
      </c>
      <c r="AB293" s="67">
        <f t="shared" si="33"/>
        <v>254</v>
      </c>
      <c r="AD293" s="121"/>
      <c r="AE293" s="121"/>
    </row>
    <row r="294" spans="1:31" x14ac:dyDescent="0.25">
      <c r="A294" s="2" t="s">
        <v>781</v>
      </c>
      <c r="B294" s="65">
        <v>0.33333333333333331</v>
      </c>
      <c r="C294" s="2">
        <v>16</v>
      </c>
      <c r="D294" s="10" t="s">
        <v>665</v>
      </c>
      <c r="E294" s="40">
        <v>20</v>
      </c>
      <c r="F294" s="40">
        <v>2.5</v>
      </c>
      <c r="G294" s="40">
        <v>2</v>
      </c>
      <c r="H294" s="3">
        <f t="shared" si="36"/>
        <v>13.333333333333334</v>
      </c>
      <c r="I294" s="3">
        <f t="shared" si="37"/>
        <v>1.6666666666666667</v>
      </c>
      <c r="J294" s="3">
        <f t="shared" si="38"/>
        <v>1.3333333333333333</v>
      </c>
      <c r="K294" s="3"/>
      <c r="L294" s="60">
        <f t="shared" si="39"/>
        <v>626.21666666666658</v>
      </c>
      <c r="M294" s="40">
        <v>1</v>
      </c>
      <c r="N294" s="40">
        <v>0</v>
      </c>
      <c r="O294" s="40">
        <v>0.5</v>
      </c>
      <c r="P294" s="40">
        <v>0</v>
      </c>
      <c r="Q294" s="40">
        <v>0</v>
      </c>
      <c r="R294" s="40">
        <v>0</v>
      </c>
      <c r="S294" s="61">
        <f t="shared" si="32"/>
        <v>66.900000000000077</v>
      </c>
      <c r="T294" s="40">
        <v>0</v>
      </c>
      <c r="U294" s="40">
        <v>0</v>
      </c>
      <c r="V294" s="40">
        <v>3</v>
      </c>
      <c r="W294" s="40">
        <v>0</v>
      </c>
      <c r="X294" s="67">
        <f t="shared" si="35"/>
        <v>237</v>
      </c>
      <c r="Z294" s="71"/>
      <c r="AA294" s="71"/>
      <c r="AB294" s="67" t="str">
        <f t="shared" si="33"/>
        <v/>
      </c>
      <c r="AD294" s="121"/>
      <c r="AE294" s="121"/>
    </row>
    <row r="295" spans="1:31" x14ac:dyDescent="0.25">
      <c r="A295" s="2" t="s">
        <v>781</v>
      </c>
      <c r="B295" s="7">
        <v>0.45833333333333331</v>
      </c>
      <c r="C295" s="2">
        <v>3</v>
      </c>
      <c r="D295" s="10" t="s">
        <v>695</v>
      </c>
      <c r="E295" s="40">
        <v>25</v>
      </c>
      <c r="F295" s="40">
        <v>2.5</v>
      </c>
      <c r="G295" s="40">
        <v>2</v>
      </c>
      <c r="H295" s="3">
        <f t="shared" si="36"/>
        <v>3.125</v>
      </c>
      <c r="I295" s="3">
        <f t="shared" si="37"/>
        <v>0.3125</v>
      </c>
      <c r="J295" s="3">
        <f t="shared" si="38"/>
        <v>0.25</v>
      </c>
      <c r="K295" s="3"/>
      <c r="L295" s="60">
        <f t="shared" si="39"/>
        <v>622.52916666666658</v>
      </c>
      <c r="M295" s="40">
        <v>0</v>
      </c>
      <c r="N295" s="40">
        <v>0</v>
      </c>
      <c r="O295" s="40">
        <v>0</v>
      </c>
      <c r="P295" s="40">
        <v>0</v>
      </c>
      <c r="Q295" s="40">
        <v>0</v>
      </c>
      <c r="R295" s="40">
        <v>0</v>
      </c>
      <c r="S295" s="61">
        <f t="shared" si="32"/>
        <v>66.900000000000077</v>
      </c>
      <c r="T295" s="40">
        <v>0</v>
      </c>
      <c r="U295" s="40">
        <v>0</v>
      </c>
      <c r="V295" s="40">
        <v>1</v>
      </c>
      <c r="W295" s="40">
        <v>0</v>
      </c>
      <c r="X295" s="67">
        <f t="shared" si="35"/>
        <v>236</v>
      </c>
      <c r="Z295" s="71"/>
      <c r="AA295" s="71"/>
      <c r="AB295" s="67" t="str">
        <f t="shared" si="33"/>
        <v/>
      </c>
      <c r="AD295" s="121">
        <v>11.3</v>
      </c>
      <c r="AE295" s="121" t="s">
        <v>1313</v>
      </c>
    </row>
    <row r="296" spans="1:31" x14ac:dyDescent="0.25">
      <c r="A296" s="2" t="s">
        <v>781</v>
      </c>
      <c r="B296" s="7">
        <v>0.5</v>
      </c>
      <c r="C296" s="2">
        <v>1</v>
      </c>
      <c r="D296" s="10" t="s">
        <v>755</v>
      </c>
      <c r="E296" s="40">
        <v>10</v>
      </c>
      <c r="F296" s="40">
        <v>2.5</v>
      </c>
      <c r="G296" s="40">
        <v>1</v>
      </c>
      <c r="H296" s="3">
        <f t="shared" si="36"/>
        <v>0.41666666666666669</v>
      </c>
      <c r="I296" s="3">
        <f t="shared" si="37"/>
        <v>0.10416666666666667</v>
      </c>
      <c r="J296" s="3">
        <f t="shared" si="38"/>
        <v>4.1666666666666664E-2</v>
      </c>
      <c r="K296" s="3"/>
      <c r="L296" s="60">
        <f t="shared" si="39"/>
        <v>621.96666666666658</v>
      </c>
      <c r="M296" s="40">
        <v>0</v>
      </c>
      <c r="N296" s="40">
        <v>0</v>
      </c>
      <c r="O296" s="40">
        <v>0</v>
      </c>
      <c r="P296" s="40">
        <v>0</v>
      </c>
      <c r="Q296" s="40">
        <v>0</v>
      </c>
      <c r="R296" s="40">
        <v>0</v>
      </c>
      <c r="S296" s="61">
        <f t="shared" si="32"/>
        <v>66.900000000000077</v>
      </c>
      <c r="T296" s="40">
        <v>0</v>
      </c>
      <c r="U296" s="40">
        <v>0</v>
      </c>
      <c r="V296" s="40">
        <v>0</v>
      </c>
      <c r="W296" s="40">
        <v>0</v>
      </c>
      <c r="X296" s="67">
        <f t="shared" si="35"/>
        <v>236</v>
      </c>
      <c r="Z296" s="71"/>
      <c r="AA296" s="71"/>
      <c r="AB296" s="67" t="str">
        <f t="shared" si="33"/>
        <v/>
      </c>
      <c r="AD296" s="121"/>
      <c r="AE296" s="121"/>
    </row>
    <row r="297" spans="1:31" x14ac:dyDescent="0.25">
      <c r="A297" s="2" t="s">
        <v>782</v>
      </c>
      <c r="B297" s="65">
        <v>0.33333333333333331</v>
      </c>
      <c r="C297" s="2">
        <v>20</v>
      </c>
      <c r="D297" s="10" t="s">
        <v>755</v>
      </c>
      <c r="E297" s="40">
        <v>0</v>
      </c>
      <c r="F297" s="40">
        <v>1.5</v>
      </c>
      <c r="G297" s="40">
        <v>2</v>
      </c>
      <c r="H297" s="3">
        <f t="shared" si="36"/>
        <v>0</v>
      </c>
      <c r="I297" s="3">
        <f t="shared" si="37"/>
        <v>1.25</v>
      </c>
      <c r="J297" s="3">
        <f t="shared" si="38"/>
        <v>1.6666666666666665</v>
      </c>
      <c r="K297" s="3"/>
      <c r="L297" s="60">
        <f t="shared" si="39"/>
        <v>619.04999999999995</v>
      </c>
      <c r="M297" s="40">
        <v>0</v>
      </c>
      <c r="N297" s="40">
        <v>0</v>
      </c>
      <c r="O297" s="40">
        <v>0</v>
      </c>
      <c r="P297" s="40">
        <v>0</v>
      </c>
      <c r="Q297" s="40">
        <v>0</v>
      </c>
      <c r="R297" s="40">
        <v>0</v>
      </c>
      <c r="S297" s="61">
        <f t="shared" si="32"/>
        <v>66.900000000000077</v>
      </c>
      <c r="T297" s="40">
        <v>0</v>
      </c>
      <c r="U297" s="40">
        <v>0</v>
      </c>
      <c r="V297" s="40">
        <v>4</v>
      </c>
      <c r="W297" s="40">
        <v>0</v>
      </c>
      <c r="X297" s="67">
        <f t="shared" si="35"/>
        <v>232</v>
      </c>
      <c r="Z297" s="71">
        <v>140</v>
      </c>
      <c r="AA297" s="71">
        <v>110</v>
      </c>
      <c r="AB297" s="67">
        <f t="shared" si="33"/>
        <v>250</v>
      </c>
      <c r="AD297" s="121"/>
      <c r="AE297" s="121"/>
    </row>
    <row r="298" spans="1:31" x14ac:dyDescent="0.25">
      <c r="A298" s="2" t="s">
        <v>783</v>
      </c>
      <c r="B298" s="65">
        <v>0.33333333333333331</v>
      </c>
      <c r="C298" s="2">
        <v>24</v>
      </c>
      <c r="D298" s="10" t="s">
        <v>755</v>
      </c>
      <c r="E298" s="40">
        <v>0</v>
      </c>
      <c r="F298" s="40">
        <v>2</v>
      </c>
      <c r="G298" s="40">
        <v>1.5</v>
      </c>
      <c r="H298" s="3">
        <f t="shared" si="36"/>
        <v>0</v>
      </c>
      <c r="I298" s="3">
        <f t="shared" si="37"/>
        <v>2</v>
      </c>
      <c r="J298" s="3">
        <f t="shared" si="38"/>
        <v>1.5</v>
      </c>
      <c r="K298" s="3"/>
      <c r="L298" s="60">
        <f t="shared" si="39"/>
        <v>615.54999999999995</v>
      </c>
      <c r="M298" s="40">
        <v>0</v>
      </c>
      <c r="N298" s="40">
        <v>0</v>
      </c>
      <c r="O298" s="40">
        <v>0</v>
      </c>
      <c r="P298" s="40">
        <v>0</v>
      </c>
      <c r="Q298" s="40">
        <v>0</v>
      </c>
      <c r="R298" s="40">
        <v>0</v>
      </c>
      <c r="S298" s="61">
        <f t="shared" si="32"/>
        <v>66.900000000000077</v>
      </c>
      <c r="T298" s="40">
        <v>0</v>
      </c>
      <c r="U298" s="40">
        <v>0</v>
      </c>
      <c r="V298" s="40">
        <v>4</v>
      </c>
      <c r="W298" s="40">
        <v>3</v>
      </c>
      <c r="X298" s="67">
        <f t="shared" si="35"/>
        <v>225</v>
      </c>
      <c r="Z298" s="71">
        <v>140</v>
      </c>
      <c r="AA298" s="71">
        <v>103</v>
      </c>
      <c r="AB298" s="67">
        <f t="shared" si="33"/>
        <v>243</v>
      </c>
      <c r="AD298" s="121"/>
      <c r="AE298" s="121"/>
    </row>
    <row r="299" spans="1:31" x14ac:dyDescent="0.25">
      <c r="A299" s="58"/>
      <c r="B299" s="7"/>
      <c r="C299" s="58"/>
      <c r="D299" s="10"/>
      <c r="E299" s="40"/>
      <c r="F299" s="40"/>
      <c r="G299" s="40"/>
      <c r="H299" s="3"/>
      <c r="I299" s="3"/>
      <c r="J299" s="3"/>
      <c r="K299" s="3"/>
      <c r="L299" s="60"/>
      <c r="M299" s="40"/>
      <c r="N299" s="40"/>
      <c r="O299" s="40"/>
      <c r="P299" s="40"/>
      <c r="Q299" s="40"/>
      <c r="R299" s="40"/>
      <c r="S299" s="61"/>
      <c r="T299" s="40"/>
      <c r="U299" s="40"/>
      <c r="V299" s="40"/>
      <c r="W299" s="40"/>
      <c r="X299" s="67"/>
      <c r="Z299" s="71"/>
      <c r="AA299" s="71"/>
      <c r="AB299" s="67"/>
      <c r="AD299" s="121"/>
      <c r="AE299" s="121"/>
    </row>
    <row r="300" spans="1:31" x14ac:dyDescent="0.25">
      <c r="A300" s="9" t="s">
        <v>183</v>
      </c>
      <c r="B300" s="65">
        <v>0.33333333333333331</v>
      </c>
      <c r="C300" s="2">
        <v>24</v>
      </c>
      <c r="D300" s="10" t="s">
        <v>755</v>
      </c>
      <c r="E300" s="40">
        <v>0</v>
      </c>
      <c r="F300" s="40">
        <v>2.5</v>
      </c>
      <c r="G300" s="40">
        <v>1.8</v>
      </c>
      <c r="H300" s="3">
        <f t="shared" si="36"/>
        <v>0</v>
      </c>
      <c r="I300" s="3">
        <f t="shared" si="37"/>
        <v>2.5</v>
      </c>
      <c r="J300" s="3">
        <f t="shared" si="38"/>
        <v>1.7999999999999998</v>
      </c>
      <c r="K300" s="3"/>
      <c r="L300" s="60">
        <f>+IF(C300="","",(L298+K300)-(H300+I300+J300))</f>
        <v>611.25</v>
      </c>
      <c r="M300" s="40">
        <v>0</v>
      </c>
      <c r="N300" s="40">
        <v>0</v>
      </c>
      <c r="O300" s="40">
        <v>0</v>
      </c>
      <c r="P300" s="40">
        <v>0</v>
      </c>
      <c r="Q300" s="40">
        <v>0</v>
      </c>
      <c r="R300" s="40">
        <v>0</v>
      </c>
      <c r="S300" s="61">
        <f>IF(C300="","",(S298+R300)-(M300+N300+O300+P300+Q300))</f>
        <v>66.900000000000077</v>
      </c>
      <c r="T300" s="40">
        <v>0</v>
      </c>
      <c r="U300" s="40">
        <v>0</v>
      </c>
      <c r="V300" s="40">
        <v>4</v>
      </c>
      <c r="W300" s="40">
        <v>2</v>
      </c>
      <c r="X300" s="67">
        <f>IF(V300="","",((X298+T300+U300)-(V300+W300)))</f>
        <v>219</v>
      </c>
      <c r="Z300" s="71">
        <v>140</v>
      </c>
      <c r="AA300" s="71">
        <v>97</v>
      </c>
      <c r="AB300" s="67">
        <f t="shared" si="33"/>
        <v>237</v>
      </c>
      <c r="AD300" s="121"/>
      <c r="AE300" s="121"/>
    </row>
    <row r="301" spans="1:31" x14ac:dyDescent="0.25">
      <c r="A301" s="2" t="s">
        <v>183</v>
      </c>
      <c r="B301" s="7">
        <v>0.43333333333333335</v>
      </c>
      <c r="C301" s="2">
        <v>2.4</v>
      </c>
      <c r="D301" s="10" t="s">
        <v>660</v>
      </c>
      <c r="E301" s="40">
        <v>0</v>
      </c>
      <c r="F301" s="40">
        <v>2.5</v>
      </c>
      <c r="G301" s="40">
        <v>1.8</v>
      </c>
      <c r="H301" s="3">
        <f t="shared" si="36"/>
        <v>0</v>
      </c>
      <c r="I301" s="3">
        <f t="shared" si="37"/>
        <v>0.25</v>
      </c>
      <c r="J301" s="3">
        <f t="shared" si="38"/>
        <v>0.18</v>
      </c>
      <c r="K301" s="3"/>
      <c r="L301" s="60">
        <f t="shared" si="39"/>
        <v>610.82000000000005</v>
      </c>
      <c r="M301" s="40">
        <v>0</v>
      </c>
      <c r="N301" s="40">
        <v>0</v>
      </c>
      <c r="O301" s="40">
        <v>0</v>
      </c>
      <c r="P301" s="40">
        <v>0</v>
      </c>
      <c r="Q301" s="40">
        <v>0</v>
      </c>
      <c r="R301" s="40">
        <v>0</v>
      </c>
      <c r="S301" s="61">
        <f t="shared" ref="S301:S363" si="40">IF(C301="","",(S300+R301)-(M301+N301+O301+P301+Q301))</f>
        <v>66.900000000000077</v>
      </c>
      <c r="T301" s="40">
        <v>0</v>
      </c>
      <c r="U301" s="40">
        <v>0</v>
      </c>
      <c r="V301" s="40">
        <v>0</v>
      </c>
      <c r="W301" s="40">
        <v>0</v>
      </c>
      <c r="X301" s="67">
        <f t="shared" si="35"/>
        <v>219</v>
      </c>
      <c r="Z301" s="71"/>
      <c r="AA301" s="71"/>
      <c r="AB301" s="67" t="str">
        <f t="shared" si="33"/>
        <v/>
      </c>
      <c r="AD301" s="121"/>
      <c r="AE301" s="121"/>
    </row>
    <row r="302" spans="1:31" x14ac:dyDescent="0.25">
      <c r="A302" s="2" t="s">
        <v>183</v>
      </c>
      <c r="B302" s="7">
        <v>0.52500000000000002</v>
      </c>
      <c r="C302" s="2">
        <v>2.1</v>
      </c>
      <c r="D302" s="10" t="s">
        <v>755</v>
      </c>
      <c r="E302" s="40">
        <v>10</v>
      </c>
      <c r="F302" s="40">
        <v>2.5</v>
      </c>
      <c r="G302" s="40">
        <v>1.5</v>
      </c>
      <c r="H302" s="3">
        <f t="shared" si="36"/>
        <v>0.87500000000000011</v>
      </c>
      <c r="I302" s="3">
        <f t="shared" si="37"/>
        <v>0.21875000000000003</v>
      </c>
      <c r="J302" s="3">
        <f t="shared" si="38"/>
        <v>0.13125000000000001</v>
      </c>
      <c r="K302" s="3"/>
      <c r="L302" s="60">
        <f t="shared" si="39"/>
        <v>609.59500000000003</v>
      </c>
      <c r="M302" s="40">
        <v>0</v>
      </c>
      <c r="N302" s="40">
        <v>0</v>
      </c>
      <c r="O302" s="40">
        <v>0</v>
      </c>
      <c r="P302" s="40">
        <v>0</v>
      </c>
      <c r="Q302" s="40">
        <v>0</v>
      </c>
      <c r="R302" s="40">
        <v>0</v>
      </c>
      <c r="S302" s="61">
        <f t="shared" si="40"/>
        <v>66.900000000000077</v>
      </c>
      <c r="T302" s="40">
        <v>0</v>
      </c>
      <c r="U302" s="40">
        <v>0</v>
      </c>
      <c r="V302" s="40">
        <v>1</v>
      </c>
      <c r="W302" s="40">
        <v>0</v>
      </c>
      <c r="X302" s="67">
        <f t="shared" si="35"/>
        <v>218</v>
      </c>
      <c r="Z302" s="71"/>
      <c r="AA302" s="71"/>
      <c r="AB302" s="67" t="str">
        <f t="shared" si="33"/>
        <v/>
      </c>
      <c r="AD302" s="121"/>
      <c r="AE302" s="121"/>
    </row>
    <row r="303" spans="1:31" x14ac:dyDescent="0.25">
      <c r="A303" s="2" t="s">
        <v>186</v>
      </c>
      <c r="B303" s="65">
        <v>0.33333333333333331</v>
      </c>
      <c r="C303" s="2">
        <v>19.399999999999999</v>
      </c>
      <c r="D303" s="10" t="s">
        <v>755</v>
      </c>
      <c r="E303" s="40">
        <v>0</v>
      </c>
      <c r="F303" s="40">
        <v>2.5</v>
      </c>
      <c r="G303" s="40">
        <v>1.5</v>
      </c>
      <c r="H303" s="3">
        <f t="shared" si="36"/>
        <v>0</v>
      </c>
      <c r="I303" s="3">
        <f t="shared" si="37"/>
        <v>2.0208333333333335</v>
      </c>
      <c r="J303" s="3">
        <f t="shared" si="38"/>
        <v>1.2124999999999999</v>
      </c>
      <c r="K303" s="3"/>
      <c r="L303" s="60">
        <f t="shared" si="39"/>
        <v>606.36166666666668</v>
      </c>
      <c r="M303" s="40">
        <v>0</v>
      </c>
      <c r="N303" s="40">
        <v>0</v>
      </c>
      <c r="O303" s="40">
        <v>0.1</v>
      </c>
      <c r="P303" s="40">
        <v>0</v>
      </c>
      <c r="Q303" s="40">
        <v>0</v>
      </c>
      <c r="R303" s="40">
        <v>0</v>
      </c>
      <c r="S303" s="61">
        <f t="shared" si="40"/>
        <v>66.800000000000082</v>
      </c>
      <c r="T303" s="40">
        <v>0</v>
      </c>
      <c r="U303" s="40">
        <v>0</v>
      </c>
      <c r="V303" s="40">
        <v>4</v>
      </c>
      <c r="W303" s="40">
        <v>2</v>
      </c>
      <c r="X303" s="67">
        <f t="shared" si="35"/>
        <v>212</v>
      </c>
      <c r="Z303" s="71">
        <v>140</v>
      </c>
      <c r="AA303" s="71">
        <v>91</v>
      </c>
      <c r="AB303" s="67">
        <f t="shared" si="33"/>
        <v>231</v>
      </c>
      <c r="AD303" s="121"/>
      <c r="AE303" s="121"/>
    </row>
    <row r="304" spans="1:31" x14ac:dyDescent="0.25">
      <c r="A304" s="2" t="s">
        <v>186</v>
      </c>
      <c r="B304" s="7">
        <v>0.9291666666666667</v>
      </c>
      <c r="C304" s="2">
        <v>14.3</v>
      </c>
      <c r="D304" s="10" t="s">
        <v>625</v>
      </c>
      <c r="E304" s="40">
        <v>0</v>
      </c>
      <c r="F304" s="40">
        <v>2</v>
      </c>
      <c r="G304" s="40">
        <v>1</v>
      </c>
      <c r="H304" s="3">
        <f t="shared" si="36"/>
        <v>0</v>
      </c>
      <c r="I304" s="3">
        <f t="shared" si="37"/>
        <v>1.1916666666666667</v>
      </c>
      <c r="J304" s="3">
        <f t="shared" si="38"/>
        <v>0.59583333333333333</v>
      </c>
      <c r="K304" s="3"/>
      <c r="L304" s="60">
        <f t="shared" si="39"/>
        <v>604.57416666666666</v>
      </c>
      <c r="M304" s="40">
        <v>0</v>
      </c>
      <c r="N304" s="40">
        <v>0</v>
      </c>
      <c r="O304" s="40">
        <v>0</v>
      </c>
      <c r="P304" s="40">
        <v>0</v>
      </c>
      <c r="Q304" s="40">
        <v>0</v>
      </c>
      <c r="R304" s="40">
        <v>0</v>
      </c>
      <c r="S304" s="61">
        <f t="shared" si="40"/>
        <v>66.800000000000082</v>
      </c>
      <c r="T304" s="40">
        <v>0</v>
      </c>
      <c r="U304" s="40">
        <v>0</v>
      </c>
      <c r="V304" s="40">
        <v>2</v>
      </c>
      <c r="W304" s="40">
        <v>0</v>
      </c>
      <c r="X304" s="67">
        <f t="shared" si="35"/>
        <v>210</v>
      </c>
      <c r="Z304" s="71"/>
      <c r="AA304" s="71"/>
      <c r="AB304" s="67" t="str">
        <f t="shared" si="33"/>
        <v/>
      </c>
      <c r="AD304" s="121"/>
      <c r="AE304" s="121"/>
    </row>
    <row r="305" spans="1:31" x14ac:dyDescent="0.25">
      <c r="A305" s="2" t="s">
        <v>186</v>
      </c>
      <c r="B305" s="7">
        <v>0.97916666666666663</v>
      </c>
      <c r="C305" s="2">
        <v>1.2</v>
      </c>
      <c r="D305" s="10" t="s">
        <v>665</v>
      </c>
      <c r="E305" s="40">
        <v>15</v>
      </c>
      <c r="F305" s="40">
        <v>2.5</v>
      </c>
      <c r="G305" s="40">
        <v>1</v>
      </c>
      <c r="H305" s="3">
        <f t="shared" si="36"/>
        <v>0.75</v>
      </c>
      <c r="I305" s="3">
        <f t="shared" si="37"/>
        <v>0.125</v>
      </c>
      <c r="J305" s="3">
        <f t="shared" si="38"/>
        <v>4.9999999999999996E-2</v>
      </c>
      <c r="K305" s="3"/>
      <c r="L305" s="60">
        <f t="shared" si="39"/>
        <v>603.6491666666667</v>
      </c>
      <c r="M305" s="40">
        <v>0</v>
      </c>
      <c r="N305" s="40">
        <v>0</v>
      </c>
      <c r="O305" s="40">
        <v>0</v>
      </c>
      <c r="P305" s="40">
        <v>0</v>
      </c>
      <c r="Q305" s="40">
        <v>0</v>
      </c>
      <c r="R305" s="40">
        <v>0</v>
      </c>
      <c r="S305" s="61">
        <f t="shared" si="40"/>
        <v>66.800000000000082</v>
      </c>
      <c r="T305" s="40">
        <v>0</v>
      </c>
      <c r="U305" s="40">
        <v>0</v>
      </c>
      <c r="V305" s="40">
        <v>0</v>
      </c>
      <c r="W305" s="40">
        <v>0</v>
      </c>
      <c r="X305" s="67">
        <f t="shared" si="35"/>
        <v>210</v>
      </c>
      <c r="Z305" s="71"/>
      <c r="AA305" s="71"/>
      <c r="AB305" s="67" t="str">
        <f t="shared" si="33"/>
        <v/>
      </c>
      <c r="AD305" s="121"/>
      <c r="AE305" s="121"/>
    </row>
    <row r="306" spans="1:31" x14ac:dyDescent="0.25">
      <c r="A306" s="2" t="s">
        <v>189</v>
      </c>
      <c r="B306" s="65">
        <v>0.33333333333333331</v>
      </c>
      <c r="C306" s="2">
        <v>8.5</v>
      </c>
      <c r="D306" s="10" t="s">
        <v>665</v>
      </c>
      <c r="E306" s="40">
        <v>25</v>
      </c>
      <c r="F306" s="40">
        <v>2.2999999999999998</v>
      </c>
      <c r="G306" s="40">
        <v>0</v>
      </c>
      <c r="H306" s="3">
        <f t="shared" si="36"/>
        <v>8.8541666666666679</v>
      </c>
      <c r="I306" s="3">
        <f t="shared" si="37"/>
        <v>0.81458333333333321</v>
      </c>
      <c r="J306" s="3">
        <f t="shared" si="38"/>
        <v>0</v>
      </c>
      <c r="K306" s="3"/>
      <c r="L306" s="60">
        <f t="shared" si="39"/>
        <v>593.98041666666666</v>
      </c>
      <c r="M306" s="40">
        <v>0</v>
      </c>
      <c r="N306" s="40">
        <v>0</v>
      </c>
      <c r="O306" s="40">
        <v>0.1</v>
      </c>
      <c r="P306" s="40">
        <v>0</v>
      </c>
      <c r="Q306" s="40">
        <v>0</v>
      </c>
      <c r="R306" s="40">
        <v>0</v>
      </c>
      <c r="S306" s="61">
        <f t="shared" si="40"/>
        <v>66.700000000000088</v>
      </c>
      <c r="T306" s="40">
        <v>2</v>
      </c>
      <c r="U306" s="40">
        <v>0</v>
      </c>
      <c r="V306" s="40">
        <v>2</v>
      </c>
      <c r="W306" s="40">
        <v>0</v>
      </c>
      <c r="X306" s="67">
        <f t="shared" si="35"/>
        <v>210</v>
      </c>
      <c r="Z306" s="71">
        <v>140</v>
      </c>
      <c r="AA306" s="71">
        <v>88</v>
      </c>
      <c r="AB306" s="67">
        <f t="shared" si="33"/>
        <v>228</v>
      </c>
      <c r="AD306" s="121"/>
      <c r="AE306" s="121"/>
    </row>
    <row r="307" spans="1:31" x14ac:dyDescent="0.25">
      <c r="A307" s="2" t="s">
        <v>189</v>
      </c>
      <c r="B307" s="7">
        <v>0.70833333333333337</v>
      </c>
      <c r="C307" s="2">
        <v>9</v>
      </c>
      <c r="D307" s="10" t="s">
        <v>695</v>
      </c>
      <c r="E307" s="40">
        <v>25</v>
      </c>
      <c r="F307" s="40">
        <v>2.5</v>
      </c>
      <c r="G307" s="40">
        <v>0</v>
      </c>
      <c r="H307" s="3">
        <f t="shared" si="36"/>
        <v>9.375</v>
      </c>
      <c r="I307" s="3">
        <f t="shared" si="37"/>
        <v>0.9375</v>
      </c>
      <c r="J307" s="3">
        <f t="shared" si="38"/>
        <v>0</v>
      </c>
      <c r="K307" s="3"/>
      <c r="L307" s="60">
        <f t="shared" si="39"/>
        <v>583.66791666666666</v>
      </c>
      <c r="M307" s="40">
        <v>0</v>
      </c>
      <c r="N307" s="40">
        <v>0</v>
      </c>
      <c r="O307" s="40">
        <v>0</v>
      </c>
      <c r="P307" s="40">
        <v>0</v>
      </c>
      <c r="Q307" s="40">
        <v>0</v>
      </c>
      <c r="R307" s="40">
        <v>0</v>
      </c>
      <c r="S307" s="61">
        <f t="shared" si="40"/>
        <v>66.700000000000088</v>
      </c>
      <c r="T307" s="40">
        <v>0</v>
      </c>
      <c r="U307" s="40">
        <v>0</v>
      </c>
      <c r="V307" s="40">
        <v>2</v>
      </c>
      <c r="W307" s="40">
        <v>0</v>
      </c>
      <c r="X307" s="67">
        <f t="shared" si="35"/>
        <v>208</v>
      </c>
      <c r="Z307" s="71"/>
      <c r="AA307" s="71"/>
      <c r="AB307" s="67" t="str">
        <f t="shared" si="33"/>
        <v/>
      </c>
      <c r="AD307" s="121">
        <v>12.2</v>
      </c>
      <c r="AE307" s="121" t="s">
        <v>1303</v>
      </c>
    </row>
    <row r="308" spans="1:31" x14ac:dyDescent="0.25">
      <c r="A308" s="2" t="s">
        <v>189</v>
      </c>
      <c r="B308" s="7">
        <v>0.99583333333333324</v>
      </c>
      <c r="C308" s="2">
        <v>6.6</v>
      </c>
      <c r="D308" s="10" t="s">
        <v>705</v>
      </c>
      <c r="E308" s="40">
        <v>10</v>
      </c>
      <c r="F308" s="40">
        <v>2.5</v>
      </c>
      <c r="G308" s="40">
        <v>1</v>
      </c>
      <c r="H308" s="3">
        <f t="shared" si="36"/>
        <v>2.75</v>
      </c>
      <c r="I308" s="3">
        <f t="shared" si="37"/>
        <v>0.6875</v>
      </c>
      <c r="J308" s="3">
        <f t="shared" si="38"/>
        <v>0.27499999999999997</v>
      </c>
      <c r="K308" s="3"/>
      <c r="L308" s="60">
        <f t="shared" si="39"/>
        <v>579.95541666666668</v>
      </c>
      <c r="M308" s="40">
        <v>0</v>
      </c>
      <c r="N308" s="40">
        <v>0</v>
      </c>
      <c r="O308" s="40">
        <v>0</v>
      </c>
      <c r="P308" s="40">
        <v>0</v>
      </c>
      <c r="Q308" s="40">
        <v>0</v>
      </c>
      <c r="R308" s="40">
        <v>0</v>
      </c>
      <c r="S308" s="61">
        <f t="shared" si="40"/>
        <v>66.700000000000088</v>
      </c>
      <c r="T308" s="40">
        <v>0</v>
      </c>
      <c r="U308" s="40">
        <v>0</v>
      </c>
      <c r="V308" s="40">
        <v>1</v>
      </c>
      <c r="W308" s="40">
        <v>0</v>
      </c>
      <c r="X308" s="67">
        <f t="shared" si="35"/>
        <v>207</v>
      </c>
      <c r="Z308" s="71"/>
      <c r="AA308" s="71"/>
      <c r="AB308" s="67" t="str">
        <f t="shared" si="33"/>
        <v/>
      </c>
      <c r="AD308" s="121"/>
      <c r="AE308" s="121"/>
    </row>
    <row r="309" spans="1:31" x14ac:dyDescent="0.25">
      <c r="A309" s="2" t="s">
        <v>193</v>
      </c>
      <c r="B309" s="65">
        <v>0.33333333333333331</v>
      </c>
      <c r="C309" s="2">
        <v>8.1</v>
      </c>
      <c r="D309" s="10" t="s">
        <v>705</v>
      </c>
      <c r="E309" s="40">
        <v>0</v>
      </c>
      <c r="F309" s="40">
        <v>2.5</v>
      </c>
      <c r="G309" s="40">
        <v>1.5</v>
      </c>
      <c r="H309" s="3">
        <f t="shared" si="36"/>
        <v>0</v>
      </c>
      <c r="I309" s="3">
        <f t="shared" si="37"/>
        <v>0.84375</v>
      </c>
      <c r="J309" s="3">
        <f t="shared" si="38"/>
        <v>0.50624999999999998</v>
      </c>
      <c r="K309" s="3"/>
      <c r="L309" s="60">
        <f t="shared" si="39"/>
        <v>578.60541666666666</v>
      </c>
      <c r="M309" s="40">
        <v>0</v>
      </c>
      <c r="N309" s="40">
        <v>0</v>
      </c>
      <c r="O309" s="40">
        <v>0.1</v>
      </c>
      <c r="P309" s="40">
        <v>0</v>
      </c>
      <c r="Q309" s="40">
        <v>2</v>
      </c>
      <c r="R309" s="40">
        <v>0</v>
      </c>
      <c r="S309" s="61">
        <f t="shared" si="40"/>
        <v>64.600000000000094</v>
      </c>
      <c r="T309" s="40">
        <v>0</v>
      </c>
      <c r="U309" s="40">
        <v>0</v>
      </c>
      <c r="V309" s="40">
        <v>1</v>
      </c>
      <c r="W309" s="40">
        <v>1</v>
      </c>
      <c r="X309" s="67">
        <f t="shared" si="35"/>
        <v>205</v>
      </c>
      <c r="Z309" s="71">
        <v>140</v>
      </c>
      <c r="AA309" s="71">
        <v>87</v>
      </c>
      <c r="AB309" s="67">
        <f t="shared" si="33"/>
        <v>227</v>
      </c>
      <c r="AD309" s="121"/>
      <c r="AE309" s="121"/>
    </row>
    <row r="310" spans="1:31" x14ac:dyDescent="0.25">
      <c r="A310" s="2" t="s">
        <v>193</v>
      </c>
      <c r="B310" s="7">
        <v>0.91666666666666663</v>
      </c>
      <c r="C310" s="2">
        <v>2</v>
      </c>
      <c r="D310" s="10" t="s">
        <v>660</v>
      </c>
      <c r="E310" s="40">
        <v>0</v>
      </c>
      <c r="F310" s="40">
        <v>2.5</v>
      </c>
      <c r="G310" s="40">
        <v>1.5</v>
      </c>
      <c r="H310" s="3">
        <f t="shared" si="36"/>
        <v>0</v>
      </c>
      <c r="I310" s="3">
        <f t="shared" si="37"/>
        <v>0.20833333333333334</v>
      </c>
      <c r="J310" s="3">
        <f t="shared" si="38"/>
        <v>0.125</v>
      </c>
      <c r="K310" s="3"/>
      <c r="L310" s="60">
        <f t="shared" si="39"/>
        <v>578.27208333333328</v>
      </c>
      <c r="M310" s="40">
        <v>0</v>
      </c>
      <c r="N310" s="40">
        <v>0</v>
      </c>
      <c r="O310" s="40">
        <v>0</v>
      </c>
      <c r="P310" s="40">
        <v>0</v>
      </c>
      <c r="Q310" s="40">
        <v>2.5</v>
      </c>
      <c r="R310" s="40">
        <v>0</v>
      </c>
      <c r="S310" s="61">
        <f t="shared" si="40"/>
        <v>62.100000000000094</v>
      </c>
      <c r="T310" s="40">
        <v>0</v>
      </c>
      <c r="U310" s="40">
        <v>0</v>
      </c>
      <c r="V310" s="40">
        <v>2</v>
      </c>
      <c r="W310" s="40">
        <v>0</v>
      </c>
      <c r="X310" s="67">
        <f t="shared" si="35"/>
        <v>203</v>
      </c>
      <c r="Z310" s="71"/>
      <c r="AA310" s="71"/>
      <c r="AB310" s="67" t="str">
        <f t="shared" si="33"/>
        <v/>
      </c>
      <c r="AD310" s="121"/>
      <c r="AE310" s="121"/>
    </row>
    <row r="311" spans="1:31" x14ac:dyDescent="0.25">
      <c r="A311" s="2" t="s">
        <v>193</v>
      </c>
      <c r="B311" s="7">
        <v>0.9375</v>
      </c>
      <c r="C311" s="2">
        <v>0.5</v>
      </c>
      <c r="D311" s="10" t="s">
        <v>105</v>
      </c>
      <c r="E311" s="40">
        <v>10</v>
      </c>
      <c r="F311" s="40">
        <v>2.5</v>
      </c>
      <c r="G311" s="40">
        <v>1</v>
      </c>
      <c r="H311" s="3">
        <f t="shared" si="36"/>
        <v>0.20833333333333334</v>
      </c>
      <c r="I311" s="3">
        <f t="shared" si="37"/>
        <v>5.2083333333333336E-2</v>
      </c>
      <c r="J311" s="3">
        <f t="shared" si="38"/>
        <v>2.0833333333333332E-2</v>
      </c>
      <c r="K311" s="3"/>
      <c r="L311" s="60">
        <f t="shared" si="39"/>
        <v>577.99083333333328</v>
      </c>
      <c r="M311" s="40">
        <v>0</v>
      </c>
      <c r="N311" s="40">
        <v>0</v>
      </c>
      <c r="O311" s="40">
        <v>0</v>
      </c>
      <c r="P311" s="40">
        <v>0</v>
      </c>
      <c r="Q311" s="40">
        <v>0</v>
      </c>
      <c r="R311" s="40">
        <v>0</v>
      </c>
      <c r="S311" s="61">
        <f t="shared" si="40"/>
        <v>62.100000000000094</v>
      </c>
      <c r="T311" s="40">
        <v>0</v>
      </c>
      <c r="U311" s="40">
        <v>0</v>
      </c>
      <c r="V311" s="40">
        <v>0</v>
      </c>
      <c r="W311" s="40">
        <v>0</v>
      </c>
      <c r="X311" s="67">
        <f t="shared" si="35"/>
        <v>203</v>
      </c>
      <c r="Z311" s="71"/>
      <c r="AA311" s="71"/>
      <c r="AB311" s="67" t="str">
        <f t="shared" si="33"/>
        <v/>
      </c>
      <c r="AD311" s="121"/>
      <c r="AE311" s="121"/>
    </row>
    <row r="312" spans="1:31" x14ac:dyDescent="0.25">
      <c r="A312" s="2" t="s">
        <v>198</v>
      </c>
      <c r="B312" s="7">
        <v>0.10416666666666667</v>
      </c>
      <c r="C312" s="2">
        <v>4</v>
      </c>
      <c r="D312" s="10" t="s">
        <v>695</v>
      </c>
      <c r="E312" s="40">
        <v>24</v>
      </c>
      <c r="F312" s="40">
        <v>2.5</v>
      </c>
      <c r="G312" s="40">
        <v>0</v>
      </c>
      <c r="H312" s="3">
        <f t="shared" si="36"/>
        <v>4</v>
      </c>
      <c r="I312" s="3">
        <f t="shared" si="37"/>
        <v>0.41666666666666669</v>
      </c>
      <c r="J312" s="3">
        <f t="shared" si="38"/>
        <v>0</v>
      </c>
      <c r="K312" s="3"/>
      <c r="L312" s="60">
        <f t="shared" si="39"/>
        <v>573.57416666666666</v>
      </c>
      <c r="M312" s="40">
        <v>0</v>
      </c>
      <c r="N312" s="40">
        <v>0</v>
      </c>
      <c r="O312" s="40">
        <v>0</v>
      </c>
      <c r="P312" s="40">
        <v>0</v>
      </c>
      <c r="Q312" s="40">
        <v>0</v>
      </c>
      <c r="R312" s="40">
        <v>0</v>
      </c>
      <c r="S312" s="61">
        <f t="shared" si="40"/>
        <v>62.100000000000094</v>
      </c>
      <c r="T312" s="40">
        <v>0</v>
      </c>
      <c r="U312" s="40">
        <v>0</v>
      </c>
      <c r="V312" s="40">
        <v>1</v>
      </c>
      <c r="W312" s="40">
        <v>0</v>
      </c>
      <c r="X312" s="67">
        <f t="shared" si="35"/>
        <v>202</v>
      </c>
      <c r="Z312" s="71"/>
      <c r="AA312" s="71"/>
      <c r="AB312" s="67" t="str">
        <f t="shared" si="33"/>
        <v/>
      </c>
      <c r="AD312" s="121">
        <v>13.5</v>
      </c>
      <c r="AE312" s="121" t="s">
        <v>1303</v>
      </c>
    </row>
    <row r="313" spans="1:31" x14ac:dyDescent="0.25">
      <c r="A313" s="2" t="s">
        <v>198</v>
      </c>
      <c r="B313" s="7">
        <v>0.14583333333333334</v>
      </c>
      <c r="C313" s="2">
        <v>1</v>
      </c>
      <c r="D313" s="10" t="s">
        <v>784</v>
      </c>
      <c r="E313" s="40">
        <v>10</v>
      </c>
      <c r="F313" s="40">
        <v>2.5</v>
      </c>
      <c r="G313" s="40">
        <v>1</v>
      </c>
      <c r="H313" s="3">
        <f t="shared" si="36"/>
        <v>0.41666666666666669</v>
      </c>
      <c r="I313" s="3">
        <f t="shared" si="37"/>
        <v>0.10416666666666667</v>
      </c>
      <c r="J313" s="3">
        <f t="shared" si="38"/>
        <v>4.1666666666666664E-2</v>
      </c>
      <c r="K313" s="3"/>
      <c r="L313" s="60">
        <f t="shared" si="39"/>
        <v>573.01166666666666</v>
      </c>
      <c r="M313" s="40">
        <v>0</v>
      </c>
      <c r="N313" s="40">
        <v>0</v>
      </c>
      <c r="O313" s="40">
        <v>0</v>
      </c>
      <c r="P313" s="40">
        <v>0</v>
      </c>
      <c r="Q313" s="40">
        <v>0</v>
      </c>
      <c r="R313" s="40">
        <v>0</v>
      </c>
      <c r="S313" s="61">
        <f t="shared" si="40"/>
        <v>62.100000000000094</v>
      </c>
      <c r="T313" s="40">
        <v>0</v>
      </c>
      <c r="U313" s="40">
        <v>0</v>
      </c>
      <c r="V313" s="40">
        <v>0</v>
      </c>
      <c r="W313" s="40">
        <v>0</v>
      </c>
      <c r="X313" s="67">
        <f t="shared" si="35"/>
        <v>202</v>
      </c>
      <c r="Z313" s="71"/>
      <c r="AA313" s="71"/>
      <c r="AB313" s="67" t="str">
        <f t="shared" si="33"/>
        <v/>
      </c>
      <c r="AD313" s="121"/>
      <c r="AE313" s="121"/>
    </row>
    <row r="314" spans="1:31" x14ac:dyDescent="0.25">
      <c r="A314" s="2" t="s">
        <v>198</v>
      </c>
      <c r="B314" s="65">
        <v>0.33333333333333331</v>
      </c>
      <c r="C314" s="2">
        <v>4.5</v>
      </c>
      <c r="D314" s="10" t="s">
        <v>784</v>
      </c>
      <c r="E314" s="40">
        <v>0</v>
      </c>
      <c r="F314" s="40">
        <v>2.5</v>
      </c>
      <c r="G314" s="40">
        <v>1.5</v>
      </c>
      <c r="H314" s="3">
        <f t="shared" si="36"/>
        <v>0</v>
      </c>
      <c r="I314" s="3">
        <f t="shared" si="37"/>
        <v>0.46875</v>
      </c>
      <c r="J314" s="3">
        <f t="shared" si="38"/>
        <v>0.28125</v>
      </c>
      <c r="K314" s="3"/>
      <c r="L314" s="60">
        <f t="shared" si="39"/>
        <v>572.26166666666666</v>
      </c>
      <c r="M314" s="40">
        <v>0</v>
      </c>
      <c r="N314" s="40">
        <v>0</v>
      </c>
      <c r="O314" s="40">
        <v>0</v>
      </c>
      <c r="P314" s="40">
        <v>0</v>
      </c>
      <c r="Q314" s="40">
        <v>0</v>
      </c>
      <c r="R314" s="40">
        <v>0</v>
      </c>
      <c r="S314" s="61">
        <f t="shared" si="40"/>
        <v>62.100000000000094</v>
      </c>
      <c r="T314" s="40">
        <v>0</v>
      </c>
      <c r="U314" s="40">
        <v>0</v>
      </c>
      <c r="V314" s="40">
        <v>1</v>
      </c>
      <c r="W314" s="40">
        <v>3</v>
      </c>
      <c r="X314" s="67">
        <f t="shared" si="35"/>
        <v>198</v>
      </c>
      <c r="Z314" s="71">
        <v>140</v>
      </c>
      <c r="AA314" s="71">
        <v>80</v>
      </c>
      <c r="AB314" s="67">
        <f t="shared" si="33"/>
        <v>220</v>
      </c>
      <c r="AD314" s="121"/>
      <c r="AE314" s="121"/>
    </row>
    <row r="315" spans="1:31" x14ac:dyDescent="0.25">
      <c r="A315" s="2" t="s">
        <v>198</v>
      </c>
      <c r="B315" s="7">
        <v>0.37083333333333335</v>
      </c>
      <c r="C315" s="2">
        <v>0.9</v>
      </c>
      <c r="D315" s="10" t="s">
        <v>660</v>
      </c>
      <c r="E315" s="40">
        <v>0</v>
      </c>
      <c r="F315" s="40">
        <v>2.5</v>
      </c>
      <c r="G315" s="40">
        <v>1</v>
      </c>
      <c r="H315" s="3">
        <f t="shared" si="36"/>
        <v>0</v>
      </c>
      <c r="I315" s="3">
        <f t="shared" si="37"/>
        <v>9.375E-2</v>
      </c>
      <c r="J315" s="3">
        <f t="shared" si="38"/>
        <v>3.7499999999999999E-2</v>
      </c>
      <c r="K315" s="3"/>
      <c r="L315" s="60">
        <f t="shared" si="39"/>
        <v>572.13041666666663</v>
      </c>
      <c r="M315" s="40">
        <v>0</v>
      </c>
      <c r="N315" s="40">
        <v>0</v>
      </c>
      <c r="O315" s="40">
        <v>0</v>
      </c>
      <c r="P315" s="40">
        <v>0</v>
      </c>
      <c r="Q315" s="40">
        <v>0</v>
      </c>
      <c r="R315" s="40">
        <v>0</v>
      </c>
      <c r="S315" s="61">
        <f t="shared" si="40"/>
        <v>62.100000000000094</v>
      </c>
      <c r="T315" s="40">
        <v>0</v>
      </c>
      <c r="U315" s="40">
        <v>0</v>
      </c>
      <c r="V315" s="40">
        <v>0</v>
      </c>
      <c r="W315" s="40">
        <v>0</v>
      </c>
      <c r="X315" s="67">
        <f t="shared" si="35"/>
        <v>198</v>
      </c>
      <c r="Z315" s="71"/>
      <c r="AA315" s="71"/>
      <c r="AB315" s="67" t="str">
        <f t="shared" si="33"/>
        <v/>
      </c>
      <c r="AD315" s="121"/>
      <c r="AE315" s="121"/>
    </row>
    <row r="316" spans="1:31" x14ac:dyDescent="0.25">
      <c r="A316" s="2" t="s">
        <v>198</v>
      </c>
      <c r="B316" s="7">
        <v>0.4375</v>
      </c>
      <c r="C316" s="2">
        <v>1.6</v>
      </c>
      <c r="D316" s="10" t="s">
        <v>732</v>
      </c>
      <c r="E316" s="40">
        <v>10</v>
      </c>
      <c r="F316" s="40">
        <v>2.5</v>
      </c>
      <c r="G316" s="40">
        <v>1</v>
      </c>
      <c r="H316" s="3">
        <f t="shared" si="36"/>
        <v>0.66666666666666674</v>
      </c>
      <c r="I316" s="3">
        <f t="shared" si="37"/>
        <v>0.16666666666666669</v>
      </c>
      <c r="J316" s="3">
        <f t="shared" si="38"/>
        <v>6.6666666666666666E-2</v>
      </c>
      <c r="K316" s="3"/>
      <c r="L316" s="60">
        <f t="shared" si="39"/>
        <v>571.23041666666666</v>
      </c>
      <c r="M316" s="40">
        <v>0</v>
      </c>
      <c r="N316" s="40">
        <v>0</v>
      </c>
      <c r="O316" s="40">
        <v>0</v>
      </c>
      <c r="P316" s="40">
        <v>0</v>
      </c>
      <c r="Q316" s="40">
        <v>0</v>
      </c>
      <c r="R316" s="40">
        <v>0</v>
      </c>
      <c r="S316" s="61">
        <f t="shared" si="40"/>
        <v>62.100000000000094</v>
      </c>
      <c r="T316" s="40">
        <v>0</v>
      </c>
      <c r="U316" s="40">
        <v>0</v>
      </c>
      <c r="V316" s="40">
        <v>0</v>
      </c>
      <c r="W316" s="40">
        <v>0</v>
      </c>
      <c r="X316" s="67">
        <f t="shared" si="35"/>
        <v>198</v>
      </c>
      <c r="Z316" s="71"/>
      <c r="AA316" s="71"/>
      <c r="AB316" s="67" t="str">
        <f t="shared" si="33"/>
        <v/>
      </c>
      <c r="AD316" s="121"/>
      <c r="AE316" s="121"/>
    </row>
    <row r="317" spans="1:31" x14ac:dyDescent="0.25">
      <c r="A317" s="2" t="s">
        <v>200</v>
      </c>
      <c r="B317" s="7">
        <v>0</v>
      </c>
      <c r="C317" s="2">
        <v>10</v>
      </c>
      <c r="D317" s="10" t="s">
        <v>660</v>
      </c>
      <c r="E317" s="40">
        <v>0</v>
      </c>
      <c r="F317" s="40">
        <v>2.5</v>
      </c>
      <c r="G317" s="40">
        <v>1.5</v>
      </c>
      <c r="H317" s="3">
        <f t="shared" si="36"/>
        <v>0</v>
      </c>
      <c r="I317" s="3">
        <f t="shared" si="37"/>
        <v>1.0416666666666667</v>
      </c>
      <c r="J317" s="3">
        <f t="shared" si="38"/>
        <v>0.625</v>
      </c>
      <c r="K317" s="3"/>
      <c r="L317" s="60">
        <f t="shared" si="39"/>
        <v>569.56375000000003</v>
      </c>
      <c r="M317" s="40">
        <v>0</v>
      </c>
      <c r="N317" s="40">
        <v>0</v>
      </c>
      <c r="O317" s="40">
        <v>0</v>
      </c>
      <c r="P317" s="40">
        <v>0</v>
      </c>
      <c r="Q317" s="40">
        <v>2.5</v>
      </c>
      <c r="R317" s="40">
        <v>0</v>
      </c>
      <c r="S317" s="61">
        <f t="shared" si="40"/>
        <v>59.600000000000094</v>
      </c>
      <c r="T317" s="40">
        <v>0</v>
      </c>
      <c r="U317" s="40">
        <v>0</v>
      </c>
      <c r="V317" s="40">
        <v>2</v>
      </c>
      <c r="W317" s="40">
        <v>0</v>
      </c>
      <c r="X317" s="67">
        <f t="shared" si="35"/>
        <v>196</v>
      </c>
      <c r="Z317" s="71"/>
      <c r="AA317" s="71"/>
      <c r="AB317" s="67" t="str">
        <f t="shared" si="33"/>
        <v/>
      </c>
      <c r="AD317" s="121"/>
      <c r="AE317" s="121"/>
    </row>
    <row r="318" spans="1:31" x14ac:dyDescent="0.25">
      <c r="A318" s="2" t="s">
        <v>200</v>
      </c>
      <c r="B318" s="7">
        <v>2.0833333333333332E-2</v>
      </c>
      <c r="C318" s="2">
        <v>0.5</v>
      </c>
      <c r="D318" s="10" t="s">
        <v>105</v>
      </c>
      <c r="E318" s="40">
        <v>10</v>
      </c>
      <c r="F318" s="40">
        <v>2.5</v>
      </c>
      <c r="G318" s="40">
        <v>0</v>
      </c>
      <c r="H318" s="3">
        <f t="shared" si="36"/>
        <v>0.20833333333333334</v>
      </c>
      <c r="I318" s="3">
        <f t="shared" si="37"/>
        <v>5.2083333333333336E-2</v>
      </c>
      <c r="J318" s="3">
        <f t="shared" si="38"/>
        <v>0</v>
      </c>
      <c r="K318" s="3"/>
      <c r="L318" s="60">
        <f t="shared" si="39"/>
        <v>569.3033333333334</v>
      </c>
      <c r="M318" s="40">
        <v>0</v>
      </c>
      <c r="N318" s="40">
        <v>0</v>
      </c>
      <c r="O318" s="40">
        <v>0</v>
      </c>
      <c r="P318" s="40">
        <v>0</v>
      </c>
      <c r="Q318" s="40">
        <v>0</v>
      </c>
      <c r="R318" s="40">
        <v>0</v>
      </c>
      <c r="S318" s="61">
        <f t="shared" si="40"/>
        <v>59.600000000000094</v>
      </c>
      <c r="T318" s="40">
        <v>0</v>
      </c>
      <c r="U318" s="40">
        <v>0</v>
      </c>
      <c r="V318" s="40">
        <v>1</v>
      </c>
      <c r="W318" s="40">
        <v>0</v>
      </c>
      <c r="X318" s="67">
        <f t="shared" si="35"/>
        <v>195</v>
      </c>
      <c r="Z318" s="71"/>
      <c r="AA318" s="71"/>
      <c r="AB318" s="67" t="str">
        <f t="shared" si="33"/>
        <v/>
      </c>
      <c r="AD318" s="121"/>
      <c r="AE318" s="121"/>
    </row>
    <row r="319" spans="1:31" x14ac:dyDescent="0.25">
      <c r="A319" s="35" t="s">
        <v>200</v>
      </c>
      <c r="B319" s="65">
        <v>0.33333333333333331</v>
      </c>
      <c r="C319" s="2">
        <v>7.5</v>
      </c>
      <c r="D319" s="10" t="s">
        <v>665</v>
      </c>
      <c r="E319" s="40">
        <v>24</v>
      </c>
      <c r="F319" s="40">
        <v>2</v>
      </c>
      <c r="G319" s="40">
        <v>0</v>
      </c>
      <c r="H319" s="3">
        <f t="shared" si="36"/>
        <v>7.5</v>
      </c>
      <c r="I319" s="3">
        <f t="shared" si="37"/>
        <v>0.625</v>
      </c>
      <c r="J319" s="3">
        <f t="shared" si="38"/>
        <v>0</v>
      </c>
      <c r="K319" s="3"/>
      <c r="L319" s="60">
        <f t="shared" si="39"/>
        <v>561.1783333333334</v>
      </c>
      <c r="M319" s="40">
        <v>0</v>
      </c>
      <c r="N319" s="40">
        <v>0</v>
      </c>
      <c r="O319" s="40">
        <v>0</v>
      </c>
      <c r="P319" s="40">
        <v>0</v>
      </c>
      <c r="Q319" s="40">
        <v>0</v>
      </c>
      <c r="R319" s="40">
        <v>0</v>
      </c>
      <c r="S319" s="61">
        <f t="shared" si="40"/>
        <v>59.600000000000094</v>
      </c>
      <c r="T319" s="40">
        <v>0</v>
      </c>
      <c r="U319" s="40">
        <v>0</v>
      </c>
      <c r="V319" s="40">
        <v>1</v>
      </c>
      <c r="W319" s="40">
        <v>2</v>
      </c>
      <c r="X319" s="67">
        <f t="shared" si="35"/>
        <v>192</v>
      </c>
      <c r="Z319" s="71">
        <v>140</v>
      </c>
      <c r="AA319" s="71">
        <v>69</v>
      </c>
      <c r="AB319" s="67">
        <f t="shared" si="33"/>
        <v>209</v>
      </c>
      <c r="AD319" s="121"/>
      <c r="AE319" s="121"/>
    </row>
    <row r="320" spans="1:31" x14ac:dyDescent="0.25">
      <c r="A320" s="2" t="s">
        <v>785</v>
      </c>
      <c r="B320" s="65">
        <v>0.33333333333333331</v>
      </c>
      <c r="C320" s="2">
        <v>24</v>
      </c>
      <c r="D320" s="10" t="s">
        <v>665</v>
      </c>
      <c r="E320" s="40">
        <v>22</v>
      </c>
      <c r="F320" s="40">
        <v>2</v>
      </c>
      <c r="G320" s="40">
        <v>0</v>
      </c>
      <c r="H320" s="3">
        <f t="shared" si="36"/>
        <v>22</v>
      </c>
      <c r="I320" s="3">
        <f t="shared" si="37"/>
        <v>2</v>
      </c>
      <c r="J320" s="3">
        <f t="shared" si="38"/>
        <v>0</v>
      </c>
      <c r="K320" s="3"/>
      <c r="L320" s="60">
        <f t="shared" si="39"/>
        <v>537.1783333333334</v>
      </c>
      <c r="M320" s="40">
        <v>0</v>
      </c>
      <c r="N320" s="40">
        <v>0</v>
      </c>
      <c r="O320" s="40">
        <v>0</v>
      </c>
      <c r="P320" s="40">
        <v>0</v>
      </c>
      <c r="Q320" s="40">
        <v>0</v>
      </c>
      <c r="R320" s="40">
        <v>0</v>
      </c>
      <c r="S320" s="61">
        <f t="shared" si="40"/>
        <v>59.600000000000094</v>
      </c>
      <c r="T320" s="40">
        <v>10</v>
      </c>
      <c r="U320" s="40">
        <v>0</v>
      </c>
      <c r="V320" s="40">
        <v>4</v>
      </c>
      <c r="W320" s="40">
        <v>0</v>
      </c>
      <c r="X320" s="67">
        <f t="shared" si="35"/>
        <v>198</v>
      </c>
      <c r="Z320" s="71">
        <v>140</v>
      </c>
      <c r="AA320" s="71">
        <v>72</v>
      </c>
      <c r="AB320" s="67">
        <f t="shared" si="33"/>
        <v>212</v>
      </c>
      <c r="AD320" s="121"/>
      <c r="AE320" s="121"/>
    </row>
    <row r="321" spans="1:31" x14ac:dyDescent="0.25">
      <c r="A321" s="2" t="s">
        <v>785</v>
      </c>
      <c r="B321" s="65">
        <v>0.35416666666666669</v>
      </c>
      <c r="C321" s="2">
        <v>0.5</v>
      </c>
      <c r="D321" s="10" t="s">
        <v>695</v>
      </c>
      <c r="E321" s="40">
        <v>22</v>
      </c>
      <c r="F321" s="40">
        <v>2</v>
      </c>
      <c r="G321" s="40">
        <v>0</v>
      </c>
      <c r="H321" s="3">
        <f t="shared" si="36"/>
        <v>0.45833333333333331</v>
      </c>
      <c r="I321" s="3">
        <f t="shared" si="37"/>
        <v>4.1666666666666664E-2</v>
      </c>
      <c r="J321" s="3">
        <f t="shared" si="38"/>
        <v>0</v>
      </c>
      <c r="K321" s="3"/>
      <c r="L321" s="60">
        <f t="shared" si="39"/>
        <v>536.6783333333334</v>
      </c>
      <c r="M321" s="40">
        <v>0</v>
      </c>
      <c r="N321" s="40">
        <v>0</v>
      </c>
      <c r="O321" s="40">
        <v>0</v>
      </c>
      <c r="P321" s="40">
        <v>0</v>
      </c>
      <c r="Q321" s="40">
        <v>0</v>
      </c>
      <c r="R321" s="40">
        <v>0</v>
      </c>
      <c r="S321" s="61">
        <f t="shared" si="40"/>
        <v>59.600000000000094</v>
      </c>
      <c r="T321" s="40">
        <v>0</v>
      </c>
      <c r="U321" s="40">
        <v>0</v>
      </c>
      <c r="V321" s="40">
        <v>0</v>
      </c>
      <c r="W321" s="40">
        <v>0</v>
      </c>
      <c r="X321" s="67">
        <f t="shared" si="35"/>
        <v>198</v>
      </c>
      <c r="Z321" s="71"/>
      <c r="AA321" s="71"/>
      <c r="AB321" s="67" t="str">
        <f t="shared" si="33"/>
        <v/>
      </c>
      <c r="AD321" s="121">
        <v>12.7</v>
      </c>
      <c r="AE321" s="121" t="s">
        <v>1296</v>
      </c>
    </row>
    <row r="322" spans="1:31" x14ac:dyDescent="0.25">
      <c r="A322" s="2" t="s">
        <v>785</v>
      </c>
      <c r="B322" s="7">
        <v>0.55833333333333335</v>
      </c>
      <c r="C322" s="2">
        <v>4.9000000000000004</v>
      </c>
      <c r="D322" s="10" t="s">
        <v>710</v>
      </c>
      <c r="E322" s="40">
        <v>5</v>
      </c>
      <c r="F322" s="40">
        <v>2</v>
      </c>
      <c r="G322" s="40">
        <v>0</v>
      </c>
      <c r="H322" s="3">
        <f t="shared" si="36"/>
        <v>1.0208333333333335</v>
      </c>
      <c r="I322" s="3">
        <f t="shared" si="37"/>
        <v>0.40833333333333333</v>
      </c>
      <c r="J322" s="3">
        <f t="shared" si="38"/>
        <v>0</v>
      </c>
      <c r="K322" s="3"/>
      <c r="L322" s="60">
        <f t="shared" si="39"/>
        <v>535.24916666666672</v>
      </c>
      <c r="M322" s="40">
        <v>0</v>
      </c>
      <c r="N322" s="40">
        <v>0</v>
      </c>
      <c r="O322" s="40">
        <v>0</v>
      </c>
      <c r="P322" s="40">
        <v>0</v>
      </c>
      <c r="Q322" s="40">
        <v>0</v>
      </c>
      <c r="R322" s="40">
        <v>0</v>
      </c>
      <c r="S322" s="61">
        <f t="shared" si="40"/>
        <v>59.600000000000094</v>
      </c>
      <c r="T322" s="40">
        <v>0</v>
      </c>
      <c r="U322" s="40">
        <v>0</v>
      </c>
      <c r="V322" s="40">
        <v>0</v>
      </c>
      <c r="W322" s="40">
        <v>0</v>
      </c>
      <c r="X322" s="67">
        <f t="shared" si="35"/>
        <v>198</v>
      </c>
      <c r="Z322" s="71"/>
      <c r="AA322" s="71"/>
      <c r="AB322" s="67" t="str">
        <f t="shared" si="33"/>
        <v/>
      </c>
      <c r="AD322" s="121"/>
      <c r="AE322" s="121"/>
    </row>
    <row r="323" spans="1:31" x14ac:dyDescent="0.25">
      <c r="A323" s="2" t="s">
        <v>204</v>
      </c>
      <c r="B323" s="7">
        <v>0.17500000000000002</v>
      </c>
      <c r="C323" s="2">
        <v>14.8</v>
      </c>
      <c r="D323" s="10" t="s">
        <v>660</v>
      </c>
      <c r="E323" s="40">
        <v>0</v>
      </c>
      <c r="F323" s="40">
        <v>2</v>
      </c>
      <c r="G323" s="40">
        <v>1</v>
      </c>
      <c r="H323" s="3">
        <f t="shared" si="36"/>
        <v>0</v>
      </c>
      <c r="I323" s="3">
        <f t="shared" si="37"/>
        <v>1.2333333333333334</v>
      </c>
      <c r="J323" s="3">
        <f t="shared" si="38"/>
        <v>0.6166666666666667</v>
      </c>
      <c r="K323" s="3"/>
      <c r="L323" s="60">
        <f t="shared" si="39"/>
        <v>533.3991666666667</v>
      </c>
      <c r="M323" s="40">
        <v>0</v>
      </c>
      <c r="N323" s="40">
        <v>0</v>
      </c>
      <c r="O323" s="40">
        <v>0</v>
      </c>
      <c r="P323" s="40">
        <v>0</v>
      </c>
      <c r="Q323" s="40">
        <v>2.5</v>
      </c>
      <c r="R323" s="40">
        <v>0</v>
      </c>
      <c r="S323" s="61">
        <f t="shared" si="40"/>
        <v>57.100000000000094</v>
      </c>
      <c r="T323" s="40">
        <v>0</v>
      </c>
      <c r="U323" s="40">
        <v>0</v>
      </c>
      <c r="V323" s="40">
        <v>3</v>
      </c>
      <c r="W323" s="40">
        <v>0</v>
      </c>
      <c r="X323" s="67">
        <f t="shared" si="35"/>
        <v>195</v>
      </c>
      <c r="Z323" s="71"/>
      <c r="AA323" s="71"/>
      <c r="AB323" s="67" t="str">
        <f t="shared" si="33"/>
        <v/>
      </c>
      <c r="AD323" s="121"/>
      <c r="AE323" s="121"/>
    </row>
    <row r="324" spans="1:31" x14ac:dyDescent="0.25">
      <c r="A324" s="2" t="s">
        <v>204</v>
      </c>
      <c r="B324" s="7">
        <v>0.22916666666666666</v>
      </c>
      <c r="C324" s="2">
        <v>4.2</v>
      </c>
      <c r="D324" s="10" t="s">
        <v>105</v>
      </c>
      <c r="E324" s="40">
        <v>10</v>
      </c>
      <c r="F324" s="40">
        <v>2</v>
      </c>
      <c r="G324" s="40">
        <v>1</v>
      </c>
      <c r="H324" s="3">
        <f t="shared" si="36"/>
        <v>1.7500000000000002</v>
      </c>
      <c r="I324" s="3">
        <f t="shared" si="37"/>
        <v>0.35</v>
      </c>
      <c r="J324" s="3">
        <f t="shared" si="38"/>
        <v>0.17499999999999999</v>
      </c>
      <c r="K324" s="3"/>
      <c r="L324" s="60">
        <f t="shared" si="39"/>
        <v>531.12416666666672</v>
      </c>
      <c r="M324" s="40">
        <v>0</v>
      </c>
      <c r="N324" s="40">
        <v>0</v>
      </c>
      <c r="O324" s="40">
        <v>0</v>
      </c>
      <c r="P324" s="40">
        <v>0</v>
      </c>
      <c r="Q324" s="40">
        <v>0</v>
      </c>
      <c r="R324" s="40">
        <v>0</v>
      </c>
      <c r="S324" s="61">
        <f t="shared" si="40"/>
        <v>57.100000000000094</v>
      </c>
      <c r="T324" s="40">
        <v>0</v>
      </c>
      <c r="U324" s="40">
        <v>0</v>
      </c>
      <c r="V324" s="40">
        <v>0</v>
      </c>
      <c r="W324" s="40">
        <v>0</v>
      </c>
      <c r="X324" s="67">
        <f t="shared" si="35"/>
        <v>195</v>
      </c>
      <c r="Z324" s="71"/>
      <c r="AA324" s="71"/>
      <c r="AB324" s="67" t="str">
        <f t="shared" si="33"/>
        <v/>
      </c>
      <c r="AD324" s="121"/>
      <c r="AE324" s="121"/>
    </row>
    <row r="325" spans="1:31" x14ac:dyDescent="0.25">
      <c r="A325" s="64" t="s">
        <v>204</v>
      </c>
      <c r="B325" s="65">
        <v>0.33333333333333331</v>
      </c>
      <c r="C325" s="2">
        <v>2.5</v>
      </c>
      <c r="D325" s="10" t="s">
        <v>665</v>
      </c>
      <c r="E325" s="40">
        <v>20</v>
      </c>
      <c r="F325" s="40">
        <v>2</v>
      </c>
      <c r="G325" s="40">
        <v>0</v>
      </c>
      <c r="H325" s="3">
        <f t="shared" si="36"/>
        <v>2.0833333333333335</v>
      </c>
      <c r="I325" s="3">
        <f t="shared" si="37"/>
        <v>0.20833333333333331</v>
      </c>
      <c r="J325" s="3">
        <f t="shared" si="38"/>
        <v>0</v>
      </c>
      <c r="K325" s="3"/>
      <c r="L325" s="60">
        <f t="shared" si="39"/>
        <v>528.8325000000001</v>
      </c>
      <c r="M325" s="40">
        <v>0</v>
      </c>
      <c r="N325" s="40">
        <v>0</v>
      </c>
      <c r="O325" s="40">
        <v>0</v>
      </c>
      <c r="P325" s="40">
        <v>0</v>
      </c>
      <c r="Q325" s="40">
        <v>0</v>
      </c>
      <c r="R325" s="40">
        <v>0</v>
      </c>
      <c r="S325" s="61">
        <f t="shared" si="40"/>
        <v>57.100000000000094</v>
      </c>
      <c r="T325" s="40">
        <v>0</v>
      </c>
      <c r="U325" s="40">
        <v>0</v>
      </c>
      <c r="V325" s="40">
        <v>1</v>
      </c>
      <c r="W325" s="40">
        <v>0</v>
      </c>
      <c r="X325" s="67">
        <f t="shared" si="35"/>
        <v>194</v>
      </c>
      <c r="Z325" s="71">
        <v>140</v>
      </c>
      <c r="AA325" s="71">
        <v>69</v>
      </c>
      <c r="AB325" s="67">
        <f t="shared" si="33"/>
        <v>209</v>
      </c>
      <c r="AD325" s="121"/>
      <c r="AE325" s="121"/>
    </row>
    <row r="326" spans="1:31" x14ac:dyDescent="0.25">
      <c r="A326" s="2" t="s">
        <v>204</v>
      </c>
      <c r="B326" s="7">
        <v>0.58333333333333337</v>
      </c>
      <c r="C326" s="2">
        <v>6</v>
      </c>
      <c r="D326" s="10" t="s">
        <v>695</v>
      </c>
      <c r="E326" s="40">
        <v>20</v>
      </c>
      <c r="F326" s="40">
        <v>2</v>
      </c>
      <c r="G326" s="40">
        <v>0</v>
      </c>
      <c r="H326" s="3">
        <f t="shared" si="36"/>
        <v>5</v>
      </c>
      <c r="I326" s="3">
        <f t="shared" si="37"/>
        <v>0.5</v>
      </c>
      <c r="J326" s="3">
        <f t="shared" si="38"/>
        <v>0</v>
      </c>
      <c r="K326" s="3"/>
      <c r="L326" s="60">
        <f t="shared" si="39"/>
        <v>523.3325000000001</v>
      </c>
      <c r="M326" s="40">
        <v>0</v>
      </c>
      <c r="N326" s="40">
        <v>0</v>
      </c>
      <c r="O326" s="40">
        <v>0</v>
      </c>
      <c r="P326" s="40">
        <v>0</v>
      </c>
      <c r="Q326" s="40">
        <v>0</v>
      </c>
      <c r="R326" s="40">
        <v>0</v>
      </c>
      <c r="S326" s="61">
        <f t="shared" si="40"/>
        <v>57.100000000000094</v>
      </c>
      <c r="T326" s="40">
        <v>0</v>
      </c>
      <c r="U326" s="40">
        <v>0</v>
      </c>
      <c r="V326" s="40">
        <v>1</v>
      </c>
      <c r="W326" s="40">
        <v>0</v>
      </c>
      <c r="X326" s="67">
        <f t="shared" si="35"/>
        <v>193</v>
      </c>
      <c r="Z326" s="71"/>
      <c r="AA326" s="71"/>
      <c r="AB326" s="67" t="str">
        <f t="shared" si="33"/>
        <v/>
      </c>
      <c r="AD326" s="121">
        <v>13.4</v>
      </c>
      <c r="AE326" s="121" t="s">
        <v>1295</v>
      </c>
    </row>
    <row r="327" spans="1:31" x14ac:dyDescent="0.25">
      <c r="A327" s="2" t="s">
        <v>204</v>
      </c>
      <c r="B327" s="7">
        <v>0.64583333333333337</v>
      </c>
      <c r="C327" s="2">
        <v>1.5</v>
      </c>
      <c r="D327" s="10" t="s">
        <v>492</v>
      </c>
      <c r="E327" s="40">
        <v>5</v>
      </c>
      <c r="F327" s="40">
        <v>2</v>
      </c>
      <c r="G327" s="40">
        <v>1</v>
      </c>
      <c r="H327" s="3">
        <f t="shared" si="36"/>
        <v>0.3125</v>
      </c>
      <c r="I327" s="3">
        <f t="shared" si="37"/>
        <v>0.125</v>
      </c>
      <c r="J327" s="3">
        <f t="shared" si="38"/>
        <v>6.25E-2</v>
      </c>
      <c r="K327" s="3"/>
      <c r="L327" s="60">
        <f t="shared" si="39"/>
        <v>522.8325000000001</v>
      </c>
      <c r="M327" s="40">
        <v>0</v>
      </c>
      <c r="N327" s="40">
        <v>0</v>
      </c>
      <c r="O327" s="40">
        <v>0</v>
      </c>
      <c r="P327" s="40">
        <v>0</v>
      </c>
      <c r="Q327" s="40">
        <v>0</v>
      </c>
      <c r="R327" s="40">
        <v>0</v>
      </c>
      <c r="S327" s="61">
        <f t="shared" si="40"/>
        <v>57.100000000000094</v>
      </c>
      <c r="T327" s="40">
        <v>0</v>
      </c>
      <c r="U327" s="40">
        <v>0</v>
      </c>
      <c r="V327" s="40">
        <v>0</v>
      </c>
      <c r="W327" s="40">
        <v>0</v>
      </c>
      <c r="X327" s="67">
        <f t="shared" si="35"/>
        <v>193</v>
      </c>
      <c r="Z327" s="71"/>
      <c r="AA327" s="71"/>
      <c r="AB327" s="67" t="str">
        <f t="shared" si="33"/>
        <v/>
      </c>
      <c r="AD327" s="121"/>
      <c r="AE327" s="121"/>
    </row>
    <row r="328" spans="1:31" x14ac:dyDescent="0.25">
      <c r="A328" s="2" t="s">
        <v>204</v>
      </c>
      <c r="B328" s="7">
        <v>0.77083333333333337</v>
      </c>
      <c r="C328" s="2">
        <v>3</v>
      </c>
      <c r="D328" s="10" t="s">
        <v>660</v>
      </c>
      <c r="E328" s="40">
        <v>0</v>
      </c>
      <c r="F328" s="40">
        <v>2</v>
      </c>
      <c r="G328" s="40">
        <v>0.5</v>
      </c>
      <c r="H328" s="3">
        <f t="shared" si="36"/>
        <v>0</v>
      </c>
      <c r="I328" s="3">
        <f t="shared" si="37"/>
        <v>0.25</v>
      </c>
      <c r="J328" s="3">
        <f t="shared" si="38"/>
        <v>6.25E-2</v>
      </c>
      <c r="K328" s="3"/>
      <c r="L328" s="60">
        <f t="shared" si="39"/>
        <v>522.5200000000001</v>
      </c>
      <c r="M328" s="40">
        <v>0</v>
      </c>
      <c r="N328" s="40">
        <v>0</v>
      </c>
      <c r="O328" s="40">
        <v>0</v>
      </c>
      <c r="P328" s="40">
        <v>0</v>
      </c>
      <c r="Q328" s="40">
        <v>0</v>
      </c>
      <c r="R328" s="40">
        <v>0</v>
      </c>
      <c r="S328" s="61">
        <f t="shared" si="40"/>
        <v>57.100000000000094</v>
      </c>
      <c r="T328" s="40">
        <v>0</v>
      </c>
      <c r="U328" s="40">
        <v>0</v>
      </c>
      <c r="V328" s="40">
        <v>0</v>
      </c>
      <c r="W328" s="40">
        <v>0</v>
      </c>
      <c r="X328" s="67">
        <f t="shared" si="35"/>
        <v>193</v>
      </c>
      <c r="Z328" s="71"/>
      <c r="AA328" s="71"/>
      <c r="AB328" s="67" t="str">
        <f t="shared" ref="AB328:AB391" si="41">IF(Z328="","",Z328+AA328)</f>
        <v/>
      </c>
      <c r="AD328" s="121"/>
      <c r="AE328" s="121"/>
    </row>
    <row r="329" spans="1:31" x14ac:dyDescent="0.25">
      <c r="A329" s="2" t="s">
        <v>204</v>
      </c>
      <c r="B329" s="7">
        <v>0.91666666666666663</v>
      </c>
      <c r="C329" s="2">
        <v>3.5</v>
      </c>
      <c r="D329" s="10" t="s">
        <v>786</v>
      </c>
      <c r="E329" s="40">
        <v>10</v>
      </c>
      <c r="F329" s="40">
        <v>2</v>
      </c>
      <c r="G329" s="40">
        <v>1</v>
      </c>
      <c r="H329" s="3">
        <f t="shared" si="36"/>
        <v>1.4583333333333335</v>
      </c>
      <c r="I329" s="3">
        <f t="shared" si="37"/>
        <v>0.29166666666666663</v>
      </c>
      <c r="J329" s="3">
        <f t="shared" si="38"/>
        <v>0.14583333333333331</v>
      </c>
      <c r="K329" s="3"/>
      <c r="L329" s="60">
        <f t="shared" si="39"/>
        <v>520.62416666666672</v>
      </c>
      <c r="M329" s="40">
        <v>0</v>
      </c>
      <c r="N329" s="40">
        <v>0</v>
      </c>
      <c r="O329" s="40">
        <v>0</v>
      </c>
      <c r="P329" s="40">
        <v>0</v>
      </c>
      <c r="Q329" s="40">
        <v>0</v>
      </c>
      <c r="R329" s="40">
        <v>0</v>
      </c>
      <c r="S329" s="61">
        <f t="shared" si="40"/>
        <v>57.100000000000094</v>
      </c>
      <c r="T329" s="40">
        <v>0</v>
      </c>
      <c r="U329" s="40">
        <v>0</v>
      </c>
      <c r="V329" s="40">
        <v>1</v>
      </c>
      <c r="W329" s="40">
        <v>0</v>
      </c>
      <c r="X329" s="67">
        <f t="shared" si="35"/>
        <v>192</v>
      </c>
      <c r="Z329" s="71"/>
      <c r="AA329" s="71"/>
      <c r="AB329" s="67" t="str">
        <f t="shared" si="41"/>
        <v/>
      </c>
      <c r="AD329" s="121"/>
      <c r="AE329" s="121"/>
    </row>
    <row r="330" spans="1:31" x14ac:dyDescent="0.25">
      <c r="A330" s="35" t="s">
        <v>787</v>
      </c>
      <c r="B330" s="65">
        <v>0.33333333333333331</v>
      </c>
      <c r="C330" s="2">
        <v>14</v>
      </c>
      <c r="D330" s="10" t="s">
        <v>648</v>
      </c>
      <c r="E330" s="40">
        <v>0</v>
      </c>
      <c r="F330" s="40">
        <v>2.5</v>
      </c>
      <c r="G330" s="40">
        <v>1.5</v>
      </c>
      <c r="H330" s="3">
        <f t="shared" si="36"/>
        <v>0</v>
      </c>
      <c r="I330" s="3">
        <f t="shared" si="37"/>
        <v>1.4583333333333335</v>
      </c>
      <c r="J330" s="3">
        <f t="shared" si="38"/>
        <v>0.875</v>
      </c>
      <c r="K330" s="3"/>
      <c r="L330" s="60">
        <f t="shared" si="39"/>
        <v>518.29083333333335</v>
      </c>
      <c r="M330" s="40">
        <v>0</v>
      </c>
      <c r="N330" s="40">
        <v>0</v>
      </c>
      <c r="O330" s="40">
        <v>0.1</v>
      </c>
      <c r="P330" s="40">
        <v>0</v>
      </c>
      <c r="Q330" s="40">
        <v>0</v>
      </c>
      <c r="R330" s="40">
        <v>0</v>
      </c>
      <c r="S330" s="61">
        <f t="shared" si="40"/>
        <v>57.000000000000092</v>
      </c>
      <c r="T330" s="40">
        <v>0</v>
      </c>
      <c r="U330" s="40">
        <v>0</v>
      </c>
      <c r="V330" s="40">
        <v>2</v>
      </c>
      <c r="W330" s="40">
        <v>0</v>
      </c>
      <c r="X330" s="67">
        <f t="shared" si="35"/>
        <v>190</v>
      </c>
      <c r="Z330" s="71"/>
      <c r="AA330" s="71"/>
      <c r="AB330" s="67" t="str">
        <f t="shared" si="41"/>
        <v/>
      </c>
      <c r="AD330" s="121"/>
      <c r="AE330" s="121"/>
    </row>
    <row r="331" spans="1:31" x14ac:dyDescent="0.25">
      <c r="A331" s="2" t="s">
        <v>207</v>
      </c>
      <c r="B331" s="65">
        <v>0.33333333333333331</v>
      </c>
      <c r="C331" s="2">
        <v>24</v>
      </c>
      <c r="D331" s="10" t="s">
        <v>648</v>
      </c>
      <c r="E331" s="40">
        <v>0</v>
      </c>
      <c r="F331" s="40">
        <v>2.5</v>
      </c>
      <c r="G331" s="40">
        <v>1.5</v>
      </c>
      <c r="H331" s="3">
        <f t="shared" si="36"/>
        <v>0</v>
      </c>
      <c r="I331" s="3">
        <f t="shared" si="37"/>
        <v>2.5</v>
      </c>
      <c r="J331" s="3">
        <f t="shared" si="38"/>
        <v>1.5</v>
      </c>
      <c r="K331" s="3"/>
      <c r="L331" s="60">
        <f t="shared" si="39"/>
        <v>514.29083333333335</v>
      </c>
      <c r="M331" s="40">
        <v>0</v>
      </c>
      <c r="N331" s="40">
        <v>0</v>
      </c>
      <c r="O331" s="40">
        <v>0.2</v>
      </c>
      <c r="P331" s="40">
        <v>0</v>
      </c>
      <c r="Q331" s="40">
        <v>0</v>
      </c>
      <c r="R331" s="40">
        <v>0</v>
      </c>
      <c r="S331" s="61">
        <f t="shared" si="40"/>
        <v>56.80000000000009</v>
      </c>
      <c r="T331" s="40">
        <v>0</v>
      </c>
      <c r="U331" s="40">
        <v>0</v>
      </c>
      <c r="V331" s="40">
        <v>5</v>
      </c>
      <c r="W331" s="40">
        <v>0</v>
      </c>
      <c r="X331" s="67">
        <f t="shared" ref="X331:X394" si="42">IF(V331="","",((X330+T331+U331)-(V331+W331)))</f>
        <v>185</v>
      </c>
      <c r="Z331" s="71"/>
      <c r="AA331" s="71"/>
      <c r="AB331" s="67" t="str">
        <f t="shared" si="41"/>
        <v/>
      </c>
      <c r="AD331" s="121"/>
      <c r="AE331" s="121"/>
    </row>
    <row r="332" spans="1:31" x14ac:dyDescent="0.25">
      <c r="A332" s="2" t="s">
        <v>788</v>
      </c>
      <c r="B332" s="65">
        <v>0.33333333333333331</v>
      </c>
      <c r="C332" s="2">
        <v>24</v>
      </c>
      <c r="D332" s="10" t="s">
        <v>648</v>
      </c>
      <c r="E332" s="40">
        <v>0</v>
      </c>
      <c r="F332" s="40">
        <v>2.5</v>
      </c>
      <c r="G332" s="40">
        <v>2</v>
      </c>
      <c r="H332" s="3">
        <f t="shared" si="36"/>
        <v>0</v>
      </c>
      <c r="I332" s="3">
        <f t="shared" si="37"/>
        <v>2.5</v>
      </c>
      <c r="J332" s="3">
        <f t="shared" si="38"/>
        <v>2</v>
      </c>
      <c r="K332" s="3"/>
      <c r="L332" s="60">
        <f t="shared" si="39"/>
        <v>509.79083333333335</v>
      </c>
      <c r="M332" s="40">
        <v>0</v>
      </c>
      <c r="N332" s="40">
        <v>0</v>
      </c>
      <c r="O332" s="40">
        <v>0.1</v>
      </c>
      <c r="P332" s="40">
        <v>0</v>
      </c>
      <c r="Q332" s="40">
        <v>0</v>
      </c>
      <c r="R332" s="40">
        <v>0</v>
      </c>
      <c r="S332" s="61">
        <f t="shared" si="40"/>
        <v>56.700000000000088</v>
      </c>
      <c r="T332" s="40">
        <v>0</v>
      </c>
      <c r="U332" s="40">
        <v>0</v>
      </c>
      <c r="V332" s="40">
        <v>5</v>
      </c>
      <c r="W332" s="40">
        <v>0</v>
      </c>
      <c r="X332" s="67">
        <f t="shared" si="42"/>
        <v>180</v>
      </c>
      <c r="Z332" s="71"/>
      <c r="AA332" s="71"/>
      <c r="AB332" s="67" t="str">
        <f t="shared" si="41"/>
        <v/>
      </c>
      <c r="AD332" s="121"/>
      <c r="AE332" s="121"/>
    </row>
    <row r="333" spans="1:31" x14ac:dyDescent="0.25">
      <c r="A333" s="2" t="s">
        <v>788</v>
      </c>
      <c r="B333" s="7">
        <v>0.62083333333333335</v>
      </c>
      <c r="C333" s="2">
        <v>6.9</v>
      </c>
      <c r="D333" s="10" t="s">
        <v>654</v>
      </c>
      <c r="E333" s="40">
        <v>0</v>
      </c>
      <c r="F333" s="40">
        <v>2.5</v>
      </c>
      <c r="G333" s="40">
        <v>2</v>
      </c>
      <c r="H333" s="3">
        <f t="shared" si="36"/>
        <v>0</v>
      </c>
      <c r="I333" s="3">
        <f t="shared" si="37"/>
        <v>0.71875000000000011</v>
      </c>
      <c r="J333" s="3">
        <f t="shared" si="38"/>
        <v>0.57499999999999996</v>
      </c>
      <c r="K333" s="3"/>
      <c r="L333" s="60">
        <f t="shared" si="39"/>
        <v>508.49708333333336</v>
      </c>
      <c r="M333" s="40">
        <v>0</v>
      </c>
      <c r="N333" s="40">
        <v>0</v>
      </c>
      <c r="O333" s="40">
        <v>0.1</v>
      </c>
      <c r="P333" s="40">
        <v>0</v>
      </c>
      <c r="Q333" s="40">
        <v>0</v>
      </c>
      <c r="R333" s="40">
        <v>0</v>
      </c>
      <c r="S333" s="61">
        <f t="shared" si="40"/>
        <v>56.600000000000087</v>
      </c>
      <c r="T333" s="40">
        <v>0</v>
      </c>
      <c r="U333" s="40">
        <v>0</v>
      </c>
      <c r="V333" s="40">
        <v>2</v>
      </c>
      <c r="W333" s="40">
        <v>0</v>
      </c>
      <c r="X333" s="67">
        <f t="shared" si="42"/>
        <v>178</v>
      </c>
      <c r="Z333" s="71"/>
      <c r="AA333" s="71"/>
      <c r="AB333" s="67" t="str">
        <f t="shared" si="41"/>
        <v/>
      </c>
      <c r="AD333" s="121"/>
      <c r="AE333" s="121"/>
    </row>
    <row r="334" spans="1:31" x14ac:dyDescent="0.25">
      <c r="A334" s="2" t="s">
        <v>788</v>
      </c>
      <c r="B334" s="7">
        <v>0.8125</v>
      </c>
      <c r="C334" s="2">
        <v>4.5999999999999996</v>
      </c>
      <c r="D334" s="10" t="s">
        <v>789</v>
      </c>
      <c r="E334" s="40">
        <v>0</v>
      </c>
      <c r="F334" s="40">
        <v>2.5</v>
      </c>
      <c r="G334" s="40">
        <v>2</v>
      </c>
      <c r="H334" s="3">
        <f t="shared" ref="H334:H397" si="43">+IF(E334="","",(E334/24)*C334)</f>
        <v>0</v>
      </c>
      <c r="I334" s="3">
        <f t="shared" ref="I334:I397" si="44">+IF(F334="","",(F334/24)*C334)</f>
        <v>0.47916666666666663</v>
      </c>
      <c r="J334" s="3">
        <f t="shared" ref="J334:J397" si="45">+IF(G334="","",(G334/24)*C334)</f>
        <v>0.3833333333333333</v>
      </c>
      <c r="K334" s="3"/>
      <c r="L334" s="60">
        <f t="shared" si="39"/>
        <v>507.63458333333335</v>
      </c>
      <c r="M334" s="40">
        <v>0</v>
      </c>
      <c r="N334" s="40">
        <v>0</v>
      </c>
      <c r="O334" s="40">
        <v>0</v>
      </c>
      <c r="P334" s="40">
        <v>0</v>
      </c>
      <c r="Q334" s="40">
        <v>0</v>
      </c>
      <c r="R334" s="40">
        <v>0</v>
      </c>
      <c r="S334" s="61">
        <f t="shared" si="40"/>
        <v>56.600000000000087</v>
      </c>
      <c r="T334" s="40">
        <v>0</v>
      </c>
      <c r="U334" s="40">
        <v>0</v>
      </c>
      <c r="V334" s="40">
        <v>0</v>
      </c>
      <c r="W334" s="40">
        <v>0</v>
      </c>
      <c r="X334" s="67">
        <f t="shared" si="42"/>
        <v>178</v>
      </c>
      <c r="Z334" s="71"/>
      <c r="AA334" s="71"/>
      <c r="AB334" s="67" t="str">
        <f t="shared" si="41"/>
        <v/>
      </c>
      <c r="AD334" s="121"/>
      <c r="AE334" s="121"/>
    </row>
    <row r="335" spans="1:31" x14ac:dyDescent="0.25">
      <c r="A335" s="2" t="s">
        <v>788</v>
      </c>
      <c r="B335" s="7">
        <v>0.83333333333333337</v>
      </c>
      <c r="C335" s="2">
        <v>0.5</v>
      </c>
      <c r="D335" s="10" t="s">
        <v>790</v>
      </c>
      <c r="E335" s="40">
        <v>5</v>
      </c>
      <c r="F335" s="40">
        <v>2.5</v>
      </c>
      <c r="G335" s="40">
        <v>2</v>
      </c>
      <c r="H335" s="3">
        <f t="shared" si="43"/>
        <v>0.10416666666666667</v>
      </c>
      <c r="I335" s="3">
        <f t="shared" si="44"/>
        <v>5.2083333333333336E-2</v>
      </c>
      <c r="J335" s="3">
        <f t="shared" si="45"/>
        <v>4.1666666666666664E-2</v>
      </c>
      <c r="K335" s="3"/>
      <c r="L335" s="60">
        <f t="shared" si="39"/>
        <v>507.43666666666667</v>
      </c>
      <c r="M335" s="40">
        <v>0</v>
      </c>
      <c r="N335" s="40">
        <v>0</v>
      </c>
      <c r="O335" s="40">
        <v>0</v>
      </c>
      <c r="P335" s="40">
        <v>0</v>
      </c>
      <c r="Q335" s="40">
        <v>0</v>
      </c>
      <c r="R335" s="40">
        <v>0</v>
      </c>
      <c r="S335" s="61">
        <f t="shared" si="40"/>
        <v>56.600000000000087</v>
      </c>
      <c r="T335" s="40">
        <v>0</v>
      </c>
      <c r="U335" s="40">
        <v>0</v>
      </c>
      <c r="V335" s="40">
        <v>0</v>
      </c>
      <c r="W335" s="40">
        <v>0</v>
      </c>
      <c r="X335" s="67">
        <f t="shared" si="42"/>
        <v>178</v>
      </c>
      <c r="Z335" s="71"/>
      <c r="AA335" s="71"/>
      <c r="AB335" s="67" t="str">
        <f t="shared" si="41"/>
        <v/>
      </c>
      <c r="AD335" s="121"/>
      <c r="AE335" s="121"/>
    </row>
    <row r="336" spans="1:31" x14ac:dyDescent="0.25">
      <c r="A336" s="52" t="s">
        <v>788</v>
      </c>
      <c r="B336" s="7">
        <v>0.875</v>
      </c>
      <c r="C336" s="2">
        <v>1</v>
      </c>
      <c r="D336" s="10" t="s">
        <v>791</v>
      </c>
      <c r="E336" s="40">
        <v>10</v>
      </c>
      <c r="F336" s="40">
        <v>2.5</v>
      </c>
      <c r="G336" s="40">
        <v>2</v>
      </c>
      <c r="H336" s="3">
        <f t="shared" si="43"/>
        <v>0.41666666666666669</v>
      </c>
      <c r="I336" s="3">
        <f t="shared" si="44"/>
        <v>0.10416666666666667</v>
      </c>
      <c r="J336" s="3">
        <f t="shared" si="45"/>
        <v>8.3333333333333329E-2</v>
      </c>
      <c r="K336" s="3"/>
      <c r="L336" s="60">
        <f t="shared" si="39"/>
        <v>506.83249999999998</v>
      </c>
      <c r="M336" s="40">
        <v>0</v>
      </c>
      <c r="N336" s="40">
        <v>0</v>
      </c>
      <c r="O336" s="40">
        <v>0</v>
      </c>
      <c r="P336" s="40">
        <v>0</v>
      </c>
      <c r="Q336" s="40">
        <v>0</v>
      </c>
      <c r="R336" s="40">
        <v>0</v>
      </c>
      <c r="S336" s="61">
        <f t="shared" si="40"/>
        <v>56.600000000000087</v>
      </c>
      <c r="T336" s="40">
        <v>0</v>
      </c>
      <c r="U336" s="40">
        <v>0</v>
      </c>
      <c r="V336" s="40">
        <v>1</v>
      </c>
      <c r="W336" s="40">
        <v>0</v>
      </c>
      <c r="X336" s="67">
        <f t="shared" si="42"/>
        <v>177</v>
      </c>
      <c r="Z336" s="71"/>
      <c r="AA336" s="71"/>
      <c r="AB336" s="67" t="str">
        <f t="shared" si="41"/>
        <v/>
      </c>
      <c r="AD336" s="121"/>
      <c r="AE336" s="121"/>
    </row>
    <row r="337" spans="1:31" x14ac:dyDescent="0.25">
      <c r="A337" s="2" t="s">
        <v>788</v>
      </c>
      <c r="B337" s="7">
        <v>0.8833333333333333</v>
      </c>
      <c r="C337" s="2">
        <v>0.2</v>
      </c>
      <c r="D337" s="10" t="s">
        <v>792</v>
      </c>
      <c r="E337" s="40">
        <v>5</v>
      </c>
      <c r="F337" s="40">
        <v>2.5</v>
      </c>
      <c r="G337" s="40">
        <v>2</v>
      </c>
      <c r="H337" s="3">
        <f t="shared" si="43"/>
        <v>4.1666666666666671E-2</v>
      </c>
      <c r="I337" s="3">
        <f t="shared" si="44"/>
        <v>2.0833333333333336E-2</v>
      </c>
      <c r="J337" s="3">
        <f t="shared" si="45"/>
        <v>1.6666666666666666E-2</v>
      </c>
      <c r="K337" s="3"/>
      <c r="L337" s="60">
        <f t="shared" si="39"/>
        <v>506.75333333333333</v>
      </c>
      <c r="M337" s="40">
        <v>0</v>
      </c>
      <c r="N337" s="40">
        <v>0</v>
      </c>
      <c r="O337" s="40">
        <v>0</v>
      </c>
      <c r="P337" s="40">
        <v>0</v>
      </c>
      <c r="Q337" s="40">
        <v>0</v>
      </c>
      <c r="R337" s="40">
        <v>0</v>
      </c>
      <c r="S337" s="61">
        <f t="shared" si="40"/>
        <v>56.600000000000087</v>
      </c>
      <c r="T337" s="40">
        <v>0</v>
      </c>
      <c r="U337" s="40">
        <v>0</v>
      </c>
      <c r="V337" s="40">
        <v>0</v>
      </c>
      <c r="W337" s="40">
        <v>0</v>
      </c>
      <c r="X337" s="67">
        <f t="shared" si="42"/>
        <v>177</v>
      </c>
      <c r="Z337" s="71"/>
      <c r="AA337" s="71"/>
      <c r="AB337" s="67" t="str">
        <f t="shared" si="41"/>
        <v/>
      </c>
      <c r="AD337" s="121"/>
      <c r="AE337" s="121"/>
    </row>
    <row r="338" spans="1:31" x14ac:dyDescent="0.25">
      <c r="A338" s="2" t="s">
        <v>793</v>
      </c>
      <c r="B338" s="7">
        <v>4.5833333333333337E-2</v>
      </c>
      <c r="C338" s="2">
        <v>3.9</v>
      </c>
      <c r="D338" s="10" t="s">
        <v>660</v>
      </c>
      <c r="E338" s="40">
        <v>0</v>
      </c>
      <c r="F338" s="40">
        <v>2.5</v>
      </c>
      <c r="G338" s="40">
        <v>2</v>
      </c>
      <c r="H338" s="3">
        <f t="shared" si="43"/>
        <v>0</v>
      </c>
      <c r="I338" s="3">
        <f t="shared" si="44"/>
        <v>0.40625</v>
      </c>
      <c r="J338" s="3">
        <f t="shared" si="45"/>
        <v>0.32499999999999996</v>
      </c>
      <c r="K338" s="3"/>
      <c r="L338" s="60">
        <f t="shared" si="39"/>
        <v>506.02208333333334</v>
      </c>
      <c r="M338" s="40">
        <v>0</v>
      </c>
      <c r="N338" s="40">
        <v>0</v>
      </c>
      <c r="O338" s="40">
        <v>0</v>
      </c>
      <c r="P338" s="40">
        <v>0</v>
      </c>
      <c r="Q338" s="40">
        <v>0</v>
      </c>
      <c r="R338" s="40">
        <v>0</v>
      </c>
      <c r="S338" s="61">
        <f t="shared" si="40"/>
        <v>56.600000000000087</v>
      </c>
      <c r="T338" s="40">
        <v>0</v>
      </c>
      <c r="U338" s="40">
        <v>0</v>
      </c>
      <c r="V338" s="40">
        <v>0</v>
      </c>
      <c r="W338" s="40">
        <v>0</v>
      </c>
      <c r="X338" s="67">
        <f t="shared" si="42"/>
        <v>177</v>
      </c>
      <c r="Z338" s="71"/>
      <c r="AA338" s="71"/>
      <c r="AB338" s="67" t="str">
        <f t="shared" si="41"/>
        <v/>
      </c>
      <c r="AD338" s="121"/>
      <c r="AE338" s="121"/>
    </row>
    <row r="339" spans="1:31" x14ac:dyDescent="0.25">
      <c r="A339" s="2" t="s">
        <v>793</v>
      </c>
      <c r="B339" s="7">
        <v>6.25E-2</v>
      </c>
      <c r="C339" s="2">
        <v>0.5</v>
      </c>
      <c r="D339" s="10" t="s">
        <v>794</v>
      </c>
      <c r="E339" s="40">
        <v>5</v>
      </c>
      <c r="F339" s="40">
        <v>2.5</v>
      </c>
      <c r="G339" s="40">
        <v>2</v>
      </c>
      <c r="H339" s="3">
        <f t="shared" si="43"/>
        <v>0.10416666666666667</v>
      </c>
      <c r="I339" s="3">
        <f t="shared" si="44"/>
        <v>5.2083333333333336E-2</v>
      </c>
      <c r="J339" s="3">
        <f t="shared" si="45"/>
        <v>4.1666666666666664E-2</v>
      </c>
      <c r="K339" s="3"/>
      <c r="L339" s="60">
        <f t="shared" si="39"/>
        <v>505.82416666666666</v>
      </c>
      <c r="M339" s="40">
        <v>0</v>
      </c>
      <c r="N339" s="40">
        <v>0</v>
      </c>
      <c r="O339" s="40">
        <v>0</v>
      </c>
      <c r="P339" s="40">
        <v>0</v>
      </c>
      <c r="Q339" s="40">
        <v>0</v>
      </c>
      <c r="R339" s="40">
        <v>0</v>
      </c>
      <c r="S339" s="61">
        <f t="shared" si="40"/>
        <v>56.600000000000087</v>
      </c>
      <c r="T339" s="40">
        <v>0</v>
      </c>
      <c r="U339" s="40">
        <v>0</v>
      </c>
      <c r="V339" s="40">
        <v>1</v>
      </c>
      <c r="W339" s="40">
        <v>0</v>
      </c>
      <c r="X339" s="67">
        <f t="shared" si="42"/>
        <v>176</v>
      </c>
      <c r="Z339" s="71"/>
      <c r="AA339" s="71"/>
      <c r="AB339" s="67" t="str">
        <f t="shared" si="41"/>
        <v/>
      </c>
      <c r="AD339" s="121"/>
      <c r="AE339" s="121"/>
    </row>
    <row r="340" spans="1:31" x14ac:dyDescent="0.25">
      <c r="A340" s="2" t="s">
        <v>793</v>
      </c>
      <c r="B340" s="65">
        <v>0.33333333333333331</v>
      </c>
      <c r="C340" s="2">
        <v>6.5</v>
      </c>
      <c r="D340" s="10" t="s">
        <v>795</v>
      </c>
      <c r="E340" s="40">
        <v>18</v>
      </c>
      <c r="F340" s="40">
        <v>2</v>
      </c>
      <c r="G340" s="40">
        <v>0</v>
      </c>
      <c r="H340" s="3">
        <f t="shared" si="43"/>
        <v>4.875</v>
      </c>
      <c r="I340" s="3">
        <f t="shared" si="44"/>
        <v>0.54166666666666663</v>
      </c>
      <c r="J340" s="3">
        <f t="shared" si="45"/>
        <v>0</v>
      </c>
      <c r="K340" s="3"/>
      <c r="L340" s="60">
        <f t="shared" si="39"/>
        <v>500.40749999999997</v>
      </c>
      <c r="M340" s="40">
        <v>0</v>
      </c>
      <c r="N340" s="40">
        <v>0</v>
      </c>
      <c r="O340" s="40">
        <v>0.1</v>
      </c>
      <c r="P340" s="40">
        <v>0</v>
      </c>
      <c r="Q340" s="40">
        <v>0</v>
      </c>
      <c r="R340" s="40">
        <v>0</v>
      </c>
      <c r="S340" s="61">
        <f t="shared" si="40"/>
        <v>56.500000000000085</v>
      </c>
      <c r="T340" s="40">
        <v>0</v>
      </c>
      <c r="U340" s="40">
        <v>0</v>
      </c>
      <c r="V340" s="40">
        <v>1</v>
      </c>
      <c r="W340" s="40">
        <v>0</v>
      </c>
      <c r="X340" s="67">
        <f t="shared" si="42"/>
        <v>175</v>
      </c>
      <c r="Z340" s="71"/>
      <c r="AA340" s="71"/>
      <c r="AB340" s="67" t="str">
        <f t="shared" si="41"/>
        <v/>
      </c>
      <c r="AD340" s="121"/>
      <c r="AE340" s="121"/>
    </row>
    <row r="341" spans="1:31" x14ac:dyDescent="0.25">
      <c r="A341" s="2" t="s">
        <v>793</v>
      </c>
      <c r="B341" s="7">
        <v>0.375</v>
      </c>
      <c r="C341" s="2">
        <v>1</v>
      </c>
      <c r="D341" s="10" t="s">
        <v>796</v>
      </c>
      <c r="E341" s="40">
        <v>20</v>
      </c>
      <c r="F341" s="40">
        <v>2.5</v>
      </c>
      <c r="G341" s="40">
        <v>0</v>
      </c>
      <c r="H341" s="3">
        <f t="shared" si="43"/>
        <v>0.83333333333333337</v>
      </c>
      <c r="I341" s="3">
        <f t="shared" si="44"/>
        <v>0.10416666666666667</v>
      </c>
      <c r="J341" s="3">
        <f t="shared" si="45"/>
        <v>0</v>
      </c>
      <c r="K341" s="3"/>
      <c r="L341" s="60">
        <f t="shared" si="39"/>
        <v>499.46999999999997</v>
      </c>
      <c r="M341" s="40">
        <v>0</v>
      </c>
      <c r="N341" s="40">
        <v>0</v>
      </c>
      <c r="O341" s="40">
        <v>0</v>
      </c>
      <c r="P341" s="40">
        <v>0</v>
      </c>
      <c r="Q341" s="40">
        <v>0</v>
      </c>
      <c r="R341" s="40">
        <v>0</v>
      </c>
      <c r="S341" s="61">
        <f t="shared" si="40"/>
        <v>56.500000000000085</v>
      </c>
      <c r="T341" s="40">
        <v>0</v>
      </c>
      <c r="U341" s="40">
        <v>0</v>
      </c>
      <c r="V341" s="40">
        <v>0</v>
      </c>
      <c r="W341" s="40">
        <v>0</v>
      </c>
      <c r="X341" s="67">
        <f t="shared" si="42"/>
        <v>175</v>
      </c>
      <c r="Z341" s="71"/>
      <c r="AA341" s="71"/>
      <c r="AB341" s="67" t="str">
        <f t="shared" si="41"/>
        <v/>
      </c>
      <c r="AD341" s="121">
        <v>12</v>
      </c>
      <c r="AE341" s="121" t="s">
        <v>1296</v>
      </c>
    </row>
    <row r="342" spans="1:31" x14ac:dyDescent="0.25">
      <c r="A342" s="2" t="s">
        <v>793</v>
      </c>
      <c r="B342" s="7">
        <v>0.39166666666666666</v>
      </c>
      <c r="C342" s="2">
        <v>0.4</v>
      </c>
      <c r="D342" s="10" t="s">
        <v>797</v>
      </c>
      <c r="E342" s="40">
        <v>5</v>
      </c>
      <c r="F342" s="40">
        <v>2.5</v>
      </c>
      <c r="G342" s="40">
        <v>0</v>
      </c>
      <c r="H342" s="3">
        <f t="shared" si="43"/>
        <v>8.3333333333333343E-2</v>
      </c>
      <c r="I342" s="3">
        <f t="shared" si="44"/>
        <v>4.1666666666666671E-2</v>
      </c>
      <c r="J342" s="3">
        <f t="shared" si="45"/>
        <v>0</v>
      </c>
      <c r="K342" s="3"/>
      <c r="L342" s="60">
        <f t="shared" si="39"/>
        <v>499.34499999999997</v>
      </c>
      <c r="M342" s="40">
        <v>0</v>
      </c>
      <c r="N342" s="40">
        <v>0</v>
      </c>
      <c r="O342" s="40">
        <v>0</v>
      </c>
      <c r="P342" s="40">
        <v>0</v>
      </c>
      <c r="Q342" s="40">
        <v>0</v>
      </c>
      <c r="R342" s="40">
        <v>0</v>
      </c>
      <c r="S342" s="61">
        <f t="shared" si="40"/>
        <v>56.500000000000085</v>
      </c>
      <c r="T342" s="40">
        <v>0</v>
      </c>
      <c r="U342" s="40">
        <v>0</v>
      </c>
      <c r="V342" s="40">
        <v>0</v>
      </c>
      <c r="W342" s="40">
        <v>0</v>
      </c>
      <c r="X342" s="67">
        <f t="shared" si="42"/>
        <v>175</v>
      </c>
      <c r="Z342" s="71"/>
      <c r="AA342" s="71"/>
      <c r="AB342" s="67" t="str">
        <f t="shared" si="41"/>
        <v/>
      </c>
      <c r="AD342" s="121"/>
      <c r="AE342" s="121"/>
    </row>
    <row r="343" spans="1:31" x14ac:dyDescent="0.25">
      <c r="A343" s="2" t="s">
        <v>793</v>
      </c>
      <c r="B343" s="7">
        <v>0.53333333333333333</v>
      </c>
      <c r="C343" s="2">
        <v>3.4</v>
      </c>
      <c r="D343" s="10" t="s">
        <v>660</v>
      </c>
      <c r="E343" s="40">
        <v>0</v>
      </c>
      <c r="F343" s="40">
        <v>2.5</v>
      </c>
      <c r="G343" s="40">
        <v>2</v>
      </c>
      <c r="H343" s="3">
        <f t="shared" si="43"/>
        <v>0</v>
      </c>
      <c r="I343" s="3">
        <f t="shared" si="44"/>
        <v>0.35416666666666669</v>
      </c>
      <c r="J343" s="3">
        <f t="shared" si="45"/>
        <v>0.28333333333333333</v>
      </c>
      <c r="K343" s="3"/>
      <c r="L343" s="60">
        <f t="shared" si="39"/>
        <v>498.70749999999998</v>
      </c>
      <c r="M343" s="40">
        <v>0</v>
      </c>
      <c r="N343" s="40">
        <v>0</v>
      </c>
      <c r="O343" s="40">
        <v>0</v>
      </c>
      <c r="P343" s="40">
        <v>0</v>
      </c>
      <c r="Q343" s="40">
        <v>0</v>
      </c>
      <c r="R343" s="40">
        <v>0</v>
      </c>
      <c r="S343" s="61">
        <f t="shared" si="40"/>
        <v>56.500000000000085</v>
      </c>
      <c r="T343" s="40">
        <v>0</v>
      </c>
      <c r="U343" s="40">
        <v>0</v>
      </c>
      <c r="V343" s="40">
        <v>1</v>
      </c>
      <c r="W343" s="40">
        <v>0</v>
      </c>
      <c r="X343" s="67">
        <f t="shared" si="42"/>
        <v>174</v>
      </c>
      <c r="Z343" s="71"/>
      <c r="AA343" s="71"/>
      <c r="AB343" s="67" t="str">
        <f t="shared" si="41"/>
        <v/>
      </c>
      <c r="AD343" s="121"/>
      <c r="AE343" s="121"/>
    </row>
    <row r="344" spans="1:31" x14ac:dyDescent="0.25">
      <c r="A344" s="2" t="s">
        <v>793</v>
      </c>
      <c r="B344" s="7">
        <v>0.58750000000000002</v>
      </c>
      <c r="C344" s="2">
        <v>1.3</v>
      </c>
      <c r="D344" s="10" t="s">
        <v>798</v>
      </c>
      <c r="E344" s="40">
        <v>5</v>
      </c>
      <c r="F344" s="40">
        <v>2.2000000000000002</v>
      </c>
      <c r="G344" s="40">
        <v>2</v>
      </c>
      <c r="H344" s="3">
        <f t="shared" si="43"/>
        <v>0.27083333333333337</v>
      </c>
      <c r="I344" s="3">
        <f t="shared" si="44"/>
        <v>0.11916666666666668</v>
      </c>
      <c r="J344" s="3">
        <f t="shared" si="45"/>
        <v>0.10833333333333334</v>
      </c>
      <c r="K344" s="3"/>
      <c r="L344" s="60">
        <f t="shared" si="39"/>
        <v>498.20916666666665</v>
      </c>
      <c r="M344" s="40">
        <v>0</v>
      </c>
      <c r="N344" s="40">
        <v>0</v>
      </c>
      <c r="O344" s="40">
        <v>0.1</v>
      </c>
      <c r="P344" s="40">
        <v>0</v>
      </c>
      <c r="Q344" s="40">
        <v>0</v>
      </c>
      <c r="R344" s="40">
        <v>0</v>
      </c>
      <c r="S344" s="61">
        <f t="shared" si="40"/>
        <v>56.400000000000084</v>
      </c>
      <c r="T344" s="40">
        <v>0</v>
      </c>
      <c r="U344" s="40">
        <v>0</v>
      </c>
      <c r="V344" s="40">
        <v>0</v>
      </c>
      <c r="W344" s="40">
        <v>0</v>
      </c>
      <c r="X344" s="67">
        <f t="shared" si="42"/>
        <v>174</v>
      </c>
      <c r="Z344" s="71"/>
      <c r="AA344" s="71"/>
      <c r="AB344" s="67" t="str">
        <f t="shared" si="41"/>
        <v/>
      </c>
      <c r="AD344" s="121"/>
      <c r="AE344" s="121"/>
    </row>
    <row r="345" spans="1:31" x14ac:dyDescent="0.25">
      <c r="A345" s="2" t="s">
        <v>793</v>
      </c>
      <c r="B345" s="7">
        <v>0.6791666666666667</v>
      </c>
      <c r="C345" s="2">
        <v>2.2000000000000002</v>
      </c>
      <c r="D345" s="10" t="s">
        <v>799</v>
      </c>
      <c r="E345" s="40">
        <v>0</v>
      </c>
      <c r="F345" s="40">
        <v>2.5</v>
      </c>
      <c r="G345" s="40">
        <v>2</v>
      </c>
      <c r="H345" s="3">
        <f t="shared" si="43"/>
        <v>0</v>
      </c>
      <c r="I345" s="3">
        <f t="shared" si="44"/>
        <v>0.22916666666666669</v>
      </c>
      <c r="J345" s="3">
        <f t="shared" si="45"/>
        <v>0.18333333333333335</v>
      </c>
      <c r="K345" s="3"/>
      <c r="L345" s="60">
        <f t="shared" si="39"/>
        <v>497.79666666666662</v>
      </c>
      <c r="M345" s="40">
        <v>0</v>
      </c>
      <c r="N345" s="40">
        <v>0</v>
      </c>
      <c r="O345" s="40">
        <v>0</v>
      </c>
      <c r="P345" s="40">
        <v>0</v>
      </c>
      <c r="Q345" s="40">
        <v>0</v>
      </c>
      <c r="R345" s="40">
        <v>0</v>
      </c>
      <c r="S345" s="61">
        <f t="shared" si="40"/>
        <v>56.400000000000084</v>
      </c>
      <c r="T345" s="40">
        <v>0</v>
      </c>
      <c r="U345" s="40">
        <v>0</v>
      </c>
      <c r="V345" s="40">
        <v>1</v>
      </c>
      <c r="W345" s="40">
        <v>0</v>
      </c>
      <c r="X345" s="67">
        <f t="shared" si="42"/>
        <v>173</v>
      </c>
      <c r="Z345" s="71"/>
      <c r="AA345" s="71"/>
      <c r="AB345" s="67" t="str">
        <f t="shared" si="41"/>
        <v/>
      </c>
      <c r="AD345" s="121"/>
      <c r="AE345" s="121"/>
    </row>
    <row r="346" spans="1:31" x14ac:dyDescent="0.25">
      <c r="A346" s="2" t="s">
        <v>800</v>
      </c>
      <c r="B346" s="7">
        <v>0.21666666666666667</v>
      </c>
      <c r="C346" s="2">
        <v>12.9</v>
      </c>
      <c r="D346" s="10" t="s">
        <v>801</v>
      </c>
      <c r="E346" s="40">
        <v>0</v>
      </c>
      <c r="F346" s="40">
        <v>2.5</v>
      </c>
      <c r="G346" s="40">
        <v>2</v>
      </c>
      <c r="H346" s="3">
        <f t="shared" si="43"/>
        <v>0</v>
      </c>
      <c r="I346" s="3">
        <f t="shared" si="44"/>
        <v>1.34375</v>
      </c>
      <c r="J346" s="3">
        <f t="shared" si="45"/>
        <v>1.075</v>
      </c>
      <c r="K346" s="3"/>
      <c r="L346" s="60">
        <f t="shared" si="39"/>
        <v>495.37791666666664</v>
      </c>
      <c r="M346" s="40">
        <v>0</v>
      </c>
      <c r="N346" s="40">
        <v>0</v>
      </c>
      <c r="O346" s="40">
        <v>0</v>
      </c>
      <c r="P346" s="40">
        <v>0</v>
      </c>
      <c r="Q346" s="40">
        <v>3.2</v>
      </c>
      <c r="R346" s="40">
        <v>0</v>
      </c>
      <c r="S346" s="61">
        <f t="shared" si="40"/>
        <v>53.200000000000081</v>
      </c>
      <c r="T346" s="40">
        <v>0</v>
      </c>
      <c r="U346" s="40">
        <v>0</v>
      </c>
      <c r="V346" s="40">
        <v>2</v>
      </c>
      <c r="W346" s="40">
        <v>0</v>
      </c>
      <c r="X346" s="67">
        <f t="shared" si="42"/>
        <v>171</v>
      </c>
      <c r="Z346" s="71"/>
      <c r="AA346" s="71"/>
      <c r="AB346" s="67" t="str">
        <f t="shared" si="41"/>
        <v/>
      </c>
      <c r="AD346" s="121"/>
      <c r="AE346" s="121"/>
    </row>
    <row r="347" spans="1:31" x14ac:dyDescent="0.25">
      <c r="A347" s="2" t="s">
        <v>800</v>
      </c>
      <c r="B347" s="65">
        <v>0.33333333333333331</v>
      </c>
      <c r="C347" s="2">
        <v>2.8</v>
      </c>
      <c r="D347" s="10" t="s">
        <v>802</v>
      </c>
      <c r="E347" s="40">
        <v>0</v>
      </c>
      <c r="F347" s="40">
        <v>2.5</v>
      </c>
      <c r="G347" s="40">
        <v>2</v>
      </c>
      <c r="H347" s="3">
        <f t="shared" si="43"/>
        <v>0</v>
      </c>
      <c r="I347" s="3">
        <f t="shared" si="44"/>
        <v>0.29166666666666669</v>
      </c>
      <c r="J347" s="3">
        <f t="shared" si="45"/>
        <v>0.23333333333333331</v>
      </c>
      <c r="K347" s="3"/>
      <c r="L347" s="60">
        <f t="shared" si="39"/>
        <v>494.85291666666666</v>
      </c>
      <c r="M347" s="40">
        <v>0</v>
      </c>
      <c r="N347" s="40">
        <v>0</v>
      </c>
      <c r="O347" s="40">
        <v>0</v>
      </c>
      <c r="P347" s="40">
        <v>0</v>
      </c>
      <c r="Q347" s="40">
        <v>0</v>
      </c>
      <c r="R347" s="40">
        <v>0</v>
      </c>
      <c r="S347" s="61">
        <f t="shared" si="40"/>
        <v>53.200000000000081</v>
      </c>
      <c r="T347" s="40">
        <v>0</v>
      </c>
      <c r="U347" s="40">
        <v>0</v>
      </c>
      <c r="V347" s="40">
        <v>1</v>
      </c>
      <c r="W347" s="40">
        <v>0</v>
      </c>
      <c r="X347" s="67">
        <f t="shared" si="42"/>
        <v>170</v>
      </c>
      <c r="Z347" s="71"/>
      <c r="AA347" s="71"/>
      <c r="AB347" s="67" t="str">
        <f t="shared" si="41"/>
        <v/>
      </c>
      <c r="AD347" s="121"/>
      <c r="AE347" s="121"/>
    </row>
    <row r="348" spans="1:31" x14ac:dyDescent="0.25">
      <c r="A348" s="2" t="s">
        <v>800</v>
      </c>
      <c r="B348" s="7">
        <v>0.375</v>
      </c>
      <c r="C348" s="2">
        <v>1</v>
      </c>
      <c r="D348" s="10" t="s">
        <v>660</v>
      </c>
      <c r="E348" s="40">
        <v>0</v>
      </c>
      <c r="F348" s="40">
        <v>2.5</v>
      </c>
      <c r="G348" s="40">
        <v>2</v>
      </c>
      <c r="H348" s="3">
        <f t="shared" si="43"/>
        <v>0</v>
      </c>
      <c r="I348" s="3">
        <f t="shared" si="44"/>
        <v>0.10416666666666667</v>
      </c>
      <c r="J348" s="3">
        <f t="shared" si="45"/>
        <v>8.3333333333333329E-2</v>
      </c>
      <c r="K348" s="3"/>
      <c r="L348" s="60">
        <f t="shared" ref="L348:L412" si="46">+IF(C348="","",(L347+K348)-(H348+I348+J348))</f>
        <v>494.66541666666666</v>
      </c>
      <c r="M348" s="40">
        <v>0</v>
      </c>
      <c r="N348" s="40">
        <v>0</v>
      </c>
      <c r="O348" s="40">
        <v>0</v>
      </c>
      <c r="P348" s="40">
        <v>0</v>
      </c>
      <c r="Q348" s="40">
        <v>0</v>
      </c>
      <c r="R348" s="40">
        <v>0</v>
      </c>
      <c r="S348" s="61">
        <f t="shared" si="40"/>
        <v>53.200000000000081</v>
      </c>
      <c r="T348" s="40">
        <v>0</v>
      </c>
      <c r="U348" s="40">
        <v>0</v>
      </c>
      <c r="V348" s="40">
        <v>0</v>
      </c>
      <c r="W348" s="40">
        <v>0</v>
      </c>
      <c r="X348" s="67">
        <f t="shared" si="42"/>
        <v>170</v>
      </c>
      <c r="Z348" s="71"/>
      <c r="AA348" s="71"/>
      <c r="AB348" s="67" t="str">
        <f t="shared" si="41"/>
        <v/>
      </c>
      <c r="AD348" s="121"/>
      <c r="AE348" s="121"/>
    </row>
    <row r="349" spans="1:31" x14ac:dyDescent="0.25">
      <c r="A349" s="2" t="s">
        <v>800</v>
      </c>
      <c r="B349" s="7">
        <v>0.39583333333333331</v>
      </c>
      <c r="C349" s="2">
        <v>0.5</v>
      </c>
      <c r="D349" s="10" t="s">
        <v>803</v>
      </c>
      <c r="E349" s="40">
        <v>10</v>
      </c>
      <c r="F349" s="40">
        <v>2.5</v>
      </c>
      <c r="G349" s="40">
        <v>2</v>
      </c>
      <c r="H349" s="3">
        <f t="shared" si="43"/>
        <v>0.20833333333333334</v>
      </c>
      <c r="I349" s="3">
        <f t="shared" si="44"/>
        <v>5.2083333333333336E-2</v>
      </c>
      <c r="J349" s="3">
        <f t="shared" si="45"/>
        <v>4.1666666666666664E-2</v>
      </c>
      <c r="K349" s="3"/>
      <c r="L349" s="60">
        <f t="shared" si="46"/>
        <v>494.36333333333334</v>
      </c>
      <c r="M349" s="40">
        <v>0</v>
      </c>
      <c r="N349" s="40">
        <v>0</v>
      </c>
      <c r="O349" s="40">
        <v>0.1</v>
      </c>
      <c r="P349" s="40">
        <v>0</v>
      </c>
      <c r="Q349" s="40">
        <v>0</v>
      </c>
      <c r="R349" s="40">
        <v>0</v>
      </c>
      <c r="S349" s="61">
        <f t="shared" si="40"/>
        <v>53.10000000000008</v>
      </c>
      <c r="T349" s="40">
        <v>0</v>
      </c>
      <c r="U349" s="40">
        <v>0</v>
      </c>
      <c r="V349" s="40">
        <v>1</v>
      </c>
      <c r="W349" s="40">
        <v>0</v>
      </c>
      <c r="X349" s="67">
        <f t="shared" si="42"/>
        <v>169</v>
      </c>
      <c r="Z349" s="71"/>
      <c r="AA349" s="71"/>
      <c r="AB349" s="67" t="str">
        <f t="shared" si="41"/>
        <v/>
      </c>
      <c r="AD349" s="121"/>
      <c r="AE349" s="121"/>
    </row>
    <row r="350" spans="1:31" x14ac:dyDescent="0.25">
      <c r="A350" s="2" t="s">
        <v>804</v>
      </c>
      <c r="B350" s="7">
        <v>0.27083333333333331</v>
      </c>
      <c r="C350" s="2">
        <v>21</v>
      </c>
      <c r="D350" s="10" t="s">
        <v>796</v>
      </c>
      <c r="E350" s="40">
        <v>22</v>
      </c>
      <c r="F350" s="40">
        <v>2.5</v>
      </c>
      <c r="G350" s="40">
        <v>0</v>
      </c>
      <c r="H350" s="3">
        <f t="shared" si="43"/>
        <v>19.25</v>
      </c>
      <c r="I350" s="3">
        <f t="shared" si="44"/>
        <v>2.1875</v>
      </c>
      <c r="J350" s="3">
        <f t="shared" si="45"/>
        <v>0</v>
      </c>
      <c r="K350" s="3"/>
      <c r="L350" s="60">
        <f t="shared" si="46"/>
        <v>472.92583333333334</v>
      </c>
      <c r="M350" s="40">
        <v>0</v>
      </c>
      <c r="N350" s="40">
        <v>0</v>
      </c>
      <c r="O350" s="40">
        <v>0.1</v>
      </c>
      <c r="P350" s="40">
        <v>0</v>
      </c>
      <c r="Q350" s="40">
        <v>0</v>
      </c>
      <c r="R350" s="40">
        <v>0</v>
      </c>
      <c r="S350" s="61">
        <f t="shared" si="40"/>
        <v>53.000000000000078</v>
      </c>
      <c r="T350" s="40">
        <v>8</v>
      </c>
      <c r="U350" s="40">
        <v>0</v>
      </c>
      <c r="V350" s="40">
        <v>4</v>
      </c>
      <c r="W350" s="40">
        <v>0</v>
      </c>
      <c r="X350" s="67">
        <f t="shared" si="42"/>
        <v>173</v>
      </c>
      <c r="Z350" s="71"/>
      <c r="AA350" s="71"/>
      <c r="AB350" s="67" t="str">
        <f t="shared" si="41"/>
        <v/>
      </c>
      <c r="AD350" s="121">
        <v>12.2</v>
      </c>
      <c r="AE350" s="121" t="s">
        <v>1295</v>
      </c>
    </row>
    <row r="351" spans="1:31" x14ac:dyDescent="0.25">
      <c r="A351" s="2" t="s">
        <v>804</v>
      </c>
      <c r="B351" s="7">
        <v>0.29583333333333334</v>
      </c>
      <c r="C351" s="2">
        <v>0.6</v>
      </c>
      <c r="D351" s="10" t="s">
        <v>805</v>
      </c>
      <c r="E351" s="40">
        <v>5</v>
      </c>
      <c r="F351" s="40">
        <v>2.5</v>
      </c>
      <c r="G351" s="40">
        <v>2</v>
      </c>
      <c r="H351" s="3">
        <f t="shared" si="43"/>
        <v>0.125</v>
      </c>
      <c r="I351" s="3">
        <f t="shared" si="44"/>
        <v>6.25E-2</v>
      </c>
      <c r="J351" s="3">
        <f t="shared" si="45"/>
        <v>4.9999999999999996E-2</v>
      </c>
      <c r="K351" s="3"/>
      <c r="L351" s="60">
        <f t="shared" si="46"/>
        <v>472.68833333333333</v>
      </c>
      <c r="M351" s="40">
        <v>0</v>
      </c>
      <c r="N351" s="40">
        <v>0</v>
      </c>
      <c r="O351" s="40">
        <v>0</v>
      </c>
      <c r="P351" s="40">
        <v>0</v>
      </c>
      <c r="Q351" s="40">
        <v>0</v>
      </c>
      <c r="R351" s="40">
        <v>0</v>
      </c>
      <c r="S351" s="61">
        <f t="shared" si="40"/>
        <v>53.000000000000078</v>
      </c>
      <c r="T351" s="40">
        <v>0</v>
      </c>
      <c r="U351" s="40">
        <v>0</v>
      </c>
      <c r="V351" s="40">
        <v>0</v>
      </c>
      <c r="W351" s="40">
        <v>0</v>
      </c>
      <c r="X351" s="67">
        <f t="shared" si="42"/>
        <v>173</v>
      </c>
      <c r="Z351" s="71"/>
      <c r="AA351" s="71"/>
      <c r="AB351" s="67" t="str">
        <f t="shared" si="41"/>
        <v/>
      </c>
      <c r="AD351" s="121"/>
      <c r="AE351" s="121"/>
    </row>
    <row r="352" spans="1:31" x14ac:dyDescent="0.25">
      <c r="A352" s="2" t="s">
        <v>804</v>
      </c>
      <c r="B352" s="65">
        <v>0.33333333333333331</v>
      </c>
      <c r="C352" s="2">
        <v>0.9</v>
      </c>
      <c r="D352" s="10" t="s">
        <v>806</v>
      </c>
      <c r="E352" s="40">
        <v>0</v>
      </c>
      <c r="F352" s="40">
        <v>2.5</v>
      </c>
      <c r="G352" s="40">
        <v>2</v>
      </c>
      <c r="H352" s="3">
        <f t="shared" si="43"/>
        <v>0</v>
      </c>
      <c r="I352" s="3">
        <f t="shared" si="44"/>
        <v>9.375E-2</v>
      </c>
      <c r="J352" s="3">
        <f t="shared" si="45"/>
        <v>7.4999999999999997E-2</v>
      </c>
      <c r="K352" s="3"/>
      <c r="L352" s="60">
        <f t="shared" si="46"/>
        <v>472.51958333333334</v>
      </c>
      <c r="M352" s="40">
        <v>0</v>
      </c>
      <c r="N352" s="40">
        <v>0</v>
      </c>
      <c r="O352" s="40">
        <v>0</v>
      </c>
      <c r="P352" s="40">
        <v>0</v>
      </c>
      <c r="Q352" s="40">
        <v>0</v>
      </c>
      <c r="R352" s="40">
        <v>0</v>
      </c>
      <c r="S352" s="61">
        <f t="shared" si="40"/>
        <v>53.000000000000078</v>
      </c>
      <c r="T352" s="40">
        <v>0</v>
      </c>
      <c r="U352" s="40">
        <v>0</v>
      </c>
      <c r="V352" s="40">
        <v>0</v>
      </c>
      <c r="W352" s="40">
        <v>0</v>
      </c>
      <c r="X352" s="67">
        <f t="shared" si="42"/>
        <v>173</v>
      </c>
      <c r="Z352" s="71"/>
      <c r="AA352" s="71"/>
      <c r="AB352" s="67" t="str">
        <f t="shared" si="41"/>
        <v/>
      </c>
      <c r="AD352" s="121"/>
      <c r="AE352" s="121"/>
    </row>
    <row r="353" spans="1:31" x14ac:dyDescent="0.25">
      <c r="A353" s="2" t="s">
        <v>807</v>
      </c>
      <c r="B353" s="65">
        <v>0.33333333333333331</v>
      </c>
      <c r="C353" s="2">
        <v>24</v>
      </c>
      <c r="D353" s="10" t="s">
        <v>806</v>
      </c>
      <c r="E353" s="40">
        <v>0</v>
      </c>
      <c r="F353" s="40">
        <v>2.5</v>
      </c>
      <c r="G353" s="40">
        <v>2</v>
      </c>
      <c r="H353" s="3">
        <f t="shared" si="43"/>
        <v>0</v>
      </c>
      <c r="I353" s="3">
        <f t="shared" si="44"/>
        <v>2.5</v>
      </c>
      <c r="J353" s="3">
        <f t="shared" si="45"/>
        <v>2</v>
      </c>
      <c r="K353" s="3"/>
      <c r="L353" s="60">
        <f t="shared" si="46"/>
        <v>468.01958333333334</v>
      </c>
      <c r="M353" s="40">
        <v>0</v>
      </c>
      <c r="N353" s="40">
        <v>0</v>
      </c>
      <c r="O353" s="40">
        <v>0.1</v>
      </c>
      <c r="P353" s="40">
        <v>0</v>
      </c>
      <c r="Q353" s="40">
        <v>0</v>
      </c>
      <c r="R353" s="40">
        <v>0</v>
      </c>
      <c r="S353" s="61">
        <f t="shared" si="40"/>
        <v>52.900000000000077</v>
      </c>
      <c r="T353" s="40">
        <v>0</v>
      </c>
      <c r="U353" s="40">
        <v>0</v>
      </c>
      <c r="V353" s="40">
        <v>6</v>
      </c>
      <c r="W353" s="40">
        <v>0</v>
      </c>
      <c r="X353" s="67">
        <f t="shared" si="42"/>
        <v>167</v>
      </c>
      <c r="Z353" s="71"/>
      <c r="AA353" s="71"/>
      <c r="AB353" s="67" t="str">
        <f t="shared" si="41"/>
        <v/>
      </c>
      <c r="AD353" s="121"/>
      <c r="AE353" s="121"/>
    </row>
    <row r="354" spans="1:31" x14ac:dyDescent="0.25">
      <c r="A354" s="2" t="s">
        <v>808</v>
      </c>
      <c r="B354" s="65">
        <v>0.33333333333333331</v>
      </c>
      <c r="C354" s="2">
        <v>24</v>
      </c>
      <c r="D354" s="10" t="s">
        <v>806</v>
      </c>
      <c r="E354" s="40">
        <v>0</v>
      </c>
      <c r="F354" s="40">
        <v>2.2000000000000002</v>
      </c>
      <c r="G354" s="40">
        <v>2</v>
      </c>
      <c r="H354" s="3">
        <f t="shared" si="43"/>
        <v>0</v>
      </c>
      <c r="I354" s="3">
        <f t="shared" si="44"/>
        <v>2.2000000000000002</v>
      </c>
      <c r="J354" s="3">
        <f t="shared" si="45"/>
        <v>2</v>
      </c>
      <c r="K354" s="3"/>
      <c r="L354" s="60">
        <f t="shared" si="46"/>
        <v>463.81958333333336</v>
      </c>
      <c r="M354" s="40">
        <v>0</v>
      </c>
      <c r="N354" s="40">
        <v>0</v>
      </c>
      <c r="O354" s="40">
        <v>0</v>
      </c>
      <c r="P354" s="40">
        <v>0</v>
      </c>
      <c r="Q354" s="40">
        <v>0</v>
      </c>
      <c r="R354" s="40">
        <v>0</v>
      </c>
      <c r="S354" s="61">
        <f t="shared" si="40"/>
        <v>52.900000000000077</v>
      </c>
      <c r="T354" s="40">
        <v>0</v>
      </c>
      <c r="U354" s="40">
        <v>0</v>
      </c>
      <c r="V354" s="40">
        <v>5</v>
      </c>
      <c r="W354" s="40">
        <v>0</v>
      </c>
      <c r="X354" s="67">
        <f t="shared" si="42"/>
        <v>162</v>
      </c>
      <c r="Z354" s="71"/>
      <c r="AA354" s="71"/>
      <c r="AB354" s="67" t="str">
        <f t="shared" si="41"/>
        <v/>
      </c>
      <c r="AD354" s="121"/>
      <c r="AE354" s="121"/>
    </row>
    <row r="355" spans="1:31" x14ac:dyDescent="0.25">
      <c r="A355" s="2" t="s">
        <v>809</v>
      </c>
      <c r="B355" s="65">
        <v>0.33333333333333331</v>
      </c>
      <c r="C355" s="2">
        <v>24</v>
      </c>
      <c r="D355" s="10" t="s">
        <v>806</v>
      </c>
      <c r="E355" s="40">
        <v>0</v>
      </c>
      <c r="F355" s="40">
        <v>2.1</v>
      </c>
      <c r="G355" s="40">
        <v>2</v>
      </c>
      <c r="H355" s="3">
        <f t="shared" si="43"/>
        <v>0</v>
      </c>
      <c r="I355" s="3">
        <f t="shared" si="44"/>
        <v>2.1</v>
      </c>
      <c r="J355" s="3">
        <f t="shared" si="45"/>
        <v>2</v>
      </c>
      <c r="K355" s="3"/>
      <c r="L355" s="60">
        <f t="shared" si="46"/>
        <v>459.71958333333333</v>
      </c>
      <c r="M355" s="40">
        <v>0</v>
      </c>
      <c r="N355" s="40">
        <v>0</v>
      </c>
      <c r="O355" s="40">
        <v>0</v>
      </c>
      <c r="P355" s="40">
        <v>0</v>
      </c>
      <c r="Q355" s="40">
        <v>0</v>
      </c>
      <c r="R355" s="40">
        <v>0</v>
      </c>
      <c r="S355" s="61">
        <f t="shared" si="40"/>
        <v>52.900000000000077</v>
      </c>
      <c r="T355" s="40">
        <v>0</v>
      </c>
      <c r="U355" s="40">
        <v>0</v>
      </c>
      <c r="V355" s="40">
        <v>7</v>
      </c>
      <c r="W355" s="40">
        <v>0</v>
      </c>
      <c r="X355" s="67">
        <f t="shared" si="42"/>
        <v>155</v>
      </c>
      <c r="Z355" s="71"/>
      <c r="AA355" s="71"/>
      <c r="AB355" s="67" t="str">
        <f t="shared" si="41"/>
        <v/>
      </c>
      <c r="AD355" s="121"/>
      <c r="AE355" s="121"/>
    </row>
    <row r="356" spans="1:31" x14ac:dyDescent="0.25">
      <c r="A356" s="2" t="s">
        <v>810</v>
      </c>
      <c r="B356" s="65">
        <v>0.33333333333333331</v>
      </c>
      <c r="C356" s="2">
        <v>24</v>
      </c>
      <c r="D356" s="10" t="s">
        <v>806</v>
      </c>
      <c r="E356" s="40">
        <v>0</v>
      </c>
      <c r="F356" s="40">
        <v>2.1</v>
      </c>
      <c r="G356" s="40">
        <v>2</v>
      </c>
      <c r="H356" s="3">
        <f t="shared" si="43"/>
        <v>0</v>
      </c>
      <c r="I356" s="3">
        <f t="shared" si="44"/>
        <v>2.1</v>
      </c>
      <c r="J356" s="3">
        <f t="shared" si="45"/>
        <v>2</v>
      </c>
      <c r="K356" s="3"/>
      <c r="L356" s="60">
        <f t="shared" si="46"/>
        <v>455.61958333333331</v>
      </c>
      <c r="M356" s="40">
        <v>0</v>
      </c>
      <c r="N356" s="40">
        <v>0</v>
      </c>
      <c r="O356" s="40">
        <v>0</v>
      </c>
      <c r="P356" s="40">
        <v>0</v>
      </c>
      <c r="Q356" s="40">
        <v>0</v>
      </c>
      <c r="R356" s="40">
        <v>0</v>
      </c>
      <c r="S356" s="61">
        <f t="shared" si="40"/>
        <v>52.900000000000077</v>
      </c>
      <c r="T356" s="40">
        <v>0</v>
      </c>
      <c r="U356" s="40">
        <v>0</v>
      </c>
      <c r="V356" s="40">
        <v>5</v>
      </c>
      <c r="W356" s="40">
        <v>0</v>
      </c>
      <c r="X356" s="67">
        <f t="shared" si="42"/>
        <v>150</v>
      </c>
      <c r="Z356" s="71"/>
      <c r="AA356" s="71"/>
      <c r="AB356" s="67" t="str">
        <f t="shared" si="41"/>
        <v/>
      </c>
      <c r="AD356" s="121"/>
      <c r="AE356" s="121"/>
    </row>
    <row r="357" spans="1:31" x14ac:dyDescent="0.25">
      <c r="A357" s="2" t="s">
        <v>811</v>
      </c>
      <c r="B357" s="65">
        <v>0.33333333333333331</v>
      </c>
      <c r="C357" s="2">
        <v>24</v>
      </c>
      <c r="D357" s="10" t="s">
        <v>806</v>
      </c>
      <c r="E357" s="40">
        <v>0</v>
      </c>
      <c r="F357" s="40">
        <v>2.5</v>
      </c>
      <c r="G357" s="40">
        <v>2</v>
      </c>
      <c r="H357" s="3">
        <f t="shared" si="43"/>
        <v>0</v>
      </c>
      <c r="I357" s="3">
        <f t="shared" si="44"/>
        <v>2.5</v>
      </c>
      <c r="J357" s="3">
        <f t="shared" si="45"/>
        <v>2</v>
      </c>
      <c r="K357" s="3"/>
      <c r="L357" s="60">
        <f t="shared" si="46"/>
        <v>451.11958333333331</v>
      </c>
      <c r="M357" s="40">
        <v>0</v>
      </c>
      <c r="N357" s="40">
        <v>0</v>
      </c>
      <c r="O357" s="40">
        <v>0</v>
      </c>
      <c r="P357" s="40">
        <v>0</v>
      </c>
      <c r="Q357" s="40">
        <v>0</v>
      </c>
      <c r="R357" s="40">
        <v>0</v>
      </c>
      <c r="S357" s="61">
        <f t="shared" si="40"/>
        <v>52.900000000000077</v>
      </c>
      <c r="T357" s="40">
        <v>0</v>
      </c>
      <c r="U357" s="40">
        <v>0</v>
      </c>
      <c r="V357" s="40">
        <v>5</v>
      </c>
      <c r="W357" s="40">
        <v>0</v>
      </c>
      <c r="X357" s="67">
        <f t="shared" si="42"/>
        <v>145</v>
      </c>
      <c r="Z357" s="71"/>
      <c r="AA357" s="71"/>
      <c r="AB357" s="67" t="str">
        <f t="shared" si="41"/>
        <v/>
      </c>
      <c r="AD357" s="121"/>
      <c r="AE357" s="121"/>
    </row>
    <row r="358" spans="1:31" x14ac:dyDescent="0.25">
      <c r="A358" s="2" t="s">
        <v>811</v>
      </c>
      <c r="B358" s="7">
        <v>0.6333333333333333</v>
      </c>
      <c r="C358" s="2">
        <v>7.2</v>
      </c>
      <c r="D358" s="10" t="s">
        <v>660</v>
      </c>
      <c r="E358" s="40">
        <v>0</v>
      </c>
      <c r="F358" s="40">
        <v>2.5</v>
      </c>
      <c r="G358" s="40">
        <v>2</v>
      </c>
      <c r="H358" s="3">
        <f t="shared" si="43"/>
        <v>0</v>
      </c>
      <c r="I358" s="3">
        <f t="shared" si="44"/>
        <v>0.75</v>
      </c>
      <c r="J358" s="3">
        <f t="shared" si="45"/>
        <v>0.6</v>
      </c>
      <c r="K358" s="3"/>
      <c r="L358" s="60">
        <f t="shared" si="46"/>
        <v>449.76958333333329</v>
      </c>
      <c r="M358" s="40">
        <v>0</v>
      </c>
      <c r="N358" s="40">
        <v>0</v>
      </c>
      <c r="O358" s="40">
        <v>0</v>
      </c>
      <c r="P358" s="40">
        <v>0</v>
      </c>
      <c r="Q358" s="40">
        <v>0</v>
      </c>
      <c r="R358" s="40">
        <v>0</v>
      </c>
      <c r="S358" s="61">
        <f t="shared" si="40"/>
        <v>52.900000000000077</v>
      </c>
      <c r="T358" s="40">
        <v>0</v>
      </c>
      <c r="U358" s="40">
        <v>0</v>
      </c>
      <c r="V358" s="40">
        <v>2</v>
      </c>
      <c r="W358" s="40">
        <v>0</v>
      </c>
      <c r="X358" s="67">
        <f t="shared" si="42"/>
        <v>143</v>
      </c>
      <c r="Z358" s="71"/>
      <c r="AA358" s="71"/>
      <c r="AB358" s="67" t="str">
        <f t="shared" si="41"/>
        <v/>
      </c>
      <c r="AD358" s="121"/>
      <c r="AE358" s="121"/>
    </row>
    <row r="359" spans="1:31" x14ac:dyDescent="0.25">
      <c r="A359" s="2" t="s">
        <v>811</v>
      </c>
      <c r="B359" s="7">
        <v>0.6791666666666667</v>
      </c>
      <c r="C359" s="2">
        <v>1.1000000000000001</v>
      </c>
      <c r="D359" s="10" t="s">
        <v>812</v>
      </c>
      <c r="E359" s="40">
        <v>2</v>
      </c>
      <c r="F359" s="40">
        <v>2.5</v>
      </c>
      <c r="G359" s="40">
        <v>2</v>
      </c>
      <c r="H359" s="3">
        <f t="shared" si="43"/>
        <v>9.1666666666666674E-2</v>
      </c>
      <c r="I359" s="3">
        <f t="shared" si="44"/>
        <v>0.11458333333333334</v>
      </c>
      <c r="J359" s="3">
        <f t="shared" si="45"/>
        <v>9.1666666666666674E-2</v>
      </c>
      <c r="K359" s="3"/>
      <c r="L359" s="60">
        <f t="shared" si="46"/>
        <v>449.47166666666664</v>
      </c>
      <c r="M359" s="40">
        <v>0</v>
      </c>
      <c r="N359" s="40">
        <v>0</v>
      </c>
      <c r="O359" s="40">
        <v>0</v>
      </c>
      <c r="P359" s="40">
        <v>0</v>
      </c>
      <c r="Q359" s="40">
        <v>0</v>
      </c>
      <c r="R359" s="40">
        <v>0</v>
      </c>
      <c r="S359" s="61">
        <f t="shared" si="40"/>
        <v>52.900000000000077</v>
      </c>
      <c r="T359" s="40">
        <v>0</v>
      </c>
      <c r="U359" s="40">
        <v>0</v>
      </c>
      <c r="V359" s="40">
        <v>0</v>
      </c>
      <c r="W359" s="40">
        <v>0</v>
      </c>
      <c r="X359" s="67">
        <f t="shared" si="42"/>
        <v>143</v>
      </c>
      <c r="Z359" s="71"/>
      <c r="AA359" s="71"/>
      <c r="AB359" s="67" t="str">
        <f t="shared" si="41"/>
        <v/>
      </c>
      <c r="AD359" s="121"/>
      <c r="AE359" s="121"/>
    </row>
    <row r="360" spans="1:31" x14ac:dyDescent="0.25">
      <c r="A360" s="2" t="s">
        <v>811</v>
      </c>
      <c r="B360" s="7">
        <v>0.80833333333333324</v>
      </c>
      <c r="C360" s="2">
        <v>3.1</v>
      </c>
      <c r="D360" s="10" t="s">
        <v>813</v>
      </c>
      <c r="E360" s="40">
        <v>0</v>
      </c>
      <c r="F360" s="40">
        <v>2.5</v>
      </c>
      <c r="G360" s="40">
        <v>2</v>
      </c>
      <c r="H360" s="3">
        <f t="shared" si="43"/>
        <v>0</v>
      </c>
      <c r="I360" s="3">
        <f t="shared" si="44"/>
        <v>0.32291666666666669</v>
      </c>
      <c r="J360" s="3">
        <f t="shared" si="45"/>
        <v>0.2583333333333333</v>
      </c>
      <c r="K360" s="3"/>
      <c r="L360" s="60">
        <f t="shared" si="46"/>
        <v>448.89041666666662</v>
      </c>
      <c r="M360" s="40">
        <v>0</v>
      </c>
      <c r="N360" s="40">
        <v>0</v>
      </c>
      <c r="O360" s="40">
        <v>0</v>
      </c>
      <c r="P360" s="40">
        <v>0</v>
      </c>
      <c r="Q360" s="40">
        <v>0</v>
      </c>
      <c r="R360" s="40">
        <v>0</v>
      </c>
      <c r="S360" s="61">
        <f t="shared" si="40"/>
        <v>52.900000000000077</v>
      </c>
      <c r="T360" s="40">
        <v>0</v>
      </c>
      <c r="U360" s="40">
        <v>0</v>
      </c>
      <c r="V360" s="40">
        <v>0</v>
      </c>
      <c r="W360" s="40">
        <v>0</v>
      </c>
      <c r="X360" s="67">
        <f t="shared" si="42"/>
        <v>143</v>
      </c>
      <c r="Z360" s="71"/>
      <c r="AA360" s="71"/>
      <c r="AB360" s="67" t="str">
        <f t="shared" si="41"/>
        <v/>
      </c>
      <c r="AD360" s="121"/>
      <c r="AE360" s="121"/>
    </row>
    <row r="361" spans="1:31" x14ac:dyDescent="0.25">
      <c r="A361" s="2" t="s">
        <v>814</v>
      </c>
      <c r="B361" s="7">
        <v>0.32916666666666666</v>
      </c>
      <c r="C361" s="2">
        <v>12.5</v>
      </c>
      <c r="D361" s="10" t="s">
        <v>816</v>
      </c>
      <c r="E361" s="40">
        <v>0</v>
      </c>
      <c r="F361" s="40">
        <v>2.4</v>
      </c>
      <c r="G361" s="40">
        <v>2</v>
      </c>
      <c r="H361" s="3">
        <f t="shared" si="43"/>
        <v>0</v>
      </c>
      <c r="I361" s="3">
        <f t="shared" si="44"/>
        <v>1.25</v>
      </c>
      <c r="J361" s="3">
        <f t="shared" si="45"/>
        <v>1.0416666666666665</v>
      </c>
      <c r="K361" s="3"/>
      <c r="L361" s="60">
        <f t="shared" si="46"/>
        <v>446.59874999999994</v>
      </c>
      <c r="M361" s="40">
        <v>0</v>
      </c>
      <c r="N361" s="40">
        <v>0</v>
      </c>
      <c r="O361" s="40">
        <v>3.1</v>
      </c>
      <c r="P361" s="40">
        <v>0</v>
      </c>
      <c r="Q361" s="40">
        <v>0</v>
      </c>
      <c r="R361" s="40">
        <v>0</v>
      </c>
      <c r="S361" s="61">
        <f t="shared" si="40"/>
        <v>49.800000000000075</v>
      </c>
      <c r="T361" s="40">
        <v>0</v>
      </c>
      <c r="U361" s="40">
        <v>0</v>
      </c>
      <c r="V361" s="40">
        <v>0</v>
      </c>
      <c r="W361" s="40">
        <v>0</v>
      </c>
      <c r="X361" s="67">
        <f t="shared" si="42"/>
        <v>143</v>
      </c>
      <c r="Z361" s="71"/>
      <c r="AA361" s="71"/>
      <c r="AB361" s="67" t="str">
        <f t="shared" si="41"/>
        <v/>
      </c>
      <c r="AD361" s="121"/>
      <c r="AE361" s="121"/>
    </row>
    <row r="362" spans="1:31" x14ac:dyDescent="0.25">
      <c r="A362" s="2" t="s">
        <v>814</v>
      </c>
      <c r="B362" s="65">
        <v>0.33333333333333331</v>
      </c>
      <c r="C362" s="2">
        <v>0.1</v>
      </c>
      <c r="D362" s="10" t="s">
        <v>815</v>
      </c>
      <c r="E362" s="40">
        <v>0</v>
      </c>
      <c r="F362" s="40">
        <v>2.5</v>
      </c>
      <c r="G362" s="40">
        <v>2</v>
      </c>
      <c r="H362" s="3">
        <f t="shared" si="43"/>
        <v>0</v>
      </c>
      <c r="I362" s="3">
        <f t="shared" si="44"/>
        <v>1.0416666666666668E-2</v>
      </c>
      <c r="J362" s="3">
        <f t="shared" si="45"/>
        <v>8.3333333333333332E-3</v>
      </c>
      <c r="K362" s="3"/>
      <c r="L362" s="60">
        <f t="shared" si="46"/>
        <v>446.57999999999993</v>
      </c>
      <c r="M362" s="40">
        <v>0</v>
      </c>
      <c r="N362" s="40">
        <v>0</v>
      </c>
      <c r="O362" s="40">
        <v>0</v>
      </c>
      <c r="P362" s="40">
        <v>0</v>
      </c>
      <c r="Q362" s="40">
        <v>0</v>
      </c>
      <c r="R362" s="40">
        <v>0</v>
      </c>
      <c r="S362" s="61">
        <f t="shared" si="40"/>
        <v>49.800000000000075</v>
      </c>
      <c r="T362" s="40">
        <v>0</v>
      </c>
      <c r="U362" s="40">
        <v>0</v>
      </c>
      <c r="V362" s="40">
        <v>3</v>
      </c>
      <c r="W362" s="40">
        <v>0</v>
      </c>
      <c r="X362" s="67">
        <f t="shared" si="42"/>
        <v>140</v>
      </c>
      <c r="Z362" s="71"/>
      <c r="AA362" s="71"/>
      <c r="AB362" s="67" t="str">
        <f t="shared" si="41"/>
        <v/>
      </c>
      <c r="AD362" s="121"/>
      <c r="AE362" s="121"/>
    </row>
    <row r="363" spans="1:31" x14ac:dyDescent="0.25">
      <c r="A363" s="2" t="s">
        <v>814</v>
      </c>
      <c r="B363" s="7">
        <v>0.54166666666666663</v>
      </c>
      <c r="C363" s="2">
        <v>5</v>
      </c>
      <c r="D363" s="10" t="s">
        <v>660</v>
      </c>
      <c r="E363" s="40">
        <v>0</v>
      </c>
      <c r="F363" s="40">
        <v>2.5</v>
      </c>
      <c r="G363" s="40">
        <v>2</v>
      </c>
      <c r="H363" s="3">
        <f t="shared" si="43"/>
        <v>0</v>
      </c>
      <c r="I363" s="3">
        <f t="shared" si="44"/>
        <v>0.52083333333333337</v>
      </c>
      <c r="J363" s="3">
        <f t="shared" si="45"/>
        <v>0.41666666666666663</v>
      </c>
      <c r="K363" s="3"/>
      <c r="L363" s="60">
        <f t="shared" si="46"/>
        <v>445.64249999999993</v>
      </c>
      <c r="M363" s="40">
        <v>0</v>
      </c>
      <c r="N363" s="40">
        <v>0</v>
      </c>
      <c r="O363" s="40">
        <v>0</v>
      </c>
      <c r="P363" s="40">
        <v>0</v>
      </c>
      <c r="Q363" s="40">
        <v>0</v>
      </c>
      <c r="R363" s="40">
        <v>0</v>
      </c>
      <c r="S363" s="61">
        <f t="shared" si="40"/>
        <v>49.800000000000075</v>
      </c>
      <c r="T363" s="40">
        <v>0</v>
      </c>
      <c r="U363" s="40">
        <v>0</v>
      </c>
      <c r="V363" s="40">
        <v>1</v>
      </c>
      <c r="W363" s="40">
        <v>0</v>
      </c>
      <c r="X363" s="67">
        <f t="shared" si="42"/>
        <v>139</v>
      </c>
      <c r="Z363" s="71"/>
      <c r="AA363" s="71"/>
      <c r="AB363" s="67" t="str">
        <f t="shared" si="41"/>
        <v/>
      </c>
      <c r="AD363" s="121"/>
      <c r="AE363" s="121"/>
    </row>
    <row r="364" spans="1:31" x14ac:dyDescent="0.25">
      <c r="A364" s="2" t="s">
        <v>814</v>
      </c>
      <c r="B364" s="7">
        <v>0.5625</v>
      </c>
      <c r="C364" s="2">
        <v>0.5</v>
      </c>
      <c r="D364" s="10" t="s">
        <v>817</v>
      </c>
      <c r="E364" s="40">
        <v>5</v>
      </c>
      <c r="F364" s="40">
        <v>2.5</v>
      </c>
      <c r="G364" s="40">
        <v>2</v>
      </c>
      <c r="H364" s="3">
        <f t="shared" si="43"/>
        <v>0.10416666666666667</v>
      </c>
      <c r="I364" s="3">
        <f t="shared" si="44"/>
        <v>5.2083333333333336E-2</v>
      </c>
      <c r="J364" s="3">
        <f t="shared" si="45"/>
        <v>4.1666666666666664E-2</v>
      </c>
      <c r="K364" s="3"/>
      <c r="L364" s="60">
        <f t="shared" si="46"/>
        <v>445.44458333333324</v>
      </c>
      <c r="M364" s="40">
        <v>0</v>
      </c>
      <c r="N364" s="40">
        <v>0</v>
      </c>
      <c r="O364" s="40">
        <v>0</v>
      </c>
      <c r="P364" s="40">
        <v>0</v>
      </c>
      <c r="Q364" s="40">
        <v>0</v>
      </c>
      <c r="R364" s="40">
        <v>0</v>
      </c>
      <c r="S364" s="61">
        <f t="shared" ref="S364:S428" si="47">IF(C364="","",(S363+R364)-(M364+N364+O364+P364+Q364))</f>
        <v>49.800000000000075</v>
      </c>
      <c r="T364" s="40">
        <v>0</v>
      </c>
      <c r="U364" s="40">
        <v>0</v>
      </c>
      <c r="V364" s="40">
        <v>0</v>
      </c>
      <c r="W364" s="40">
        <v>0</v>
      </c>
      <c r="X364" s="67">
        <f t="shared" si="42"/>
        <v>139</v>
      </c>
      <c r="Z364" s="71"/>
      <c r="AA364" s="71"/>
      <c r="AB364" s="67" t="str">
        <f t="shared" si="41"/>
        <v/>
      </c>
      <c r="AD364" s="121"/>
      <c r="AE364" s="121"/>
    </row>
    <row r="365" spans="1:31" x14ac:dyDescent="0.25">
      <c r="A365" s="2" t="s">
        <v>814</v>
      </c>
      <c r="B365" s="7">
        <v>0.89583333333333337</v>
      </c>
      <c r="C365" s="2">
        <v>8</v>
      </c>
      <c r="D365" s="10" t="s">
        <v>796</v>
      </c>
      <c r="E365" s="40">
        <v>22</v>
      </c>
      <c r="F365" s="40">
        <v>2.5</v>
      </c>
      <c r="G365" s="40">
        <v>2</v>
      </c>
      <c r="H365" s="3">
        <f t="shared" si="43"/>
        <v>7.333333333333333</v>
      </c>
      <c r="I365" s="3">
        <f t="shared" si="44"/>
        <v>0.83333333333333337</v>
      </c>
      <c r="J365" s="3">
        <f t="shared" si="45"/>
        <v>0.66666666666666663</v>
      </c>
      <c r="K365" s="3"/>
      <c r="L365" s="60">
        <f t="shared" si="46"/>
        <v>436.61124999999993</v>
      </c>
      <c r="M365" s="40">
        <v>0</v>
      </c>
      <c r="N365" s="40">
        <v>0</v>
      </c>
      <c r="O365" s="40">
        <v>0</v>
      </c>
      <c r="P365" s="40">
        <v>0</v>
      </c>
      <c r="Q365" s="40">
        <v>0</v>
      </c>
      <c r="R365" s="40">
        <v>0</v>
      </c>
      <c r="S365" s="61">
        <f t="shared" si="47"/>
        <v>49.800000000000075</v>
      </c>
      <c r="T365" s="40">
        <v>0</v>
      </c>
      <c r="U365" s="40">
        <v>0</v>
      </c>
      <c r="V365" s="40">
        <v>4</v>
      </c>
      <c r="W365" s="40">
        <v>0</v>
      </c>
      <c r="X365" s="67">
        <f t="shared" si="42"/>
        <v>135</v>
      </c>
      <c r="Z365" s="71"/>
      <c r="AA365" s="71"/>
      <c r="AB365" s="67" t="str">
        <f t="shared" si="41"/>
        <v/>
      </c>
      <c r="AD365" s="121">
        <v>12</v>
      </c>
      <c r="AE365" s="121" t="s">
        <v>1296</v>
      </c>
    </row>
    <row r="366" spans="1:31" x14ac:dyDescent="0.25">
      <c r="A366" s="2" t="s">
        <v>814</v>
      </c>
      <c r="B366" s="7">
        <v>0.9291666666666667</v>
      </c>
      <c r="C366" s="2">
        <v>0.8</v>
      </c>
      <c r="D366" s="10" t="s">
        <v>812</v>
      </c>
      <c r="E366" s="40">
        <v>5</v>
      </c>
      <c r="F366" s="40">
        <v>2.5</v>
      </c>
      <c r="G366" s="40">
        <v>2</v>
      </c>
      <c r="H366" s="3">
        <f t="shared" si="43"/>
        <v>0.16666666666666669</v>
      </c>
      <c r="I366" s="3">
        <f t="shared" si="44"/>
        <v>8.3333333333333343E-2</v>
      </c>
      <c r="J366" s="3">
        <f t="shared" si="45"/>
        <v>6.6666666666666666E-2</v>
      </c>
      <c r="K366" s="3"/>
      <c r="L366" s="60">
        <f t="shared" si="46"/>
        <v>436.29458333333326</v>
      </c>
      <c r="M366" s="40">
        <v>0</v>
      </c>
      <c r="N366" s="40">
        <v>0</v>
      </c>
      <c r="O366" s="40">
        <v>0</v>
      </c>
      <c r="P366" s="40">
        <v>0</v>
      </c>
      <c r="Q366" s="40">
        <v>0</v>
      </c>
      <c r="R366" s="40">
        <v>0</v>
      </c>
      <c r="S366" s="61">
        <f t="shared" si="47"/>
        <v>49.800000000000075</v>
      </c>
      <c r="T366" s="40">
        <v>0</v>
      </c>
      <c r="U366" s="40">
        <v>0</v>
      </c>
      <c r="V366" s="40">
        <v>0</v>
      </c>
      <c r="W366" s="40">
        <v>0</v>
      </c>
      <c r="X366" s="67">
        <f t="shared" si="42"/>
        <v>135</v>
      </c>
      <c r="Z366" s="71"/>
      <c r="AA366" s="71"/>
      <c r="AB366" s="67" t="str">
        <f t="shared" si="41"/>
        <v/>
      </c>
      <c r="AD366" s="121"/>
      <c r="AE366" s="121"/>
    </row>
    <row r="367" spans="1:31" x14ac:dyDescent="0.25">
      <c r="A367" s="2" t="s">
        <v>818</v>
      </c>
      <c r="B367" s="65">
        <v>0.33333333333333331</v>
      </c>
      <c r="C367" s="2">
        <v>9.6999999999999993</v>
      </c>
      <c r="D367" s="10" t="s">
        <v>806</v>
      </c>
      <c r="E367" s="40">
        <v>0</v>
      </c>
      <c r="F367" s="40">
        <v>2.5</v>
      </c>
      <c r="G367" s="40">
        <v>2</v>
      </c>
      <c r="H367" s="3">
        <f t="shared" si="43"/>
        <v>0</v>
      </c>
      <c r="I367" s="3">
        <f t="shared" si="44"/>
        <v>1.0104166666666667</v>
      </c>
      <c r="J367" s="3">
        <f t="shared" si="45"/>
        <v>0.80833333333333324</v>
      </c>
      <c r="K367" s="3"/>
      <c r="L367" s="60">
        <f t="shared" si="46"/>
        <v>434.47583333333324</v>
      </c>
      <c r="M367" s="40">
        <v>0</v>
      </c>
      <c r="N367" s="40">
        <v>0</v>
      </c>
      <c r="O367" s="40">
        <v>0</v>
      </c>
      <c r="P367" s="40">
        <v>0</v>
      </c>
      <c r="Q367" s="40">
        <v>0</v>
      </c>
      <c r="R367" s="40">
        <v>0</v>
      </c>
      <c r="S367" s="61">
        <f t="shared" si="47"/>
        <v>49.800000000000075</v>
      </c>
      <c r="T367" s="40">
        <v>0</v>
      </c>
      <c r="U367" s="40">
        <v>0</v>
      </c>
      <c r="V367" s="40">
        <v>0</v>
      </c>
      <c r="W367" s="40">
        <v>0</v>
      </c>
      <c r="X367" s="67">
        <f t="shared" si="42"/>
        <v>135</v>
      </c>
      <c r="Z367" s="71"/>
      <c r="AA367" s="71"/>
      <c r="AB367" s="67" t="str">
        <f t="shared" si="41"/>
        <v/>
      </c>
      <c r="AD367" s="121"/>
      <c r="AE367" s="121"/>
    </row>
    <row r="368" spans="1:31" x14ac:dyDescent="0.25">
      <c r="A368" s="2" t="s">
        <v>818</v>
      </c>
      <c r="B368" s="7">
        <v>0.52916666666666667</v>
      </c>
      <c r="C368" s="2">
        <v>4.7</v>
      </c>
      <c r="D368" s="10" t="s">
        <v>660</v>
      </c>
      <c r="E368" s="40">
        <v>0</v>
      </c>
      <c r="F368" s="40">
        <v>2.5</v>
      </c>
      <c r="G368" s="40">
        <v>2</v>
      </c>
      <c r="H368" s="3">
        <f t="shared" si="43"/>
        <v>0</v>
      </c>
      <c r="I368" s="3">
        <f t="shared" si="44"/>
        <v>0.48958333333333337</v>
      </c>
      <c r="J368" s="3">
        <f t="shared" si="45"/>
        <v>0.39166666666666666</v>
      </c>
      <c r="K368" s="3"/>
      <c r="L368" s="60">
        <f t="shared" si="46"/>
        <v>433.59458333333322</v>
      </c>
      <c r="M368" s="40">
        <v>0</v>
      </c>
      <c r="N368" s="40">
        <v>0</v>
      </c>
      <c r="O368" s="40">
        <v>0</v>
      </c>
      <c r="P368" s="40">
        <v>0</v>
      </c>
      <c r="Q368" s="40">
        <v>0</v>
      </c>
      <c r="R368" s="40">
        <v>0</v>
      </c>
      <c r="S368" s="61">
        <f t="shared" si="47"/>
        <v>49.800000000000075</v>
      </c>
      <c r="T368" s="40">
        <v>0</v>
      </c>
      <c r="U368" s="40">
        <v>0</v>
      </c>
      <c r="V368" s="40">
        <v>5</v>
      </c>
      <c r="W368" s="40">
        <v>0</v>
      </c>
      <c r="X368" s="67">
        <f t="shared" si="42"/>
        <v>130</v>
      </c>
      <c r="Z368" s="71"/>
      <c r="AA368" s="71"/>
      <c r="AB368" s="67" t="str">
        <f t="shared" si="41"/>
        <v/>
      </c>
      <c r="AD368" s="121"/>
      <c r="AE368" s="121"/>
    </row>
    <row r="369" spans="1:31" x14ac:dyDescent="0.25">
      <c r="A369" s="2" t="s">
        <v>818</v>
      </c>
      <c r="B369" s="7">
        <v>0.58750000000000002</v>
      </c>
      <c r="C369" s="2">
        <v>1.4</v>
      </c>
      <c r="D369" s="10" t="s">
        <v>812</v>
      </c>
      <c r="E369" s="40">
        <v>5</v>
      </c>
      <c r="F369" s="40">
        <v>2.5</v>
      </c>
      <c r="G369" s="40">
        <v>2</v>
      </c>
      <c r="H369" s="3">
        <f t="shared" si="43"/>
        <v>0.29166666666666669</v>
      </c>
      <c r="I369" s="3">
        <f t="shared" si="44"/>
        <v>0.14583333333333334</v>
      </c>
      <c r="J369" s="3">
        <f t="shared" si="45"/>
        <v>0.11666666666666665</v>
      </c>
      <c r="K369" s="3"/>
      <c r="L369" s="60">
        <f t="shared" si="46"/>
        <v>433.04041666666654</v>
      </c>
      <c r="M369" s="40">
        <v>0</v>
      </c>
      <c r="N369" s="40">
        <v>0</v>
      </c>
      <c r="O369" s="40">
        <v>0</v>
      </c>
      <c r="P369" s="40">
        <v>0</v>
      </c>
      <c r="Q369" s="40">
        <v>0</v>
      </c>
      <c r="R369" s="40">
        <v>0</v>
      </c>
      <c r="S369" s="61">
        <f t="shared" si="47"/>
        <v>49.800000000000075</v>
      </c>
      <c r="T369" s="40">
        <v>0</v>
      </c>
      <c r="U369" s="40">
        <v>0</v>
      </c>
      <c r="V369" s="40">
        <v>0</v>
      </c>
      <c r="W369" s="40">
        <v>0</v>
      </c>
      <c r="X369" s="67">
        <f t="shared" si="42"/>
        <v>130</v>
      </c>
      <c r="Z369" s="71"/>
      <c r="AA369" s="71"/>
      <c r="AB369" s="67" t="str">
        <f t="shared" si="41"/>
        <v/>
      </c>
      <c r="AD369" s="121"/>
      <c r="AE369" s="121"/>
    </row>
    <row r="370" spans="1:31" x14ac:dyDescent="0.25">
      <c r="A370" s="2" t="s">
        <v>818</v>
      </c>
      <c r="B370" s="7">
        <v>0.75416666666666676</v>
      </c>
      <c r="C370" s="2">
        <v>4</v>
      </c>
      <c r="D370" s="10" t="s">
        <v>799</v>
      </c>
      <c r="E370" s="40">
        <v>0</v>
      </c>
      <c r="F370" s="40">
        <v>2.5</v>
      </c>
      <c r="G370" s="40">
        <v>2</v>
      </c>
      <c r="H370" s="3">
        <f t="shared" si="43"/>
        <v>0</v>
      </c>
      <c r="I370" s="3">
        <f t="shared" si="44"/>
        <v>0.41666666666666669</v>
      </c>
      <c r="J370" s="3">
        <f t="shared" si="45"/>
        <v>0.33333333333333331</v>
      </c>
      <c r="K370" s="3"/>
      <c r="L370" s="60">
        <f t="shared" si="46"/>
        <v>432.29041666666654</v>
      </c>
      <c r="M370" s="40">
        <v>0</v>
      </c>
      <c r="N370" s="40">
        <v>0</v>
      </c>
      <c r="O370" s="40">
        <v>0</v>
      </c>
      <c r="P370" s="40">
        <v>0</v>
      </c>
      <c r="Q370" s="40">
        <v>0</v>
      </c>
      <c r="R370" s="40">
        <v>0</v>
      </c>
      <c r="S370" s="61">
        <f t="shared" si="47"/>
        <v>49.800000000000075</v>
      </c>
      <c r="T370" s="40">
        <v>0</v>
      </c>
      <c r="U370" s="40">
        <v>0</v>
      </c>
      <c r="V370" s="40">
        <v>0</v>
      </c>
      <c r="W370" s="40">
        <v>0</v>
      </c>
      <c r="X370" s="67">
        <f t="shared" si="42"/>
        <v>130</v>
      </c>
      <c r="Z370" s="71"/>
      <c r="AA370" s="71"/>
      <c r="AB370" s="67" t="str">
        <f t="shared" si="41"/>
        <v/>
      </c>
      <c r="AD370" s="121"/>
      <c r="AE370" s="121"/>
    </row>
    <row r="371" spans="1:31" x14ac:dyDescent="0.25">
      <c r="A371" s="2" t="s">
        <v>819</v>
      </c>
      <c r="B371" s="65">
        <v>0.33333333333333331</v>
      </c>
      <c r="C371" s="2">
        <v>13.9</v>
      </c>
      <c r="D371" s="10" t="s">
        <v>820</v>
      </c>
      <c r="E371" s="40">
        <v>0</v>
      </c>
      <c r="F371" s="40">
        <v>2.5</v>
      </c>
      <c r="G371" s="40">
        <v>2</v>
      </c>
      <c r="H371" s="3">
        <f t="shared" si="43"/>
        <v>0</v>
      </c>
      <c r="I371" s="3">
        <f t="shared" si="44"/>
        <v>1.4479166666666667</v>
      </c>
      <c r="J371" s="3">
        <f t="shared" si="45"/>
        <v>1.1583333333333332</v>
      </c>
      <c r="K371" s="3"/>
      <c r="L371" s="60">
        <f t="shared" si="46"/>
        <v>429.68416666666656</v>
      </c>
      <c r="M371" s="40">
        <v>0</v>
      </c>
      <c r="N371" s="40">
        <v>0</v>
      </c>
      <c r="O371" s="40">
        <v>0</v>
      </c>
      <c r="P371" s="40">
        <v>0</v>
      </c>
      <c r="Q371" s="40">
        <v>0</v>
      </c>
      <c r="R371" s="40">
        <v>0</v>
      </c>
      <c r="S371" s="61">
        <f t="shared" si="47"/>
        <v>49.800000000000075</v>
      </c>
      <c r="T371" s="40">
        <v>0</v>
      </c>
      <c r="U371" s="40">
        <v>0</v>
      </c>
      <c r="V371" s="40">
        <v>2</v>
      </c>
      <c r="W371" s="40">
        <v>0</v>
      </c>
      <c r="X371" s="67">
        <f t="shared" si="42"/>
        <v>128</v>
      </c>
      <c r="Z371" s="71"/>
      <c r="AA371" s="71"/>
      <c r="AB371" s="67" t="str">
        <f t="shared" si="41"/>
        <v/>
      </c>
      <c r="AD371" s="121"/>
      <c r="AE371" s="121"/>
    </row>
    <row r="372" spans="1:31" x14ac:dyDescent="0.25">
      <c r="A372" s="2" t="s">
        <v>819</v>
      </c>
      <c r="B372" s="7">
        <v>0.78333333333333333</v>
      </c>
      <c r="C372" s="2">
        <v>10.8</v>
      </c>
      <c r="D372" s="10" t="s">
        <v>801</v>
      </c>
      <c r="E372" s="40">
        <v>0</v>
      </c>
      <c r="F372" s="40">
        <v>2.5</v>
      </c>
      <c r="G372" s="40">
        <v>2</v>
      </c>
      <c r="H372" s="3">
        <f t="shared" si="43"/>
        <v>0</v>
      </c>
      <c r="I372" s="3">
        <f t="shared" si="44"/>
        <v>1.1250000000000002</v>
      </c>
      <c r="J372" s="3">
        <f t="shared" si="45"/>
        <v>0.9</v>
      </c>
      <c r="K372" s="3"/>
      <c r="L372" s="60">
        <f t="shared" si="46"/>
        <v>427.65916666666658</v>
      </c>
      <c r="M372" s="40">
        <v>0</v>
      </c>
      <c r="N372" s="40">
        <v>0</v>
      </c>
      <c r="O372" s="40">
        <v>0</v>
      </c>
      <c r="P372" s="40">
        <v>0</v>
      </c>
      <c r="Q372" s="40">
        <v>2.7</v>
      </c>
      <c r="R372" s="40">
        <v>0</v>
      </c>
      <c r="S372" s="61">
        <f t="shared" si="47"/>
        <v>47.100000000000072</v>
      </c>
      <c r="T372" s="40">
        <v>0</v>
      </c>
      <c r="U372" s="40">
        <v>0</v>
      </c>
      <c r="V372" s="40">
        <v>3</v>
      </c>
      <c r="W372" s="40">
        <v>0</v>
      </c>
      <c r="X372" s="67">
        <f t="shared" si="42"/>
        <v>125</v>
      </c>
      <c r="Z372" s="71"/>
      <c r="AA372" s="71"/>
      <c r="AB372" s="67" t="str">
        <f t="shared" si="41"/>
        <v/>
      </c>
      <c r="AD372" s="121"/>
      <c r="AE372" s="121"/>
    </row>
    <row r="373" spans="1:31" x14ac:dyDescent="0.25">
      <c r="A373" s="2" t="s">
        <v>819</v>
      </c>
      <c r="B373" s="7">
        <v>0.96250000000000002</v>
      </c>
      <c r="C373" s="2">
        <v>4.3</v>
      </c>
      <c r="D373" s="10" t="s">
        <v>660</v>
      </c>
      <c r="E373" s="40">
        <v>0</v>
      </c>
      <c r="F373" s="40">
        <v>2.5</v>
      </c>
      <c r="G373" s="40">
        <v>2</v>
      </c>
      <c r="H373" s="3">
        <f t="shared" si="43"/>
        <v>0</v>
      </c>
      <c r="I373" s="3">
        <f t="shared" si="44"/>
        <v>0.44791666666666669</v>
      </c>
      <c r="J373" s="3">
        <f t="shared" si="45"/>
        <v>0.35833333333333328</v>
      </c>
      <c r="K373" s="3"/>
      <c r="L373" s="60">
        <f t="shared" si="46"/>
        <v>426.8529166666666</v>
      </c>
      <c r="M373" s="40">
        <v>0</v>
      </c>
      <c r="N373" s="40">
        <v>0</v>
      </c>
      <c r="O373" s="40">
        <v>0</v>
      </c>
      <c r="P373" s="40">
        <v>0</v>
      </c>
      <c r="Q373" s="40">
        <v>0</v>
      </c>
      <c r="R373" s="40">
        <v>0</v>
      </c>
      <c r="S373" s="61">
        <f t="shared" si="47"/>
        <v>47.100000000000072</v>
      </c>
      <c r="T373" s="40">
        <v>0</v>
      </c>
      <c r="U373" s="40">
        <v>0</v>
      </c>
      <c r="V373" s="40">
        <v>1</v>
      </c>
      <c r="W373" s="40">
        <v>0</v>
      </c>
      <c r="X373" s="67">
        <f t="shared" si="42"/>
        <v>124</v>
      </c>
      <c r="Z373" s="71"/>
      <c r="AA373" s="71"/>
      <c r="AB373" s="67" t="str">
        <f t="shared" si="41"/>
        <v/>
      </c>
      <c r="AD373" s="121"/>
      <c r="AE373" s="121"/>
    </row>
    <row r="374" spans="1:31" x14ac:dyDescent="0.25">
      <c r="A374" s="2" t="s">
        <v>819</v>
      </c>
      <c r="B374" s="7">
        <v>0.98749999999999993</v>
      </c>
      <c r="C374" s="2">
        <v>0.6</v>
      </c>
      <c r="D374" s="10" t="s">
        <v>821</v>
      </c>
      <c r="E374" s="40">
        <v>10</v>
      </c>
      <c r="F374" s="40">
        <v>2.5</v>
      </c>
      <c r="G374" s="40">
        <v>2</v>
      </c>
      <c r="H374" s="3">
        <f t="shared" si="43"/>
        <v>0.25</v>
      </c>
      <c r="I374" s="3">
        <f t="shared" si="44"/>
        <v>6.25E-2</v>
      </c>
      <c r="J374" s="3">
        <f t="shared" si="45"/>
        <v>4.9999999999999996E-2</v>
      </c>
      <c r="K374" s="3"/>
      <c r="L374" s="60">
        <f t="shared" si="46"/>
        <v>426.49041666666659</v>
      </c>
      <c r="M374" s="40">
        <v>0</v>
      </c>
      <c r="N374" s="40">
        <v>0</v>
      </c>
      <c r="O374" s="40">
        <v>0</v>
      </c>
      <c r="P374" s="40">
        <v>0</v>
      </c>
      <c r="Q374" s="40">
        <v>0</v>
      </c>
      <c r="R374" s="40">
        <v>0</v>
      </c>
      <c r="S374" s="61">
        <f t="shared" si="47"/>
        <v>47.100000000000072</v>
      </c>
      <c r="T374" s="40">
        <v>0</v>
      </c>
      <c r="U374" s="40">
        <v>0</v>
      </c>
      <c r="V374" s="40">
        <v>0</v>
      </c>
      <c r="W374" s="40">
        <v>0</v>
      </c>
      <c r="X374" s="67">
        <f t="shared" si="42"/>
        <v>124</v>
      </c>
      <c r="Z374" s="71"/>
      <c r="AA374" s="71"/>
      <c r="AB374" s="67" t="str">
        <f t="shared" si="41"/>
        <v/>
      </c>
      <c r="AD374" s="121"/>
      <c r="AE374" s="121"/>
    </row>
    <row r="375" spans="1:31" x14ac:dyDescent="0.25">
      <c r="A375" s="2" t="s">
        <v>822</v>
      </c>
      <c r="B375" s="65">
        <v>0.33333333333333331</v>
      </c>
      <c r="C375" s="2">
        <v>8.3000000000000007</v>
      </c>
      <c r="D375" s="10" t="s">
        <v>823</v>
      </c>
      <c r="E375" s="40">
        <v>22</v>
      </c>
      <c r="F375" s="40">
        <v>2.5</v>
      </c>
      <c r="G375" s="40">
        <v>2</v>
      </c>
      <c r="H375" s="3">
        <f t="shared" si="43"/>
        <v>7.6083333333333334</v>
      </c>
      <c r="I375" s="3">
        <f t="shared" si="44"/>
        <v>0.86458333333333348</v>
      </c>
      <c r="J375" s="3">
        <f t="shared" si="45"/>
        <v>0.69166666666666665</v>
      </c>
      <c r="K375" s="3"/>
      <c r="L375" s="60">
        <f t="shared" si="46"/>
        <v>417.32583333333326</v>
      </c>
      <c r="M375" s="40">
        <v>0</v>
      </c>
      <c r="N375" s="40">
        <v>0</v>
      </c>
      <c r="O375" s="40">
        <v>0</v>
      </c>
      <c r="P375" s="40">
        <v>0</v>
      </c>
      <c r="Q375" s="40">
        <v>0</v>
      </c>
      <c r="R375" s="40">
        <v>0</v>
      </c>
      <c r="S375" s="61">
        <f t="shared" si="47"/>
        <v>47.100000000000072</v>
      </c>
      <c r="T375" s="40">
        <v>0</v>
      </c>
      <c r="U375" s="40">
        <v>0</v>
      </c>
      <c r="V375" s="40">
        <v>3</v>
      </c>
      <c r="W375" s="40">
        <v>0</v>
      </c>
      <c r="X375" s="67">
        <f t="shared" si="42"/>
        <v>121</v>
      </c>
      <c r="Z375" s="71"/>
      <c r="AA375" s="71"/>
      <c r="AB375" s="67" t="str">
        <f t="shared" si="41"/>
        <v/>
      </c>
      <c r="AD375" s="121"/>
      <c r="AE375" s="121"/>
    </row>
    <row r="376" spans="1:31" x14ac:dyDescent="0.25">
      <c r="A376" s="2" t="s">
        <v>822</v>
      </c>
      <c r="B376" s="7">
        <v>0.89583333333333337</v>
      </c>
      <c r="C376" s="2">
        <v>13.5</v>
      </c>
      <c r="D376" s="10" t="s">
        <v>796</v>
      </c>
      <c r="E376" s="40">
        <v>20</v>
      </c>
      <c r="F376" s="40">
        <v>2.5</v>
      </c>
      <c r="G376" s="40">
        <v>2</v>
      </c>
      <c r="H376" s="3">
        <f t="shared" si="43"/>
        <v>11.25</v>
      </c>
      <c r="I376" s="3">
        <f t="shared" si="44"/>
        <v>1.40625</v>
      </c>
      <c r="J376" s="3">
        <f t="shared" si="45"/>
        <v>1.125</v>
      </c>
      <c r="K376" s="3"/>
      <c r="L376" s="60">
        <f t="shared" si="46"/>
        <v>403.54458333333326</v>
      </c>
      <c r="M376" s="40">
        <v>0</v>
      </c>
      <c r="N376" s="40">
        <v>0</v>
      </c>
      <c r="O376" s="40">
        <v>0</v>
      </c>
      <c r="P376" s="40">
        <v>0</v>
      </c>
      <c r="Q376" s="40">
        <v>0</v>
      </c>
      <c r="R376" s="40">
        <v>0</v>
      </c>
      <c r="S376" s="61">
        <f t="shared" si="47"/>
        <v>47.100000000000072</v>
      </c>
      <c r="T376" s="40">
        <v>0</v>
      </c>
      <c r="U376" s="40">
        <v>0</v>
      </c>
      <c r="V376" s="40">
        <v>5</v>
      </c>
      <c r="W376" s="40">
        <v>0</v>
      </c>
      <c r="X376" s="67">
        <f t="shared" si="42"/>
        <v>116</v>
      </c>
      <c r="Z376" s="71"/>
      <c r="AA376" s="71"/>
      <c r="AB376" s="67" t="str">
        <f t="shared" si="41"/>
        <v/>
      </c>
      <c r="AD376" s="121">
        <v>12.1</v>
      </c>
      <c r="AE376" s="121" t="s">
        <v>1301</v>
      </c>
    </row>
    <row r="377" spans="1:31" x14ac:dyDescent="0.25">
      <c r="A377" s="2" t="s">
        <v>822</v>
      </c>
      <c r="B377" s="7">
        <v>0.96666666666666667</v>
      </c>
      <c r="C377" s="2">
        <v>1.7</v>
      </c>
      <c r="D377" s="10" t="s">
        <v>660</v>
      </c>
      <c r="E377" s="40">
        <v>0</v>
      </c>
      <c r="F377" s="40">
        <v>2.5</v>
      </c>
      <c r="G377" s="40">
        <v>2</v>
      </c>
      <c r="H377" s="3">
        <f t="shared" si="43"/>
        <v>0</v>
      </c>
      <c r="I377" s="3">
        <f t="shared" si="44"/>
        <v>0.17708333333333334</v>
      </c>
      <c r="J377" s="3">
        <f t="shared" si="45"/>
        <v>0.14166666666666666</v>
      </c>
      <c r="K377" s="3"/>
      <c r="L377" s="60">
        <f t="shared" si="46"/>
        <v>403.22583333333324</v>
      </c>
      <c r="M377" s="40">
        <v>0</v>
      </c>
      <c r="N377" s="40">
        <v>0</v>
      </c>
      <c r="O377" s="40">
        <v>0</v>
      </c>
      <c r="P377" s="40">
        <v>0</v>
      </c>
      <c r="Q377" s="40">
        <v>0</v>
      </c>
      <c r="R377" s="40">
        <v>0</v>
      </c>
      <c r="S377" s="61">
        <f t="shared" si="47"/>
        <v>47.100000000000072</v>
      </c>
      <c r="T377" s="40">
        <v>0</v>
      </c>
      <c r="U377" s="40">
        <v>0</v>
      </c>
      <c r="V377" s="40">
        <v>0</v>
      </c>
      <c r="W377" s="40">
        <v>0</v>
      </c>
      <c r="X377" s="67">
        <f t="shared" si="42"/>
        <v>116</v>
      </c>
      <c r="Z377" s="71"/>
      <c r="AA377" s="71"/>
      <c r="AB377" s="67" t="str">
        <f t="shared" si="41"/>
        <v/>
      </c>
      <c r="AD377" s="121"/>
      <c r="AE377" s="121"/>
    </row>
    <row r="378" spans="1:31" x14ac:dyDescent="0.25">
      <c r="A378" s="2" t="s">
        <v>822</v>
      </c>
      <c r="B378" s="7">
        <v>0.97499999999999998</v>
      </c>
      <c r="C378" s="2">
        <v>0.2</v>
      </c>
      <c r="D378" s="10" t="s">
        <v>824</v>
      </c>
      <c r="E378" s="40">
        <v>5</v>
      </c>
      <c r="F378" s="40">
        <v>2.5</v>
      </c>
      <c r="G378" s="40">
        <v>2</v>
      </c>
      <c r="H378" s="3">
        <f t="shared" si="43"/>
        <v>4.1666666666666671E-2</v>
      </c>
      <c r="I378" s="3">
        <f t="shared" si="44"/>
        <v>2.0833333333333336E-2</v>
      </c>
      <c r="J378" s="3">
        <f t="shared" si="45"/>
        <v>1.6666666666666666E-2</v>
      </c>
      <c r="K378" s="3"/>
      <c r="L378" s="60">
        <f t="shared" si="46"/>
        <v>403.14666666666659</v>
      </c>
      <c r="M378" s="40">
        <v>0</v>
      </c>
      <c r="N378" s="40">
        <v>0</v>
      </c>
      <c r="O378" s="40">
        <v>0</v>
      </c>
      <c r="P378" s="40">
        <v>0</v>
      </c>
      <c r="Q378" s="40">
        <v>0</v>
      </c>
      <c r="R378" s="40">
        <v>0</v>
      </c>
      <c r="S378" s="61">
        <f t="shared" si="47"/>
        <v>47.100000000000072</v>
      </c>
      <c r="T378" s="40">
        <v>0</v>
      </c>
      <c r="U378" s="40">
        <v>0</v>
      </c>
      <c r="V378" s="40">
        <v>0</v>
      </c>
      <c r="W378" s="40">
        <v>0</v>
      </c>
      <c r="X378" s="67">
        <f t="shared" si="42"/>
        <v>116</v>
      </c>
      <c r="Z378" s="71"/>
      <c r="AA378" s="71"/>
      <c r="AB378" s="67" t="str">
        <f t="shared" si="41"/>
        <v/>
      </c>
      <c r="AD378" s="121"/>
      <c r="AE378" s="121"/>
    </row>
    <row r="379" spans="1:31" x14ac:dyDescent="0.25">
      <c r="A379" s="2" t="s">
        <v>822</v>
      </c>
      <c r="B379" s="7">
        <v>0.99583333333333324</v>
      </c>
      <c r="C379" s="2">
        <v>0.5</v>
      </c>
      <c r="D379" s="10" t="s">
        <v>796</v>
      </c>
      <c r="E379" s="40">
        <v>22</v>
      </c>
      <c r="F379" s="40">
        <v>2.5</v>
      </c>
      <c r="G379" s="40">
        <v>2</v>
      </c>
      <c r="H379" s="3">
        <f t="shared" si="43"/>
        <v>0.45833333333333331</v>
      </c>
      <c r="I379" s="3">
        <f t="shared" si="44"/>
        <v>5.2083333333333336E-2</v>
      </c>
      <c r="J379" s="3">
        <f t="shared" si="45"/>
        <v>4.1666666666666664E-2</v>
      </c>
      <c r="K379" s="3"/>
      <c r="L379" s="60">
        <f t="shared" si="46"/>
        <v>402.59458333333328</v>
      </c>
      <c r="M379" s="40">
        <v>0</v>
      </c>
      <c r="N379" s="40">
        <v>0</v>
      </c>
      <c r="O379" s="40">
        <v>0</v>
      </c>
      <c r="P379" s="40">
        <v>0</v>
      </c>
      <c r="Q379" s="40">
        <v>0</v>
      </c>
      <c r="R379" s="40">
        <v>0</v>
      </c>
      <c r="S379" s="61">
        <f t="shared" si="47"/>
        <v>47.100000000000072</v>
      </c>
      <c r="T379" s="40">
        <v>0</v>
      </c>
      <c r="U379" s="40">
        <v>0</v>
      </c>
      <c r="V379" s="40">
        <v>0</v>
      </c>
      <c r="W379" s="40">
        <v>0</v>
      </c>
      <c r="X379" s="67">
        <f t="shared" si="42"/>
        <v>116</v>
      </c>
      <c r="Z379" s="71"/>
      <c r="AA379" s="71"/>
      <c r="AB379" s="67" t="str">
        <f t="shared" si="41"/>
        <v/>
      </c>
      <c r="AD379" s="121"/>
      <c r="AE379" s="121"/>
    </row>
    <row r="380" spans="1:31" x14ac:dyDescent="0.25">
      <c r="A380" s="2" t="s">
        <v>825</v>
      </c>
      <c r="B380" s="7">
        <v>7.0833333333333331E-2</v>
      </c>
      <c r="C380" s="2">
        <v>1.8</v>
      </c>
      <c r="D380" s="10" t="s">
        <v>812</v>
      </c>
      <c r="E380" s="40">
        <v>5</v>
      </c>
      <c r="F380" s="40">
        <v>2.5</v>
      </c>
      <c r="G380" s="40">
        <v>2</v>
      </c>
      <c r="H380" s="3">
        <f t="shared" si="43"/>
        <v>0.375</v>
      </c>
      <c r="I380" s="3">
        <f t="shared" si="44"/>
        <v>0.1875</v>
      </c>
      <c r="J380" s="3">
        <f t="shared" si="45"/>
        <v>0.15</v>
      </c>
      <c r="K380" s="3"/>
      <c r="L380" s="60">
        <f t="shared" si="46"/>
        <v>401.8820833333333</v>
      </c>
      <c r="M380" s="40">
        <v>0</v>
      </c>
      <c r="N380" s="40">
        <v>0</v>
      </c>
      <c r="O380" s="40">
        <v>0</v>
      </c>
      <c r="P380" s="40">
        <v>0</v>
      </c>
      <c r="Q380" s="40">
        <v>0</v>
      </c>
      <c r="R380" s="40">
        <v>0</v>
      </c>
      <c r="S380" s="61">
        <f t="shared" si="47"/>
        <v>47.100000000000072</v>
      </c>
      <c r="T380" s="40">
        <v>0</v>
      </c>
      <c r="U380" s="40">
        <v>0</v>
      </c>
      <c r="V380" s="40">
        <v>1</v>
      </c>
      <c r="W380" s="40">
        <v>0</v>
      </c>
      <c r="X380" s="67">
        <f t="shared" si="42"/>
        <v>115</v>
      </c>
      <c r="Z380" s="71"/>
      <c r="AA380" s="71"/>
      <c r="AB380" s="67" t="str">
        <f t="shared" si="41"/>
        <v/>
      </c>
      <c r="AD380" s="121"/>
      <c r="AE380" s="121"/>
    </row>
    <row r="381" spans="1:31" x14ac:dyDescent="0.25">
      <c r="A381" s="7" t="s">
        <v>825</v>
      </c>
      <c r="B381" s="65">
        <v>0.33333333333333331</v>
      </c>
      <c r="C381" s="2">
        <v>6.3</v>
      </c>
      <c r="D381" s="10" t="s">
        <v>829</v>
      </c>
      <c r="E381" s="40">
        <v>0</v>
      </c>
      <c r="F381" s="40">
        <v>2.5</v>
      </c>
      <c r="G381" s="40">
        <v>2</v>
      </c>
      <c r="H381" s="3">
        <f t="shared" si="43"/>
        <v>0</v>
      </c>
      <c r="I381" s="3">
        <f t="shared" si="44"/>
        <v>0.65625</v>
      </c>
      <c r="J381" s="3">
        <f t="shared" si="45"/>
        <v>0.52499999999999991</v>
      </c>
      <c r="K381" s="3"/>
      <c r="L381" s="60">
        <f t="shared" si="46"/>
        <v>400.70083333333332</v>
      </c>
      <c r="M381" s="40">
        <v>0</v>
      </c>
      <c r="N381" s="40">
        <v>0</v>
      </c>
      <c r="O381" s="40">
        <v>0</v>
      </c>
      <c r="P381" s="40">
        <v>0</v>
      </c>
      <c r="Q381" s="40">
        <v>0</v>
      </c>
      <c r="R381" s="40">
        <v>0</v>
      </c>
      <c r="S381" s="61">
        <f t="shared" si="47"/>
        <v>47.100000000000072</v>
      </c>
      <c r="T381" s="40">
        <v>0</v>
      </c>
      <c r="U381" s="40">
        <v>0</v>
      </c>
      <c r="V381" s="40">
        <v>1</v>
      </c>
      <c r="W381" s="40">
        <v>0</v>
      </c>
      <c r="X381" s="67">
        <f t="shared" si="42"/>
        <v>114</v>
      </c>
      <c r="Z381" s="71"/>
      <c r="AA381" s="71"/>
      <c r="AB381" s="67" t="str">
        <f t="shared" si="41"/>
        <v/>
      </c>
      <c r="AD381" s="121"/>
      <c r="AE381" s="121"/>
    </row>
    <row r="382" spans="1:31" x14ac:dyDescent="0.25">
      <c r="A382" s="2" t="s">
        <v>825</v>
      </c>
      <c r="B382" s="7">
        <v>0.64583333333333337</v>
      </c>
      <c r="C382" s="2">
        <v>7.5</v>
      </c>
      <c r="D382" s="10" t="s">
        <v>826</v>
      </c>
      <c r="E382" s="40">
        <v>0</v>
      </c>
      <c r="F382" s="40">
        <v>2.5</v>
      </c>
      <c r="G382" s="40">
        <v>2</v>
      </c>
      <c r="H382" s="3">
        <f t="shared" si="43"/>
        <v>0</v>
      </c>
      <c r="I382" s="3">
        <f t="shared" si="44"/>
        <v>0.78125</v>
      </c>
      <c r="J382" s="3">
        <f t="shared" si="45"/>
        <v>0.625</v>
      </c>
      <c r="K382" s="3"/>
      <c r="L382" s="60">
        <f t="shared" si="46"/>
        <v>399.29458333333332</v>
      </c>
      <c r="M382" s="40">
        <v>0</v>
      </c>
      <c r="N382" s="40">
        <v>0</v>
      </c>
      <c r="O382" s="40">
        <v>0</v>
      </c>
      <c r="P382" s="40">
        <v>0</v>
      </c>
      <c r="Q382" s="40">
        <v>0</v>
      </c>
      <c r="R382" s="40">
        <v>0</v>
      </c>
      <c r="S382" s="61">
        <f t="shared" si="47"/>
        <v>47.100000000000072</v>
      </c>
      <c r="T382" s="40">
        <v>0</v>
      </c>
      <c r="U382" s="40">
        <v>0</v>
      </c>
      <c r="V382" s="40">
        <v>2</v>
      </c>
      <c r="W382" s="40">
        <v>0</v>
      </c>
      <c r="X382" s="67">
        <f t="shared" si="42"/>
        <v>112</v>
      </c>
      <c r="Z382" s="71"/>
      <c r="AA382" s="71"/>
      <c r="AB382" s="67" t="str">
        <f t="shared" si="41"/>
        <v/>
      </c>
      <c r="AD382" s="121"/>
      <c r="AE382" s="121"/>
    </row>
    <row r="383" spans="1:31" x14ac:dyDescent="0.25">
      <c r="A383" s="2" t="s">
        <v>827</v>
      </c>
      <c r="B383" s="65">
        <v>0.33333333333333331</v>
      </c>
      <c r="C383" s="2">
        <v>16.5</v>
      </c>
      <c r="D383" s="10" t="s">
        <v>828</v>
      </c>
      <c r="E383" s="40">
        <v>0</v>
      </c>
      <c r="F383" s="40">
        <v>2.5</v>
      </c>
      <c r="G383" s="40">
        <v>2</v>
      </c>
      <c r="H383" s="3">
        <f t="shared" si="43"/>
        <v>0</v>
      </c>
      <c r="I383" s="3">
        <f t="shared" si="44"/>
        <v>1.71875</v>
      </c>
      <c r="J383" s="3">
        <f t="shared" si="45"/>
        <v>1.375</v>
      </c>
      <c r="K383" s="3"/>
      <c r="L383" s="60">
        <f t="shared" si="46"/>
        <v>396.20083333333332</v>
      </c>
      <c r="M383" s="40">
        <v>0</v>
      </c>
      <c r="N383" s="40">
        <v>0</v>
      </c>
      <c r="O383" s="40">
        <v>0</v>
      </c>
      <c r="P383" s="40">
        <v>0</v>
      </c>
      <c r="Q383" s="40">
        <v>0</v>
      </c>
      <c r="R383" s="40">
        <v>0</v>
      </c>
      <c r="S383" s="61">
        <f t="shared" si="47"/>
        <v>47.100000000000072</v>
      </c>
      <c r="T383" s="40">
        <v>0</v>
      </c>
      <c r="U383" s="40">
        <v>0</v>
      </c>
      <c r="V383" s="40">
        <v>5</v>
      </c>
      <c r="W383" s="40">
        <v>0</v>
      </c>
      <c r="X383" s="67">
        <f t="shared" si="42"/>
        <v>107</v>
      </c>
      <c r="Z383" s="71"/>
      <c r="AA383" s="71"/>
      <c r="AB383" s="67" t="str">
        <f t="shared" si="41"/>
        <v/>
      </c>
      <c r="AD383" s="121"/>
      <c r="AE383" s="121"/>
    </row>
    <row r="384" spans="1:31" x14ac:dyDescent="0.25">
      <c r="A384" s="2" t="s">
        <v>830</v>
      </c>
      <c r="B384" s="65">
        <v>0.33333333333333331</v>
      </c>
      <c r="C384" s="2">
        <v>24</v>
      </c>
      <c r="D384" s="10" t="s">
        <v>828</v>
      </c>
      <c r="E384" s="40">
        <v>0</v>
      </c>
      <c r="F384" s="40">
        <v>2.5</v>
      </c>
      <c r="G384" s="40">
        <v>2</v>
      </c>
      <c r="H384" s="3">
        <f t="shared" si="43"/>
        <v>0</v>
      </c>
      <c r="I384" s="3">
        <f t="shared" si="44"/>
        <v>2.5</v>
      </c>
      <c r="J384" s="3">
        <f t="shared" si="45"/>
        <v>2</v>
      </c>
      <c r="K384" s="3"/>
      <c r="L384" s="60">
        <f t="shared" si="46"/>
        <v>391.70083333333332</v>
      </c>
      <c r="M384" s="40">
        <v>0</v>
      </c>
      <c r="N384" s="40">
        <v>0</v>
      </c>
      <c r="O384" s="40">
        <v>0</v>
      </c>
      <c r="P384" s="40">
        <v>0</v>
      </c>
      <c r="Q384" s="40">
        <v>0</v>
      </c>
      <c r="R384" s="40">
        <v>0</v>
      </c>
      <c r="S384" s="61">
        <f t="shared" si="47"/>
        <v>47.100000000000072</v>
      </c>
      <c r="T384" s="40">
        <v>0</v>
      </c>
      <c r="U384" s="40">
        <v>0</v>
      </c>
      <c r="V384" s="40">
        <v>5</v>
      </c>
      <c r="W384" s="40">
        <v>0</v>
      </c>
      <c r="X384" s="67">
        <f t="shared" si="42"/>
        <v>102</v>
      </c>
      <c r="Z384" s="71"/>
      <c r="AA384" s="71"/>
      <c r="AB384" s="67" t="str">
        <f t="shared" si="41"/>
        <v/>
      </c>
      <c r="AD384" s="121"/>
      <c r="AE384" s="121"/>
    </row>
    <row r="385" spans="1:31" x14ac:dyDescent="0.25">
      <c r="A385" s="35" t="s">
        <v>831</v>
      </c>
      <c r="B385" s="65">
        <v>0.33333333333333331</v>
      </c>
      <c r="C385" s="2">
        <v>24</v>
      </c>
      <c r="D385" s="10" t="s">
        <v>828</v>
      </c>
      <c r="E385" s="40">
        <v>0</v>
      </c>
      <c r="F385" s="40">
        <v>2.5</v>
      </c>
      <c r="G385" s="40">
        <v>2</v>
      </c>
      <c r="H385" s="3">
        <f t="shared" si="43"/>
        <v>0</v>
      </c>
      <c r="I385" s="3">
        <f t="shared" si="44"/>
        <v>2.5</v>
      </c>
      <c r="J385" s="3">
        <f t="shared" si="45"/>
        <v>2</v>
      </c>
      <c r="K385" s="3"/>
      <c r="L385" s="60">
        <f t="shared" si="46"/>
        <v>387.20083333333332</v>
      </c>
      <c r="M385" s="40">
        <v>0</v>
      </c>
      <c r="N385" s="40">
        <v>0</v>
      </c>
      <c r="O385" s="40">
        <v>0</v>
      </c>
      <c r="P385" s="40">
        <v>0</v>
      </c>
      <c r="Q385" s="40">
        <v>0</v>
      </c>
      <c r="R385" s="40">
        <v>0</v>
      </c>
      <c r="S385" s="61">
        <f t="shared" si="47"/>
        <v>47.100000000000072</v>
      </c>
      <c r="T385" s="40">
        <v>0</v>
      </c>
      <c r="U385" s="40">
        <v>0</v>
      </c>
      <c r="V385" s="40">
        <v>5</v>
      </c>
      <c r="W385" s="40">
        <v>0</v>
      </c>
      <c r="X385" s="67">
        <f t="shared" si="42"/>
        <v>97</v>
      </c>
      <c r="Z385" s="71"/>
      <c r="AA385" s="71"/>
      <c r="AB385" s="67" t="str">
        <f t="shared" si="41"/>
        <v/>
      </c>
      <c r="AD385" s="121"/>
      <c r="AE385" s="121"/>
    </row>
    <row r="386" spans="1:31" x14ac:dyDescent="0.25">
      <c r="A386" s="2" t="s">
        <v>832</v>
      </c>
      <c r="B386" s="7">
        <v>0.45416666666666666</v>
      </c>
      <c r="C386" s="2">
        <v>2.9</v>
      </c>
      <c r="D386" s="10" t="s">
        <v>654</v>
      </c>
      <c r="E386" s="40">
        <v>0</v>
      </c>
      <c r="F386" s="40">
        <v>2.5</v>
      </c>
      <c r="G386" s="40">
        <v>2</v>
      </c>
      <c r="H386" s="3">
        <f t="shared" si="43"/>
        <v>0</v>
      </c>
      <c r="I386" s="3">
        <f t="shared" si="44"/>
        <v>0.30208333333333331</v>
      </c>
      <c r="J386" s="3">
        <f t="shared" si="45"/>
        <v>0.24166666666666664</v>
      </c>
      <c r="K386" s="3"/>
      <c r="L386" s="60">
        <f t="shared" si="46"/>
        <v>386.65708333333333</v>
      </c>
      <c r="M386" s="40">
        <v>0</v>
      </c>
      <c r="N386" s="40">
        <v>0</v>
      </c>
      <c r="O386" s="40">
        <v>0</v>
      </c>
      <c r="P386" s="40">
        <v>0</v>
      </c>
      <c r="Q386" s="40">
        <v>0</v>
      </c>
      <c r="R386" s="40">
        <v>0</v>
      </c>
      <c r="S386" s="61">
        <f t="shared" si="47"/>
        <v>47.100000000000072</v>
      </c>
      <c r="T386" s="40">
        <v>0</v>
      </c>
      <c r="U386" s="40">
        <v>0</v>
      </c>
      <c r="V386" s="40">
        <v>3</v>
      </c>
      <c r="W386" s="40">
        <v>0</v>
      </c>
      <c r="X386" s="67">
        <f t="shared" si="42"/>
        <v>94</v>
      </c>
      <c r="Z386" s="71"/>
      <c r="AA386" s="71"/>
      <c r="AB386" s="67" t="str">
        <f t="shared" si="41"/>
        <v/>
      </c>
      <c r="AD386" s="121"/>
      <c r="AE386" s="121"/>
    </row>
    <row r="387" spans="1:31" x14ac:dyDescent="0.25">
      <c r="A387" s="2" t="s">
        <v>832</v>
      </c>
      <c r="B387" s="7">
        <v>0.71250000000000002</v>
      </c>
      <c r="C387" s="2">
        <v>6.2</v>
      </c>
      <c r="D387" s="10" t="s">
        <v>789</v>
      </c>
      <c r="E387" s="40">
        <v>0</v>
      </c>
      <c r="F387" s="40">
        <v>2.5</v>
      </c>
      <c r="G387" s="40">
        <v>2</v>
      </c>
      <c r="H387" s="3">
        <f t="shared" si="43"/>
        <v>0</v>
      </c>
      <c r="I387" s="3">
        <f t="shared" si="44"/>
        <v>0.64583333333333337</v>
      </c>
      <c r="J387" s="3">
        <f t="shared" si="45"/>
        <v>0.51666666666666661</v>
      </c>
      <c r="K387" s="3"/>
      <c r="L387" s="60">
        <f t="shared" si="46"/>
        <v>385.49458333333331</v>
      </c>
      <c r="M387" s="40">
        <v>0</v>
      </c>
      <c r="N387" s="40">
        <v>0</v>
      </c>
      <c r="O387" s="40">
        <v>0</v>
      </c>
      <c r="P387" s="40">
        <v>0</v>
      </c>
      <c r="Q387" s="40">
        <v>0</v>
      </c>
      <c r="R387" s="40">
        <v>0</v>
      </c>
      <c r="S387" s="61">
        <f t="shared" si="47"/>
        <v>47.100000000000072</v>
      </c>
      <c r="T387" s="40">
        <v>0</v>
      </c>
      <c r="U387" s="40">
        <v>0</v>
      </c>
      <c r="V387" s="40">
        <v>0</v>
      </c>
      <c r="W387" s="40">
        <v>0</v>
      </c>
      <c r="X387" s="67">
        <f t="shared" si="42"/>
        <v>94</v>
      </c>
      <c r="Z387" s="71"/>
      <c r="AA387" s="71"/>
      <c r="AB387" s="67" t="str">
        <f t="shared" si="41"/>
        <v/>
      </c>
      <c r="AD387" s="121"/>
      <c r="AE387" s="121"/>
    </row>
    <row r="388" spans="1:31" x14ac:dyDescent="0.25">
      <c r="A388" s="2" t="s">
        <v>832</v>
      </c>
      <c r="B388" s="7">
        <v>0.75416666666666676</v>
      </c>
      <c r="C388" s="2">
        <v>1</v>
      </c>
      <c r="D388" s="10" t="s">
        <v>833</v>
      </c>
      <c r="E388" s="40">
        <v>10</v>
      </c>
      <c r="F388" s="40">
        <v>2.5</v>
      </c>
      <c r="G388" s="40">
        <v>2</v>
      </c>
      <c r="H388" s="3">
        <f t="shared" si="43"/>
        <v>0.41666666666666669</v>
      </c>
      <c r="I388" s="3">
        <f t="shared" si="44"/>
        <v>0.10416666666666667</v>
      </c>
      <c r="J388" s="3">
        <f t="shared" si="45"/>
        <v>8.3333333333333329E-2</v>
      </c>
      <c r="K388" s="3"/>
      <c r="L388" s="60">
        <f t="shared" si="46"/>
        <v>384.89041666666662</v>
      </c>
      <c r="M388" s="40">
        <v>0</v>
      </c>
      <c r="N388" s="40">
        <v>0</v>
      </c>
      <c r="O388" s="40">
        <v>0</v>
      </c>
      <c r="P388" s="40">
        <v>0</v>
      </c>
      <c r="Q388" s="40">
        <v>0</v>
      </c>
      <c r="R388" s="40">
        <v>0</v>
      </c>
      <c r="S388" s="61">
        <f t="shared" si="47"/>
        <v>47.100000000000072</v>
      </c>
      <c r="T388" s="40">
        <v>0</v>
      </c>
      <c r="U388" s="40">
        <v>0</v>
      </c>
      <c r="V388" s="40">
        <v>0</v>
      </c>
      <c r="W388" s="40">
        <v>0</v>
      </c>
      <c r="X388" s="67">
        <f t="shared" si="42"/>
        <v>94</v>
      </c>
      <c r="Z388" s="71"/>
      <c r="AA388" s="71"/>
      <c r="AB388" s="67" t="str">
        <f t="shared" si="41"/>
        <v/>
      </c>
      <c r="AD388" s="121"/>
      <c r="AE388" s="121"/>
    </row>
    <row r="389" spans="1:31" x14ac:dyDescent="0.25">
      <c r="A389" s="2" t="s">
        <v>832</v>
      </c>
      <c r="B389" s="7">
        <v>0.78333333333333333</v>
      </c>
      <c r="C389" s="2">
        <v>0.7</v>
      </c>
      <c r="D389" s="10" t="s">
        <v>796</v>
      </c>
      <c r="E389" s="40">
        <v>24</v>
      </c>
      <c r="F389" s="40">
        <v>2.5</v>
      </c>
      <c r="G389" s="40">
        <v>2</v>
      </c>
      <c r="H389" s="3">
        <f t="shared" si="43"/>
        <v>0.7</v>
      </c>
      <c r="I389" s="3">
        <f t="shared" si="44"/>
        <v>7.2916666666666671E-2</v>
      </c>
      <c r="J389" s="3">
        <f t="shared" si="45"/>
        <v>5.8333333333333327E-2</v>
      </c>
      <c r="K389" s="3"/>
      <c r="L389" s="60">
        <f t="shared" si="46"/>
        <v>384.05916666666661</v>
      </c>
      <c r="M389" s="40">
        <v>0</v>
      </c>
      <c r="N389" s="40">
        <v>0</v>
      </c>
      <c r="O389" s="40">
        <v>0</v>
      </c>
      <c r="P389" s="40">
        <v>0</v>
      </c>
      <c r="Q389" s="40">
        <v>0</v>
      </c>
      <c r="R389" s="40">
        <v>0</v>
      </c>
      <c r="S389" s="61">
        <f t="shared" si="47"/>
        <v>47.100000000000072</v>
      </c>
      <c r="T389" s="40">
        <v>0</v>
      </c>
      <c r="U389" s="40">
        <v>0</v>
      </c>
      <c r="V389" s="40">
        <v>0</v>
      </c>
      <c r="W389" s="40">
        <v>0</v>
      </c>
      <c r="X389" s="67">
        <f t="shared" si="42"/>
        <v>94</v>
      </c>
      <c r="Z389" s="71"/>
      <c r="AA389" s="71"/>
      <c r="AB389" s="67" t="str">
        <f t="shared" si="41"/>
        <v/>
      </c>
      <c r="AD389" s="121"/>
      <c r="AE389" s="121"/>
    </row>
    <row r="390" spans="1:31" x14ac:dyDescent="0.25">
      <c r="A390" s="2" t="s">
        <v>832</v>
      </c>
      <c r="B390" s="7">
        <v>0.79583333333333339</v>
      </c>
      <c r="C390" s="2">
        <v>0.3</v>
      </c>
      <c r="D390" s="10" t="s">
        <v>806</v>
      </c>
      <c r="E390" s="40">
        <v>10</v>
      </c>
      <c r="F390" s="40">
        <v>2.5</v>
      </c>
      <c r="G390" s="40">
        <v>2</v>
      </c>
      <c r="H390" s="3">
        <f t="shared" si="43"/>
        <v>0.125</v>
      </c>
      <c r="I390" s="3">
        <f t="shared" si="44"/>
        <v>3.125E-2</v>
      </c>
      <c r="J390" s="3">
        <f t="shared" si="45"/>
        <v>2.4999999999999998E-2</v>
      </c>
      <c r="K390" s="3"/>
      <c r="L390" s="60">
        <f t="shared" si="46"/>
        <v>383.87791666666664</v>
      </c>
      <c r="M390" s="40">
        <v>0</v>
      </c>
      <c r="N390" s="40">
        <v>0</v>
      </c>
      <c r="O390" s="40">
        <v>0</v>
      </c>
      <c r="P390" s="40">
        <v>0</v>
      </c>
      <c r="Q390" s="40">
        <v>0</v>
      </c>
      <c r="R390" s="40">
        <v>0</v>
      </c>
      <c r="S390" s="61">
        <f t="shared" si="47"/>
        <v>47.100000000000072</v>
      </c>
      <c r="T390" s="40">
        <v>0</v>
      </c>
      <c r="U390" s="40">
        <v>0</v>
      </c>
      <c r="V390" s="40">
        <v>4</v>
      </c>
      <c r="W390" s="40">
        <v>0</v>
      </c>
      <c r="X390" s="67">
        <f t="shared" si="42"/>
        <v>90</v>
      </c>
      <c r="Z390" s="71"/>
      <c r="AA390" s="71"/>
      <c r="AB390" s="67" t="str">
        <f t="shared" si="41"/>
        <v/>
      </c>
      <c r="AD390" s="121"/>
      <c r="AE390" s="121"/>
    </row>
    <row r="391" spans="1:31" x14ac:dyDescent="0.25">
      <c r="A391" s="2" t="s">
        <v>834</v>
      </c>
      <c r="B391" s="7">
        <v>0.20416666666666669</v>
      </c>
      <c r="C391" s="2">
        <v>9.8000000000000007</v>
      </c>
      <c r="D391" s="10" t="s">
        <v>789</v>
      </c>
      <c r="E391" s="40">
        <v>0</v>
      </c>
      <c r="F391" s="40">
        <v>2.5</v>
      </c>
      <c r="G391" s="40">
        <v>2</v>
      </c>
      <c r="H391" s="3">
        <f t="shared" si="43"/>
        <v>0</v>
      </c>
      <c r="I391" s="3">
        <f t="shared" si="44"/>
        <v>1.0208333333333335</v>
      </c>
      <c r="J391" s="3">
        <f t="shared" si="45"/>
        <v>0.81666666666666665</v>
      </c>
      <c r="K391" s="3"/>
      <c r="L391" s="60">
        <f t="shared" si="46"/>
        <v>382.04041666666666</v>
      </c>
      <c r="M391" s="40">
        <v>0</v>
      </c>
      <c r="N391" s="40">
        <v>0</v>
      </c>
      <c r="O391" s="40">
        <v>0</v>
      </c>
      <c r="P391" s="40">
        <v>0</v>
      </c>
      <c r="Q391" s="40">
        <v>0</v>
      </c>
      <c r="R391" s="40">
        <v>80</v>
      </c>
      <c r="S391" s="61">
        <f t="shared" si="47"/>
        <v>127.10000000000008</v>
      </c>
      <c r="T391" s="40">
        <v>0</v>
      </c>
      <c r="U391" s="40">
        <v>150</v>
      </c>
      <c r="V391" s="40">
        <v>0</v>
      </c>
      <c r="W391" s="40">
        <v>0</v>
      </c>
      <c r="X391" s="67">
        <f t="shared" si="42"/>
        <v>240</v>
      </c>
      <c r="Z391" s="71"/>
      <c r="AA391" s="71"/>
      <c r="AB391" s="67" t="str">
        <f t="shared" si="41"/>
        <v/>
      </c>
      <c r="AD391" s="121"/>
      <c r="AE391" s="121"/>
    </row>
    <row r="392" spans="1:31" x14ac:dyDescent="0.25">
      <c r="A392" s="2" t="s">
        <v>834</v>
      </c>
      <c r="B392" s="7">
        <v>0.21666666666666667</v>
      </c>
      <c r="C392" s="2">
        <v>0.3</v>
      </c>
      <c r="D392" s="10" t="s">
        <v>817</v>
      </c>
      <c r="E392" s="40">
        <v>10</v>
      </c>
      <c r="F392" s="40">
        <v>2.5</v>
      </c>
      <c r="G392" s="40">
        <v>2</v>
      </c>
      <c r="H392" s="3">
        <f t="shared" si="43"/>
        <v>0.125</v>
      </c>
      <c r="I392" s="3">
        <f t="shared" si="44"/>
        <v>3.125E-2</v>
      </c>
      <c r="J392" s="3">
        <f t="shared" si="45"/>
        <v>2.4999999999999998E-2</v>
      </c>
      <c r="K392" s="3"/>
      <c r="L392" s="60">
        <f t="shared" si="46"/>
        <v>381.85916666666668</v>
      </c>
      <c r="M392" s="40">
        <v>0</v>
      </c>
      <c r="N392" s="40">
        <v>0</v>
      </c>
      <c r="O392" s="40">
        <v>0</v>
      </c>
      <c r="P392" s="40">
        <v>0</v>
      </c>
      <c r="Q392" s="40">
        <v>0</v>
      </c>
      <c r="R392" s="40">
        <v>0</v>
      </c>
      <c r="S392" s="61">
        <f t="shared" si="47"/>
        <v>127.10000000000008</v>
      </c>
      <c r="T392" s="40">
        <v>0</v>
      </c>
      <c r="U392" s="40">
        <v>0</v>
      </c>
      <c r="V392" s="40">
        <v>0</v>
      </c>
      <c r="W392" s="40">
        <v>0</v>
      </c>
      <c r="X392" s="67">
        <f t="shared" si="42"/>
        <v>240</v>
      </c>
      <c r="Z392" s="71"/>
      <c r="AA392" s="71"/>
      <c r="AB392" s="67" t="str">
        <f t="shared" ref="AB392:AB456" si="48">IF(Z392="","",Z392+AA392)</f>
        <v/>
      </c>
      <c r="AD392" s="121"/>
      <c r="AE392" s="121"/>
    </row>
    <row r="393" spans="1:31" x14ac:dyDescent="0.25">
      <c r="A393" s="2" t="s">
        <v>834</v>
      </c>
      <c r="B393" s="65">
        <v>0.33333333333333331</v>
      </c>
      <c r="C393" s="2">
        <v>2.8</v>
      </c>
      <c r="D393" s="10" t="s">
        <v>835</v>
      </c>
      <c r="E393" s="40">
        <v>25</v>
      </c>
      <c r="F393" s="40">
        <v>2.5</v>
      </c>
      <c r="G393" s="40">
        <v>2</v>
      </c>
      <c r="H393" s="3">
        <f t="shared" si="43"/>
        <v>2.9166666666666665</v>
      </c>
      <c r="I393" s="3">
        <f t="shared" si="44"/>
        <v>0.29166666666666669</v>
      </c>
      <c r="J393" s="3">
        <f t="shared" si="45"/>
        <v>0.23333333333333331</v>
      </c>
      <c r="K393" s="3"/>
      <c r="L393" s="60">
        <f t="shared" si="46"/>
        <v>378.41750000000002</v>
      </c>
      <c r="M393" s="40">
        <v>0</v>
      </c>
      <c r="N393" s="40">
        <v>0</v>
      </c>
      <c r="O393" s="40">
        <v>0</v>
      </c>
      <c r="P393" s="40">
        <v>0</v>
      </c>
      <c r="Q393" s="40">
        <v>0</v>
      </c>
      <c r="R393" s="40">
        <v>0</v>
      </c>
      <c r="S393" s="61">
        <f t="shared" si="47"/>
        <v>127.10000000000008</v>
      </c>
      <c r="T393" s="40">
        <v>0</v>
      </c>
      <c r="U393" s="40">
        <v>0</v>
      </c>
      <c r="V393" s="40">
        <v>0</v>
      </c>
      <c r="W393" s="40">
        <v>0</v>
      </c>
      <c r="X393" s="67">
        <f t="shared" si="42"/>
        <v>240</v>
      </c>
      <c r="Z393" s="71"/>
      <c r="AA393" s="71"/>
      <c r="AB393" s="67" t="str">
        <f t="shared" si="48"/>
        <v/>
      </c>
      <c r="AD393" s="121"/>
      <c r="AE393" s="121"/>
    </row>
    <row r="394" spans="1:31" x14ac:dyDescent="0.25">
      <c r="A394" s="2" t="s">
        <v>834</v>
      </c>
      <c r="B394" s="7">
        <v>0.51250000000000007</v>
      </c>
      <c r="C394" s="2">
        <v>4.3</v>
      </c>
      <c r="D394" s="10" t="s">
        <v>796</v>
      </c>
      <c r="E394" s="40">
        <v>25</v>
      </c>
      <c r="F394" s="40">
        <v>2.5</v>
      </c>
      <c r="G394" s="40">
        <v>2</v>
      </c>
      <c r="H394" s="3">
        <f t="shared" si="43"/>
        <v>4.479166666666667</v>
      </c>
      <c r="I394" s="3">
        <f t="shared" si="44"/>
        <v>0.44791666666666669</v>
      </c>
      <c r="J394" s="3">
        <f t="shared" si="45"/>
        <v>0.35833333333333328</v>
      </c>
      <c r="K394" s="3"/>
      <c r="L394" s="60">
        <f t="shared" si="46"/>
        <v>373.13208333333336</v>
      </c>
      <c r="M394" s="40">
        <v>0</v>
      </c>
      <c r="N394" s="40">
        <v>0</v>
      </c>
      <c r="O394" s="40">
        <v>0</v>
      </c>
      <c r="P394" s="40">
        <v>0</v>
      </c>
      <c r="Q394" s="40">
        <v>0</v>
      </c>
      <c r="R394" s="40">
        <v>0</v>
      </c>
      <c r="S394" s="61">
        <f t="shared" si="47"/>
        <v>127.10000000000008</v>
      </c>
      <c r="T394" s="40">
        <v>0</v>
      </c>
      <c r="U394" s="40">
        <v>0</v>
      </c>
      <c r="V394" s="40">
        <v>2</v>
      </c>
      <c r="W394" s="40">
        <v>0</v>
      </c>
      <c r="X394" s="67">
        <f t="shared" si="42"/>
        <v>238</v>
      </c>
      <c r="Z394" s="71"/>
      <c r="AA394" s="71"/>
      <c r="AB394" s="67" t="str">
        <f t="shared" si="48"/>
        <v/>
      </c>
      <c r="AD394" s="121">
        <v>12.7</v>
      </c>
      <c r="AE394" s="121" t="s">
        <v>1295</v>
      </c>
    </row>
    <row r="395" spans="1:31" x14ac:dyDescent="0.25">
      <c r="A395" s="2" t="s">
        <v>834</v>
      </c>
      <c r="B395" s="7">
        <v>0.54583333333333328</v>
      </c>
      <c r="C395" s="2">
        <v>0.8</v>
      </c>
      <c r="D395" s="10" t="s">
        <v>806</v>
      </c>
      <c r="E395" s="40">
        <v>10</v>
      </c>
      <c r="F395" s="40">
        <v>2.5</v>
      </c>
      <c r="G395" s="40">
        <v>2</v>
      </c>
      <c r="H395" s="3">
        <f t="shared" si="43"/>
        <v>0.33333333333333337</v>
      </c>
      <c r="I395" s="3">
        <f t="shared" si="44"/>
        <v>8.3333333333333343E-2</v>
      </c>
      <c r="J395" s="3">
        <f t="shared" si="45"/>
        <v>6.6666666666666666E-2</v>
      </c>
      <c r="K395" s="3"/>
      <c r="L395" s="60">
        <f t="shared" si="46"/>
        <v>372.64875000000001</v>
      </c>
      <c r="M395" s="40">
        <v>0</v>
      </c>
      <c r="N395" s="40">
        <v>0</v>
      </c>
      <c r="O395" s="40">
        <v>0</v>
      </c>
      <c r="P395" s="40">
        <v>0</v>
      </c>
      <c r="Q395" s="40">
        <v>0</v>
      </c>
      <c r="R395" s="40">
        <v>0</v>
      </c>
      <c r="S395" s="61">
        <f t="shared" si="47"/>
        <v>127.10000000000008</v>
      </c>
      <c r="T395" s="40">
        <v>0</v>
      </c>
      <c r="U395" s="40">
        <v>0</v>
      </c>
      <c r="V395" s="40">
        <v>0</v>
      </c>
      <c r="W395" s="40">
        <v>0</v>
      </c>
      <c r="X395" s="67">
        <f t="shared" ref="X395:X459" si="49">IF(V395="","",((X394+T395+U395)-(V395+W395)))</f>
        <v>238</v>
      </c>
      <c r="Z395" s="71"/>
      <c r="AA395" s="71"/>
      <c r="AB395" s="67" t="str">
        <f t="shared" si="48"/>
        <v/>
      </c>
      <c r="AD395" s="121"/>
      <c r="AE395" s="121"/>
    </row>
    <row r="396" spans="1:31" x14ac:dyDescent="0.25">
      <c r="A396" s="2" t="s">
        <v>834</v>
      </c>
      <c r="B396" s="7">
        <v>0.65833333333333333</v>
      </c>
      <c r="C396" s="3">
        <f>+(B396-B395)*24</f>
        <v>2.7000000000000011</v>
      </c>
      <c r="D396" s="10" t="s">
        <v>660</v>
      </c>
      <c r="E396" s="40">
        <v>0</v>
      </c>
      <c r="F396" s="40">
        <v>2.5</v>
      </c>
      <c r="G396" s="40">
        <v>2</v>
      </c>
      <c r="H396" s="3">
        <f t="shared" si="43"/>
        <v>0</v>
      </c>
      <c r="I396" s="3">
        <f t="shared" si="44"/>
        <v>0.28125000000000011</v>
      </c>
      <c r="J396" s="3">
        <f t="shared" si="45"/>
        <v>0.22500000000000009</v>
      </c>
      <c r="K396" s="3"/>
      <c r="L396" s="60">
        <f t="shared" si="46"/>
        <v>372.14249999999998</v>
      </c>
      <c r="M396" s="40">
        <v>0</v>
      </c>
      <c r="N396" s="40">
        <v>0</v>
      </c>
      <c r="O396" s="40">
        <v>0</v>
      </c>
      <c r="P396" s="40">
        <v>0</v>
      </c>
      <c r="Q396" s="40">
        <v>0</v>
      </c>
      <c r="R396" s="40">
        <v>0</v>
      </c>
      <c r="S396" s="61">
        <f t="shared" si="47"/>
        <v>127.10000000000008</v>
      </c>
      <c r="T396" s="40">
        <v>0</v>
      </c>
      <c r="U396" s="40">
        <v>0</v>
      </c>
      <c r="V396" s="40">
        <v>0</v>
      </c>
      <c r="W396" s="40">
        <v>0</v>
      </c>
      <c r="X396" s="67">
        <f t="shared" si="49"/>
        <v>238</v>
      </c>
      <c r="Z396" s="71"/>
      <c r="AA396" s="71"/>
      <c r="AB396" s="67" t="str">
        <f t="shared" si="48"/>
        <v/>
      </c>
      <c r="AD396" s="121"/>
      <c r="AE396" s="121"/>
    </row>
    <row r="397" spans="1:31" x14ac:dyDescent="0.25">
      <c r="A397" s="2" t="s">
        <v>836</v>
      </c>
      <c r="B397" s="7">
        <v>0.71250000000000002</v>
      </c>
      <c r="C397" s="3">
        <f>+(B397-B396)*24</f>
        <v>1.3000000000000007</v>
      </c>
      <c r="D397" s="10" t="s">
        <v>812</v>
      </c>
      <c r="E397" s="40">
        <v>10</v>
      </c>
      <c r="F397" s="40">
        <v>2.5</v>
      </c>
      <c r="G397" s="40">
        <v>2</v>
      </c>
      <c r="H397" s="3">
        <f t="shared" si="43"/>
        <v>0.54166666666666696</v>
      </c>
      <c r="I397" s="3">
        <f t="shared" si="44"/>
        <v>0.13541666666666674</v>
      </c>
      <c r="J397" s="3">
        <f t="shared" si="45"/>
        <v>0.10833333333333339</v>
      </c>
      <c r="K397" s="3"/>
      <c r="L397" s="60">
        <f t="shared" si="46"/>
        <v>371.35708333333332</v>
      </c>
      <c r="M397" s="40">
        <v>0</v>
      </c>
      <c r="N397" s="40">
        <v>0</v>
      </c>
      <c r="O397" s="40">
        <v>0</v>
      </c>
      <c r="P397" s="40">
        <v>0</v>
      </c>
      <c r="Q397" s="40">
        <v>0</v>
      </c>
      <c r="R397" s="40">
        <v>0</v>
      </c>
      <c r="S397" s="61">
        <f t="shared" si="47"/>
        <v>127.10000000000008</v>
      </c>
      <c r="T397" s="40">
        <v>0</v>
      </c>
      <c r="U397" s="40">
        <v>0</v>
      </c>
      <c r="V397" s="40">
        <v>0</v>
      </c>
      <c r="W397" s="40">
        <v>0</v>
      </c>
      <c r="X397" s="67">
        <f t="shared" si="49"/>
        <v>238</v>
      </c>
      <c r="Z397" s="71"/>
      <c r="AA397" s="71"/>
      <c r="AB397" s="67" t="str">
        <f t="shared" si="48"/>
        <v/>
      </c>
      <c r="AD397" s="121"/>
      <c r="AE397" s="121"/>
    </row>
    <row r="398" spans="1:31" x14ac:dyDescent="0.25">
      <c r="A398" s="2" t="s">
        <v>834</v>
      </c>
      <c r="B398" s="7">
        <v>0.80833333333333324</v>
      </c>
      <c r="C398" s="3">
        <f t="shared" ref="C398" si="50">+(B398-B397)*24</f>
        <v>2.2999999999999972</v>
      </c>
      <c r="D398" s="10" t="s">
        <v>813</v>
      </c>
      <c r="E398" s="40">
        <v>0</v>
      </c>
      <c r="F398" s="40">
        <v>2.5</v>
      </c>
      <c r="G398" s="40">
        <v>2</v>
      </c>
      <c r="H398" s="3">
        <f t="shared" ref="H398:H462" si="51">+IF(E398="","",(E398/24)*C398)</f>
        <v>0</v>
      </c>
      <c r="I398" s="3">
        <f t="shared" ref="I398:I462" si="52">+IF(F398="","",(F398/24)*C398)</f>
        <v>0.23958333333333304</v>
      </c>
      <c r="J398" s="3">
        <f t="shared" ref="J398:J462" si="53">+IF(G398="","",(G398/24)*C398)</f>
        <v>0.19166666666666643</v>
      </c>
      <c r="K398" s="3"/>
      <c r="L398" s="60">
        <f t="shared" si="46"/>
        <v>370.92583333333334</v>
      </c>
      <c r="M398" s="40">
        <v>0</v>
      </c>
      <c r="N398" s="40">
        <v>0</v>
      </c>
      <c r="O398" s="40">
        <v>0</v>
      </c>
      <c r="P398" s="40"/>
      <c r="Q398" s="40">
        <v>0</v>
      </c>
      <c r="R398" s="40">
        <v>0</v>
      </c>
      <c r="S398" s="61">
        <f t="shared" si="47"/>
        <v>127.10000000000008</v>
      </c>
      <c r="T398" s="40">
        <v>0</v>
      </c>
      <c r="U398" s="40">
        <v>0</v>
      </c>
      <c r="V398" s="40">
        <v>0</v>
      </c>
      <c r="W398" s="40">
        <v>0</v>
      </c>
      <c r="X398" s="67">
        <f t="shared" si="49"/>
        <v>238</v>
      </c>
      <c r="Z398" s="71"/>
      <c r="AA398" s="71"/>
      <c r="AB398" s="67" t="str">
        <f t="shared" si="48"/>
        <v/>
      </c>
      <c r="AD398" s="121"/>
      <c r="AE398" s="121"/>
    </row>
    <row r="399" spans="1:31" x14ac:dyDescent="0.25">
      <c r="A399" s="2" t="s">
        <v>225</v>
      </c>
      <c r="B399" s="65">
        <v>0.33333333333333331</v>
      </c>
      <c r="C399" s="3">
        <f>+IF((B399-B398)&lt;0,((B399-B398)*24)+24,(B399-B398)*24)</f>
        <v>12.600000000000001</v>
      </c>
      <c r="D399" s="10" t="s">
        <v>820</v>
      </c>
      <c r="E399" s="40">
        <v>0</v>
      </c>
      <c r="F399" s="40">
        <v>2.5</v>
      </c>
      <c r="G399" s="40">
        <v>2</v>
      </c>
      <c r="H399" s="3">
        <f t="shared" si="51"/>
        <v>0</v>
      </c>
      <c r="I399" s="3">
        <f t="shared" si="52"/>
        <v>1.3125000000000002</v>
      </c>
      <c r="J399" s="3">
        <f t="shared" si="53"/>
        <v>1.05</v>
      </c>
      <c r="K399" s="3"/>
      <c r="L399" s="60">
        <f t="shared" si="46"/>
        <v>368.56333333333333</v>
      </c>
      <c r="M399" s="40">
        <v>0</v>
      </c>
      <c r="N399" s="40">
        <v>0</v>
      </c>
      <c r="O399" s="40">
        <v>0</v>
      </c>
      <c r="P399" s="40">
        <v>0</v>
      </c>
      <c r="Q399" s="40">
        <v>3.1</v>
      </c>
      <c r="R399" s="40">
        <v>0</v>
      </c>
      <c r="S399" s="61">
        <f t="shared" si="47"/>
        <v>124.00000000000009</v>
      </c>
      <c r="T399" s="40">
        <v>0</v>
      </c>
      <c r="U399" s="40">
        <v>0</v>
      </c>
      <c r="V399" s="40">
        <v>3</v>
      </c>
      <c r="W399" s="40">
        <v>1</v>
      </c>
      <c r="X399" s="67">
        <f t="shared" si="49"/>
        <v>234</v>
      </c>
      <c r="Z399" s="71"/>
      <c r="AA399" s="71"/>
      <c r="AB399" s="67" t="str">
        <f t="shared" si="48"/>
        <v/>
      </c>
      <c r="AD399" s="121"/>
      <c r="AE399" s="121"/>
    </row>
    <row r="400" spans="1:31" x14ac:dyDescent="0.25">
      <c r="A400" s="2" t="s">
        <v>225</v>
      </c>
      <c r="B400" s="7">
        <v>0.35000000000000003</v>
      </c>
      <c r="C400" s="3">
        <f t="shared" ref="C400:C464" si="54">+IF((B400-B399)&lt;0,((B400-B399)*24)+24,(B400-B399)*24)</f>
        <v>0.40000000000000124</v>
      </c>
      <c r="D400" s="10" t="s">
        <v>801</v>
      </c>
      <c r="E400" s="40">
        <v>0</v>
      </c>
      <c r="F400" s="40">
        <v>2.5</v>
      </c>
      <c r="G400" s="40">
        <v>2</v>
      </c>
      <c r="H400" s="3">
        <f t="shared" si="51"/>
        <v>0</v>
      </c>
      <c r="I400" s="3">
        <f t="shared" si="52"/>
        <v>4.1666666666666796E-2</v>
      </c>
      <c r="J400" s="3">
        <f t="shared" si="53"/>
        <v>3.3333333333333437E-2</v>
      </c>
      <c r="K400" s="3"/>
      <c r="L400" s="60">
        <f t="shared" si="46"/>
        <v>368.48833333333334</v>
      </c>
      <c r="M400" s="40">
        <v>0</v>
      </c>
      <c r="N400" s="40">
        <v>0</v>
      </c>
      <c r="O400" s="40">
        <v>0</v>
      </c>
      <c r="P400" s="40">
        <v>0</v>
      </c>
      <c r="Q400" s="40">
        <v>0.1</v>
      </c>
      <c r="R400" s="40">
        <v>0</v>
      </c>
      <c r="S400" s="61">
        <f t="shared" si="47"/>
        <v>123.90000000000009</v>
      </c>
      <c r="T400" s="40">
        <v>0</v>
      </c>
      <c r="U400" s="40">
        <v>0</v>
      </c>
      <c r="V400" s="40">
        <v>0</v>
      </c>
      <c r="W400" s="40">
        <v>0</v>
      </c>
      <c r="X400" s="67">
        <f t="shared" si="49"/>
        <v>234</v>
      </c>
      <c r="Z400" s="71"/>
      <c r="AA400" s="71"/>
      <c r="AB400" s="67" t="str">
        <f t="shared" si="48"/>
        <v/>
      </c>
      <c r="AD400" s="121"/>
      <c r="AE400" s="121"/>
    </row>
    <row r="401" spans="1:31" x14ac:dyDescent="0.25">
      <c r="A401" s="2" t="s">
        <v>225</v>
      </c>
      <c r="B401" s="7">
        <v>0.50416666666666665</v>
      </c>
      <c r="C401" s="3">
        <f t="shared" si="54"/>
        <v>3.6999999999999988</v>
      </c>
      <c r="D401" s="10" t="s">
        <v>660</v>
      </c>
      <c r="E401" s="40">
        <v>0</v>
      </c>
      <c r="F401" s="40">
        <v>2.5</v>
      </c>
      <c r="G401" s="40">
        <v>2</v>
      </c>
      <c r="H401" s="3">
        <f t="shared" si="51"/>
        <v>0</v>
      </c>
      <c r="I401" s="3">
        <f t="shared" si="52"/>
        <v>0.38541666666666657</v>
      </c>
      <c r="J401" s="3">
        <f t="shared" si="53"/>
        <v>0.30833333333333324</v>
      </c>
      <c r="K401" s="3"/>
      <c r="L401" s="60">
        <f t="shared" si="46"/>
        <v>367.79458333333332</v>
      </c>
      <c r="M401" s="40">
        <v>0</v>
      </c>
      <c r="N401" s="40">
        <v>0</v>
      </c>
      <c r="O401" s="40">
        <v>0</v>
      </c>
      <c r="P401" s="40">
        <v>0</v>
      </c>
      <c r="Q401" s="40">
        <v>0</v>
      </c>
      <c r="R401" s="40">
        <v>0</v>
      </c>
      <c r="S401" s="61">
        <f t="shared" si="47"/>
        <v>123.90000000000009</v>
      </c>
      <c r="T401" s="40">
        <v>0</v>
      </c>
      <c r="U401" s="40">
        <v>0</v>
      </c>
      <c r="V401" s="40">
        <v>0</v>
      </c>
      <c r="W401" s="40">
        <v>0</v>
      </c>
      <c r="X401" s="67">
        <f t="shared" si="49"/>
        <v>234</v>
      </c>
      <c r="Z401" s="71"/>
      <c r="AA401" s="71"/>
      <c r="AB401" s="67" t="str">
        <f t="shared" si="48"/>
        <v/>
      </c>
      <c r="AD401" s="121"/>
      <c r="AE401" s="121"/>
    </row>
    <row r="402" spans="1:31" x14ac:dyDescent="0.25">
      <c r="A402" s="2" t="s">
        <v>225</v>
      </c>
      <c r="B402" s="7">
        <v>0.52083333333333337</v>
      </c>
      <c r="C402" s="3">
        <f t="shared" si="54"/>
        <v>0.40000000000000124</v>
      </c>
      <c r="D402" s="10" t="s">
        <v>837</v>
      </c>
      <c r="E402" s="40">
        <v>10</v>
      </c>
      <c r="F402" s="40">
        <v>2.5</v>
      </c>
      <c r="G402" s="40">
        <v>2</v>
      </c>
      <c r="H402" s="3">
        <f t="shared" si="51"/>
        <v>0.16666666666666718</v>
      </c>
      <c r="I402" s="3">
        <f t="shared" si="52"/>
        <v>4.1666666666666796E-2</v>
      </c>
      <c r="J402" s="3">
        <f t="shared" si="53"/>
        <v>3.3333333333333437E-2</v>
      </c>
      <c r="K402" s="3"/>
      <c r="L402" s="60">
        <f t="shared" si="46"/>
        <v>367.55291666666665</v>
      </c>
      <c r="M402" s="40">
        <v>0</v>
      </c>
      <c r="N402" s="40">
        <v>0</v>
      </c>
      <c r="O402" s="40">
        <v>0</v>
      </c>
      <c r="P402" s="40">
        <v>0</v>
      </c>
      <c r="Q402" s="40">
        <v>0</v>
      </c>
      <c r="R402" s="40">
        <v>0</v>
      </c>
      <c r="S402" s="61">
        <f t="shared" si="47"/>
        <v>123.90000000000009</v>
      </c>
      <c r="T402" s="40">
        <v>0</v>
      </c>
      <c r="U402" s="40">
        <v>0</v>
      </c>
      <c r="V402" s="40">
        <v>2</v>
      </c>
      <c r="W402" s="40">
        <v>0</v>
      </c>
      <c r="X402" s="67">
        <f t="shared" si="49"/>
        <v>232</v>
      </c>
      <c r="Z402" s="71"/>
      <c r="AA402" s="71"/>
      <c r="AB402" s="67" t="str">
        <f t="shared" si="48"/>
        <v/>
      </c>
      <c r="AD402" s="121"/>
      <c r="AE402" s="121"/>
    </row>
    <row r="403" spans="1:31" x14ac:dyDescent="0.25">
      <c r="A403" s="2" t="s">
        <v>838</v>
      </c>
      <c r="B403" s="65">
        <v>0.33333333333333331</v>
      </c>
      <c r="C403" s="3">
        <f t="shared" si="54"/>
        <v>19.5</v>
      </c>
      <c r="D403" s="10" t="s">
        <v>835</v>
      </c>
      <c r="E403" s="40">
        <v>25</v>
      </c>
      <c r="F403" s="40">
        <v>2.5</v>
      </c>
      <c r="G403" s="40">
        <v>2</v>
      </c>
      <c r="H403" s="3">
        <f t="shared" si="51"/>
        <v>20.3125</v>
      </c>
      <c r="I403" s="3">
        <f t="shared" si="52"/>
        <v>2.03125</v>
      </c>
      <c r="J403" s="3">
        <f t="shared" si="53"/>
        <v>1.625</v>
      </c>
      <c r="K403" s="3"/>
      <c r="L403" s="60">
        <f t="shared" si="46"/>
        <v>343.58416666666665</v>
      </c>
      <c r="M403" s="40">
        <v>0</v>
      </c>
      <c r="N403" s="40">
        <v>0</v>
      </c>
      <c r="O403" s="40">
        <v>0</v>
      </c>
      <c r="P403" s="40">
        <v>0</v>
      </c>
      <c r="Q403" s="40">
        <v>0</v>
      </c>
      <c r="R403" s="40">
        <v>0</v>
      </c>
      <c r="S403" s="61">
        <f t="shared" si="47"/>
        <v>123.90000000000009</v>
      </c>
      <c r="T403" s="40">
        <v>0</v>
      </c>
      <c r="U403" s="40">
        <v>0</v>
      </c>
      <c r="V403" s="40">
        <v>3</v>
      </c>
      <c r="W403" s="40">
        <v>1</v>
      </c>
      <c r="X403" s="67">
        <f t="shared" si="49"/>
        <v>228</v>
      </c>
      <c r="Z403" s="71"/>
      <c r="AA403" s="71"/>
      <c r="AB403" s="67" t="str">
        <f t="shared" si="48"/>
        <v/>
      </c>
      <c r="AD403" s="121"/>
      <c r="AE403" s="121"/>
    </row>
    <row r="404" spans="1:31" x14ac:dyDescent="0.25">
      <c r="A404" s="2" t="s">
        <v>838</v>
      </c>
      <c r="B404" s="7">
        <v>0.4291666666666667</v>
      </c>
      <c r="C404" s="3">
        <f t="shared" si="54"/>
        <v>2.3000000000000012</v>
      </c>
      <c r="D404" s="10" t="s">
        <v>796</v>
      </c>
      <c r="E404" s="40">
        <v>25</v>
      </c>
      <c r="F404" s="40">
        <v>2.5</v>
      </c>
      <c r="G404" s="40">
        <v>2</v>
      </c>
      <c r="H404" s="3">
        <f t="shared" si="51"/>
        <v>2.3958333333333348</v>
      </c>
      <c r="I404" s="3">
        <f t="shared" si="52"/>
        <v>0.23958333333333345</v>
      </c>
      <c r="J404" s="3">
        <f t="shared" si="53"/>
        <v>0.19166666666666676</v>
      </c>
      <c r="K404" s="3"/>
      <c r="L404" s="60">
        <f t="shared" si="46"/>
        <v>340.7570833333333</v>
      </c>
      <c r="M404" s="40">
        <v>0</v>
      </c>
      <c r="N404" s="40">
        <v>0</v>
      </c>
      <c r="O404" s="40">
        <v>0</v>
      </c>
      <c r="P404" s="40">
        <v>0</v>
      </c>
      <c r="Q404" s="40">
        <v>0</v>
      </c>
      <c r="R404" s="40">
        <v>0</v>
      </c>
      <c r="S404" s="61">
        <f t="shared" si="47"/>
        <v>123.90000000000009</v>
      </c>
      <c r="T404" s="40">
        <v>0</v>
      </c>
      <c r="U404" s="40">
        <v>0</v>
      </c>
      <c r="V404" s="40">
        <v>0</v>
      </c>
      <c r="W404" s="40">
        <v>0</v>
      </c>
      <c r="X404" s="67">
        <f t="shared" si="49"/>
        <v>228</v>
      </c>
      <c r="Z404" s="71"/>
      <c r="AA404" s="71"/>
      <c r="AB404" s="67" t="str">
        <f t="shared" si="48"/>
        <v/>
      </c>
      <c r="AD404" s="121">
        <v>12.1</v>
      </c>
      <c r="AE404" s="121" t="s">
        <v>1301</v>
      </c>
    </row>
    <row r="405" spans="1:31" x14ac:dyDescent="0.25">
      <c r="A405" s="2" t="s">
        <v>838</v>
      </c>
      <c r="B405" s="7">
        <v>0.45416666666666666</v>
      </c>
      <c r="C405" s="3">
        <f t="shared" si="54"/>
        <v>0.5999999999999992</v>
      </c>
      <c r="D405" s="10" t="s">
        <v>812</v>
      </c>
      <c r="E405" s="40">
        <v>10</v>
      </c>
      <c r="F405" s="40">
        <v>2.5</v>
      </c>
      <c r="G405" s="40">
        <v>2</v>
      </c>
      <c r="H405" s="3">
        <f t="shared" si="51"/>
        <v>0.24999999999999967</v>
      </c>
      <c r="I405" s="3">
        <f t="shared" si="52"/>
        <v>6.2499999999999917E-2</v>
      </c>
      <c r="J405" s="3">
        <f t="shared" si="53"/>
        <v>4.9999999999999933E-2</v>
      </c>
      <c r="K405" s="3"/>
      <c r="L405" s="60">
        <f t="shared" si="46"/>
        <v>340.39458333333329</v>
      </c>
      <c r="M405" s="40">
        <v>0</v>
      </c>
      <c r="N405" s="40">
        <v>0</v>
      </c>
      <c r="O405" s="40">
        <v>0</v>
      </c>
      <c r="P405" s="40">
        <v>0</v>
      </c>
      <c r="Q405" s="40">
        <v>0</v>
      </c>
      <c r="R405" s="40">
        <v>0</v>
      </c>
      <c r="S405" s="61">
        <f t="shared" si="47"/>
        <v>123.90000000000009</v>
      </c>
      <c r="T405" s="40">
        <v>0</v>
      </c>
      <c r="U405" s="40">
        <v>0</v>
      </c>
      <c r="V405" s="40">
        <v>0</v>
      </c>
      <c r="W405" s="40">
        <v>0</v>
      </c>
      <c r="X405" s="67">
        <f t="shared" si="49"/>
        <v>228</v>
      </c>
      <c r="Z405" s="71"/>
      <c r="AA405" s="71"/>
      <c r="AB405" s="67" t="str">
        <f t="shared" si="48"/>
        <v/>
      </c>
      <c r="AD405" s="121"/>
      <c r="AE405" s="121"/>
    </row>
    <row r="406" spans="1:31" x14ac:dyDescent="0.25">
      <c r="A406" s="58"/>
      <c r="B406" s="7"/>
      <c r="C406" s="3"/>
      <c r="D406" s="10"/>
      <c r="E406" s="40"/>
      <c r="F406" s="40"/>
      <c r="G406" s="40"/>
      <c r="H406" s="3"/>
      <c r="I406" s="3"/>
      <c r="J406" s="3"/>
      <c r="K406" s="3"/>
      <c r="L406" s="60"/>
      <c r="M406" s="40"/>
      <c r="N406" s="40"/>
      <c r="O406" s="40"/>
      <c r="P406" s="40"/>
      <c r="Q406" s="40"/>
      <c r="R406" s="40"/>
      <c r="S406" s="61"/>
      <c r="T406" s="40"/>
      <c r="U406" s="40"/>
      <c r="V406" s="40"/>
      <c r="W406" s="40"/>
      <c r="X406" s="67"/>
      <c r="Z406" s="71"/>
      <c r="AA406" s="71"/>
      <c r="AB406" s="67"/>
      <c r="AD406" s="121"/>
      <c r="AE406" s="121"/>
    </row>
    <row r="407" spans="1:31" x14ac:dyDescent="0.25">
      <c r="A407" s="9" t="s">
        <v>839</v>
      </c>
      <c r="B407" s="65">
        <v>0.33333333333333331</v>
      </c>
      <c r="C407" s="3">
        <f>+IF((B407-B405)&lt;0,((B407-B405)*24)+24,(B407-B405)*24)</f>
        <v>21.1</v>
      </c>
      <c r="D407" s="10" t="s">
        <v>806</v>
      </c>
      <c r="E407" s="40">
        <v>0</v>
      </c>
      <c r="F407" s="40">
        <v>2.5</v>
      </c>
      <c r="G407" s="40">
        <v>2</v>
      </c>
      <c r="H407" s="3">
        <f t="shared" si="51"/>
        <v>0</v>
      </c>
      <c r="I407" s="3">
        <f t="shared" si="52"/>
        <v>2.197916666666667</v>
      </c>
      <c r="J407" s="3">
        <f t="shared" si="53"/>
        <v>1.7583333333333333</v>
      </c>
      <c r="K407" s="3"/>
      <c r="L407" s="60">
        <f>+IF(C407="","",(L405+K407)-(H407+I407+J407))</f>
        <v>336.43833333333328</v>
      </c>
      <c r="M407" s="40">
        <v>0</v>
      </c>
      <c r="N407" s="40">
        <v>0</v>
      </c>
      <c r="O407" s="40">
        <v>0</v>
      </c>
      <c r="P407" s="40">
        <v>0</v>
      </c>
      <c r="Q407" s="40">
        <v>0</v>
      </c>
      <c r="R407" s="40">
        <v>0</v>
      </c>
      <c r="S407" s="61">
        <f>IF(C407="","",(S405+R407)-(M407+N407+O407+P407+Q407))</f>
        <v>123.90000000000009</v>
      </c>
      <c r="T407" s="40">
        <v>0</v>
      </c>
      <c r="U407" s="40">
        <v>0</v>
      </c>
      <c r="V407" s="40">
        <v>4</v>
      </c>
      <c r="W407" s="40">
        <v>0</v>
      </c>
      <c r="X407" s="67">
        <f>IF(V407="","",((X405+T407+U407)-(V407+W407)))</f>
        <v>224</v>
      </c>
      <c r="Z407" s="71"/>
      <c r="AA407" s="71"/>
      <c r="AB407" s="67" t="str">
        <f t="shared" si="48"/>
        <v/>
      </c>
      <c r="AD407" s="121"/>
      <c r="AE407" s="121"/>
    </row>
    <row r="408" spans="1:31" x14ac:dyDescent="0.25">
      <c r="A408" s="2" t="s">
        <v>840</v>
      </c>
      <c r="B408" s="65">
        <v>0.33333333333333331</v>
      </c>
      <c r="C408" s="3">
        <v>24</v>
      </c>
      <c r="D408" s="10" t="s">
        <v>806</v>
      </c>
      <c r="E408" s="40">
        <v>0</v>
      </c>
      <c r="F408" s="40">
        <v>2.5</v>
      </c>
      <c r="G408" s="40">
        <v>6</v>
      </c>
      <c r="H408" s="3">
        <f t="shared" si="51"/>
        <v>0</v>
      </c>
      <c r="I408" s="3">
        <f t="shared" si="52"/>
        <v>2.5</v>
      </c>
      <c r="J408" s="3">
        <f t="shared" si="53"/>
        <v>6</v>
      </c>
      <c r="K408" s="3"/>
      <c r="L408" s="60">
        <f t="shared" si="46"/>
        <v>327.93833333333328</v>
      </c>
      <c r="M408" s="40">
        <v>0</v>
      </c>
      <c r="N408" s="40">
        <v>0</v>
      </c>
      <c r="O408" s="40">
        <v>0</v>
      </c>
      <c r="P408" s="40">
        <v>0</v>
      </c>
      <c r="Q408" s="40">
        <v>0</v>
      </c>
      <c r="R408" s="40">
        <v>0</v>
      </c>
      <c r="S408" s="61">
        <f t="shared" si="47"/>
        <v>123.90000000000009</v>
      </c>
      <c r="T408" s="40">
        <v>0</v>
      </c>
      <c r="U408" s="40">
        <v>0</v>
      </c>
      <c r="V408" s="40">
        <v>5</v>
      </c>
      <c r="W408" s="40">
        <v>0</v>
      </c>
      <c r="X408" s="67">
        <f t="shared" si="49"/>
        <v>219</v>
      </c>
      <c r="Z408" s="71"/>
      <c r="AA408" s="71"/>
      <c r="AB408" s="67" t="str">
        <f t="shared" si="48"/>
        <v/>
      </c>
      <c r="AD408" s="121"/>
      <c r="AE408" s="121"/>
    </row>
    <row r="409" spans="1:31" x14ac:dyDescent="0.25">
      <c r="A409" s="2" t="s">
        <v>841</v>
      </c>
      <c r="B409" s="65">
        <v>0.33333333333333331</v>
      </c>
      <c r="C409" s="3">
        <v>24</v>
      </c>
      <c r="D409" s="10" t="s">
        <v>806</v>
      </c>
      <c r="E409" s="40">
        <v>0</v>
      </c>
      <c r="F409" s="40">
        <v>2.5</v>
      </c>
      <c r="G409" s="40">
        <v>5</v>
      </c>
      <c r="H409" s="3">
        <f t="shared" si="51"/>
        <v>0</v>
      </c>
      <c r="I409" s="3">
        <f t="shared" si="52"/>
        <v>2.5</v>
      </c>
      <c r="J409" s="3">
        <f t="shared" si="53"/>
        <v>5</v>
      </c>
      <c r="K409" s="3"/>
      <c r="L409" s="60">
        <f t="shared" si="46"/>
        <v>320.43833333333328</v>
      </c>
      <c r="M409" s="40">
        <v>0</v>
      </c>
      <c r="N409" s="40">
        <v>0</v>
      </c>
      <c r="O409" s="40">
        <v>0</v>
      </c>
      <c r="P409" s="40">
        <v>0</v>
      </c>
      <c r="Q409" s="40">
        <v>0</v>
      </c>
      <c r="R409" s="40">
        <v>0</v>
      </c>
      <c r="S409" s="61">
        <f t="shared" si="47"/>
        <v>123.90000000000009</v>
      </c>
      <c r="T409" s="40">
        <v>0</v>
      </c>
      <c r="U409" s="40">
        <v>0</v>
      </c>
      <c r="V409" s="40">
        <v>5</v>
      </c>
      <c r="W409" s="40">
        <v>0</v>
      </c>
      <c r="X409" s="67">
        <f t="shared" si="49"/>
        <v>214</v>
      </c>
      <c r="Z409" s="71"/>
      <c r="AA409" s="71"/>
      <c r="AB409" s="67" t="str">
        <f t="shared" si="48"/>
        <v/>
      </c>
      <c r="AD409" s="121"/>
      <c r="AE409" s="121"/>
    </row>
    <row r="410" spans="1:31" x14ac:dyDescent="0.25">
      <c r="A410" s="2" t="s">
        <v>842</v>
      </c>
      <c r="B410" s="65">
        <v>0.33333333333333331</v>
      </c>
      <c r="C410" s="3">
        <v>24</v>
      </c>
      <c r="D410" s="10" t="s">
        <v>806</v>
      </c>
      <c r="E410" s="40">
        <v>0</v>
      </c>
      <c r="F410" s="40">
        <v>2.5</v>
      </c>
      <c r="G410" s="40">
        <v>6</v>
      </c>
      <c r="H410" s="3">
        <f t="shared" si="51"/>
        <v>0</v>
      </c>
      <c r="I410" s="3">
        <f t="shared" si="52"/>
        <v>2.5</v>
      </c>
      <c r="J410" s="3">
        <f t="shared" si="53"/>
        <v>6</v>
      </c>
      <c r="K410" s="3"/>
      <c r="L410" s="60">
        <f t="shared" si="46"/>
        <v>311.93833333333328</v>
      </c>
      <c r="M410" s="40">
        <v>0</v>
      </c>
      <c r="N410" s="40">
        <v>0</v>
      </c>
      <c r="O410" s="40">
        <v>0</v>
      </c>
      <c r="P410" s="40">
        <v>0</v>
      </c>
      <c r="Q410" s="40">
        <v>0</v>
      </c>
      <c r="R410" s="40">
        <v>0</v>
      </c>
      <c r="S410" s="61">
        <f t="shared" si="47"/>
        <v>123.90000000000009</v>
      </c>
      <c r="T410" s="40">
        <v>0</v>
      </c>
      <c r="U410" s="40">
        <v>0</v>
      </c>
      <c r="V410" s="40">
        <v>5</v>
      </c>
      <c r="W410" s="40">
        <v>0</v>
      </c>
      <c r="X410" s="67">
        <f t="shared" si="49"/>
        <v>209</v>
      </c>
      <c r="Z410" s="71"/>
      <c r="AA410" s="71"/>
      <c r="AB410" s="67" t="str">
        <f t="shared" si="48"/>
        <v/>
      </c>
      <c r="AD410" s="121"/>
      <c r="AE410" s="121"/>
    </row>
    <row r="411" spans="1:31" x14ac:dyDescent="0.25">
      <c r="A411" s="2" t="s">
        <v>842</v>
      </c>
      <c r="B411" s="7">
        <v>0.53333333333333333</v>
      </c>
      <c r="C411" s="3">
        <f t="shared" si="54"/>
        <v>4.8000000000000007</v>
      </c>
      <c r="D411" s="10" t="s">
        <v>660</v>
      </c>
      <c r="E411" s="40">
        <v>0</v>
      </c>
      <c r="F411" s="40">
        <v>2.5</v>
      </c>
      <c r="G411" s="40">
        <v>6</v>
      </c>
      <c r="H411" s="3">
        <f t="shared" si="51"/>
        <v>0</v>
      </c>
      <c r="I411" s="3">
        <f t="shared" si="52"/>
        <v>0.50000000000000011</v>
      </c>
      <c r="J411" s="3">
        <f t="shared" si="53"/>
        <v>1.2000000000000002</v>
      </c>
      <c r="K411" s="3"/>
      <c r="L411" s="60">
        <f t="shared" si="46"/>
        <v>310.23833333333329</v>
      </c>
      <c r="M411" s="40">
        <v>0</v>
      </c>
      <c r="N411" s="40">
        <v>0</v>
      </c>
      <c r="O411" s="40">
        <v>0</v>
      </c>
      <c r="P411" s="40">
        <v>0</v>
      </c>
      <c r="Q411" s="40">
        <v>0</v>
      </c>
      <c r="R411" s="40">
        <v>0</v>
      </c>
      <c r="S411" s="61">
        <f t="shared" si="47"/>
        <v>123.90000000000009</v>
      </c>
      <c r="T411" s="40">
        <v>0</v>
      </c>
      <c r="U411" s="40">
        <v>0</v>
      </c>
      <c r="V411" s="40">
        <v>2</v>
      </c>
      <c r="W411" s="40">
        <v>0</v>
      </c>
      <c r="X411" s="67">
        <f t="shared" si="49"/>
        <v>207</v>
      </c>
      <c r="Z411" s="71"/>
      <c r="AA411" s="71"/>
      <c r="AB411" s="67" t="str">
        <f t="shared" si="48"/>
        <v/>
      </c>
      <c r="AD411" s="121"/>
      <c r="AE411" s="121"/>
    </row>
    <row r="412" spans="1:31" x14ac:dyDescent="0.25">
      <c r="A412" s="2" t="s">
        <v>842</v>
      </c>
      <c r="B412" s="7">
        <v>0.59583333333333333</v>
      </c>
      <c r="C412" s="3">
        <f t="shared" si="54"/>
        <v>1.5</v>
      </c>
      <c r="D412" s="10" t="s">
        <v>812</v>
      </c>
      <c r="E412" s="40">
        <v>10</v>
      </c>
      <c r="F412" s="40">
        <v>2.5</v>
      </c>
      <c r="G412" s="40">
        <v>6</v>
      </c>
      <c r="H412" s="3">
        <f t="shared" si="51"/>
        <v>0.625</v>
      </c>
      <c r="I412" s="3">
        <f t="shared" si="52"/>
        <v>0.15625</v>
      </c>
      <c r="J412" s="3">
        <f t="shared" si="53"/>
        <v>0.375</v>
      </c>
      <c r="K412" s="3"/>
      <c r="L412" s="60">
        <f t="shared" si="46"/>
        <v>309.08208333333329</v>
      </c>
      <c r="M412" s="40">
        <v>0</v>
      </c>
      <c r="N412" s="40">
        <v>0</v>
      </c>
      <c r="O412" s="40">
        <v>0</v>
      </c>
      <c r="P412" s="40">
        <v>0</v>
      </c>
      <c r="Q412" s="40">
        <v>0</v>
      </c>
      <c r="R412" s="40">
        <v>0</v>
      </c>
      <c r="S412" s="61">
        <f t="shared" si="47"/>
        <v>123.90000000000009</v>
      </c>
      <c r="T412" s="40">
        <v>0</v>
      </c>
      <c r="U412" s="40">
        <v>0</v>
      </c>
      <c r="V412" s="40">
        <v>0</v>
      </c>
      <c r="W412" s="40">
        <v>0</v>
      </c>
      <c r="X412" s="67">
        <f t="shared" si="49"/>
        <v>207</v>
      </c>
      <c r="Z412" s="71"/>
      <c r="AA412" s="71"/>
      <c r="AB412" s="67" t="str">
        <f t="shared" si="48"/>
        <v/>
      </c>
      <c r="AD412" s="121"/>
      <c r="AE412" s="121"/>
    </row>
    <row r="413" spans="1:31" x14ac:dyDescent="0.25">
      <c r="A413" s="2" t="s">
        <v>842</v>
      </c>
      <c r="B413" s="7">
        <v>0.77500000000000002</v>
      </c>
      <c r="C413" s="3">
        <v>4.3</v>
      </c>
      <c r="D413" s="10" t="s">
        <v>799</v>
      </c>
      <c r="E413" s="40">
        <v>0</v>
      </c>
      <c r="F413" s="40">
        <v>2.5</v>
      </c>
      <c r="G413" s="40">
        <v>6</v>
      </c>
      <c r="H413" s="3">
        <f t="shared" si="51"/>
        <v>0</v>
      </c>
      <c r="I413" s="3">
        <f t="shared" si="52"/>
        <v>0.44791666666666669</v>
      </c>
      <c r="J413" s="3">
        <f t="shared" si="53"/>
        <v>1.075</v>
      </c>
      <c r="K413" s="3"/>
      <c r="L413" s="60">
        <f t="shared" ref="L413:L476" si="55">+IF(C413="","",(L412+K413)-(H413+I413+J413))</f>
        <v>307.55916666666661</v>
      </c>
      <c r="M413" s="40">
        <v>0</v>
      </c>
      <c r="N413" s="40">
        <v>0</v>
      </c>
      <c r="O413" s="40">
        <v>0</v>
      </c>
      <c r="P413" s="40">
        <v>0</v>
      </c>
      <c r="Q413" s="40">
        <v>0</v>
      </c>
      <c r="R413" s="40">
        <v>0</v>
      </c>
      <c r="S413" s="61">
        <f t="shared" si="47"/>
        <v>123.90000000000009</v>
      </c>
      <c r="T413" s="40">
        <v>0</v>
      </c>
      <c r="U413" s="40">
        <v>0</v>
      </c>
      <c r="V413" s="40">
        <v>0</v>
      </c>
      <c r="W413" s="40">
        <v>0</v>
      </c>
      <c r="X413" s="67">
        <f t="shared" si="49"/>
        <v>207</v>
      </c>
      <c r="Z413" s="71"/>
      <c r="AA413" s="71"/>
      <c r="AB413" s="67" t="str">
        <f t="shared" si="48"/>
        <v/>
      </c>
      <c r="AD413" s="121"/>
      <c r="AE413" s="121"/>
    </row>
    <row r="414" spans="1:31" x14ac:dyDescent="0.25">
      <c r="A414" s="2" t="s">
        <v>843</v>
      </c>
      <c r="B414" s="65">
        <v>0.33333333333333331</v>
      </c>
      <c r="C414" s="3">
        <f t="shared" si="54"/>
        <v>13.399999999999999</v>
      </c>
      <c r="D414" s="10" t="s">
        <v>820</v>
      </c>
      <c r="E414" s="40">
        <v>0</v>
      </c>
      <c r="F414" s="40">
        <v>2.5</v>
      </c>
      <c r="G414" s="40">
        <v>6</v>
      </c>
      <c r="H414" s="3">
        <f t="shared" si="51"/>
        <v>0</v>
      </c>
      <c r="I414" s="3">
        <f t="shared" si="52"/>
        <v>1.3958333333333333</v>
      </c>
      <c r="J414" s="3">
        <f t="shared" si="53"/>
        <v>3.3499999999999996</v>
      </c>
      <c r="K414" s="3"/>
      <c r="L414" s="60">
        <f t="shared" si="55"/>
        <v>302.81333333333328</v>
      </c>
      <c r="M414" s="40">
        <v>0</v>
      </c>
      <c r="N414" s="40">
        <v>0</v>
      </c>
      <c r="O414" s="40">
        <v>0</v>
      </c>
      <c r="P414" s="40">
        <v>0</v>
      </c>
      <c r="Q414" s="40">
        <v>3.3</v>
      </c>
      <c r="R414" s="40">
        <v>0</v>
      </c>
      <c r="S414" s="61">
        <f t="shared" si="47"/>
        <v>120.60000000000009</v>
      </c>
      <c r="T414" s="40">
        <v>0</v>
      </c>
      <c r="U414" s="40">
        <v>0</v>
      </c>
      <c r="V414" s="40">
        <v>3</v>
      </c>
      <c r="W414" s="40">
        <v>0</v>
      </c>
      <c r="X414" s="67">
        <f t="shared" si="49"/>
        <v>204</v>
      </c>
      <c r="Z414" s="71"/>
      <c r="AA414" s="71"/>
      <c r="AB414" s="67" t="str">
        <f t="shared" si="48"/>
        <v/>
      </c>
      <c r="AD414" s="121"/>
      <c r="AE414" s="121"/>
    </row>
    <row r="415" spans="1:31" x14ac:dyDescent="0.25">
      <c r="A415" s="2" t="s">
        <v>843</v>
      </c>
      <c r="B415" s="7">
        <v>0.34166666666666662</v>
      </c>
      <c r="C415" s="3">
        <f t="shared" si="54"/>
        <v>0.19999999999999929</v>
      </c>
      <c r="D415" s="10" t="s">
        <v>801</v>
      </c>
      <c r="E415" s="40">
        <v>0</v>
      </c>
      <c r="F415" s="40">
        <v>2.5</v>
      </c>
      <c r="G415" s="40">
        <v>6</v>
      </c>
      <c r="H415" s="3">
        <f t="shared" si="51"/>
        <v>0</v>
      </c>
      <c r="I415" s="3">
        <f t="shared" si="52"/>
        <v>2.0833333333333259E-2</v>
      </c>
      <c r="J415" s="3">
        <f t="shared" si="53"/>
        <v>4.9999999999999822E-2</v>
      </c>
      <c r="K415" s="3"/>
      <c r="L415" s="60">
        <f t="shared" si="55"/>
        <v>302.74249999999995</v>
      </c>
      <c r="M415" s="40">
        <v>0</v>
      </c>
      <c r="N415" s="40">
        <v>0</v>
      </c>
      <c r="O415" s="40">
        <v>0</v>
      </c>
      <c r="P415" s="40">
        <v>0</v>
      </c>
      <c r="Q415" s="40">
        <v>0.1</v>
      </c>
      <c r="R415" s="40">
        <v>0</v>
      </c>
      <c r="S415" s="61">
        <f t="shared" si="47"/>
        <v>120.5000000000001</v>
      </c>
      <c r="T415" s="40">
        <v>0</v>
      </c>
      <c r="U415" s="40">
        <v>0</v>
      </c>
      <c r="V415" s="40">
        <v>0</v>
      </c>
      <c r="W415" s="40">
        <v>0</v>
      </c>
      <c r="X415" s="67">
        <f t="shared" si="49"/>
        <v>204</v>
      </c>
      <c r="Z415" s="71"/>
      <c r="AA415" s="71"/>
      <c r="AB415" s="67" t="str">
        <f t="shared" si="48"/>
        <v/>
      </c>
      <c r="AD415" s="121"/>
      <c r="AE415" s="121"/>
    </row>
    <row r="416" spans="1:31" x14ac:dyDescent="0.25">
      <c r="A416" s="2" t="s">
        <v>843</v>
      </c>
      <c r="B416" s="7">
        <v>0.5625</v>
      </c>
      <c r="C416" s="3">
        <f t="shared" si="54"/>
        <v>5.3000000000000007</v>
      </c>
      <c r="D416" s="10" t="s">
        <v>660</v>
      </c>
      <c r="E416" s="40">
        <v>0</v>
      </c>
      <c r="F416" s="40">
        <v>2.2000000000000002</v>
      </c>
      <c r="G416" s="40">
        <v>6</v>
      </c>
      <c r="H416" s="3">
        <f t="shared" si="51"/>
        <v>0</v>
      </c>
      <c r="I416" s="3">
        <f t="shared" si="52"/>
        <v>0.48583333333333345</v>
      </c>
      <c r="J416" s="3">
        <f t="shared" si="53"/>
        <v>1.3250000000000002</v>
      </c>
      <c r="K416" s="3"/>
      <c r="L416" s="60">
        <f t="shared" si="55"/>
        <v>300.93166666666662</v>
      </c>
      <c r="M416" s="40">
        <v>0</v>
      </c>
      <c r="N416" s="40">
        <v>0</v>
      </c>
      <c r="O416" s="40">
        <v>0</v>
      </c>
      <c r="P416" s="40">
        <v>0</v>
      </c>
      <c r="Q416" s="40">
        <v>0</v>
      </c>
      <c r="R416" s="40">
        <v>0</v>
      </c>
      <c r="S416" s="61">
        <f t="shared" si="47"/>
        <v>120.5000000000001</v>
      </c>
      <c r="T416" s="40">
        <v>0</v>
      </c>
      <c r="U416" s="40">
        <v>0</v>
      </c>
      <c r="V416" s="40">
        <v>0</v>
      </c>
      <c r="W416" s="40">
        <v>0</v>
      </c>
      <c r="X416" s="67">
        <f t="shared" si="49"/>
        <v>204</v>
      </c>
      <c r="Z416" s="71"/>
      <c r="AA416" s="71"/>
      <c r="AB416" s="67" t="str">
        <f t="shared" si="48"/>
        <v/>
      </c>
      <c r="AD416" s="121"/>
      <c r="AE416" s="121"/>
    </row>
    <row r="417" spans="1:31" x14ac:dyDescent="0.25">
      <c r="A417" s="2" t="s">
        <v>843</v>
      </c>
      <c r="B417" s="7">
        <v>0.58333333333333337</v>
      </c>
      <c r="C417" s="3">
        <f t="shared" si="54"/>
        <v>0.50000000000000089</v>
      </c>
      <c r="D417" s="10" t="s">
        <v>821</v>
      </c>
      <c r="E417" s="40">
        <v>10</v>
      </c>
      <c r="F417" s="40">
        <v>2.2000000000000002</v>
      </c>
      <c r="G417" s="40">
        <v>6</v>
      </c>
      <c r="H417" s="3">
        <f t="shared" si="51"/>
        <v>0.2083333333333337</v>
      </c>
      <c r="I417" s="3">
        <f t="shared" si="52"/>
        <v>4.583333333333342E-2</v>
      </c>
      <c r="J417" s="3">
        <f t="shared" si="53"/>
        <v>0.12500000000000022</v>
      </c>
      <c r="K417" s="3"/>
      <c r="L417" s="60">
        <f t="shared" si="55"/>
        <v>300.55249999999995</v>
      </c>
      <c r="M417" s="40">
        <v>0</v>
      </c>
      <c r="N417" s="40">
        <v>0</v>
      </c>
      <c r="O417" s="40">
        <v>0</v>
      </c>
      <c r="P417" s="40">
        <v>0</v>
      </c>
      <c r="Q417" s="40">
        <v>0</v>
      </c>
      <c r="R417" s="40">
        <v>0</v>
      </c>
      <c r="S417" s="61">
        <f t="shared" si="47"/>
        <v>120.5000000000001</v>
      </c>
      <c r="T417" s="40">
        <v>0</v>
      </c>
      <c r="U417" s="40">
        <v>0</v>
      </c>
      <c r="V417" s="40">
        <v>1</v>
      </c>
      <c r="W417" s="40">
        <v>1</v>
      </c>
      <c r="X417" s="67">
        <f t="shared" si="49"/>
        <v>202</v>
      </c>
      <c r="Z417" s="71"/>
      <c r="AA417" s="71"/>
      <c r="AB417" s="67" t="str">
        <f t="shared" si="48"/>
        <v/>
      </c>
      <c r="AD417" s="121"/>
      <c r="AE417" s="121"/>
    </row>
    <row r="418" spans="1:31" x14ac:dyDescent="0.25">
      <c r="A418" s="2" t="s">
        <v>843</v>
      </c>
      <c r="B418" s="7">
        <v>0.91666666666666663</v>
      </c>
      <c r="C418" s="3">
        <f t="shared" si="54"/>
        <v>7.9999999999999982</v>
      </c>
      <c r="D418" s="10" t="s">
        <v>796</v>
      </c>
      <c r="E418" s="40">
        <v>24</v>
      </c>
      <c r="F418" s="40">
        <v>2.2000000000000002</v>
      </c>
      <c r="G418" s="40">
        <v>6</v>
      </c>
      <c r="H418" s="3">
        <f t="shared" si="51"/>
        <v>7.9999999999999982</v>
      </c>
      <c r="I418" s="3">
        <f t="shared" si="52"/>
        <v>0.73333333333333328</v>
      </c>
      <c r="J418" s="3">
        <f t="shared" si="53"/>
        <v>1.9999999999999996</v>
      </c>
      <c r="K418" s="3"/>
      <c r="L418" s="60">
        <f t="shared" si="55"/>
        <v>289.8191666666666</v>
      </c>
      <c r="M418" s="40">
        <v>0</v>
      </c>
      <c r="N418" s="40">
        <v>0</v>
      </c>
      <c r="O418" s="40">
        <v>0</v>
      </c>
      <c r="P418" s="40">
        <v>0</v>
      </c>
      <c r="Q418" s="40">
        <v>0</v>
      </c>
      <c r="R418" s="40">
        <v>0</v>
      </c>
      <c r="S418" s="61">
        <f t="shared" si="47"/>
        <v>120.5000000000001</v>
      </c>
      <c r="T418" s="40">
        <v>0</v>
      </c>
      <c r="U418" s="40">
        <v>0</v>
      </c>
      <c r="V418" s="40">
        <v>0</v>
      </c>
      <c r="W418" s="40">
        <v>0</v>
      </c>
      <c r="X418" s="67">
        <f t="shared" si="49"/>
        <v>202</v>
      </c>
      <c r="Z418" s="71"/>
      <c r="AA418" s="71"/>
      <c r="AB418" s="67" t="str">
        <f t="shared" si="48"/>
        <v/>
      </c>
      <c r="AD418" s="121">
        <v>12</v>
      </c>
      <c r="AE418" s="121" t="s">
        <v>1301</v>
      </c>
    </row>
    <row r="419" spans="1:31" x14ac:dyDescent="0.25">
      <c r="A419" s="2" t="s">
        <v>843</v>
      </c>
      <c r="B419" s="7">
        <v>0.96666666666666667</v>
      </c>
      <c r="C419" s="3">
        <f t="shared" si="54"/>
        <v>1.2000000000000011</v>
      </c>
      <c r="D419" s="10" t="s">
        <v>812</v>
      </c>
      <c r="E419" s="40">
        <v>10</v>
      </c>
      <c r="F419" s="40">
        <v>2.2000000000000002</v>
      </c>
      <c r="G419" s="40">
        <v>6</v>
      </c>
      <c r="H419" s="3">
        <f t="shared" si="51"/>
        <v>0.50000000000000044</v>
      </c>
      <c r="I419" s="3">
        <f t="shared" si="52"/>
        <v>0.11000000000000011</v>
      </c>
      <c r="J419" s="3">
        <f t="shared" si="53"/>
        <v>0.30000000000000027</v>
      </c>
      <c r="K419" s="3"/>
      <c r="L419" s="60">
        <f t="shared" si="55"/>
        <v>288.90916666666658</v>
      </c>
      <c r="M419" s="40">
        <v>0</v>
      </c>
      <c r="N419" s="40">
        <v>0</v>
      </c>
      <c r="O419" s="40">
        <v>0</v>
      </c>
      <c r="P419" s="40">
        <v>0</v>
      </c>
      <c r="Q419" s="40">
        <v>0</v>
      </c>
      <c r="R419" s="40">
        <v>0</v>
      </c>
      <c r="S419" s="61">
        <f t="shared" si="47"/>
        <v>120.5000000000001</v>
      </c>
      <c r="T419" s="40">
        <v>0</v>
      </c>
      <c r="U419" s="40">
        <v>0</v>
      </c>
      <c r="V419" s="40">
        <v>0</v>
      </c>
      <c r="W419" s="40">
        <v>0</v>
      </c>
      <c r="X419" s="67">
        <f t="shared" si="49"/>
        <v>202</v>
      </c>
      <c r="Z419" s="71"/>
      <c r="AA419" s="71"/>
      <c r="AB419" s="67" t="str">
        <f t="shared" si="48"/>
        <v/>
      </c>
      <c r="AD419" s="121"/>
      <c r="AE419" s="121"/>
    </row>
    <row r="420" spans="1:31" x14ac:dyDescent="0.25">
      <c r="A420" s="2" t="s">
        <v>844</v>
      </c>
      <c r="B420" s="65">
        <v>0.33333333333333331</v>
      </c>
      <c r="C420" s="3">
        <f t="shared" si="54"/>
        <v>8.8000000000000007</v>
      </c>
      <c r="D420" s="10" t="s">
        <v>845</v>
      </c>
      <c r="E420" s="40">
        <v>0</v>
      </c>
      <c r="F420" s="40">
        <v>2.2000000000000002</v>
      </c>
      <c r="G420" s="40">
        <v>5</v>
      </c>
      <c r="H420" s="3">
        <f t="shared" si="51"/>
        <v>0</v>
      </c>
      <c r="I420" s="3">
        <f t="shared" si="52"/>
        <v>0.80666666666666675</v>
      </c>
      <c r="J420" s="3">
        <f t="shared" si="53"/>
        <v>1.8333333333333335</v>
      </c>
      <c r="K420" s="3"/>
      <c r="L420" s="60">
        <f t="shared" si="55"/>
        <v>286.26916666666659</v>
      </c>
      <c r="M420" s="40">
        <v>0</v>
      </c>
      <c r="N420" s="40">
        <v>0</v>
      </c>
      <c r="O420" s="40">
        <v>0</v>
      </c>
      <c r="P420" s="40">
        <v>0</v>
      </c>
      <c r="Q420" s="40">
        <v>0</v>
      </c>
      <c r="R420" s="40">
        <v>0</v>
      </c>
      <c r="S420" s="61">
        <f t="shared" si="47"/>
        <v>120.5000000000001</v>
      </c>
      <c r="T420" s="40">
        <v>2</v>
      </c>
      <c r="U420" s="40">
        <v>0</v>
      </c>
      <c r="V420" s="40">
        <v>3</v>
      </c>
      <c r="W420" s="40">
        <v>0</v>
      </c>
      <c r="X420" s="67">
        <f t="shared" si="49"/>
        <v>201</v>
      </c>
      <c r="Z420" s="71"/>
      <c r="AA420" s="71"/>
      <c r="AB420" s="67" t="str">
        <f t="shared" si="48"/>
        <v/>
      </c>
      <c r="AD420" s="121"/>
      <c r="AE420" s="121"/>
    </row>
    <row r="421" spans="1:31" x14ac:dyDescent="0.25">
      <c r="A421" s="2" t="s">
        <v>844</v>
      </c>
      <c r="B421" s="7">
        <v>0.70833333333333337</v>
      </c>
      <c r="C421" s="3">
        <f t="shared" si="54"/>
        <v>9.0000000000000018</v>
      </c>
      <c r="D421" s="10" t="s">
        <v>660</v>
      </c>
      <c r="E421" s="40">
        <v>0</v>
      </c>
      <c r="F421" s="40">
        <v>2.5</v>
      </c>
      <c r="G421" s="40">
        <v>2</v>
      </c>
      <c r="H421" s="3">
        <f t="shared" si="51"/>
        <v>0</v>
      </c>
      <c r="I421" s="3">
        <f t="shared" si="52"/>
        <v>0.93750000000000022</v>
      </c>
      <c r="J421" s="3">
        <f t="shared" si="53"/>
        <v>0.75000000000000011</v>
      </c>
      <c r="K421" s="3"/>
      <c r="L421" s="60">
        <f t="shared" si="55"/>
        <v>284.58166666666659</v>
      </c>
      <c r="M421" s="40">
        <v>0</v>
      </c>
      <c r="N421" s="40">
        <v>0</v>
      </c>
      <c r="O421" s="40">
        <v>0</v>
      </c>
      <c r="P421" s="40">
        <v>0</v>
      </c>
      <c r="Q421" s="40">
        <v>0</v>
      </c>
      <c r="R421" s="40">
        <v>0</v>
      </c>
      <c r="S421" s="61">
        <f t="shared" si="47"/>
        <v>120.5000000000001</v>
      </c>
      <c r="T421" s="40">
        <v>0</v>
      </c>
      <c r="U421" s="40">
        <v>0</v>
      </c>
      <c r="V421" s="40">
        <v>0</v>
      </c>
      <c r="W421" s="40">
        <v>0</v>
      </c>
      <c r="X421" s="67">
        <f t="shared" si="49"/>
        <v>201</v>
      </c>
      <c r="Z421" s="71"/>
      <c r="AA421" s="71"/>
      <c r="AB421" s="67" t="str">
        <f t="shared" si="48"/>
        <v/>
      </c>
      <c r="AD421" s="121"/>
      <c r="AE421" s="121"/>
    </row>
    <row r="422" spans="1:31" x14ac:dyDescent="0.25">
      <c r="A422" s="2" t="s">
        <v>844</v>
      </c>
      <c r="B422" s="7">
        <v>0.72916666666666663</v>
      </c>
      <c r="C422" s="3">
        <f t="shared" si="54"/>
        <v>0.49999999999999822</v>
      </c>
      <c r="D422" s="10" t="s">
        <v>821</v>
      </c>
      <c r="E422" s="40">
        <v>10</v>
      </c>
      <c r="F422" s="40">
        <v>2.5</v>
      </c>
      <c r="G422" s="40">
        <v>2</v>
      </c>
      <c r="H422" s="3">
        <f t="shared" si="51"/>
        <v>0.20833333333333259</v>
      </c>
      <c r="I422" s="3">
        <f t="shared" si="52"/>
        <v>5.2083333333333148E-2</v>
      </c>
      <c r="J422" s="3">
        <f t="shared" si="53"/>
        <v>4.1666666666666519E-2</v>
      </c>
      <c r="K422" s="3"/>
      <c r="L422" s="60">
        <f t="shared" si="55"/>
        <v>284.27958333333328</v>
      </c>
      <c r="M422" s="40">
        <v>0</v>
      </c>
      <c r="N422" s="40">
        <v>0</v>
      </c>
      <c r="O422" s="40">
        <v>0</v>
      </c>
      <c r="P422" s="40">
        <v>0</v>
      </c>
      <c r="Q422" s="40">
        <v>0</v>
      </c>
      <c r="R422" s="40">
        <v>0</v>
      </c>
      <c r="S422" s="61">
        <f t="shared" si="47"/>
        <v>120.5000000000001</v>
      </c>
      <c r="T422" s="40">
        <v>0</v>
      </c>
      <c r="U422" s="40">
        <v>0</v>
      </c>
      <c r="V422" s="40">
        <v>0</v>
      </c>
      <c r="W422" s="40">
        <v>0</v>
      </c>
      <c r="X422" s="67">
        <f t="shared" si="49"/>
        <v>201</v>
      </c>
      <c r="Z422" s="71"/>
      <c r="AA422" s="71"/>
      <c r="AB422" s="67" t="str">
        <f t="shared" si="48"/>
        <v/>
      </c>
      <c r="AD422" s="121"/>
      <c r="AE422" s="121"/>
    </row>
    <row r="423" spans="1:31" x14ac:dyDescent="0.25">
      <c r="A423" s="2" t="s">
        <v>844</v>
      </c>
      <c r="B423" s="7">
        <v>0.95833333333333337</v>
      </c>
      <c r="C423" s="3">
        <f t="shared" si="54"/>
        <v>5.5000000000000018</v>
      </c>
      <c r="D423" s="10" t="s">
        <v>796</v>
      </c>
      <c r="E423" s="40">
        <v>24</v>
      </c>
      <c r="F423" s="40">
        <v>2.5</v>
      </c>
      <c r="G423" s="40">
        <v>0</v>
      </c>
      <c r="H423" s="3">
        <f t="shared" si="51"/>
        <v>5.5000000000000018</v>
      </c>
      <c r="I423" s="3">
        <f t="shared" si="52"/>
        <v>0.57291666666666685</v>
      </c>
      <c r="J423" s="3">
        <f t="shared" si="53"/>
        <v>0</v>
      </c>
      <c r="K423" s="3"/>
      <c r="L423" s="60">
        <f t="shared" si="55"/>
        <v>278.20666666666659</v>
      </c>
      <c r="M423" s="40">
        <v>0</v>
      </c>
      <c r="N423" s="40">
        <v>0</v>
      </c>
      <c r="O423" s="40">
        <v>0</v>
      </c>
      <c r="P423" s="40">
        <v>0</v>
      </c>
      <c r="Q423" s="40">
        <v>0</v>
      </c>
      <c r="R423" s="40">
        <v>0</v>
      </c>
      <c r="S423" s="61">
        <f t="shared" si="47"/>
        <v>120.5000000000001</v>
      </c>
      <c r="T423" s="40">
        <v>0</v>
      </c>
      <c r="U423" s="40">
        <v>0</v>
      </c>
      <c r="V423" s="40">
        <v>3</v>
      </c>
      <c r="W423" s="40">
        <v>0</v>
      </c>
      <c r="X423" s="67">
        <f t="shared" si="49"/>
        <v>198</v>
      </c>
      <c r="Z423" s="71"/>
      <c r="AA423" s="71"/>
      <c r="AB423" s="67" t="str">
        <f t="shared" si="48"/>
        <v/>
      </c>
      <c r="AD423" s="121">
        <v>12.2</v>
      </c>
      <c r="AE423" s="121" t="s">
        <v>1295</v>
      </c>
    </row>
    <row r="424" spans="1:31" x14ac:dyDescent="0.25">
      <c r="A424" s="2" t="s">
        <v>844</v>
      </c>
      <c r="B424" s="7">
        <v>0.99583333333333324</v>
      </c>
      <c r="C424" s="3">
        <f t="shared" si="54"/>
        <v>0.8999999999999968</v>
      </c>
      <c r="D424" s="10" t="s">
        <v>812</v>
      </c>
      <c r="E424" s="40">
        <v>10</v>
      </c>
      <c r="F424" s="40">
        <v>2.5</v>
      </c>
      <c r="G424" s="40">
        <v>2</v>
      </c>
      <c r="H424" s="3">
        <f t="shared" si="51"/>
        <v>0.37499999999999867</v>
      </c>
      <c r="I424" s="3">
        <f t="shared" si="52"/>
        <v>9.3749999999999667E-2</v>
      </c>
      <c r="J424" s="3">
        <f t="shared" si="53"/>
        <v>7.4999999999999734E-2</v>
      </c>
      <c r="K424" s="3"/>
      <c r="L424" s="60">
        <f t="shared" si="55"/>
        <v>277.6629166666666</v>
      </c>
      <c r="M424" s="40">
        <v>0</v>
      </c>
      <c r="N424" s="40">
        <v>0</v>
      </c>
      <c r="O424" s="40">
        <v>0</v>
      </c>
      <c r="P424" s="40">
        <v>0</v>
      </c>
      <c r="Q424" s="40">
        <v>0</v>
      </c>
      <c r="R424" s="40">
        <v>0</v>
      </c>
      <c r="S424" s="61">
        <f t="shared" si="47"/>
        <v>120.5000000000001</v>
      </c>
      <c r="T424" s="40">
        <v>0</v>
      </c>
      <c r="U424" s="40">
        <v>0</v>
      </c>
      <c r="V424" s="40">
        <v>0</v>
      </c>
      <c r="W424" s="40">
        <v>0</v>
      </c>
      <c r="X424" s="67">
        <f t="shared" si="49"/>
        <v>198</v>
      </c>
      <c r="Z424" s="71"/>
      <c r="AA424" s="71"/>
      <c r="AB424" s="67" t="str">
        <f t="shared" si="48"/>
        <v/>
      </c>
      <c r="AD424" s="121"/>
      <c r="AE424" s="121"/>
    </row>
    <row r="425" spans="1:31" x14ac:dyDescent="0.25">
      <c r="A425" s="2" t="s">
        <v>846</v>
      </c>
      <c r="B425" s="7">
        <v>9.1666666666666674E-2</v>
      </c>
      <c r="C425" s="3">
        <f t="shared" si="54"/>
        <v>2.3000000000000043</v>
      </c>
      <c r="D425" s="10" t="s">
        <v>660</v>
      </c>
      <c r="E425" s="40">
        <v>0</v>
      </c>
      <c r="F425" s="40">
        <v>2.5</v>
      </c>
      <c r="G425" s="40">
        <v>2</v>
      </c>
      <c r="H425" s="3">
        <f t="shared" si="51"/>
        <v>0</v>
      </c>
      <c r="I425" s="3">
        <f t="shared" si="52"/>
        <v>0.23958333333333379</v>
      </c>
      <c r="J425" s="3">
        <f t="shared" si="53"/>
        <v>0.19166666666666701</v>
      </c>
      <c r="K425" s="3"/>
      <c r="L425" s="60">
        <f t="shared" si="55"/>
        <v>277.23166666666663</v>
      </c>
      <c r="M425" s="40">
        <v>0</v>
      </c>
      <c r="N425" s="40">
        <v>0</v>
      </c>
      <c r="O425" s="40">
        <v>0</v>
      </c>
      <c r="P425" s="40">
        <v>0</v>
      </c>
      <c r="Q425" s="40">
        <v>0</v>
      </c>
      <c r="R425" s="40">
        <v>0</v>
      </c>
      <c r="S425" s="61">
        <f t="shared" si="47"/>
        <v>120.5000000000001</v>
      </c>
      <c r="T425" s="40">
        <v>0</v>
      </c>
      <c r="U425" s="40">
        <v>0</v>
      </c>
      <c r="V425" s="40">
        <v>0</v>
      </c>
      <c r="W425" s="40">
        <v>0</v>
      </c>
      <c r="X425" s="67">
        <f t="shared" si="49"/>
        <v>198</v>
      </c>
      <c r="Z425" s="71"/>
      <c r="AA425" s="71"/>
      <c r="AB425" s="67" t="str">
        <f t="shared" si="48"/>
        <v/>
      </c>
      <c r="AD425" s="121"/>
      <c r="AE425" s="121"/>
    </row>
    <row r="426" spans="1:31" x14ac:dyDescent="0.25">
      <c r="A426" s="2" t="s">
        <v>846</v>
      </c>
      <c r="B426" s="7">
        <v>0.15416666666666667</v>
      </c>
      <c r="C426" s="3">
        <f t="shared" si="54"/>
        <v>1.5</v>
      </c>
      <c r="D426" s="10" t="s">
        <v>812</v>
      </c>
      <c r="E426" s="40">
        <v>10</v>
      </c>
      <c r="F426" s="40">
        <v>2.5</v>
      </c>
      <c r="G426" s="40">
        <v>2</v>
      </c>
      <c r="H426" s="3">
        <f t="shared" si="51"/>
        <v>0.625</v>
      </c>
      <c r="I426" s="3">
        <f t="shared" si="52"/>
        <v>0.15625</v>
      </c>
      <c r="J426" s="3">
        <f t="shared" si="53"/>
        <v>0.125</v>
      </c>
      <c r="K426" s="3"/>
      <c r="L426" s="60">
        <f t="shared" si="55"/>
        <v>276.32541666666663</v>
      </c>
      <c r="M426" s="40">
        <v>0</v>
      </c>
      <c r="N426" s="40">
        <v>0</v>
      </c>
      <c r="O426" s="40">
        <v>0</v>
      </c>
      <c r="P426" s="40">
        <v>0</v>
      </c>
      <c r="Q426" s="40">
        <v>0</v>
      </c>
      <c r="R426" s="40">
        <v>0</v>
      </c>
      <c r="S426" s="61">
        <f t="shared" si="47"/>
        <v>120.5000000000001</v>
      </c>
      <c r="T426" s="40">
        <v>0</v>
      </c>
      <c r="U426" s="40">
        <v>0</v>
      </c>
      <c r="V426" s="40">
        <v>1</v>
      </c>
      <c r="W426" s="40">
        <v>0</v>
      </c>
      <c r="X426" s="67">
        <f t="shared" si="49"/>
        <v>197</v>
      </c>
      <c r="Z426" s="71"/>
      <c r="AA426" s="71"/>
      <c r="AB426" s="67" t="str">
        <f t="shared" si="48"/>
        <v/>
      </c>
      <c r="AD426" s="121"/>
      <c r="AE426" s="121"/>
    </row>
    <row r="427" spans="1:31" x14ac:dyDescent="0.25">
      <c r="A427" s="2" t="s">
        <v>846</v>
      </c>
      <c r="B427" s="7">
        <v>0.27083333333333331</v>
      </c>
      <c r="C427" s="3">
        <f t="shared" si="54"/>
        <v>2.7999999999999994</v>
      </c>
      <c r="D427" s="10" t="s">
        <v>826</v>
      </c>
      <c r="E427" s="40">
        <v>0</v>
      </c>
      <c r="F427" s="40">
        <v>2.5</v>
      </c>
      <c r="G427" s="40">
        <v>2</v>
      </c>
      <c r="H427" s="3">
        <f t="shared" si="51"/>
        <v>0</v>
      </c>
      <c r="I427" s="3">
        <f t="shared" si="52"/>
        <v>0.29166666666666663</v>
      </c>
      <c r="J427" s="3">
        <f t="shared" si="53"/>
        <v>0.23333333333333328</v>
      </c>
      <c r="K427" s="3"/>
      <c r="L427" s="60">
        <f t="shared" si="55"/>
        <v>275.80041666666665</v>
      </c>
      <c r="M427" s="40">
        <v>0</v>
      </c>
      <c r="N427" s="40">
        <v>0</v>
      </c>
      <c r="O427" s="40">
        <v>0</v>
      </c>
      <c r="P427" s="40">
        <v>0</v>
      </c>
      <c r="Q427" s="40">
        <v>0</v>
      </c>
      <c r="R427" s="40">
        <v>0</v>
      </c>
      <c r="S427" s="61">
        <f t="shared" si="47"/>
        <v>120.5000000000001</v>
      </c>
      <c r="T427" s="40">
        <v>0</v>
      </c>
      <c r="U427" s="40">
        <v>0</v>
      </c>
      <c r="V427" s="40">
        <v>1</v>
      </c>
      <c r="W427" s="40">
        <v>0</v>
      </c>
      <c r="X427" s="67">
        <f t="shared" si="49"/>
        <v>196</v>
      </c>
      <c r="Z427" s="71"/>
      <c r="AA427" s="71"/>
      <c r="AB427" s="67" t="str">
        <f t="shared" si="48"/>
        <v/>
      </c>
      <c r="AD427" s="121"/>
      <c r="AE427" s="121"/>
    </row>
    <row r="428" spans="1:31" x14ac:dyDescent="0.25">
      <c r="A428" s="2" t="s">
        <v>846</v>
      </c>
      <c r="B428" s="65">
        <v>0.33333333333333331</v>
      </c>
      <c r="C428" s="3">
        <f t="shared" si="54"/>
        <v>1.5</v>
      </c>
      <c r="D428" s="10" t="s">
        <v>847</v>
      </c>
      <c r="E428" s="40">
        <v>0</v>
      </c>
      <c r="F428" s="40">
        <v>2.5</v>
      </c>
      <c r="G428" s="40">
        <v>2</v>
      </c>
      <c r="H428" s="3">
        <f t="shared" si="51"/>
        <v>0</v>
      </c>
      <c r="I428" s="3">
        <f t="shared" si="52"/>
        <v>0.15625</v>
      </c>
      <c r="J428" s="3">
        <f t="shared" si="53"/>
        <v>0.125</v>
      </c>
      <c r="K428" s="3"/>
      <c r="L428" s="60">
        <f t="shared" si="55"/>
        <v>275.51916666666665</v>
      </c>
      <c r="M428" s="40">
        <v>0</v>
      </c>
      <c r="N428" s="40">
        <v>0</v>
      </c>
      <c r="O428" s="40">
        <v>0</v>
      </c>
      <c r="P428" s="40">
        <v>0</v>
      </c>
      <c r="Q428" s="40">
        <v>0.3</v>
      </c>
      <c r="R428" s="40">
        <v>0</v>
      </c>
      <c r="S428" s="61">
        <f t="shared" si="47"/>
        <v>120.2000000000001</v>
      </c>
      <c r="T428" s="40">
        <v>0</v>
      </c>
      <c r="U428" s="40">
        <v>0</v>
      </c>
      <c r="V428" s="40">
        <v>0</v>
      </c>
      <c r="W428" s="40">
        <v>0</v>
      </c>
      <c r="X428" s="67">
        <f t="shared" si="49"/>
        <v>196</v>
      </c>
      <c r="Z428" s="71"/>
      <c r="AA428" s="71"/>
      <c r="AB428" s="67" t="str">
        <f t="shared" si="48"/>
        <v/>
      </c>
      <c r="AD428" s="121"/>
      <c r="AE428" s="121"/>
    </row>
    <row r="429" spans="1:31" x14ac:dyDescent="0.25">
      <c r="A429" s="2" t="s">
        <v>846</v>
      </c>
      <c r="B429" s="7">
        <v>0.8041666666666667</v>
      </c>
      <c r="C429" s="3">
        <f t="shared" si="54"/>
        <v>11.3</v>
      </c>
      <c r="D429" s="10" t="s">
        <v>848</v>
      </c>
      <c r="E429" s="40">
        <v>0</v>
      </c>
      <c r="F429" s="40">
        <v>2.5</v>
      </c>
      <c r="G429" s="40">
        <v>2</v>
      </c>
      <c r="H429" s="3">
        <f t="shared" si="51"/>
        <v>0</v>
      </c>
      <c r="I429" s="3">
        <f t="shared" si="52"/>
        <v>1.1770833333333335</v>
      </c>
      <c r="J429" s="3">
        <f t="shared" si="53"/>
        <v>0.94166666666666665</v>
      </c>
      <c r="K429" s="3"/>
      <c r="L429" s="60">
        <f t="shared" si="55"/>
        <v>273.40041666666667</v>
      </c>
      <c r="M429" s="40">
        <v>0</v>
      </c>
      <c r="N429" s="40">
        <v>0</v>
      </c>
      <c r="O429" s="40">
        <v>0</v>
      </c>
      <c r="P429" s="40">
        <v>0</v>
      </c>
      <c r="Q429" s="40">
        <v>2.8</v>
      </c>
      <c r="R429" s="40">
        <v>0</v>
      </c>
      <c r="S429" s="61">
        <f t="shared" ref="S429:S492" si="56">IF(C429="","",(S428+R429)-(M429+N429+O429+P429+Q429))</f>
        <v>117.40000000000011</v>
      </c>
      <c r="T429" s="40">
        <v>0</v>
      </c>
      <c r="U429" s="40">
        <v>0</v>
      </c>
      <c r="V429" s="40">
        <v>3</v>
      </c>
      <c r="W429" s="40">
        <v>0</v>
      </c>
      <c r="X429" s="67">
        <f t="shared" si="49"/>
        <v>193</v>
      </c>
      <c r="Z429" s="71"/>
      <c r="AA429" s="71"/>
      <c r="AB429" s="67" t="str">
        <f t="shared" si="48"/>
        <v/>
      </c>
      <c r="AD429" s="121"/>
      <c r="AE429" s="121"/>
    </row>
    <row r="430" spans="1:31" x14ac:dyDescent="0.25">
      <c r="A430" s="2" t="s">
        <v>846</v>
      </c>
      <c r="B430" s="7">
        <v>0.9291666666666667</v>
      </c>
      <c r="C430" s="3">
        <f t="shared" si="54"/>
        <v>3</v>
      </c>
      <c r="D430" s="10" t="s">
        <v>789</v>
      </c>
      <c r="E430" s="40">
        <v>0</v>
      </c>
      <c r="F430" s="40">
        <v>2.5</v>
      </c>
      <c r="G430" s="40">
        <v>2</v>
      </c>
      <c r="H430" s="3">
        <f t="shared" si="51"/>
        <v>0</v>
      </c>
      <c r="I430" s="3">
        <f t="shared" si="52"/>
        <v>0.3125</v>
      </c>
      <c r="J430" s="3">
        <f t="shared" si="53"/>
        <v>0.25</v>
      </c>
      <c r="K430" s="3"/>
      <c r="L430" s="60">
        <f t="shared" si="55"/>
        <v>272.83791666666667</v>
      </c>
      <c r="M430" s="40">
        <v>0</v>
      </c>
      <c r="N430" s="40">
        <v>0</v>
      </c>
      <c r="O430" s="40">
        <v>0</v>
      </c>
      <c r="P430" s="40">
        <v>0</v>
      </c>
      <c r="Q430" s="40">
        <v>0</v>
      </c>
      <c r="R430" s="40">
        <v>0</v>
      </c>
      <c r="S430" s="61">
        <f t="shared" si="56"/>
        <v>117.40000000000011</v>
      </c>
      <c r="T430" s="40">
        <v>0</v>
      </c>
      <c r="U430" s="40">
        <v>0</v>
      </c>
      <c r="V430" s="40">
        <v>0</v>
      </c>
      <c r="W430" s="40">
        <v>0</v>
      </c>
      <c r="X430" s="67">
        <f t="shared" si="49"/>
        <v>193</v>
      </c>
      <c r="Z430" s="71"/>
      <c r="AA430" s="71"/>
      <c r="AB430" s="67" t="str">
        <f t="shared" si="48"/>
        <v/>
      </c>
      <c r="AD430" s="121"/>
      <c r="AE430" s="121"/>
    </row>
    <row r="431" spans="1:31" x14ac:dyDescent="0.25">
      <c r="A431" s="2" t="s">
        <v>846</v>
      </c>
      <c r="B431" s="7">
        <v>0.95833333333333337</v>
      </c>
      <c r="C431" s="3">
        <f t="shared" si="54"/>
        <v>0.70000000000000018</v>
      </c>
      <c r="D431" s="10" t="s">
        <v>837</v>
      </c>
      <c r="E431" s="40">
        <v>10</v>
      </c>
      <c r="F431" s="40">
        <v>2.5</v>
      </c>
      <c r="G431" s="40">
        <v>2</v>
      </c>
      <c r="H431" s="3">
        <f t="shared" si="51"/>
        <v>0.29166666666666674</v>
      </c>
      <c r="I431" s="3">
        <f t="shared" si="52"/>
        <v>7.2916666666666685E-2</v>
      </c>
      <c r="J431" s="3">
        <f t="shared" si="53"/>
        <v>5.8333333333333348E-2</v>
      </c>
      <c r="K431" s="3"/>
      <c r="L431" s="60">
        <f t="shared" si="55"/>
        <v>272.41500000000002</v>
      </c>
      <c r="M431" s="40">
        <v>0</v>
      </c>
      <c r="N431" s="40">
        <v>0</v>
      </c>
      <c r="O431" s="40">
        <v>0</v>
      </c>
      <c r="P431" s="40">
        <v>0</v>
      </c>
      <c r="Q431" s="40">
        <v>0</v>
      </c>
      <c r="R431" s="40">
        <v>0</v>
      </c>
      <c r="S431" s="61">
        <f t="shared" si="56"/>
        <v>117.40000000000011</v>
      </c>
      <c r="T431" s="40">
        <v>0</v>
      </c>
      <c r="U431" s="40">
        <v>0</v>
      </c>
      <c r="V431" s="40">
        <v>0</v>
      </c>
      <c r="W431" s="40">
        <v>0</v>
      </c>
      <c r="X431" s="67">
        <f t="shared" si="49"/>
        <v>193</v>
      </c>
      <c r="Z431" s="71"/>
      <c r="AA431" s="71"/>
      <c r="AB431" s="67" t="str">
        <f t="shared" si="48"/>
        <v/>
      </c>
      <c r="AD431" s="121"/>
      <c r="AE431" s="121"/>
    </row>
    <row r="432" spans="1:31" x14ac:dyDescent="0.25">
      <c r="A432" s="2" t="s">
        <v>849</v>
      </c>
      <c r="B432" s="65">
        <v>0.33333333333333331</v>
      </c>
      <c r="C432" s="3">
        <f t="shared" si="54"/>
        <v>9</v>
      </c>
      <c r="D432" s="10" t="s">
        <v>835</v>
      </c>
      <c r="E432" s="40">
        <v>27</v>
      </c>
      <c r="F432" s="40">
        <v>2.5</v>
      </c>
      <c r="G432" s="40">
        <v>0</v>
      </c>
      <c r="H432" s="3">
        <f t="shared" si="51"/>
        <v>10.125</v>
      </c>
      <c r="I432" s="3">
        <f t="shared" si="52"/>
        <v>0.9375</v>
      </c>
      <c r="J432" s="3">
        <f t="shared" si="53"/>
        <v>0</v>
      </c>
      <c r="K432" s="3"/>
      <c r="L432" s="60">
        <f t="shared" si="55"/>
        <v>261.35250000000002</v>
      </c>
      <c r="M432" s="40">
        <v>0</v>
      </c>
      <c r="N432" s="40">
        <v>0</v>
      </c>
      <c r="O432" s="40">
        <v>0</v>
      </c>
      <c r="P432" s="40">
        <v>0</v>
      </c>
      <c r="Q432" s="40">
        <v>0</v>
      </c>
      <c r="R432" s="40">
        <v>0</v>
      </c>
      <c r="S432" s="61">
        <f t="shared" si="56"/>
        <v>117.40000000000011</v>
      </c>
      <c r="T432" s="40">
        <v>0</v>
      </c>
      <c r="U432" s="40">
        <v>0</v>
      </c>
      <c r="V432" s="40">
        <v>2</v>
      </c>
      <c r="W432" s="40">
        <v>0</v>
      </c>
      <c r="X432" s="67">
        <f t="shared" si="49"/>
        <v>191</v>
      </c>
      <c r="Z432" s="71"/>
      <c r="AA432" s="71"/>
      <c r="AB432" s="67" t="str">
        <f t="shared" si="48"/>
        <v/>
      </c>
      <c r="AD432" s="121"/>
      <c r="AE432" s="121"/>
    </row>
    <row r="433" spans="1:31" x14ac:dyDescent="0.25">
      <c r="A433" s="2" t="s">
        <v>849</v>
      </c>
      <c r="B433" s="7">
        <v>0.65</v>
      </c>
      <c r="C433" s="3">
        <f t="shared" si="54"/>
        <v>7.6000000000000014</v>
      </c>
      <c r="D433" s="10" t="s">
        <v>796</v>
      </c>
      <c r="E433" s="40">
        <v>28</v>
      </c>
      <c r="F433" s="40">
        <v>2.5</v>
      </c>
      <c r="G433" s="40">
        <v>0</v>
      </c>
      <c r="H433" s="3">
        <f t="shared" si="51"/>
        <v>8.8666666666666689</v>
      </c>
      <c r="I433" s="3">
        <f t="shared" si="52"/>
        <v>0.79166666666666685</v>
      </c>
      <c r="J433" s="3">
        <f t="shared" si="53"/>
        <v>0</v>
      </c>
      <c r="K433" s="3"/>
      <c r="L433" s="60">
        <f t="shared" si="55"/>
        <v>251.69416666666669</v>
      </c>
      <c r="M433" s="40">
        <v>0</v>
      </c>
      <c r="N433" s="40">
        <v>0</v>
      </c>
      <c r="O433" s="40">
        <v>0</v>
      </c>
      <c r="P433" s="40">
        <v>0</v>
      </c>
      <c r="Q433" s="40">
        <v>0</v>
      </c>
      <c r="R433" s="40">
        <v>0</v>
      </c>
      <c r="S433" s="61">
        <f t="shared" si="56"/>
        <v>117.40000000000011</v>
      </c>
      <c r="T433" s="40">
        <v>0</v>
      </c>
      <c r="U433" s="40">
        <v>0</v>
      </c>
      <c r="V433" s="40">
        <v>1</v>
      </c>
      <c r="W433" s="40">
        <v>0</v>
      </c>
      <c r="X433" s="67">
        <f t="shared" si="49"/>
        <v>190</v>
      </c>
      <c r="Z433" s="71"/>
      <c r="AA433" s="71"/>
      <c r="AB433" s="67" t="str">
        <f t="shared" si="48"/>
        <v/>
      </c>
      <c r="AD433" s="121">
        <v>12.2</v>
      </c>
      <c r="AE433" s="121" t="s">
        <v>1295</v>
      </c>
    </row>
    <row r="434" spans="1:31" x14ac:dyDescent="0.25">
      <c r="A434" s="2" t="s">
        <v>849</v>
      </c>
      <c r="B434" s="7">
        <v>0.66249999999999998</v>
      </c>
      <c r="C434" s="3">
        <f t="shared" si="54"/>
        <v>0.29999999999999893</v>
      </c>
      <c r="D434" s="10" t="s">
        <v>812</v>
      </c>
      <c r="E434" s="40">
        <v>10</v>
      </c>
      <c r="F434" s="40">
        <v>2.5</v>
      </c>
      <c r="G434" s="40">
        <v>2</v>
      </c>
      <c r="H434" s="3">
        <f t="shared" si="51"/>
        <v>0.12499999999999956</v>
      </c>
      <c r="I434" s="3">
        <f t="shared" si="52"/>
        <v>3.1249999999999889E-2</v>
      </c>
      <c r="J434" s="3">
        <f t="shared" si="53"/>
        <v>2.4999999999999911E-2</v>
      </c>
      <c r="K434" s="3"/>
      <c r="L434" s="60">
        <f t="shared" si="55"/>
        <v>251.51291666666668</v>
      </c>
      <c r="M434" s="40">
        <v>0</v>
      </c>
      <c r="N434" s="40">
        <v>0</v>
      </c>
      <c r="O434" s="40">
        <v>0</v>
      </c>
      <c r="P434" s="40">
        <v>0</v>
      </c>
      <c r="Q434" s="40">
        <v>0</v>
      </c>
      <c r="R434" s="40">
        <v>0</v>
      </c>
      <c r="S434" s="61">
        <f t="shared" si="56"/>
        <v>117.40000000000011</v>
      </c>
      <c r="T434" s="40">
        <v>0</v>
      </c>
      <c r="U434" s="40">
        <v>0</v>
      </c>
      <c r="V434" s="40">
        <v>0</v>
      </c>
      <c r="W434" s="40">
        <v>0</v>
      </c>
      <c r="X434" s="67">
        <f t="shared" si="49"/>
        <v>190</v>
      </c>
      <c r="Z434" s="71"/>
      <c r="AA434" s="71"/>
      <c r="AB434" s="67" t="str">
        <f t="shared" si="48"/>
        <v/>
      </c>
      <c r="AD434" s="121"/>
      <c r="AE434" s="121"/>
    </row>
    <row r="435" spans="1:31" x14ac:dyDescent="0.25">
      <c r="A435" s="2" t="s">
        <v>850</v>
      </c>
      <c r="B435" s="65">
        <v>0.33333333333333331</v>
      </c>
      <c r="C435" s="3">
        <f t="shared" si="54"/>
        <v>16.100000000000001</v>
      </c>
      <c r="D435" s="10" t="s">
        <v>851</v>
      </c>
      <c r="E435" s="40">
        <v>0</v>
      </c>
      <c r="F435" s="40">
        <v>2.5</v>
      </c>
      <c r="G435" s="40">
        <v>2</v>
      </c>
      <c r="H435" s="3">
        <f t="shared" si="51"/>
        <v>0</v>
      </c>
      <c r="I435" s="3">
        <f t="shared" si="52"/>
        <v>1.6770833333333335</v>
      </c>
      <c r="J435" s="3">
        <f t="shared" si="53"/>
        <v>1.3416666666666668</v>
      </c>
      <c r="K435" s="3"/>
      <c r="L435" s="60">
        <f t="shared" si="55"/>
        <v>248.49416666666667</v>
      </c>
      <c r="M435" s="40">
        <v>0</v>
      </c>
      <c r="N435" s="40">
        <v>0</v>
      </c>
      <c r="O435" s="40">
        <v>0</v>
      </c>
      <c r="P435" s="40">
        <v>0</v>
      </c>
      <c r="Q435" s="40">
        <v>0</v>
      </c>
      <c r="R435" s="40">
        <v>0</v>
      </c>
      <c r="S435" s="61">
        <f t="shared" si="56"/>
        <v>117.40000000000011</v>
      </c>
      <c r="T435" s="40">
        <v>0</v>
      </c>
      <c r="U435" s="40">
        <v>0</v>
      </c>
      <c r="V435" s="40">
        <v>4</v>
      </c>
      <c r="W435" s="40">
        <v>0</v>
      </c>
      <c r="X435" s="67">
        <f t="shared" si="49"/>
        <v>186</v>
      </c>
      <c r="Z435" s="71"/>
      <c r="AA435" s="71"/>
      <c r="AB435" s="67" t="str">
        <f t="shared" si="48"/>
        <v/>
      </c>
      <c r="AD435" s="121"/>
      <c r="AE435" s="121"/>
    </row>
    <row r="436" spans="1:31" x14ac:dyDescent="0.25">
      <c r="A436" s="2" t="s">
        <v>850</v>
      </c>
      <c r="B436" s="7">
        <v>0.57916666666666672</v>
      </c>
      <c r="C436" s="3">
        <f t="shared" si="54"/>
        <v>5.9000000000000021</v>
      </c>
      <c r="D436" s="10" t="s">
        <v>789</v>
      </c>
      <c r="E436" s="40">
        <v>0</v>
      </c>
      <c r="F436" s="40">
        <v>2.5</v>
      </c>
      <c r="G436" s="40">
        <v>2</v>
      </c>
      <c r="H436" s="3">
        <f t="shared" si="51"/>
        <v>0</v>
      </c>
      <c r="I436" s="3">
        <f t="shared" si="52"/>
        <v>0.61458333333333359</v>
      </c>
      <c r="J436" s="3">
        <f t="shared" si="53"/>
        <v>0.49166666666666681</v>
      </c>
      <c r="K436" s="3"/>
      <c r="L436" s="60">
        <f t="shared" si="55"/>
        <v>247.38791666666668</v>
      </c>
      <c r="M436" s="40">
        <v>0</v>
      </c>
      <c r="N436" s="40">
        <v>0</v>
      </c>
      <c r="O436" s="40">
        <v>0</v>
      </c>
      <c r="P436" s="40">
        <v>0</v>
      </c>
      <c r="Q436" s="40">
        <v>0</v>
      </c>
      <c r="R436" s="40">
        <v>0</v>
      </c>
      <c r="S436" s="61">
        <f t="shared" si="56"/>
        <v>117.40000000000011</v>
      </c>
      <c r="T436" s="40">
        <v>0</v>
      </c>
      <c r="U436" s="40">
        <v>0</v>
      </c>
      <c r="V436" s="40">
        <v>0</v>
      </c>
      <c r="W436" s="40">
        <v>0</v>
      </c>
      <c r="X436" s="67">
        <f t="shared" si="49"/>
        <v>186</v>
      </c>
      <c r="Z436" s="71"/>
      <c r="AA436" s="71"/>
      <c r="AB436" s="67" t="str">
        <f t="shared" si="48"/>
        <v/>
      </c>
      <c r="AD436" s="121"/>
      <c r="AE436" s="121"/>
    </row>
    <row r="437" spans="1:31" x14ac:dyDescent="0.25">
      <c r="A437" s="2" t="s">
        <v>850</v>
      </c>
      <c r="B437" s="7">
        <v>0.60416666666666663</v>
      </c>
      <c r="C437" s="3">
        <f t="shared" si="54"/>
        <v>0.59999999999999787</v>
      </c>
      <c r="D437" s="10" t="s">
        <v>853</v>
      </c>
      <c r="E437" s="40">
        <v>10</v>
      </c>
      <c r="F437" s="40">
        <v>2.5</v>
      </c>
      <c r="G437" s="40">
        <v>2</v>
      </c>
      <c r="H437" s="3">
        <f t="shared" si="51"/>
        <v>0.24999999999999911</v>
      </c>
      <c r="I437" s="3">
        <f t="shared" si="52"/>
        <v>6.2499999999999778E-2</v>
      </c>
      <c r="J437" s="3">
        <f t="shared" si="53"/>
        <v>4.9999999999999822E-2</v>
      </c>
      <c r="K437" s="3"/>
      <c r="L437" s="60">
        <f t="shared" si="55"/>
        <v>247.02541666666667</v>
      </c>
      <c r="M437" s="40">
        <v>0</v>
      </c>
      <c r="N437" s="40">
        <v>0</v>
      </c>
      <c r="O437" s="40">
        <v>0</v>
      </c>
      <c r="P437" s="40">
        <v>0</v>
      </c>
      <c r="Q437" s="40">
        <v>0</v>
      </c>
      <c r="R437" s="40">
        <v>0</v>
      </c>
      <c r="S437" s="61">
        <f t="shared" si="56"/>
        <v>117.40000000000011</v>
      </c>
      <c r="T437" s="40">
        <v>0</v>
      </c>
      <c r="U437" s="40">
        <v>0</v>
      </c>
      <c r="V437" s="40">
        <v>2</v>
      </c>
      <c r="W437" s="40">
        <v>0</v>
      </c>
      <c r="X437" s="67">
        <f t="shared" si="49"/>
        <v>184</v>
      </c>
      <c r="Z437" s="71"/>
      <c r="AA437" s="71"/>
      <c r="AB437" s="67" t="str">
        <f t="shared" si="48"/>
        <v/>
      </c>
      <c r="AD437" s="121"/>
      <c r="AE437" s="121"/>
    </row>
    <row r="438" spans="1:31" x14ac:dyDescent="0.25">
      <c r="A438" s="2" t="s">
        <v>852</v>
      </c>
      <c r="B438" s="7">
        <v>0</v>
      </c>
      <c r="C438" s="3">
        <f t="shared" si="54"/>
        <v>9.5</v>
      </c>
      <c r="D438" s="10" t="s">
        <v>796</v>
      </c>
      <c r="E438" s="40">
        <v>28</v>
      </c>
      <c r="F438" s="40">
        <v>2.5</v>
      </c>
      <c r="G438" s="40">
        <v>0</v>
      </c>
      <c r="H438" s="3">
        <f t="shared" si="51"/>
        <v>11.083333333333334</v>
      </c>
      <c r="I438" s="3">
        <f t="shared" si="52"/>
        <v>0.98958333333333337</v>
      </c>
      <c r="J438" s="3">
        <f t="shared" si="53"/>
        <v>0</v>
      </c>
      <c r="K438" s="3"/>
      <c r="L438" s="60">
        <f t="shared" si="55"/>
        <v>234.95250000000001</v>
      </c>
      <c r="M438" s="40">
        <v>0</v>
      </c>
      <c r="N438" s="40">
        <v>0</v>
      </c>
      <c r="O438" s="40">
        <v>0</v>
      </c>
      <c r="P438" s="40">
        <v>0</v>
      </c>
      <c r="Q438" s="40">
        <v>0</v>
      </c>
      <c r="R438" s="40">
        <v>0</v>
      </c>
      <c r="S438" s="61">
        <f t="shared" si="56"/>
        <v>117.40000000000011</v>
      </c>
      <c r="T438" s="40">
        <v>4</v>
      </c>
      <c r="U438" s="40">
        <v>0</v>
      </c>
      <c r="V438" s="40">
        <v>2</v>
      </c>
      <c r="W438" s="40">
        <v>0</v>
      </c>
      <c r="X438" s="67">
        <f t="shared" si="49"/>
        <v>186</v>
      </c>
      <c r="Z438" s="71"/>
      <c r="AA438" s="71"/>
      <c r="AB438" s="67" t="str">
        <f t="shared" si="48"/>
        <v/>
      </c>
      <c r="AD438" s="121">
        <v>12</v>
      </c>
      <c r="AE438" s="121" t="s">
        <v>1301</v>
      </c>
    </row>
    <row r="439" spans="1:31" x14ac:dyDescent="0.25">
      <c r="A439" s="2" t="s">
        <v>852</v>
      </c>
      <c r="B439" s="7">
        <v>0.125</v>
      </c>
      <c r="C439" s="3">
        <f t="shared" si="54"/>
        <v>3</v>
      </c>
      <c r="D439" s="10" t="s">
        <v>812</v>
      </c>
      <c r="E439" s="40">
        <v>10</v>
      </c>
      <c r="F439" s="40">
        <v>2.5</v>
      </c>
      <c r="G439" s="40">
        <v>2</v>
      </c>
      <c r="H439" s="3">
        <f t="shared" si="51"/>
        <v>1.25</v>
      </c>
      <c r="I439" s="3">
        <f t="shared" si="52"/>
        <v>0.3125</v>
      </c>
      <c r="J439" s="3">
        <f t="shared" si="53"/>
        <v>0.25</v>
      </c>
      <c r="K439" s="3"/>
      <c r="L439" s="60">
        <f t="shared" si="55"/>
        <v>233.14000000000001</v>
      </c>
      <c r="M439" s="40">
        <v>0</v>
      </c>
      <c r="N439" s="40">
        <v>0</v>
      </c>
      <c r="O439" s="40">
        <v>0</v>
      </c>
      <c r="P439" s="40">
        <v>0</v>
      </c>
      <c r="Q439" s="40">
        <v>0</v>
      </c>
      <c r="R439" s="40">
        <v>0</v>
      </c>
      <c r="S439" s="61">
        <f t="shared" si="56"/>
        <v>117.40000000000011</v>
      </c>
      <c r="T439" s="40">
        <v>0</v>
      </c>
      <c r="U439" s="40">
        <v>0</v>
      </c>
      <c r="V439" s="40">
        <v>0</v>
      </c>
      <c r="W439" s="40">
        <v>0</v>
      </c>
      <c r="X439" s="67">
        <f t="shared" si="49"/>
        <v>186</v>
      </c>
      <c r="Z439" s="71"/>
      <c r="AA439" s="71"/>
      <c r="AB439" s="67" t="str">
        <f t="shared" si="48"/>
        <v/>
      </c>
      <c r="AD439" s="121"/>
      <c r="AE439" s="121"/>
    </row>
    <row r="440" spans="1:31" x14ac:dyDescent="0.25">
      <c r="A440" s="2" t="s">
        <v>852</v>
      </c>
      <c r="B440" s="7">
        <v>0.23750000000000002</v>
      </c>
      <c r="C440" s="3">
        <f t="shared" si="54"/>
        <v>2.7</v>
      </c>
      <c r="D440" s="10" t="s">
        <v>799</v>
      </c>
      <c r="E440" s="40">
        <v>0</v>
      </c>
      <c r="F440" s="40">
        <v>2.5</v>
      </c>
      <c r="G440" s="40">
        <v>2</v>
      </c>
      <c r="H440" s="3">
        <f t="shared" si="51"/>
        <v>0</v>
      </c>
      <c r="I440" s="3">
        <f t="shared" si="52"/>
        <v>0.28125000000000006</v>
      </c>
      <c r="J440" s="3">
        <f t="shared" si="53"/>
        <v>0.22500000000000001</v>
      </c>
      <c r="K440" s="3"/>
      <c r="L440" s="60">
        <f t="shared" si="55"/>
        <v>232.63375000000002</v>
      </c>
      <c r="M440" s="40">
        <v>0</v>
      </c>
      <c r="N440" s="40">
        <v>0</v>
      </c>
      <c r="O440" s="40">
        <v>0</v>
      </c>
      <c r="P440" s="40">
        <v>0</v>
      </c>
      <c r="Q440" s="40">
        <v>0</v>
      </c>
      <c r="R440" s="40">
        <v>0</v>
      </c>
      <c r="S440" s="61">
        <f t="shared" si="56"/>
        <v>117.40000000000011</v>
      </c>
      <c r="T440" s="40">
        <v>0</v>
      </c>
      <c r="U440" s="40">
        <v>0</v>
      </c>
      <c r="V440" s="40">
        <v>0</v>
      </c>
      <c r="W440" s="40">
        <v>0</v>
      </c>
      <c r="X440" s="67">
        <f t="shared" si="49"/>
        <v>186</v>
      </c>
      <c r="Z440" s="71"/>
      <c r="AA440" s="71"/>
      <c r="AB440" s="67" t="str">
        <f t="shared" si="48"/>
        <v/>
      </c>
      <c r="AD440" s="121"/>
      <c r="AE440" s="121"/>
    </row>
    <row r="441" spans="1:31" x14ac:dyDescent="0.25">
      <c r="A441" s="2" t="s">
        <v>852</v>
      </c>
      <c r="B441" s="65">
        <v>0.33333333333333331</v>
      </c>
      <c r="C441" s="3">
        <f t="shared" si="54"/>
        <v>2.2999999999999989</v>
      </c>
      <c r="D441" s="10" t="s">
        <v>820</v>
      </c>
      <c r="E441" s="40">
        <v>0</v>
      </c>
      <c r="F441" s="40">
        <v>2.5</v>
      </c>
      <c r="G441" s="40">
        <v>2</v>
      </c>
      <c r="H441" s="3">
        <f t="shared" si="51"/>
        <v>0</v>
      </c>
      <c r="I441" s="3">
        <f t="shared" si="52"/>
        <v>0.23958333333333323</v>
      </c>
      <c r="J441" s="3">
        <f t="shared" si="53"/>
        <v>0.19166666666666657</v>
      </c>
      <c r="K441" s="3"/>
      <c r="L441" s="60">
        <f t="shared" si="55"/>
        <v>232.20250000000001</v>
      </c>
      <c r="M441" s="40">
        <v>0</v>
      </c>
      <c r="N441" s="40">
        <v>0</v>
      </c>
      <c r="O441" s="40">
        <v>0</v>
      </c>
      <c r="P441" s="40">
        <v>0</v>
      </c>
      <c r="Q441" s="40">
        <v>0.6</v>
      </c>
      <c r="R441" s="40">
        <v>0</v>
      </c>
      <c r="S441" s="61">
        <f t="shared" si="56"/>
        <v>116.80000000000011</v>
      </c>
      <c r="T441" s="40">
        <v>0</v>
      </c>
      <c r="U441" s="40">
        <v>0</v>
      </c>
      <c r="V441" s="40">
        <v>1</v>
      </c>
      <c r="W441" s="40">
        <v>1</v>
      </c>
      <c r="X441" s="67">
        <f t="shared" si="49"/>
        <v>184</v>
      </c>
      <c r="Z441" s="71"/>
      <c r="AA441" s="71"/>
      <c r="AB441" s="67" t="str">
        <f t="shared" si="48"/>
        <v/>
      </c>
      <c r="AD441" s="121"/>
      <c r="AE441" s="121"/>
    </row>
    <row r="442" spans="1:31" x14ac:dyDescent="0.25">
      <c r="A442" s="2" t="s">
        <v>852</v>
      </c>
      <c r="B442" s="7">
        <v>0.5625</v>
      </c>
      <c r="C442" s="3">
        <f t="shared" si="54"/>
        <v>5.5</v>
      </c>
      <c r="D442" s="10" t="s">
        <v>847</v>
      </c>
      <c r="E442" s="40">
        <v>0</v>
      </c>
      <c r="F442" s="40">
        <v>2.5</v>
      </c>
      <c r="G442" s="40">
        <v>8</v>
      </c>
      <c r="H442" s="3">
        <f t="shared" si="51"/>
        <v>0</v>
      </c>
      <c r="I442" s="3">
        <f t="shared" si="52"/>
        <v>0.57291666666666674</v>
      </c>
      <c r="J442" s="3">
        <f t="shared" si="53"/>
        <v>1.8333333333333333</v>
      </c>
      <c r="K442" s="3"/>
      <c r="L442" s="60">
        <f t="shared" si="55"/>
        <v>229.79625000000001</v>
      </c>
      <c r="M442" s="40">
        <v>0</v>
      </c>
      <c r="N442" s="40">
        <v>0</v>
      </c>
      <c r="O442" s="40">
        <v>0</v>
      </c>
      <c r="P442" s="40">
        <v>0</v>
      </c>
      <c r="Q442" s="40">
        <v>1.5</v>
      </c>
      <c r="R442" s="40">
        <v>0</v>
      </c>
      <c r="S442" s="61">
        <f t="shared" si="56"/>
        <v>115.30000000000011</v>
      </c>
      <c r="T442" s="40">
        <v>0</v>
      </c>
      <c r="U442" s="40">
        <v>0</v>
      </c>
      <c r="V442" s="40">
        <v>2</v>
      </c>
      <c r="W442" s="40">
        <v>0</v>
      </c>
      <c r="X442" s="67">
        <f t="shared" si="49"/>
        <v>182</v>
      </c>
      <c r="Z442" s="71"/>
      <c r="AA442" s="71"/>
      <c r="AB442" s="67" t="str">
        <f t="shared" si="48"/>
        <v/>
      </c>
      <c r="AD442" s="121"/>
      <c r="AE442" s="121"/>
    </row>
    <row r="443" spans="1:31" x14ac:dyDescent="0.25">
      <c r="A443" s="2" t="s">
        <v>852</v>
      </c>
      <c r="B443" s="7">
        <v>0.625</v>
      </c>
      <c r="C443" s="3">
        <f t="shared" si="54"/>
        <v>1.5</v>
      </c>
      <c r="D443" s="10" t="s">
        <v>660</v>
      </c>
      <c r="E443" s="40">
        <v>0</v>
      </c>
      <c r="F443" s="40">
        <v>2.5</v>
      </c>
      <c r="G443" s="40">
        <v>8</v>
      </c>
      <c r="H443" s="3">
        <f t="shared" si="51"/>
        <v>0</v>
      </c>
      <c r="I443" s="3">
        <f t="shared" si="52"/>
        <v>0.15625</v>
      </c>
      <c r="J443" s="3">
        <f t="shared" si="53"/>
        <v>0.5</v>
      </c>
      <c r="K443" s="3"/>
      <c r="L443" s="60">
        <f t="shared" si="55"/>
        <v>229.14000000000001</v>
      </c>
      <c r="M443" s="40">
        <v>0</v>
      </c>
      <c r="N443" s="40">
        <v>0</v>
      </c>
      <c r="O443" s="40">
        <v>0</v>
      </c>
      <c r="P443" s="40">
        <v>0</v>
      </c>
      <c r="Q443" s="40">
        <v>0</v>
      </c>
      <c r="R443" s="40">
        <v>0</v>
      </c>
      <c r="S443" s="61">
        <f t="shared" si="56"/>
        <v>115.30000000000011</v>
      </c>
      <c r="T443" s="40">
        <v>0</v>
      </c>
      <c r="U443" s="40">
        <v>0</v>
      </c>
      <c r="V443" s="40">
        <v>0</v>
      </c>
      <c r="W443" s="40">
        <v>0</v>
      </c>
      <c r="X443" s="67">
        <f t="shared" si="49"/>
        <v>182</v>
      </c>
      <c r="Z443" s="71"/>
      <c r="AA443" s="71"/>
      <c r="AB443" s="67" t="str">
        <f t="shared" si="48"/>
        <v/>
      </c>
      <c r="AD443" s="121"/>
      <c r="AE443" s="121"/>
    </row>
    <row r="444" spans="1:31" x14ac:dyDescent="0.25">
      <c r="A444" s="2" t="s">
        <v>852</v>
      </c>
      <c r="B444" s="7">
        <v>0.70000000000000007</v>
      </c>
      <c r="C444" s="3">
        <f t="shared" si="54"/>
        <v>1.8000000000000016</v>
      </c>
      <c r="D444" s="10" t="s">
        <v>821</v>
      </c>
      <c r="E444" s="40">
        <v>10</v>
      </c>
      <c r="F444" s="40">
        <v>2.5</v>
      </c>
      <c r="G444" s="40">
        <v>6</v>
      </c>
      <c r="H444" s="3">
        <f t="shared" si="51"/>
        <v>0.75000000000000067</v>
      </c>
      <c r="I444" s="3">
        <f t="shared" si="52"/>
        <v>0.18750000000000017</v>
      </c>
      <c r="J444" s="3">
        <f t="shared" si="53"/>
        <v>0.4500000000000004</v>
      </c>
      <c r="K444" s="3"/>
      <c r="L444" s="60">
        <f t="shared" si="55"/>
        <v>227.75250000000003</v>
      </c>
      <c r="M444" s="40">
        <v>0</v>
      </c>
      <c r="N444" s="40">
        <v>0</v>
      </c>
      <c r="O444" s="40">
        <v>0</v>
      </c>
      <c r="P444" s="40">
        <v>0</v>
      </c>
      <c r="Q444" s="40">
        <v>0</v>
      </c>
      <c r="R444" s="40">
        <v>0</v>
      </c>
      <c r="S444" s="61">
        <f t="shared" si="56"/>
        <v>115.30000000000011</v>
      </c>
      <c r="T444" s="40">
        <v>0</v>
      </c>
      <c r="U444" s="40">
        <v>0</v>
      </c>
      <c r="V444" s="40">
        <v>0</v>
      </c>
      <c r="W444" s="40">
        <v>0</v>
      </c>
      <c r="X444" s="67">
        <f t="shared" si="49"/>
        <v>182</v>
      </c>
      <c r="Z444" s="71"/>
      <c r="AA444" s="71"/>
      <c r="AB444" s="67" t="str">
        <f t="shared" si="48"/>
        <v/>
      </c>
      <c r="AD444" s="121"/>
      <c r="AE444" s="121"/>
    </row>
    <row r="445" spans="1:31" x14ac:dyDescent="0.25">
      <c r="A445" s="2" t="s">
        <v>854</v>
      </c>
      <c r="B445" s="65">
        <v>0.33333333333333331</v>
      </c>
      <c r="C445" s="3">
        <f t="shared" si="54"/>
        <v>15.199999999999998</v>
      </c>
      <c r="D445" s="10" t="s">
        <v>835</v>
      </c>
      <c r="E445" s="40">
        <v>27</v>
      </c>
      <c r="F445" s="40">
        <v>2.5</v>
      </c>
      <c r="G445" s="40">
        <v>6</v>
      </c>
      <c r="H445" s="3">
        <f t="shared" si="51"/>
        <v>17.099999999999998</v>
      </c>
      <c r="I445" s="3">
        <f t="shared" si="52"/>
        <v>1.583333333333333</v>
      </c>
      <c r="J445" s="3">
        <f t="shared" si="53"/>
        <v>3.7999999999999994</v>
      </c>
      <c r="K445" s="3"/>
      <c r="L445" s="60">
        <f t="shared" si="55"/>
        <v>205.26916666666671</v>
      </c>
      <c r="M445" s="40">
        <v>0</v>
      </c>
      <c r="N445" s="40">
        <v>0</v>
      </c>
      <c r="O445" s="40">
        <v>0</v>
      </c>
      <c r="P445" s="40">
        <v>0</v>
      </c>
      <c r="Q445" s="40">
        <v>0</v>
      </c>
      <c r="R445" s="40">
        <v>0</v>
      </c>
      <c r="S445" s="61">
        <f t="shared" si="56"/>
        <v>115.30000000000011</v>
      </c>
      <c r="T445" s="40">
        <v>3</v>
      </c>
      <c r="U445" s="40">
        <v>0</v>
      </c>
      <c r="V445" s="40">
        <v>3</v>
      </c>
      <c r="W445" s="40">
        <v>0</v>
      </c>
      <c r="X445" s="67">
        <f t="shared" si="49"/>
        <v>182</v>
      </c>
      <c r="Z445" s="71"/>
      <c r="AA445" s="71"/>
      <c r="AB445" s="67" t="str">
        <f t="shared" si="48"/>
        <v/>
      </c>
      <c r="AD445" s="121"/>
      <c r="AE445" s="121"/>
    </row>
    <row r="446" spans="1:31" x14ac:dyDescent="0.25">
      <c r="A446" s="2" t="s">
        <v>854</v>
      </c>
      <c r="B446" s="7">
        <v>0.75</v>
      </c>
      <c r="C446" s="3">
        <f t="shared" si="54"/>
        <v>10</v>
      </c>
      <c r="D446" s="10" t="s">
        <v>796</v>
      </c>
      <c r="E446" s="40">
        <v>26</v>
      </c>
      <c r="F446" s="40">
        <v>2.5</v>
      </c>
      <c r="G446" s="40">
        <v>6</v>
      </c>
      <c r="H446" s="3">
        <f t="shared" si="51"/>
        <v>10.833333333333332</v>
      </c>
      <c r="I446" s="3">
        <f t="shared" si="52"/>
        <v>1.0416666666666667</v>
      </c>
      <c r="J446" s="3">
        <f t="shared" si="53"/>
        <v>2.5</v>
      </c>
      <c r="K446" s="3"/>
      <c r="L446" s="60">
        <f t="shared" si="55"/>
        <v>190.89416666666671</v>
      </c>
      <c r="M446" s="40">
        <v>0</v>
      </c>
      <c r="N446" s="40">
        <v>0</v>
      </c>
      <c r="O446" s="40">
        <v>0</v>
      </c>
      <c r="P446" s="40">
        <v>0</v>
      </c>
      <c r="Q446" s="40">
        <v>0</v>
      </c>
      <c r="R446" s="40">
        <v>0</v>
      </c>
      <c r="S446" s="61">
        <f t="shared" si="56"/>
        <v>115.30000000000011</v>
      </c>
      <c r="T446" s="40">
        <v>2</v>
      </c>
      <c r="U446" s="40">
        <v>0</v>
      </c>
      <c r="V446" s="40">
        <v>3</v>
      </c>
      <c r="W446" s="40">
        <v>1</v>
      </c>
      <c r="X446" s="67">
        <f t="shared" si="49"/>
        <v>180</v>
      </c>
      <c r="Z446" s="71"/>
      <c r="AA446" s="71"/>
      <c r="AB446" s="67" t="str">
        <f t="shared" si="48"/>
        <v/>
      </c>
      <c r="AD446" s="121">
        <v>12.1</v>
      </c>
      <c r="AE446" s="121" t="s">
        <v>1295</v>
      </c>
    </row>
    <row r="447" spans="1:31" x14ac:dyDescent="0.25">
      <c r="A447" s="2" t="s">
        <v>854</v>
      </c>
      <c r="B447" s="7">
        <v>0.77916666666666667</v>
      </c>
      <c r="C447" s="3">
        <f t="shared" si="54"/>
        <v>0.70000000000000018</v>
      </c>
      <c r="D447" s="10" t="s">
        <v>812</v>
      </c>
      <c r="E447" s="40">
        <v>10</v>
      </c>
      <c r="F447" s="40">
        <v>2.5</v>
      </c>
      <c r="G447" s="40">
        <v>6</v>
      </c>
      <c r="H447" s="3">
        <f t="shared" si="51"/>
        <v>0.29166666666666674</v>
      </c>
      <c r="I447" s="3">
        <f t="shared" si="52"/>
        <v>7.2916666666666685E-2</v>
      </c>
      <c r="J447" s="3">
        <f t="shared" si="53"/>
        <v>0.17500000000000004</v>
      </c>
      <c r="K447" s="3"/>
      <c r="L447" s="60">
        <f t="shared" si="55"/>
        <v>190.35458333333338</v>
      </c>
      <c r="M447" s="40">
        <v>0</v>
      </c>
      <c r="N447" s="40">
        <v>0</v>
      </c>
      <c r="O447" s="40">
        <v>0</v>
      </c>
      <c r="P447" s="40">
        <v>0</v>
      </c>
      <c r="Q447" s="40">
        <v>0</v>
      </c>
      <c r="R447" s="40">
        <v>0</v>
      </c>
      <c r="S447" s="61">
        <f t="shared" si="56"/>
        <v>115.30000000000011</v>
      </c>
      <c r="T447" s="40">
        <v>0</v>
      </c>
      <c r="U447" s="40">
        <v>0</v>
      </c>
      <c r="V447" s="40">
        <v>0</v>
      </c>
      <c r="W447" s="40">
        <v>0</v>
      </c>
      <c r="X447" s="67">
        <f t="shared" si="49"/>
        <v>180</v>
      </c>
      <c r="Z447" s="71"/>
      <c r="AA447" s="71"/>
      <c r="AB447" s="67" t="str">
        <f t="shared" si="48"/>
        <v/>
      </c>
      <c r="AD447" s="121"/>
      <c r="AE447" s="121"/>
    </row>
    <row r="448" spans="1:31" x14ac:dyDescent="0.25">
      <c r="A448" s="2" t="s">
        <v>855</v>
      </c>
      <c r="B448" s="65">
        <v>0.33333333333333331</v>
      </c>
      <c r="C448" s="3">
        <f t="shared" si="54"/>
        <v>13.299999999999999</v>
      </c>
      <c r="D448" s="10" t="s">
        <v>806</v>
      </c>
      <c r="E448" s="40">
        <v>0</v>
      </c>
      <c r="F448" s="40">
        <v>2.5</v>
      </c>
      <c r="G448" s="40">
        <v>2</v>
      </c>
      <c r="H448" s="3">
        <f t="shared" si="51"/>
        <v>0</v>
      </c>
      <c r="I448" s="3">
        <f t="shared" si="52"/>
        <v>1.3854166666666665</v>
      </c>
      <c r="J448" s="3">
        <f t="shared" si="53"/>
        <v>1.1083333333333332</v>
      </c>
      <c r="K448" s="3"/>
      <c r="L448" s="60">
        <f t="shared" si="55"/>
        <v>187.86083333333337</v>
      </c>
      <c r="M448" s="40">
        <v>0</v>
      </c>
      <c r="N448" s="40">
        <v>0</v>
      </c>
      <c r="O448" s="40">
        <v>0</v>
      </c>
      <c r="P448" s="40">
        <v>0</v>
      </c>
      <c r="Q448" s="40">
        <v>0</v>
      </c>
      <c r="R448" s="40">
        <v>0</v>
      </c>
      <c r="S448" s="61">
        <f t="shared" si="56"/>
        <v>115.30000000000011</v>
      </c>
      <c r="T448" s="40">
        <v>0</v>
      </c>
      <c r="U448" s="40">
        <v>0</v>
      </c>
      <c r="V448" s="40">
        <v>2</v>
      </c>
      <c r="W448" s="40">
        <v>0</v>
      </c>
      <c r="X448" s="67">
        <f t="shared" si="49"/>
        <v>178</v>
      </c>
      <c r="Z448" s="71"/>
      <c r="AA448" s="71"/>
      <c r="AB448" s="67" t="str">
        <f t="shared" si="48"/>
        <v/>
      </c>
      <c r="AD448" s="121"/>
      <c r="AE448" s="121"/>
    </row>
    <row r="449" spans="1:31" x14ac:dyDescent="0.25">
      <c r="A449" s="2" t="s">
        <v>856</v>
      </c>
      <c r="B449" s="65">
        <v>0.33333333333333331</v>
      </c>
      <c r="C449" s="3">
        <v>24</v>
      </c>
      <c r="D449" s="10" t="s">
        <v>806</v>
      </c>
      <c r="E449" s="40">
        <v>0</v>
      </c>
      <c r="F449" s="40">
        <v>2.5</v>
      </c>
      <c r="G449" s="40">
        <v>2</v>
      </c>
      <c r="H449" s="3">
        <f t="shared" si="51"/>
        <v>0</v>
      </c>
      <c r="I449" s="3">
        <f t="shared" si="52"/>
        <v>2.5</v>
      </c>
      <c r="J449" s="3">
        <f t="shared" si="53"/>
        <v>2</v>
      </c>
      <c r="K449" s="3"/>
      <c r="L449" s="60">
        <f t="shared" si="55"/>
        <v>183.36083333333337</v>
      </c>
      <c r="M449" s="40">
        <v>0</v>
      </c>
      <c r="N449" s="40">
        <v>0</v>
      </c>
      <c r="O449" s="40">
        <v>0</v>
      </c>
      <c r="P449" s="40">
        <v>0</v>
      </c>
      <c r="Q449" s="40">
        <v>0</v>
      </c>
      <c r="R449" s="40">
        <v>0</v>
      </c>
      <c r="S449" s="61">
        <f t="shared" si="56"/>
        <v>115.30000000000011</v>
      </c>
      <c r="T449" s="40">
        <v>0</v>
      </c>
      <c r="U449" s="40">
        <v>0</v>
      </c>
      <c r="V449" s="40">
        <v>5</v>
      </c>
      <c r="W449" s="40">
        <v>0</v>
      </c>
      <c r="X449" s="67">
        <f t="shared" si="49"/>
        <v>173</v>
      </c>
      <c r="Z449" s="71"/>
      <c r="AA449" s="71"/>
      <c r="AB449" s="67" t="str">
        <f t="shared" si="48"/>
        <v/>
      </c>
      <c r="AD449" s="121"/>
      <c r="AE449" s="121"/>
    </row>
    <row r="450" spans="1:31" x14ac:dyDescent="0.25">
      <c r="A450" s="2" t="s">
        <v>857</v>
      </c>
      <c r="B450" s="65">
        <v>0.33333333333333331</v>
      </c>
      <c r="C450" s="3">
        <v>24</v>
      </c>
      <c r="D450" s="10" t="s">
        <v>806</v>
      </c>
      <c r="E450" s="40">
        <v>0</v>
      </c>
      <c r="F450" s="40">
        <v>2.5</v>
      </c>
      <c r="G450" s="40">
        <v>2</v>
      </c>
      <c r="H450" s="3">
        <f t="shared" si="51"/>
        <v>0</v>
      </c>
      <c r="I450" s="3">
        <f t="shared" si="52"/>
        <v>2.5</v>
      </c>
      <c r="J450" s="3">
        <f t="shared" si="53"/>
        <v>2</v>
      </c>
      <c r="K450" s="3"/>
      <c r="L450" s="60">
        <f t="shared" si="55"/>
        <v>178.86083333333337</v>
      </c>
      <c r="M450" s="40">
        <v>0</v>
      </c>
      <c r="N450" s="40">
        <v>0</v>
      </c>
      <c r="O450" s="40">
        <v>0</v>
      </c>
      <c r="P450" s="40">
        <v>0</v>
      </c>
      <c r="Q450" s="40">
        <v>0</v>
      </c>
      <c r="R450" s="40">
        <v>0</v>
      </c>
      <c r="S450" s="61">
        <f t="shared" si="56"/>
        <v>115.30000000000011</v>
      </c>
      <c r="T450" s="40">
        <v>0</v>
      </c>
      <c r="U450" s="40">
        <v>0</v>
      </c>
      <c r="V450" s="40">
        <v>5</v>
      </c>
      <c r="W450" s="40">
        <v>0</v>
      </c>
      <c r="X450" s="67">
        <f t="shared" si="49"/>
        <v>168</v>
      </c>
      <c r="Z450" s="71"/>
      <c r="AA450" s="71"/>
      <c r="AB450" s="67" t="str">
        <f t="shared" si="48"/>
        <v/>
      </c>
      <c r="AD450" s="121"/>
      <c r="AE450" s="121"/>
    </row>
    <row r="451" spans="1:31" x14ac:dyDescent="0.25">
      <c r="A451" s="2" t="s">
        <v>857</v>
      </c>
      <c r="B451" s="7">
        <v>0.72916666666666663</v>
      </c>
      <c r="C451" s="3">
        <f t="shared" si="54"/>
        <v>9.5</v>
      </c>
      <c r="D451" s="10" t="s">
        <v>660</v>
      </c>
      <c r="E451" s="40">
        <v>0</v>
      </c>
      <c r="F451" s="40">
        <v>2.5</v>
      </c>
      <c r="G451" s="40">
        <v>6</v>
      </c>
      <c r="H451" s="3">
        <f t="shared" si="51"/>
        <v>0</v>
      </c>
      <c r="I451" s="3">
        <f t="shared" si="52"/>
        <v>0.98958333333333337</v>
      </c>
      <c r="J451" s="3">
        <f t="shared" si="53"/>
        <v>2.375</v>
      </c>
      <c r="K451" s="3"/>
      <c r="L451" s="60">
        <f t="shared" si="55"/>
        <v>175.49625000000003</v>
      </c>
      <c r="M451" s="40">
        <v>0</v>
      </c>
      <c r="N451" s="40">
        <v>0</v>
      </c>
      <c r="O451" s="40">
        <v>0</v>
      </c>
      <c r="P451" s="40">
        <v>0</v>
      </c>
      <c r="Q451" s="40">
        <v>0</v>
      </c>
      <c r="R451" s="40">
        <v>0</v>
      </c>
      <c r="S451" s="61">
        <f t="shared" si="56"/>
        <v>115.30000000000011</v>
      </c>
      <c r="T451" s="40">
        <v>0</v>
      </c>
      <c r="U451" s="40">
        <v>0</v>
      </c>
      <c r="V451" s="40">
        <v>2</v>
      </c>
      <c r="W451" s="40">
        <v>0</v>
      </c>
      <c r="X451" s="67">
        <f t="shared" si="49"/>
        <v>166</v>
      </c>
      <c r="Z451" s="71"/>
      <c r="AA451" s="71"/>
      <c r="AB451" s="67" t="str">
        <f t="shared" si="48"/>
        <v/>
      </c>
      <c r="AD451" s="121"/>
      <c r="AE451" s="121"/>
    </row>
    <row r="452" spans="1:31" x14ac:dyDescent="0.25">
      <c r="A452" s="2" t="s">
        <v>857</v>
      </c>
      <c r="B452" s="7">
        <v>0.8041666666666667</v>
      </c>
      <c r="C452" s="3">
        <f t="shared" si="54"/>
        <v>1.8000000000000016</v>
      </c>
      <c r="D452" s="10" t="s">
        <v>812</v>
      </c>
      <c r="E452" s="40">
        <v>5</v>
      </c>
      <c r="F452" s="40">
        <v>2.5</v>
      </c>
      <c r="G452" s="40">
        <v>6</v>
      </c>
      <c r="H452" s="3">
        <f t="shared" si="51"/>
        <v>0.37500000000000033</v>
      </c>
      <c r="I452" s="3">
        <f t="shared" si="52"/>
        <v>0.18750000000000017</v>
      </c>
      <c r="J452" s="3">
        <f t="shared" si="53"/>
        <v>0.4500000000000004</v>
      </c>
      <c r="K452" s="3"/>
      <c r="L452" s="60">
        <f t="shared" si="55"/>
        <v>174.48375000000004</v>
      </c>
      <c r="M452" s="40">
        <v>0</v>
      </c>
      <c r="N452" s="40">
        <v>0</v>
      </c>
      <c r="O452" s="40">
        <v>0</v>
      </c>
      <c r="P452" s="40">
        <v>0</v>
      </c>
      <c r="Q452" s="40">
        <v>0</v>
      </c>
      <c r="R452" s="40">
        <v>0</v>
      </c>
      <c r="S452" s="61">
        <f t="shared" si="56"/>
        <v>115.30000000000011</v>
      </c>
      <c r="T452" s="40">
        <v>0</v>
      </c>
      <c r="U452" s="40">
        <v>0</v>
      </c>
      <c r="V452" s="40">
        <v>0</v>
      </c>
      <c r="W452" s="40">
        <v>0</v>
      </c>
      <c r="X452" s="67">
        <f t="shared" si="49"/>
        <v>166</v>
      </c>
      <c r="Z452" s="71"/>
      <c r="AA452" s="71"/>
      <c r="AB452" s="67" t="str">
        <f t="shared" si="48"/>
        <v/>
      </c>
      <c r="AD452" s="121"/>
      <c r="AE452" s="121"/>
    </row>
    <row r="453" spans="1:31" x14ac:dyDescent="0.25">
      <c r="A453" s="2" t="s">
        <v>858</v>
      </c>
      <c r="B453" s="7">
        <v>9.9999999999999992E-2</v>
      </c>
      <c r="C453" s="3">
        <f t="shared" si="54"/>
        <v>7.0999999999999979</v>
      </c>
      <c r="D453" s="10" t="s">
        <v>799</v>
      </c>
      <c r="E453" s="40">
        <v>0</v>
      </c>
      <c r="F453" s="40">
        <v>2.5</v>
      </c>
      <c r="G453" s="40">
        <v>2</v>
      </c>
      <c r="H453" s="3">
        <f t="shared" si="51"/>
        <v>0</v>
      </c>
      <c r="I453" s="3">
        <f t="shared" si="52"/>
        <v>0.73958333333333315</v>
      </c>
      <c r="J453" s="3">
        <f t="shared" si="53"/>
        <v>0.59166666666666645</v>
      </c>
      <c r="K453" s="3"/>
      <c r="L453" s="60">
        <f t="shared" si="55"/>
        <v>173.15250000000003</v>
      </c>
      <c r="M453" s="40">
        <v>0</v>
      </c>
      <c r="N453" s="40">
        <v>0</v>
      </c>
      <c r="O453" s="40">
        <v>0</v>
      </c>
      <c r="P453" s="40">
        <v>0</v>
      </c>
      <c r="Q453" s="40">
        <v>1.6</v>
      </c>
      <c r="R453" s="40">
        <v>0</v>
      </c>
      <c r="S453" s="61">
        <f t="shared" si="56"/>
        <v>113.70000000000012</v>
      </c>
      <c r="T453" s="40">
        <v>0</v>
      </c>
      <c r="U453" s="40">
        <v>0</v>
      </c>
      <c r="V453" s="40">
        <v>2</v>
      </c>
      <c r="W453" s="40">
        <v>2</v>
      </c>
      <c r="X453" s="67">
        <f t="shared" si="49"/>
        <v>162</v>
      </c>
      <c r="Z453" s="71"/>
      <c r="AA453" s="71"/>
      <c r="AB453" s="67" t="str">
        <f t="shared" si="48"/>
        <v/>
      </c>
      <c r="AD453" s="121"/>
      <c r="AE453" s="121"/>
    </row>
    <row r="454" spans="1:31" x14ac:dyDescent="0.25">
      <c r="A454" s="2" t="s">
        <v>858</v>
      </c>
      <c r="B454" s="65">
        <v>0.33333333333333331</v>
      </c>
      <c r="C454" s="3">
        <f t="shared" si="54"/>
        <v>5.6</v>
      </c>
      <c r="D454" s="10" t="s">
        <v>820</v>
      </c>
      <c r="E454" s="40">
        <v>0</v>
      </c>
      <c r="F454" s="40">
        <v>2.5</v>
      </c>
      <c r="G454" s="40">
        <v>2</v>
      </c>
      <c r="H454" s="3">
        <f t="shared" si="51"/>
        <v>0</v>
      </c>
      <c r="I454" s="3">
        <f t="shared" si="52"/>
        <v>0.58333333333333337</v>
      </c>
      <c r="J454" s="3">
        <f t="shared" si="53"/>
        <v>0.46666666666666662</v>
      </c>
      <c r="K454" s="3"/>
      <c r="L454" s="60">
        <f t="shared" si="55"/>
        <v>172.10250000000002</v>
      </c>
      <c r="M454" s="40">
        <v>0</v>
      </c>
      <c r="N454" s="40">
        <v>0</v>
      </c>
      <c r="O454" s="40">
        <v>0</v>
      </c>
      <c r="P454" s="40">
        <v>0</v>
      </c>
      <c r="Q454" s="40">
        <v>1.4</v>
      </c>
      <c r="R454" s="40">
        <v>0</v>
      </c>
      <c r="S454" s="61">
        <f t="shared" si="56"/>
        <v>112.30000000000011</v>
      </c>
      <c r="T454" s="40">
        <v>0</v>
      </c>
      <c r="U454" s="40">
        <v>0</v>
      </c>
      <c r="V454" s="40">
        <v>1</v>
      </c>
      <c r="W454" s="40">
        <v>0</v>
      </c>
      <c r="X454" s="67">
        <f t="shared" si="49"/>
        <v>161</v>
      </c>
      <c r="Z454" s="71"/>
      <c r="AA454" s="71"/>
      <c r="AB454" s="67" t="str">
        <f t="shared" si="48"/>
        <v/>
      </c>
      <c r="AD454" s="121"/>
      <c r="AE454" s="121"/>
    </row>
    <row r="455" spans="1:31" x14ac:dyDescent="0.25">
      <c r="A455" s="2" t="s">
        <v>858</v>
      </c>
      <c r="B455" s="7">
        <v>0.52083333333333337</v>
      </c>
      <c r="C455" s="3">
        <f t="shared" si="54"/>
        <v>4.5000000000000018</v>
      </c>
      <c r="D455" s="10" t="s">
        <v>801</v>
      </c>
      <c r="E455" s="40">
        <v>0</v>
      </c>
      <c r="F455" s="40">
        <v>2.5</v>
      </c>
      <c r="G455" s="40">
        <v>2</v>
      </c>
      <c r="H455" s="3">
        <f t="shared" si="51"/>
        <v>0</v>
      </c>
      <c r="I455" s="3">
        <f t="shared" si="52"/>
        <v>0.46875000000000022</v>
      </c>
      <c r="J455" s="3">
        <f t="shared" si="53"/>
        <v>0.37500000000000011</v>
      </c>
      <c r="K455" s="3"/>
      <c r="L455" s="60">
        <f t="shared" si="55"/>
        <v>171.25875000000002</v>
      </c>
      <c r="M455" s="40">
        <v>0</v>
      </c>
      <c r="N455" s="40">
        <v>0</v>
      </c>
      <c r="O455" s="40">
        <v>0</v>
      </c>
      <c r="P455" s="40">
        <v>0</v>
      </c>
      <c r="Q455" s="40">
        <v>1.1000000000000001</v>
      </c>
      <c r="R455" s="40">
        <v>0</v>
      </c>
      <c r="S455" s="61">
        <f t="shared" si="56"/>
        <v>111.20000000000012</v>
      </c>
      <c r="T455" s="40">
        <v>0</v>
      </c>
      <c r="U455" s="40">
        <v>0</v>
      </c>
      <c r="V455" s="40">
        <v>2</v>
      </c>
      <c r="W455" s="40">
        <v>0</v>
      </c>
      <c r="X455" s="67">
        <f t="shared" si="49"/>
        <v>159</v>
      </c>
      <c r="Z455" s="71"/>
      <c r="AA455" s="71"/>
      <c r="AB455" s="67" t="str">
        <f t="shared" si="48"/>
        <v/>
      </c>
      <c r="AD455" s="121"/>
      <c r="AE455" s="121"/>
    </row>
    <row r="456" spans="1:31" x14ac:dyDescent="0.25">
      <c r="A456" s="2" t="s">
        <v>858</v>
      </c>
      <c r="B456" s="7">
        <v>0.66666666666666663</v>
      </c>
      <c r="C456" s="3">
        <f t="shared" si="54"/>
        <v>3.4999999999999982</v>
      </c>
      <c r="D456" s="10" t="s">
        <v>660</v>
      </c>
      <c r="E456" s="40">
        <v>0</v>
      </c>
      <c r="F456" s="40">
        <v>2.5</v>
      </c>
      <c r="G456" s="40">
        <v>2</v>
      </c>
      <c r="H456" s="3">
        <f t="shared" si="51"/>
        <v>0</v>
      </c>
      <c r="I456" s="3">
        <f t="shared" si="52"/>
        <v>0.36458333333333315</v>
      </c>
      <c r="J456" s="3">
        <f t="shared" si="53"/>
        <v>0.29166666666666652</v>
      </c>
      <c r="K456" s="3"/>
      <c r="L456" s="60">
        <f t="shared" si="55"/>
        <v>170.60250000000002</v>
      </c>
      <c r="M456" s="40">
        <v>0</v>
      </c>
      <c r="N456" s="40">
        <v>0</v>
      </c>
      <c r="O456" s="40">
        <v>0</v>
      </c>
      <c r="P456" s="40">
        <v>0</v>
      </c>
      <c r="Q456" s="40">
        <v>0</v>
      </c>
      <c r="R456" s="40">
        <v>0</v>
      </c>
      <c r="S456" s="61">
        <f t="shared" si="56"/>
        <v>111.20000000000012</v>
      </c>
      <c r="T456" s="40">
        <v>0</v>
      </c>
      <c r="U456" s="40">
        <v>0</v>
      </c>
      <c r="V456" s="40">
        <v>0</v>
      </c>
      <c r="W456" s="40">
        <v>0</v>
      </c>
      <c r="X456" s="67">
        <f t="shared" si="49"/>
        <v>159</v>
      </c>
      <c r="Z456" s="71"/>
      <c r="AA456" s="71"/>
      <c r="AB456" s="67" t="str">
        <f t="shared" si="48"/>
        <v/>
      </c>
      <c r="AD456" s="121"/>
      <c r="AE456" s="121"/>
    </row>
    <row r="457" spans="1:31" x14ac:dyDescent="0.25">
      <c r="A457" s="2" t="s">
        <v>858</v>
      </c>
      <c r="B457" s="7">
        <v>0.6875</v>
      </c>
      <c r="C457" s="3">
        <f t="shared" si="54"/>
        <v>0.50000000000000089</v>
      </c>
      <c r="D457" s="10" t="s">
        <v>821</v>
      </c>
      <c r="E457" s="40">
        <v>10</v>
      </c>
      <c r="F457" s="40">
        <v>2.5</v>
      </c>
      <c r="G457" s="40">
        <v>2</v>
      </c>
      <c r="H457" s="3">
        <f t="shared" si="51"/>
        <v>0.2083333333333337</v>
      </c>
      <c r="I457" s="3">
        <f t="shared" si="52"/>
        <v>5.2083333333333426E-2</v>
      </c>
      <c r="J457" s="3">
        <f t="shared" si="53"/>
        <v>4.1666666666666741E-2</v>
      </c>
      <c r="K457" s="3"/>
      <c r="L457" s="60">
        <f t="shared" si="55"/>
        <v>170.30041666666668</v>
      </c>
      <c r="M457" s="40">
        <v>0</v>
      </c>
      <c r="N457" s="40">
        <v>0</v>
      </c>
      <c r="O457" s="40">
        <v>0</v>
      </c>
      <c r="P457" s="40">
        <v>0</v>
      </c>
      <c r="Q457" s="40">
        <v>0</v>
      </c>
      <c r="R457" s="40">
        <v>0</v>
      </c>
      <c r="S457" s="61">
        <f t="shared" si="56"/>
        <v>111.20000000000012</v>
      </c>
      <c r="T457" s="40">
        <v>0</v>
      </c>
      <c r="U457" s="40">
        <v>0</v>
      </c>
      <c r="V457" s="40">
        <v>0</v>
      </c>
      <c r="W457" s="40">
        <v>0</v>
      </c>
      <c r="X457" s="67">
        <f t="shared" si="49"/>
        <v>159</v>
      </c>
      <c r="Z457" s="71"/>
      <c r="AA457" s="71"/>
      <c r="AB457" s="67" t="str">
        <f t="shared" ref="AB457:AB520" si="57">IF(Z457="","",Z457+AA457)</f>
        <v/>
      </c>
      <c r="AD457" s="121"/>
      <c r="AE457" s="121"/>
    </row>
    <row r="458" spans="1:31" x14ac:dyDescent="0.25">
      <c r="A458" s="2" t="s">
        <v>859</v>
      </c>
      <c r="B458" s="65">
        <v>0.33333333333333331</v>
      </c>
      <c r="C458" s="3">
        <f t="shared" si="54"/>
        <v>15.5</v>
      </c>
      <c r="D458" s="10" t="s">
        <v>835</v>
      </c>
      <c r="E458" s="40">
        <v>22</v>
      </c>
      <c r="F458" s="40">
        <v>2.5</v>
      </c>
      <c r="G458" s="40">
        <v>0</v>
      </c>
      <c r="H458" s="3">
        <f t="shared" si="51"/>
        <v>14.208333333333332</v>
      </c>
      <c r="I458" s="3">
        <f t="shared" si="52"/>
        <v>1.6145833333333335</v>
      </c>
      <c r="J458" s="3">
        <f t="shared" si="53"/>
        <v>0</v>
      </c>
      <c r="K458" s="3"/>
      <c r="L458" s="60">
        <f t="shared" si="55"/>
        <v>154.47750000000002</v>
      </c>
      <c r="M458" s="40">
        <v>0</v>
      </c>
      <c r="N458" s="40">
        <v>0</v>
      </c>
      <c r="O458" s="40">
        <v>0</v>
      </c>
      <c r="P458" s="40">
        <v>0</v>
      </c>
      <c r="Q458" s="40">
        <v>0</v>
      </c>
      <c r="R458" s="40">
        <v>0</v>
      </c>
      <c r="S458" s="61">
        <f t="shared" si="56"/>
        <v>111.20000000000012</v>
      </c>
      <c r="T458" s="40">
        <v>3</v>
      </c>
      <c r="U458" s="40">
        <v>0</v>
      </c>
      <c r="V458" s="40">
        <v>3</v>
      </c>
      <c r="W458" s="40">
        <v>2</v>
      </c>
      <c r="X458" s="67">
        <f t="shared" si="49"/>
        <v>157</v>
      </c>
      <c r="Z458" s="71"/>
      <c r="AA458" s="71"/>
      <c r="AB458" s="67" t="str">
        <f t="shared" si="57"/>
        <v/>
      </c>
      <c r="AD458" s="121"/>
      <c r="AE458" s="121"/>
    </row>
    <row r="459" spans="1:31" x14ac:dyDescent="0.25">
      <c r="A459" s="2" t="s">
        <v>859</v>
      </c>
      <c r="B459" s="7">
        <v>0.39166666666666666</v>
      </c>
      <c r="C459" s="3">
        <f t="shared" si="54"/>
        <v>1.4000000000000004</v>
      </c>
      <c r="D459" s="10" t="s">
        <v>796</v>
      </c>
      <c r="E459" s="40">
        <v>22</v>
      </c>
      <c r="F459" s="40">
        <v>2.5</v>
      </c>
      <c r="G459" s="40">
        <v>0</v>
      </c>
      <c r="H459" s="3">
        <f t="shared" si="51"/>
        <v>1.2833333333333337</v>
      </c>
      <c r="I459" s="3">
        <f t="shared" si="52"/>
        <v>0.14583333333333337</v>
      </c>
      <c r="J459" s="3">
        <f t="shared" si="53"/>
        <v>0</v>
      </c>
      <c r="K459" s="3"/>
      <c r="L459" s="60">
        <f t="shared" si="55"/>
        <v>153.04833333333335</v>
      </c>
      <c r="M459" s="40">
        <v>0</v>
      </c>
      <c r="N459" s="40">
        <v>0</v>
      </c>
      <c r="O459" s="40">
        <v>0</v>
      </c>
      <c r="P459" s="40">
        <v>0</v>
      </c>
      <c r="Q459" s="40">
        <v>0</v>
      </c>
      <c r="R459" s="40">
        <v>0</v>
      </c>
      <c r="S459" s="61">
        <f t="shared" si="56"/>
        <v>111.20000000000012</v>
      </c>
      <c r="T459" s="40">
        <v>0</v>
      </c>
      <c r="U459" s="40">
        <v>0</v>
      </c>
      <c r="V459" s="40">
        <v>0</v>
      </c>
      <c r="W459" s="40">
        <v>0</v>
      </c>
      <c r="X459" s="67">
        <f t="shared" si="49"/>
        <v>157</v>
      </c>
      <c r="Z459" s="71"/>
      <c r="AA459" s="71"/>
      <c r="AB459" s="67" t="str">
        <f t="shared" si="57"/>
        <v/>
      </c>
      <c r="AD459" s="121">
        <v>12</v>
      </c>
      <c r="AE459" s="121" t="s">
        <v>1301</v>
      </c>
    </row>
    <row r="460" spans="1:31" x14ac:dyDescent="0.25">
      <c r="A460" s="2" t="s">
        <v>859</v>
      </c>
      <c r="B460" s="7">
        <v>0.41250000000000003</v>
      </c>
      <c r="C460" s="3">
        <f t="shared" si="54"/>
        <v>0.50000000000000089</v>
      </c>
      <c r="D460" s="10" t="s">
        <v>812</v>
      </c>
      <c r="E460" s="40">
        <v>5</v>
      </c>
      <c r="F460" s="40">
        <v>2.5</v>
      </c>
      <c r="G460" s="40">
        <v>2</v>
      </c>
      <c r="H460" s="3">
        <f t="shared" si="51"/>
        <v>0.10416666666666685</v>
      </c>
      <c r="I460" s="3">
        <f t="shared" si="52"/>
        <v>5.2083333333333426E-2</v>
      </c>
      <c r="J460" s="3">
        <f t="shared" si="53"/>
        <v>4.1666666666666741E-2</v>
      </c>
      <c r="K460" s="3"/>
      <c r="L460" s="60">
        <f t="shared" si="55"/>
        <v>152.85041666666669</v>
      </c>
      <c r="M460" s="40">
        <v>0</v>
      </c>
      <c r="N460" s="40">
        <v>0</v>
      </c>
      <c r="O460" s="40">
        <v>0</v>
      </c>
      <c r="P460" s="40">
        <v>0</v>
      </c>
      <c r="Q460" s="40">
        <v>0</v>
      </c>
      <c r="R460" s="40">
        <v>0</v>
      </c>
      <c r="S460" s="61">
        <f t="shared" si="56"/>
        <v>111.20000000000012</v>
      </c>
      <c r="T460" s="40">
        <v>0</v>
      </c>
      <c r="U460" s="40">
        <v>0</v>
      </c>
      <c r="V460" s="40">
        <v>0</v>
      </c>
      <c r="W460" s="40">
        <v>0</v>
      </c>
      <c r="X460" s="67">
        <f t="shared" ref="X460:X525" si="58">IF(V460="","",((X459+T460+U460)-(V460+W460)))</f>
        <v>157</v>
      </c>
      <c r="Z460" s="71"/>
      <c r="AA460" s="71"/>
      <c r="AB460" s="67" t="str">
        <f t="shared" si="57"/>
        <v/>
      </c>
      <c r="AD460" s="121"/>
      <c r="AE460" s="121"/>
    </row>
    <row r="461" spans="1:31" x14ac:dyDescent="0.25">
      <c r="A461" s="2" t="s">
        <v>859</v>
      </c>
      <c r="B461" s="7">
        <v>0.4916666666666667</v>
      </c>
      <c r="C461" s="3">
        <f t="shared" si="54"/>
        <v>1.9</v>
      </c>
      <c r="D461" s="10" t="s">
        <v>660</v>
      </c>
      <c r="E461" s="40">
        <v>0</v>
      </c>
      <c r="F461" s="40">
        <v>2.5</v>
      </c>
      <c r="G461" s="40">
        <v>2</v>
      </c>
      <c r="H461" s="3">
        <f t="shared" si="51"/>
        <v>0</v>
      </c>
      <c r="I461" s="3">
        <f t="shared" si="52"/>
        <v>0.19791666666666666</v>
      </c>
      <c r="J461" s="3">
        <f t="shared" si="53"/>
        <v>0.15833333333333333</v>
      </c>
      <c r="K461" s="3"/>
      <c r="L461" s="60">
        <f t="shared" si="55"/>
        <v>152.4941666666667</v>
      </c>
      <c r="M461" s="40">
        <v>0</v>
      </c>
      <c r="N461" s="40">
        <v>0</v>
      </c>
      <c r="O461" s="40">
        <v>0</v>
      </c>
      <c r="P461" s="40">
        <v>0</v>
      </c>
      <c r="Q461" s="40">
        <v>0</v>
      </c>
      <c r="R461" s="40">
        <v>0</v>
      </c>
      <c r="S461" s="61">
        <f t="shared" si="56"/>
        <v>111.20000000000012</v>
      </c>
      <c r="T461" s="40">
        <v>0</v>
      </c>
      <c r="U461" s="40">
        <v>0</v>
      </c>
      <c r="V461" s="40">
        <v>2</v>
      </c>
      <c r="W461" s="40">
        <v>0</v>
      </c>
      <c r="X461" s="67">
        <f t="shared" si="58"/>
        <v>155</v>
      </c>
      <c r="Z461" s="71"/>
      <c r="AA461" s="71"/>
      <c r="AB461" s="67" t="str">
        <f t="shared" si="57"/>
        <v/>
      </c>
      <c r="AD461" s="121"/>
      <c r="AE461" s="121"/>
    </row>
    <row r="462" spans="1:31" x14ac:dyDescent="0.25">
      <c r="A462" s="2" t="s">
        <v>859</v>
      </c>
      <c r="B462" s="7">
        <v>0.5</v>
      </c>
      <c r="C462" s="3">
        <f t="shared" si="54"/>
        <v>0.19999999999999929</v>
      </c>
      <c r="D462" s="10" t="s">
        <v>790</v>
      </c>
      <c r="E462" s="40">
        <v>5</v>
      </c>
      <c r="F462" s="40">
        <v>2.5</v>
      </c>
      <c r="G462" s="40">
        <v>2</v>
      </c>
      <c r="H462" s="3">
        <f t="shared" si="51"/>
        <v>4.1666666666666519E-2</v>
      </c>
      <c r="I462" s="3">
        <f t="shared" si="52"/>
        <v>2.0833333333333259E-2</v>
      </c>
      <c r="J462" s="3">
        <f t="shared" si="53"/>
        <v>1.6666666666666607E-2</v>
      </c>
      <c r="K462" s="3"/>
      <c r="L462" s="60">
        <f t="shared" si="55"/>
        <v>152.41500000000002</v>
      </c>
      <c r="M462" s="40">
        <v>0</v>
      </c>
      <c r="N462" s="40">
        <v>0</v>
      </c>
      <c r="O462" s="40">
        <v>0</v>
      </c>
      <c r="P462" s="40">
        <v>0</v>
      </c>
      <c r="Q462" s="40">
        <v>0</v>
      </c>
      <c r="R462" s="40">
        <v>0</v>
      </c>
      <c r="S462" s="61">
        <f t="shared" si="56"/>
        <v>111.20000000000012</v>
      </c>
      <c r="T462" s="40">
        <v>0</v>
      </c>
      <c r="U462" s="40">
        <v>0</v>
      </c>
      <c r="V462" s="40">
        <v>0</v>
      </c>
      <c r="W462" s="40">
        <v>0</v>
      </c>
      <c r="X462" s="67">
        <f t="shared" si="58"/>
        <v>155</v>
      </c>
      <c r="Z462" s="71"/>
      <c r="AA462" s="71"/>
      <c r="AB462" s="67" t="str">
        <f t="shared" si="57"/>
        <v/>
      </c>
      <c r="AD462" s="121"/>
      <c r="AE462" s="121"/>
    </row>
    <row r="463" spans="1:31" x14ac:dyDescent="0.25">
      <c r="A463" s="7" t="s">
        <v>859</v>
      </c>
      <c r="B463" s="7">
        <v>0.52083333333333337</v>
      </c>
      <c r="C463" s="3">
        <f t="shared" si="54"/>
        <v>0.50000000000000089</v>
      </c>
      <c r="D463" s="10" t="s">
        <v>860</v>
      </c>
      <c r="E463" s="40">
        <v>20</v>
      </c>
      <c r="F463" s="40">
        <v>2.5</v>
      </c>
      <c r="G463" s="40">
        <v>2</v>
      </c>
      <c r="H463" s="3">
        <f t="shared" ref="H463:H501" si="59">+IF(E463="","",(E463/24)*C463)</f>
        <v>0.41666666666666741</v>
      </c>
      <c r="I463" s="3">
        <f t="shared" ref="I463:I501" si="60">+IF(F463="","",(F463/24)*C463)</f>
        <v>5.2083333333333426E-2</v>
      </c>
      <c r="J463" s="3">
        <f t="shared" ref="J463:J501" si="61">+IF(G463="","",(G463/24)*C463)</f>
        <v>4.1666666666666741E-2</v>
      </c>
      <c r="K463" s="3"/>
      <c r="L463" s="60">
        <f t="shared" si="55"/>
        <v>151.90458333333336</v>
      </c>
      <c r="M463" s="40">
        <v>0</v>
      </c>
      <c r="N463" s="40">
        <v>0</v>
      </c>
      <c r="O463" s="40">
        <v>0</v>
      </c>
      <c r="P463" s="40">
        <v>0</v>
      </c>
      <c r="Q463" s="40">
        <v>0</v>
      </c>
      <c r="R463" s="40">
        <v>0</v>
      </c>
      <c r="S463" s="61">
        <f t="shared" si="56"/>
        <v>111.20000000000012</v>
      </c>
      <c r="T463" s="40">
        <v>0</v>
      </c>
      <c r="U463" s="40">
        <v>0</v>
      </c>
      <c r="V463" s="40">
        <v>0</v>
      </c>
      <c r="W463" s="40">
        <v>0</v>
      </c>
      <c r="X463" s="67">
        <f t="shared" si="58"/>
        <v>155</v>
      </c>
      <c r="Z463" s="71"/>
      <c r="AA463" s="71"/>
      <c r="AB463" s="67" t="str">
        <f t="shared" si="57"/>
        <v/>
      </c>
      <c r="AD463" s="121"/>
      <c r="AE463" s="121"/>
    </row>
    <row r="464" spans="1:31" x14ac:dyDescent="0.25">
      <c r="A464" s="7" t="s">
        <v>859</v>
      </c>
      <c r="B464" s="7">
        <v>0.6</v>
      </c>
      <c r="C464" s="3">
        <f t="shared" si="54"/>
        <v>1.8999999999999986</v>
      </c>
      <c r="D464" s="10" t="s">
        <v>812</v>
      </c>
      <c r="E464" s="40">
        <v>5</v>
      </c>
      <c r="F464" s="40">
        <v>2.5</v>
      </c>
      <c r="G464" s="40">
        <v>2</v>
      </c>
      <c r="H464" s="3">
        <f t="shared" si="59"/>
        <v>0.39583333333333304</v>
      </c>
      <c r="I464" s="3">
        <f t="shared" si="60"/>
        <v>0.19791666666666652</v>
      </c>
      <c r="J464" s="3">
        <f t="shared" si="61"/>
        <v>0.15833333333333321</v>
      </c>
      <c r="K464" s="3"/>
      <c r="L464" s="60">
        <f t="shared" si="55"/>
        <v>151.15250000000003</v>
      </c>
      <c r="M464" s="40">
        <v>0</v>
      </c>
      <c r="N464" s="40">
        <v>0</v>
      </c>
      <c r="O464" s="40">
        <v>0</v>
      </c>
      <c r="P464" s="40">
        <v>0</v>
      </c>
      <c r="Q464" s="40">
        <v>0</v>
      </c>
      <c r="R464" s="40">
        <v>0</v>
      </c>
      <c r="S464" s="61">
        <f t="shared" si="56"/>
        <v>111.20000000000012</v>
      </c>
      <c r="T464" s="40">
        <v>0</v>
      </c>
      <c r="U464" s="40">
        <v>0</v>
      </c>
      <c r="V464" s="40">
        <v>0</v>
      </c>
      <c r="W464" s="40">
        <v>0</v>
      </c>
      <c r="X464" s="67">
        <f t="shared" si="58"/>
        <v>155</v>
      </c>
      <c r="Z464" s="71"/>
      <c r="AA464" s="71"/>
      <c r="AB464" s="67" t="str">
        <f t="shared" si="57"/>
        <v/>
      </c>
      <c r="AD464" s="121"/>
      <c r="AE464" s="121"/>
    </row>
    <row r="465" spans="1:31" x14ac:dyDescent="0.25">
      <c r="A465" s="2" t="s">
        <v>859</v>
      </c>
      <c r="B465" s="7">
        <v>0.80833333333333324</v>
      </c>
      <c r="C465" s="3">
        <f t="shared" ref="C465:C529" si="62">+IF((B465-B464)&lt;0,((B465-B464)*24)+24,(B465-B464)*24)</f>
        <v>4.9999999999999982</v>
      </c>
      <c r="D465" s="10" t="s">
        <v>826</v>
      </c>
      <c r="E465" s="40">
        <v>0</v>
      </c>
      <c r="F465" s="40">
        <v>2.5</v>
      </c>
      <c r="G465" s="40">
        <v>2</v>
      </c>
      <c r="H465" s="3">
        <f t="shared" si="59"/>
        <v>0</v>
      </c>
      <c r="I465" s="3">
        <f t="shared" si="60"/>
        <v>0.52083333333333315</v>
      </c>
      <c r="J465" s="3">
        <f t="shared" si="61"/>
        <v>0.41666666666666652</v>
      </c>
      <c r="K465" s="3"/>
      <c r="L465" s="60">
        <f t="shared" si="55"/>
        <v>150.21500000000003</v>
      </c>
      <c r="M465" s="40">
        <v>0</v>
      </c>
      <c r="N465" s="40">
        <v>0</v>
      </c>
      <c r="O465" s="40">
        <v>0</v>
      </c>
      <c r="P465" s="40">
        <v>0</v>
      </c>
      <c r="Q465" s="40">
        <v>0</v>
      </c>
      <c r="R465" s="40">
        <v>0</v>
      </c>
      <c r="S465" s="61">
        <f t="shared" si="56"/>
        <v>111.20000000000012</v>
      </c>
      <c r="T465" s="40">
        <v>0</v>
      </c>
      <c r="U465" s="40">
        <v>0</v>
      </c>
      <c r="V465" s="40">
        <v>0</v>
      </c>
      <c r="W465" s="40">
        <v>0</v>
      </c>
      <c r="X465" s="67">
        <f t="shared" si="58"/>
        <v>155</v>
      </c>
      <c r="Z465" s="71"/>
      <c r="AA465" s="71"/>
      <c r="AB465" s="67" t="str">
        <f t="shared" si="57"/>
        <v/>
      </c>
      <c r="AD465" s="121"/>
      <c r="AE465" s="121"/>
    </row>
    <row r="466" spans="1:31" x14ac:dyDescent="0.25">
      <c r="A466" s="2" t="s">
        <v>248</v>
      </c>
      <c r="B466" s="7">
        <v>0.12916666666666668</v>
      </c>
      <c r="C466" s="3">
        <f t="shared" si="62"/>
        <v>7.7000000000000028</v>
      </c>
      <c r="D466" s="10" t="s">
        <v>861</v>
      </c>
      <c r="E466" s="40">
        <v>0</v>
      </c>
      <c r="F466" s="40">
        <v>2.5</v>
      </c>
      <c r="G466" s="40">
        <v>2</v>
      </c>
      <c r="H466" s="3">
        <f t="shared" si="59"/>
        <v>0</v>
      </c>
      <c r="I466" s="3">
        <f t="shared" si="60"/>
        <v>0.8020833333333337</v>
      </c>
      <c r="J466" s="3">
        <f t="shared" si="61"/>
        <v>0.64166666666666683</v>
      </c>
      <c r="K466" s="3"/>
      <c r="L466" s="60">
        <f t="shared" si="55"/>
        <v>148.77125000000004</v>
      </c>
      <c r="M466" s="40">
        <v>0</v>
      </c>
      <c r="N466" s="40">
        <v>0</v>
      </c>
      <c r="O466" s="40">
        <v>0</v>
      </c>
      <c r="P466" s="40">
        <v>0</v>
      </c>
      <c r="Q466" s="40">
        <v>0</v>
      </c>
      <c r="R466" s="40">
        <v>0</v>
      </c>
      <c r="S466" s="61">
        <f t="shared" si="56"/>
        <v>111.20000000000012</v>
      </c>
      <c r="T466" s="40">
        <v>0</v>
      </c>
      <c r="U466" s="40">
        <v>0</v>
      </c>
      <c r="V466" s="40">
        <v>3</v>
      </c>
      <c r="W466" s="40">
        <v>1</v>
      </c>
      <c r="X466" s="67">
        <f t="shared" si="58"/>
        <v>151</v>
      </c>
      <c r="Z466" s="71"/>
      <c r="AA466" s="71"/>
      <c r="AB466" s="67" t="str">
        <f t="shared" si="57"/>
        <v/>
      </c>
      <c r="AD466" s="121"/>
      <c r="AE466" s="121"/>
    </row>
    <row r="467" spans="1:31" x14ac:dyDescent="0.25">
      <c r="A467" s="2" t="s">
        <v>248</v>
      </c>
      <c r="B467" s="7">
        <v>0.27083333333333331</v>
      </c>
      <c r="C467" s="3">
        <f t="shared" si="62"/>
        <v>3.3999999999999995</v>
      </c>
      <c r="D467" s="10" t="s">
        <v>660</v>
      </c>
      <c r="E467" s="40">
        <v>0</v>
      </c>
      <c r="F467" s="40">
        <v>2.5</v>
      </c>
      <c r="G467" s="40">
        <v>2</v>
      </c>
      <c r="H467" s="3">
        <f t="shared" si="59"/>
        <v>0</v>
      </c>
      <c r="I467" s="3">
        <f t="shared" si="60"/>
        <v>0.35416666666666663</v>
      </c>
      <c r="J467" s="3">
        <f t="shared" si="61"/>
        <v>0.28333333333333327</v>
      </c>
      <c r="K467" s="3"/>
      <c r="L467" s="60">
        <f t="shared" si="55"/>
        <v>148.13375000000005</v>
      </c>
      <c r="M467" s="40">
        <v>0</v>
      </c>
      <c r="N467" s="40">
        <v>0</v>
      </c>
      <c r="O467" s="40">
        <v>0</v>
      </c>
      <c r="P467" s="40">
        <v>0</v>
      </c>
      <c r="Q467" s="40">
        <v>0</v>
      </c>
      <c r="R467" s="40">
        <v>0</v>
      </c>
      <c r="S467" s="61">
        <f t="shared" si="56"/>
        <v>111.20000000000012</v>
      </c>
      <c r="T467" s="40">
        <v>0</v>
      </c>
      <c r="U467" s="40">
        <v>0</v>
      </c>
      <c r="V467" s="40">
        <v>0</v>
      </c>
      <c r="W467" s="40">
        <v>0</v>
      </c>
      <c r="X467" s="67">
        <f t="shared" si="58"/>
        <v>151</v>
      </c>
      <c r="Z467" s="71"/>
      <c r="AA467" s="71"/>
      <c r="AB467" s="67" t="str">
        <f t="shared" si="57"/>
        <v/>
      </c>
      <c r="AD467" s="121"/>
      <c r="AE467" s="121"/>
    </row>
    <row r="468" spans="1:31" x14ac:dyDescent="0.25">
      <c r="A468" s="2" t="s">
        <v>248</v>
      </c>
      <c r="B468" s="7">
        <v>0.29166666666666669</v>
      </c>
      <c r="C468" s="3">
        <f t="shared" si="62"/>
        <v>0.50000000000000089</v>
      </c>
      <c r="D468" s="10" t="s">
        <v>837</v>
      </c>
      <c r="E468" s="40">
        <v>5</v>
      </c>
      <c r="F468" s="40">
        <v>2.5</v>
      </c>
      <c r="G468" s="40">
        <v>2</v>
      </c>
      <c r="H468" s="3">
        <f t="shared" si="59"/>
        <v>0.10416666666666685</v>
      </c>
      <c r="I468" s="3">
        <f t="shared" si="60"/>
        <v>5.2083333333333426E-2</v>
      </c>
      <c r="J468" s="3">
        <f t="shared" si="61"/>
        <v>4.1666666666666741E-2</v>
      </c>
      <c r="K468" s="3"/>
      <c r="L468" s="60">
        <f t="shared" si="55"/>
        <v>147.93583333333339</v>
      </c>
      <c r="M468" s="40">
        <v>0</v>
      </c>
      <c r="N468" s="40">
        <v>0</v>
      </c>
      <c r="O468" s="40">
        <v>0</v>
      </c>
      <c r="P468" s="40">
        <v>0</v>
      </c>
      <c r="Q468" s="40">
        <v>0</v>
      </c>
      <c r="R468" s="40">
        <v>0</v>
      </c>
      <c r="S468" s="61">
        <f t="shared" si="56"/>
        <v>111.20000000000012</v>
      </c>
      <c r="T468" s="40">
        <v>0</v>
      </c>
      <c r="U468" s="40">
        <v>0</v>
      </c>
      <c r="V468" s="40">
        <v>0</v>
      </c>
      <c r="W468" s="40">
        <v>0</v>
      </c>
      <c r="X468" s="67">
        <f t="shared" si="58"/>
        <v>151</v>
      </c>
      <c r="Z468" s="71"/>
      <c r="AA468" s="71"/>
      <c r="AB468" s="67" t="str">
        <f t="shared" si="57"/>
        <v/>
      </c>
      <c r="AD468" s="121"/>
      <c r="AE468" s="121"/>
    </row>
    <row r="469" spans="1:31" x14ac:dyDescent="0.25">
      <c r="A469" s="2" t="s">
        <v>248</v>
      </c>
      <c r="B469" s="7">
        <v>0.3125</v>
      </c>
      <c r="C469" s="3">
        <f t="shared" si="62"/>
        <v>0.49999999999999956</v>
      </c>
      <c r="D469" s="10" t="s">
        <v>791</v>
      </c>
      <c r="E469" s="40">
        <v>20</v>
      </c>
      <c r="F469" s="40">
        <v>2.5</v>
      </c>
      <c r="G469" s="40">
        <v>0</v>
      </c>
      <c r="H469" s="3">
        <f t="shared" si="59"/>
        <v>0.4166666666666663</v>
      </c>
      <c r="I469" s="3">
        <f t="shared" si="60"/>
        <v>5.2083333333333287E-2</v>
      </c>
      <c r="J469" s="3">
        <f t="shared" si="61"/>
        <v>0</v>
      </c>
      <c r="K469" s="3"/>
      <c r="L469" s="60">
        <f t="shared" si="55"/>
        <v>147.46708333333339</v>
      </c>
      <c r="M469" s="40">
        <v>0</v>
      </c>
      <c r="N469" s="40">
        <v>0</v>
      </c>
      <c r="O469" s="40">
        <v>0</v>
      </c>
      <c r="P469" s="40">
        <v>0</v>
      </c>
      <c r="Q469" s="40">
        <v>0</v>
      </c>
      <c r="R469" s="40">
        <v>0</v>
      </c>
      <c r="S469" s="61">
        <f t="shared" si="56"/>
        <v>111.20000000000012</v>
      </c>
      <c r="T469" s="40">
        <v>0</v>
      </c>
      <c r="U469" s="40">
        <v>0</v>
      </c>
      <c r="V469" s="40">
        <v>0</v>
      </c>
      <c r="W469" s="40">
        <v>0</v>
      </c>
      <c r="X469" s="67">
        <f t="shared" si="58"/>
        <v>151</v>
      </c>
      <c r="Z469" s="71"/>
      <c r="AA469" s="71"/>
      <c r="AB469" s="67" t="str">
        <f t="shared" si="57"/>
        <v/>
      </c>
      <c r="AD469" s="121"/>
      <c r="AE469" s="121"/>
    </row>
    <row r="470" spans="1:31" x14ac:dyDescent="0.25">
      <c r="A470" s="2" t="s">
        <v>248</v>
      </c>
      <c r="B470" s="7">
        <v>0.32083333333333336</v>
      </c>
      <c r="C470" s="3">
        <f t="shared" si="62"/>
        <v>0.20000000000000062</v>
      </c>
      <c r="D470" s="10" t="s">
        <v>812</v>
      </c>
      <c r="E470" s="40">
        <v>5</v>
      </c>
      <c r="F470" s="40">
        <v>2.5</v>
      </c>
      <c r="G470" s="40">
        <v>2</v>
      </c>
      <c r="H470" s="3">
        <f t="shared" si="59"/>
        <v>4.1666666666666796E-2</v>
      </c>
      <c r="I470" s="3">
        <f t="shared" si="60"/>
        <v>2.0833333333333398E-2</v>
      </c>
      <c r="J470" s="3">
        <f t="shared" si="61"/>
        <v>1.6666666666666718E-2</v>
      </c>
      <c r="K470" s="3"/>
      <c r="L470" s="60">
        <f t="shared" si="55"/>
        <v>147.38791666666671</v>
      </c>
      <c r="M470" s="40">
        <v>0</v>
      </c>
      <c r="N470" s="40">
        <v>0</v>
      </c>
      <c r="O470" s="40">
        <v>0</v>
      </c>
      <c r="P470" s="40">
        <v>0</v>
      </c>
      <c r="Q470" s="40">
        <v>0</v>
      </c>
      <c r="R470" s="40">
        <v>0</v>
      </c>
      <c r="S470" s="61">
        <f t="shared" si="56"/>
        <v>111.20000000000012</v>
      </c>
      <c r="T470" s="40">
        <v>0</v>
      </c>
      <c r="U470" s="40">
        <v>0</v>
      </c>
      <c r="V470" s="40">
        <v>0</v>
      </c>
      <c r="W470" s="40">
        <v>0</v>
      </c>
      <c r="X470" s="67">
        <f t="shared" si="58"/>
        <v>151</v>
      </c>
      <c r="Z470" s="71"/>
      <c r="AA470" s="71"/>
      <c r="AB470" s="67" t="str">
        <f t="shared" si="57"/>
        <v/>
      </c>
      <c r="AD470" s="121"/>
      <c r="AE470" s="121"/>
    </row>
    <row r="471" spans="1:31" x14ac:dyDescent="0.25">
      <c r="A471" s="2" t="s">
        <v>248</v>
      </c>
      <c r="B471" s="65">
        <v>0.33333333333333331</v>
      </c>
      <c r="C471" s="3">
        <f t="shared" si="62"/>
        <v>0.29999999999999893</v>
      </c>
      <c r="D471" s="10" t="s">
        <v>806</v>
      </c>
      <c r="E471" s="40">
        <v>0</v>
      </c>
      <c r="F471" s="40">
        <v>2.5</v>
      </c>
      <c r="G471" s="40">
        <v>2</v>
      </c>
      <c r="H471" s="3">
        <f t="shared" si="59"/>
        <v>0</v>
      </c>
      <c r="I471" s="3">
        <f t="shared" si="60"/>
        <v>3.1249999999999889E-2</v>
      </c>
      <c r="J471" s="3">
        <f t="shared" si="61"/>
        <v>2.4999999999999911E-2</v>
      </c>
      <c r="K471" s="3"/>
      <c r="L471" s="60">
        <f t="shared" si="55"/>
        <v>147.33166666666671</v>
      </c>
      <c r="M471" s="40">
        <v>0</v>
      </c>
      <c r="N471" s="40">
        <v>0</v>
      </c>
      <c r="O471" s="40">
        <v>0</v>
      </c>
      <c r="P471" s="40">
        <v>0</v>
      </c>
      <c r="Q471" s="40">
        <v>0</v>
      </c>
      <c r="R471" s="40">
        <v>0</v>
      </c>
      <c r="S471" s="61">
        <f t="shared" si="56"/>
        <v>111.20000000000012</v>
      </c>
      <c r="T471" s="40">
        <v>0</v>
      </c>
      <c r="U471" s="40">
        <v>0</v>
      </c>
      <c r="V471" s="40">
        <v>0</v>
      </c>
      <c r="W471" s="40">
        <v>0</v>
      </c>
      <c r="X471" s="67">
        <f t="shared" si="58"/>
        <v>151</v>
      </c>
      <c r="Z471" s="71"/>
      <c r="AA471" s="71"/>
      <c r="AB471" s="67" t="str">
        <f t="shared" si="57"/>
        <v/>
      </c>
      <c r="AD471" s="121"/>
      <c r="AE471" s="121"/>
    </row>
    <row r="472" spans="1:31" x14ac:dyDescent="0.25">
      <c r="A472" s="2" t="s">
        <v>862</v>
      </c>
      <c r="B472" s="65">
        <v>0.33333333333333331</v>
      </c>
      <c r="C472" s="3">
        <v>24</v>
      </c>
      <c r="D472" s="10" t="s">
        <v>806</v>
      </c>
      <c r="E472" s="40">
        <v>0</v>
      </c>
      <c r="F472" s="40">
        <v>2.5</v>
      </c>
      <c r="G472" s="40">
        <v>2</v>
      </c>
      <c r="H472" s="3">
        <f t="shared" si="59"/>
        <v>0</v>
      </c>
      <c r="I472" s="3">
        <f t="shared" si="60"/>
        <v>2.5</v>
      </c>
      <c r="J472" s="3">
        <f t="shared" si="61"/>
        <v>2</v>
      </c>
      <c r="K472" s="3"/>
      <c r="L472" s="60">
        <f t="shared" si="55"/>
        <v>142.83166666666671</v>
      </c>
      <c r="M472" s="40">
        <v>0</v>
      </c>
      <c r="N472" s="40">
        <v>0</v>
      </c>
      <c r="O472" s="40">
        <v>0</v>
      </c>
      <c r="P472" s="40">
        <v>0</v>
      </c>
      <c r="Q472" s="40">
        <v>0</v>
      </c>
      <c r="R472" s="40">
        <v>0</v>
      </c>
      <c r="S472" s="61">
        <f t="shared" si="56"/>
        <v>111.20000000000012</v>
      </c>
      <c r="T472" s="40">
        <v>0</v>
      </c>
      <c r="U472" s="40">
        <v>0</v>
      </c>
      <c r="V472" s="40">
        <v>5</v>
      </c>
      <c r="W472" s="40">
        <v>0</v>
      </c>
      <c r="X472" s="67">
        <f t="shared" si="58"/>
        <v>146</v>
      </c>
      <c r="Z472" s="71"/>
      <c r="AA472" s="71"/>
      <c r="AB472" s="67" t="str">
        <f t="shared" si="57"/>
        <v/>
      </c>
      <c r="AD472" s="121"/>
      <c r="AE472" s="121"/>
    </row>
    <row r="473" spans="1:31" x14ac:dyDescent="0.25">
      <c r="A473" s="2" t="s">
        <v>863</v>
      </c>
      <c r="B473" s="65">
        <v>0.33333333333333331</v>
      </c>
      <c r="C473" s="3">
        <v>24</v>
      </c>
      <c r="D473" s="10" t="s">
        <v>806</v>
      </c>
      <c r="E473" s="40">
        <v>0</v>
      </c>
      <c r="F473" s="40">
        <v>2.5</v>
      </c>
      <c r="G473" s="40">
        <v>2</v>
      </c>
      <c r="H473" s="3">
        <f t="shared" si="59"/>
        <v>0</v>
      </c>
      <c r="I473" s="3">
        <f t="shared" si="60"/>
        <v>2.5</v>
      </c>
      <c r="J473" s="3">
        <f t="shared" si="61"/>
        <v>2</v>
      </c>
      <c r="K473" s="3"/>
      <c r="L473" s="60">
        <f t="shared" si="55"/>
        <v>138.33166666666671</v>
      </c>
      <c r="M473" s="40">
        <v>0</v>
      </c>
      <c r="N473" s="40">
        <v>0</v>
      </c>
      <c r="O473" s="40">
        <v>0</v>
      </c>
      <c r="P473" s="40">
        <v>0</v>
      </c>
      <c r="Q473" s="40">
        <v>0</v>
      </c>
      <c r="R473" s="40">
        <v>0</v>
      </c>
      <c r="S473" s="61">
        <f t="shared" si="56"/>
        <v>111.20000000000012</v>
      </c>
      <c r="T473" s="40">
        <v>0</v>
      </c>
      <c r="U473" s="40">
        <v>0</v>
      </c>
      <c r="V473" s="40">
        <v>5</v>
      </c>
      <c r="W473" s="40">
        <v>0</v>
      </c>
      <c r="X473" s="67">
        <f t="shared" si="58"/>
        <v>141</v>
      </c>
      <c r="Z473" s="71"/>
      <c r="AA473" s="71"/>
      <c r="AB473" s="67" t="str">
        <f t="shared" si="57"/>
        <v/>
      </c>
      <c r="AD473" s="121"/>
      <c r="AE473" s="121"/>
    </row>
    <row r="474" spans="1:31" x14ac:dyDescent="0.25">
      <c r="A474" s="2">
        <v>19.0519</v>
      </c>
      <c r="B474" s="7">
        <v>0.34583333333333338</v>
      </c>
      <c r="C474" s="3">
        <f t="shared" si="62"/>
        <v>0.3000000000000016</v>
      </c>
      <c r="D474" s="10" t="s">
        <v>864</v>
      </c>
      <c r="E474" s="40">
        <v>0</v>
      </c>
      <c r="F474" s="40">
        <v>2.5</v>
      </c>
      <c r="G474" s="40">
        <v>2</v>
      </c>
      <c r="H474" s="3">
        <f t="shared" si="59"/>
        <v>0</v>
      </c>
      <c r="I474" s="3">
        <f t="shared" si="60"/>
        <v>3.1250000000000167E-2</v>
      </c>
      <c r="J474" s="3">
        <f t="shared" si="61"/>
        <v>2.5000000000000133E-2</v>
      </c>
      <c r="K474" s="3">
        <v>400</v>
      </c>
      <c r="L474" s="60">
        <f t="shared" si="55"/>
        <v>538.27541666666673</v>
      </c>
      <c r="M474" s="40">
        <v>0</v>
      </c>
      <c r="N474" s="40">
        <v>0</v>
      </c>
      <c r="O474" s="40">
        <v>0</v>
      </c>
      <c r="P474" s="40">
        <v>0</v>
      </c>
      <c r="Q474" s="40">
        <v>0</v>
      </c>
      <c r="R474" s="40">
        <v>0</v>
      </c>
      <c r="S474" s="61">
        <f t="shared" si="56"/>
        <v>111.20000000000012</v>
      </c>
      <c r="T474" s="40">
        <v>0</v>
      </c>
      <c r="U474" s="40">
        <v>0</v>
      </c>
      <c r="V474" s="40">
        <v>0</v>
      </c>
      <c r="W474" s="40">
        <v>0</v>
      </c>
      <c r="X474" s="67">
        <f t="shared" si="58"/>
        <v>141</v>
      </c>
      <c r="Z474" s="71"/>
      <c r="AA474" s="71"/>
      <c r="AB474" s="67" t="str">
        <f t="shared" si="57"/>
        <v/>
      </c>
      <c r="AD474" s="121"/>
      <c r="AE474" s="121"/>
    </row>
    <row r="475" spans="1:31" x14ac:dyDescent="0.25">
      <c r="A475" s="2" t="s">
        <v>863</v>
      </c>
      <c r="B475" s="7">
        <v>0.5625</v>
      </c>
      <c r="C475" s="3">
        <f t="shared" si="62"/>
        <v>5.1999999999999993</v>
      </c>
      <c r="D475" s="10" t="s">
        <v>660</v>
      </c>
      <c r="E475" s="40">
        <v>0</v>
      </c>
      <c r="F475" s="40">
        <v>2.5</v>
      </c>
      <c r="G475" s="40">
        <v>2</v>
      </c>
      <c r="H475" s="3">
        <f t="shared" si="59"/>
        <v>0</v>
      </c>
      <c r="I475" s="3">
        <f t="shared" si="60"/>
        <v>0.54166666666666663</v>
      </c>
      <c r="J475" s="3">
        <f t="shared" si="61"/>
        <v>0.43333333333333324</v>
      </c>
      <c r="K475" s="3"/>
      <c r="L475" s="60">
        <f t="shared" si="55"/>
        <v>537.30041666666671</v>
      </c>
      <c r="M475" s="40">
        <v>0</v>
      </c>
      <c r="N475" s="40">
        <v>0</v>
      </c>
      <c r="O475" s="40">
        <v>0</v>
      </c>
      <c r="P475" s="40">
        <v>0</v>
      </c>
      <c r="Q475" s="40">
        <v>0</v>
      </c>
      <c r="R475" s="40">
        <v>0</v>
      </c>
      <c r="S475" s="61">
        <f t="shared" si="56"/>
        <v>111.20000000000012</v>
      </c>
      <c r="T475" s="40">
        <v>0</v>
      </c>
      <c r="U475" s="40">
        <v>0</v>
      </c>
      <c r="V475" s="40">
        <v>0</v>
      </c>
      <c r="W475" s="40">
        <v>0</v>
      </c>
      <c r="X475" s="67">
        <f t="shared" si="58"/>
        <v>141</v>
      </c>
      <c r="Z475" s="71"/>
      <c r="AA475" s="71"/>
      <c r="AB475" s="67" t="str">
        <f t="shared" si="57"/>
        <v/>
      </c>
      <c r="AD475" s="121"/>
      <c r="AE475" s="121"/>
    </row>
    <row r="476" spans="1:31" x14ac:dyDescent="0.25">
      <c r="A476" s="7" t="s">
        <v>863</v>
      </c>
      <c r="B476" s="7">
        <v>0.57500000000000007</v>
      </c>
      <c r="C476" s="3">
        <f t="shared" si="62"/>
        <v>0.3000000000000016</v>
      </c>
      <c r="D476" s="10" t="s">
        <v>821</v>
      </c>
      <c r="E476" s="40">
        <v>3</v>
      </c>
      <c r="F476" s="40">
        <v>2.5</v>
      </c>
      <c r="G476" s="40">
        <v>2</v>
      </c>
      <c r="H476" s="3">
        <f t="shared" si="59"/>
        <v>3.75000000000002E-2</v>
      </c>
      <c r="I476" s="3">
        <f t="shared" si="60"/>
        <v>3.1250000000000167E-2</v>
      </c>
      <c r="J476" s="3">
        <f t="shared" si="61"/>
        <v>2.5000000000000133E-2</v>
      </c>
      <c r="K476" s="3"/>
      <c r="L476" s="60">
        <f t="shared" si="55"/>
        <v>537.20666666666671</v>
      </c>
      <c r="M476" s="40">
        <v>0</v>
      </c>
      <c r="N476" s="40">
        <v>0</v>
      </c>
      <c r="O476" s="40">
        <v>0</v>
      </c>
      <c r="P476" s="40">
        <v>0</v>
      </c>
      <c r="Q476" s="40">
        <v>0</v>
      </c>
      <c r="R476" s="40">
        <v>0</v>
      </c>
      <c r="S476" s="61">
        <f t="shared" si="56"/>
        <v>111.20000000000012</v>
      </c>
      <c r="T476" s="40">
        <v>0</v>
      </c>
      <c r="U476" s="40">
        <v>0</v>
      </c>
      <c r="V476" s="40">
        <v>2</v>
      </c>
      <c r="W476" s="40">
        <v>10</v>
      </c>
      <c r="X476" s="67">
        <f t="shared" si="58"/>
        <v>129</v>
      </c>
      <c r="Z476" s="71"/>
      <c r="AA476" s="71"/>
      <c r="AB476" s="67" t="str">
        <f t="shared" si="57"/>
        <v/>
      </c>
      <c r="AD476" s="121"/>
      <c r="AE476" s="121"/>
    </row>
    <row r="477" spans="1:31" x14ac:dyDescent="0.25">
      <c r="A477" s="2" t="s">
        <v>863</v>
      </c>
      <c r="B477" s="7">
        <v>0.85833333333333339</v>
      </c>
      <c r="C477" s="3">
        <f t="shared" si="62"/>
        <v>6.8</v>
      </c>
      <c r="D477" s="10" t="s">
        <v>796</v>
      </c>
      <c r="E477" s="40">
        <v>20</v>
      </c>
      <c r="F477" s="40">
        <v>2.5</v>
      </c>
      <c r="G477" s="40">
        <v>0</v>
      </c>
      <c r="H477" s="3">
        <f t="shared" si="59"/>
        <v>5.666666666666667</v>
      </c>
      <c r="I477" s="3">
        <f t="shared" si="60"/>
        <v>0.70833333333333337</v>
      </c>
      <c r="J477" s="3">
        <f t="shared" si="61"/>
        <v>0</v>
      </c>
      <c r="K477" s="3"/>
      <c r="L477" s="60">
        <f t="shared" ref="L477:L541" si="63">+IF(C477="","",(L476+K477)-(H477+I477+J477))</f>
        <v>530.83166666666671</v>
      </c>
      <c r="M477" s="40">
        <v>0</v>
      </c>
      <c r="N477" s="40">
        <v>0</v>
      </c>
      <c r="O477" s="40">
        <v>0</v>
      </c>
      <c r="P477" s="40">
        <v>0</v>
      </c>
      <c r="Q477" s="40">
        <v>0</v>
      </c>
      <c r="R477" s="40">
        <v>0</v>
      </c>
      <c r="S477" s="61">
        <f t="shared" si="56"/>
        <v>111.20000000000012</v>
      </c>
      <c r="T477" s="40">
        <v>0</v>
      </c>
      <c r="U477" s="40">
        <v>0</v>
      </c>
      <c r="V477" s="40">
        <v>1</v>
      </c>
      <c r="W477" s="40">
        <v>0</v>
      </c>
      <c r="X477" s="67">
        <f t="shared" si="58"/>
        <v>128</v>
      </c>
      <c r="Z477" s="71"/>
      <c r="AA477" s="71"/>
      <c r="AB477" s="67" t="str">
        <f t="shared" si="57"/>
        <v/>
      </c>
      <c r="AD477" s="121">
        <v>12.5</v>
      </c>
      <c r="AE477" s="121" t="s">
        <v>1296</v>
      </c>
    </row>
    <row r="478" spans="1:31" x14ac:dyDescent="0.25">
      <c r="A478" s="2" t="s">
        <v>863</v>
      </c>
      <c r="B478" s="7">
        <v>0.89166666666666661</v>
      </c>
      <c r="C478" s="3">
        <f t="shared" si="62"/>
        <v>0.79999999999999716</v>
      </c>
      <c r="D478" s="10" t="s">
        <v>812</v>
      </c>
      <c r="E478" s="40">
        <v>3</v>
      </c>
      <c r="F478" s="40">
        <v>2.5</v>
      </c>
      <c r="G478" s="40">
        <v>2</v>
      </c>
      <c r="H478" s="3">
        <f t="shared" si="59"/>
        <v>9.9999999999999645E-2</v>
      </c>
      <c r="I478" s="3">
        <f t="shared" si="60"/>
        <v>8.3333333333333037E-2</v>
      </c>
      <c r="J478" s="3">
        <f t="shared" si="61"/>
        <v>6.666666666666643E-2</v>
      </c>
      <c r="K478" s="3"/>
      <c r="L478" s="60">
        <f t="shared" si="63"/>
        <v>530.58166666666671</v>
      </c>
      <c r="M478" s="40">
        <v>0</v>
      </c>
      <c r="N478" s="40">
        <v>0</v>
      </c>
      <c r="O478" s="40">
        <v>0</v>
      </c>
      <c r="P478" s="40">
        <v>0</v>
      </c>
      <c r="Q478" s="40">
        <v>0</v>
      </c>
      <c r="R478" s="40">
        <v>0</v>
      </c>
      <c r="S478" s="61">
        <f t="shared" si="56"/>
        <v>111.20000000000012</v>
      </c>
      <c r="T478" s="40">
        <v>5</v>
      </c>
      <c r="U478" s="40">
        <v>0</v>
      </c>
      <c r="V478" s="40">
        <v>0</v>
      </c>
      <c r="W478" s="40">
        <v>0</v>
      </c>
      <c r="X478" s="67">
        <f t="shared" si="58"/>
        <v>133</v>
      </c>
      <c r="Z478" s="71"/>
      <c r="AA478" s="71"/>
      <c r="AB478" s="67" t="str">
        <f t="shared" si="57"/>
        <v/>
      </c>
      <c r="AD478" s="121"/>
      <c r="AE478" s="121"/>
    </row>
    <row r="479" spans="1:31" x14ac:dyDescent="0.25">
      <c r="A479" s="2" t="s">
        <v>865</v>
      </c>
      <c r="B479" s="65">
        <v>0.33333333333333331</v>
      </c>
      <c r="C479" s="3">
        <f t="shared" si="62"/>
        <v>10.6</v>
      </c>
      <c r="D479" s="10" t="s">
        <v>806</v>
      </c>
      <c r="E479" s="40">
        <v>0</v>
      </c>
      <c r="F479" s="40">
        <v>2.5</v>
      </c>
      <c r="G479" s="40">
        <v>2</v>
      </c>
      <c r="H479" s="3">
        <f t="shared" si="59"/>
        <v>0</v>
      </c>
      <c r="I479" s="3">
        <f t="shared" si="60"/>
        <v>1.1041666666666667</v>
      </c>
      <c r="J479" s="3">
        <f t="shared" si="61"/>
        <v>0.8833333333333333</v>
      </c>
      <c r="K479" s="3"/>
      <c r="L479" s="60">
        <f t="shared" si="63"/>
        <v>528.59416666666675</v>
      </c>
      <c r="M479" s="40">
        <v>0</v>
      </c>
      <c r="N479" s="40">
        <v>0</v>
      </c>
      <c r="O479" s="40">
        <v>0</v>
      </c>
      <c r="P479" s="40">
        <v>0</v>
      </c>
      <c r="Q479" s="40">
        <v>0</v>
      </c>
      <c r="R479" s="40">
        <v>0</v>
      </c>
      <c r="S479" s="61">
        <f t="shared" si="56"/>
        <v>111.20000000000012</v>
      </c>
      <c r="T479" s="40">
        <v>0</v>
      </c>
      <c r="U479" s="40">
        <v>0</v>
      </c>
      <c r="V479" s="40">
        <v>5</v>
      </c>
      <c r="W479" s="40">
        <v>0</v>
      </c>
      <c r="X479" s="67">
        <f t="shared" si="58"/>
        <v>128</v>
      </c>
      <c r="Z479" s="71"/>
      <c r="AA479" s="71"/>
      <c r="AB479" s="67" t="str">
        <f t="shared" si="57"/>
        <v/>
      </c>
      <c r="AD479" s="121"/>
      <c r="AE479" s="121"/>
    </row>
    <row r="480" spans="1:31" x14ac:dyDescent="0.25">
      <c r="A480" s="2" t="s">
        <v>866</v>
      </c>
      <c r="B480" s="65">
        <v>0.33333333333333331</v>
      </c>
      <c r="C480" s="3">
        <v>24</v>
      </c>
      <c r="D480" s="10" t="s">
        <v>806</v>
      </c>
      <c r="E480" s="40">
        <v>0</v>
      </c>
      <c r="F480" s="40">
        <v>2.5</v>
      </c>
      <c r="G480" s="40">
        <v>2</v>
      </c>
      <c r="H480" s="3">
        <f t="shared" si="59"/>
        <v>0</v>
      </c>
      <c r="I480" s="3">
        <f t="shared" si="60"/>
        <v>2.5</v>
      </c>
      <c r="J480" s="3">
        <f t="shared" si="61"/>
        <v>2</v>
      </c>
      <c r="K480" s="3"/>
      <c r="L480" s="60">
        <f t="shared" si="63"/>
        <v>524.09416666666675</v>
      </c>
      <c r="M480" s="40">
        <v>0</v>
      </c>
      <c r="N480" s="40">
        <v>0</v>
      </c>
      <c r="O480" s="40">
        <v>0</v>
      </c>
      <c r="P480" s="40">
        <v>0</v>
      </c>
      <c r="Q480" s="40">
        <v>0</v>
      </c>
      <c r="R480" s="40">
        <v>0</v>
      </c>
      <c r="S480" s="61">
        <f t="shared" si="56"/>
        <v>111.20000000000012</v>
      </c>
      <c r="T480" s="40">
        <v>0</v>
      </c>
      <c r="U480" s="40">
        <v>0</v>
      </c>
      <c r="V480" s="40">
        <v>5</v>
      </c>
      <c r="W480" s="40">
        <v>0</v>
      </c>
      <c r="X480" s="67">
        <f t="shared" si="58"/>
        <v>123</v>
      </c>
      <c r="Z480" s="71"/>
      <c r="AA480" s="71"/>
      <c r="AB480" s="67" t="str">
        <f t="shared" si="57"/>
        <v/>
      </c>
      <c r="AD480" s="121"/>
      <c r="AE480" s="121"/>
    </row>
    <row r="481" spans="1:31" x14ac:dyDescent="0.25">
      <c r="A481" s="2" t="s">
        <v>867</v>
      </c>
      <c r="B481" s="65">
        <v>0.33333333333333331</v>
      </c>
      <c r="C481" s="3">
        <v>24</v>
      </c>
      <c r="D481" s="10" t="s">
        <v>806</v>
      </c>
      <c r="E481" s="40">
        <v>0</v>
      </c>
      <c r="F481" s="40">
        <v>2.5</v>
      </c>
      <c r="G481" s="40">
        <v>2</v>
      </c>
      <c r="H481" s="3">
        <f t="shared" si="59"/>
        <v>0</v>
      </c>
      <c r="I481" s="3">
        <f t="shared" si="60"/>
        <v>2.5</v>
      </c>
      <c r="J481" s="3">
        <f t="shared" si="61"/>
        <v>2</v>
      </c>
      <c r="K481" s="3"/>
      <c r="L481" s="60">
        <f t="shared" si="63"/>
        <v>519.59416666666675</v>
      </c>
      <c r="M481" s="40">
        <v>0</v>
      </c>
      <c r="N481" s="40">
        <v>0</v>
      </c>
      <c r="O481" s="40">
        <v>0</v>
      </c>
      <c r="P481" s="40">
        <v>0</v>
      </c>
      <c r="Q481" s="40">
        <v>0</v>
      </c>
      <c r="R481" s="40">
        <v>0</v>
      </c>
      <c r="S481" s="61">
        <f t="shared" si="56"/>
        <v>111.20000000000012</v>
      </c>
      <c r="T481" s="40">
        <v>0</v>
      </c>
      <c r="U481" s="40">
        <v>0</v>
      </c>
      <c r="V481" s="40">
        <v>5</v>
      </c>
      <c r="W481" s="40">
        <v>0</v>
      </c>
      <c r="X481" s="67">
        <f t="shared" si="58"/>
        <v>118</v>
      </c>
      <c r="Z481" s="71"/>
      <c r="AA481" s="71"/>
      <c r="AB481" s="67" t="str">
        <f t="shared" si="57"/>
        <v/>
      </c>
      <c r="AD481" s="121"/>
      <c r="AE481" s="121"/>
    </row>
    <row r="482" spans="1:31" x14ac:dyDescent="0.25">
      <c r="A482" s="2" t="s">
        <v>867</v>
      </c>
      <c r="B482" s="7">
        <v>0.70833333333333337</v>
      </c>
      <c r="C482" s="3">
        <f t="shared" si="62"/>
        <v>9.0000000000000018</v>
      </c>
      <c r="D482" s="10" t="s">
        <v>789</v>
      </c>
      <c r="E482" s="40">
        <v>0</v>
      </c>
      <c r="F482" s="40">
        <v>2.5</v>
      </c>
      <c r="G482" s="40">
        <v>2</v>
      </c>
      <c r="H482" s="3">
        <f t="shared" si="59"/>
        <v>0</v>
      </c>
      <c r="I482" s="3">
        <f t="shared" si="60"/>
        <v>0.93750000000000022</v>
      </c>
      <c r="J482" s="3">
        <f t="shared" si="61"/>
        <v>0.75000000000000011</v>
      </c>
      <c r="K482" s="3"/>
      <c r="L482" s="60">
        <f t="shared" si="63"/>
        <v>517.90666666666675</v>
      </c>
      <c r="M482" s="40">
        <v>0</v>
      </c>
      <c r="N482" s="40">
        <v>0</v>
      </c>
      <c r="O482" s="40">
        <v>0</v>
      </c>
      <c r="P482" s="40">
        <v>0</v>
      </c>
      <c r="Q482" s="40">
        <v>0</v>
      </c>
      <c r="R482" s="40">
        <v>0</v>
      </c>
      <c r="S482" s="61">
        <f t="shared" si="56"/>
        <v>111.20000000000012</v>
      </c>
      <c r="T482" s="40">
        <v>0</v>
      </c>
      <c r="U482" s="40">
        <v>0</v>
      </c>
      <c r="V482" s="40">
        <v>2</v>
      </c>
      <c r="W482" s="40">
        <v>0</v>
      </c>
      <c r="X482" s="67">
        <f t="shared" si="58"/>
        <v>116</v>
      </c>
      <c r="Z482" s="71"/>
      <c r="AA482" s="71"/>
      <c r="AB482" s="67" t="str">
        <f t="shared" si="57"/>
        <v/>
      </c>
      <c r="AD482" s="121"/>
      <c r="AE482" s="121"/>
    </row>
    <row r="483" spans="1:31" x14ac:dyDescent="0.25">
      <c r="A483" s="2" t="s">
        <v>867</v>
      </c>
      <c r="B483" s="7">
        <v>0.77500000000000002</v>
      </c>
      <c r="C483" s="3">
        <f t="shared" si="62"/>
        <v>1.5999999999999996</v>
      </c>
      <c r="D483" s="10" t="s">
        <v>812</v>
      </c>
      <c r="E483" s="40">
        <v>5</v>
      </c>
      <c r="F483" s="40">
        <v>2.5</v>
      </c>
      <c r="G483" s="40">
        <v>2</v>
      </c>
      <c r="H483" s="3">
        <f t="shared" si="59"/>
        <v>0.33333333333333326</v>
      </c>
      <c r="I483" s="3">
        <f t="shared" si="60"/>
        <v>0.16666666666666663</v>
      </c>
      <c r="J483" s="3">
        <f t="shared" si="61"/>
        <v>0.1333333333333333</v>
      </c>
      <c r="K483" s="3"/>
      <c r="L483" s="60">
        <f t="shared" si="63"/>
        <v>517.27333333333343</v>
      </c>
      <c r="M483" s="40">
        <v>0</v>
      </c>
      <c r="N483" s="40">
        <v>0</v>
      </c>
      <c r="O483" s="40">
        <v>0</v>
      </c>
      <c r="P483" s="40">
        <v>0</v>
      </c>
      <c r="Q483" s="40">
        <v>0</v>
      </c>
      <c r="R483" s="40">
        <v>0</v>
      </c>
      <c r="S483" s="61">
        <f t="shared" si="56"/>
        <v>111.20000000000012</v>
      </c>
      <c r="T483" s="40">
        <v>0</v>
      </c>
      <c r="U483" s="40">
        <v>0</v>
      </c>
      <c r="V483" s="40">
        <v>0</v>
      </c>
      <c r="W483" s="40">
        <v>0</v>
      </c>
      <c r="X483" s="67">
        <f t="shared" si="58"/>
        <v>116</v>
      </c>
      <c r="Z483" s="71"/>
      <c r="AA483" s="71"/>
      <c r="AB483" s="67" t="str">
        <f t="shared" si="57"/>
        <v/>
      </c>
      <c r="AD483" s="121"/>
      <c r="AE483" s="121"/>
    </row>
    <row r="484" spans="1:31" x14ac:dyDescent="0.25">
      <c r="A484" s="2" t="s">
        <v>868</v>
      </c>
      <c r="B484" s="7">
        <v>4.1666666666666666E-3</v>
      </c>
      <c r="C484" s="3">
        <f t="shared" si="62"/>
        <v>5.5</v>
      </c>
      <c r="D484" s="10" t="s">
        <v>869</v>
      </c>
      <c r="E484" s="40">
        <v>0</v>
      </c>
      <c r="F484" s="40">
        <v>2.5</v>
      </c>
      <c r="G484" s="40">
        <v>2</v>
      </c>
      <c r="H484" s="3">
        <f t="shared" si="59"/>
        <v>0</v>
      </c>
      <c r="I484" s="3">
        <f t="shared" si="60"/>
        <v>0.57291666666666674</v>
      </c>
      <c r="J484" s="3">
        <f t="shared" si="61"/>
        <v>0.45833333333333331</v>
      </c>
      <c r="K484" s="3"/>
      <c r="L484" s="60">
        <f t="shared" si="63"/>
        <v>516.24208333333343</v>
      </c>
      <c r="M484" s="40">
        <v>0</v>
      </c>
      <c r="N484" s="40">
        <v>0</v>
      </c>
      <c r="O484" s="40">
        <v>0</v>
      </c>
      <c r="P484" s="40">
        <v>0</v>
      </c>
      <c r="Q484" s="40">
        <v>0</v>
      </c>
      <c r="R484" s="40">
        <v>0</v>
      </c>
      <c r="S484" s="61">
        <f t="shared" si="56"/>
        <v>111.20000000000012</v>
      </c>
      <c r="T484" s="40">
        <v>0</v>
      </c>
      <c r="U484" s="40">
        <v>0</v>
      </c>
      <c r="V484" s="40">
        <v>3</v>
      </c>
      <c r="W484" s="40">
        <v>0</v>
      </c>
      <c r="X484" s="67">
        <f t="shared" si="58"/>
        <v>113</v>
      </c>
      <c r="Z484" s="71"/>
      <c r="AA484" s="71"/>
      <c r="AB484" s="67" t="str">
        <f t="shared" si="57"/>
        <v/>
      </c>
      <c r="AD484" s="121"/>
      <c r="AE484" s="121"/>
    </row>
    <row r="485" spans="1:31" x14ac:dyDescent="0.25">
      <c r="A485" s="2" t="s">
        <v>868</v>
      </c>
      <c r="B485" s="65">
        <v>0.33333333333333331</v>
      </c>
      <c r="C485" s="3">
        <f t="shared" si="62"/>
        <v>7.9</v>
      </c>
      <c r="D485" s="10" t="s">
        <v>820</v>
      </c>
      <c r="E485" s="40">
        <v>0</v>
      </c>
      <c r="F485" s="40">
        <v>2.5</v>
      </c>
      <c r="G485" s="40">
        <v>2</v>
      </c>
      <c r="H485" s="3">
        <f t="shared" si="59"/>
        <v>0</v>
      </c>
      <c r="I485" s="3">
        <f t="shared" si="60"/>
        <v>0.82291666666666674</v>
      </c>
      <c r="J485" s="3">
        <f t="shared" si="61"/>
        <v>0.65833333333333333</v>
      </c>
      <c r="K485" s="3"/>
      <c r="L485" s="60">
        <f t="shared" si="63"/>
        <v>514.76083333333338</v>
      </c>
      <c r="M485" s="40">
        <v>0</v>
      </c>
      <c r="N485" s="40">
        <v>0</v>
      </c>
      <c r="O485" s="40">
        <v>0</v>
      </c>
      <c r="P485" s="40">
        <v>0</v>
      </c>
      <c r="Q485" s="40">
        <v>1.9</v>
      </c>
      <c r="R485" s="40">
        <v>0</v>
      </c>
      <c r="S485" s="61">
        <f t="shared" si="56"/>
        <v>109.30000000000011</v>
      </c>
      <c r="T485" s="40">
        <v>0</v>
      </c>
      <c r="U485" s="40">
        <v>0</v>
      </c>
      <c r="V485" s="40">
        <v>0</v>
      </c>
      <c r="W485" s="40">
        <v>0</v>
      </c>
      <c r="X485" s="67">
        <f t="shared" si="58"/>
        <v>113</v>
      </c>
      <c r="Z485" s="71"/>
      <c r="AA485" s="71"/>
      <c r="AB485" s="67" t="str">
        <f t="shared" si="57"/>
        <v/>
      </c>
      <c r="AD485" s="121"/>
      <c r="AE485" s="121"/>
    </row>
    <row r="486" spans="1:31" x14ac:dyDescent="0.25">
      <c r="A486" s="2" t="s">
        <v>868</v>
      </c>
      <c r="B486" s="7">
        <v>0.92083333333333339</v>
      </c>
      <c r="C486" s="3">
        <f t="shared" si="62"/>
        <v>14.100000000000003</v>
      </c>
      <c r="D486" s="10" t="s">
        <v>801</v>
      </c>
      <c r="E486" s="40">
        <v>0</v>
      </c>
      <c r="F486" s="40">
        <v>2.5</v>
      </c>
      <c r="G486" s="40">
        <v>2</v>
      </c>
      <c r="H486" s="3">
        <f t="shared" si="59"/>
        <v>0</v>
      </c>
      <c r="I486" s="3">
        <f t="shared" si="60"/>
        <v>1.4687500000000004</v>
      </c>
      <c r="J486" s="3">
        <f t="shared" si="61"/>
        <v>1.1750000000000003</v>
      </c>
      <c r="K486" s="3"/>
      <c r="L486" s="60">
        <f t="shared" si="63"/>
        <v>512.11708333333343</v>
      </c>
      <c r="M486" s="40">
        <v>0</v>
      </c>
      <c r="N486" s="40">
        <v>0</v>
      </c>
      <c r="O486" s="40">
        <v>0</v>
      </c>
      <c r="P486" s="40">
        <v>0</v>
      </c>
      <c r="Q486" s="40">
        <v>3.5</v>
      </c>
      <c r="R486" s="40">
        <v>0</v>
      </c>
      <c r="S486" s="61">
        <f t="shared" si="56"/>
        <v>105.80000000000011</v>
      </c>
      <c r="T486" s="40">
        <v>0</v>
      </c>
      <c r="U486" s="40">
        <v>0</v>
      </c>
      <c r="V486" s="40">
        <v>1</v>
      </c>
      <c r="W486" s="40">
        <v>0</v>
      </c>
      <c r="X486" s="67">
        <f t="shared" si="58"/>
        <v>112</v>
      </c>
      <c r="Z486" s="71"/>
      <c r="AA486" s="71"/>
      <c r="AB486" s="67" t="str">
        <f t="shared" si="57"/>
        <v/>
      </c>
      <c r="AD486" s="121"/>
      <c r="AE486" s="121"/>
    </row>
    <row r="487" spans="1:31" x14ac:dyDescent="0.25">
      <c r="A487" s="2" t="s">
        <v>870</v>
      </c>
      <c r="B487" s="7">
        <v>9.9999999999999992E-2</v>
      </c>
      <c r="C487" s="3">
        <f t="shared" si="62"/>
        <v>4.2999999999999972</v>
      </c>
      <c r="D487" s="10" t="s">
        <v>660</v>
      </c>
      <c r="E487" s="40">
        <v>0</v>
      </c>
      <c r="F487" s="40">
        <v>2.5</v>
      </c>
      <c r="G487" s="40">
        <v>2</v>
      </c>
      <c r="H487" s="3">
        <f t="shared" si="59"/>
        <v>0</v>
      </c>
      <c r="I487" s="3">
        <f t="shared" si="60"/>
        <v>0.44791666666666641</v>
      </c>
      <c r="J487" s="3">
        <f t="shared" si="61"/>
        <v>0.35833333333333306</v>
      </c>
      <c r="K487" s="3"/>
      <c r="L487" s="60">
        <f t="shared" si="63"/>
        <v>511.31083333333345</v>
      </c>
      <c r="M487" s="40">
        <v>0</v>
      </c>
      <c r="N487" s="40">
        <v>0</v>
      </c>
      <c r="O487" s="40">
        <v>0</v>
      </c>
      <c r="P487" s="40">
        <v>0</v>
      </c>
      <c r="Q487" s="40">
        <v>0</v>
      </c>
      <c r="R487" s="40">
        <v>0</v>
      </c>
      <c r="S487" s="61">
        <f t="shared" si="56"/>
        <v>105.80000000000011</v>
      </c>
      <c r="T487" s="40">
        <v>0</v>
      </c>
      <c r="U487" s="40">
        <v>0</v>
      </c>
      <c r="V487" s="40">
        <v>2</v>
      </c>
      <c r="W487" s="40">
        <v>0</v>
      </c>
      <c r="X487" s="67">
        <f t="shared" si="58"/>
        <v>110</v>
      </c>
      <c r="Z487" s="71"/>
      <c r="AA487" s="71"/>
      <c r="AB487" s="67" t="str">
        <f t="shared" si="57"/>
        <v/>
      </c>
      <c r="AD487" s="121"/>
      <c r="AE487" s="121"/>
    </row>
    <row r="488" spans="1:31" x14ac:dyDescent="0.25">
      <c r="A488" s="2" t="s">
        <v>870</v>
      </c>
      <c r="B488" s="7">
        <v>0.11666666666666665</v>
      </c>
      <c r="C488" s="3">
        <f t="shared" si="62"/>
        <v>0.39999999999999991</v>
      </c>
      <c r="D488" s="10" t="s">
        <v>821</v>
      </c>
      <c r="E488" s="40">
        <v>5</v>
      </c>
      <c r="F488" s="40">
        <v>2.5</v>
      </c>
      <c r="G488" s="40">
        <v>2</v>
      </c>
      <c r="H488" s="3">
        <f t="shared" si="59"/>
        <v>8.3333333333333315E-2</v>
      </c>
      <c r="I488" s="3">
        <f t="shared" si="60"/>
        <v>4.1666666666666657E-2</v>
      </c>
      <c r="J488" s="3">
        <f t="shared" si="61"/>
        <v>3.3333333333333326E-2</v>
      </c>
      <c r="K488" s="3"/>
      <c r="L488" s="60">
        <f t="shared" si="63"/>
        <v>511.15250000000009</v>
      </c>
      <c r="M488" s="40">
        <v>0</v>
      </c>
      <c r="N488" s="40">
        <v>0</v>
      </c>
      <c r="O488" s="40">
        <v>0</v>
      </c>
      <c r="P488" s="40">
        <v>0</v>
      </c>
      <c r="Q488" s="40">
        <v>0</v>
      </c>
      <c r="R488" s="40">
        <v>0</v>
      </c>
      <c r="S488" s="61">
        <f t="shared" si="56"/>
        <v>105.80000000000011</v>
      </c>
      <c r="T488" s="40">
        <v>0</v>
      </c>
      <c r="U488" s="40">
        <v>0</v>
      </c>
      <c r="V488" s="40">
        <v>0</v>
      </c>
      <c r="W488" s="40">
        <v>0</v>
      </c>
      <c r="X488" s="67">
        <f t="shared" si="58"/>
        <v>110</v>
      </c>
      <c r="Z488" s="71"/>
      <c r="AA488" s="71"/>
      <c r="AB488" s="67" t="str">
        <f t="shared" si="57"/>
        <v/>
      </c>
      <c r="AD488" s="121"/>
      <c r="AE488" s="121"/>
    </row>
    <row r="489" spans="1:31" x14ac:dyDescent="0.25">
      <c r="A489" s="2" t="s">
        <v>870</v>
      </c>
      <c r="B489" s="65">
        <v>0.33333333333333331</v>
      </c>
      <c r="C489" s="3">
        <f t="shared" si="62"/>
        <v>5.2</v>
      </c>
      <c r="D489" s="10" t="s">
        <v>835</v>
      </c>
      <c r="E489" s="40">
        <v>22</v>
      </c>
      <c r="F489" s="40">
        <v>2.5</v>
      </c>
      <c r="G489" s="40">
        <v>0</v>
      </c>
      <c r="H489" s="3">
        <f t="shared" si="59"/>
        <v>4.7666666666666666</v>
      </c>
      <c r="I489" s="3">
        <f t="shared" si="60"/>
        <v>0.54166666666666674</v>
      </c>
      <c r="J489" s="3">
        <f t="shared" si="61"/>
        <v>0</v>
      </c>
      <c r="K489" s="3"/>
      <c r="L489" s="60">
        <f t="shared" si="63"/>
        <v>505.84416666666675</v>
      </c>
      <c r="M489" s="40">
        <v>0</v>
      </c>
      <c r="N489" s="40">
        <v>0</v>
      </c>
      <c r="O489" s="40">
        <v>0</v>
      </c>
      <c r="P489" s="40">
        <v>0</v>
      </c>
      <c r="Q489" s="40">
        <v>0</v>
      </c>
      <c r="R489" s="40">
        <v>0</v>
      </c>
      <c r="S489" s="61">
        <f t="shared" si="56"/>
        <v>105.80000000000011</v>
      </c>
      <c r="T489" s="40">
        <v>0</v>
      </c>
      <c r="U489" s="40">
        <v>0</v>
      </c>
      <c r="V489" s="40">
        <v>1</v>
      </c>
      <c r="W489" s="40">
        <v>0</v>
      </c>
      <c r="X489" s="67">
        <f t="shared" si="58"/>
        <v>109</v>
      </c>
      <c r="Z489" s="71"/>
      <c r="AA489" s="71"/>
      <c r="AB489" s="67" t="str">
        <f t="shared" si="57"/>
        <v/>
      </c>
      <c r="AD489" s="121"/>
      <c r="AE489" s="121"/>
    </row>
    <row r="490" spans="1:31" x14ac:dyDescent="0.25">
      <c r="A490" s="2" t="s">
        <v>870</v>
      </c>
      <c r="B490" s="7">
        <v>0.51250000000000007</v>
      </c>
      <c r="C490" s="3">
        <f t="shared" si="62"/>
        <v>4.3000000000000025</v>
      </c>
      <c r="D490" s="10" t="s">
        <v>796</v>
      </c>
      <c r="E490" s="40">
        <v>22</v>
      </c>
      <c r="F490" s="40">
        <v>2.5</v>
      </c>
      <c r="G490" s="40">
        <v>0</v>
      </c>
      <c r="H490" s="3">
        <f t="shared" si="59"/>
        <v>3.9416666666666687</v>
      </c>
      <c r="I490" s="3">
        <f t="shared" si="60"/>
        <v>0.44791666666666696</v>
      </c>
      <c r="J490" s="3">
        <f t="shared" si="61"/>
        <v>0</v>
      </c>
      <c r="K490" s="3"/>
      <c r="L490" s="60">
        <f t="shared" si="63"/>
        <v>501.4545833333334</v>
      </c>
      <c r="M490" s="40">
        <v>0</v>
      </c>
      <c r="N490" s="40">
        <v>0</v>
      </c>
      <c r="O490" s="40">
        <v>0</v>
      </c>
      <c r="P490" s="40">
        <v>0</v>
      </c>
      <c r="Q490" s="40">
        <v>0</v>
      </c>
      <c r="R490" s="40">
        <v>0</v>
      </c>
      <c r="S490" s="61">
        <f t="shared" si="56"/>
        <v>105.80000000000011</v>
      </c>
      <c r="T490" s="40">
        <v>0</v>
      </c>
      <c r="U490" s="40">
        <v>0</v>
      </c>
      <c r="V490" s="40">
        <v>0</v>
      </c>
      <c r="W490" s="40">
        <v>0</v>
      </c>
      <c r="X490" s="67">
        <f t="shared" si="58"/>
        <v>109</v>
      </c>
      <c r="Z490" s="71"/>
      <c r="AA490" s="71"/>
      <c r="AB490" s="67" t="str">
        <f t="shared" si="57"/>
        <v/>
      </c>
      <c r="AD490" s="121">
        <v>12.3</v>
      </c>
      <c r="AE490" s="121" t="s">
        <v>1296</v>
      </c>
    </row>
    <row r="491" spans="1:31" x14ac:dyDescent="0.25">
      <c r="A491" s="2" t="s">
        <v>870</v>
      </c>
      <c r="B491" s="7">
        <v>0.54583333333333328</v>
      </c>
      <c r="C491" s="3">
        <f t="shared" si="62"/>
        <v>0.79999999999999716</v>
      </c>
      <c r="D491" s="10" t="s">
        <v>812</v>
      </c>
      <c r="E491" s="40">
        <v>5</v>
      </c>
      <c r="F491" s="40">
        <v>2.5</v>
      </c>
      <c r="G491" s="40">
        <v>2</v>
      </c>
      <c r="H491" s="3">
        <f t="shared" si="59"/>
        <v>0.16666666666666607</v>
      </c>
      <c r="I491" s="3">
        <f t="shared" si="60"/>
        <v>8.3333333333333037E-2</v>
      </c>
      <c r="J491" s="3">
        <f t="shared" si="61"/>
        <v>6.666666666666643E-2</v>
      </c>
      <c r="K491" s="3"/>
      <c r="L491" s="60">
        <f t="shared" si="63"/>
        <v>501.13791666666674</v>
      </c>
      <c r="M491" s="40">
        <v>0</v>
      </c>
      <c r="N491" s="40">
        <v>0</v>
      </c>
      <c r="O491" s="40">
        <v>0</v>
      </c>
      <c r="P491" s="40">
        <v>0</v>
      </c>
      <c r="Q491" s="40">
        <v>0</v>
      </c>
      <c r="R491" s="40">
        <v>0</v>
      </c>
      <c r="S491" s="61">
        <f t="shared" si="56"/>
        <v>105.80000000000011</v>
      </c>
      <c r="T491" s="40">
        <v>0</v>
      </c>
      <c r="U491" s="40">
        <v>0</v>
      </c>
      <c r="V491" s="40">
        <v>0</v>
      </c>
      <c r="W491" s="40">
        <v>0</v>
      </c>
      <c r="X491" s="67">
        <f t="shared" si="58"/>
        <v>109</v>
      </c>
      <c r="Z491" s="71"/>
      <c r="AA491" s="71"/>
      <c r="AB491" s="67" t="str">
        <f t="shared" si="57"/>
        <v/>
      </c>
      <c r="AD491" s="121"/>
      <c r="AE491" s="121"/>
    </row>
    <row r="492" spans="1:31" x14ac:dyDescent="0.25">
      <c r="A492" s="2" t="s">
        <v>870</v>
      </c>
      <c r="B492" s="7">
        <v>0.69166666666666676</v>
      </c>
      <c r="C492" s="3">
        <f t="shared" si="62"/>
        <v>3.5000000000000036</v>
      </c>
      <c r="D492" s="10" t="s">
        <v>660</v>
      </c>
      <c r="E492" s="40">
        <v>0</v>
      </c>
      <c r="F492" s="40">
        <v>2.5</v>
      </c>
      <c r="G492" s="40">
        <v>2</v>
      </c>
      <c r="H492" s="3">
        <f t="shared" si="59"/>
        <v>0</v>
      </c>
      <c r="I492" s="3">
        <f t="shared" si="60"/>
        <v>0.3645833333333337</v>
      </c>
      <c r="J492" s="3">
        <f t="shared" si="61"/>
        <v>0.29166666666666696</v>
      </c>
      <c r="K492" s="3"/>
      <c r="L492" s="60">
        <f t="shared" si="63"/>
        <v>500.48166666666674</v>
      </c>
      <c r="M492" s="40">
        <v>0</v>
      </c>
      <c r="N492" s="40">
        <v>0</v>
      </c>
      <c r="O492" s="40">
        <v>0</v>
      </c>
      <c r="P492" s="40">
        <v>0</v>
      </c>
      <c r="Q492" s="40">
        <v>0</v>
      </c>
      <c r="R492" s="40">
        <v>0</v>
      </c>
      <c r="S492" s="61">
        <f t="shared" si="56"/>
        <v>105.80000000000011</v>
      </c>
      <c r="T492" s="40">
        <v>0</v>
      </c>
      <c r="U492" s="40">
        <v>0</v>
      </c>
      <c r="V492" s="40">
        <v>0</v>
      </c>
      <c r="W492" s="40">
        <v>0</v>
      </c>
      <c r="X492" s="67">
        <f t="shared" si="58"/>
        <v>109</v>
      </c>
      <c r="Z492" s="71"/>
      <c r="AA492" s="71"/>
      <c r="AB492" s="67" t="str">
        <f t="shared" si="57"/>
        <v/>
      </c>
      <c r="AD492" s="121"/>
      <c r="AE492" s="121"/>
    </row>
    <row r="493" spans="1:31" x14ac:dyDescent="0.25">
      <c r="A493" s="2" t="s">
        <v>870</v>
      </c>
      <c r="B493" s="7">
        <v>0.75</v>
      </c>
      <c r="C493" s="3">
        <f t="shared" si="62"/>
        <v>1.3999999999999977</v>
      </c>
      <c r="D493" s="10" t="s">
        <v>812</v>
      </c>
      <c r="E493" s="40">
        <v>5</v>
      </c>
      <c r="F493" s="40">
        <v>2.5</v>
      </c>
      <c r="G493" s="40">
        <v>2</v>
      </c>
      <c r="H493" s="3">
        <f t="shared" si="59"/>
        <v>0.29166666666666619</v>
      </c>
      <c r="I493" s="3">
        <f t="shared" si="60"/>
        <v>0.14583333333333309</v>
      </c>
      <c r="J493" s="3">
        <f t="shared" si="61"/>
        <v>0.11666666666666647</v>
      </c>
      <c r="K493" s="3"/>
      <c r="L493" s="60">
        <f t="shared" si="63"/>
        <v>499.92750000000007</v>
      </c>
      <c r="M493" s="40">
        <v>0</v>
      </c>
      <c r="N493" s="40">
        <v>0</v>
      </c>
      <c r="O493" s="40">
        <v>0</v>
      </c>
      <c r="P493" s="40">
        <v>0</v>
      </c>
      <c r="Q493" s="40">
        <v>0</v>
      </c>
      <c r="R493" s="40">
        <v>0</v>
      </c>
      <c r="S493" s="61">
        <f t="shared" ref="S493:S557" si="64">IF(C493="","",(S492+R493)-(M493+N493+O493+P493+Q493))</f>
        <v>105.80000000000011</v>
      </c>
      <c r="T493" s="40">
        <v>0</v>
      </c>
      <c r="U493" s="40">
        <v>0</v>
      </c>
      <c r="V493" s="40">
        <v>0</v>
      </c>
      <c r="W493" s="40">
        <v>0</v>
      </c>
      <c r="X493" s="67">
        <f t="shared" si="58"/>
        <v>109</v>
      </c>
      <c r="Z493" s="71"/>
      <c r="AA493" s="71"/>
      <c r="AB493" s="67" t="str">
        <f t="shared" si="57"/>
        <v/>
      </c>
      <c r="AD493" s="121"/>
      <c r="AE493" s="121"/>
    </row>
    <row r="494" spans="1:31" x14ac:dyDescent="0.25">
      <c r="A494" s="2" t="s">
        <v>870</v>
      </c>
      <c r="B494" s="7">
        <v>0.92499999999999993</v>
      </c>
      <c r="C494" s="3">
        <f t="shared" si="62"/>
        <v>4.1999999999999984</v>
      </c>
      <c r="D494" s="10" t="s">
        <v>799</v>
      </c>
      <c r="E494" s="40">
        <v>0</v>
      </c>
      <c r="F494" s="40">
        <v>2.5</v>
      </c>
      <c r="G494" s="40">
        <v>2</v>
      </c>
      <c r="H494" s="3">
        <f t="shared" si="59"/>
        <v>0</v>
      </c>
      <c r="I494" s="3">
        <f t="shared" si="60"/>
        <v>0.43749999999999983</v>
      </c>
      <c r="J494" s="3">
        <f t="shared" si="61"/>
        <v>0.34999999999999987</v>
      </c>
      <c r="K494" s="3"/>
      <c r="L494" s="60">
        <f t="shared" si="63"/>
        <v>499.14000000000004</v>
      </c>
      <c r="M494" s="40">
        <v>0</v>
      </c>
      <c r="N494" s="40">
        <v>0</v>
      </c>
      <c r="O494" s="40">
        <v>0</v>
      </c>
      <c r="P494" s="40">
        <v>0</v>
      </c>
      <c r="Q494" s="40">
        <v>0</v>
      </c>
      <c r="R494" s="40">
        <v>0</v>
      </c>
      <c r="S494" s="61">
        <f t="shared" si="64"/>
        <v>105.80000000000011</v>
      </c>
      <c r="T494" s="40">
        <v>0</v>
      </c>
      <c r="U494" s="40">
        <v>0</v>
      </c>
      <c r="V494" s="40">
        <v>0</v>
      </c>
      <c r="W494" s="40">
        <v>0</v>
      </c>
      <c r="X494" s="67">
        <f t="shared" si="58"/>
        <v>109</v>
      </c>
      <c r="Z494" s="71"/>
      <c r="AA494" s="71"/>
      <c r="AB494" s="67" t="str">
        <f t="shared" si="57"/>
        <v/>
      </c>
      <c r="AD494" s="121"/>
      <c r="AE494" s="121"/>
    </row>
    <row r="495" spans="1:31" x14ac:dyDescent="0.25">
      <c r="A495" s="2" t="s">
        <v>871</v>
      </c>
      <c r="B495" s="7">
        <v>0.26250000000000001</v>
      </c>
      <c r="C495" s="3">
        <f t="shared" si="62"/>
        <v>8.1000000000000032</v>
      </c>
      <c r="D495" s="10" t="s">
        <v>801</v>
      </c>
      <c r="E495" s="40">
        <v>0</v>
      </c>
      <c r="F495" s="40">
        <v>2.5</v>
      </c>
      <c r="G495" s="40">
        <v>2</v>
      </c>
      <c r="H495" s="3">
        <f t="shared" si="59"/>
        <v>0</v>
      </c>
      <c r="I495" s="3">
        <f t="shared" si="60"/>
        <v>0.84375000000000033</v>
      </c>
      <c r="J495" s="3">
        <f t="shared" si="61"/>
        <v>0.67500000000000027</v>
      </c>
      <c r="K495" s="3"/>
      <c r="L495" s="60">
        <f t="shared" si="63"/>
        <v>497.62125000000003</v>
      </c>
      <c r="M495" s="40">
        <v>0</v>
      </c>
      <c r="N495" s="40">
        <v>0</v>
      </c>
      <c r="O495" s="40">
        <v>0</v>
      </c>
      <c r="P495" s="40">
        <v>0</v>
      </c>
      <c r="Q495" s="40">
        <v>2</v>
      </c>
      <c r="R495" s="40">
        <v>0</v>
      </c>
      <c r="S495" s="61">
        <f t="shared" si="64"/>
        <v>103.80000000000011</v>
      </c>
      <c r="T495" s="40">
        <v>0</v>
      </c>
      <c r="U495" s="40">
        <v>0</v>
      </c>
      <c r="V495" s="40">
        <v>4</v>
      </c>
      <c r="W495" s="40">
        <v>0</v>
      </c>
      <c r="X495" s="67">
        <f t="shared" si="58"/>
        <v>105</v>
      </c>
      <c r="Z495" s="71"/>
      <c r="AA495" s="71"/>
      <c r="AB495" s="67" t="str">
        <f t="shared" si="57"/>
        <v/>
      </c>
      <c r="AD495" s="121"/>
      <c r="AE495" s="121"/>
    </row>
    <row r="496" spans="1:31" x14ac:dyDescent="0.25">
      <c r="A496" s="2" t="s">
        <v>871</v>
      </c>
      <c r="B496" s="65">
        <v>0.33333333333333331</v>
      </c>
      <c r="C496" s="3">
        <f t="shared" si="62"/>
        <v>1.6999999999999993</v>
      </c>
      <c r="D496" s="10" t="s">
        <v>872</v>
      </c>
      <c r="E496" s="40">
        <v>0</v>
      </c>
      <c r="F496" s="40">
        <v>2.5</v>
      </c>
      <c r="G496" s="40">
        <v>2</v>
      </c>
      <c r="H496" s="3">
        <f t="shared" si="59"/>
        <v>0</v>
      </c>
      <c r="I496" s="3">
        <f t="shared" si="60"/>
        <v>0.17708333333333326</v>
      </c>
      <c r="J496" s="3">
        <f t="shared" si="61"/>
        <v>0.14166666666666661</v>
      </c>
      <c r="K496" s="3"/>
      <c r="L496" s="60">
        <f t="shared" si="63"/>
        <v>497.30250000000001</v>
      </c>
      <c r="M496" s="40">
        <v>0</v>
      </c>
      <c r="N496" s="40">
        <v>0</v>
      </c>
      <c r="O496" s="40">
        <v>0</v>
      </c>
      <c r="P496" s="40">
        <v>0</v>
      </c>
      <c r="Q496" s="40">
        <v>0</v>
      </c>
      <c r="R496" s="40">
        <v>0</v>
      </c>
      <c r="S496" s="61">
        <f t="shared" si="64"/>
        <v>103.80000000000011</v>
      </c>
      <c r="T496" s="40">
        <v>0</v>
      </c>
      <c r="U496" s="40">
        <v>0</v>
      </c>
      <c r="V496" s="40">
        <v>0</v>
      </c>
      <c r="W496" s="40">
        <v>0</v>
      </c>
      <c r="X496" s="67">
        <f t="shared" si="58"/>
        <v>105</v>
      </c>
      <c r="Z496" s="71"/>
      <c r="AA496" s="71"/>
      <c r="AB496" s="67" t="str">
        <f t="shared" si="57"/>
        <v/>
      </c>
      <c r="AD496" s="121"/>
      <c r="AE496" s="121"/>
    </row>
    <row r="497" spans="1:31" x14ac:dyDescent="0.25">
      <c r="A497" s="2" t="s">
        <v>871</v>
      </c>
      <c r="B497" s="7">
        <v>0.40833333333333338</v>
      </c>
      <c r="C497" s="3">
        <f t="shared" si="62"/>
        <v>1.8000000000000016</v>
      </c>
      <c r="D497" s="10" t="s">
        <v>660</v>
      </c>
      <c r="E497" s="40">
        <v>0</v>
      </c>
      <c r="F497" s="40">
        <v>2.5</v>
      </c>
      <c r="G497" s="40">
        <v>2</v>
      </c>
      <c r="H497" s="3">
        <f t="shared" si="59"/>
        <v>0</v>
      </c>
      <c r="I497" s="3">
        <f t="shared" si="60"/>
        <v>0.18750000000000017</v>
      </c>
      <c r="J497" s="3">
        <f t="shared" si="61"/>
        <v>0.15000000000000013</v>
      </c>
      <c r="K497" s="3"/>
      <c r="L497" s="60">
        <f t="shared" si="63"/>
        <v>496.96500000000003</v>
      </c>
      <c r="M497" s="40">
        <v>0</v>
      </c>
      <c r="N497" s="40">
        <v>0</v>
      </c>
      <c r="O497" s="40">
        <v>0</v>
      </c>
      <c r="P497" s="40">
        <v>0</v>
      </c>
      <c r="Q497" s="40">
        <v>0</v>
      </c>
      <c r="R497" s="40">
        <v>0</v>
      </c>
      <c r="S497" s="61">
        <f t="shared" si="64"/>
        <v>103.80000000000011</v>
      </c>
      <c r="T497" s="40">
        <v>0</v>
      </c>
      <c r="U497" s="40">
        <v>0</v>
      </c>
      <c r="V497" s="40">
        <v>0</v>
      </c>
      <c r="W497" s="40">
        <v>0</v>
      </c>
      <c r="X497" s="67">
        <f t="shared" si="58"/>
        <v>105</v>
      </c>
      <c r="Z497" s="71"/>
      <c r="AA497" s="71"/>
      <c r="AB497" s="67" t="str">
        <f t="shared" si="57"/>
        <v/>
      </c>
      <c r="AD497" s="121"/>
      <c r="AE497" s="121"/>
    </row>
    <row r="498" spans="1:31" x14ac:dyDescent="0.25">
      <c r="A498" s="2" t="s">
        <v>871</v>
      </c>
      <c r="B498" s="7">
        <v>0.43333333333333335</v>
      </c>
      <c r="C498" s="3">
        <f t="shared" si="62"/>
        <v>0.5999999999999992</v>
      </c>
      <c r="D498" s="10" t="s">
        <v>821</v>
      </c>
      <c r="E498" s="40">
        <v>5</v>
      </c>
      <c r="F498" s="40">
        <v>2.5</v>
      </c>
      <c r="G498" s="40">
        <v>2</v>
      </c>
      <c r="H498" s="3">
        <f t="shared" si="59"/>
        <v>0.12499999999999983</v>
      </c>
      <c r="I498" s="3">
        <f t="shared" si="60"/>
        <v>6.2499999999999917E-2</v>
      </c>
      <c r="J498" s="3">
        <f t="shared" si="61"/>
        <v>4.9999999999999933E-2</v>
      </c>
      <c r="K498" s="3"/>
      <c r="L498" s="60">
        <f t="shared" si="63"/>
        <v>496.72750000000002</v>
      </c>
      <c r="M498" s="40">
        <v>0</v>
      </c>
      <c r="N498" s="40">
        <v>0</v>
      </c>
      <c r="O498" s="40">
        <v>0</v>
      </c>
      <c r="P498" s="40">
        <v>0</v>
      </c>
      <c r="Q498" s="40">
        <v>0</v>
      </c>
      <c r="R498" s="40">
        <v>0</v>
      </c>
      <c r="S498" s="61">
        <f t="shared" si="64"/>
        <v>103.80000000000011</v>
      </c>
      <c r="T498" s="40">
        <v>0</v>
      </c>
      <c r="U498" s="40">
        <v>0</v>
      </c>
      <c r="V498" s="40">
        <v>2</v>
      </c>
      <c r="W498" s="40">
        <v>0</v>
      </c>
      <c r="X498" s="67">
        <f t="shared" si="58"/>
        <v>103</v>
      </c>
      <c r="Z498" s="71"/>
      <c r="AA498" s="71"/>
      <c r="AB498" s="67" t="str">
        <f t="shared" si="57"/>
        <v/>
      </c>
      <c r="AD498" s="121"/>
      <c r="AE498" s="121"/>
    </row>
    <row r="499" spans="1:31" x14ac:dyDescent="0.25">
      <c r="A499" s="2" t="s">
        <v>873</v>
      </c>
      <c r="B499" s="7">
        <v>0.15833333333333333</v>
      </c>
      <c r="C499" s="3">
        <f t="shared" si="62"/>
        <v>17.399999999999999</v>
      </c>
      <c r="D499" s="10" t="s">
        <v>796</v>
      </c>
      <c r="E499" s="40">
        <v>22</v>
      </c>
      <c r="F499" s="40">
        <v>2.5</v>
      </c>
      <c r="G499" s="40">
        <v>0</v>
      </c>
      <c r="H499" s="3">
        <f t="shared" si="59"/>
        <v>15.949999999999998</v>
      </c>
      <c r="I499" s="3">
        <f t="shared" si="60"/>
        <v>1.8125</v>
      </c>
      <c r="J499" s="3">
        <f t="shared" si="61"/>
        <v>0</v>
      </c>
      <c r="K499" s="3"/>
      <c r="L499" s="60">
        <f t="shared" si="63"/>
        <v>478.96500000000003</v>
      </c>
      <c r="M499" s="40">
        <v>0</v>
      </c>
      <c r="N499" s="40">
        <v>0</v>
      </c>
      <c r="O499" s="40">
        <v>0</v>
      </c>
      <c r="P499" s="40">
        <v>0</v>
      </c>
      <c r="Q499" s="40">
        <v>0</v>
      </c>
      <c r="R499" s="40">
        <v>0</v>
      </c>
      <c r="S499" s="61">
        <f t="shared" si="64"/>
        <v>103.80000000000011</v>
      </c>
      <c r="T499" s="40">
        <v>0</v>
      </c>
      <c r="U499" s="40">
        <v>0</v>
      </c>
      <c r="V499" s="40">
        <v>3</v>
      </c>
      <c r="W499" s="40">
        <v>0</v>
      </c>
      <c r="X499" s="67">
        <f t="shared" si="58"/>
        <v>100</v>
      </c>
      <c r="Z499" s="71"/>
      <c r="AA499" s="71"/>
      <c r="AB499" s="67" t="str">
        <f t="shared" si="57"/>
        <v/>
      </c>
      <c r="AD499" s="121">
        <v>11.7</v>
      </c>
      <c r="AE499" s="121" t="s">
        <v>1309</v>
      </c>
    </row>
    <row r="500" spans="1:31" x14ac:dyDescent="0.25">
      <c r="A500" s="2" t="s">
        <v>873</v>
      </c>
      <c r="B500" s="7">
        <v>0.17916666666666667</v>
      </c>
      <c r="C500" s="3">
        <f t="shared" si="62"/>
        <v>0.50000000000000022</v>
      </c>
      <c r="D500" s="10" t="s">
        <v>812</v>
      </c>
      <c r="E500" s="40">
        <v>5</v>
      </c>
      <c r="F500" s="40">
        <v>2.5</v>
      </c>
      <c r="G500" s="40">
        <v>2</v>
      </c>
      <c r="H500" s="3">
        <f t="shared" si="59"/>
        <v>0.10416666666666671</v>
      </c>
      <c r="I500" s="3">
        <f t="shared" si="60"/>
        <v>5.2083333333333356E-2</v>
      </c>
      <c r="J500" s="3">
        <f t="shared" si="61"/>
        <v>4.1666666666666685E-2</v>
      </c>
      <c r="K500" s="3"/>
      <c r="L500" s="60">
        <f t="shared" si="63"/>
        <v>478.76708333333335</v>
      </c>
      <c r="M500" s="40">
        <v>0</v>
      </c>
      <c r="N500" s="40">
        <v>0</v>
      </c>
      <c r="O500" s="40">
        <v>0</v>
      </c>
      <c r="P500" s="40">
        <v>0</v>
      </c>
      <c r="Q500" s="40">
        <v>0</v>
      </c>
      <c r="R500" s="40">
        <v>0</v>
      </c>
      <c r="S500" s="61">
        <f t="shared" si="64"/>
        <v>103.80000000000011</v>
      </c>
      <c r="T500" s="40">
        <v>0</v>
      </c>
      <c r="U500" s="40">
        <v>0</v>
      </c>
      <c r="V500" s="40">
        <v>0</v>
      </c>
      <c r="W500" s="40">
        <v>0</v>
      </c>
      <c r="X500" s="67">
        <f t="shared" si="58"/>
        <v>100</v>
      </c>
      <c r="Z500" s="71"/>
      <c r="AA500" s="71"/>
      <c r="AB500" s="67" t="str">
        <f t="shared" si="57"/>
        <v/>
      </c>
      <c r="AD500" s="121"/>
      <c r="AE500" s="121"/>
    </row>
    <row r="501" spans="1:31" x14ac:dyDescent="0.25">
      <c r="A501" s="2" t="s">
        <v>873</v>
      </c>
      <c r="B501" s="7">
        <v>0.30833333333333335</v>
      </c>
      <c r="C501" s="3">
        <f t="shared" si="62"/>
        <v>3.1000000000000005</v>
      </c>
      <c r="D501" s="10" t="s">
        <v>660</v>
      </c>
      <c r="E501" s="40">
        <v>0</v>
      </c>
      <c r="F501" s="40">
        <v>2.5</v>
      </c>
      <c r="G501" s="40">
        <v>2</v>
      </c>
      <c r="H501" s="3">
        <f t="shared" si="59"/>
        <v>0</v>
      </c>
      <c r="I501" s="3">
        <f t="shared" si="60"/>
        <v>0.32291666666666674</v>
      </c>
      <c r="J501" s="3">
        <f t="shared" si="61"/>
        <v>0.25833333333333336</v>
      </c>
      <c r="K501" s="3"/>
      <c r="L501" s="60">
        <f t="shared" si="63"/>
        <v>478.18583333333333</v>
      </c>
      <c r="M501" s="40">
        <v>0</v>
      </c>
      <c r="N501" s="40">
        <v>0</v>
      </c>
      <c r="O501" s="40">
        <v>0</v>
      </c>
      <c r="P501" s="40">
        <v>0</v>
      </c>
      <c r="Q501" s="40">
        <v>0</v>
      </c>
      <c r="R501" s="40">
        <v>0</v>
      </c>
      <c r="S501" s="61">
        <f t="shared" si="64"/>
        <v>103.80000000000011</v>
      </c>
      <c r="T501" s="40">
        <v>0</v>
      </c>
      <c r="U501" s="40">
        <v>0</v>
      </c>
      <c r="V501" s="40">
        <v>0</v>
      </c>
      <c r="W501" s="40">
        <v>0</v>
      </c>
      <c r="X501" s="67">
        <f t="shared" si="58"/>
        <v>100</v>
      </c>
      <c r="Z501" s="71"/>
      <c r="AA501" s="71"/>
      <c r="AB501" s="67" t="str">
        <f t="shared" si="57"/>
        <v/>
      </c>
      <c r="AD501" s="121"/>
      <c r="AE501" s="121"/>
    </row>
    <row r="502" spans="1:31" x14ac:dyDescent="0.25">
      <c r="A502" s="2" t="s">
        <v>873</v>
      </c>
      <c r="B502" s="7">
        <v>0.32500000000000001</v>
      </c>
      <c r="C502" s="3">
        <f t="shared" si="62"/>
        <v>0.39999999999999991</v>
      </c>
      <c r="D502" s="10" t="s">
        <v>874</v>
      </c>
      <c r="E502" s="40">
        <v>5</v>
      </c>
      <c r="F502" s="40">
        <v>2.5</v>
      </c>
      <c r="G502" s="40">
        <v>2</v>
      </c>
      <c r="H502" s="3">
        <f t="shared" ref="H502:H541" si="65">+IF(E502="","",(E502/24)*C502)</f>
        <v>8.3333333333333315E-2</v>
      </c>
      <c r="I502" s="3">
        <f t="shared" ref="I502:I537" si="66">+IF(F502="","",(F502/24)*C502)</f>
        <v>4.1666666666666657E-2</v>
      </c>
      <c r="J502" s="3">
        <f t="shared" ref="J502:J537" si="67">+IF(G502="","",(G502/24)*C502)</f>
        <v>3.3333333333333326E-2</v>
      </c>
      <c r="K502" s="3"/>
      <c r="L502" s="60">
        <f t="shared" si="63"/>
        <v>478.02749999999997</v>
      </c>
      <c r="M502" s="40">
        <v>0</v>
      </c>
      <c r="N502" s="40">
        <v>0</v>
      </c>
      <c r="O502" s="40">
        <v>0</v>
      </c>
      <c r="P502" s="40">
        <v>0</v>
      </c>
      <c r="Q502" s="40">
        <v>0</v>
      </c>
      <c r="R502" s="40">
        <v>0</v>
      </c>
      <c r="S502" s="61">
        <f t="shared" si="64"/>
        <v>103.80000000000011</v>
      </c>
      <c r="T502" s="40">
        <v>0</v>
      </c>
      <c r="U502" s="40">
        <v>0</v>
      </c>
      <c r="V502" s="40">
        <v>0</v>
      </c>
      <c r="W502" s="40">
        <v>0</v>
      </c>
      <c r="X502" s="67">
        <f t="shared" si="58"/>
        <v>100</v>
      </c>
      <c r="Z502" s="71"/>
      <c r="AA502" s="71"/>
      <c r="AB502" s="67" t="str">
        <f t="shared" si="57"/>
        <v/>
      </c>
      <c r="AD502" s="121"/>
      <c r="AE502" s="121"/>
    </row>
    <row r="503" spans="1:31" x14ac:dyDescent="0.25">
      <c r="A503" s="2" t="s">
        <v>873</v>
      </c>
      <c r="B503" s="65">
        <v>0.33333333333333331</v>
      </c>
      <c r="C503" s="3">
        <f t="shared" si="62"/>
        <v>0.19999999999999929</v>
      </c>
      <c r="D503" s="10" t="s">
        <v>835</v>
      </c>
      <c r="E503" s="40">
        <v>10</v>
      </c>
      <c r="F503" s="40">
        <v>2.5</v>
      </c>
      <c r="G503" s="40">
        <v>0</v>
      </c>
      <c r="H503" s="3">
        <f t="shared" si="65"/>
        <v>8.3333333333333037E-2</v>
      </c>
      <c r="I503" s="3">
        <f t="shared" si="66"/>
        <v>2.0833333333333259E-2</v>
      </c>
      <c r="J503" s="3">
        <f t="shared" si="67"/>
        <v>0</v>
      </c>
      <c r="K503" s="3"/>
      <c r="L503" s="60">
        <f t="shared" si="63"/>
        <v>477.92333333333329</v>
      </c>
      <c r="M503" s="40">
        <v>0</v>
      </c>
      <c r="N503" s="40">
        <v>0</v>
      </c>
      <c r="O503" s="40">
        <v>0</v>
      </c>
      <c r="P503" s="40">
        <v>0</v>
      </c>
      <c r="Q503" s="40">
        <v>0</v>
      </c>
      <c r="R503" s="40">
        <v>0</v>
      </c>
      <c r="S503" s="61">
        <f t="shared" si="64"/>
        <v>103.80000000000011</v>
      </c>
      <c r="T503" s="40">
        <v>0</v>
      </c>
      <c r="U503" s="40">
        <v>0</v>
      </c>
      <c r="V503" s="40">
        <v>0</v>
      </c>
      <c r="W503" s="40">
        <v>0</v>
      </c>
      <c r="X503" s="67">
        <f t="shared" si="58"/>
        <v>100</v>
      </c>
      <c r="Z503" s="71"/>
      <c r="AA503" s="71"/>
      <c r="AB503" s="67" t="str">
        <f t="shared" si="57"/>
        <v/>
      </c>
      <c r="AD503" s="121"/>
      <c r="AE503" s="121"/>
    </row>
    <row r="504" spans="1:31" x14ac:dyDescent="0.25">
      <c r="A504" s="2" t="s">
        <v>873</v>
      </c>
      <c r="B504" s="7">
        <v>0.34166666666666662</v>
      </c>
      <c r="C504" s="3">
        <f t="shared" si="62"/>
        <v>0.19999999999999929</v>
      </c>
      <c r="D504" s="10" t="s">
        <v>796</v>
      </c>
      <c r="E504" s="40">
        <v>10</v>
      </c>
      <c r="F504" s="40">
        <v>2.5</v>
      </c>
      <c r="G504" s="40">
        <v>0</v>
      </c>
      <c r="H504" s="3">
        <f t="shared" si="65"/>
        <v>8.3333333333333037E-2</v>
      </c>
      <c r="I504" s="3">
        <f t="shared" si="66"/>
        <v>2.0833333333333259E-2</v>
      </c>
      <c r="J504" s="3">
        <f t="shared" si="67"/>
        <v>0</v>
      </c>
      <c r="K504" s="3"/>
      <c r="L504" s="60">
        <f t="shared" si="63"/>
        <v>477.8191666666666</v>
      </c>
      <c r="M504" s="40">
        <v>0</v>
      </c>
      <c r="N504" s="40">
        <v>0</v>
      </c>
      <c r="O504" s="40">
        <v>0</v>
      </c>
      <c r="P504" s="40">
        <v>0</v>
      </c>
      <c r="Q504" s="40">
        <v>0</v>
      </c>
      <c r="R504" s="40">
        <v>0</v>
      </c>
      <c r="S504" s="61">
        <f t="shared" si="64"/>
        <v>103.80000000000011</v>
      </c>
      <c r="T504" s="40">
        <v>0</v>
      </c>
      <c r="U504" s="40">
        <v>0</v>
      </c>
      <c r="V504" s="40">
        <v>0</v>
      </c>
      <c r="W504" s="40">
        <v>0</v>
      </c>
      <c r="X504" s="67">
        <f t="shared" si="58"/>
        <v>100</v>
      </c>
      <c r="Z504" s="71"/>
      <c r="AA504" s="71"/>
      <c r="AB504" s="67" t="str">
        <f t="shared" si="57"/>
        <v/>
      </c>
      <c r="AD504" s="121"/>
      <c r="AE504" s="121"/>
    </row>
    <row r="505" spans="1:31" x14ac:dyDescent="0.25">
      <c r="A505" s="2" t="s">
        <v>873</v>
      </c>
      <c r="B505" s="7">
        <v>0.4291666666666667</v>
      </c>
      <c r="C505" s="3">
        <f t="shared" si="62"/>
        <v>2.1000000000000019</v>
      </c>
      <c r="D505" s="10" t="s">
        <v>812</v>
      </c>
      <c r="E505" s="40">
        <v>5</v>
      </c>
      <c r="F505" s="40">
        <v>2.5</v>
      </c>
      <c r="G505" s="40">
        <v>2</v>
      </c>
      <c r="H505" s="3">
        <f t="shared" si="65"/>
        <v>0.43750000000000039</v>
      </c>
      <c r="I505" s="3">
        <f t="shared" si="66"/>
        <v>0.21875000000000019</v>
      </c>
      <c r="J505" s="3">
        <f t="shared" si="67"/>
        <v>0.17500000000000016</v>
      </c>
      <c r="K505" s="3"/>
      <c r="L505" s="60">
        <f t="shared" si="63"/>
        <v>476.98791666666659</v>
      </c>
      <c r="M505" s="40">
        <v>0</v>
      </c>
      <c r="N505" s="40">
        <v>0</v>
      </c>
      <c r="O505" s="40">
        <v>0</v>
      </c>
      <c r="P505" s="40">
        <v>0</v>
      </c>
      <c r="Q505" s="40">
        <v>0</v>
      </c>
      <c r="R505" s="40">
        <v>0</v>
      </c>
      <c r="S505" s="61">
        <f t="shared" si="64"/>
        <v>103.80000000000011</v>
      </c>
      <c r="T505" s="40">
        <v>0</v>
      </c>
      <c r="U505" s="40">
        <v>0</v>
      </c>
      <c r="V505" s="40">
        <v>2</v>
      </c>
      <c r="W505" s="40">
        <v>0</v>
      </c>
      <c r="X505" s="67">
        <f t="shared" si="58"/>
        <v>98</v>
      </c>
      <c r="Z505" s="71"/>
      <c r="AA505" s="71"/>
      <c r="AB505" s="67" t="str">
        <f t="shared" si="57"/>
        <v/>
      </c>
      <c r="AD505" s="121"/>
      <c r="AE505" s="121"/>
    </row>
    <row r="506" spans="1:31" x14ac:dyDescent="0.25">
      <c r="A506" s="2" t="s">
        <v>873</v>
      </c>
      <c r="B506" s="7">
        <v>0.77500000000000002</v>
      </c>
      <c r="C506" s="3">
        <f t="shared" si="62"/>
        <v>8.3000000000000007</v>
      </c>
      <c r="D506" s="10" t="s">
        <v>826</v>
      </c>
      <c r="E506" s="40">
        <v>0</v>
      </c>
      <c r="F506" s="40">
        <v>2.5</v>
      </c>
      <c r="G506" s="40">
        <v>2</v>
      </c>
      <c r="H506" s="3">
        <f t="shared" si="65"/>
        <v>0</v>
      </c>
      <c r="I506" s="3">
        <f t="shared" si="66"/>
        <v>0.86458333333333348</v>
      </c>
      <c r="J506" s="3">
        <f t="shared" si="67"/>
        <v>0.69166666666666665</v>
      </c>
      <c r="K506" s="3"/>
      <c r="L506" s="60">
        <f t="shared" si="63"/>
        <v>475.43166666666662</v>
      </c>
      <c r="M506" s="40">
        <v>0</v>
      </c>
      <c r="N506" s="40">
        <v>0</v>
      </c>
      <c r="O506" s="40">
        <v>0</v>
      </c>
      <c r="P506" s="40">
        <v>0</v>
      </c>
      <c r="Q506" s="40">
        <v>0</v>
      </c>
      <c r="R506" s="40">
        <v>0</v>
      </c>
      <c r="S506" s="61">
        <f t="shared" si="64"/>
        <v>103.80000000000011</v>
      </c>
      <c r="T506" s="40">
        <v>0</v>
      </c>
      <c r="U506" s="40">
        <v>0</v>
      </c>
      <c r="V506" s="40">
        <v>0</v>
      </c>
      <c r="W506" s="40">
        <v>0</v>
      </c>
      <c r="X506" s="67">
        <f t="shared" si="58"/>
        <v>98</v>
      </c>
      <c r="Z506" s="71"/>
      <c r="AA506" s="71"/>
      <c r="AB506" s="67" t="str">
        <f t="shared" si="57"/>
        <v/>
      </c>
      <c r="AD506" s="121"/>
      <c r="AE506" s="121"/>
    </row>
    <row r="507" spans="1:31" x14ac:dyDescent="0.25">
      <c r="A507" s="2" t="s">
        <v>875</v>
      </c>
      <c r="B507" s="65">
        <v>0.33333333333333331</v>
      </c>
      <c r="C507" s="3">
        <f t="shared" si="62"/>
        <v>13.399999999999999</v>
      </c>
      <c r="D507" s="10" t="s">
        <v>828</v>
      </c>
      <c r="E507" s="40">
        <v>0</v>
      </c>
      <c r="F507" s="40">
        <v>2.5</v>
      </c>
      <c r="G507" s="40">
        <v>2</v>
      </c>
      <c r="H507" s="3">
        <f t="shared" si="65"/>
        <v>0</v>
      </c>
      <c r="I507" s="3">
        <f t="shared" si="66"/>
        <v>1.3958333333333333</v>
      </c>
      <c r="J507" s="3">
        <f t="shared" si="67"/>
        <v>1.1166666666666665</v>
      </c>
      <c r="K507" s="3"/>
      <c r="L507" s="60">
        <f t="shared" si="63"/>
        <v>472.91916666666663</v>
      </c>
      <c r="M507" s="40">
        <v>0</v>
      </c>
      <c r="N507" s="40">
        <v>0</v>
      </c>
      <c r="O507" s="40">
        <v>0</v>
      </c>
      <c r="P507" s="40">
        <v>0</v>
      </c>
      <c r="Q507" s="40">
        <v>0</v>
      </c>
      <c r="R507" s="40">
        <v>0</v>
      </c>
      <c r="S507" s="61">
        <f t="shared" si="64"/>
        <v>103.80000000000011</v>
      </c>
      <c r="T507" s="40">
        <v>0</v>
      </c>
      <c r="U507" s="40">
        <v>0</v>
      </c>
      <c r="V507" s="40">
        <v>3</v>
      </c>
      <c r="W507" s="40">
        <v>0</v>
      </c>
      <c r="X507" s="67">
        <f t="shared" si="58"/>
        <v>95</v>
      </c>
      <c r="Z507" s="71"/>
      <c r="AA507" s="71"/>
      <c r="AB507" s="67" t="str">
        <f t="shared" si="57"/>
        <v/>
      </c>
      <c r="AD507" s="121"/>
      <c r="AE507" s="121"/>
    </row>
    <row r="508" spans="1:31" x14ac:dyDescent="0.25">
      <c r="A508" s="2" t="s">
        <v>876</v>
      </c>
      <c r="B508" s="65">
        <v>0.33333333333333331</v>
      </c>
      <c r="C508" s="3">
        <v>24</v>
      </c>
      <c r="D508" s="10" t="s">
        <v>828</v>
      </c>
      <c r="E508" s="40">
        <v>0</v>
      </c>
      <c r="F508" s="40">
        <v>2.5</v>
      </c>
      <c r="G508" s="40">
        <v>2</v>
      </c>
      <c r="H508" s="3">
        <f t="shared" si="65"/>
        <v>0</v>
      </c>
      <c r="I508" s="3">
        <f t="shared" si="66"/>
        <v>2.5</v>
      </c>
      <c r="J508" s="3">
        <f t="shared" si="67"/>
        <v>2</v>
      </c>
      <c r="K508" s="3"/>
      <c r="L508" s="60">
        <f t="shared" si="63"/>
        <v>468.41916666666663</v>
      </c>
      <c r="M508" s="40">
        <v>0</v>
      </c>
      <c r="N508" s="40">
        <v>0</v>
      </c>
      <c r="O508" s="40">
        <v>0</v>
      </c>
      <c r="P508" s="40">
        <v>0</v>
      </c>
      <c r="Q508" s="40">
        <v>0</v>
      </c>
      <c r="R508" s="40">
        <v>0</v>
      </c>
      <c r="S508" s="61">
        <f t="shared" si="64"/>
        <v>103.80000000000011</v>
      </c>
      <c r="T508" s="40">
        <v>0</v>
      </c>
      <c r="U508" s="40">
        <v>0</v>
      </c>
      <c r="V508" s="40">
        <v>5</v>
      </c>
      <c r="W508" s="40">
        <v>0</v>
      </c>
      <c r="X508" s="67">
        <f t="shared" si="58"/>
        <v>90</v>
      </c>
      <c r="Z508" s="71"/>
      <c r="AA508" s="71"/>
      <c r="AB508" s="67" t="str">
        <f t="shared" si="57"/>
        <v/>
      </c>
      <c r="AD508" s="121"/>
      <c r="AE508" s="121"/>
    </row>
    <row r="509" spans="1:31" x14ac:dyDescent="0.25">
      <c r="A509" s="2" t="s">
        <v>877</v>
      </c>
      <c r="B509" s="65">
        <v>0.33333333333333331</v>
      </c>
      <c r="C509" s="3">
        <v>24</v>
      </c>
      <c r="D509" s="10" t="s">
        <v>828</v>
      </c>
      <c r="E509" s="40">
        <v>0</v>
      </c>
      <c r="F509" s="40">
        <v>2.5</v>
      </c>
      <c r="G509" s="40">
        <v>2</v>
      </c>
      <c r="H509" s="3">
        <f t="shared" si="65"/>
        <v>0</v>
      </c>
      <c r="I509" s="3">
        <f t="shared" si="66"/>
        <v>2.5</v>
      </c>
      <c r="J509" s="3">
        <f t="shared" si="67"/>
        <v>2</v>
      </c>
      <c r="K509" s="3"/>
      <c r="L509" s="60">
        <f t="shared" si="63"/>
        <v>463.91916666666663</v>
      </c>
      <c r="M509" s="40">
        <v>0</v>
      </c>
      <c r="N509" s="40">
        <v>0</v>
      </c>
      <c r="O509" s="40">
        <v>0</v>
      </c>
      <c r="P509" s="40">
        <v>0</v>
      </c>
      <c r="Q509" s="40">
        <v>0</v>
      </c>
      <c r="R509" s="40">
        <v>0</v>
      </c>
      <c r="S509" s="61">
        <f t="shared" si="64"/>
        <v>103.80000000000011</v>
      </c>
      <c r="T509" s="40">
        <v>0</v>
      </c>
      <c r="U509" s="40">
        <v>0</v>
      </c>
      <c r="V509" s="40">
        <v>5</v>
      </c>
      <c r="W509" s="40">
        <v>0</v>
      </c>
      <c r="X509" s="67">
        <f t="shared" si="58"/>
        <v>85</v>
      </c>
      <c r="Z509" s="71"/>
      <c r="AA509" s="71"/>
      <c r="AB509" s="67" t="str">
        <f t="shared" si="57"/>
        <v/>
      </c>
      <c r="AD509" s="121"/>
      <c r="AE509" s="121"/>
    </row>
    <row r="510" spans="1:31" x14ac:dyDescent="0.25">
      <c r="A510" s="2" t="s">
        <v>877</v>
      </c>
      <c r="B510" s="7">
        <v>0.84166666666666667</v>
      </c>
      <c r="C510" s="3">
        <f t="shared" si="62"/>
        <v>12.2</v>
      </c>
      <c r="D510" s="10" t="s">
        <v>878</v>
      </c>
      <c r="E510" s="40">
        <v>0</v>
      </c>
      <c r="F510" s="40">
        <v>2.5</v>
      </c>
      <c r="G510" s="40">
        <v>2</v>
      </c>
      <c r="H510" s="3">
        <f t="shared" si="65"/>
        <v>0</v>
      </c>
      <c r="I510" s="3">
        <f t="shared" si="66"/>
        <v>1.2708333333333333</v>
      </c>
      <c r="J510" s="3">
        <f t="shared" si="67"/>
        <v>1.0166666666666666</v>
      </c>
      <c r="K510" s="3"/>
      <c r="L510" s="60">
        <f t="shared" si="63"/>
        <v>461.6316666666666</v>
      </c>
      <c r="M510" s="40">
        <v>0</v>
      </c>
      <c r="N510" s="40">
        <v>0</v>
      </c>
      <c r="O510" s="40">
        <v>0</v>
      </c>
      <c r="P510" s="40">
        <v>0</v>
      </c>
      <c r="Q510" s="40">
        <v>0</v>
      </c>
      <c r="R510" s="40">
        <v>0</v>
      </c>
      <c r="S510" s="61">
        <f t="shared" si="64"/>
        <v>103.80000000000011</v>
      </c>
      <c r="T510" s="40">
        <v>0</v>
      </c>
      <c r="U510" s="40">
        <v>0</v>
      </c>
      <c r="V510" s="40">
        <v>3</v>
      </c>
      <c r="W510" s="40">
        <v>0</v>
      </c>
      <c r="X510" s="67">
        <f t="shared" si="58"/>
        <v>82</v>
      </c>
      <c r="Z510" s="71"/>
      <c r="AA510" s="71"/>
      <c r="AB510" s="67" t="str">
        <f t="shared" si="57"/>
        <v/>
      </c>
      <c r="AD510" s="121"/>
      <c r="AE510" s="121"/>
    </row>
    <row r="511" spans="1:31" x14ac:dyDescent="0.25">
      <c r="A511" s="2" t="s">
        <v>879</v>
      </c>
      <c r="B511" s="7">
        <v>0.15</v>
      </c>
      <c r="C511" s="3">
        <f t="shared" si="62"/>
        <v>7.3999999999999986</v>
      </c>
      <c r="D511" s="10" t="s">
        <v>660</v>
      </c>
      <c r="E511" s="40">
        <v>0</v>
      </c>
      <c r="F511" s="40">
        <v>2.5</v>
      </c>
      <c r="G511" s="40">
        <v>2</v>
      </c>
      <c r="H511" s="3">
        <f t="shared" si="65"/>
        <v>0</v>
      </c>
      <c r="I511" s="3">
        <f t="shared" si="66"/>
        <v>0.77083333333333326</v>
      </c>
      <c r="J511" s="3">
        <f t="shared" si="67"/>
        <v>0.61666666666666647</v>
      </c>
      <c r="K511" s="3"/>
      <c r="L511" s="60">
        <f t="shared" si="63"/>
        <v>460.24416666666662</v>
      </c>
      <c r="M511" s="40">
        <v>0</v>
      </c>
      <c r="N511" s="40">
        <v>0</v>
      </c>
      <c r="O511" s="40">
        <v>0</v>
      </c>
      <c r="P511" s="40">
        <v>0</v>
      </c>
      <c r="Q511" s="40">
        <v>0</v>
      </c>
      <c r="R511" s="40">
        <v>0</v>
      </c>
      <c r="S511" s="61">
        <f t="shared" si="64"/>
        <v>103.80000000000011</v>
      </c>
      <c r="T511" s="40">
        <v>0</v>
      </c>
      <c r="U511" s="40">
        <v>0</v>
      </c>
      <c r="V511" s="40">
        <v>0</v>
      </c>
      <c r="W511" s="40">
        <v>0</v>
      </c>
      <c r="X511" s="67">
        <f t="shared" si="58"/>
        <v>82</v>
      </c>
      <c r="Z511" s="71"/>
      <c r="AA511" s="71"/>
      <c r="AB511" s="67" t="str">
        <f t="shared" si="57"/>
        <v/>
      </c>
      <c r="AD511" s="121"/>
      <c r="AE511" s="121"/>
    </row>
    <row r="512" spans="1:31" x14ac:dyDescent="0.25">
      <c r="A512" s="2" t="s">
        <v>879</v>
      </c>
      <c r="B512" s="7">
        <v>0.17916666666666667</v>
      </c>
      <c r="C512" s="3">
        <f t="shared" si="62"/>
        <v>0.70000000000000018</v>
      </c>
      <c r="D512" s="10" t="s">
        <v>790</v>
      </c>
      <c r="E512" s="40">
        <v>5</v>
      </c>
      <c r="F512" s="40">
        <v>2.5</v>
      </c>
      <c r="G512" s="40">
        <v>2</v>
      </c>
      <c r="H512" s="3">
        <f t="shared" si="65"/>
        <v>0.14583333333333337</v>
      </c>
      <c r="I512" s="3">
        <f t="shared" si="66"/>
        <v>7.2916666666666685E-2</v>
      </c>
      <c r="J512" s="3">
        <f t="shared" si="67"/>
        <v>5.8333333333333348E-2</v>
      </c>
      <c r="K512" s="3"/>
      <c r="L512" s="60">
        <f t="shared" si="63"/>
        <v>459.96708333333328</v>
      </c>
      <c r="M512" s="40">
        <v>0</v>
      </c>
      <c r="N512" s="40">
        <v>0</v>
      </c>
      <c r="O512" s="40">
        <v>0</v>
      </c>
      <c r="P512" s="40">
        <v>0</v>
      </c>
      <c r="Q512" s="40">
        <v>0</v>
      </c>
      <c r="R512" s="40">
        <v>0</v>
      </c>
      <c r="S512" s="61">
        <f t="shared" si="64"/>
        <v>103.80000000000011</v>
      </c>
      <c r="T512" s="40">
        <v>0</v>
      </c>
      <c r="U512" s="40">
        <v>0</v>
      </c>
      <c r="V512" s="40">
        <v>0</v>
      </c>
      <c r="W512" s="40">
        <v>0</v>
      </c>
      <c r="X512" s="67">
        <f t="shared" si="58"/>
        <v>82</v>
      </c>
      <c r="Z512" s="71"/>
      <c r="AA512" s="71"/>
      <c r="AB512" s="67" t="str">
        <f t="shared" si="57"/>
        <v/>
      </c>
      <c r="AD512" s="121"/>
      <c r="AE512" s="121"/>
    </row>
    <row r="513" spans="1:31" x14ac:dyDescent="0.25">
      <c r="A513" s="2" t="s">
        <v>879</v>
      </c>
      <c r="B513" s="7">
        <v>0.20416666666666669</v>
      </c>
      <c r="C513" s="3">
        <f t="shared" si="62"/>
        <v>0.60000000000000053</v>
      </c>
      <c r="D513" s="10" t="s">
        <v>796</v>
      </c>
      <c r="E513" s="40">
        <v>10</v>
      </c>
      <c r="F513" s="40">
        <v>2.5</v>
      </c>
      <c r="G513" s="40">
        <v>2</v>
      </c>
      <c r="H513" s="3">
        <f t="shared" si="65"/>
        <v>0.25000000000000022</v>
      </c>
      <c r="I513" s="3">
        <f t="shared" si="66"/>
        <v>6.2500000000000056E-2</v>
      </c>
      <c r="J513" s="3">
        <f t="shared" si="67"/>
        <v>5.0000000000000044E-2</v>
      </c>
      <c r="K513" s="3"/>
      <c r="L513" s="60">
        <f t="shared" si="63"/>
        <v>459.60458333333327</v>
      </c>
      <c r="M513" s="40">
        <v>0</v>
      </c>
      <c r="N513" s="40">
        <v>0</v>
      </c>
      <c r="O513" s="40">
        <v>0</v>
      </c>
      <c r="P513" s="40">
        <v>0</v>
      </c>
      <c r="Q513" s="40">
        <v>0</v>
      </c>
      <c r="R513" s="40">
        <v>0</v>
      </c>
      <c r="S513" s="61">
        <f t="shared" si="64"/>
        <v>103.80000000000011</v>
      </c>
      <c r="T513" s="40">
        <v>0</v>
      </c>
      <c r="U513" s="40">
        <v>0</v>
      </c>
      <c r="V513" s="40">
        <v>0</v>
      </c>
      <c r="W513" s="40">
        <v>0</v>
      </c>
      <c r="X513" s="67">
        <f t="shared" si="58"/>
        <v>82</v>
      </c>
      <c r="Z513" s="71"/>
      <c r="AA513" s="71"/>
      <c r="AB513" s="67" t="str">
        <f t="shared" si="57"/>
        <v/>
      </c>
      <c r="AD513" s="121"/>
      <c r="AE513" s="121"/>
    </row>
    <row r="514" spans="1:31" x14ac:dyDescent="0.25">
      <c r="A514" s="2" t="s">
        <v>879</v>
      </c>
      <c r="B514" s="7">
        <v>0.20833333333333334</v>
      </c>
      <c r="C514" s="3">
        <f t="shared" si="62"/>
        <v>9.9999999999999645E-2</v>
      </c>
      <c r="D514" s="10" t="s">
        <v>812</v>
      </c>
      <c r="E514" s="40">
        <v>5</v>
      </c>
      <c r="F514" s="40">
        <v>2.5</v>
      </c>
      <c r="G514" s="40">
        <v>2</v>
      </c>
      <c r="H514" s="3">
        <f t="shared" si="65"/>
        <v>2.0833333333333259E-2</v>
      </c>
      <c r="I514" s="3">
        <f t="shared" si="66"/>
        <v>1.041666666666663E-2</v>
      </c>
      <c r="J514" s="3">
        <f t="shared" si="67"/>
        <v>8.3333333333333037E-3</v>
      </c>
      <c r="K514" s="3"/>
      <c r="L514" s="60">
        <f t="shared" si="63"/>
        <v>459.56499999999994</v>
      </c>
      <c r="M514" s="40">
        <v>0</v>
      </c>
      <c r="N514" s="40">
        <v>0</v>
      </c>
      <c r="O514" s="40">
        <v>0</v>
      </c>
      <c r="P514" s="40">
        <v>0</v>
      </c>
      <c r="Q514" s="40">
        <v>0</v>
      </c>
      <c r="R514" s="40">
        <v>0</v>
      </c>
      <c r="S514" s="61">
        <f t="shared" si="64"/>
        <v>103.80000000000011</v>
      </c>
      <c r="T514" s="40">
        <v>0</v>
      </c>
      <c r="U514" s="40">
        <v>0</v>
      </c>
      <c r="V514" s="40">
        <v>0</v>
      </c>
      <c r="W514" s="40">
        <v>0</v>
      </c>
      <c r="X514" s="67">
        <f t="shared" si="58"/>
        <v>82</v>
      </c>
      <c r="Z514" s="71"/>
      <c r="AA514" s="71"/>
      <c r="AB514" s="67" t="str">
        <f t="shared" si="57"/>
        <v/>
      </c>
      <c r="AD514" s="121"/>
      <c r="AE514" s="121"/>
    </row>
    <row r="515" spans="1:31" x14ac:dyDescent="0.25">
      <c r="A515" s="2" t="s">
        <v>879</v>
      </c>
      <c r="B515" s="65">
        <v>0.33333333333333331</v>
      </c>
      <c r="C515" s="3">
        <f t="shared" si="62"/>
        <v>2.9999999999999991</v>
      </c>
      <c r="D515" s="10" t="s">
        <v>806</v>
      </c>
      <c r="E515" s="40">
        <v>0</v>
      </c>
      <c r="F515" s="40">
        <v>2.5</v>
      </c>
      <c r="G515" s="40">
        <v>2</v>
      </c>
      <c r="H515" s="3">
        <f t="shared" si="65"/>
        <v>0</v>
      </c>
      <c r="I515" s="3">
        <f t="shared" si="66"/>
        <v>0.31249999999999994</v>
      </c>
      <c r="J515" s="3">
        <f t="shared" si="67"/>
        <v>0.24999999999999992</v>
      </c>
      <c r="K515" s="3"/>
      <c r="L515" s="60">
        <f t="shared" si="63"/>
        <v>459.00249999999994</v>
      </c>
      <c r="M515" s="40">
        <v>0</v>
      </c>
      <c r="N515" s="40">
        <v>0</v>
      </c>
      <c r="O515" s="40">
        <v>0</v>
      </c>
      <c r="P515" s="40">
        <v>0</v>
      </c>
      <c r="Q515" s="40">
        <v>0</v>
      </c>
      <c r="R515" s="40">
        <v>0</v>
      </c>
      <c r="S515" s="61">
        <f t="shared" si="64"/>
        <v>103.80000000000011</v>
      </c>
      <c r="T515" s="40">
        <v>0</v>
      </c>
      <c r="U515" s="40">
        <v>0</v>
      </c>
      <c r="V515" s="40">
        <v>2</v>
      </c>
      <c r="W515" s="40">
        <v>0</v>
      </c>
      <c r="X515" s="67">
        <f t="shared" si="58"/>
        <v>80</v>
      </c>
      <c r="Z515" s="71"/>
      <c r="AA515" s="71"/>
      <c r="AB515" s="67" t="str">
        <f t="shared" si="57"/>
        <v/>
      </c>
      <c r="AD515" s="121"/>
      <c r="AE515" s="121"/>
    </row>
    <row r="516" spans="1:31" x14ac:dyDescent="0.25">
      <c r="A516" s="2" t="s">
        <v>880</v>
      </c>
      <c r="B516" s="65">
        <v>0.33333333333333331</v>
      </c>
      <c r="C516" s="3">
        <v>24</v>
      </c>
      <c r="D516" s="10" t="s">
        <v>806</v>
      </c>
      <c r="E516" s="40">
        <v>0</v>
      </c>
      <c r="F516" s="40">
        <v>2.5</v>
      </c>
      <c r="G516" s="40">
        <v>2</v>
      </c>
      <c r="H516" s="3">
        <f t="shared" si="65"/>
        <v>0</v>
      </c>
      <c r="I516" s="3">
        <f t="shared" si="66"/>
        <v>2.5</v>
      </c>
      <c r="J516" s="3">
        <f t="shared" si="67"/>
        <v>2</v>
      </c>
      <c r="K516" s="3"/>
      <c r="L516" s="60">
        <f t="shared" si="63"/>
        <v>454.50249999999994</v>
      </c>
      <c r="M516" s="40">
        <v>0</v>
      </c>
      <c r="N516" s="40">
        <v>0</v>
      </c>
      <c r="O516" s="40">
        <v>0</v>
      </c>
      <c r="P516" s="40">
        <v>0</v>
      </c>
      <c r="Q516" s="40">
        <v>0</v>
      </c>
      <c r="R516" s="40">
        <v>0</v>
      </c>
      <c r="S516" s="61">
        <f t="shared" si="64"/>
        <v>103.80000000000011</v>
      </c>
      <c r="T516" s="40">
        <v>0</v>
      </c>
      <c r="U516" s="40">
        <v>0</v>
      </c>
      <c r="V516" s="40">
        <v>5</v>
      </c>
      <c r="W516" s="40">
        <v>0</v>
      </c>
      <c r="X516" s="67">
        <f t="shared" si="58"/>
        <v>75</v>
      </c>
      <c r="Z516" s="71"/>
      <c r="AA516" s="71"/>
      <c r="AB516" s="67" t="str">
        <f t="shared" si="57"/>
        <v/>
      </c>
      <c r="AD516" s="121"/>
      <c r="AE516" s="121"/>
    </row>
    <row r="517" spans="1:31" x14ac:dyDescent="0.25">
      <c r="A517" s="2" t="s">
        <v>880</v>
      </c>
      <c r="B517" s="7">
        <v>0.48749999999999999</v>
      </c>
      <c r="C517" s="3">
        <f t="shared" si="62"/>
        <v>3.7</v>
      </c>
      <c r="D517" s="10" t="s">
        <v>660</v>
      </c>
      <c r="E517" s="40">
        <v>0</v>
      </c>
      <c r="F517" s="40">
        <v>2.5</v>
      </c>
      <c r="G517" s="40">
        <v>2</v>
      </c>
      <c r="H517" s="3">
        <f t="shared" si="65"/>
        <v>0</v>
      </c>
      <c r="I517" s="3">
        <f t="shared" si="66"/>
        <v>0.38541666666666669</v>
      </c>
      <c r="J517" s="3">
        <f t="shared" si="67"/>
        <v>0.30833333333333335</v>
      </c>
      <c r="K517" s="3"/>
      <c r="L517" s="60">
        <f t="shared" si="63"/>
        <v>453.80874999999992</v>
      </c>
      <c r="M517" s="40">
        <v>0</v>
      </c>
      <c r="N517" s="40">
        <v>0</v>
      </c>
      <c r="O517" s="40">
        <v>0</v>
      </c>
      <c r="P517" s="40">
        <v>0</v>
      </c>
      <c r="Q517" s="40">
        <v>0</v>
      </c>
      <c r="R517" s="40">
        <v>0</v>
      </c>
      <c r="S517" s="61">
        <f t="shared" si="64"/>
        <v>103.80000000000011</v>
      </c>
      <c r="T517" s="40">
        <v>0</v>
      </c>
      <c r="U517" s="40">
        <v>0</v>
      </c>
      <c r="V517" s="40">
        <v>0</v>
      </c>
      <c r="W517" s="40">
        <v>0</v>
      </c>
      <c r="X517" s="67">
        <f t="shared" si="58"/>
        <v>75</v>
      </c>
      <c r="Z517" s="71"/>
      <c r="AA517" s="71"/>
      <c r="AB517" s="67" t="str">
        <f t="shared" si="57"/>
        <v/>
      </c>
      <c r="AD517" s="121"/>
      <c r="AE517" s="121"/>
    </row>
    <row r="518" spans="1:31" x14ac:dyDescent="0.25">
      <c r="A518" s="2" t="s">
        <v>880</v>
      </c>
      <c r="B518" s="7">
        <v>0.5</v>
      </c>
      <c r="C518" s="3">
        <f t="shared" si="62"/>
        <v>0.30000000000000027</v>
      </c>
      <c r="D518" s="10" t="s">
        <v>882</v>
      </c>
      <c r="E518" s="40">
        <v>5</v>
      </c>
      <c r="F518" s="40">
        <v>2.5</v>
      </c>
      <c r="G518" s="40">
        <v>2</v>
      </c>
      <c r="H518" s="3">
        <f t="shared" si="65"/>
        <v>6.2500000000000056E-2</v>
      </c>
      <c r="I518" s="3">
        <f t="shared" si="66"/>
        <v>3.1250000000000028E-2</v>
      </c>
      <c r="J518" s="3">
        <f t="shared" si="67"/>
        <v>2.5000000000000022E-2</v>
      </c>
      <c r="K518" s="3"/>
      <c r="L518" s="60">
        <f t="shared" si="63"/>
        <v>453.68999999999994</v>
      </c>
      <c r="M518" s="40">
        <v>0</v>
      </c>
      <c r="N518" s="40">
        <v>0</v>
      </c>
      <c r="O518" s="40">
        <v>0</v>
      </c>
      <c r="P518" s="40">
        <v>0</v>
      </c>
      <c r="Q518" s="40">
        <v>0</v>
      </c>
      <c r="R518" s="40">
        <v>0</v>
      </c>
      <c r="S518" s="61">
        <f t="shared" si="64"/>
        <v>103.80000000000011</v>
      </c>
      <c r="T518" s="40">
        <v>0</v>
      </c>
      <c r="U518" s="40">
        <v>0</v>
      </c>
      <c r="V518" s="40">
        <v>0</v>
      </c>
      <c r="W518" s="40">
        <v>0</v>
      </c>
      <c r="X518" s="67">
        <f t="shared" si="58"/>
        <v>75</v>
      </c>
      <c r="Z518" s="71"/>
      <c r="AA518" s="71"/>
      <c r="AB518" s="67" t="str">
        <f t="shared" si="57"/>
        <v/>
      </c>
      <c r="AD518" s="121"/>
      <c r="AE518" s="121"/>
    </row>
    <row r="519" spans="1:31" x14ac:dyDescent="0.25">
      <c r="A519" s="2" t="s">
        <v>880</v>
      </c>
      <c r="B519" s="7">
        <v>0.51666666666666672</v>
      </c>
      <c r="C519" s="3">
        <f t="shared" si="62"/>
        <v>0.40000000000000124</v>
      </c>
      <c r="D519" s="10" t="s">
        <v>883</v>
      </c>
      <c r="E519" s="40">
        <v>10</v>
      </c>
      <c r="F519" s="40">
        <v>2.5</v>
      </c>
      <c r="G519" s="40">
        <v>0</v>
      </c>
      <c r="H519" s="3">
        <f t="shared" si="65"/>
        <v>0.16666666666666718</v>
      </c>
      <c r="I519" s="3">
        <f t="shared" si="66"/>
        <v>4.1666666666666796E-2</v>
      </c>
      <c r="J519" s="3">
        <f t="shared" si="67"/>
        <v>0</v>
      </c>
      <c r="K519" s="3"/>
      <c r="L519" s="60">
        <f t="shared" si="63"/>
        <v>453.48166666666663</v>
      </c>
      <c r="M519" s="40">
        <v>0</v>
      </c>
      <c r="N519" s="40">
        <v>0</v>
      </c>
      <c r="O519" s="40">
        <v>0</v>
      </c>
      <c r="P519" s="40">
        <v>0</v>
      </c>
      <c r="Q519" s="40">
        <v>0</v>
      </c>
      <c r="R519" s="40">
        <v>0</v>
      </c>
      <c r="S519" s="61">
        <f t="shared" si="64"/>
        <v>103.80000000000011</v>
      </c>
      <c r="T519" s="40">
        <v>0</v>
      </c>
      <c r="U519" s="40">
        <v>0</v>
      </c>
      <c r="V519" s="40">
        <v>0</v>
      </c>
      <c r="W519" s="40">
        <v>0</v>
      </c>
      <c r="X519" s="67">
        <f t="shared" si="58"/>
        <v>75</v>
      </c>
      <c r="Z519" s="71"/>
      <c r="AA519" s="71"/>
      <c r="AB519" s="67" t="str">
        <f t="shared" si="57"/>
        <v/>
      </c>
      <c r="AD519" s="121"/>
      <c r="AE519" s="121"/>
    </row>
    <row r="520" spans="1:31" x14ac:dyDescent="0.25">
      <c r="A520" s="2" t="s">
        <v>880</v>
      </c>
      <c r="B520" s="7">
        <v>0.5708333333333333</v>
      </c>
      <c r="C520" s="3">
        <f t="shared" si="62"/>
        <v>1.299999999999998</v>
      </c>
      <c r="D520" s="10" t="s">
        <v>812</v>
      </c>
      <c r="E520" s="40">
        <v>5</v>
      </c>
      <c r="F520" s="40">
        <v>2.5</v>
      </c>
      <c r="G520" s="40">
        <v>2</v>
      </c>
      <c r="H520" s="3">
        <f t="shared" si="65"/>
        <v>0.27083333333333293</v>
      </c>
      <c r="I520" s="3">
        <f t="shared" si="66"/>
        <v>0.13541666666666646</v>
      </c>
      <c r="J520" s="3">
        <f t="shared" si="67"/>
        <v>0.10833333333333317</v>
      </c>
      <c r="K520" s="3"/>
      <c r="L520" s="60">
        <f t="shared" si="63"/>
        <v>452.96708333333328</v>
      </c>
      <c r="M520" s="40">
        <v>0</v>
      </c>
      <c r="N520" s="40">
        <v>0</v>
      </c>
      <c r="O520" s="40">
        <v>0</v>
      </c>
      <c r="P520" s="40">
        <v>0</v>
      </c>
      <c r="Q520" s="40">
        <v>0</v>
      </c>
      <c r="R520" s="40">
        <v>0</v>
      </c>
      <c r="S520" s="61">
        <f t="shared" si="64"/>
        <v>103.80000000000011</v>
      </c>
      <c r="T520" s="40">
        <v>0</v>
      </c>
      <c r="U520" s="40">
        <v>0</v>
      </c>
      <c r="V520" s="40">
        <v>0</v>
      </c>
      <c r="W520" s="40">
        <v>0</v>
      </c>
      <c r="X520" s="67">
        <f t="shared" si="58"/>
        <v>75</v>
      </c>
      <c r="Z520" s="71"/>
      <c r="AA520" s="71"/>
      <c r="AB520" s="67" t="str">
        <f t="shared" si="57"/>
        <v/>
      </c>
      <c r="AD520" s="121"/>
      <c r="AE520" s="121"/>
    </row>
    <row r="521" spans="1:31" x14ac:dyDescent="0.25">
      <c r="A521" s="2" t="s">
        <v>880</v>
      </c>
      <c r="B521" s="7">
        <v>0.7416666666666667</v>
      </c>
      <c r="C521" s="3">
        <f t="shared" si="62"/>
        <v>4.1000000000000014</v>
      </c>
      <c r="D521" s="10" t="s">
        <v>799</v>
      </c>
      <c r="E521" s="40">
        <v>0</v>
      </c>
      <c r="F521" s="40">
        <v>2.5</v>
      </c>
      <c r="G521" s="40">
        <v>2</v>
      </c>
      <c r="H521" s="3">
        <f t="shared" si="65"/>
        <v>0</v>
      </c>
      <c r="I521" s="3">
        <f t="shared" si="66"/>
        <v>0.42708333333333348</v>
      </c>
      <c r="J521" s="3">
        <f t="shared" si="67"/>
        <v>0.34166666666666679</v>
      </c>
      <c r="K521" s="3"/>
      <c r="L521" s="60">
        <f t="shared" si="63"/>
        <v>452.19833333333327</v>
      </c>
      <c r="M521" s="40">
        <v>0</v>
      </c>
      <c r="N521" s="40">
        <v>0</v>
      </c>
      <c r="O521" s="40">
        <v>0</v>
      </c>
      <c r="P521" s="40">
        <v>0</v>
      </c>
      <c r="Q521" s="40">
        <v>0</v>
      </c>
      <c r="R521" s="40">
        <v>0</v>
      </c>
      <c r="S521" s="61">
        <f t="shared" si="64"/>
        <v>103.80000000000011</v>
      </c>
      <c r="T521" s="40">
        <v>0</v>
      </c>
      <c r="U521" s="40">
        <v>0</v>
      </c>
      <c r="V521" s="40">
        <v>0</v>
      </c>
      <c r="W521" s="40">
        <v>0</v>
      </c>
      <c r="X521" s="67">
        <f t="shared" si="58"/>
        <v>75</v>
      </c>
      <c r="Z521" s="71"/>
      <c r="AA521" s="71"/>
      <c r="AB521" s="67" t="str">
        <f t="shared" ref="AB521:AB586" si="68">IF(Z521="","",Z521+AA521)</f>
        <v/>
      </c>
      <c r="AD521" s="121"/>
      <c r="AE521" s="121"/>
    </row>
    <row r="522" spans="1:31" x14ac:dyDescent="0.25">
      <c r="A522" s="58"/>
      <c r="B522" s="7"/>
      <c r="C522" s="3"/>
      <c r="D522" s="10"/>
      <c r="E522" s="40"/>
      <c r="F522" s="40"/>
      <c r="G522" s="40"/>
      <c r="H522" s="3"/>
      <c r="I522" s="3"/>
      <c r="J522" s="3"/>
      <c r="K522" s="3"/>
      <c r="L522" s="60"/>
      <c r="M522" s="40"/>
      <c r="N522" s="40"/>
      <c r="O522" s="40"/>
      <c r="P522" s="40"/>
      <c r="Q522" s="40"/>
      <c r="R522" s="40"/>
      <c r="S522" s="61"/>
      <c r="T522" s="40"/>
      <c r="U522" s="40"/>
      <c r="V522" s="40"/>
      <c r="W522" s="40"/>
      <c r="X522" s="67"/>
      <c r="Z522" s="71"/>
      <c r="AA522" s="71"/>
      <c r="AB522" s="67"/>
      <c r="AD522" s="121"/>
      <c r="AE522" s="121"/>
    </row>
    <row r="523" spans="1:31" x14ac:dyDescent="0.25">
      <c r="A523" s="9" t="s">
        <v>881</v>
      </c>
      <c r="B523" s="7">
        <v>0.22916666666666666</v>
      </c>
      <c r="C523" s="3">
        <f>+IF((B523-B521)&lt;0,((B523-B521)*24)+24,(B523-B521)*24)</f>
        <v>11.7</v>
      </c>
      <c r="D523" s="10" t="s">
        <v>801</v>
      </c>
      <c r="E523" s="40">
        <v>0</v>
      </c>
      <c r="F523" s="40">
        <v>2.5</v>
      </c>
      <c r="G523" s="40">
        <v>3</v>
      </c>
      <c r="H523" s="3">
        <f t="shared" si="65"/>
        <v>0</v>
      </c>
      <c r="I523" s="3">
        <f t="shared" si="66"/>
        <v>1.21875</v>
      </c>
      <c r="J523" s="3">
        <f t="shared" si="67"/>
        <v>1.4624999999999999</v>
      </c>
      <c r="K523" s="3"/>
      <c r="L523" s="60">
        <f>+IF(C523="","",(L521+K523)-(H523+I523+J523))</f>
        <v>449.51708333333329</v>
      </c>
      <c r="M523" s="40">
        <v>0</v>
      </c>
      <c r="N523" s="40">
        <v>0</v>
      </c>
      <c r="O523" s="40">
        <v>0</v>
      </c>
      <c r="P523" s="40">
        <v>0</v>
      </c>
      <c r="Q523" s="40">
        <v>3</v>
      </c>
      <c r="R523" s="40">
        <v>0</v>
      </c>
      <c r="S523" s="61">
        <f>IF(C523="","",(S521+R523)-(M523+N523+O523+P523+Q523))</f>
        <v>100.80000000000011</v>
      </c>
      <c r="T523" s="40">
        <v>0</v>
      </c>
      <c r="U523" s="40">
        <v>0</v>
      </c>
      <c r="V523" s="40">
        <v>4</v>
      </c>
      <c r="W523" s="40">
        <v>0</v>
      </c>
      <c r="X523" s="67">
        <f>IF(V523="","",((X521+T523+U523)-(V523+W523)))</f>
        <v>71</v>
      </c>
      <c r="Z523" s="71"/>
      <c r="AA523" s="71"/>
      <c r="AB523" s="67" t="str">
        <f t="shared" si="68"/>
        <v/>
      </c>
      <c r="AD523" s="121"/>
      <c r="AE523" s="121"/>
    </row>
    <row r="524" spans="1:31" x14ac:dyDescent="0.25">
      <c r="A524" s="2" t="s">
        <v>881</v>
      </c>
      <c r="B524" s="65">
        <v>0.33333333333333331</v>
      </c>
      <c r="C524" s="3">
        <f t="shared" si="62"/>
        <v>2.5</v>
      </c>
      <c r="D524" s="10" t="s">
        <v>815</v>
      </c>
      <c r="E524" s="40">
        <v>0</v>
      </c>
      <c r="F524" s="40">
        <v>2.5</v>
      </c>
      <c r="G524" s="40">
        <v>3</v>
      </c>
      <c r="H524" s="3">
        <f t="shared" si="65"/>
        <v>0</v>
      </c>
      <c r="I524" s="3">
        <f t="shared" si="66"/>
        <v>0.26041666666666669</v>
      </c>
      <c r="J524" s="3">
        <f t="shared" si="67"/>
        <v>0.3125</v>
      </c>
      <c r="K524" s="3"/>
      <c r="L524" s="60">
        <f t="shared" si="63"/>
        <v>448.9441666666666</v>
      </c>
      <c r="M524" s="40">
        <v>0</v>
      </c>
      <c r="N524" s="40">
        <v>0</v>
      </c>
      <c r="O524" s="40">
        <v>0</v>
      </c>
      <c r="P524" s="40">
        <v>0</v>
      </c>
      <c r="Q524" s="40">
        <v>0</v>
      </c>
      <c r="R524" s="40">
        <v>0</v>
      </c>
      <c r="S524" s="61">
        <f t="shared" si="64"/>
        <v>100.80000000000011</v>
      </c>
      <c r="T524" s="40">
        <v>0</v>
      </c>
      <c r="U524" s="40">
        <v>0</v>
      </c>
      <c r="V524" s="40">
        <v>0</v>
      </c>
      <c r="W524" s="40">
        <v>0</v>
      </c>
      <c r="X524" s="67">
        <f t="shared" si="58"/>
        <v>71</v>
      </c>
      <c r="Z524" s="71"/>
      <c r="AA524" s="71"/>
      <c r="AB524" s="67" t="str">
        <f t="shared" si="68"/>
        <v/>
      </c>
      <c r="AD524" s="121"/>
      <c r="AE524" s="121"/>
    </row>
    <row r="525" spans="1:31" x14ac:dyDescent="0.25">
      <c r="A525" s="2" t="s">
        <v>881</v>
      </c>
      <c r="B525" s="7">
        <v>0.53749999999999998</v>
      </c>
      <c r="C525" s="3">
        <f t="shared" si="62"/>
        <v>4.9000000000000004</v>
      </c>
      <c r="D525" s="10" t="s">
        <v>660</v>
      </c>
      <c r="E525" s="40">
        <v>0</v>
      </c>
      <c r="F525" s="40">
        <v>2.5</v>
      </c>
      <c r="G525" s="40">
        <v>3</v>
      </c>
      <c r="H525" s="3">
        <f t="shared" si="65"/>
        <v>0</v>
      </c>
      <c r="I525" s="3">
        <f t="shared" si="66"/>
        <v>0.51041666666666674</v>
      </c>
      <c r="J525" s="3">
        <f t="shared" si="67"/>
        <v>0.61250000000000004</v>
      </c>
      <c r="K525" s="3"/>
      <c r="L525" s="60">
        <f t="shared" si="63"/>
        <v>447.82124999999996</v>
      </c>
      <c r="M525" s="40">
        <v>0</v>
      </c>
      <c r="N525" s="40">
        <v>0</v>
      </c>
      <c r="O525" s="40">
        <v>0</v>
      </c>
      <c r="P525" s="40">
        <v>0</v>
      </c>
      <c r="Q525" s="40">
        <v>0</v>
      </c>
      <c r="R525" s="40">
        <v>0</v>
      </c>
      <c r="S525" s="61">
        <f t="shared" si="64"/>
        <v>100.80000000000011</v>
      </c>
      <c r="T525" s="40">
        <v>0</v>
      </c>
      <c r="U525" s="40">
        <v>0</v>
      </c>
      <c r="V525" s="40">
        <v>0</v>
      </c>
      <c r="W525" s="40">
        <v>0</v>
      </c>
      <c r="X525" s="67">
        <f t="shared" si="58"/>
        <v>71</v>
      </c>
      <c r="Z525" s="71"/>
      <c r="AA525" s="71"/>
      <c r="AB525" s="67" t="str">
        <f t="shared" si="68"/>
        <v/>
      </c>
      <c r="AD525" s="121"/>
      <c r="AE525" s="121"/>
    </row>
    <row r="526" spans="1:31" x14ac:dyDescent="0.25">
      <c r="A526" s="2" t="s">
        <v>881</v>
      </c>
      <c r="B526" s="7">
        <v>0.54583333333333328</v>
      </c>
      <c r="C526" s="3">
        <f t="shared" si="62"/>
        <v>0.19999999999999929</v>
      </c>
      <c r="D526" s="10" t="s">
        <v>833</v>
      </c>
      <c r="E526" s="40">
        <v>5</v>
      </c>
      <c r="F526" s="40">
        <v>2.5</v>
      </c>
      <c r="G526" s="40">
        <v>3</v>
      </c>
      <c r="H526" s="3">
        <f t="shared" si="65"/>
        <v>4.1666666666666519E-2</v>
      </c>
      <c r="I526" s="3">
        <f t="shared" si="66"/>
        <v>2.0833333333333259E-2</v>
      </c>
      <c r="J526" s="3">
        <f t="shared" si="67"/>
        <v>2.4999999999999911E-2</v>
      </c>
      <c r="K526" s="3"/>
      <c r="L526" s="60">
        <f t="shared" si="63"/>
        <v>447.73374999999999</v>
      </c>
      <c r="M526" s="40">
        <v>0</v>
      </c>
      <c r="N526" s="40">
        <v>0</v>
      </c>
      <c r="O526" s="40">
        <v>0</v>
      </c>
      <c r="P526" s="40">
        <v>0</v>
      </c>
      <c r="Q526" s="40">
        <v>0</v>
      </c>
      <c r="R526" s="40">
        <v>0</v>
      </c>
      <c r="S526" s="61">
        <f t="shared" si="64"/>
        <v>100.80000000000011</v>
      </c>
      <c r="T526" s="40">
        <v>0</v>
      </c>
      <c r="U526" s="40">
        <v>0</v>
      </c>
      <c r="V526" s="40">
        <v>0</v>
      </c>
      <c r="W526" s="40">
        <v>0</v>
      </c>
      <c r="X526" s="67">
        <f t="shared" ref="X526:X530" si="69">IF(V526="","",((X525+T526+U526)-(V526+W526)))</f>
        <v>71</v>
      </c>
      <c r="Z526" s="71"/>
      <c r="AA526" s="71"/>
      <c r="AB526" s="67" t="str">
        <f t="shared" si="68"/>
        <v/>
      </c>
      <c r="AD526" s="121"/>
      <c r="AE526" s="121"/>
    </row>
    <row r="527" spans="1:31" x14ac:dyDescent="0.25">
      <c r="A527" s="2" t="s">
        <v>881</v>
      </c>
      <c r="B527" s="7">
        <v>0.5541666666666667</v>
      </c>
      <c r="C527" s="3">
        <f t="shared" si="62"/>
        <v>0.20000000000000195</v>
      </c>
      <c r="D527" s="10" t="s">
        <v>885</v>
      </c>
      <c r="E527" s="40">
        <v>10</v>
      </c>
      <c r="F527" s="40">
        <v>2.5</v>
      </c>
      <c r="G527" s="40">
        <v>3</v>
      </c>
      <c r="H527" s="3">
        <f t="shared" si="65"/>
        <v>8.3333333333334147E-2</v>
      </c>
      <c r="I527" s="3">
        <f t="shared" si="66"/>
        <v>2.0833333333333537E-2</v>
      </c>
      <c r="J527" s="3">
        <f t="shared" si="67"/>
        <v>2.5000000000000244E-2</v>
      </c>
      <c r="K527" s="3"/>
      <c r="L527" s="60">
        <f t="shared" si="63"/>
        <v>447.60458333333332</v>
      </c>
      <c r="M527" s="40">
        <v>0</v>
      </c>
      <c r="N527" s="40">
        <v>0</v>
      </c>
      <c r="O527" s="40">
        <v>0</v>
      </c>
      <c r="P527" s="40">
        <v>0</v>
      </c>
      <c r="Q527" s="40">
        <v>0</v>
      </c>
      <c r="R527" s="40">
        <v>0</v>
      </c>
      <c r="S527" s="61">
        <f t="shared" si="64"/>
        <v>100.80000000000011</v>
      </c>
      <c r="T527" s="40">
        <v>0</v>
      </c>
      <c r="U527" s="40">
        <v>0</v>
      </c>
      <c r="V527" s="40">
        <v>0</v>
      </c>
      <c r="W527" s="40">
        <v>0</v>
      </c>
      <c r="X527" s="67">
        <f t="shared" si="69"/>
        <v>71</v>
      </c>
      <c r="Z527" s="71"/>
      <c r="AA527" s="71"/>
      <c r="AB527" s="67" t="str">
        <f t="shared" si="68"/>
        <v/>
      </c>
      <c r="AD527" s="121"/>
      <c r="AE527" s="121"/>
    </row>
    <row r="528" spans="1:31" x14ac:dyDescent="0.25">
      <c r="A528" s="2" t="s">
        <v>881</v>
      </c>
      <c r="B528" s="7">
        <v>0.56666666666666665</v>
      </c>
      <c r="C528" s="3">
        <f t="shared" si="62"/>
        <v>0.29999999999999893</v>
      </c>
      <c r="D528" s="10" t="s">
        <v>884</v>
      </c>
      <c r="E528" s="40">
        <v>5</v>
      </c>
      <c r="F528" s="40">
        <v>2.5</v>
      </c>
      <c r="G528" s="40">
        <v>3</v>
      </c>
      <c r="H528" s="3">
        <f t="shared" si="65"/>
        <v>6.2499999999999778E-2</v>
      </c>
      <c r="I528" s="3">
        <f t="shared" si="66"/>
        <v>3.1249999999999889E-2</v>
      </c>
      <c r="J528" s="3">
        <f t="shared" si="67"/>
        <v>3.7499999999999867E-2</v>
      </c>
      <c r="K528" s="3"/>
      <c r="L528" s="60">
        <f t="shared" si="63"/>
        <v>447.4733333333333</v>
      </c>
      <c r="M528" s="40">
        <v>0</v>
      </c>
      <c r="N528" s="40">
        <v>0</v>
      </c>
      <c r="O528" s="40">
        <v>0</v>
      </c>
      <c r="P528" s="40">
        <v>0</v>
      </c>
      <c r="Q528" s="40">
        <v>0</v>
      </c>
      <c r="R528" s="40">
        <v>0</v>
      </c>
      <c r="S528" s="61">
        <f t="shared" si="64"/>
        <v>100.80000000000011</v>
      </c>
      <c r="T528" s="40">
        <v>0</v>
      </c>
      <c r="U528" s="40">
        <v>0</v>
      </c>
      <c r="V528" s="40">
        <v>0</v>
      </c>
      <c r="W528" s="40">
        <v>0</v>
      </c>
      <c r="X528" s="67">
        <f t="shared" si="69"/>
        <v>71</v>
      </c>
      <c r="Z528" s="71"/>
      <c r="AA528" s="71"/>
      <c r="AB528" s="67" t="str">
        <f t="shared" si="68"/>
        <v/>
      </c>
      <c r="AD528" s="121"/>
      <c r="AE528" s="121"/>
    </row>
    <row r="529" spans="1:31" x14ac:dyDescent="0.25">
      <c r="A529" s="2" t="s">
        <v>881</v>
      </c>
      <c r="B529" s="7">
        <v>0.90833333333333333</v>
      </c>
      <c r="C529" s="3">
        <f t="shared" si="62"/>
        <v>8.1999999999999993</v>
      </c>
      <c r="D529" s="10" t="s">
        <v>789</v>
      </c>
      <c r="E529" s="40">
        <v>0</v>
      </c>
      <c r="F529" s="40">
        <v>2.5</v>
      </c>
      <c r="G529" s="40">
        <v>3</v>
      </c>
      <c r="H529" s="3">
        <f t="shared" si="65"/>
        <v>0</v>
      </c>
      <c r="I529" s="3">
        <f t="shared" si="66"/>
        <v>0.85416666666666663</v>
      </c>
      <c r="J529" s="3">
        <f t="shared" si="67"/>
        <v>1.0249999999999999</v>
      </c>
      <c r="K529" s="3"/>
      <c r="L529" s="60">
        <f t="shared" si="63"/>
        <v>445.59416666666664</v>
      </c>
      <c r="M529" s="40">
        <v>0</v>
      </c>
      <c r="N529" s="40">
        <v>0</v>
      </c>
      <c r="O529" s="40">
        <v>0</v>
      </c>
      <c r="P529" s="40">
        <v>0</v>
      </c>
      <c r="Q529" s="40">
        <v>0</v>
      </c>
      <c r="R529" s="40">
        <v>0</v>
      </c>
      <c r="S529" s="61">
        <f t="shared" si="64"/>
        <v>100.80000000000011</v>
      </c>
      <c r="T529" s="40">
        <v>0</v>
      </c>
      <c r="U529" s="40">
        <v>200</v>
      </c>
      <c r="V529" s="40">
        <v>0</v>
      </c>
      <c r="W529" s="40">
        <v>0</v>
      </c>
      <c r="X529" s="67">
        <f t="shared" si="69"/>
        <v>271</v>
      </c>
      <c r="Z529" s="71"/>
      <c r="AA529" s="71"/>
      <c r="AB529" s="67" t="str">
        <f t="shared" si="68"/>
        <v/>
      </c>
      <c r="AD529" s="121"/>
      <c r="AE529" s="121"/>
    </row>
    <row r="530" spans="1:31" x14ac:dyDescent="0.25">
      <c r="A530" s="2" t="s">
        <v>881</v>
      </c>
      <c r="B530" s="7">
        <v>0.9458333333333333</v>
      </c>
      <c r="C530" s="3">
        <f t="shared" ref="C530:C590" si="70">+IF((B530-B529)&lt;0,((B530-B529)*24)+24,(B530-B529)*24)</f>
        <v>0.89999999999999947</v>
      </c>
      <c r="D530" s="10" t="s">
        <v>821</v>
      </c>
      <c r="E530" s="40">
        <v>5</v>
      </c>
      <c r="F530" s="40">
        <v>2.5</v>
      </c>
      <c r="G530" s="40">
        <v>3</v>
      </c>
      <c r="H530" s="3">
        <f t="shared" si="65"/>
        <v>0.18749999999999989</v>
      </c>
      <c r="I530" s="3">
        <f t="shared" si="66"/>
        <v>9.3749999999999944E-2</v>
      </c>
      <c r="J530" s="3">
        <f t="shared" si="67"/>
        <v>0.11249999999999993</v>
      </c>
      <c r="K530" s="3"/>
      <c r="L530" s="60">
        <f t="shared" si="63"/>
        <v>445.20041666666663</v>
      </c>
      <c r="M530" s="40">
        <v>0</v>
      </c>
      <c r="N530" s="40">
        <v>0</v>
      </c>
      <c r="O530" s="40">
        <v>0</v>
      </c>
      <c r="P530" s="40">
        <v>0</v>
      </c>
      <c r="Q530" s="40">
        <v>0</v>
      </c>
      <c r="R530" s="40">
        <v>0</v>
      </c>
      <c r="S530" s="61">
        <f t="shared" si="64"/>
        <v>100.80000000000011</v>
      </c>
      <c r="T530" s="40">
        <v>0</v>
      </c>
      <c r="U530" s="40">
        <v>0</v>
      </c>
      <c r="V530" s="40">
        <v>0</v>
      </c>
      <c r="W530" s="40">
        <v>0</v>
      </c>
      <c r="X530" s="67">
        <f t="shared" si="69"/>
        <v>271</v>
      </c>
      <c r="Z530" s="71"/>
      <c r="AA530" s="71"/>
      <c r="AB530" s="67" t="str">
        <f t="shared" si="68"/>
        <v/>
      </c>
      <c r="AD530" s="121"/>
      <c r="AE530" s="121"/>
    </row>
    <row r="531" spans="1:31" x14ac:dyDescent="0.25">
      <c r="A531" s="2" t="s">
        <v>274</v>
      </c>
      <c r="B531" s="65">
        <v>0.33333333333333331</v>
      </c>
      <c r="C531" s="3">
        <f t="shared" si="70"/>
        <v>9.2999999999999989</v>
      </c>
      <c r="D531" s="10" t="s">
        <v>835</v>
      </c>
      <c r="E531" s="40">
        <v>22</v>
      </c>
      <c r="F531" s="40">
        <v>2.5</v>
      </c>
      <c r="G531" s="40">
        <v>4</v>
      </c>
      <c r="H531" s="3">
        <f t="shared" si="65"/>
        <v>8.5249999999999986</v>
      </c>
      <c r="I531" s="3">
        <f t="shared" si="66"/>
        <v>0.96874999999999989</v>
      </c>
      <c r="J531" s="3">
        <f t="shared" si="67"/>
        <v>1.5499999999999998</v>
      </c>
      <c r="K531" s="3"/>
      <c r="L531" s="60">
        <f t="shared" si="63"/>
        <v>434.15666666666664</v>
      </c>
      <c r="M531" s="40">
        <v>0</v>
      </c>
      <c r="N531" s="40">
        <v>0</v>
      </c>
      <c r="O531" s="40">
        <v>0</v>
      </c>
      <c r="P531" s="40">
        <v>0</v>
      </c>
      <c r="Q531" s="40">
        <v>0</v>
      </c>
      <c r="R531" s="40">
        <v>0</v>
      </c>
      <c r="S531" s="61">
        <f t="shared" si="64"/>
        <v>100.80000000000011</v>
      </c>
      <c r="T531" s="40">
        <v>3</v>
      </c>
      <c r="U531" s="40">
        <v>0</v>
      </c>
      <c r="V531" s="40">
        <v>5</v>
      </c>
      <c r="W531" s="40">
        <v>0</v>
      </c>
      <c r="X531" s="67">
        <f t="shared" ref="X531:X590" si="71">IF(V531="","",((X530+T531+U531)-(V531+W531)))</f>
        <v>269</v>
      </c>
      <c r="Z531" s="71"/>
      <c r="AA531" s="71"/>
      <c r="AB531" s="67" t="str">
        <f t="shared" si="68"/>
        <v/>
      </c>
      <c r="AD531" s="121"/>
      <c r="AE531" s="121"/>
    </row>
    <row r="532" spans="1:31" x14ac:dyDescent="0.25">
      <c r="A532" s="2" t="s">
        <v>277</v>
      </c>
      <c r="B532" s="65">
        <v>0.33333333333333331</v>
      </c>
      <c r="C532" s="3">
        <v>24</v>
      </c>
      <c r="D532" s="10" t="s">
        <v>835</v>
      </c>
      <c r="E532" s="40">
        <v>20</v>
      </c>
      <c r="F532" s="40">
        <v>2.5</v>
      </c>
      <c r="G532" s="40">
        <v>4</v>
      </c>
      <c r="H532" s="3">
        <f t="shared" si="65"/>
        <v>20</v>
      </c>
      <c r="I532" s="3">
        <f t="shared" si="66"/>
        <v>2.5</v>
      </c>
      <c r="J532" s="3">
        <f t="shared" si="67"/>
        <v>4</v>
      </c>
      <c r="K532" s="3"/>
      <c r="L532" s="60">
        <f t="shared" si="63"/>
        <v>407.65666666666664</v>
      </c>
      <c r="M532" s="40">
        <v>0</v>
      </c>
      <c r="N532" s="40">
        <v>0</v>
      </c>
      <c r="O532" s="40">
        <v>0</v>
      </c>
      <c r="P532" s="40">
        <v>0</v>
      </c>
      <c r="Q532" s="40">
        <v>0</v>
      </c>
      <c r="R532" s="40">
        <v>0</v>
      </c>
      <c r="S532" s="61">
        <f t="shared" si="64"/>
        <v>100.80000000000011</v>
      </c>
      <c r="T532" s="40">
        <v>7</v>
      </c>
      <c r="U532" s="40">
        <v>0</v>
      </c>
      <c r="V532" s="40">
        <v>5</v>
      </c>
      <c r="W532" s="40">
        <v>1</v>
      </c>
      <c r="X532" s="67">
        <f t="shared" si="71"/>
        <v>270</v>
      </c>
      <c r="Z532" s="71"/>
      <c r="AA532" s="71"/>
      <c r="AB532" s="67" t="str">
        <f t="shared" si="68"/>
        <v/>
      </c>
      <c r="AD532" s="121"/>
      <c r="AE532" s="121"/>
    </row>
    <row r="533" spans="1:31" x14ac:dyDescent="0.25">
      <c r="A533" s="2" t="s">
        <v>886</v>
      </c>
      <c r="B533" s="7">
        <v>0.125</v>
      </c>
      <c r="C533" s="3">
        <f t="shared" si="70"/>
        <v>19</v>
      </c>
      <c r="D533" s="10" t="s">
        <v>796</v>
      </c>
      <c r="E533" s="40">
        <v>20</v>
      </c>
      <c r="F533" s="40">
        <v>2.5</v>
      </c>
      <c r="G533" s="40">
        <v>3</v>
      </c>
      <c r="H533" s="3">
        <f t="shared" si="65"/>
        <v>15.833333333333334</v>
      </c>
      <c r="I533" s="3">
        <f t="shared" si="66"/>
        <v>1.9791666666666667</v>
      </c>
      <c r="J533" s="3">
        <f t="shared" si="67"/>
        <v>2.375</v>
      </c>
      <c r="K533" s="3"/>
      <c r="L533" s="60">
        <f t="shared" si="63"/>
        <v>387.46916666666664</v>
      </c>
      <c r="M533" s="40">
        <v>0</v>
      </c>
      <c r="N533" s="40">
        <v>0</v>
      </c>
      <c r="O533" s="40">
        <v>0</v>
      </c>
      <c r="P533" s="40">
        <v>0</v>
      </c>
      <c r="Q533" s="40">
        <v>0</v>
      </c>
      <c r="R533" s="40">
        <v>0</v>
      </c>
      <c r="S533" s="61">
        <f t="shared" si="64"/>
        <v>100.80000000000011</v>
      </c>
      <c r="T533" s="40">
        <v>2</v>
      </c>
      <c r="U533" s="40">
        <v>0</v>
      </c>
      <c r="V533" s="40">
        <v>4</v>
      </c>
      <c r="W533" s="40">
        <v>0</v>
      </c>
      <c r="X533" s="67">
        <f t="shared" si="71"/>
        <v>268</v>
      </c>
      <c r="Z533" s="71"/>
      <c r="AA533" s="71"/>
      <c r="AB533" s="67" t="str">
        <f t="shared" si="68"/>
        <v/>
      </c>
      <c r="AD533" s="121">
        <v>8.8000000000000007</v>
      </c>
      <c r="AE533" s="121" t="s">
        <v>1309</v>
      </c>
    </row>
    <row r="534" spans="1:31" x14ac:dyDescent="0.25">
      <c r="A534" s="2" t="s">
        <v>886</v>
      </c>
      <c r="B534" s="7">
        <v>0.17500000000000002</v>
      </c>
      <c r="C534" s="3">
        <f t="shared" si="70"/>
        <v>1.2000000000000004</v>
      </c>
      <c r="D534" s="10" t="s">
        <v>812</v>
      </c>
      <c r="E534" s="40">
        <v>5</v>
      </c>
      <c r="F534" s="40">
        <v>2.5</v>
      </c>
      <c r="G534" s="40">
        <v>2</v>
      </c>
      <c r="H534" s="3">
        <f t="shared" si="65"/>
        <v>0.25000000000000011</v>
      </c>
      <c r="I534" s="3">
        <f t="shared" si="66"/>
        <v>0.12500000000000006</v>
      </c>
      <c r="J534" s="3">
        <f t="shared" si="67"/>
        <v>0.10000000000000003</v>
      </c>
      <c r="K534" s="3"/>
      <c r="L534" s="60">
        <f t="shared" si="63"/>
        <v>386.99416666666662</v>
      </c>
      <c r="M534" s="40">
        <v>0</v>
      </c>
      <c r="N534" s="40">
        <v>0</v>
      </c>
      <c r="O534" s="40">
        <v>0</v>
      </c>
      <c r="P534" s="40">
        <v>0</v>
      </c>
      <c r="Q534" s="40">
        <v>0</v>
      </c>
      <c r="R534" s="40">
        <v>0</v>
      </c>
      <c r="S534" s="61">
        <f t="shared" si="64"/>
        <v>100.80000000000011</v>
      </c>
      <c r="T534" s="40">
        <v>0</v>
      </c>
      <c r="U534" s="40">
        <v>0</v>
      </c>
      <c r="V534" s="40">
        <v>0</v>
      </c>
      <c r="W534" s="40">
        <v>0</v>
      </c>
      <c r="X534" s="67">
        <f t="shared" si="71"/>
        <v>268</v>
      </c>
      <c r="Z534" s="71"/>
      <c r="AA534" s="71"/>
      <c r="AB534" s="67" t="str">
        <f t="shared" si="68"/>
        <v/>
      </c>
      <c r="AD534" s="121"/>
      <c r="AE534" s="121"/>
    </row>
    <row r="535" spans="1:31" x14ac:dyDescent="0.25">
      <c r="A535" s="2" t="s">
        <v>886</v>
      </c>
      <c r="B535" s="65">
        <v>0.33333333333333331</v>
      </c>
      <c r="C535" s="3">
        <f t="shared" si="70"/>
        <v>3.7999999999999989</v>
      </c>
      <c r="D535" s="10" t="s">
        <v>887</v>
      </c>
      <c r="E535" s="40">
        <v>0</v>
      </c>
      <c r="F535" s="40">
        <v>2.5</v>
      </c>
      <c r="G535" s="40">
        <v>2</v>
      </c>
      <c r="H535" s="3">
        <f t="shared" si="65"/>
        <v>0</v>
      </c>
      <c r="I535" s="3">
        <f t="shared" si="66"/>
        <v>0.39583333333333326</v>
      </c>
      <c r="J535" s="3">
        <f t="shared" si="67"/>
        <v>0.31666666666666654</v>
      </c>
      <c r="K535" s="3"/>
      <c r="L535" s="60">
        <f t="shared" si="63"/>
        <v>386.28166666666664</v>
      </c>
      <c r="M535" s="40">
        <v>0</v>
      </c>
      <c r="N535" s="40">
        <v>0</v>
      </c>
      <c r="O535" s="40">
        <v>0</v>
      </c>
      <c r="P535" s="40">
        <v>0</v>
      </c>
      <c r="Q535" s="40">
        <v>0</v>
      </c>
      <c r="R535" s="40">
        <v>0</v>
      </c>
      <c r="S535" s="61">
        <f t="shared" si="64"/>
        <v>100.80000000000011</v>
      </c>
      <c r="T535" s="40">
        <v>0</v>
      </c>
      <c r="U535" s="40">
        <v>0</v>
      </c>
      <c r="V535" s="40">
        <v>1</v>
      </c>
      <c r="W535" s="40">
        <v>0</v>
      </c>
      <c r="X535" s="67">
        <f t="shared" si="71"/>
        <v>267</v>
      </c>
      <c r="Z535" s="71"/>
      <c r="AA535" s="71"/>
      <c r="AB535" s="67" t="str">
        <f t="shared" si="68"/>
        <v/>
      </c>
      <c r="AD535" s="121"/>
      <c r="AE535" s="121"/>
    </row>
    <row r="536" spans="1:31" x14ac:dyDescent="0.25">
      <c r="A536" s="2" t="s">
        <v>888</v>
      </c>
      <c r="B536" s="65">
        <v>0.33333333333333331</v>
      </c>
      <c r="C536" s="3">
        <v>24</v>
      </c>
      <c r="D536" s="10" t="s">
        <v>887</v>
      </c>
      <c r="E536" s="40">
        <v>0</v>
      </c>
      <c r="F536" s="40">
        <v>2.5</v>
      </c>
      <c r="G536" s="40">
        <v>6</v>
      </c>
      <c r="H536" s="3">
        <f t="shared" si="65"/>
        <v>0</v>
      </c>
      <c r="I536" s="3">
        <f t="shared" si="66"/>
        <v>2.5</v>
      </c>
      <c r="J536" s="3">
        <f t="shared" si="67"/>
        <v>6</v>
      </c>
      <c r="K536" s="3"/>
      <c r="L536" s="60">
        <f t="shared" si="63"/>
        <v>377.78166666666664</v>
      </c>
      <c r="M536" s="40">
        <v>0</v>
      </c>
      <c r="N536" s="40">
        <v>0</v>
      </c>
      <c r="O536" s="40">
        <v>0</v>
      </c>
      <c r="P536" s="40">
        <v>0</v>
      </c>
      <c r="Q536" s="40">
        <v>0</v>
      </c>
      <c r="R536" s="40">
        <v>0</v>
      </c>
      <c r="S536" s="61">
        <f t="shared" si="64"/>
        <v>100.80000000000011</v>
      </c>
      <c r="T536" s="40">
        <v>0</v>
      </c>
      <c r="U536" s="40">
        <v>0</v>
      </c>
      <c r="V536" s="40">
        <v>5</v>
      </c>
      <c r="W536" s="40">
        <v>0</v>
      </c>
      <c r="X536" s="67">
        <f t="shared" si="71"/>
        <v>262</v>
      </c>
      <c r="Z536" s="71"/>
      <c r="AA536" s="71"/>
      <c r="AB536" s="67" t="str">
        <f t="shared" si="68"/>
        <v/>
      </c>
      <c r="AD536" s="121"/>
      <c r="AE536" s="121"/>
    </row>
    <row r="537" spans="1:31" x14ac:dyDescent="0.25">
      <c r="A537" s="2" t="s">
        <v>285</v>
      </c>
      <c r="B537" s="65">
        <v>0.33333333333333331</v>
      </c>
      <c r="C537" s="3">
        <v>24</v>
      </c>
      <c r="D537" s="10" t="s">
        <v>887</v>
      </c>
      <c r="E537" s="40">
        <v>0</v>
      </c>
      <c r="F537" s="40">
        <v>2.5</v>
      </c>
      <c r="G537" s="40">
        <v>2</v>
      </c>
      <c r="H537" s="3">
        <f t="shared" si="65"/>
        <v>0</v>
      </c>
      <c r="I537" s="3">
        <f t="shared" si="66"/>
        <v>2.5</v>
      </c>
      <c r="J537" s="3">
        <f t="shared" si="67"/>
        <v>2</v>
      </c>
      <c r="K537" s="3"/>
      <c r="L537" s="60">
        <f t="shared" si="63"/>
        <v>373.28166666666664</v>
      </c>
      <c r="M537" s="40">
        <v>0</v>
      </c>
      <c r="N537" s="40">
        <v>0</v>
      </c>
      <c r="O537" s="40">
        <v>0</v>
      </c>
      <c r="P537" s="40">
        <v>0</v>
      </c>
      <c r="Q537" s="40">
        <v>0</v>
      </c>
      <c r="R537" s="40">
        <v>0</v>
      </c>
      <c r="S537" s="61">
        <f t="shared" si="64"/>
        <v>100.80000000000011</v>
      </c>
      <c r="T537" s="40">
        <v>0</v>
      </c>
      <c r="U537" s="40">
        <v>0</v>
      </c>
      <c r="V537" s="40">
        <v>5</v>
      </c>
      <c r="W537" s="40">
        <v>0</v>
      </c>
      <c r="X537" s="67">
        <f t="shared" si="71"/>
        <v>257</v>
      </c>
      <c r="Z537" s="71"/>
      <c r="AA537" s="71"/>
      <c r="AB537" s="67" t="str">
        <f t="shared" si="68"/>
        <v/>
      </c>
      <c r="AD537" s="121"/>
      <c r="AE537" s="121"/>
    </row>
    <row r="538" spans="1:31" x14ac:dyDescent="0.25">
      <c r="A538" s="2" t="s">
        <v>889</v>
      </c>
      <c r="B538" s="65">
        <v>0.33333333333333331</v>
      </c>
      <c r="C538" s="3">
        <v>24</v>
      </c>
      <c r="D538" s="10" t="s">
        <v>887</v>
      </c>
      <c r="E538" s="40">
        <v>0</v>
      </c>
      <c r="F538" s="40">
        <v>2.5</v>
      </c>
      <c r="G538" s="40">
        <v>2</v>
      </c>
      <c r="H538" s="3">
        <f t="shared" si="65"/>
        <v>0</v>
      </c>
      <c r="I538" s="3">
        <f t="shared" ref="I538:I602" si="72">+IF(F538="","",(F538/24)*C538)</f>
        <v>2.5</v>
      </c>
      <c r="J538" s="3">
        <f t="shared" ref="J538:J602" si="73">+IF(G538="","",(G538/24)*C538)</f>
        <v>2</v>
      </c>
      <c r="K538" s="3"/>
      <c r="L538" s="60">
        <f t="shared" si="63"/>
        <v>368.78166666666664</v>
      </c>
      <c r="M538" s="40">
        <v>0</v>
      </c>
      <c r="N538" s="40">
        <v>0</v>
      </c>
      <c r="O538" s="40">
        <v>0</v>
      </c>
      <c r="P538" s="40">
        <v>0</v>
      </c>
      <c r="Q538" s="40">
        <v>0</v>
      </c>
      <c r="R538" s="40">
        <v>0</v>
      </c>
      <c r="S538" s="61">
        <f t="shared" si="64"/>
        <v>100.80000000000011</v>
      </c>
      <c r="T538" s="40">
        <v>0</v>
      </c>
      <c r="U538" s="40">
        <v>0</v>
      </c>
      <c r="V538" s="40">
        <v>5</v>
      </c>
      <c r="W538" s="40">
        <v>0</v>
      </c>
      <c r="X538" s="67">
        <f t="shared" si="71"/>
        <v>252</v>
      </c>
      <c r="Z538" s="71"/>
      <c r="AA538" s="71"/>
      <c r="AB538" s="67" t="str">
        <f t="shared" si="68"/>
        <v/>
      </c>
      <c r="AD538" s="121"/>
      <c r="AE538" s="121"/>
    </row>
    <row r="539" spans="1:31" x14ac:dyDescent="0.25">
      <c r="A539" s="2" t="s">
        <v>288</v>
      </c>
      <c r="B539" s="65">
        <v>0.33333333333333331</v>
      </c>
      <c r="C539" s="3">
        <v>24</v>
      </c>
      <c r="D539" s="10" t="s">
        <v>887</v>
      </c>
      <c r="E539" s="40">
        <v>0</v>
      </c>
      <c r="F539" s="40">
        <v>2.5</v>
      </c>
      <c r="G539" s="40">
        <v>2</v>
      </c>
      <c r="H539" s="3">
        <f t="shared" si="65"/>
        <v>0</v>
      </c>
      <c r="I539" s="3">
        <f t="shared" si="72"/>
        <v>2.5</v>
      </c>
      <c r="J539" s="3">
        <f t="shared" si="73"/>
        <v>2</v>
      </c>
      <c r="K539" s="3"/>
      <c r="L539" s="60">
        <f t="shared" si="63"/>
        <v>364.28166666666664</v>
      </c>
      <c r="M539" s="40">
        <v>0</v>
      </c>
      <c r="N539" s="40">
        <v>0</v>
      </c>
      <c r="O539" s="40">
        <v>0</v>
      </c>
      <c r="P539" s="40">
        <v>0</v>
      </c>
      <c r="Q539" s="40">
        <v>0</v>
      </c>
      <c r="R539" s="40">
        <v>0</v>
      </c>
      <c r="S539" s="61">
        <f t="shared" si="64"/>
        <v>100.80000000000011</v>
      </c>
      <c r="T539" s="40">
        <v>0</v>
      </c>
      <c r="U539" s="40">
        <v>0</v>
      </c>
      <c r="V539" s="40">
        <v>5</v>
      </c>
      <c r="W539" s="40">
        <v>0</v>
      </c>
      <c r="X539" s="67">
        <f t="shared" si="71"/>
        <v>247</v>
      </c>
      <c r="Z539" s="71"/>
      <c r="AA539" s="71"/>
      <c r="AB539" s="67" t="str">
        <f t="shared" si="68"/>
        <v/>
      </c>
      <c r="AD539" s="121"/>
      <c r="AE539" s="121"/>
    </row>
    <row r="540" spans="1:31" x14ac:dyDescent="0.25">
      <c r="A540" s="2" t="s">
        <v>890</v>
      </c>
      <c r="B540" s="65">
        <v>0.33333333333333331</v>
      </c>
      <c r="C540" s="3">
        <v>24</v>
      </c>
      <c r="D540" s="10" t="s">
        <v>887</v>
      </c>
      <c r="E540" s="40">
        <v>0</v>
      </c>
      <c r="F540" s="40">
        <v>2.5</v>
      </c>
      <c r="G540" s="40">
        <v>2</v>
      </c>
      <c r="H540" s="3">
        <f t="shared" si="65"/>
        <v>0</v>
      </c>
      <c r="I540" s="3">
        <f t="shared" si="72"/>
        <v>2.5</v>
      </c>
      <c r="J540" s="3">
        <f t="shared" si="73"/>
        <v>2</v>
      </c>
      <c r="K540" s="3"/>
      <c r="L540" s="60">
        <f t="shared" si="63"/>
        <v>359.78166666666664</v>
      </c>
      <c r="M540" s="40">
        <v>0</v>
      </c>
      <c r="N540" s="40">
        <v>0</v>
      </c>
      <c r="O540" s="40">
        <v>0</v>
      </c>
      <c r="P540" s="40">
        <v>0</v>
      </c>
      <c r="Q540" s="40">
        <v>0</v>
      </c>
      <c r="R540" s="40">
        <v>0</v>
      </c>
      <c r="S540" s="61">
        <f t="shared" si="64"/>
        <v>100.80000000000011</v>
      </c>
      <c r="T540" s="40">
        <v>0</v>
      </c>
      <c r="U540" s="40">
        <v>0</v>
      </c>
      <c r="V540" s="40">
        <v>5</v>
      </c>
      <c r="W540" s="40">
        <v>0</v>
      </c>
      <c r="X540" s="67">
        <f t="shared" si="71"/>
        <v>242</v>
      </c>
      <c r="Z540" s="71"/>
      <c r="AA540" s="71"/>
      <c r="AB540" s="67" t="str">
        <f t="shared" si="68"/>
        <v/>
      </c>
      <c r="AD540" s="121"/>
      <c r="AE540" s="121"/>
    </row>
    <row r="541" spans="1:31" x14ac:dyDescent="0.25">
      <c r="A541" s="2" t="s">
        <v>890</v>
      </c>
      <c r="B541" s="7">
        <v>0.71250000000000002</v>
      </c>
      <c r="C541" s="3">
        <f t="shared" si="70"/>
        <v>9.1000000000000014</v>
      </c>
      <c r="D541" s="10" t="s">
        <v>660</v>
      </c>
      <c r="E541" s="40">
        <v>0</v>
      </c>
      <c r="F541" s="40">
        <v>2.5</v>
      </c>
      <c r="G541" s="40">
        <v>2</v>
      </c>
      <c r="H541" s="3">
        <f t="shared" si="65"/>
        <v>0</v>
      </c>
      <c r="I541" s="3">
        <f t="shared" si="72"/>
        <v>0.94791666666666685</v>
      </c>
      <c r="J541" s="3">
        <f t="shared" si="73"/>
        <v>0.75833333333333341</v>
      </c>
      <c r="K541" s="3"/>
      <c r="L541" s="60">
        <f t="shared" si="63"/>
        <v>358.07541666666663</v>
      </c>
      <c r="M541" s="40">
        <v>0</v>
      </c>
      <c r="N541" s="40">
        <v>0</v>
      </c>
      <c r="O541" s="40">
        <v>0</v>
      </c>
      <c r="P541" s="40">
        <v>0</v>
      </c>
      <c r="Q541" s="40">
        <v>0</v>
      </c>
      <c r="R541" s="40">
        <v>0</v>
      </c>
      <c r="S541" s="61">
        <f t="shared" si="64"/>
        <v>100.80000000000011</v>
      </c>
      <c r="T541" s="40">
        <v>0</v>
      </c>
      <c r="U541" s="40">
        <v>0</v>
      </c>
      <c r="V541" s="40">
        <v>0</v>
      </c>
      <c r="W541" s="40">
        <v>0</v>
      </c>
      <c r="X541" s="67">
        <f t="shared" si="71"/>
        <v>242</v>
      </c>
      <c r="Z541" s="71"/>
      <c r="AA541" s="71"/>
      <c r="AB541" s="67" t="str">
        <f t="shared" si="68"/>
        <v/>
      </c>
      <c r="AD541" s="121"/>
      <c r="AE541" s="121"/>
    </row>
    <row r="542" spans="1:31" x14ac:dyDescent="0.25">
      <c r="A542" s="2" t="s">
        <v>890</v>
      </c>
      <c r="B542" s="7">
        <v>0.72083333333333333</v>
      </c>
      <c r="C542" s="3">
        <f t="shared" si="70"/>
        <v>0.19999999999999929</v>
      </c>
      <c r="D542" s="10" t="s">
        <v>821</v>
      </c>
      <c r="E542" s="40">
        <v>3</v>
      </c>
      <c r="F542" s="40">
        <v>2.5</v>
      </c>
      <c r="G542" s="40">
        <v>2</v>
      </c>
      <c r="H542" s="3">
        <f t="shared" ref="H542:H602" si="74">+IF(E542="","",(E542/24)*C542)</f>
        <v>2.4999999999999911E-2</v>
      </c>
      <c r="I542" s="3">
        <f t="shared" si="72"/>
        <v>2.0833333333333259E-2</v>
      </c>
      <c r="J542" s="3">
        <f t="shared" si="73"/>
        <v>1.6666666666666607E-2</v>
      </c>
      <c r="K542" s="3"/>
      <c r="L542" s="60">
        <f t="shared" ref="L542:L602" si="75">+IF(C542="","",(L541+K542)-(H542+I542+J542))</f>
        <v>358.01291666666663</v>
      </c>
      <c r="M542" s="40">
        <v>0</v>
      </c>
      <c r="N542" s="40">
        <v>0</v>
      </c>
      <c r="O542" s="40">
        <v>0</v>
      </c>
      <c r="P542" s="40">
        <v>0</v>
      </c>
      <c r="Q542" s="40">
        <v>0</v>
      </c>
      <c r="R542" s="40">
        <v>0</v>
      </c>
      <c r="S542" s="61">
        <f t="shared" si="64"/>
        <v>100.80000000000011</v>
      </c>
      <c r="T542" s="40">
        <v>0</v>
      </c>
      <c r="U542" s="40">
        <v>0</v>
      </c>
      <c r="V542" s="40">
        <v>0</v>
      </c>
      <c r="W542" s="40">
        <v>0</v>
      </c>
      <c r="X542" s="67">
        <f t="shared" si="71"/>
        <v>242</v>
      </c>
      <c r="Z542" s="71"/>
      <c r="AA542" s="71"/>
      <c r="AB542" s="67" t="str">
        <f t="shared" si="68"/>
        <v/>
      </c>
      <c r="AD542" s="121"/>
      <c r="AE542" s="121"/>
    </row>
    <row r="543" spans="1:31" x14ac:dyDescent="0.25">
      <c r="A543" s="2" t="s">
        <v>890</v>
      </c>
      <c r="B543" s="7">
        <v>0.77083333333333337</v>
      </c>
      <c r="C543" s="3">
        <f t="shared" si="70"/>
        <v>1.2000000000000011</v>
      </c>
      <c r="D543" s="10" t="s">
        <v>796</v>
      </c>
      <c r="E543" s="40">
        <v>5</v>
      </c>
      <c r="F543" s="40">
        <v>2.5</v>
      </c>
      <c r="G543" s="40">
        <v>0</v>
      </c>
      <c r="H543" s="3">
        <f t="shared" si="74"/>
        <v>0.25000000000000022</v>
      </c>
      <c r="I543" s="3">
        <f t="shared" si="72"/>
        <v>0.12500000000000011</v>
      </c>
      <c r="J543" s="3">
        <f t="shared" si="73"/>
        <v>0</v>
      </c>
      <c r="K543" s="3"/>
      <c r="L543" s="60">
        <f t="shared" si="75"/>
        <v>357.63791666666663</v>
      </c>
      <c r="M543" s="40">
        <v>0</v>
      </c>
      <c r="N543" s="40">
        <v>0</v>
      </c>
      <c r="O543" s="40">
        <v>0</v>
      </c>
      <c r="P543" s="40">
        <v>0</v>
      </c>
      <c r="Q543" s="40">
        <v>0</v>
      </c>
      <c r="R543" s="40">
        <v>0</v>
      </c>
      <c r="S543" s="61">
        <f t="shared" si="64"/>
        <v>100.80000000000011</v>
      </c>
      <c r="T543" s="40">
        <v>0</v>
      </c>
      <c r="U543" s="40">
        <v>0</v>
      </c>
      <c r="V543" s="40">
        <v>0</v>
      </c>
      <c r="W543" s="40">
        <v>0</v>
      </c>
      <c r="X543" s="67">
        <f t="shared" si="71"/>
        <v>242</v>
      </c>
      <c r="Z543" s="71"/>
      <c r="AA543" s="71"/>
      <c r="AB543" s="67" t="str">
        <f t="shared" si="68"/>
        <v/>
      </c>
      <c r="AD543" s="121"/>
      <c r="AE543" s="121"/>
    </row>
    <row r="544" spans="1:31" x14ac:dyDescent="0.25">
      <c r="A544" s="2" t="s">
        <v>890</v>
      </c>
      <c r="B544" s="7">
        <v>0.8666666666666667</v>
      </c>
      <c r="C544" s="3">
        <f t="shared" si="70"/>
        <v>2.2999999999999998</v>
      </c>
      <c r="D544" s="10" t="s">
        <v>812</v>
      </c>
      <c r="E544" s="40">
        <v>3</v>
      </c>
      <c r="F544" s="40">
        <v>2.5</v>
      </c>
      <c r="G544" s="40">
        <v>2</v>
      </c>
      <c r="H544" s="3">
        <f t="shared" si="74"/>
        <v>0.28749999999999998</v>
      </c>
      <c r="I544" s="3">
        <f t="shared" si="72"/>
        <v>0.23958333333333331</v>
      </c>
      <c r="J544" s="3">
        <f t="shared" si="73"/>
        <v>0.19166666666666665</v>
      </c>
      <c r="K544" s="3"/>
      <c r="L544" s="60">
        <f t="shared" si="75"/>
        <v>356.91916666666663</v>
      </c>
      <c r="M544" s="40">
        <v>0</v>
      </c>
      <c r="N544" s="40">
        <v>0</v>
      </c>
      <c r="O544" s="40">
        <v>0</v>
      </c>
      <c r="P544" s="40">
        <v>0</v>
      </c>
      <c r="Q544" s="40">
        <v>0</v>
      </c>
      <c r="R544" s="40">
        <v>0</v>
      </c>
      <c r="S544" s="61">
        <f t="shared" si="64"/>
        <v>100.80000000000011</v>
      </c>
      <c r="T544" s="40">
        <v>0</v>
      </c>
      <c r="U544" s="40">
        <v>0</v>
      </c>
      <c r="V544" s="40">
        <v>0</v>
      </c>
      <c r="W544" s="40">
        <v>0</v>
      </c>
      <c r="X544" s="67">
        <f t="shared" si="71"/>
        <v>242</v>
      </c>
      <c r="Z544" s="71"/>
      <c r="AA544" s="71"/>
      <c r="AB544" s="67" t="str">
        <f t="shared" si="68"/>
        <v/>
      </c>
      <c r="AD544" s="121"/>
      <c r="AE544" s="121"/>
    </row>
    <row r="545" spans="1:31" x14ac:dyDescent="0.25">
      <c r="A545" s="2" t="s">
        <v>891</v>
      </c>
      <c r="B545" s="7">
        <v>3.3333333333333333E-2</v>
      </c>
      <c r="C545" s="3">
        <f t="shared" si="70"/>
        <v>4</v>
      </c>
      <c r="D545" s="10" t="s">
        <v>813</v>
      </c>
      <c r="E545" s="40">
        <v>0</v>
      </c>
      <c r="F545" s="40">
        <v>2.5</v>
      </c>
      <c r="G545" s="40">
        <v>2</v>
      </c>
      <c r="H545" s="3">
        <f t="shared" si="74"/>
        <v>0</v>
      </c>
      <c r="I545" s="3">
        <f t="shared" si="72"/>
        <v>0.41666666666666669</v>
      </c>
      <c r="J545" s="3">
        <f t="shared" si="73"/>
        <v>0.33333333333333331</v>
      </c>
      <c r="K545" s="3"/>
      <c r="L545" s="60">
        <f t="shared" si="75"/>
        <v>356.16916666666663</v>
      </c>
      <c r="M545" s="40">
        <v>0</v>
      </c>
      <c r="N545" s="40">
        <v>0</v>
      </c>
      <c r="O545" s="40">
        <v>0</v>
      </c>
      <c r="P545" s="40">
        <v>0</v>
      </c>
      <c r="Q545" s="40">
        <v>0</v>
      </c>
      <c r="R545" s="40">
        <v>0</v>
      </c>
      <c r="S545" s="61">
        <f t="shared" si="64"/>
        <v>100.80000000000011</v>
      </c>
      <c r="T545" s="40">
        <v>0</v>
      </c>
      <c r="U545" s="40">
        <v>0</v>
      </c>
      <c r="V545" s="40">
        <v>0</v>
      </c>
      <c r="W545" s="40">
        <v>0</v>
      </c>
      <c r="X545" s="67">
        <f t="shared" si="71"/>
        <v>242</v>
      </c>
      <c r="Z545" s="71"/>
      <c r="AA545" s="71"/>
      <c r="AB545" s="67" t="str">
        <f t="shared" si="68"/>
        <v/>
      </c>
      <c r="AD545" s="121"/>
      <c r="AE545" s="121"/>
    </row>
    <row r="546" spans="1:31" x14ac:dyDescent="0.25">
      <c r="A546" s="2" t="s">
        <v>891</v>
      </c>
      <c r="B546" s="65">
        <v>0.33333333333333331</v>
      </c>
      <c r="C546" s="3">
        <f t="shared" si="70"/>
        <v>7.1999999999999993</v>
      </c>
      <c r="D546" s="10" t="s">
        <v>820</v>
      </c>
      <c r="E546" s="40">
        <v>0</v>
      </c>
      <c r="F546" s="40">
        <v>2.5</v>
      </c>
      <c r="G546" s="40">
        <v>2</v>
      </c>
      <c r="H546" s="3">
        <f t="shared" si="74"/>
        <v>0</v>
      </c>
      <c r="I546" s="3">
        <f t="shared" si="72"/>
        <v>0.75</v>
      </c>
      <c r="J546" s="3">
        <f t="shared" si="73"/>
        <v>0.59999999999999987</v>
      </c>
      <c r="K546" s="3"/>
      <c r="L546" s="60">
        <f t="shared" si="75"/>
        <v>354.8191666666666</v>
      </c>
      <c r="M546" s="40">
        <v>0</v>
      </c>
      <c r="N546" s="40">
        <v>0</v>
      </c>
      <c r="O546" s="40">
        <v>0</v>
      </c>
      <c r="P546" s="40">
        <v>0</v>
      </c>
      <c r="Q546" s="40">
        <v>1.8</v>
      </c>
      <c r="R546" s="40">
        <v>0</v>
      </c>
      <c r="S546" s="61">
        <f t="shared" si="64"/>
        <v>99.000000000000114</v>
      </c>
      <c r="T546" s="40">
        <v>0</v>
      </c>
      <c r="U546" s="40">
        <v>0</v>
      </c>
      <c r="V546" s="40">
        <v>5</v>
      </c>
      <c r="W546" s="40">
        <v>0</v>
      </c>
      <c r="X546" s="67">
        <f t="shared" si="71"/>
        <v>237</v>
      </c>
      <c r="Z546" s="71"/>
      <c r="AA546" s="71"/>
      <c r="AB546" s="67" t="str">
        <f t="shared" si="68"/>
        <v/>
      </c>
      <c r="AD546" s="121"/>
      <c r="AE546" s="121"/>
    </row>
    <row r="547" spans="1:31" x14ac:dyDescent="0.25">
      <c r="A547" s="2" t="s">
        <v>892</v>
      </c>
      <c r="B547" s="65">
        <v>0.33333333333333331</v>
      </c>
      <c r="C547" s="3">
        <v>24</v>
      </c>
      <c r="D547" s="10" t="s">
        <v>820</v>
      </c>
      <c r="E547" s="40">
        <v>0</v>
      </c>
      <c r="F547" s="40">
        <v>2.5</v>
      </c>
      <c r="G547" s="40">
        <v>2</v>
      </c>
      <c r="H547" s="3">
        <f t="shared" si="74"/>
        <v>0</v>
      </c>
      <c r="I547" s="3">
        <f t="shared" si="72"/>
        <v>2.5</v>
      </c>
      <c r="J547" s="3">
        <f t="shared" si="73"/>
        <v>2</v>
      </c>
      <c r="K547" s="3"/>
      <c r="L547" s="60">
        <f t="shared" si="75"/>
        <v>350.3191666666666</v>
      </c>
      <c r="M547" s="40">
        <v>0</v>
      </c>
      <c r="N547" s="40">
        <v>0</v>
      </c>
      <c r="O547" s="40">
        <v>0</v>
      </c>
      <c r="P547" s="40">
        <v>0</v>
      </c>
      <c r="Q547" s="40">
        <v>6</v>
      </c>
      <c r="R547" s="40">
        <v>0</v>
      </c>
      <c r="S547" s="61">
        <f t="shared" si="64"/>
        <v>93.000000000000114</v>
      </c>
      <c r="T547" s="40">
        <v>0</v>
      </c>
      <c r="U547" s="40">
        <v>0</v>
      </c>
      <c r="V547" s="40">
        <v>5</v>
      </c>
      <c r="W547" s="40">
        <v>0</v>
      </c>
      <c r="X547" s="67">
        <f t="shared" si="71"/>
        <v>232</v>
      </c>
      <c r="Z547" s="71"/>
      <c r="AA547" s="71"/>
      <c r="AB547" s="67" t="str">
        <f t="shared" si="68"/>
        <v/>
      </c>
      <c r="AD547" s="121"/>
      <c r="AE547" s="121"/>
    </row>
    <row r="548" spans="1:31" x14ac:dyDescent="0.25">
      <c r="A548" s="2" t="s">
        <v>892</v>
      </c>
      <c r="B548" s="7">
        <v>0.47083333333333338</v>
      </c>
      <c r="C548" s="3">
        <f t="shared" si="70"/>
        <v>3.3000000000000016</v>
      </c>
      <c r="D548" s="10" t="s">
        <v>893</v>
      </c>
      <c r="E548" s="40">
        <v>0</v>
      </c>
      <c r="F548" s="40">
        <v>2.5</v>
      </c>
      <c r="G548" s="40">
        <v>2</v>
      </c>
      <c r="H548" s="3">
        <f t="shared" si="74"/>
        <v>0</v>
      </c>
      <c r="I548" s="3">
        <f t="shared" si="72"/>
        <v>0.34375000000000017</v>
      </c>
      <c r="J548" s="3">
        <f t="shared" si="73"/>
        <v>0.27500000000000013</v>
      </c>
      <c r="K548" s="3"/>
      <c r="L548" s="60">
        <f t="shared" si="75"/>
        <v>349.70041666666663</v>
      </c>
      <c r="M548" s="40">
        <v>0</v>
      </c>
      <c r="N548" s="40">
        <v>0</v>
      </c>
      <c r="O548" s="40">
        <v>0</v>
      </c>
      <c r="P548" s="40">
        <v>0</v>
      </c>
      <c r="Q548" s="40">
        <v>0.8</v>
      </c>
      <c r="R548" s="40">
        <v>0</v>
      </c>
      <c r="S548" s="61">
        <f t="shared" si="64"/>
        <v>92.200000000000117</v>
      </c>
      <c r="T548" s="40">
        <v>0</v>
      </c>
      <c r="U548" s="40">
        <v>0</v>
      </c>
      <c r="V548" s="40">
        <v>0</v>
      </c>
      <c r="W548" s="40">
        <v>0</v>
      </c>
      <c r="X548" s="67">
        <f t="shared" si="71"/>
        <v>232</v>
      </c>
      <c r="Z548" s="71"/>
      <c r="AA548" s="71"/>
      <c r="AB548" s="67" t="str">
        <f t="shared" si="68"/>
        <v/>
      </c>
      <c r="AD548" s="121"/>
      <c r="AE548" s="121"/>
    </row>
    <row r="549" spans="1:31" x14ac:dyDescent="0.25">
      <c r="A549" s="53" t="s">
        <v>892</v>
      </c>
      <c r="B549" s="7">
        <v>0.60416666666666663</v>
      </c>
      <c r="C549" s="3">
        <f t="shared" si="70"/>
        <v>3.199999999999998</v>
      </c>
      <c r="D549" s="10" t="s">
        <v>660</v>
      </c>
      <c r="E549" s="40">
        <v>0</v>
      </c>
      <c r="F549" s="40">
        <v>2.5</v>
      </c>
      <c r="G549" s="40">
        <v>2</v>
      </c>
      <c r="H549" s="3">
        <f t="shared" si="74"/>
        <v>0</v>
      </c>
      <c r="I549" s="3">
        <f t="shared" si="72"/>
        <v>0.33333333333333315</v>
      </c>
      <c r="J549" s="3">
        <f t="shared" si="73"/>
        <v>0.2666666666666665</v>
      </c>
      <c r="K549" s="3"/>
      <c r="L549" s="60">
        <f t="shared" si="75"/>
        <v>349.1004166666666</v>
      </c>
      <c r="M549" s="40">
        <v>0</v>
      </c>
      <c r="N549" s="40">
        <v>0</v>
      </c>
      <c r="O549" s="40">
        <v>0</v>
      </c>
      <c r="P549" s="40">
        <v>0</v>
      </c>
      <c r="Q549" s="40">
        <v>0</v>
      </c>
      <c r="R549" s="40">
        <v>0</v>
      </c>
      <c r="S549" s="61">
        <f t="shared" si="64"/>
        <v>92.200000000000117</v>
      </c>
      <c r="T549" s="40">
        <v>0</v>
      </c>
      <c r="U549" s="40">
        <v>0</v>
      </c>
      <c r="V549" s="40">
        <v>0</v>
      </c>
      <c r="W549" s="40">
        <v>0</v>
      </c>
      <c r="X549" s="67">
        <f t="shared" si="71"/>
        <v>232</v>
      </c>
      <c r="Z549" s="71"/>
      <c r="AA549" s="71"/>
      <c r="AB549" s="67" t="str">
        <f t="shared" si="68"/>
        <v/>
      </c>
      <c r="AD549" s="121"/>
      <c r="AE549" s="121"/>
    </row>
    <row r="550" spans="1:31" x14ac:dyDescent="0.25">
      <c r="A550" s="53" t="s">
        <v>892</v>
      </c>
      <c r="B550" s="7">
        <v>0.625</v>
      </c>
      <c r="C550" s="3">
        <f t="shared" si="70"/>
        <v>0.50000000000000089</v>
      </c>
      <c r="D550" s="10" t="s">
        <v>821</v>
      </c>
      <c r="E550" s="40">
        <v>5</v>
      </c>
      <c r="F550" s="40">
        <v>2.5</v>
      </c>
      <c r="G550" s="40">
        <v>2</v>
      </c>
      <c r="H550" s="3">
        <f t="shared" si="74"/>
        <v>0.10416666666666685</v>
      </c>
      <c r="I550" s="3">
        <f t="shared" si="72"/>
        <v>5.2083333333333426E-2</v>
      </c>
      <c r="J550" s="3">
        <f t="shared" si="73"/>
        <v>4.1666666666666741E-2</v>
      </c>
      <c r="K550" s="3"/>
      <c r="L550" s="60">
        <f t="shared" si="75"/>
        <v>348.90249999999992</v>
      </c>
      <c r="M550" s="40">
        <v>0</v>
      </c>
      <c r="N550" s="40">
        <v>0</v>
      </c>
      <c r="O550" s="40">
        <v>0</v>
      </c>
      <c r="P550" s="40">
        <v>0</v>
      </c>
      <c r="Q550" s="40">
        <v>0</v>
      </c>
      <c r="R550" s="40">
        <v>0</v>
      </c>
      <c r="S550" s="61">
        <f t="shared" si="64"/>
        <v>92.200000000000117</v>
      </c>
      <c r="T550" s="40">
        <v>0</v>
      </c>
      <c r="U550" s="40">
        <v>0</v>
      </c>
      <c r="V550" s="40">
        <v>0</v>
      </c>
      <c r="W550" s="40">
        <v>0</v>
      </c>
      <c r="X550" s="67">
        <f t="shared" si="71"/>
        <v>232</v>
      </c>
      <c r="Z550" s="71"/>
      <c r="AA550" s="71"/>
      <c r="AB550" s="67" t="str">
        <f t="shared" si="68"/>
        <v/>
      </c>
      <c r="AD550" s="121"/>
      <c r="AE550" s="121"/>
    </row>
    <row r="551" spans="1:31" x14ac:dyDescent="0.25">
      <c r="A551" s="53" t="s">
        <v>892</v>
      </c>
      <c r="B551" s="7">
        <v>0.79999999999999993</v>
      </c>
      <c r="C551" s="3">
        <f t="shared" si="70"/>
        <v>4.1999999999999984</v>
      </c>
      <c r="D551" s="10" t="s">
        <v>796</v>
      </c>
      <c r="E551" s="40">
        <v>22</v>
      </c>
      <c r="F551" s="40">
        <v>2.5</v>
      </c>
      <c r="G551" s="40">
        <v>2</v>
      </c>
      <c r="H551" s="3">
        <f t="shared" si="74"/>
        <v>3.8499999999999983</v>
      </c>
      <c r="I551" s="3">
        <f t="shared" si="72"/>
        <v>0.43749999999999983</v>
      </c>
      <c r="J551" s="3">
        <f t="shared" si="73"/>
        <v>0.34999999999999987</v>
      </c>
      <c r="K551" s="3"/>
      <c r="L551" s="60">
        <f t="shared" si="75"/>
        <v>344.26499999999993</v>
      </c>
      <c r="M551" s="40">
        <v>0</v>
      </c>
      <c r="N551" s="40">
        <v>0</v>
      </c>
      <c r="O551" s="40">
        <v>0</v>
      </c>
      <c r="P551" s="40">
        <v>0</v>
      </c>
      <c r="Q551" s="40">
        <v>0</v>
      </c>
      <c r="R551" s="40">
        <v>0</v>
      </c>
      <c r="S551" s="61">
        <f t="shared" si="64"/>
        <v>92.200000000000117</v>
      </c>
      <c r="T551" s="40">
        <v>0</v>
      </c>
      <c r="U551" s="40">
        <v>0</v>
      </c>
      <c r="V551" s="40">
        <v>2</v>
      </c>
      <c r="W551" s="40">
        <v>0</v>
      </c>
      <c r="X551" s="67">
        <f t="shared" si="71"/>
        <v>230</v>
      </c>
      <c r="Z551" s="71"/>
      <c r="AA551" s="71"/>
      <c r="AB551" s="67" t="str">
        <f t="shared" si="68"/>
        <v/>
      </c>
      <c r="AD551" s="121">
        <v>12.1</v>
      </c>
      <c r="AE551" s="121" t="s">
        <v>1301</v>
      </c>
    </row>
    <row r="552" spans="1:31" x14ac:dyDescent="0.25">
      <c r="A552" s="53" t="s">
        <v>892</v>
      </c>
      <c r="B552" s="7">
        <v>0.83333333333333337</v>
      </c>
      <c r="C552" s="3">
        <f t="shared" si="70"/>
        <v>0.80000000000000249</v>
      </c>
      <c r="D552" s="10" t="s">
        <v>812</v>
      </c>
      <c r="E552" s="40">
        <v>5</v>
      </c>
      <c r="F552" s="40">
        <v>2.5</v>
      </c>
      <c r="G552" s="40">
        <v>2</v>
      </c>
      <c r="H552" s="3">
        <f t="shared" si="74"/>
        <v>0.16666666666666718</v>
      </c>
      <c r="I552" s="3">
        <f t="shared" si="72"/>
        <v>8.3333333333333592E-2</v>
      </c>
      <c r="J552" s="3">
        <f t="shared" si="73"/>
        <v>6.6666666666666874E-2</v>
      </c>
      <c r="K552" s="3"/>
      <c r="L552" s="60">
        <f t="shared" si="75"/>
        <v>343.94833333333327</v>
      </c>
      <c r="M552" s="40">
        <v>0</v>
      </c>
      <c r="N552" s="40">
        <v>0</v>
      </c>
      <c r="O552" s="40">
        <v>0</v>
      </c>
      <c r="P552" s="40">
        <v>0</v>
      </c>
      <c r="Q552" s="40">
        <v>0</v>
      </c>
      <c r="R552" s="40">
        <v>0</v>
      </c>
      <c r="S552" s="61">
        <f t="shared" si="64"/>
        <v>92.200000000000117</v>
      </c>
      <c r="T552" s="40">
        <v>0</v>
      </c>
      <c r="U552" s="40">
        <v>0</v>
      </c>
      <c r="V552" s="40">
        <v>0</v>
      </c>
      <c r="W552" s="40">
        <v>0</v>
      </c>
      <c r="X552" s="67">
        <f t="shared" si="71"/>
        <v>230</v>
      </c>
      <c r="Z552" s="71"/>
      <c r="AA552" s="71"/>
      <c r="AB552" s="67" t="str">
        <f t="shared" si="68"/>
        <v/>
      </c>
      <c r="AD552" s="121"/>
      <c r="AE552" s="121"/>
    </row>
    <row r="553" spans="1:31" x14ac:dyDescent="0.25">
      <c r="A553" s="2" t="s">
        <v>894</v>
      </c>
      <c r="B553" s="7">
        <v>0.26250000000000001</v>
      </c>
      <c r="C553" s="3">
        <f t="shared" si="70"/>
        <v>10.3</v>
      </c>
      <c r="D553" s="10" t="s">
        <v>660</v>
      </c>
      <c r="E553" s="40">
        <v>0</v>
      </c>
      <c r="F553" s="40">
        <v>2.5</v>
      </c>
      <c r="G553" s="40">
        <v>2</v>
      </c>
      <c r="H553" s="3">
        <f t="shared" si="74"/>
        <v>0</v>
      </c>
      <c r="I553" s="3">
        <f t="shared" si="72"/>
        <v>1.0729166666666667</v>
      </c>
      <c r="J553" s="3">
        <f t="shared" si="73"/>
        <v>0.85833333333333339</v>
      </c>
      <c r="K553" s="3"/>
      <c r="L553" s="60">
        <f t="shared" si="75"/>
        <v>342.01708333333329</v>
      </c>
      <c r="M553" s="40">
        <v>0</v>
      </c>
      <c r="N553" s="40">
        <v>0</v>
      </c>
      <c r="O553" s="40">
        <v>0</v>
      </c>
      <c r="P553" s="40">
        <v>0</v>
      </c>
      <c r="Q553" s="40">
        <v>0</v>
      </c>
      <c r="R553" s="40">
        <v>0</v>
      </c>
      <c r="S553" s="61">
        <f t="shared" si="64"/>
        <v>92.200000000000117</v>
      </c>
      <c r="T553" s="40">
        <v>0</v>
      </c>
      <c r="U553" s="40">
        <v>0</v>
      </c>
      <c r="V553" s="40">
        <v>3</v>
      </c>
      <c r="W553" s="40">
        <v>0</v>
      </c>
      <c r="X553" s="67">
        <f t="shared" si="71"/>
        <v>227</v>
      </c>
      <c r="Z553" s="71"/>
      <c r="AA553" s="71"/>
      <c r="AB553" s="67" t="str">
        <f t="shared" si="68"/>
        <v/>
      </c>
      <c r="AD553" s="121"/>
      <c r="AE553" s="121"/>
    </row>
    <row r="554" spans="1:31" x14ac:dyDescent="0.25">
      <c r="A554" s="2" t="s">
        <v>894</v>
      </c>
      <c r="B554" s="7">
        <v>0.27083333333333331</v>
      </c>
      <c r="C554" s="3">
        <f t="shared" si="70"/>
        <v>0.19999999999999929</v>
      </c>
      <c r="D554" s="10" t="s">
        <v>821</v>
      </c>
      <c r="E554" s="40">
        <v>5</v>
      </c>
      <c r="F554" s="40">
        <v>2.5</v>
      </c>
      <c r="G554" s="40">
        <v>2</v>
      </c>
      <c r="H554" s="3">
        <f t="shared" si="74"/>
        <v>4.1666666666666519E-2</v>
      </c>
      <c r="I554" s="3">
        <f t="shared" si="72"/>
        <v>2.0833333333333259E-2</v>
      </c>
      <c r="J554" s="3">
        <f t="shared" si="73"/>
        <v>1.6666666666666607E-2</v>
      </c>
      <c r="K554" s="3"/>
      <c r="L554" s="60">
        <f t="shared" si="75"/>
        <v>341.93791666666664</v>
      </c>
      <c r="M554" s="40">
        <v>0</v>
      </c>
      <c r="N554" s="40">
        <v>0</v>
      </c>
      <c r="O554" s="40">
        <v>0</v>
      </c>
      <c r="P554" s="40">
        <v>0</v>
      </c>
      <c r="Q554" s="40">
        <v>0</v>
      </c>
      <c r="R554" s="40">
        <v>0</v>
      </c>
      <c r="S554" s="61">
        <f t="shared" si="64"/>
        <v>92.200000000000117</v>
      </c>
      <c r="T554" s="40">
        <v>0</v>
      </c>
      <c r="U554" s="40">
        <v>0</v>
      </c>
      <c r="V554" s="40">
        <v>0</v>
      </c>
      <c r="W554" s="40">
        <v>0</v>
      </c>
      <c r="X554" s="67">
        <f t="shared" si="71"/>
        <v>227</v>
      </c>
      <c r="Z554" s="71"/>
      <c r="AA554" s="71"/>
      <c r="AB554" s="67" t="str">
        <f t="shared" si="68"/>
        <v/>
      </c>
      <c r="AD554" s="121"/>
      <c r="AE554" s="121"/>
    </row>
    <row r="555" spans="1:31" x14ac:dyDescent="0.25">
      <c r="A555" s="2" t="s">
        <v>894</v>
      </c>
      <c r="B555" s="7">
        <v>0.3</v>
      </c>
      <c r="C555" s="3">
        <f t="shared" si="70"/>
        <v>0.70000000000000018</v>
      </c>
      <c r="D555" s="10" t="s">
        <v>796</v>
      </c>
      <c r="E555" s="40">
        <v>10</v>
      </c>
      <c r="F555" s="40">
        <v>2.5</v>
      </c>
      <c r="G555" s="40">
        <v>0</v>
      </c>
      <c r="H555" s="3">
        <f t="shared" si="74"/>
        <v>0.29166666666666674</v>
      </c>
      <c r="I555" s="3">
        <f t="shared" si="72"/>
        <v>7.2916666666666685E-2</v>
      </c>
      <c r="J555" s="3">
        <f t="shared" si="73"/>
        <v>0</v>
      </c>
      <c r="K555" s="3"/>
      <c r="L555" s="60">
        <f t="shared" si="75"/>
        <v>341.57333333333332</v>
      </c>
      <c r="M555" s="40">
        <v>0</v>
      </c>
      <c r="N555" s="40">
        <v>0</v>
      </c>
      <c r="O555" s="40">
        <v>0</v>
      </c>
      <c r="P555" s="40">
        <v>0</v>
      </c>
      <c r="Q555" s="40">
        <v>0</v>
      </c>
      <c r="R555" s="40">
        <v>0</v>
      </c>
      <c r="S555" s="61">
        <f t="shared" si="64"/>
        <v>92.200000000000117</v>
      </c>
      <c r="T555" s="40">
        <v>0</v>
      </c>
      <c r="U555" s="40">
        <v>0</v>
      </c>
      <c r="V555" s="40">
        <v>0</v>
      </c>
      <c r="W555" s="40">
        <v>0</v>
      </c>
      <c r="X555" s="67">
        <f t="shared" si="71"/>
        <v>227</v>
      </c>
      <c r="Z555" s="71"/>
      <c r="AA555" s="71"/>
      <c r="AB555" s="67" t="str">
        <f t="shared" si="68"/>
        <v/>
      </c>
      <c r="AD555" s="121"/>
      <c r="AE555" s="121"/>
    </row>
    <row r="556" spans="1:31" x14ac:dyDescent="0.25">
      <c r="A556" s="2" t="s">
        <v>894</v>
      </c>
      <c r="B556" s="65">
        <v>0.33333333333333331</v>
      </c>
      <c r="C556" s="3">
        <f t="shared" si="70"/>
        <v>0.79999999999999982</v>
      </c>
      <c r="D556" s="10" t="s">
        <v>895</v>
      </c>
      <c r="E556" s="40">
        <v>5</v>
      </c>
      <c r="F556" s="40">
        <v>2.5</v>
      </c>
      <c r="G556" s="40">
        <v>2</v>
      </c>
      <c r="H556" s="3">
        <f t="shared" si="74"/>
        <v>0.16666666666666663</v>
      </c>
      <c r="I556" s="3">
        <f t="shared" si="72"/>
        <v>8.3333333333333315E-2</v>
      </c>
      <c r="J556" s="3">
        <f t="shared" si="73"/>
        <v>6.6666666666666652E-2</v>
      </c>
      <c r="K556" s="3"/>
      <c r="L556" s="60">
        <f t="shared" si="75"/>
        <v>341.25666666666666</v>
      </c>
      <c r="M556" s="40">
        <v>0</v>
      </c>
      <c r="N556" s="40">
        <v>0</v>
      </c>
      <c r="O556" s="40">
        <v>0</v>
      </c>
      <c r="P556" s="40">
        <v>0</v>
      </c>
      <c r="Q556" s="40">
        <v>0</v>
      </c>
      <c r="R556" s="40">
        <v>0</v>
      </c>
      <c r="S556" s="61">
        <f t="shared" si="64"/>
        <v>92.200000000000117</v>
      </c>
      <c r="T556" s="40">
        <v>0</v>
      </c>
      <c r="U556" s="40">
        <v>0</v>
      </c>
      <c r="V556" s="40">
        <v>0</v>
      </c>
      <c r="W556" s="40">
        <v>0</v>
      </c>
      <c r="X556" s="67">
        <f t="shared" si="71"/>
        <v>227</v>
      </c>
      <c r="Z556" s="71"/>
      <c r="AA556" s="71"/>
      <c r="AB556" s="67" t="str">
        <f t="shared" si="68"/>
        <v/>
      </c>
      <c r="AD556" s="121"/>
      <c r="AE556" s="121"/>
    </row>
    <row r="557" spans="1:31" x14ac:dyDescent="0.25">
      <c r="A557" s="2" t="s">
        <v>894</v>
      </c>
      <c r="B557" s="7">
        <v>0.35416666666666669</v>
      </c>
      <c r="C557" s="3">
        <f t="shared" si="70"/>
        <v>0.50000000000000089</v>
      </c>
      <c r="D557" s="10" t="s">
        <v>812</v>
      </c>
      <c r="E557" s="40">
        <v>5</v>
      </c>
      <c r="F557" s="40">
        <v>2.5</v>
      </c>
      <c r="G557" s="40">
        <v>2</v>
      </c>
      <c r="H557" s="3">
        <f t="shared" si="74"/>
        <v>0.10416666666666685</v>
      </c>
      <c r="I557" s="3">
        <f t="shared" si="72"/>
        <v>5.2083333333333426E-2</v>
      </c>
      <c r="J557" s="3">
        <f t="shared" si="73"/>
        <v>4.1666666666666741E-2</v>
      </c>
      <c r="K557" s="3"/>
      <c r="L557" s="60">
        <f t="shared" si="75"/>
        <v>341.05874999999997</v>
      </c>
      <c r="M557" s="40">
        <v>0</v>
      </c>
      <c r="N557" s="40">
        <v>0</v>
      </c>
      <c r="O557" s="40">
        <v>0</v>
      </c>
      <c r="P557" s="40">
        <v>0</v>
      </c>
      <c r="Q557" s="40">
        <v>0</v>
      </c>
      <c r="R557" s="40">
        <v>0</v>
      </c>
      <c r="S557" s="61">
        <f t="shared" si="64"/>
        <v>92.200000000000117</v>
      </c>
      <c r="T557" s="40">
        <v>0</v>
      </c>
      <c r="U557" s="40">
        <v>0</v>
      </c>
      <c r="V557" s="40">
        <v>0</v>
      </c>
      <c r="W557" s="40">
        <v>0</v>
      </c>
      <c r="X557" s="67">
        <f t="shared" si="71"/>
        <v>227</v>
      </c>
      <c r="Z557" s="71"/>
      <c r="AA557" s="71"/>
      <c r="AB557" s="67" t="str">
        <f t="shared" si="68"/>
        <v/>
      </c>
      <c r="AD557" s="121"/>
      <c r="AE557" s="121"/>
    </row>
    <row r="558" spans="1:31" x14ac:dyDescent="0.25">
      <c r="A558" s="2" t="s">
        <v>894</v>
      </c>
      <c r="B558" s="7">
        <v>0.46249999999999997</v>
      </c>
      <c r="C558" s="3">
        <f t="shared" si="70"/>
        <v>2.5999999999999988</v>
      </c>
      <c r="D558" s="10" t="s">
        <v>799</v>
      </c>
      <c r="E558" s="40">
        <v>0</v>
      </c>
      <c r="F558" s="40">
        <v>2.5</v>
      </c>
      <c r="G558" s="40">
        <v>2</v>
      </c>
      <c r="H558" s="3">
        <f t="shared" si="74"/>
        <v>0</v>
      </c>
      <c r="I558" s="3">
        <f t="shared" si="72"/>
        <v>0.2708333333333332</v>
      </c>
      <c r="J558" s="3">
        <f t="shared" si="73"/>
        <v>0.21666666666666656</v>
      </c>
      <c r="K558" s="3"/>
      <c r="L558" s="60">
        <f t="shared" si="75"/>
        <v>340.57124999999996</v>
      </c>
      <c r="M558" s="40">
        <v>0</v>
      </c>
      <c r="N558" s="40">
        <v>0</v>
      </c>
      <c r="O558" s="40">
        <v>0</v>
      </c>
      <c r="P558" s="40">
        <v>0</v>
      </c>
      <c r="Q558" s="40">
        <v>0</v>
      </c>
      <c r="R558" s="40">
        <v>0</v>
      </c>
      <c r="S558" s="61">
        <f t="shared" ref="S558:S602" si="76">IF(C558="","",(S557+R558)-(M558+N558+O558+P558+Q558))</f>
        <v>92.200000000000117</v>
      </c>
      <c r="T558" s="40">
        <v>0</v>
      </c>
      <c r="U558" s="40">
        <v>0</v>
      </c>
      <c r="V558" s="40">
        <v>0</v>
      </c>
      <c r="W558" s="40">
        <v>0</v>
      </c>
      <c r="X558" s="67">
        <f t="shared" si="71"/>
        <v>227</v>
      </c>
      <c r="Z558" s="71"/>
      <c r="AA558" s="71"/>
      <c r="AB558" s="67" t="str">
        <f t="shared" si="68"/>
        <v/>
      </c>
      <c r="AD558" s="121"/>
      <c r="AE558" s="121"/>
    </row>
    <row r="559" spans="1:31" x14ac:dyDescent="0.25">
      <c r="A559" s="2" t="s">
        <v>896</v>
      </c>
      <c r="B559" s="7">
        <v>0.29166666666666669</v>
      </c>
      <c r="C559" s="3">
        <f t="shared" si="70"/>
        <v>19.900000000000002</v>
      </c>
      <c r="D559" s="10" t="s">
        <v>801</v>
      </c>
      <c r="E559" s="40">
        <v>0</v>
      </c>
      <c r="F559" s="40">
        <v>2.5</v>
      </c>
      <c r="G559" s="40">
        <v>2</v>
      </c>
      <c r="H559" s="3">
        <f t="shared" si="74"/>
        <v>0</v>
      </c>
      <c r="I559" s="3">
        <f t="shared" si="72"/>
        <v>2.072916666666667</v>
      </c>
      <c r="J559" s="3">
        <f t="shared" si="73"/>
        <v>1.6583333333333334</v>
      </c>
      <c r="K559" s="3"/>
      <c r="L559" s="60">
        <f t="shared" si="75"/>
        <v>336.84</v>
      </c>
      <c r="M559" s="40">
        <v>0</v>
      </c>
      <c r="N559" s="40">
        <v>0</v>
      </c>
      <c r="O559" s="40">
        <v>0</v>
      </c>
      <c r="P559" s="40">
        <v>0</v>
      </c>
      <c r="Q559" s="40">
        <v>4.9000000000000004</v>
      </c>
      <c r="R559" s="40">
        <v>0</v>
      </c>
      <c r="S559" s="61">
        <f t="shared" si="76"/>
        <v>87.300000000000111</v>
      </c>
      <c r="T559" s="40">
        <v>0</v>
      </c>
      <c r="U559" s="40">
        <v>0</v>
      </c>
      <c r="V559" s="40">
        <v>4</v>
      </c>
      <c r="W559" s="40">
        <v>0</v>
      </c>
      <c r="X559" s="67">
        <f t="shared" si="71"/>
        <v>223</v>
      </c>
      <c r="Z559" s="71"/>
      <c r="AA559" s="71"/>
      <c r="AB559" s="67" t="str">
        <f t="shared" si="68"/>
        <v/>
      </c>
      <c r="AD559" s="121"/>
      <c r="AE559" s="121"/>
    </row>
    <row r="560" spans="1:31" x14ac:dyDescent="0.25">
      <c r="A560" s="2" t="s">
        <v>896</v>
      </c>
      <c r="B560" s="65">
        <v>0.33333333333333331</v>
      </c>
      <c r="C560" s="3">
        <f t="shared" si="70"/>
        <v>0.99999999999999911</v>
      </c>
      <c r="D560" s="10" t="s">
        <v>897</v>
      </c>
      <c r="E560" s="40">
        <v>0</v>
      </c>
      <c r="F560" s="40">
        <v>2.5</v>
      </c>
      <c r="G560" s="40">
        <v>2</v>
      </c>
      <c r="H560" s="3">
        <f t="shared" si="74"/>
        <v>0</v>
      </c>
      <c r="I560" s="3">
        <f t="shared" si="72"/>
        <v>0.10416666666666657</v>
      </c>
      <c r="J560" s="3">
        <f t="shared" si="73"/>
        <v>8.3333333333333259E-2</v>
      </c>
      <c r="K560" s="3"/>
      <c r="L560" s="60">
        <f t="shared" si="75"/>
        <v>336.65249999999997</v>
      </c>
      <c r="M560" s="40">
        <v>0</v>
      </c>
      <c r="N560" s="40">
        <v>0</v>
      </c>
      <c r="O560" s="40">
        <v>0</v>
      </c>
      <c r="P560" s="40">
        <v>0</v>
      </c>
      <c r="Q560" s="40">
        <v>0</v>
      </c>
      <c r="R560" s="40">
        <v>0</v>
      </c>
      <c r="S560" s="61">
        <f t="shared" si="76"/>
        <v>87.300000000000111</v>
      </c>
      <c r="T560" s="40">
        <v>0</v>
      </c>
      <c r="U560" s="40">
        <v>0</v>
      </c>
      <c r="V560" s="40">
        <v>0</v>
      </c>
      <c r="W560" s="40">
        <v>0</v>
      </c>
      <c r="X560" s="67">
        <f t="shared" si="71"/>
        <v>223</v>
      </c>
      <c r="Z560" s="71"/>
      <c r="AA560" s="71"/>
      <c r="AB560" s="67" t="str">
        <f t="shared" si="68"/>
        <v/>
      </c>
      <c r="AD560" s="121"/>
      <c r="AE560" s="121"/>
    </row>
    <row r="561" spans="1:31" x14ac:dyDescent="0.25">
      <c r="A561" s="2" t="s">
        <v>896</v>
      </c>
      <c r="B561" s="7">
        <v>0.39583333333333331</v>
      </c>
      <c r="C561" s="3">
        <f t="shared" si="70"/>
        <v>1.5</v>
      </c>
      <c r="D561" s="10" t="s">
        <v>660</v>
      </c>
      <c r="E561" s="40">
        <v>0</v>
      </c>
      <c r="F561" s="40">
        <v>2.5</v>
      </c>
      <c r="G561" s="40">
        <v>2</v>
      </c>
      <c r="H561" s="3">
        <f t="shared" si="74"/>
        <v>0</v>
      </c>
      <c r="I561" s="3">
        <f t="shared" si="72"/>
        <v>0.15625</v>
      </c>
      <c r="J561" s="3">
        <f t="shared" si="73"/>
        <v>0.125</v>
      </c>
      <c r="K561" s="3"/>
      <c r="L561" s="60">
        <f t="shared" si="75"/>
        <v>336.37124999999997</v>
      </c>
      <c r="M561" s="40">
        <v>0</v>
      </c>
      <c r="N561" s="40">
        <v>0</v>
      </c>
      <c r="O561" s="40">
        <v>0</v>
      </c>
      <c r="P561" s="40">
        <v>0</v>
      </c>
      <c r="Q561" s="40">
        <v>0</v>
      </c>
      <c r="R561" s="40">
        <v>0</v>
      </c>
      <c r="S561" s="61">
        <f t="shared" si="76"/>
        <v>87.300000000000111</v>
      </c>
      <c r="T561" s="40">
        <v>0</v>
      </c>
      <c r="U561" s="40">
        <v>0</v>
      </c>
      <c r="V561" s="40">
        <v>0</v>
      </c>
      <c r="W561" s="40">
        <v>0</v>
      </c>
      <c r="X561" s="67">
        <f t="shared" si="71"/>
        <v>223</v>
      </c>
      <c r="Z561" s="71"/>
      <c r="AA561" s="71"/>
      <c r="AB561" s="67" t="str">
        <f t="shared" si="68"/>
        <v/>
      </c>
      <c r="AD561" s="121"/>
      <c r="AE561" s="121"/>
    </row>
    <row r="562" spans="1:31" x14ac:dyDescent="0.25">
      <c r="A562" s="2" t="s">
        <v>896</v>
      </c>
      <c r="B562" s="7">
        <v>0.41666666666666669</v>
      </c>
      <c r="C562" s="3">
        <f t="shared" si="70"/>
        <v>0.50000000000000089</v>
      </c>
      <c r="D562" s="10" t="s">
        <v>833</v>
      </c>
      <c r="E562" s="40">
        <v>5</v>
      </c>
      <c r="F562" s="40">
        <v>2.5</v>
      </c>
      <c r="G562" s="40">
        <v>2</v>
      </c>
      <c r="H562" s="3">
        <f t="shared" si="74"/>
        <v>0.10416666666666685</v>
      </c>
      <c r="I562" s="3">
        <f t="shared" si="72"/>
        <v>5.2083333333333426E-2</v>
      </c>
      <c r="J562" s="3">
        <f t="shared" si="73"/>
        <v>4.1666666666666741E-2</v>
      </c>
      <c r="K562" s="3"/>
      <c r="L562" s="60">
        <f t="shared" si="75"/>
        <v>336.17333333333329</v>
      </c>
      <c r="M562" s="40">
        <v>0</v>
      </c>
      <c r="N562" s="40">
        <v>0</v>
      </c>
      <c r="O562" s="40">
        <v>0</v>
      </c>
      <c r="P562" s="40">
        <v>0</v>
      </c>
      <c r="Q562" s="40">
        <v>0</v>
      </c>
      <c r="R562" s="40">
        <v>0</v>
      </c>
      <c r="S562" s="61">
        <f t="shared" si="76"/>
        <v>87.300000000000111</v>
      </c>
      <c r="T562" s="40">
        <v>0</v>
      </c>
      <c r="U562" s="40">
        <v>0</v>
      </c>
      <c r="V562" s="40">
        <v>0</v>
      </c>
      <c r="W562" s="40">
        <v>0</v>
      </c>
      <c r="X562" s="67">
        <f t="shared" si="71"/>
        <v>223</v>
      </c>
      <c r="Z562" s="71"/>
      <c r="AA562" s="71"/>
      <c r="AB562" s="67" t="str">
        <f t="shared" si="68"/>
        <v/>
      </c>
      <c r="AD562" s="121"/>
      <c r="AE562" s="121"/>
    </row>
    <row r="563" spans="1:31" x14ac:dyDescent="0.25">
      <c r="A563" s="2" t="s">
        <v>898</v>
      </c>
      <c r="B563" s="65">
        <v>0.33333333333333331</v>
      </c>
      <c r="C563" s="3">
        <f t="shared" si="70"/>
        <v>22</v>
      </c>
      <c r="D563" s="10" t="s">
        <v>835</v>
      </c>
      <c r="E563" s="40">
        <v>22</v>
      </c>
      <c r="F563" s="40">
        <v>2.5</v>
      </c>
      <c r="G563" s="40">
        <v>0</v>
      </c>
      <c r="H563" s="3">
        <f t="shared" si="74"/>
        <v>20.166666666666664</v>
      </c>
      <c r="I563" s="3">
        <f t="shared" si="72"/>
        <v>2.291666666666667</v>
      </c>
      <c r="J563" s="3">
        <f t="shared" si="73"/>
        <v>0</v>
      </c>
      <c r="K563" s="3"/>
      <c r="L563" s="60">
        <f t="shared" si="75"/>
        <v>313.71499999999997</v>
      </c>
      <c r="M563" s="40">
        <v>0</v>
      </c>
      <c r="N563" s="40">
        <v>0</v>
      </c>
      <c r="O563" s="40">
        <v>0</v>
      </c>
      <c r="P563" s="40">
        <v>0</v>
      </c>
      <c r="Q563" s="40">
        <v>0</v>
      </c>
      <c r="R563" s="40">
        <v>0</v>
      </c>
      <c r="S563" s="61">
        <f t="shared" si="76"/>
        <v>87.300000000000111</v>
      </c>
      <c r="T563" s="40">
        <v>8</v>
      </c>
      <c r="U563" s="40">
        <v>0</v>
      </c>
      <c r="V563" s="40">
        <v>5</v>
      </c>
      <c r="W563" s="40">
        <v>2</v>
      </c>
      <c r="X563" s="67">
        <f t="shared" si="71"/>
        <v>224</v>
      </c>
      <c r="Z563" s="71"/>
      <c r="AA563" s="71"/>
      <c r="AB563" s="67" t="str">
        <f t="shared" si="68"/>
        <v/>
      </c>
      <c r="AD563" s="121"/>
      <c r="AE563" s="121"/>
    </row>
    <row r="564" spans="1:31" x14ac:dyDescent="0.25">
      <c r="A564" s="2" t="s">
        <v>899</v>
      </c>
      <c r="B564" s="7">
        <v>0.14583333333333334</v>
      </c>
      <c r="C564" s="3">
        <f t="shared" si="70"/>
        <v>19.5</v>
      </c>
      <c r="D564" s="10" t="s">
        <v>796</v>
      </c>
      <c r="E564" s="40">
        <v>22</v>
      </c>
      <c r="F564" s="40">
        <v>2.5</v>
      </c>
      <c r="G564" s="40">
        <v>0</v>
      </c>
      <c r="H564" s="3">
        <f t="shared" si="74"/>
        <v>17.875</v>
      </c>
      <c r="I564" s="3">
        <f t="shared" si="72"/>
        <v>2.03125</v>
      </c>
      <c r="J564" s="3">
        <f t="shared" si="73"/>
        <v>0</v>
      </c>
      <c r="K564" s="3"/>
      <c r="L564" s="60">
        <f t="shared" si="75"/>
        <v>293.80874999999997</v>
      </c>
      <c r="M564" s="40">
        <v>0</v>
      </c>
      <c r="N564" s="40">
        <v>0</v>
      </c>
      <c r="O564" s="40">
        <v>0</v>
      </c>
      <c r="P564" s="40">
        <v>0</v>
      </c>
      <c r="Q564" s="40">
        <v>0</v>
      </c>
      <c r="R564" s="40">
        <v>0</v>
      </c>
      <c r="S564" s="61">
        <f t="shared" si="76"/>
        <v>87.300000000000111</v>
      </c>
      <c r="T564" s="40">
        <v>6</v>
      </c>
      <c r="U564" s="40">
        <v>0</v>
      </c>
      <c r="V564" s="40">
        <v>4</v>
      </c>
      <c r="W564" s="40">
        <v>0</v>
      </c>
      <c r="X564" s="67">
        <f t="shared" si="71"/>
        <v>226</v>
      </c>
      <c r="Z564" s="71"/>
      <c r="AA564" s="71"/>
      <c r="AB564" s="67" t="str">
        <f t="shared" si="68"/>
        <v/>
      </c>
      <c r="AD564" s="121">
        <v>12.1</v>
      </c>
      <c r="AE564" s="121" t="s">
        <v>1296</v>
      </c>
    </row>
    <row r="565" spans="1:31" x14ac:dyDescent="0.25">
      <c r="A565" s="2" t="s">
        <v>899</v>
      </c>
      <c r="B565" s="7">
        <v>0.19583333333333333</v>
      </c>
      <c r="C565" s="3">
        <f t="shared" si="70"/>
        <v>1.1999999999999997</v>
      </c>
      <c r="D565" s="10" t="s">
        <v>812</v>
      </c>
      <c r="E565" s="40">
        <v>5</v>
      </c>
      <c r="F565" s="40">
        <v>2.5</v>
      </c>
      <c r="G565" s="40">
        <v>2</v>
      </c>
      <c r="H565" s="3">
        <f t="shared" si="74"/>
        <v>0.24999999999999994</v>
      </c>
      <c r="I565" s="3">
        <f t="shared" si="72"/>
        <v>0.12499999999999997</v>
      </c>
      <c r="J565" s="3">
        <f t="shared" si="73"/>
        <v>9.9999999999999978E-2</v>
      </c>
      <c r="K565" s="3"/>
      <c r="L565" s="60">
        <f t="shared" si="75"/>
        <v>293.33374999999995</v>
      </c>
      <c r="M565" s="40">
        <v>0</v>
      </c>
      <c r="N565" s="40">
        <v>0</v>
      </c>
      <c r="O565" s="40">
        <v>0</v>
      </c>
      <c r="P565" s="40">
        <v>0</v>
      </c>
      <c r="Q565" s="40">
        <v>0</v>
      </c>
      <c r="R565" s="40">
        <v>0</v>
      </c>
      <c r="S565" s="61">
        <f t="shared" si="76"/>
        <v>87.300000000000111</v>
      </c>
      <c r="T565" s="40">
        <v>0</v>
      </c>
      <c r="U565" s="40">
        <v>0</v>
      </c>
      <c r="V565" s="40">
        <v>0</v>
      </c>
      <c r="W565" s="40">
        <v>0</v>
      </c>
      <c r="X565" s="67">
        <f t="shared" si="71"/>
        <v>226</v>
      </c>
      <c r="Z565" s="71"/>
      <c r="AA565" s="71"/>
      <c r="AB565" s="67" t="str">
        <f t="shared" si="68"/>
        <v/>
      </c>
      <c r="AD565" s="121"/>
      <c r="AE565" s="121"/>
    </row>
    <row r="566" spans="1:31" x14ac:dyDescent="0.25">
      <c r="A566" s="2" t="s">
        <v>899</v>
      </c>
      <c r="B566" s="65">
        <v>0.33333333333333331</v>
      </c>
      <c r="C566" s="3">
        <f t="shared" si="70"/>
        <v>3.3</v>
      </c>
      <c r="D566" s="10" t="s">
        <v>806</v>
      </c>
      <c r="E566" s="40">
        <v>0</v>
      </c>
      <c r="F566" s="40">
        <v>2.5</v>
      </c>
      <c r="G566" s="40">
        <v>2</v>
      </c>
      <c r="H566" s="3">
        <f t="shared" si="74"/>
        <v>0</v>
      </c>
      <c r="I566" s="3">
        <f t="shared" si="72"/>
        <v>0.34375</v>
      </c>
      <c r="J566" s="3">
        <f t="shared" si="73"/>
        <v>0.27499999999999997</v>
      </c>
      <c r="K566" s="3"/>
      <c r="L566" s="60">
        <f t="shared" si="75"/>
        <v>292.71499999999997</v>
      </c>
      <c r="M566" s="40">
        <v>0</v>
      </c>
      <c r="N566" s="40">
        <v>0</v>
      </c>
      <c r="O566" s="40">
        <v>0</v>
      </c>
      <c r="P566" s="40">
        <v>0</v>
      </c>
      <c r="Q566" s="40">
        <v>0</v>
      </c>
      <c r="R566" s="40">
        <v>0</v>
      </c>
      <c r="S566" s="61">
        <f t="shared" si="76"/>
        <v>87.300000000000111</v>
      </c>
      <c r="T566" s="40">
        <v>0</v>
      </c>
      <c r="U566" s="40">
        <v>0</v>
      </c>
      <c r="V566" s="40">
        <v>0</v>
      </c>
      <c r="W566" s="40">
        <v>0</v>
      </c>
      <c r="X566" s="67">
        <f t="shared" si="71"/>
        <v>226</v>
      </c>
      <c r="Z566" s="71"/>
      <c r="AA566" s="71"/>
      <c r="AB566" s="67" t="str">
        <f t="shared" si="68"/>
        <v/>
      </c>
      <c r="AD566" s="121"/>
      <c r="AE566" s="121"/>
    </row>
    <row r="567" spans="1:31" x14ac:dyDescent="0.25">
      <c r="A567" s="2" t="s">
        <v>900</v>
      </c>
      <c r="B567" s="65">
        <v>0.33333333333333331</v>
      </c>
      <c r="C567" s="3">
        <v>24</v>
      </c>
      <c r="D567" s="10" t="s">
        <v>806</v>
      </c>
      <c r="E567" s="40">
        <v>0</v>
      </c>
      <c r="F567" s="40">
        <v>2.5</v>
      </c>
      <c r="G567" s="40">
        <v>2</v>
      </c>
      <c r="H567" s="3">
        <f t="shared" si="74"/>
        <v>0</v>
      </c>
      <c r="I567" s="3">
        <f t="shared" si="72"/>
        <v>2.5</v>
      </c>
      <c r="J567" s="3">
        <f t="shared" si="73"/>
        <v>2</v>
      </c>
      <c r="K567" s="3"/>
      <c r="L567" s="60">
        <f t="shared" si="75"/>
        <v>288.21499999999997</v>
      </c>
      <c r="M567" s="40">
        <v>0</v>
      </c>
      <c r="N567" s="40">
        <v>0</v>
      </c>
      <c r="O567" s="40">
        <v>0</v>
      </c>
      <c r="P567" s="40">
        <v>0</v>
      </c>
      <c r="Q567" s="40">
        <v>0</v>
      </c>
      <c r="R567" s="40">
        <v>0</v>
      </c>
      <c r="S567" s="61">
        <f t="shared" si="76"/>
        <v>87.300000000000111</v>
      </c>
      <c r="T567" s="40">
        <v>0</v>
      </c>
      <c r="U567" s="40">
        <v>0</v>
      </c>
      <c r="V567" s="40">
        <v>4</v>
      </c>
      <c r="W567" s="40">
        <v>0</v>
      </c>
      <c r="X567" s="67">
        <f t="shared" si="71"/>
        <v>222</v>
      </c>
      <c r="Z567" s="71"/>
      <c r="AA567" s="71"/>
      <c r="AB567" s="67" t="str">
        <f t="shared" si="68"/>
        <v/>
      </c>
      <c r="AD567" s="121"/>
      <c r="AE567" s="121"/>
    </row>
    <row r="568" spans="1:31" x14ac:dyDescent="0.25">
      <c r="A568" s="2" t="s">
        <v>901</v>
      </c>
      <c r="B568" s="65">
        <v>0.33333333333333331</v>
      </c>
      <c r="C568" s="3">
        <v>24</v>
      </c>
      <c r="D568" s="10" t="s">
        <v>806</v>
      </c>
      <c r="E568" s="40">
        <v>0</v>
      </c>
      <c r="F568" s="40">
        <v>2.5</v>
      </c>
      <c r="G568" s="40">
        <v>2</v>
      </c>
      <c r="H568" s="3">
        <f t="shared" si="74"/>
        <v>0</v>
      </c>
      <c r="I568" s="3">
        <f t="shared" si="72"/>
        <v>2.5</v>
      </c>
      <c r="J568" s="3">
        <f t="shared" si="73"/>
        <v>2</v>
      </c>
      <c r="K568" s="3"/>
      <c r="L568" s="60">
        <f t="shared" si="75"/>
        <v>283.71499999999997</v>
      </c>
      <c r="M568" s="40">
        <v>0</v>
      </c>
      <c r="N568" s="40">
        <v>0</v>
      </c>
      <c r="O568" s="40">
        <v>0</v>
      </c>
      <c r="P568" s="40">
        <v>0</v>
      </c>
      <c r="Q568" s="40">
        <v>0</v>
      </c>
      <c r="R568" s="40">
        <v>0</v>
      </c>
      <c r="S568" s="61">
        <f t="shared" si="76"/>
        <v>87.300000000000111</v>
      </c>
      <c r="T568" s="40">
        <v>0</v>
      </c>
      <c r="U568" s="40">
        <v>0</v>
      </c>
      <c r="V568" s="40">
        <v>4</v>
      </c>
      <c r="W568" s="40">
        <v>0</v>
      </c>
      <c r="X568" s="67">
        <f t="shared" si="71"/>
        <v>218</v>
      </c>
      <c r="Z568" s="71"/>
      <c r="AA568" s="71"/>
      <c r="AB568" s="67" t="str">
        <f t="shared" si="68"/>
        <v/>
      </c>
      <c r="AD568" s="121"/>
      <c r="AE568" s="121"/>
    </row>
    <row r="569" spans="1:31" x14ac:dyDescent="0.25">
      <c r="A569" s="2" t="s">
        <v>902</v>
      </c>
      <c r="B569" s="65">
        <v>0.33333333333333331</v>
      </c>
      <c r="C569" s="3">
        <v>24</v>
      </c>
      <c r="D569" s="10" t="s">
        <v>806</v>
      </c>
      <c r="E569" s="40">
        <v>0</v>
      </c>
      <c r="F569" s="40">
        <v>2.5</v>
      </c>
      <c r="G569" s="40">
        <v>2</v>
      </c>
      <c r="H569" s="3">
        <f t="shared" si="74"/>
        <v>0</v>
      </c>
      <c r="I569" s="3">
        <f t="shared" si="72"/>
        <v>2.5</v>
      </c>
      <c r="J569" s="3">
        <f t="shared" si="73"/>
        <v>2</v>
      </c>
      <c r="K569" s="3"/>
      <c r="L569" s="60">
        <f t="shared" si="75"/>
        <v>279.21499999999997</v>
      </c>
      <c r="M569" s="40">
        <v>0</v>
      </c>
      <c r="N569" s="40">
        <v>0</v>
      </c>
      <c r="O569" s="40">
        <v>0</v>
      </c>
      <c r="P569" s="40">
        <v>0</v>
      </c>
      <c r="Q569" s="40">
        <v>0</v>
      </c>
      <c r="R569" s="40">
        <v>0</v>
      </c>
      <c r="S569" s="61">
        <f t="shared" si="76"/>
        <v>87.300000000000111</v>
      </c>
      <c r="T569" s="40">
        <v>0</v>
      </c>
      <c r="U569" s="40">
        <v>0</v>
      </c>
      <c r="V569" s="40">
        <v>4</v>
      </c>
      <c r="W569" s="40">
        <v>0</v>
      </c>
      <c r="X569" s="67">
        <f t="shared" si="71"/>
        <v>214</v>
      </c>
      <c r="Z569" s="71"/>
      <c r="AA569" s="71"/>
      <c r="AB569" s="67" t="str">
        <f t="shared" si="68"/>
        <v/>
      </c>
      <c r="AD569" s="121"/>
      <c r="AE569" s="121"/>
    </row>
    <row r="570" spans="1:31" x14ac:dyDescent="0.25">
      <c r="A570" s="2" t="s">
        <v>903</v>
      </c>
      <c r="B570" s="7">
        <v>5.4166666666666669E-2</v>
      </c>
      <c r="C570" s="3">
        <f t="shared" si="70"/>
        <v>17.3</v>
      </c>
      <c r="D570" s="10" t="s">
        <v>660</v>
      </c>
      <c r="E570" s="40">
        <v>0</v>
      </c>
      <c r="F570" s="40">
        <v>2.5</v>
      </c>
      <c r="G570" s="40">
        <v>2</v>
      </c>
      <c r="H570" s="3">
        <f t="shared" si="74"/>
        <v>0</v>
      </c>
      <c r="I570" s="3">
        <f t="shared" si="72"/>
        <v>1.8020833333333335</v>
      </c>
      <c r="J570" s="3">
        <f t="shared" si="73"/>
        <v>1.4416666666666667</v>
      </c>
      <c r="K570" s="3"/>
      <c r="L570" s="60">
        <f t="shared" si="75"/>
        <v>275.97125</v>
      </c>
      <c r="M570" s="40">
        <v>0</v>
      </c>
      <c r="N570" s="40">
        <v>0</v>
      </c>
      <c r="O570" s="40">
        <v>0</v>
      </c>
      <c r="P570" s="40">
        <v>0</v>
      </c>
      <c r="Q570" s="40">
        <v>0</v>
      </c>
      <c r="R570" s="40">
        <v>0</v>
      </c>
      <c r="S570" s="61">
        <f t="shared" si="76"/>
        <v>87.300000000000111</v>
      </c>
      <c r="T570" s="40">
        <v>0</v>
      </c>
      <c r="U570" s="40">
        <v>0</v>
      </c>
      <c r="V570" s="40">
        <v>2</v>
      </c>
      <c r="W570" s="40">
        <v>0</v>
      </c>
      <c r="X570" s="67">
        <f t="shared" si="71"/>
        <v>212</v>
      </c>
      <c r="Z570" s="71"/>
      <c r="AA570" s="71"/>
      <c r="AB570" s="67" t="str">
        <f t="shared" si="68"/>
        <v/>
      </c>
      <c r="AD570" s="121"/>
      <c r="AE570" s="121"/>
    </row>
    <row r="571" spans="1:31" x14ac:dyDescent="0.25">
      <c r="A571" s="2" t="s">
        <v>903</v>
      </c>
      <c r="B571" s="7">
        <v>6.25E-2</v>
      </c>
      <c r="C571" s="3">
        <f t="shared" si="70"/>
        <v>0.19999999999999996</v>
      </c>
      <c r="D571" s="10" t="s">
        <v>821</v>
      </c>
      <c r="E571" s="40">
        <v>5</v>
      </c>
      <c r="F571" s="40">
        <v>2.5</v>
      </c>
      <c r="G571" s="40">
        <v>2</v>
      </c>
      <c r="H571" s="3">
        <f t="shared" si="74"/>
        <v>4.1666666666666657E-2</v>
      </c>
      <c r="I571" s="3">
        <f t="shared" si="72"/>
        <v>2.0833333333333329E-2</v>
      </c>
      <c r="J571" s="3">
        <f t="shared" si="73"/>
        <v>1.6666666666666663E-2</v>
      </c>
      <c r="K571" s="3"/>
      <c r="L571" s="60">
        <f t="shared" si="75"/>
        <v>275.89208333333335</v>
      </c>
      <c r="M571" s="40">
        <v>0</v>
      </c>
      <c r="N571" s="40">
        <v>0</v>
      </c>
      <c r="O571" s="40">
        <v>0</v>
      </c>
      <c r="P571" s="40">
        <v>0</v>
      </c>
      <c r="Q571" s="40">
        <v>0</v>
      </c>
      <c r="R571" s="40">
        <v>0</v>
      </c>
      <c r="S571" s="61">
        <f t="shared" si="76"/>
        <v>87.300000000000111</v>
      </c>
      <c r="T571" s="40">
        <v>0</v>
      </c>
      <c r="U571" s="40">
        <v>0</v>
      </c>
      <c r="V571" s="40">
        <v>0</v>
      </c>
      <c r="W571" s="40">
        <v>0</v>
      </c>
      <c r="X571" s="67">
        <f t="shared" si="71"/>
        <v>212</v>
      </c>
      <c r="Z571" s="71"/>
      <c r="AA571" s="71"/>
      <c r="AB571" s="67" t="str">
        <f t="shared" si="68"/>
        <v/>
      </c>
      <c r="AD571" s="121"/>
      <c r="AE571" s="121"/>
    </row>
    <row r="572" spans="1:31" x14ac:dyDescent="0.25">
      <c r="A572" s="2" t="s">
        <v>903</v>
      </c>
      <c r="B572" s="7">
        <v>8.3333333333333329E-2</v>
      </c>
      <c r="C572" s="3">
        <f t="shared" si="70"/>
        <v>0.49999999999999989</v>
      </c>
      <c r="D572" s="10" t="s">
        <v>796</v>
      </c>
      <c r="E572" s="40">
        <v>10</v>
      </c>
      <c r="F572" s="40">
        <v>2.5</v>
      </c>
      <c r="G572" s="40">
        <v>0</v>
      </c>
      <c r="H572" s="3">
        <f t="shared" si="74"/>
        <v>0.20833333333333329</v>
      </c>
      <c r="I572" s="3">
        <f t="shared" si="72"/>
        <v>5.2083333333333322E-2</v>
      </c>
      <c r="J572" s="3">
        <f t="shared" si="73"/>
        <v>0</v>
      </c>
      <c r="K572" s="3"/>
      <c r="L572" s="60">
        <f t="shared" si="75"/>
        <v>275.63166666666666</v>
      </c>
      <c r="M572" s="40">
        <v>0</v>
      </c>
      <c r="N572" s="40">
        <v>0</v>
      </c>
      <c r="O572" s="40">
        <v>0</v>
      </c>
      <c r="P572" s="40">
        <v>0</v>
      </c>
      <c r="Q572" s="40">
        <v>0</v>
      </c>
      <c r="R572" s="40">
        <v>0</v>
      </c>
      <c r="S572" s="61">
        <f t="shared" si="76"/>
        <v>87.300000000000111</v>
      </c>
      <c r="T572" s="40">
        <v>0</v>
      </c>
      <c r="U572" s="40">
        <v>0</v>
      </c>
      <c r="V572" s="40">
        <v>0</v>
      </c>
      <c r="W572" s="40">
        <v>0</v>
      </c>
      <c r="X572" s="67">
        <f t="shared" si="71"/>
        <v>212</v>
      </c>
      <c r="Z572" s="71"/>
      <c r="AA572" s="71"/>
      <c r="AB572" s="67" t="str">
        <f t="shared" si="68"/>
        <v/>
      </c>
      <c r="AD572" s="121"/>
      <c r="AE572" s="121"/>
    </row>
    <row r="573" spans="1:31" x14ac:dyDescent="0.25">
      <c r="A573" s="2" t="s">
        <v>903</v>
      </c>
      <c r="B573" s="7">
        <v>0.16250000000000001</v>
      </c>
      <c r="C573" s="3">
        <f t="shared" si="70"/>
        <v>1.9000000000000004</v>
      </c>
      <c r="D573" s="10" t="s">
        <v>812</v>
      </c>
      <c r="E573" s="40">
        <v>5</v>
      </c>
      <c r="F573" s="40">
        <v>2.5</v>
      </c>
      <c r="G573" s="40">
        <v>2</v>
      </c>
      <c r="H573" s="3">
        <f t="shared" si="74"/>
        <v>0.39583333333333343</v>
      </c>
      <c r="I573" s="3">
        <f t="shared" si="72"/>
        <v>0.19791666666666671</v>
      </c>
      <c r="J573" s="3">
        <f t="shared" si="73"/>
        <v>0.15833333333333335</v>
      </c>
      <c r="K573" s="3"/>
      <c r="L573" s="60">
        <f t="shared" si="75"/>
        <v>274.8795833333333</v>
      </c>
      <c r="M573" s="40">
        <v>0</v>
      </c>
      <c r="N573" s="40">
        <v>0</v>
      </c>
      <c r="O573" s="40">
        <v>0</v>
      </c>
      <c r="P573" s="40">
        <v>0</v>
      </c>
      <c r="Q573" s="40">
        <v>0</v>
      </c>
      <c r="R573" s="40">
        <v>0</v>
      </c>
      <c r="S573" s="61">
        <f t="shared" si="76"/>
        <v>87.300000000000111</v>
      </c>
      <c r="T573" s="40">
        <v>0</v>
      </c>
      <c r="U573" s="40">
        <v>0</v>
      </c>
      <c r="V573" s="40">
        <v>0</v>
      </c>
      <c r="W573" s="40">
        <v>0</v>
      </c>
      <c r="X573" s="67">
        <f t="shared" si="71"/>
        <v>212</v>
      </c>
      <c r="Z573" s="71"/>
      <c r="AA573" s="71"/>
      <c r="AB573" s="67" t="str">
        <f t="shared" si="68"/>
        <v/>
      </c>
      <c r="AD573" s="121"/>
      <c r="AE573" s="121"/>
    </row>
    <row r="574" spans="1:31" x14ac:dyDescent="0.25">
      <c r="A574" s="2" t="s">
        <v>903</v>
      </c>
      <c r="B574" s="65">
        <v>0.33333333333333331</v>
      </c>
      <c r="C574" s="3">
        <f t="shared" si="70"/>
        <v>4.0999999999999996</v>
      </c>
      <c r="D574" s="10" t="s">
        <v>904</v>
      </c>
      <c r="E574" s="40">
        <v>0</v>
      </c>
      <c r="F574" s="40">
        <v>2.5</v>
      </c>
      <c r="G574" s="40">
        <v>2</v>
      </c>
      <c r="H574" s="3">
        <f t="shared" si="74"/>
        <v>0</v>
      </c>
      <c r="I574" s="3">
        <f t="shared" si="72"/>
        <v>0.42708333333333331</v>
      </c>
      <c r="J574" s="3">
        <f t="shared" si="73"/>
        <v>0.34166666666666662</v>
      </c>
      <c r="K574" s="3"/>
      <c r="L574" s="60">
        <f t="shared" si="75"/>
        <v>274.11083333333329</v>
      </c>
      <c r="M574" s="40">
        <v>0</v>
      </c>
      <c r="N574" s="40">
        <v>0</v>
      </c>
      <c r="O574" s="40">
        <v>0</v>
      </c>
      <c r="P574" s="40">
        <v>0</v>
      </c>
      <c r="Q574" s="40">
        <v>0</v>
      </c>
      <c r="R574" s="40">
        <v>0</v>
      </c>
      <c r="S574" s="61">
        <f t="shared" si="76"/>
        <v>87.300000000000111</v>
      </c>
      <c r="T574" s="40">
        <v>0</v>
      </c>
      <c r="U574" s="40">
        <v>0</v>
      </c>
      <c r="V574" s="40">
        <v>3</v>
      </c>
      <c r="W574" s="40">
        <v>0</v>
      </c>
      <c r="X574" s="67">
        <f t="shared" si="71"/>
        <v>209</v>
      </c>
      <c r="Z574" s="71"/>
      <c r="AA574" s="71"/>
      <c r="AB574" s="67" t="str">
        <f t="shared" si="68"/>
        <v/>
      </c>
      <c r="AD574" s="121"/>
      <c r="AE574" s="121"/>
    </row>
    <row r="575" spans="1:31" x14ac:dyDescent="0.25">
      <c r="A575" s="2" t="s">
        <v>903</v>
      </c>
      <c r="B575" s="7">
        <v>0.59166666666666667</v>
      </c>
      <c r="C575" s="3">
        <f t="shared" si="70"/>
        <v>6.2000000000000011</v>
      </c>
      <c r="D575" s="10" t="s">
        <v>826</v>
      </c>
      <c r="E575" s="40">
        <v>0</v>
      </c>
      <c r="F575" s="40">
        <v>2.5</v>
      </c>
      <c r="G575" s="40">
        <v>2</v>
      </c>
      <c r="H575" s="3">
        <f t="shared" si="74"/>
        <v>0</v>
      </c>
      <c r="I575" s="3">
        <f t="shared" si="72"/>
        <v>0.64583333333333348</v>
      </c>
      <c r="J575" s="3">
        <f t="shared" si="73"/>
        <v>0.51666666666666672</v>
      </c>
      <c r="K575" s="3"/>
      <c r="L575" s="60">
        <f t="shared" si="75"/>
        <v>272.94833333333327</v>
      </c>
      <c r="M575" s="40">
        <v>0</v>
      </c>
      <c r="N575" s="40">
        <v>0</v>
      </c>
      <c r="O575" s="40">
        <v>0</v>
      </c>
      <c r="P575" s="40">
        <v>0</v>
      </c>
      <c r="Q575" s="40">
        <v>0</v>
      </c>
      <c r="R575" s="40">
        <v>0</v>
      </c>
      <c r="S575" s="61">
        <f t="shared" si="76"/>
        <v>87.300000000000111</v>
      </c>
      <c r="T575" s="40">
        <v>0</v>
      </c>
      <c r="U575" s="40">
        <v>0</v>
      </c>
      <c r="V575" s="40">
        <v>0</v>
      </c>
      <c r="W575" s="40">
        <v>0</v>
      </c>
      <c r="X575" s="67">
        <f t="shared" si="71"/>
        <v>209</v>
      </c>
      <c r="Z575" s="71"/>
      <c r="AA575" s="71"/>
      <c r="AB575" s="67" t="str">
        <f t="shared" si="68"/>
        <v/>
      </c>
      <c r="AD575" s="121"/>
      <c r="AE575" s="121"/>
    </row>
    <row r="576" spans="1:31" x14ac:dyDescent="0.25">
      <c r="A576" s="2" t="s">
        <v>905</v>
      </c>
      <c r="B576" s="65">
        <v>0.33333333333333331</v>
      </c>
      <c r="C576" s="3">
        <f t="shared" si="70"/>
        <v>17.799999999999997</v>
      </c>
      <c r="D576" s="10" t="s">
        <v>828</v>
      </c>
      <c r="E576" s="40">
        <v>0</v>
      </c>
      <c r="F576" s="40">
        <v>2.5</v>
      </c>
      <c r="G576" s="40">
        <v>2</v>
      </c>
      <c r="H576" s="3">
        <f t="shared" si="74"/>
        <v>0</v>
      </c>
      <c r="I576" s="3">
        <f t="shared" si="72"/>
        <v>1.8541666666666665</v>
      </c>
      <c r="J576" s="3">
        <f t="shared" si="73"/>
        <v>1.4833333333333329</v>
      </c>
      <c r="K576" s="3"/>
      <c r="L576" s="60">
        <f t="shared" si="75"/>
        <v>269.61083333333329</v>
      </c>
      <c r="M576" s="40">
        <v>0</v>
      </c>
      <c r="N576" s="40">
        <v>0</v>
      </c>
      <c r="O576" s="40">
        <v>0</v>
      </c>
      <c r="P576" s="40">
        <v>0</v>
      </c>
      <c r="Q576" s="40">
        <v>0</v>
      </c>
      <c r="R576" s="40">
        <v>0</v>
      </c>
      <c r="S576" s="61">
        <f t="shared" si="76"/>
        <v>87.300000000000111</v>
      </c>
      <c r="T576" s="40">
        <v>0</v>
      </c>
      <c r="U576" s="40">
        <v>0</v>
      </c>
      <c r="V576" s="40">
        <v>5</v>
      </c>
      <c r="W576" s="40">
        <v>0</v>
      </c>
      <c r="X576" s="67">
        <f t="shared" si="71"/>
        <v>204</v>
      </c>
      <c r="Z576" s="71"/>
      <c r="AA576" s="71"/>
      <c r="AB576" s="67" t="str">
        <f t="shared" si="68"/>
        <v/>
      </c>
      <c r="AD576" s="121"/>
      <c r="AE576" s="121"/>
    </row>
    <row r="577" spans="1:31" x14ac:dyDescent="0.25">
      <c r="A577" s="2" t="s">
        <v>906</v>
      </c>
      <c r="B577" s="65">
        <v>0.33333333333333331</v>
      </c>
      <c r="C577" s="3">
        <v>24</v>
      </c>
      <c r="D577" s="10" t="s">
        <v>828</v>
      </c>
      <c r="E577" s="40">
        <v>0</v>
      </c>
      <c r="F577" s="40">
        <v>2.5</v>
      </c>
      <c r="G577" s="40">
        <v>2</v>
      </c>
      <c r="H577" s="3">
        <f t="shared" si="74"/>
        <v>0</v>
      </c>
      <c r="I577" s="3">
        <f t="shared" si="72"/>
        <v>2.5</v>
      </c>
      <c r="J577" s="3">
        <f t="shared" si="73"/>
        <v>2</v>
      </c>
      <c r="K577" s="3"/>
      <c r="L577" s="60">
        <f t="shared" si="75"/>
        <v>265.11083333333329</v>
      </c>
      <c r="M577" s="40">
        <v>0</v>
      </c>
      <c r="N577" s="40">
        <v>0</v>
      </c>
      <c r="O577" s="40">
        <v>0</v>
      </c>
      <c r="P577" s="40">
        <v>0</v>
      </c>
      <c r="Q577" s="40">
        <v>0</v>
      </c>
      <c r="R577" s="40">
        <v>0</v>
      </c>
      <c r="S577" s="61">
        <f>IF(C577="","",(S576+R577)-(M577+N577+O577+P577+Q577))</f>
        <v>87.300000000000111</v>
      </c>
      <c r="T577" s="40">
        <v>0</v>
      </c>
      <c r="U577" s="40">
        <v>0</v>
      </c>
      <c r="V577" s="40">
        <v>5</v>
      </c>
      <c r="W577" s="40">
        <v>0</v>
      </c>
      <c r="X577" s="67">
        <f t="shared" si="71"/>
        <v>199</v>
      </c>
      <c r="Z577" s="71"/>
      <c r="AA577" s="71"/>
      <c r="AB577" s="67" t="str">
        <f t="shared" si="68"/>
        <v/>
      </c>
      <c r="AD577" s="121"/>
      <c r="AE577" s="121"/>
    </row>
    <row r="578" spans="1:31" x14ac:dyDescent="0.25">
      <c r="A578" s="54" t="s">
        <v>907</v>
      </c>
      <c r="B578" s="65">
        <v>0.33333333333333331</v>
      </c>
      <c r="C578" s="3">
        <v>24</v>
      </c>
      <c r="D578" s="10" t="s">
        <v>828</v>
      </c>
      <c r="E578" s="40">
        <v>0</v>
      </c>
      <c r="F578" s="40">
        <v>2.5</v>
      </c>
      <c r="G578" s="40">
        <v>2</v>
      </c>
      <c r="H578" s="3">
        <f t="shared" si="74"/>
        <v>0</v>
      </c>
      <c r="I578" s="3">
        <f t="shared" si="72"/>
        <v>2.5</v>
      </c>
      <c r="J578" s="3">
        <f t="shared" si="73"/>
        <v>2</v>
      </c>
      <c r="K578" s="3"/>
      <c r="L578" s="60">
        <f t="shared" si="75"/>
        <v>260.61083333333329</v>
      </c>
      <c r="M578" s="40">
        <v>0</v>
      </c>
      <c r="N578" s="40">
        <v>0</v>
      </c>
      <c r="O578" s="40">
        <v>0</v>
      </c>
      <c r="P578" s="40">
        <v>0</v>
      </c>
      <c r="Q578" s="40">
        <v>0</v>
      </c>
      <c r="R578" s="40">
        <v>0</v>
      </c>
      <c r="S578" s="61">
        <v>87.3</v>
      </c>
      <c r="T578" s="40">
        <v>0</v>
      </c>
      <c r="U578" s="40">
        <v>0</v>
      </c>
      <c r="V578" s="40">
        <v>5</v>
      </c>
      <c r="W578" s="40">
        <v>0</v>
      </c>
      <c r="X578" s="67">
        <f t="shared" si="71"/>
        <v>194</v>
      </c>
      <c r="Z578" s="71"/>
      <c r="AA578" s="71"/>
      <c r="AB578" s="67"/>
      <c r="AD578" s="121"/>
      <c r="AE578" s="121"/>
    </row>
    <row r="579" spans="1:31" x14ac:dyDescent="0.25">
      <c r="A579" s="2" t="s">
        <v>907</v>
      </c>
      <c r="B579" s="7">
        <v>0.38750000000000001</v>
      </c>
      <c r="C579" s="3">
        <f>+IF((B579-B577)&lt;0,((B579-B577)*24)+24,(B579-B577)*24)</f>
        <v>1.3000000000000007</v>
      </c>
      <c r="D579" s="10" t="s">
        <v>861</v>
      </c>
      <c r="E579" s="40">
        <v>0</v>
      </c>
      <c r="F579" s="40">
        <v>2.5</v>
      </c>
      <c r="G579" s="40">
        <v>2</v>
      </c>
      <c r="H579" s="3">
        <f t="shared" si="74"/>
        <v>0</v>
      </c>
      <c r="I579" s="3">
        <f t="shared" si="72"/>
        <v>0.13541666666666674</v>
      </c>
      <c r="J579" s="3">
        <f t="shared" si="73"/>
        <v>0.10833333333333339</v>
      </c>
      <c r="K579" s="3"/>
      <c r="L579" s="60">
        <f t="shared" si="75"/>
        <v>260.36708333333331</v>
      </c>
      <c r="M579" s="40">
        <v>0</v>
      </c>
      <c r="N579" s="40">
        <v>0</v>
      </c>
      <c r="O579" s="40">
        <v>0</v>
      </c>
      <c r="P579" s="40">
        <v>0</v>
      </c>
      <c r="Q579" s="40">
        <v>0</v>
      </c>
      <c r="R579" s="40">
        <v>0</v>
      </c>
      <c r="S579" s="61">
        <f>IF(C579="","",(S577+R579)-(M579+N579+O579+P579+Q579))</f>
        <v>87.300000000000111</v>
      </c>
      <c r="T579" s="40">
        <v>0</v>
      </c>
      <c r="U579" s="40">
        <v>0</v>
      </c>
      <c r="V579" s="40">
        <v>0</v>
      </c>
      <c r="W579" s="40">
        <v>0</v>
      </c>
      <c r="X579" s="67">
        <f t="shared" si="71"/>
        <v>194</v>
      </c>
      <c r="Z579" s="71"/>
      <c r="AA579" s="71"/>
      <c r="AB579" s="67" t="str">
        <f t="shared" si="68"/>
        <v/>
      </c>
      <c r="AD579" s="121"/>
      <c r="AE579" s="121"/>
    </row>
    <row r="580" spans="1:31" x14ac:dyDescent="0.25">
      <c r="A580" s="2" t="s">
        <v>907</v>
      </c>
      <c r="B580" s="7">
        <v>0.53749999999999998</v>
      </c>
      <c r="C580" s="3">
        <f t="shared" si="70"/>
        <v>3.5999999999999992</v>
      </c>
      <c r="D580" s="10" t="s">
        <v>660</v>
      </c>
      <c r="E580" s="40">
        <v>0</v>
      </c>
      <c r="F580" s="40">
        <v>2.5</v>
      </c>
      <c r="G580" s="40">
        <v>2</v>
      </c>
      <c r="H580" s="3">
        <f t="shared" si="74"/>
        <v>0</v>
      </c>
      <c r="I580" s="3">
        <f t="shared" si="72"/>
        <v>0.37499999999999994</v>
      </c>
      <c r="J580" s="3">
        <f t="shared" si="73"/>
        <v>0.29999999999999993</v>
      </c>
      <c r="K580" s="3"/>
      <c r="L580" s="60">
        <f t="shared" si="75"/>
        <v>259.6920833333333</v>
      </c>
      <c r="M580" s="40">
        <v>0</v>
      </c>
      <c r="N580" s="40">
        <v>0</v>
      </c>
      <c r="O580" s="40">
        <v>0</v>
      </c>
      <c r="P580" s="40">
        <v>0</v>
      </c>
      <c r="Q580" s="40">
        <v>0</v>
      </c>
      <c r="R580" s="40">
        <v>0</v>
      </c>
      <c r="S580" s="61">
        <f t="shared" si="76"/>
        <v>87.300000000000111</v>
      </c>
      <c r="T580" s="40">
        <v>0</v>
      </c>
      <c r="U580" s="40">
        <v>0</v>
      </c>
      <c r="V580" s="40">
        <v>1</v>
      </c>
      <c r="W580" s="40">
        <v>0</v>
      </c>
      <c r="X580" s="67">
        <f t="shared" si="71"/>
        <v>193</v>
      </c>
      <c r="Z580" s="71"/>
      <c r="AA580" s="71"/>
      <c r="AB580" s="67" t="str">
        <f t="shared" si="68"/>
        <v/>
      </c>
      <c r="AD580" s="121"/>
      <c r="AE580" s="121"/>
    </row>
    <row r="581" spans="1:31" x14ac:dyDescent="0.25">
      <c r="A581" s="2" t="s">
        <v>907</v>
      </c>
      <c r="B581" s="7">
        <v>0.58333333333333337</v>
      </c>
      <c r="C581" s="3">
        <f t="shared" si="70"/>
        <v>1.1000000000000014</v>
      </c>
      <c r="D581" s="10" t="s">
        <v>837</v>
      </c>
      <c r="E581" s="40">
        <v>5</v>
      </c>
      <c r="F581" s="40">
        <v>2.5</v>
      </c>
      <c r="G581" s="40">
        <v>2</v>
      </c>
      <c r="H581" s="3">
        <f t="shared" si="74"/>
        <v>0.22916666666666696</v>
      </c>
      <c r="I581" s="3">
        <f t="shared" si="72"/>
        <v>0.11458333333333348</v>
      </c>
      <c r="J581" s="3">
        <f t="shared" si="73"/>
        <v>9.1666666666666785E-2</v>
      </c>
      <c r="K581" s="3"/>
      <c r="L581" s="60">
        <f t="shared" si="75"/>
        <v>259.25666666666666</v>
      </c>
      <c r="M581" s="40">
        <v>0</v>
      </c>
      <c r="N581" s="40">
        <v>0</v>
      </c>
      <c r="O581" s="40">
        <v>0</v>
      </c>
      <c r="P581" s="40">
        <v>0</v>
      </c>
      <c r="Q581" s="40">
        <v>0</v>
      </c>
      <c r="R581" s="40">
        <v>0</v>
      </c>
      <c r="S581" s="61">
        <f t="shared" si="76"/>
        <v>87.300000000000111</v>
      </c>
      <c r="T581" s="40">
        <v>0</v>
      </c>
      <c r="U581" s="40">
        <v>0</v>
      </c>
      <c r="V581" s="40">
        <v>0</v>
      </c>
      <c r="W581" s="40">
        <v>0</v>
      </c>
      <c r="X581" s="67">
        <f t="shared" si="71"/>
        <v>193</v>
      </c>
      <c r="Z581" s="71"/>
      <c r="AA581" s="71"/>
      <c r="AB581" s="67" t="str">
        <f t="shared" si="68"/>
        <v/>
      </c>
      <c r="AD581" s="121"/>
      <c r="AE581" s="121"/>
    </row>
    <row r="582" spans="1:31" x14ac:dyDescent="0.25">
      <c r="A582" s="2" t="s">
        <v>907</v>
      </c>
      <c r="B582" s="7">
        <v>0.60416666666666663</v>
      </c>
      <c r="C582" s="3">
        <f t="shared" si="70"/>
        <v>0.49999999999999822</v>
      </c>
      <c r="D582" s="10" t="s">
        <v>796</v>
      </c>
      <c r="E582" s="40">
        <v>10</v>
      </c>
      <c r="F582" s="40">
        <v>2.5</v>
      </c>
      <c r="G582" s="40">
        <v>0</v>
      </c>
      <c r="H582" s="3">
        <f t="shared" si="74"/>
        <v>0.20833333333333259</v>
      </c>
      <c r="I582" s="3">
        <f t="shared" si="72"/>
        <v>5.2083333333333148E-2</v>
      </c>
      <c r="J582" s="3">
        <f t="shared" si="73"/>
        <v>0</v>
      </c>
      <c r="K582" s="3"/>
      <c r="L582" s="60">
        <f t="shared" si="75"/>
        <v>258.99624999999997</v>
      </c>
      <c r="M582" s="40">
        <v>0</v>
      </c>
      <c r="N582" s="40">
        <v>0</v>
      </c>
      <c r="O582" s="40">
        <v>0</v>
      </c>
      <c r="P582" s="40">
        <v>0</v>
      </c>
      <c r="Q582" s="40">
        <v>0</v>
      </c>
      <c r="R582" s="40">
        <v>0</v>
      </c>
      <c r="S582" s="61">
        <f t="shared" si="76"/>
        <v>87.300000000000111</v>
      </c>
      <c r="T582" s="40">
        <v>0</v>
      </c>
      <c r="U582" s="40">
        <v>0</v>
      </c>
      <c r="V582" s="40">
        <v>1</v>
      </c>
      <c r="W582" s="40">
        <v>0</v>
      </c>
      <c r="X582" s="67">
        <f t="shared" si="71"/>
        <v>192</v>
      </c>
      <c r="Z582" s="71"/>
      <c r="AA582" s="71"/>
      <c r="AB582" s="67" t="str">
        <f t="shared" si="68"/>
        <v/>
      </c>
      <c r="AD582" s="121"/>
      <c r="AE582" s="121"/>
    </row>
    <row r="583" spans="1:31" x14ac:dyDescent="0.25">
      <c r="A583" s="2" t="s">
        <v>907</v>
      </c>
      <c r="B583" s="7">
        <v>0.61249999999999993</v>
      </c>
      <c r="C583" s="3">
        <f t="shared" si="70"/>
        <v>0.19999999999999929</v>
      </c>
      <c r="D583" s="10" t="s">
        <v>812</v>
      </c>
      <c r="E583" s="40">
        <v>5</v>
      </c>
      <c r="F583" s="40">
        <v>2.5</v>
      </c>
      <c r="G583" s="40">
        <v>2</v>
      </c>
      <c r="H583" s="3">
        <f t="shared" si="74"/>
        <v>4.1666666666666519E-2</v>
      </c>
      <c r="I583" s="3">
        <f t="shared" si="72"/>
        <v>2.0833333333333259E-2</v>
      </c>
      <c r="J583" s="3">
        <f t="shared" si="73"/>
        <v>1.6666666666666607E-2</v>
      </c>
      <c r="K583" s="3"/>
      <c r="L583" s="60">
        <f t="shared" si="75"/>
        <v>258.91708333333332</v>
      </c>
      <c r="M583" s="40">
        <v>0</v>
      </c>
      <c r="N583" s="40">
        <v>0</v>
      </c>
      <c r="O583" s="40">
        <v>0</v>
      </c>
      <c r="P583" s="40">
        <v>0</v>
      </c>
      <c r="Q583" s="40">
        <v>0</v>
      </c>
      <c r="R583" s="40">
        <v>0</v>
      </c>
      <c r="S583" s="61">
        <f t="shared" si="76"/>
        <v>87.300000000000111</v>
      </c>
      <c r="T583" s="40">
        <v>0</v>
      </c>
      <c r="U583" s="40">
        <v>0</v>
      </c>
      <c r="V583" s="40">
        <v>0</v>
      </c>
      <c r="W583" s="40">
        <v>0</v>
      </c>
      <c r="X583" s="67">
        <f t="shared" si="71"/>
        <v>192</v>
      </c>
      <c r="Z583" s="71"/>
      <c r="AA583" s="71"/>
      <c r="AB583" s="67" t="str">
        <f t="shared" si="68"/>
        <v/>
      </c>
      <c r="AD583" s="121"/>
      <c r="AE583" s="121"/>
    </row>
    <row r="584" spans="1:31" x14ac:dyDescent="0.25">
      <c r="A584" s="2" t="s">
        <v>907</v>
      </c>
      <c r="B584" s="7">
        <v>0.70000000000000007</v>
      </c>
      <c r="C584" s="3">
        <f t="shared" si="70"/>
        <v>2.1000000000000032</v>
      </c>
      <c r="D584" s="10" t="s">
        <v>660</v>
      </c>
      <c r="E584" s="40">
        <v>0</v>
      </c>
      <c r="F584" s="40">
        <v>2.5</v>
      </c>
      <c r="G584" s="40">
        <v>2</v>
      </c>
      <c r="H584" s="3">
        <f t="shared" si="74"/>
        <v>0</v>
      </c>
      <c r="I584" s="3">
        <f t="shared" si="72"/>
        <v>0.21875000000000033</v>
      </c>
      <c r="J584" s="3">
        <f t="shared" si="73"/>
        <v>0.17500000000000027</v>
      </c>
      <c r="K584" s="3"/>
      <c r="L584" s="60">
        <f t="shared" si="75"/>
        <v>258.52333333333331</v>
      </c>
      <c r="M584" s="40">
        <v>0</v>
      </c>
      <c r="N584" s="40">
        <v>0</v>
      </c>
      <c r="O584" s="40">
        <v>0</v>
      </c>
      <c r="P584" s="40">
        <v>0</v>
      </c>
      <c r="Q584" s="40">
        <v>0</v>
      </c>
      <c r="R584" s="40">
        <v>0</v>
      </c>
      <c r="S584" s="61">
        <f t="shared" si="76"/>
        <v>87.300000000000111</v>
      </c>
      <c r="T584" s="40">
        <v>0</v>
      </c>
      <c r="U584" s="40">
        <v>0</v>
      </c>
      <c r="V584" s="40">
        <v>1</v>
      </c>
      <c r="W584" s="40">
        <v>0</v>
      </c>
      <c r="X584" s="67">
        <f t="shared" si="71"/>
        <v>191</v>
      </c>
      <c r="Z584" s="71"/>
      <c r="AA584" s="71"/>
      <c r="AB584" s="67" t="str">
        <f t="shared" si="68"/>
        <v/>
      </c>
      <c r="AD584" s="121"/>
      <c r="AE584" s="121"/>
    </row>
    <row r="585" spans="1:31" x14ac:dyDescent="0.25">
      <c r="A585" s="2" t="s">
        <v>907</v>
      </c>
      <c r="B585" s="7">
        <v>0.72916666666666663</v>
      </c>
      <c r="C585" s="3">
        <f t="shared" si="70"/>
        <v>0.69999999999999751</v>
      </c>
      <c r="D585" s="10" t="s">
        <v>821</v>
      </c>
      <c r="E585" s="40">
        <v>5</v>
      </c>
      <c r="F585" s="40">
        <v>2.5</v>
      </c>
      <c r="G585" s="40">
        <v>2</v>
      </c>
      <c r="H585" s="3">
        <f t="shared" si="74"/>
        <v>0.14583333333333282</v>
      </c>
      <c r="I585" s="3">
        <f t="shared" si="72"/>
        <v>7.2916666666666408E-2</v>
      </c>
      <c r="J585" s="3">
        <f t="shared" si="73"/>
        <v>5.8333333333333126E-2</v>
      </c>
      <c r="K585" s="3"/>
      <c r="L585" s="60">
        <f t="shared" si="75"/>
        <v>258.24624999999997</v>
      </c>
      <c r="M585" s="40">
        <v>0</v>
      </c>
      <c r="N585" s="40">
        <v>0</v>
      </c>
      <c r="O585" s="40">
        <v>0</v>
      </c>
      <c r="P585" s="40">
        <v>0</v>
      </c>
      <c r="Q585" s="40">
        <v>0</v>
      </c>
      <c r="R585" s="40">
        <v>0</v>
      </c>
      <c r="S585" s="61">
        <f t="shared" si="76"/>
        <v>87.300000000000111</v>
      </c>
      <c r="T585" s="40">
        <v>0</v>
      </c>
      <c r="U585" s="40">
        <v>0</v>
      </c>
      <c r="V585" s="40">
        <v>0</v>
      </c>
      <c r="W585" s="40">
        <v>0</v>
      </c>
      <c r="X585" s="67">
        <f t="shared" si="71"/>
        <v>191</v>
      </c>
      <c r="Z585" s="71"/>
      <c r="AA585" s="71"/>
      <c r="AB585" s="67" t="str">
        <f t="shared" si="68"/>
        <v/>
      </c>
      <c r="AD585" s="121"/>
      <c r="AE585" s="121"/>
    </row>
    <row r="586" spans="1:31" x14ac:dyDescent="0.25">
      <c r="A586" s="2" t="s">
        <v>908</v>
      </c>
      <c r="B586" s="7">
        <v>4.1666666666666664E-2</v>
      </c>
      <c r="C586" s="3">
        <f t="shared" si="70"/>
        <v>7.5</v>
      </c>
      <c r="D586" s="10" t="s">
        <v>796</v>
      </c>
      <c r="E586" s="40">
        <v>24</v>
      </c>
      <c r="F586" s="40">
        <v>2.5</v>
      </c>
      <c r="G586" s="40">
        <v>0</v>
      </c>
      <c r="H586" s="3">
        <f t="shared" si="74"/>
        <v>7.5</v>
      </c>
      <c r="I586" s="3">
        <f t="shared" si="72"/>
        <v>0.78125</v>
      </c>
      <c r="J586" s="3">
        <f t="shared" si="73"/>
        <v>0</v>
      </c>
      <c r="K586" s="3"/>
      <c r="L586" s="60">
        <f t="shared" si="75"/>
        <v>249.96499999999997</v>
      </c>
      <c r="M586" s="40">
        <v>0</v>
      </c>
      <c r="N586" s="40">
        <v>0</v>
      </c>
      <c r="O586" s="40">
        <v>0</v>
      </c>
      <c r="P586" s="40">
        <v>0</v>
      </c>
      <c r="Q586" s="40">
        <v>0</v>
      </c>
      <c r="R586" s="40">
        <v>0</v>
      </c>
      <c r="S586" s="61">
        <f t="shared" si="76"/>
        <v>87.300000000000111</v>
      </c>
      <c r="T586" s="40">
        <v>3</v>
      </c>
      <c r="U586" s="40">
        <v>0</v>
      </c>
      <c r="V586" s="40">
        <v>1</v>
      </c>
      <c r="W586" s="40">
        <v>0</v>
      </c>
      <c r="X586" s="67">
        <f t="shared" si="71"/>
        <v>193</v>
      </c>
      <c r="Z586" s="71"/>
      <c r="AA586" s="71"/>
      <c r="AB586" s="67" t="str">
        <f t="shared" si="68"/>
        <v/>
      </c>
      <c r="AD586" s="121">
        <v>12.3</v>
      </c>
      <c r="AE586" s="121" t="s">
        <v>1314</v>
      </c>
    </row>
    <row r="587" spans="1:31" x14ac:dyDescent="0.25">
      <c r="A587" s="2" t="s">
        <v>908</v>
      </c>
      <c r="B587" s="7">
        <v>7.0833333333333331E-2</v>
      </c>
      <c r="C587" s="3">
        <f t="shared" si="70"/>
        <v>0.7</v>
      </c>
      <c r="D587" s="10" t="s">
        <v>812</v>
      </c>
      <c r="E587" s="40">
        <v>5</v>
      </c>
      <c r="F587" s="40">
        <v>2.5</v>
      </c>
      <c r="G587" s="40">
        <v>2</v>
      </c>
      <c r="H587" s="3">
        <f t="shared" si="74"/>
        <v>0.14583333333333334</v>
      </c>
      <c r="I587" s="3">
        <f t="shared" si="72"/>
        <v>7.2916666666666671E-2</v>
      </c>
      <c r="J587" s="3">
        <f t="shared" si="73"/>
        <v>5.8333333333333327E-2</v>
      </c>
      <c r="K587" s="3"/>
      <c r="L587" s="60">
        <f t="shared" si="75"/>
        <v>249.68791666666664</v>
      </c>
      <c r="M587" s="40">
        <v>0</v>
      </c>
      <c r="N587" s="40">
        <v>0</v>
      </c>
      <c r="O587" s="40">
        <v>0</v>
      </c>
      <c r="P587" s="40">
        <v>0</v>
      </c>
      <c r="Q587" s="40">
        <v>0</v>
      </c>
      <c r="R587" s="40">
        <v>0</v>
      </c>
      <c r="S587" s="61">
        <f t="shared" si="76"/>
        <v>87.300000000000111</v>
      </c>
      <c r="T587" s="40">
        <v>0</v>
      </c>
      <c r="U587" s="40">
        <v>0</v>
      </c>
      <c r="V587" s="40">
        <v>0</v>
      </c>
      <c r="W587" s="40">
        <v>0</v>
      </c>
      <c r="X587" s="67">
        <f t="shared" si="71"/>
        <v>193</v>
      </c>
      <c r="Z587" s="71"/>
      <c r="AA587" s="71"/>
      <c r="AB587" s="67" t="str">
        <f t="shared" ref="AB587:AB602" si="77">IF(Z587="","",Z587+AA587)</f>
        <v/>
      </c>
      <c r="AD587" s="121"/>
      <c r="AE587" s="121"/>
    </row>
    <row r="588" spans="1:31" x14ac:dyDescent="0.25">
      <c r="A588" s="2" t="s">
        <v>908</v>
      </c>
      <c r="B588" s="7">
        <v>0.21249999999999999</v>
      </c>
      <c r="C588" s="3">
        <f t="shared" si="70"/>
        <v>3.4</v>
      </c>
      <c r="D588" s="10" t="s">
        <v>660</v>
      </c>
      <c r="E588" s="40">
        <v>0</v>
      </c>
      <c r="F588" s="40">
        <v>2.5</v>
      </c>
      <c r="G588" s="40">
        <v>2</v>
      </c>
      <c r="H588" s="3">
        <f t="shared" si="74"/>
        <v>0</v>
      </c>
      <c r="I588" s="3">
        <f t="shared" si="72"/>
        <v>0.35416666666666669</v>
      </c>
      <c r="J588" s="3">
        <f t="shared" si="73"/>
        <v>0.28333333333333333</v>
      </c>
      <c r="K588" s="3"/>
      <c r="L588" s="60">
        <f t="shared" si="75"/>
        <v>249.05041666666665</v>
      </c>
      <c r="M588" s="40">
        <v>0</v>
      </c>
      <c r="N588" s="40">
        <v>0</v>
      </c>
      <c r="O588" s="40">
        <v>0</v>
      </c>
      <c r="P588" s="40">
        <v>0</v>
      </c>
      <c r="Q588" s="40">
        <v>0</v>
      </c>
      <c r="R588" s="40">
        <v>0</v>
      </c>
      <c r="S588" s="61">
        <f t="shared" si="76"/>
        <v>87.300000000000111</v>
      </c>
      <c r="T588" s="40">
        <v>0</v>
      </c>
      <c r="U588" s="40">
        <v>0</v>
      </c>
      <c r="V588" s="40">
        <v>0</v>
      </c>
      <c r="W588" s="40">
        <v>0</v>
      </c>
      <c r="X588" s="67">
        <f t="shared" si="71"/>
        <v>193</v>
      </c>
      <c r="Z588" s="71"/>
      <c r="AA588" s="71"/>
      <c r="AB588" s="67" t="str">
        <f t="shared" si="77"/>
        <v/>
      </c>
      <c r="AD588" s="121"/>
      <c r="AE588" s="121"/>
    </row>
    <row r="589" spans="1:31" x14ac:dyDescent="0.25">
      <c r="A589" s="2" t="s">
        <v>908</v>
      </c>
      <c r="B589" s="7">
        <v>0.27916666666666667</v>
      </c>
      <c r="C589" s="3">
        <f t="shared" si="70"/>
        <v>1.6000000000000003</v>
      </c>
      <c r="D589" s="10" t="s">
        <v>812</v>
      </c>
      <c r="E589" s="40">
        <v>5</v>
      </c>
      <c r="F589" s="40">
        <v>2.5</v>
      </c>
      <c r="G589" s="40">
        <v>2</v>
      </c>
      <c r="H589" s="3">
        <f t="shared" si="74"/>
        <v>0.33333333333333343</v>
      </c>
      <c r="I589" s="3">
        <f t="shared" si="72"/>
        <v>0.16666666666666671</v>
      </c>
      <c r="J589" s="3">
        <f t="shared" si="73"/>
        <v>0.13333333333333336</v>
      </c>
      <c r="K589" s="3"/>
      <c r="L589" s="60">
        <f t="shared" si="75"/>
        <v>248.41708333333332</v>
      </c>
      <c r="M589" s="40">
        <v>0</v>
      </c>
      <c r="N589" s="40">
        <v>0</v>
      </c>
      <c r="O589" s="40">
        <v>0</v>
      </c>
      <c r="P589" s="40">
        <v>0</v>
      </c>
      <c r="Q589" s="40">
        <v>0</v>
      </c>
      <c r="R589" s="40">
        <v>0</v>
      </c>
      <c r="S589" s="61">
        <f t="shared" si="76"/>
        <v>87.300000000000111</v>
      </c>
      <c r="T589" s="40">
        <v>0</v>
      </c>
      <c r="U589" s="40">
        <v>0</v>
      </c>
      <c r="V589" s="40">
        <v>1</v>
      </c>
      <c r="W589" s="40">
        <v>0</v>
      </c>
      <c r="X589" s="67">
        <f t="shared" si="71"/>
        <v>192</v>
      </c>
      <c r="Z589" s="71"/>
      <c r="AA589" s="71"/>
      <c r="AB589" s="67" t="str">
        <f t="shared" si="77"/>
        <v/>
      </c>
      <c r="AD589" s="121"/>
      <c r="AE589" s="121"/>
    </row>
    <row r="590" spans="1:31" x14ac:dyDescent="0.25">
      <c r="A590" s="2" t="s">
        <v>908</v>
      </c>
      <c r="B590" s="65">
        <v>0.33333333333333331</v>
      </c>
      <c r="C590" s="3">
        <f t="shared" si="70"/>
        <v>1.2999999999999994</v>
      </c>
      <c r="D590" s="10" t="s">
        <v>909</v>
      </c>
      <c r="E590" s="40">
        <v>0</v>
      </c>
      <c r="F590" s="40">
        <v>2.5</v>
      </c>
      <c r="G590" s="40">
        <v>2</v>
      </c>
      <c r="H590" s="3">
        <f t="shared" si="74"/>
        <v>0</v>
      </c>
      <c r="I590" s="3">
        <f t="shared" si="72"/>
        <v>0.1354166666666666</v>
      </c>
      <c r="J590" s="3">
        <f t="shared" si="73"/>
        <v>0.10833333333333328</v>
      </c>
      <c r="K590" s="3"/>
      <c r="L590" s="60">
        <f t="shared" si="75"/>
        <v>248.17333333333332</v>
      </c>
      <c r="M590" s="40">
        <v>0</v>
      </c>
      <c r="N590" s="40">
        <v>0</v>
      </c>
      <c r="O590" s="40">
        <v>0</v>
      </c>
      <c r="P590" s="40">
        <v>0</v>
      </c>
      <c r="Q590" s="40">
        <v>0</v>
      </c>
      <c r="R590" s="40">
        <v>0</v>
      </c>
      <c r="S590" s="61">
        <f t="shared" si="76"/>
        <v>87.300000000000111</v>
      </c>
      <c r="T590" s="40">
        <v>0</v>
      </c>
      <c r="U590" s="40">
        <v>0</v>
      </c>
      <c r="V590" s="40">
        <v>0</v>
      </c>
      <c r="W590" s="40">
        <v>0</v>
      </c>
      <c r="X590" s="67">
        <f t="shared" si="71"/>
        <v>192</v>
      </c>
      <c r="Z590" s="71"/>
      <c r="AA590" s="71"/>
      <c r="AB590" s="67" t="str">
        <f t="shared" si="77"/>
        <v/>
      </c>
      <c r="AD590" s="121"/>
      <c r="AE590" s="121"/>
    </row>
    <row r="591" spans="1:31" x14ac:dyDescent="0.25">
      <c r="A591" s="55" t="s">
        <v>908</v>
      </c>
      <c r="B591" s="7">
        <v>0.375</v>
      </c>
      <c r="C591" s="3">
        <f t="shared" ref="C591:C595" si="78">+IF((B591-B590)&lt;0,((B591-B590)*24)+24,(B591-B590)*24)</f>
        <v>1.0000000000000004</v>
      </c>
      <c r="D591" s="10" t="s">
        <v>799</v>
      </c>
      <c r="E591" s="40">
        <v>0</v>
      </c>
      <c r="F591" s="40">
        <v>2.5</v>
      </c>
      <c r="G591" s="40">
        <v>2</v>
      </c>
      <c r="H591" s="3">
        <f t="shared" ref="H591" si="79">+IF(E591="","",(E591/24)*C591)</f>
        <v>0</v>
      </c>
      <c r="I591" s="3">
        <f t="shared" ref="I591" si="80">+IF(F591="","",(F591/24)*C591)</f>
        <v>0.10416666666666671</v>
      </c>
      <c r="J591" s="3">
        <f t="shared" ref="J591" si="81">+IF(G591="","",(G591/24)*C591)</f>
        <v>8.333333333333337E-2</v>
      </c>
      <c r="K591" s="3"/>
      <c r="L591" s="60">
        <f t="shared" ref="L591:L595" si="82">+IF(C591="","",(L590+K591)-(H591+I591+J591))</f>
        <v>247.98583333333332</v>
      </c>
      <c r="M591" s="40">
        <v>0</v>
      </c>
      <c r="N591" s="40">
        <v>0</v>
      </c>
      <c r="O591" s="40">
        <v>0</v>
      </c>
      <c r="P591" s="40">
        <v>0</v>
      </c>
      <c r="Q591" s="40">
        <v>0</v>
      </c>
      <c r="R591" s="40">
        <v>0</v>
      </c>
      <c r="S591" s="61">
        <f t="shared" ref="S591:S595" si="83">IF(C591="","",(S590+R591)-(M591+N591+O591+P591+Q591))</f>
        <v>87.300000000000111</v>
      </c>
      <c r="T591" s="40">
        <v>0</v>
      </c>
      <c r="U591" s="40">
        <v>0</v>
      </c>
      <c r="V591" s="40">
        <v>0</v>
      </c>
      <c r="W591" s="40">
        <v>0</v>
      </c>
      <c r="X591" s="67">
        <f>IF(V591="","",((X590+T591+U591)-(V591+W591)))</f>
        <v>192</v>
      </c>
      <c r="Z591" s="71"/>
      <c r="AA591" s="71"/>
      <c r="AB591" s="67"/>
      <c r="AD591" s="121"/>
      <c r="AE591" s="121"/>
    </row>
    <row r="592" spans="1:31" x14ac:dyDescent="0.25">
      <c r="A592" s="2" t="s">
        <v>908</v>
      </c>
      <c r="B592" s="7">
        <v>0.97083333333333333</v>
      </c>
      <c r="C592" s="3">
        <f t="shared" si="78"/>
        <v>14.3</v>
      </c>
      <c r="D592" s="10" t="s">
        <v>816</v>
      </c>
      <c r="E592" s="40">
        <v>0</v>
      </c>
      <c r="F592" s="40">
        <v>2.5</v>
      </c>
      <c r="G592" s="40">
        <v>2</v>
      </c>
      <c r="H592" s="3">
        <f t="shared" si="74"/>
        <v>0</v>
      </c>
      <c r="I592" s="3">
        <f t="shared" si="72"/>
        <v>1.4895833333333335</v>
      </c>
      <c r="J592" s="3">
        <f t="shared" si="73"/>
        <v>1.1916666666666667</v>
      </c>
      <c r="K592" s="3"/>
      <c r="L592" s="60">
        <f t="shared" si="82"/>
        <v>245.30458333333331</v>
      </c>
      <c r="M592" s="40">
        <v>0</v>
      </c>
      <c r="N592" s="40">
        <v>0</v>
      </c>
      <c r="O592" s="40">
        <v>0</v>
      </c>
      <c r="P592" s="40">
        <v>0</v>
      </c>
      <c r="Q592" s="40">
        <v>3.8</v>
      </c>
      <c r="R592" s="40">
        <v>0</v>
      </c>
      <c r="S592" s="61">
        <f t="shared" si="83"/>
        <v>83.500000000000114</v>
      </c>
      <c r="T592" s="40">
        <v>0</v>
      </c>
      <c r="U592" s="40">
        <v>0</v>
      </c>
      <c r="V592" s="40">
        <v>0</v>
      </c>
      <c r="W592" s="40">
        <v>0</v>
      </c>
      <c r="X592" s="67">
        <f t="shared" ref="X592:X595" si="84">IF(V592="","",((X591+T592+U592)-(V592+W592)))</f>
        <v>192</v>
      </c>
      <c r="Z592" s="71"/>
      <c r="AA592" s="71"/>
      <c r="AB592" s="67" t="str">
        <f t="shared" si="77"/>
        <v/>
      </c>
      <c r="AD592" s="121"/>
      <c r="AE592" s="121"/>
    </row>
    <row r="593" spans="1:31" x14ac:dyDescent="0.25">
      <c r="A593" s="2" t="s">
        <v>910</v>
      </c>
      <c r="B593" s="7">
        <v>9.9999999999999992E-2</v>
      </c>
      <c r="C593" s="3">
        <f t="shared" si="78"/>
        <v>3.1000000000000014</v>
      </c>
      <c r="D593" s="10" t="s">
        <v>660</v>
      </c>
      <c r="E593" s="40">
        <v>0</v>
      </c>
      <c r="F593" s="40">
        <v>2.5</v>
      </c>
      <c r="G593" s="40">
        <v>2</v>
      </c>
      <c r="H593" s="3">
        <f t="shared" si="74"/>
        <v>0</v>
      </c>
      <c r="I593" s="3">
        <f t="shared" si="72"/>
        <v>0.32291666666666685</v>
      </c>
      <c r="J593" s="3">
        <f t="shared" si="73"/>
        <v>0.25833333333333341</v>
      </c>
      <c r="K593" s="3"/>
      <c r="L593" s="60">
        <f t="shared" si="82"/>
        <v>244.7233333333333</v>
      </c>
      <c r="M593" s="40">
        <v>0</v>
      </c>
      <c r="N593" s="40">
        <v>0</v>
      </c>
      <c r="O593" s="40">
        <v>0</v>
      </c>
      <c r="P593" s="40">
        <v>0</v>
      </c>
      <c r="Q593" s="40">
        <v>0</v>
      </c>
      <c r="R593" s="40">
        <v>0</v>
      </c>
      <c r="S593" s="61">
        <f t="shared" si="83"/>
        <v>83.500000000000114</v>
      </c>
      <c r="T593" s="40">
        <v>0</v>
      </c>
      <c r="U593" s="40">
        <v>0</v>
      </c>
      <c r="V593" s="40">
        <v>3</v>
      </c>
      <c r="W593" s="40">
        <v>0</v>
      </c>
      <c r="X593" s="67">
        <f t="shared" si="84"/>
        <v>189</v>
      </c>
      <c r="Z593" s="71"/>
      <c r="AA593" s="71"/>
      <c r="AB593" s="67" t="str">
        <f t="shared" si="77"/>
        <v/>
      </c>
      <c r="AD593" s="121"/>
      <c r="AE593" s="121"/>
    </row>
    <row r="594" spans="1:31" x14ac:dyDescent="0.25">
      <c r="A594" s="2" t="s">
        <v>910</v>
      </c>
      <c r="B594" s="7">
        <v>0.14583333333333334</v>
      </c>
      <c r="C594" s="3">
        <f t="shared" si="78"/>
        <v>1.1000000000000005</v>
      </c>
      <c r="D594" s="10" t="s">
        <v>821</v>
      </c>
      <c r="E594" s="40">
        <v>5</v>
      </c>
      <c r="F594" s="40">
        <v>2.5</v>
      </c>
      <c r="G594" s="40">
        <v>2</v>
      </c>
      <c r="H594" s="3">
        <f t="shared" si="74"/>
        <v>0.2291666666666668</v>
      </c>
      <c r="I594" s="3">
        <f t="shared" si="72"/>
        <v>0.1145833333333334</v>
      </c>
      <c r="J594" s="3">
        <f t="shared" si="73"/>
        <v>9.1666666666666702E-2</v>
      </c>
      <c r="K594" s="3"/>
      <c r="L594" s="60">
        <f t="shared" si="82"/>
        <v>244.28791666666663</v>
      </c>
      <c r="M594" s="40">
        <v>0</v>
      </c>
      <c r="N594" s="40">
        <v>0</v>
      </c>
      <c r="O594" s="40">
        <v>0</v>
      </c>
      <c r="P594" s="40">
        <v>0</v>
      </c>
      <c r="Q594" s="40">
        <v>0</v>
      </c>
      <c r="R594" s="40">
        <v>0</v>
      </c>
      <c r="S594" s="61">
        <f t="shared" si="83"/>
        <v>83.500000000000114</v>
      </c>
      <c r="T594" s="40">
        <v>0</v>
      </c>
      <c r="U594" s="40">
        <v>0</v>
      </c>
      <c r="V594" s="40">
        <v>0</v>
      </c>
      <c r="W594" s="40">
        <v>0</v>
      </c>
      <c r="X594" s="67">
        <f t="shared" si="84"/>
        <v>189</v>
      </c>
      <c r="Z594" s="71"/>
      <c r="AA594" s="71"/>
      <c r="AB594" s="67" t="str">
        <f t="shared" si="77"/>
        <v/>
      </c>
      <c r="AD594" s="121"/>
      <c r="AE594" s="121"/>
    </row>
    <row r="595" spans="1:31" x14ac:dyDescent="0.25">
      <c r="A595" s="2" t="s">
        <v>910</v>
      </c>
      <c r="B595" s="65">
        <v>0.33333333333333331</v>
      </c>
      <c r="C595" s="3">
        <f t="shared" si="78"/>
        <v>4.4999999999999991</v>
      </c>
      <c r="D595" s="10" t="s">
        <v>835</v>
      </c>
      <c r="E595" s="40">
        <v>22</v>
      </c>
      <c r="F595" s="40">
        <v>2.5</v>
      </c>
      <c r="G595" s="40">
        <v>0</v>
      </c>
      <c r="H595" s="3">
        <f t="shared" si="74"/>
        <v>4.1249999999999991</v>
      </c>
      <c r="I595" s="3">
        <f t="shared" si="72"/>
        <v>0.46874999999999994</v>
      </c>
      <c r="J595" s="3">
        <f t="shared" si="73"/>
        <v>0</v>
      </c>
      <c r="K595" s="3"/>
      <c r="L595" s="60">
        <f t="shared" si="82"/>
        <v>239.69416666666663</v>
      </c>
      <c r="M595" s="40">
        <v>0</v>
      </c>
      <c r="N595" s="40">
        <v>0</v>
      </c>
      <c r="O595" s="40">
        <v>0</v>
      </c>
      <c r="P595" s="40">
        <v>0</v>
      </c>
      <c r="Q595" s="40">
        <v>0</v>
      </c>
      <c r="R595" s="40">
        <v>0</v>
      </c>
      <c r="S595" s="61">
        <f t="shared" si="83"/>
        <v>83.500000000000114</v>
      </c>
      <c r="T595" s="40">
        <v>0</v>
      </c>
      <c r="U595" s="40">
        <v>0</v>
      </c>
      <c r="V595" s="40">
        <v>2</v>
      </c>
      <c r="W595" s="40">
        <v>0</v>
      </c>
      <c r="X595" s="67">
        <f t="shared" si="84"/>
        <v>187</v>
      </c>
      <c r="Z595" s="71"/>
      <c r="AA595" s="71"/>
      <c r="AB595" s="67" t="str">
        <f t="shared" si="77"/>
        <v/>
      </c>
      <c r="AD595" s="121"/>
      <c r="AE595" s="121"/>
    </row>
    <row r="596" spans="1:31" x14ac:dyDescent="0.25">
      <c r="A596" s="2" t="s">
        <v>910</v>
      </c>
      <c r="B596" s="7">
        <v>0.77083333333333337</v>
      </c>
      <c r="C596" s="3">
        <f t="shared" ref="C596:C602" si="85">+IF((B596-B595)&lt;0,((B596-B595)*24)+24,(B596-B595)*24)</f>
        <v>10.500000000000002</v>
      </c>
      <c r="D596" s="10" t="s">
        <v>796</v>
      </c>
      <c r="E596" s="40">
        <v>22</v>
      </c>
      <c r="F596" s="40">
        <v>2.5</v>
      </c>
      <c r="G596" s="40">
        <v>0</v>
      </c>
      <c r="H596" s="3">
        <f t="shared" si="74"/>
        <v>9.6250000000000018</v>
      </c>
      <c r="I596" s="3">
        <f t="shared" si="72"/>
        <v>1.0937500000000002</v>
      </c>
      <c r="J596" s="3">
        <f t="shared" si="73"/>
        <v>0</v>
      </c>
      <c r="K596" s="3"/>
      <c r="L596" s="60">
        <f t="shared" si="75"/>
        <v>228.97541666666663</v>
      </c>
      <c r="M596" s="40">
        <v>0</v>
      </c>
      <c r="N596" s="40">
        <v>0</v>
      </c>
      <c r="O596" s="40">
        <v>0</v>
      </c>
      <c r="P596" s="40">
        <v>0</v>
      </c>
      <c r="Q596" s="40">
        <v>0</v>
      </c>
      <c r="R596" s="40">
        <v>0</v>
      </c>
      <c r="S596" s="61">
        <f t="shared" si="76"/>
        <v>83.500000000000114</v>
      </c>
      <c r="T596" s="40">
        <v>0</v>
      </c>
      <c r="U596" s="40">
        <v>0</v>
      </c>
      <c r="V596" s="40">
        <v>2</v>
      </c>
      <c r="W596" s="40">
        <v>0</v>
      </c>
      <c r="X596" s="67">
        <f t="shared" ref="X596:X602" si="86">IF(V596="","",((X595+T596+U596)-(V596+W596)))</f>
        <v>185</v>
      </c>
      <c r="Z596" s="71"/>
      <c r="AA596" s="71"/>
      <c r="AB596" s="67" t="str">
        <f t="shared" si="77"/>
        <v/>
      </c>
      <c r="AD596" s="121">
        <v>11.7</v>
      </c>
      <c r="AE596" s="121" t="s">
        <v>1295</v>
      </c>
    </row>
    <row r="597" spans="1:31" x14ac:dyDescent="0.25">
      <c r="A597" s="2" t="s">
        <v>910</v>
      </c>
      <c r="B597" s="7">
        <v>0.87916666666666676</v>
      </c>
      <c r="C597" s="3">
        <f t="shared" si="85"/>
        <v>2.6000000000000014</v>
      </c>
      <c r="D597" s="10" t="s">
        <v>812</v>
      </c>
      <c r="E597" s="40">
        <v>5</v>
      </c>
      <c r="F597" s="40">
        <v>2.5</v>
      </c>
      <c r="G597" s="40">
        <v>2</v>
      </c>
      <c r="H597" s="3">
        <f t="shared" si="74"/>
        <v>0.54166666666666696</v>
      </c>
      <c r="I597" s="3">
        <f t="shared" si="72"/>
        <v>0.27083333333333348</v>
      </c>
      <c r="J597" s="3">
        <f t="shared" si="73"/>
        <v>0.21666666666666679</v>
      </c>
      <c r="K597" s="3"/>
      <c r="L597" s="60">
        <f t="shared" si="75"/>
        <v>227.94624999999996</v>
      </c>
      <c r="M597" s="40">
        <v>0</v>
      </c>
      <c r="N597" s="40">
        <v>0</v>
      </c>
      <c r="O597" s="40">
        <v>0</v>
      </c>
      <c r="P597" s="40">
        <v>0</v>
      </c>
      <c r="Q597" s="40">
        <v>0</v>
      </c>
      <c r="R597" s="40">
        <v>0</v>
      </c>
      <c r="S597" s="61">
        <f t="shared" si="76"/>
        <v>83.500000000000114</v>
      </c>
      <c r="T597" s="40">
        <v>3</v>
      </c>
      <c r="U597" s="40">
        <v>0</v>
      </c>
      <c r="V597" s="40">
        <v>0</v>
      </c>
      <c r="W597" s="40">
        <v>0</v>
      </c>
      <c r="X597" s="67">
        <f t="shared" si="86"/>
        <v>188</v>
      </c>
      <c r="Z597" s="71"/>
      <c r="AA597" s="71"/>
      <c r="AB597" s="67" t="str">
        <f t="shared" si="77"/>
        <v/>
      </c>
      <c r="AD597" s="121"/>
      <c r="AE597" s="121"/>
    </row>
    <row r="598" spans="1:31" x14ac:dyDescent="0.25">
      <c r="A598" s="2" t="s">
        <v>911</v>
      </c>
      <c r="B598" s="7">
        <v>4.1666666666666664E-2</v>
      </c>
      <c r="C598" s="3">
        <f t="shared" si="85"/>
        <v>3.8999999999999986</v>
      </c>
      <c r="D598" s="10" t="s">
        <v>813</v>
      </c>
      <c r="E598" s="40">
        <v>0</v>
      </c>
      <c r="F598" s="40">
        <v>2.5</v>
      </c>
      <c r="G598" s="40">
        <v>2</v>
      </c>
      <c r="H598" s="3">
        <f t="shared" si="74"/>
        <v>0</v>
      </c>
      <c r="I598" s="3">
        <f t="shared" si="72"/>
        <v>0.40624999999999989</v>
      </c>
      <c r="J598" s="3">
        <f t="shared" si="73"/>
        <v>0.32499999999999984</v>
      </c>
      <c r="K598" s="3"/>
      <c r="L598" s="60">
        <f t="shared" si="75"/>
        <v>227.21499999999997</v>
      </c>
      <c r="M598" s="40">
        <v>0</v>
      </c>
      <c r="N598" s="40">
        <v>0</v>
      </c>
      <c r="O598" s="40">
        <v>0</v>
      </c>
      <c r="P598" s="40">
        <v>0</v>
      </c>
      <c r="Q598" s="40">
        <v>0</v>
      </c>
      <c r="R598" s="40">
        <v>0</v>
      </c>
      <c r="S598" s="61">
        <f t="shared" si="76"/>
        <v>83.500000000000114</v>
      </c>
      <c r="T598" s="40">
        <v>0</v>
      </c>
      <c r="U598" s="40">
        <v>0</v>
      </c>
      <c r="V598" s="40">
        <v>0</v>
      </c>
      <c r="W598" s="40">
        <v>0</v>
      </c>
      <c r="X598" s="67">
        <f t="shared" si="86"/>
        <v>188</v>
      </c>
      <c r="Z598" s="71"/>
      <c r="AA598" s="71"/>
      <c r="AB598" s="67" t="str">
        <f t="shared" si="77"/>
        <v/>
      </c>
      <c r="AD598" s="121"/>
      <c r="AE598" s="121"/>
    </row>
    <row r="599" spans="1:31" x14ac:dyDescent="0.25">
      <c r="A599" s="2" t="s">
        <v>911</v>
      </c>
      <c r="B599" s="65">
        <v>0.33333333333333331</v>
      </c>
      <c r="C599" s="3">
        <f t="shared" si="85"/>
        <v>6.9999999999999991</v>
      </c>
      <c r="D599" s="10" t="s">
        <v>912</v>
      </c>
      <c r="E599" s="40">
        <v>0</v>
      </c>
      <c r="F599" s="40">
        <v>2.5</v>
      </c>
      <c r="G599" s="40">
        <v>2</v>
      </c>
      <c r="H599" s="3">
        <f t="shared" si="74"/>
        <v>0</v>
      </c>
      <c r="I599" s="3">
        <f t="shared" si="72"/>
        <v>0.72916666666666663</v>
      </c>
      <c r="J599" s="3">
        <f t="shared" si="73"/>
        <v>0.58333333333333326</v>
      </c>
      <c r="K599" s="3"/>
      <c r="L599" s="60">
        <f t="shared" si="75"/>
        <v>225.90249999999997</v>
      </c>
      <c r="M599" s="40">
        <v>0</v>
      </c>
      <c r="N599" s="40">
        <v>0</v>
      </c>
      <c r="O599" s="40">
        <v>0</v>
      </c>
      <c r="P599" s="40">
        <v>0</v>
      </c>
      <c r="Q599" s="40">
        <v>1.8</v>
      </c>
      <c r="R599" s="40">
        <v>0</v>
      </c>
      <c r="S599" s="61">
        <f t="shared" si="76"/>
        <v>81.700000000000117</v>
      </c>
      <c r="T599" s="40">
        <v>0</v>
      </c>
      <c r="U599" s="40">
        <v>0</v>
      </c>
      <c r="V599" s="40">
        <v>3</v>
      </c>
      <c r="W599" s="40">
        <v>0</v>
      </c>
      <c r="X599" s="67">
        <f t="shared" si="86"/>
        <v>185</v>
      </c>
      <c r="Z599" s="71"/>
      <c r="AA599" s="71"/>
      <c r="AB599" s="67" t="str">
        <f t="shared" si="77"/>
        <v/>
      </c>
      <c r="AD599" s="121"/>
      <c r="AE599" s="121"/>
    </row>
    <row r="600" spans="1:31" x14ac:dyDescent="0.25">
      <c r="A600" s="2" t="s">
        <v>913</v>
      </c>
      <c r="B600" s="7">
        <v>0.22500000000000001</v>
      </c>
      <c r="C600" s="3">
        <f t="shared" si="85"/>
        <v>21.4</v>
      </c>
      <c r="D600" s="10" t="s">
        <v>801</v>
      </c>
      <c r="E600" s="40">
        <v>0</v>
      </c>
      <c r="F600" s="40">
        <v>2.5</v>
      </c>
      <c r="G600" s="40">
        <v>2</v>
      </c>
      <c r="H600" s="3">
        <f t="shared" si="74"/>
        <v>0</v>
      </c>
      <c r="I600" s="3">
        <f t="shared" si="72"/>
        <v>2.2291666666666665</v>
      </c>
      <c r="J600" s="3">
        <f t="shared" si="73"/>
        <v>1.7833333333333332</v>
      </c>
      <c r="K600" s="3"/>
      <c r="L600" s="60">
        <f t="shared" si="75"/>
        <v>221.89</v>
      </c>
      <c r="M600" s="40">
        <v>0</v>
      </c>
      <c r="N600" s="40">
        <v>0</v>
      </c>
      <c r="O600" s="40">
        <v>0</v>
      </c>
      <c r="P600" s="40">
        <v>0</v>
      </c>
      <c r="Q600" s="40">
        <v>5.4</v>
      </c>
      <c r="R600" s="40">
        <v>0</v>
      </c>
      <c r="S600" s="61">
        <f t="shared" si="76"/>
        <v>76.300000000000111</v>
      </c>
      <c r="T600" s="40">
        <v>0</v>
      </c>
      <c r="U600" s="40">
        <v>0</v>
      </c>
      <c r="V600" s="40">
        <v>5</v>
      </c>
      <c r="W600" s="40">
        <v>0</v>
      </c>
      <c r="X600" s="67">
        <f t="shared" si="86"/>
        <v>180</v>
      </c>
      <c r="Z600" s="71"/>
      <c r="AA600" s="71"/>
      <c r="AB600" s="67" t="str">
        <f t="shared" si="77"/>
        <v/>
      </c>
      <c r="AD600" s="121"/>
      <c r="AE600" s="121"/>
    </row>
    <row r="601" spans="1:31" x14ac:dyDescent="0.25">
      <c r="A601" s="2" t="s">
        <v>913</v>
      </c>
      <c r="B601" s="65">
        <v>0.33333333333333331</v>
      </c>
      <c r="C601" s="3">
        <f t="shared" si="85"/>
        <v>2.5999999999999996</v>
      </c>
      <c r="D601" s="10" t="s">
        <v>660</v>
      </c>
      <c r="E601" s="40">
        <v>0</v>
      </c>
      <c r="F601" s="40">
        <v>2.5</v>
      </c>
      <c r="G601" s="40">
        <v>2</v>
      </c>
      <c r="H601" s="3">
        <f t="shared" si="74"/>
        <v>0</v>
      </c>
      <c r="I601" s="3">
        <f t="shared" si="72"/>
        <v>0.27083333333333331</v>
      </c>
      <c r="J601" s="3">
        <f t="shared" si="73"/>
        <v>0.21666666666666662</v>
      </c>
      <c r="K601" s="3"/>
      <c r="L601" s="60">
        <f t="shared" si="75"/>
        <v>221.40249999999997</v>
      </c>
      <c r="M601" s="40">
        <v>0</v>
      </c>
      <c r="N601" s="40">
        <v>0</v>
      </c>
      <c r="O601" s="40">
        <v>0</v>
      </c>
      <c r="P601" s="40">
        <v>0</v>
      </c>
      <c r="Q601" s="40">
        <v>0</v>
      </c>
      <c r="R601" s="40">
        <v>0</v>
      </c>
      <c r="S601" s="61">
        <f t="shared" si="76"/>
        <v>76.300000000000111</v>
      </c>
      <c r="T601" s="40">
        <v>0</v>
      </c>
      <c r="U601" s="40">
        <v>0</v>
      </c>
      <c r="V601" s="40">
        <v>0</v>
      </c>
      <c r="W601" s="40">
        <v>0</v>
      </c>
      <c r="X601" s="67">
        <f t="shared" si="86"/>
        <v>180</v>
      </c>
      <c r="Z601" s="71"/>
      <c r="AA601" s="71"/>
      <c r="AB601" s="67" t="str">
        <f t="shared" si="77"/>
        <v/>
      </c>
      <c r="AD601" s="121"/>
      <c r="AE601" s="121"/>
    </row>
    <row r="602" spans="1:31" x14ac:dyDescent="0.25">
      <c r="A602" s="2" t="s">
        <v>913</v>
      </c>
      <c r="B602" s="7">
        <v>0.35416666666666669</v>
      </c>
      <c r="C602" s="3">
        <f t="shared" si="85"/>
        <v>0.50000000000000089</v>
      </c>
      <c r="D602" s="10" t="s">
        <v>821</v>
      </c>
      <c r="E602" s="40">
        <v>10</v>
      </c>
      <c r="F602" s="40">
        <v>2.5</v>
      </c>
      <c r="G602" s="40">
        <v>2</v>
      </c>
      <c r="H602" s="3">
        <f t="shared" si="74"/>
        <v>0.2083333333333337</v>
      </c>
      <c r="I602" s="3">
        <f t="shared" si="72"/>
        <v>5.2083333333333426E-2</v>
      </c>
      <c r="J602" s="3">
        <f t="shared" si="73"/>
        <v>4.1666666666666741E-2</v>
      </c>
      <c r="K602" s="3"/>
      <c r="L602" s="60">
        <f t="shared" si="75"/>
        <v>221.10041666666663</v>
      </c>
      <c r="M602" s="40">
        <v>0</v>
      </c>
      <c r="N602" s="40">
        <v>0</v>
      </c>
      <c r="O602" s="40">
        <v>0</v>
      </c>
      <c r="P602" s="40">
        <v>0</v>
      </c>
      <c r="Q602" s="40">
        <v>0</v>
      </c>
      <c r="R602" s="40">
        <v>0</v>
      </c>
      <c r="S602" s="61">
        <f t="shared" si="76"/>
        <v>76.300000000000111</v>
      </c>
      <c r="T602" s="40">
        <v>0</v>
      </c>
      <c r="U602" s="40">
        <v>0</v>
      </c>
      <c r="V602" s="40">
        <v>0</v>
      </c>
      <c r="W602" s="40">
        <v>0</v>
      </c>
      <c r="X602" s="67">
        <f t="shared" si="86"/>
        <v>180</v>
      </c>
      <c r="Z602" s="71"/>
      <c r="AA602" s="71"/>
      <c r="AB602" s="67" t="str">
        <f t="shared" si="77"/>
        <v/>
      </c>
      <c r="AD602" s="121"/>
      <c r="AE602" s="121"/>
    </row>
    <row r="603" spans="1:31" x14ac:dyDescent="0.25">
      <c r="A603" s="55" t="s">
        <v>913</v>
      </c>
      <c r="B603" s="7">
        <v>0.66666666666666663</v>
      </c>
      <c r="C603" s="3">
        <f t="shared" ref="C603:C615" si="87">+IF((B603-B602)&lt;0,((B603-B602)*24)+24,(B603-B602)*24)</f>
        <v>7.4999999999999982</v>
      </c>
      <c r="D603" s="10" t="s">
        <v>796</v>
      </c>
      <c r="E603" s="40">
        <v>24</v>
      </c>
      <c r="F603" s="40">
        <v>2.5</v>
      </c>
      <c r="G603" s="40">
        <v>0</v>
      </c>
      <c r="H603" s="3">
        <f t="shared" ref="H603:H608" si="88">+IF(E603="","",(E603/24)*C603)</f>
        <v>7.4999999999999982</v>
      </c>
      <c r="I603" s="3">
        <f t="shared" ref="I603:I608" si="89">+IF(F603="","",(F603/24)*C603)</f>
        <v>0.78124999999999989</v>
      </c>
      <c r="J603" s="3">
        <f t="shared" ref="J603:J608" si="90">+IF(G603="","",(G603/24)*C603)</f>
        <v>0</v>
      </c>
      <c r="K603" s="3"/>
      <c r="L603" s="60">
        <f t="shared" ref="L603:L615" si="91">+IF(C603="","",(L602+K603)-(H603+I603+J603))</f>
        <v>212.81916666666663</v>
      </c>
      <c r="M603" s="40">
        <v>0</v>
      </c>
      <c r="N603" s="40">
        <v>0</v>
      </c>
      <c r="O603" s="40">
        <v>0</v>
      </c>
      <c r="P603" s="40">
        <v>0</v>
      </c>
      <c r="Q603" s="40">
        <v>0</v>
      </c>
      <c r="R603" s="40">
        <v>0</v>
      </c>
      <c r="S603" s="61">
        <f t="shared" ref="S603:S615" si="92">IF(C603="","",(S602+R603)-(M603+N603+O603+P603+Q603))</f>
        <v>76.300000000000111</v>
      </c>
      <c r="T603" s="40">
        <v>2</v>
      </c>
      <c r="U603" s="40">
        <v>0</v>
      </c>
      <c r="V603" s="40">
        <v>2</v>
      </c>
      <c r="W603" s="40">
        <v>0</v>
      </c>
      <c r="X603" s="67">
        <f t="shared" ref="X603:X615" si="93">IF(V603="","",((X602+T603+U603)-(V603+W603)))</f>
        <v>180</v>
      </c>
      <c r="Z603" s="71"/>
      <c r="AA603" s="71"/>
      <c r="AB603" s="67" t="str">
        <f t="shared" ref="AB603:AB615" si="94">IF(Z603="","",Z603+AA603)</f>
        <v/>
      </c>
      <c r="AD603" s="121">
        <v>12.9</v>
      </c>
      <c r="AE603" s="121" t="s">
        <v>1301</v>
      </c>
    </row>
    <row r="604" spans="1:31" x14ac:dyDescent="0.25">
      <c r="A604" s="55" t="s">
        <v>913</v>
      </c>
      <c r="B604" s="7">
        <v>0.69166666666666676</v>
      </c>
      <c r="C604" s="3">
        <f t="shared" si="87"/>
        <v>0.6000000000000032</v>
      </c>
      <c r="D604" s="10" t="s">
        <v>812</v>
      </c>
      <c r="E604" s="40">
        <v>5</v>
      </c>
      <c r="F604" s="40">
        <v>2.5</v>
      </c>
      <c r="G604" s="40">
        <v>2</v>
      </c>
      <c r="H604" s="3">
        <f t="shared" si="88"/>
        <v>0.12500000000000067</v>
      </c>
      <c r="I604" s="3">
        <f t="shared" si="89"/>
        <v>6.2500000000000333E-2</v>
      </c>
      <c r="J604" s="3">
        <f t="shared" si="90"/>
        <v>5.0000000000000266E-2</v>
      </c>
      <c r="K604" s="3"/>
      <c r="L604" s="60">
        <f t="shared" si="91"/>
        <v>212.58166666666662</v>
      </c>
      <c r="M604" s="40">
        <v>0</v>
      </c>
      <c r="N604" s="40">
        <v>0</v>
      </c>
      <c r="O604" s="40">
        <v>0</v>
      </c>
      <c r="P604" s="40">
        <v>0</v>
      </c>
      <c r="Q604" s="40">
        <v>0</v>
      </c>
      <c r="R604" s="40">
        <v>0</v>
      </c>
      <c r="S604" s="61">
        <f t="shared" si="92"/>
        <v>76.300000000000111</v>
      </c>
      <c r="T604" s="40">
        <v>0</v>
      </c>
      <c r="U604" s="40">
        <v>0</v>
      </c>
      <c r="V604" s="40">
        <v>0</v>
      </c>
      <c r="W604" s="40">
        <v>0</v>
      </c>
      <c r="X604" s="67">
        <f t="shared" si="93"/>
        <v>180</v>
      </c>
      <c r="Z604" s="71"/>
      <c r="AA604" s="71"/>
      <c r="AB604" s="67" t="str">
        <f t="shared" si="94"/>
        <v/>
      </c>
      <c r="AD604" s="121"/>
      <c r="AE604" s="121"/>
    </row>
    <row r="605" spans="1:31" x14ac:dyDescent="0.25">
      <c r="A605" s="55" t="s">
        <v>914</v>
      </c>
      <c r="B605" s="65">
        <v>0.33333333333333331</v>
      </c>
      <c r="C605" s="3">
        <f t="shared" si="87"/>
        <v>15.399999999999997</v>
      </c>
      <c r="D605" s="10" t="s">
        <v>806</v>
      </c>
      <c r="E605" s="40">
        <v>0</v>
      </c>
      <c r="F605" s="40">
        <v>2.5</v>
      </c>
      <c r="G605" s="40">
        <v>2</v>
      </c>
      <c r="H605" s="3">
        <f t="shared" si="88"/>
        <v>0</v>
      </c>
      <c r="I605" s="3">
        <f t="shared" si="89"/>
        <v>1.6041666666666663</v>
      </c>
      <c r="J605" s="3">
        <f t="shared" si="90"/>
        <v>1.283333333333333</v>
      </c>
      <c r="K605" s="3"/>
      <c r="L605" s="60">
        <f t="shared" si="91"/>
        <v>209.69416666666663</v>
      </c>
      <c r="M605" s="40">
        <v>0</v>
      </c>
      <c r="N605" s="40">
        <v>0</v>
      </c>
      <c r="O605" s="40">
        <v>0</v>
      </c>
      <c r="P605" s="40">
        <v>0</v>
      </c>
      <c r="Q605" s="40">
        <v>0</v>
      </c>
      <c r="R605" s="40">
        <v>0</v>
      </c>
      <c r="S605" s="61">
        <f t="shared" si="92"/>
        <v>76.300000000000111</v>
      </c>
      <c r="T605" s="40">
        <v>0</v>
      </c>
      <c r="U605" s="40">
        <v>0</v>
      </c>
      <c r="V605" s="40">
        <v>3</v>
      </c>
      <c r="W605" s="40">
        <v>0</v>
      </c>
      <c r="X605" s="67">
        <f t="shared" si="93"/>
        <v>177</v>
      </c>
      <c r="Z605" s="71"/>
      <c r="AA605" s="71"/>
      <c r="AB605" s="67" t="str">
        <f t="shared" si="94"/>
        <v/>
      </c>
      <c r="AD605" s="121"/>
      <c r="AE605" s="121"/>
    </row>
    <row r="606" spans="1:31" x14ac:dyDescent="0.25">
      <c r="A606" s="55" t="s">
        <v>915</v>
      </c>
      <c r="B606" s="65">
        <v>0.33333333333333331</v>
      </c>
      <c r="C606" s="3">
        <v>24</v>
      </c>
      <c r="D606" s="10" t="s">
        <v>806</v>
      </c>
      <c r="E606" s="40">
        <v>0</v>
      </c>
      <c r="F606" s="40">
        <v>2.5</v>
      </c>
      <c r="G606" s="40">
        <v>2</v>
      </c>
      <c r="H606" s="3">
        <f t="shared" si="88"/>
        <v>0</v>
      </c>
      <c r="I606" s="3">
        <f t="shared" si="89"/>
        <v>2.5</v>
      </c>
      <c r="J606" s="3">
        <f t="shared" si="90"/>
        <v>2</v>
      </c>
      <c r="K606" s="3"/>
      <c r="L606" s="60">
        <f t="shared" si="91"/>
        <v>205.19416666666663</v>
      </c>
      <c r="M606" s="40">
        <v>0</v>
      </c>
      <c r="N606" s="40">
        <v>0</v>
      </c>
      <c r="O606" s="40">
        <v>0</v>
      </c>
      <c r="P606" s="40">
        <v>0</v>
      </c>
      <c r="Q606" s="40">
        <v>0</v>
      </c>
      <c r="R606" s="40">
        <v>0</v>
      </c>
      <c r="S606" s="61">
        <f t="shared" si="92"/>
        <v>76.300000000000111</v>
      </c>
      <c r="T606" s="40">
        <v>0</v>
      </c>
      <c r="U606" s="40">
        <v>0</v>
      </c>
      <c r="V606" s="40">
        <v>5</v>
      </c>
      <c r="W606" s="40">
        <v>0</v>
      </c>
      <c r="X606" s="67">
        <f t="shared" si="93"/>
        <v>172</v>
      </c>
      <c r="Z606" s="71"/>
      <c r="AA606" s="71"/>
      <c r="AB606" s="67" t="str">
        <f t="shared" si="94"/>
        <v/>
      </c>
      <c r="AD606" s="121"/>
      <c r="AE606" s="121"/>
    </row>
    <row r="607" spans="1:31" x14ac:dyDescent="0.25">
      <c r="A607" s="55" t="s">
        <v>916</v>
      </c>
      <c r="B607" s="65">
        <v>0.33333333333333331</v>
      </c>
      <c r="C607" s="3">
        <v>24</v>
      </c>
      <c r="D607" s="10" t="s">
        <v>806</v>
      </c>
      <c r="E607" s="40">
        <v>0</v>
      </c>
      <c r="F607" s="40">
        <v>2.5</v>
      </c>
      <c r="G607" s="40">
        <v>2</v>
      </c>
      <c r="H607" s="3">
        <f t="shared" si="88"/>
        <v>0</v>
      </c>
      <c r="I607" s="3">
        <f t="shared" si="89"/>
        <v>2.5</v>
      </c>
      <c r="J607" s="3">
        <f t="shared" si="90"/>
        <v>2</v>
      </c>
      <c r="K607" s="3"/>
      <c r="L607" s="60">
        <f t="shared" si="91"/>
        <v>200.69416666666663</v>
      </c>
      <c r="M607" s="40">
        <v>0</v>
      </c>
      <c r="N607" s="40">
        <v>0</v>
      </c>
      <c r="O607" s="40">
        <v>0</v>
      </c>
      <c r="P607" s="40">
        <v>0</v>
      </c>
      <c r="Q607" s="40">
        <v>0</v>
      </c>
      <c r="R607" s="40">
        <v>0</v>
      </c>
      <c r="S607" s="61">
        <f t="shared" si="92"/>
        <v>76.300000000000111</v>
      </c>
      <c r="T607" s="40">
        <v>0</v>
      </c>
      <c r="U607" s="40">
        <v>0</v>
      </c>
      <c r="V607" s="40">
        <v>5</v>
      </c>
      <c r="W607" s="40">
        <v>0</v>
      </c>
      <c r="X607" s="67">
        <f t="shared" si="93"/>
        <v>167</v>
      </c>
      <c r="Z607" s="71"/>
      <c r="AA607" s="71"/>
      <c r="AB607" s="67" t="str">
        <f t="shared" si="94"/>
        <v/>
      </c>
      <c r="AD607" s="121"/>
      <c r="AE607" s="121"/>
    </row>
    <row r="608" spans="1:31" x14ac:dyDescent="0.25">
      <c r="A608" s="55" t="s">
        <v>917</v>
      </c>
      <c r="B608" s="65">
        <v>0.33333333333333331</v>
      </c>
      <c r="C608" s="3">
        <v>24</v>
      </c>
      <c r="D608" s="10" t="s">
        <v>806</v>
      </c>
      <c r="E608" s="40">
        <v>0</v>
      </c>
      <c r="F608" s="40">
        <v>2.5</v>
      </c>
      <c r="G608" s="40">
        <v>2</v>
      </c>
      <c r="H608" s="3">
        <f t="shared" si="88"/>
        <v>0</v>
      </c>
      <c r="I608" s="3">
        <f t="shared" si="89"/>
        <v>2.5</v>
      </c>
      <c r="J608" s="3">
        <f t="shared" si="90"/>
        <v>2</v>
      </c>
      <c r="K608" s="3"/>
      <c r="L608" s="60">
        <f t="shared" si="91"/>
        <v>196.19416666666663</v>
      </c>
      <c r="M608" s="40">
        <v>0</v>
      </c>
      <c r="N608" s="40">
        <v>0</v>
      </c>
      <c r="O608" s="40">
        <v>0</v>
      </c>
      <c r="P608" s="40">
        <v>0</v>
      </c>
      <c r="Q608" s="40">
        <v>0</v>
      </c>
      <c r="R608" s="40">
        <v>0</v>
      </c>
      <c r="S608" s="61">
        <f t="shared" si="92"/>
        <v>76.300000000000111</v>
      </c>
      <c r="T608" s="40">
        <v>0</v>
      </c>
      <c r="U608" s="40">
        <v>0</v>
      </c>
      <c r="V608" s="40">
        <v>5</v>
      </c>
      <c r="W608" s="40">
        <v>0</v>
      </c>
      <c r="X608" s="67">
        <f t="shared" si="93"/>
        <v>162</v>
      </c>
      <c r="Z608" s="71"/>
      <c r="AA608" s="71"/>
      <c r="AB608" s="67" t="str">
        <f t="shared" si="94"/>
        <v/>
      </c>
      <c r="AD608" s="121"/>
      <c r="AE608" s="121"/>
    </row>
    <row r="609" spans="1:31" x14ac:dyDescent="0.25">
      <c r="A609" s="58"/>
      <c r="B609" s="7"/>
      <c r="C609" s="3"/>
      <c r="D609" s="10"/>
      <c r="E609" s="40"/>
      <c r="F609" s="40"/>
      <c r="G609" s="40"/>
      <c r="H609" s="3"/>
      <c r="I609" s="3"/>
      <c r="J609" s="3"/>
      <c r="K609" s="3"/>
      <c r="L609" s="60"/>
      <c r="M609" s="40"/>
      <c r="N609" s="40"/>
      <c r="O609" s="40"/>
      <c r="P609" s="40"/>
      <c r="Q609" s="40"/>
      <c r="R609" s="40"/>
      <c r="S609" s="61"/>
      <c r="T609" s="40"/>
      <c r="U609" s="40"/>
      <c r="V609" s="40"/>
      <c r="W609" s="40"/>
      <c r="X609" s="67"/>
      <c r="Z609" s="71"/>
      <c r="AA609" s="71"/>
      <c r="AB609" s="67"/>
      <c r="AD609" s="121"/>
      <c r="AE609" s="121"/>
    </row>
    <row r="610" spans="1:31" x14ac:dyDescent="0.25">
      <c r="A610" s="9" t="s">
        <v>918</v>
      </c>
      <c r="B610" s="65">
        <v>0.33333333333333331</v>
      </c>
      <c r="C610" s="3">
        <v>24</v>
      </c>
      <c r="D610" s="10" t="s">
        <v>806</v>
      </c>
      <c r="E610" s="40">
        <v>0</v>
      </c>
      <c r="F610" s="40">
        <v>2.5</v>
      </c>
      <c r="G610" s="40">
        <v>2</v>
      </c>
      <c r="H610" s="3">
        <f t="shared" ref="H610:H615" si="95">+IF(E610="","",(E610/24)*C610)</f>
        <v>0</v>
      </c>
      <c r="I610" s="3">
        <f t="shared" ref="I610:I615" si="96">+IF(F610="","",(F610/24)*C610)</f>
        <v>2.5</v>
      </c>
      <c r="J610" s="3">
        <f t="shared" ref="J610:J615" si="97">+IF(G610="","",(G610/24)*C610)</f>
        <v>2</v>
      </c>
      <c r="K610" s="3"/>
      <c r="L610" s="60">
        <f>+IF(C610="","",(L608+K610)-(H610+I610+J610))</f>
        <v>191.69416666666663</v>
      </c>
      <c r="M610" s="40">
        <v>0</v>
      </c>
      <c r="N610" s="40">
        <v>0</v>
      </c>
      <c r="O610" s="40">
        <v>0</v>
      </c>
      <c r="P610" s="40">
        <v>0</v>
      </c>
      <c r="Q610" s="40">
        <v>0</v>
      </c>
      <c r="R610" s="40">
        <v>0</v>
      </c>
      <c r="S610" s="61">
        <f>IF(C610="","",(S608+R610)-(M610+N610+O610+P610+Q610))</f>
        <v>76.300000000000111</v>
      </c>
      <c r="T610" s="40">
        <v>0</v>
      </c>
      <c r="U610" s="40">
        <v>0</v>
      </c>
      <c r="V610" s="40">
        <v>5</v>
      </c>
      <c r="W610" s="40">
        <v>0</v>
      </c>
      <c r="X610" s="67">
        <f>IF(V610="","",((X608+T610+U610)-(V610+W610)))</f>
        <v>157</v>
      </c>
      <c r="Z610" s="71"/>
      <c r="AA610" s="71"/>
      <c r="AB610" s="67" t="str">
        <f t="shared" si="94"/>
        <v/>
      </c>
      <c r="AD610" s="121"/>
      <c r="AE610" s="121"/>
    </row>
    <row r="611" spans="1:31" x14ac:dyDescent="0.25">
      <c r="A611" s="55" t="s">
        <v>919</v>
      </c>
      <c r="B611" s="65">
        <v>0.33333333333333331</v>
      </c>
      <c r="C611" s="3">
        <v>24</v>
      </c>
      <c r="D611" s="10" t="s">
        <v>806</v>
      </c>
      <c r="E611" s="40">
        <v>0</v>
      </c>
      <c r="F611" s="40">
        <v>2.5</v>
      </c>
      <c r="G611" s="40">
        <v>2</v>
      </c>
      <c r="H611" s="3">
        <f t="shared" si="95"/>
        <v>0</v>
      </c>
      <c r="I611" s="3">
        <f t="shared" si="96"/>
        <v>2.5</v>
      </c>
      <c r="J611" s="3">
        <f t="shared" si="97"/>
        <v>2</v>
      </c>
      <c r="K611" s="3"/>
      <c r="L611" s="60">
        <f t="shared" si="91"/>
        <v>187.19416666666663</v>
      </c>
      <c r="M611" s="40">
        <v>0</v>
      </c>
      <c r="N611" s="40">
        <v>0</v>
      </c>
      <c r="O611" s="40">
        <v>0</v>
      </c>
      <c r="P611" s="40">
        <v>0</v>
      </c>
      <c r="Q611" s="40">
        <v>0</v>
      </c>
      <c r="R611" s="40">
        <v>0</v>
      </c>
      <c r="S611" s="61">
        <f t="shared" si="92"/>
        <v>76.300000000000111</v>
      </c>
      <c r="T611" s="40">
        <v>0</v>
      </c>
      <c r="U611" s="40">
        <v>0</v>
      </c>
      <c r="V611" s="40">
        <v>5</v>
      </c>
      <c r="W611" s="40">
        <v>0</v>
      </c>
      <c r="X611" s="67">
        <f t="shared" si="93"/>
        <v>152</v>
      </c>
      <c r="Z611" s="71"/>
      <c r="AA611" s="71"/>
      <c r="AB611" s="67" t="str">
        <f t="shared" si="94"/>
        <v/>
      </c>
      <c r="AD611" s="121"/>
      <c r="AE611" s="121"/>
    </row>
    <row r="612" spans="1:31" x14ac:dyDescent="0.25">
      <c r="A612" s="55" t="s">
        <v>920</v>
      </c>
      <c r="B612" s="65">
        <v>0.33333333333333331</v>
      </c>
      <c r="C612" s="3">
        <v>24</v>
      </c>
      <c r="D612" s="10" t="s">
        <v>806</v>
      </c>
      <c r="E612" s="40">
        <v>0</v>
      </c>
      <c r="F612" s="40">
        <v>2.5</v>
      </c>
      <c r="G612" s="40">
        <v>2</v>
      </c>
      <c r="H612" s="3">
        <f t="shared" si="95"/>
        <v>0</v>
      </c>
      <c r="I612" s="3">
        <f t="shared" si="96"/>
        <v>2.5</v>
      </c>
      <c r="J612" s="3">
        <f t="shared" si="97"/>
        <v>2</v>
      </c>
      <c r="K612" s="3"/>
      <c r="L612" s="60">
        <f t="shared" si="91"/>
        <v>182.69416666666663</v>
      </c>
      <c r="M612" s="40">
        <v>0</v>
      </c>
      <c r="N612" s="40">
        <v>0</v>
      </c>
      <c r="O612" s="40">
        <v>0</v>
      </c>
      <c r="P612" s="40">
        <v>0</v>
      </c>
      <c r="Q612" s="40">
        <v>0</v>
      </c>
      <c r="R612" s="40">
        <v>0</v>
      </c>
      <c r="S612" s="61">
        <f t="shared" si="92"/>
        <v>76.300000000000111</v>
      </c>
      <c r="T612" s="40">
        <v>0</v>
      </c>
      <c r="U612" s="40">
        <v>0</v>
      </c>
      <c r="V612" s="40">
        <v>5</v>
      </c>
      <c r="W612" s="40">
        <v>0</v>
      </c>
      <c r="X612" s="67">
        <f t="shared" si="93"/>
        <v>147</v>
      </c>
      <c r="Z612" s="71"/>
      <c r="AA612" s="71"/>
      <c r="AB612" s="67" t="str">
        <f t="shared" si="94"/>
        <v/>
      </c>
      <c r="AD612" s="121"/>
      <c r="AE612" s="121"/>
    </row>
    <row r="613" spans="1:31" x14ac:dyDescent="0.25">
      <c r="A613" s="55" t="s">
        <v>921</v>
      </c>
      <c r="B613" s="65">
        <v>0.33333333333333331</v>
      </c>
      <c r="C613" s="3">
        <v>24</v>
      </c>
      <c r="D613" s="10" t="s">
        <v>806</v>
      </c>
      <c r="E613" s="40">
        <v>0</v>
      </c>
      <c r="F613" s="40">
        <v>2.5</v>
      </c>
      <c r="G613" s="40">
        <v>2</v>
      </c>
      <c r="H613" s="3">
        <f t="shared" si="95"/>
        <v>0</v>
      </c>
      <c r="I613" s="3">
        <f t="shared" si="96"/>
        <v>2.5</v>
      </c>
      <c r="J613" s="3">
        <f t="shared" si="97"/>
        <v>2</v>
      </c>
      <c r="K613" s="3"/>
      <c r="L613" s="60">
        <f t="shared" si="91"/>
        <v>178.19416666666663</v>
      </c>
      <c r="M613" s="40">
        <v>0</v>
      </c>
      <c r="N613" s="40">
        <v>0</v>
      </c>
      <c r="O613" s="40">
        <v>0</v>
      </c>
      <c r="P613" s="40">
        <v>0</v>
      </c>
      <c r="Q613" s="40">
        <v>0</v>
      </c>
      <c r="R613" s="40">
        <v>0</v>
      </c>
      <c r="S613" s="61">
        <f t="shared" si="92"/>
        <v>76.300000000000111</v>
      </c>
      <c r="T613" s="40">
        <v>0</v>
      </c>
      <c r="U613" s="40">
        <v>0</v>
      </c>
      <c r="V613" s="40">
        <v>5</v>
      </c>
      <c r="W613" s="40">
        <v>0</v>
      </c>
      <c r="X613" s="67">
        <f t="shared" si="93"/>
        <v>142</v>
      </c>
      <c r="Z613" s="71"/>
      <c r="AA613" s="71"/>
      <c r="AB613" s="67" t="str">
        <f t="shared" si="94"/>
        <v/>
      </c>
      <c r="AD613" s="121"/>
      <c r="AE613" s="121"/>
    </row>
    <row r="614" spans="1:31" x14ac:dyDescent="0.25">
      <c r="A614" s="55" t="s">
        <v>921</v>
      </c>
      <c r="B614" s="7">
        <v>0.59583333333333333</v>
      </c>
      <c r="C614" s="3">
        <f t="shared" si="87"/>
        <v>6.3000000000000007</v>
      </c>
      <c r="D614" s="10" t="s">
        <v>789</v>
      </c>
      <c r="E614" s="40">
        <v>0</v>
      </c>
      <c r="F614" s="40">
        <v>2.5</v>
      </c>
      <c r="G614" s="40">
        <v>2</v>
      </c>
      <c r="H614" s="3">
        <f t="shared" si="95"/>
        <v>0</v>
      </c>
      <c r="I614" s="3">
        <f t="shared" si="96"/>
        <v>0.65625000000000011</v>
      </c>
      <c r="J614" s="3">
        <f t="shared" si="97"/>
        <v>0.52500000000000002</v>
      </c>
      <c r="K614" s="3"/>
      <c r="L614" s="60">
        <f t="shared" si="91"/>
        <v>177.01291666666663</v>
      </c>
      <c r="M614" s="40">
        <v>0</v>
      </c>
      <c r="N614" s="40">
        <v>0</v>
      </c>
      <c r="O614" s="40">
        <v>0</v>
      </c>
      <c r="P614" s="40">
        <v>0</v>
      </c>
      <c r="Q614" s="40">
        <v>0</v>
      </c>
      <c r="R614" s="40">
        <v>0</v>
      </c>
      <c r="S614" s="61">
        <f t="shared" si="92"/>
        <v>76.300000000000111</v>
      </c>
      <c r="T614" s="40">
        <v>0</v>
      </c>
      <c r="U614" s="40">
        <v>0</v>
      </c>
      <c r="V614" s="40">
        <v>2</v>
      </c>
      <c r="W614" s="40">
        <v>0</v>
      </c>
      <c r="X614" s="67">
        <f t="shared" si="93"/>
        <v>140</v>
      </c>
      <c r="Z614" s="71"/>
      <c r="AA614" s="71"/>
      <c r="AB614" s="67" t="str">
        <f t="shared" si="94"/>
        <v/>
      </c>
      <c r="AD614" s="121"/>
      <c r="AE614" s="121"/>
    </row>
    <row r="615" spans="1:31" x14ac:dyDescent="0.25">
      <c r="A615" s="55" t="s">
        <v>921</v>
      </c>
      <c r="B615" s="7">
        <v>0.65833333333333333</v>
      </c>
      <c r="C615" s="3">
        <f t="shared" si="87"/>
        <v>1.5</v>
      </c>
      <c r="D615" s="10" t="s">
        <v>812</v>
      </c>
      <c r="E615" s="40">
        <v>5</v>
      </c>
      <c r="F615" s="40">
        <v>2.5</v>
      </c>
      <c r="G615" s="40">
        <v>2</v>
      </c>
      <c r="H615" s="3">
        <f t="shared" si="95"/>
        <v>0.3125</v>
      </c>
      <c r="I615" s="3">
        <f t="shared" si="96"/>
        <v>0.15625</v>
      </c>
      <c r="J615" s="3">
        <f t="shared" si="97"/>
        <v>0.125</v>
      </c>
      <c r="K615" s="3"/>
      <c r="L615" s="60">
        <f t="shared" si="91"/>
        <v>176.41916666666663</v>
      </c>
      <c r="M615" s="40">
        <v>0</v>
      </c>
      <c r="N615" s="40">
        <v>0</v>
      </c>
      <c r="O615" s="40">
        <v>0</v>
      </c>
      <c r="P615" s="40">
        <v>0</v>
      </c>
      <c r="Q615" s="40">
        <v>0</v>
      </c>
      <c r="R615" s="40">
        <v>0</v>
      </c>
      <c r="S615" s="61">
        <f t="shared" si="92"/>
        <v>76.300000000000111</v>
      </c>
      <c r="T615" s="40">
        <v>0</v>
      </c>
      <c r="U615" s="40">
        <v>0</v>
      </c>
      <c r="V615" s="40">
        <v>0</v>
      </c>
      <c r="W615" s="40">
        <v>0</v>
      </c>
      <c r="X615" s="67">
        <f t="shared" si="93"/>
        <v>140</v>
      </c>
      <c r="Z615" s="71"/>
      <c r="AA615" s="71"/>
      <c r="AB615" s="67" t="str">
        <f t="shared" si="94"/>
        <v/>
      </c>
      <c r="AD615" s="121"/>
      <c r="AE615" s="121"/>
    </row>
    <row r="616" spans="1:31" x14ac:dyDescent="0.25">
      <c r="A616" s="56" t="s">
        <v>921</v>
      </c>
      <c r="B616" s="7">
        <v>0.80833333333333324</v>
      </c>
      <c r="C616" s="3">
        <f t="shared" ref="C616:C630" si="98">+IF((B616-B615)&lt;0,((B616-B615)*24)+24,(B616-B615)*24)</f>
        <v>3.5999999999999979</v>
      </c>
      <c r="D616" s="10" t="s">
        <v>813</v>
      </c>
      <c r="E616" s="40">
        <v>0</v>
      </c>
      <c r="F616" s="40">
        <v>2.5</v>
      </c>
      <c r="G616" s="40">
        <v>2</v>
      </c>
      <c r="H616" s="3">
        <f t="shared" ref="H616:H620" si="99">+IF(E616="","",(E616/24)*C616)</f>
        <v>0</v>
      </c>
      <c r="I616" s="3">
        <f t="shared" ref="I616:I620" si="100">+IF(F616="","",(F616/24)*C616)</f>
        <v>0.37499999999999978</v>
      </c>
      <c r="J616" s="3">
        <f t="shared" ref="J616:J620" si="101">+IF(G616="","",(G616/24)*C616)</f>
        <v>0.29999999999999982</v>
      </c>
      <c r="K616" s="3"/>
      <c r="L616" s="60">
        <f t="shared" ref="L616:L630" si="102">+IF(C616="","",(L615+K616)-(H616+I616+J616))</f>
        <v>175.74416666666662</v>
      </c>
      <c r="M616" s="40">
        <v>0</v>
      </c>
      <c r="N616" s="40">
        <v>0</v>
      </c>
      <c r="O616" s="40">
        <v>0</v>
      </c>
      <c r="P616" s="40">
        <v>0</v>
      </c>
      <c r="Q616" s="40">
        <v>0.65</v>
      </c>
      <c r="R616" s="40">
        <v>0</v>
      </c>
      <c r="S616" s="61">
        <f t="shared" ref="S616:S630" si="103">IF(C616="","",(S615+R616)-(M616+N616+O616+P616+Q616))</f>
        <v>75.650000000000105</v>
      </c>
      <c r="T616" s="40">
        <v>0</v>
      </c>
      <c r="U616" s="40">
        <v>0</v>
      </c>
      <c r="V616" s="40">
        <v>0</v>
      </c>
      <c r="W616" s="40">
        <v>0</v>
      </c>
      <c r="X616" s="67">
        <f t="shared" ref="X616:X630" si="104">IF(V616="","",((X615+T616+U616)-(V616+W616)))</f>
        <v>140</v>
      </c>
      <c r="Z616" s="71"/>
      <c r="AA616" s="71"/>
      <c r="AB616" s="67" t="str">
        <f t="shared" ref="AB616:AB630" si="105">IF(Z616="","",Z616+AA616)</f>
        <v/>
      </c>
      <c r="AD616" s="121"/>
      <c r="AE616" s="121"/>
    </row>
    <row r="617" spans="1:31" x14ac:dyDescent="0.25">
      <c r="A617" s="56" t="s">
        <v>922</v>
      </c>
      <c r="B617" s="7">
        <v>0.25</v>
      </c>
      <c r="C617" s="3">
        <f t="shared" si="98"/>
        <v>10.600000000000001</v>
      </c>
      <c r="D617" s="10" t="s">
        <v>801</v>
      </c>
      <c r="E617" s="40">
        <v>0</v>
      </c>
      <c r="F617" s="40">
        <v>2.5</v>
      </c>
      <c r="G617" s="40">
        <v>2</v>
      </c>
      <c r="H617" s="3">
        <f t="shared" si="99"/>
        <v>0</v>
      </c>
      <c r="I617" s="3">
        <f t="shared" si="100"/>
        <v>1.104166666666667</v>
      </c>
      <c r="J617" s="3">
        <f t="shared" si="101"/>
        <v>0.88333333333333341</v>
      </c>
      <c r="K617" s="3"/>
      <c r="L617" s="60">
        <f t="shared" si="102"/>
        <v>173.7566666666666</v>
      </c>
      <c r="M617" s="40">
        <v>0</v>
      </c>
      <c r="N617" s="40">
        <v>0</v>
      </c>
      <c r="O617" s="40">
        <v>0</v>
      </c>
      <c r="P617" s="40">
        <v>0</v>
      </c>
      <c r="Q617" s="40">
        <v>2.65</v>
      </c>
      <c r="R617" s="40">
        <v>0</v>
      </c>
      <c r="S617" s="61">
        <f t="shared" si="103"/>
        <v>73.000000000000099</v>
      </c>
      <c r="T617" s="40">
        <v>0</v>
      </c>
      <c r="U617" s="40">
        <v>0</v>
      </c>
      <c r="V617" s="40">
        <v>3</v>
      </c>
      <c r="W617" s="40">
        <v>0</v>
      </c>
      <c r="X617" s="67">
        <f t="shared" si="104"/>
        <v>137</v>
      </c>
      <c r="Z617" s="71"/>
      <c r="AA617" s="71"/>
      <c r="AB617" s="67" t="str">
        <f t="shared" si="105"/>
        <v/>
      </c>
      <c r="AD617" s="121"/>
      <c r="AE617" s="121"/>
    </row>
    <row r="618" spans="1:31" x14ac:dyDescent="0.25">
      <c r="A618" s="56" t="s">
        <v>922</v>
      </c>
      <c r="B618" s="65">
        <v>0.33333333333333331</v>
      </c>
      <c r="C618" s="3">
        <f t="shared" si="98"/>
        <v>1.9999999999999996</v>
      </c>
      <c r="D618" s="10" t="s">
        <v>923</v>
      </c>
      <c r="E618" s="40">
        <v>0</v>
      </c>
      <c r="F618" s="40">
        <v>2</v>
      </c>
      <c r="G618" s="40">
        <v>2</v>
      </c>
      <c r="H618" s="3">
        <f t="shared" si="99"/>
        <v>0</v>
      </c>
      <c r="I618" s="3">
        <f t="shared" si="100"/>
        <v>0.16666666666666663</v>
      </c>
      <c r="J618" s="3">
        <f t="shared" si="101"/>
        <v>0.16666666666666663</v>
      </c>
      <c r="K618" s="3"/>
      <c r="L618" s="60">
        <f t="shared" si="102"/>
        <v>173.42333333333326</v>
      </c>
      <c r="M618" s="40">
        <v>0</v>
      </c>
      <c r="N618" s="40">
        <v>0</v>
      </c>
      <c r="O618" s="40">
        <v>0</v>
      </c>
      <c r="P618" s="40">
        <v>0</v>
      </c>
      <c r="Q618" s="40">
        <v>0</v>
      </c>
      <c r="R618" s="40">
        <v>0</v>
      </c>
      <c r="S618" s="61">
        <f t="shared" si="103"/>
        <v>73.000000000000099</v>
      </c>
      <c r="T618" s="40">
        <v>0</v>
      </c>
      <c r="U618" s="40">
        <v>0</v>
      </c>
      <c r="V618" s="40">
        <v>0</v>
      </c>
      <c r="W618" s="40">
        <v>0</v>
      </c>
      <c r="X618" s="67">
        <f t="shared" si="104"/>
        <v>137</v>
      </c>
      <c r="Z618" s="71"/>
      <c r="AA618" s="71"/>
      <c r="AB618" s="67" t="str">
        <f t="shared" si="105"/>
        <v/>
      </c>
      <c r="AD618" s="121"/>
      <c r="AE618" s="121"/>
    </row>
    <row r="619" spans="1:31" x14ac:dyDescent="0.25">
      <c r="A619" s="56" t="s">
        <v>922</v>
      </c>
      <c r="B619" s="7">
        <v>0.43333333333333335</v>
      </c>
      <c r="C619" s="3">
        <f t="shared" si="98"/>
        <v>2.4000000000000008</v>
      </c>
      <c r="D619" s="10" t="s">
        <v>789</v>
      </c>
      <c r="E619" s="40">
        <v>0</v>
      </c>
      <c r="F619" s="40">
        <v>2</v>
      </c>
      <c r="G619" s="40">
        <v>2</v>
      </c>
      <c r="H619" s="3">
        <f t="shared" si="99"/>
        <v>0</v>
      </c>
      <c r="I619" s="3">
        <f t="shared" si="100"/>
        <v>0.20000000000000007</v>
      </c>
      <c r="J619" s="3">
        <f t="shared" si="101"/>
        <v>0.20000000000000007</v>
      </c>
      <c r="K619" s="3"/>
      <c r="L619" s="60">
        <f t="shared" si="102"/>
        <v>173.02333333333326</v>
      </c>
      <c r="M619" s="40">
        <v>0</v>
      </c>
      <c r="N619" s="40">
        <v>0</v>
      </c>
      <c r="O619" s="40">
        <v>0</v>
      </c>
      <c r="P619" s="40">
        <v>0</v>
      </c>
      <c r="Q619" s="40">
        <v>0</v>
      </c>
      <c r="R619" s="40">
        <v>0</v>
      </c>
      <c r="S619" s="61">
        <f t="shared" si="103"/>
        <v>73.000000000000099</v>
      </c>
      <c r="T619" s="40">
        <v>0</v>
      </c>
      <c r="U619" s="40">
        <v>0</v>
      </c>
      <c r="V619" s="40">
        <v>0</v>
      </c>
      <c r="W619" s="40">
        <v>0</v>
      </c>
      <c r="X619" s="67">
        <f t="shared" si="104"/>
        <v>137</v>
      </c>
      <c r="Z619" s="71"/>
      <c r="AA619" s="71"/>
      <c r="AB619" s="67" t="str">
        <f t="shared" si="105"/>
        <v/>
      </c>
      <c r="AD619" s="121"/>
      <c r="AE619" s="121"/>
    </row>
    <row r="620" spans="1:31" x14ac:dyDescent="0.25">
      <c r="A620" s="56" t="s">
        <v>922</v>
      </c>
      <c r="B620" s="7">
        <v>0.45833333333333331</v>
      </c>
      <c r="C620" s="3">
        <f t="shared" si="98"/>
        <v>0.5999999999999992</v>
      </c>
      <c r="D620" s="10" t="s">
        <v>821</v>
      </c>
      <c r="E620" s="40">
        <v>3</v>
      </c>
      <c r="F620" s="40">
        <v>2</v>
      </c>
      <c r="G620" s="40">
        <v>2</v>
      </c>
      <c r="H620" s="3">
        <f t="shared" si="99"/>
        <v>7.49999999999999E-2</v>
      </c>
      <c r="I620" s="3">
        <f t="shared" si="100"/>
        <v>4.9999999999999933E-2</v>
      </c>
      <c r="J620" s="3">
        <f t="shared" si="101"/>
        <v>4.9999999999999933E-2</v>
      </c>
      <c r="K620" s="3"/>
      <c r="L620" s="60">
        <f t="shared" si="102"/>
        <v>172.84833333333324</v>
      </c>
      <c r="M620" s="40">
        <v>0</v>
      </c>
      <c r="N620" s="40">
        <v>0</v>
      </c>
      <c r="O620" s="40">
        <v>0</v>
      </c>
      <c r="P620" s="40">
        <v>0</v>
      </c>
      <c r="Q620" s="40">
        <v>0</v>
      </c>
      <c r="R620" s="40">
        <v>0</v>
      </c>
      <c r="S620" s="61">
        <f t="shared" si="103"/>
        <v>73.000000000000099</v>
      </c>
      <c r="T620" s="40">
        <v>0</v>
      </c>
      <c r="U620" s="40">
        <v>0</v>
      </c>
      <c r="V620" s="40">
        <v>0</v>
      </c>
      <c r="W620" s="40">
        <v>0</v>
      </c>
      <c r="X620" s="67">
        <f t="shared" si="104"/>
        <v>137</v>
      </c>
      <c r="Z620" s="71"/>
      <c r="AA620" s="71"/>
      <c r="AB620" s="67" t="str">
        <f t="shared" si="105"/>
        <v/>
      </c>
      <c r="AD620" s="121"/>
      <c r="AE620" s="121"/>
    </row>
    <row r="621" spans="1:31" x14ac:dyDescent="0.25">
      <c r="A621" s="56" t="s">
        <v>924</v>
      </c>
      <c r="B621" s="65">
        <v>0.33333333333333331</v>
      </c>
      <c r="C621" s="3">
        <f t="shared" si="98"/>
        <v>21</v>
      </c>
      <c r="D621" s="10" t="s">
        <v>835</v>
      </c>
      <c r="E621" s="40">
        <v>18</v>
      </c>
      <c r="F621" s="40">
        <v>2</v>
      </c>
      <c r="G621" s="40">
        <v>0</v>
      </c>
      <c r="H621" s="3">
        <f t="shared" ref="H621:H625" si="106">+IF(E621="","",(E621/24)*C621)</f>
        <v>15.75</v>
      </c>
      <c r="I621" s="3">
        <f t="shared" ref="I621:I625" si="107">+IF(F621="","",(F621/24)*C621)</f>
        <v>1.75</v>
      </c>
      <c r="J621" s="3">
        <f t="shared" ref="J621:J625" si="108">+IF(G621="","",(G621/24)*C621)</f>
        <v>0</v>
      </c>
      <c r="K621" s="3"/>
      <c r="L621" s="60">
        <f t="shared" si="102"/>
        <v>155.34833333333324</v>
      </c>
      <c r="M621" s="40">
        <v>0</v>
      </c>
      <c r="N621" s="40">
        <v>0</v>
      </c>
      <c r="O621" s="40">
        <v>0</v>
      </c>
      <c r="P621" s="40">
        <v>0</v>
      </c>
      <c r="Q621" s="40">
        <v>0</v>
      </c>
      <c r="R621" s="40">
        <v>0</v>
      </c>
      <c r="S621" s="61">
        <f t="shared" si="103"/>
        <v>73.000000000000099</v>
      </c>
      <c r="T621" s="40">
        <v>4</v>
      </c>
      <c r="U621" s="40">
        <v>0</v>
      </c>
      <c r="V621" s="40">
        <v>5</v>
      </c>
      <c r="W621" s="40">
        <v>0</v>
      </c>
      <c r="X621" s="67">
        <f t="shared" si="104"/>
        <v>136</v>
      </c>
      <c r="Z621" s="71"/>
      <c r="AA621" s="71"/>
      <c r="AB621" s="67" t="str">
        <f t="shared" si="105"/>
        <v/>
      </c>
      <c r="AD621" s="121"/>
      <c r="AE621" s="121"/>
    </row>
    <row r="622" spans="1:31" x14ac:dyDescent="0.25">
      <c r="A622" s="56" t="s">
        <v>924</v>
      </c>
      <c r="B622" s="7">
        <v>0.83750000000000002</v>
      </c>
      <c r="C622" s="3">
        <f t="shared" si="98"/>
        <v>12.1</v>
      </c>
      <c r="D622" s="10" t="s">
        <v>796</v>
      </c>
      <c r="E622" s="40">
        <v>20</v>
      </c>
      <c r="F622" s="40">
        <v>2</v>
      </c>
      <c r="G622" s="40">
        <v>0</v>
      </c>
      <c r="H622" s="3">
        <f t="shared" si="106"/>
        <v>10.083333333333334</v>
      </c>
      <c r="I622" s="3">
        <f t="shared" si="107"/>
        <v>1.0083333333333333</v>
      </c>
      <c r="J622" s="3">
        <f t="shared" si="108"/>
        <v>0</v>
      </c>
      <c r="K622" s="3"/>
      <c r="L622" s="60">
        <f t="shared" si="102"/>
        <v>144.25666666666658</v>
      </c>
      <c r="M622" s="40">
        <v>0</v>
      </c>
      <c r="N622" s="40">
        <v>0</v>
      </c>
      <c r="O622" s="40">
        <v>0</v>
      </c>
      <c r="P622" s="40">
        <v>0</v>
      </c>
      <c r="Q622" s="40">
        <v>0</v>
      </c>
      <c r="R622" s="40">
        <v>0</v>
      </c>
      <c r="S622" s="61">
        <f t="shared" si="103"/>
        <v>73.000000000000099</v>
      </c>
      <c r="T622" s="40">
        <v>4</v>
      </c>
      <c r="U622" s="40">
        <v>0</v>
      </c>
      <c r="V622" s="40">
        <v>3</v>
      </c>
      <c r="W622" s="40">
        <v>0</v>
      </c>
      <c r="X622" s="67">
        <f t="shared" si="104"/>
        <v>137</v>
      </c>
      <c r="Z622" s="71"/>
      <c r="AA622" s="71"/>
      <c r="AB622" s="67" t="str">
        <f t="shared" si="105"/>
        <v/>
      </c>
      <c r="AD622" s="121">
        <v>10.6</v>
      </c>
      <c r="AE622" s="121" t="s">
        <v>1309</v>
      </c>
    </row>
    <row r="623" spans="1:31" x14ac:dyDescent="0.25">
      <c r="A623" s="56" t="s">
        <v>924</v>
      </c>
      <c r="B623" s="7">
        <v>0.8666666666666667</v>
      </c>
      <c r="C623" s="3">
        <f t="shared" si="98"/>
        <v>0.70000000000000018</v>
      </c>
      <c r="D623" s="10" t="s">
        <v>812</v>
      </c>
      <c r="E623" s="40">
        <v>5</v>
      </c>
      <c r="F623" s="40">
        <v>2.5</v>
      </c>
      <c r="G623" s="40">
        <v>2</v>
      </c>
      <c r="H623" s="3">
        <f t="shared" si="106"/>
        <v>0.14583333333333337</v>
      </c>
      <c r="I623" s="3">
        <f t="shared" si="107"/>
        <v>7.2916666666666685E-2</v>
      </c>
      <c r="J623" s="3">
        <f t="shared" si="108"/>
        <v>5.8333333333333348E-2</v>
      </c>
      <c r="K623" s="3"/>
      <c r="L623" s="60">
        <f t="shared" si="102"/>
        <v>143.97958333333324</v>
      </c>
      <c r="M623" s="40">
        <v>0</v>
      </c>
      <c r="N623" s="40">
        <v>0</v>
      </c>
      <c r="O623" s="40">
        <v>0</v>
      </c>
      <c r="P623" s="40">
        <v>0</v>
      </c>
      <c r="Q623" s="40">
        <v>0</v>
      </c>
      <c r="R623" s="40">
        <v>0</v>
      </c>
      <c r="S623" s="61">
        <f t="shared" si="103"/>
        <v>73.000000000000099</v>
      </c>
      <c r="T623" s="40">
        <v>0</v>
      </c>
      <c r="U623" s="40">
        <v>0</v>
      </c>
      <c r="V623" s="40">
        <v>0</v>
      </c>
      <c r="W623" s="40">
        <v>0</v>
      </c>
      <c r="X623" s="67">
        <f t="shared" si="104"/>
        <v>137</v>
      </c>
      <c r="Z623" s="71"/>
      <c r="AA623" s="71"/>
      <c r="AB623" s="67" t="str">
        <f t="shared" si="105"/>
        <v/>
      </c>
      <c r="AD623" s="121"/>
      <c r="AE623" s="121"/>
    </row>
    <row r="624" spans="1:31" x14ac:dyDescent="0.25">
      <c r="A624" s="56" t="s">
        <v>925</v>
      </c>
      <c r="B624" s="7">
        <v>4.1666666666666664E-2</v>
      </c>
      <c r="C624" s="3">
        <f t="shared" si="98"/>
        <v>4.1999999999999993</v>
      </c>
      <c r="D624" s="10" t="s">
        <v>789</v>
      </c>
      <c r="E624" s="40">
        <v>0</v>
      </c>
      <c r="F624" s="40">
        <v>2.5</v>
      </c>
      <c r="G624" s="40">
        <v>2</v>
      </c>
      <c r="H624" s="3">
        <f t="shared" si="106"/>
        <v>0</v>
      </c>
      <c r="I624" s="3">
        <f t="shared" si="107"/>
        <v>0.43749999999999994</v>
      </c>
      <c r="J624" s="3">
        <f t="shared" si="108"/>
        <v>0.34999999999999992</v>
      </c>
      <c r="K624" s="3"/>
      <c r="L624" s="60">
        <f t="shared" si="102"/>
        <v>143.19208333333324</v>
      </c>
      <c r="M624" s="40">
        <v>0</v>
      </c>
      <c r="N624" s="40">
        <v>0</v>
      </c>
      <c r="O624" s="40">
        <v>0</v>
      </c>
      <c r="P624" s="40">
        <v>0</v>
      </c>
      <c r="Q624" s="40">
        <v>0</v>
      </c>
      <c r="R624" s="40">
        <v>0</v>
      </c>
      <c r="S624" s="61">
        <f t="shared" si="103"/>
        <v>73.000000000000099</v>
      </c>
      <c r="T624" s="40">
        <v>0</v>
      </c>
      <c r="U624" s="40">
        <v>0</v>
      </c>
      <c r="V624" s="40">
        <v>0</v>
      </c>
      <c r="W624" s="40">
        <v>0</v>
      </c>
      <c r="X624" s="67">
        <f t="shared" si="104"/>
        <v>137</v>
      </c>
      <c r="Z624" s="71"/>
      <c r="AA624" s="71"/>
      <c r="AB624" s="67" t="str">
        <f t="shared" si="105"/>
        <v/>
      </c>
      <c r="AD624" s="121"/>
      <c r="AE624" s="121"/>
    </row>
    <row r="625" spans="1:31" x14ac:dyDescent="0.25">
      <c r="A625" s="56" t="s">
        <v>925</v>
      </c>
      <c r="B625" s="7">
        <v>5.4166666666666669E-2</v>
      </c>
      <c r="C625" s="3">
        <f t="shared" si="98"/>
        <v>0.3000000000000001</v>
      </c>
      <c r="D625" s="10" t="s">
        <v>833</v>
      </c>
      <c r="E625" s="40">
        <v>5</v>
      </c>
      <c r="F625" s="40">
        <v>2.5</v>
      </c>
      <c r="G625" s="40">
        <v>2</v>
      </c>
      <c r="H625" s="3">
        <f t="shared" si="106"/>
        <v>6.2500000000000028E-2</v>
      </c>
      <c r="I625" s="3">
        <f t="shared" si="107"/>
        <v>3.1250000000000014E-2</v>
      </c>
      <c r="J625" s="3">
        <f t="shared" si="108"/>
        <v>2.5000000000000008E-2</v>
      </c>
      <c r="K625" s="3"/>
      <c r="L625" s="60">
        <f t="shared" si="102"/>
        <v>143.07333333333324</v>
      </c>
      <c r="M625" s="40">
        <v>0</v>
      </c>
      <c r="N625" s="40">
        <v>0</v>
      </c>
      <c r="O625" s="40">
        <v>0</v>
      </c>
      <c r="P625" s="40">
        <v>0</v>
      </c>
      <c r="Q625" s="40">
        <v>0</v>
      </c>
      <c r="R625" s="40">
        <v>0</v>
      </c>
      <c r="S625" s="61">
        <f t="shared" si="103"/>
        <v>73.000000000000099</v>
      </c>
      <c r="T625" s="40">
        <v>0</v>
      </c>
      <c r="U625" s="40">
        <v>0</v>
      </c>
      <c r="V625" s="40">
        <v>0</v>
      </c>
      <c r="W625" s="40">
        <v>0</v>
      </c>
      <c r="X625" s="67">
        <f t="shared" si="104"/>
        <v>137</v>
      </c>
      <c r="Z625" s="71"/>
      <c r="AA625" s="71"/>
      <c r="AB625" s="67" t="str">
        <f t="shared" si="105"/>
        <v/>
      </c>
      <c r="AD625" s="121"/>
      <c r="AE625" s="121"/>
    </row>
    <row r="626" spans="1:31" x14ac:dyDescent="0.25">
      <c r="A626" s="56" t="s">
        <v>925</v>
      </c>
      <c r="B626" s="7">
        <v>8.3333333333333329E-2</v>
      </c>
      <c r="C626" s="3">
        <f t="shared" si="98"/>
        <v>0.69999999999999984</v>
      </c>
      <c r="D626" s="10" t="s">
        <v>926</v>
      </c>
      <c r="E626" s="40">
        <v>5</v>
      </c>
      <c r="F626" s="40">
        <v>2.5</v>
      </c>
      <c r="G626" s="40">
        <v>0</v>
      </c>
      <c r="H626" s="3">
        <f t="shared" ref="H626:H689" si="109">+IF(E626="","",(E626/24)*C626)</f>
        <v>0.14583333333333331</v>
      </c>
      <c r="I626" s="3">
        <f t="shared" ref="I626:I689" si="110">+IF(F626="","",(F626/24)*C626)</f>
        <v>7.2916666666666657E-2</v>
      </c>
      <c r="J626" s="3">
        <f t="shared" ref="J626:J689" si="111">+IF(G626="","",(G626/24)*C626)</f>
        <v>0</v>
      </c>
      <c r="K626" s="3"/>
      <c r="L626" s="60">
        <f t="shared" si="102"/>
        <v>142.85458333333324</v>
      </c>
      <c r="M626" s="40">
        <v>0</v>
      </c>
      <c r="N626" s="40">
        <v>0</v>
      </c>
      <c r="O626" s="40">
        <v>0</v>
      </c>
      <c r="P626" s="40">
        <v>0</v>
      </c>
      <c r="Q626" s="40">
        <v>0</v>
      </c>
      <c r="R626" s="40">
        <v>0</v>
      </c>
      <c r="S626" s="61">
        <f t="shared" si="103"/>
        <v>73.000000000000099</v>
      </c>
      <c r="T626" s="40">
        <v>0</v>
      </c>
      <c r="U626" s="40">
        <v>0</v>
      </c>
      <c r="V626" s="40">
        <v>2</v>
      </c>
      <c r="W626" s="40">
        <v>0</v>
      </c>
      <c r="X626" s="67">
        <f t="shared" si="104"/>
        <v>135</v>
      </c>
      <c r="Z626" s="71"/>
      <c r="AA626" s="71"/>
      <c r="AB626" s="67" t="str">
        <f t="shared" si="105"/>
        <v/>
      </c>
      <c r="AD626" s="121"/>
      <c r="AE626" s="121"/>
    </row>
    <row r="627" spans="1:31" x14ac:dyDescent="0.25">
      <c r="A627" s="56" t="s">
        <v>925</v>
      </c>
      <c r="B627" s="7">
        <v>0.17916666666666667</v>
      </c>
      <c r="C627" s="3">
        <f t="shared" si="98"/>
        <v>2.3000000000000003</v>
      </c>
      <c r="D627" s="10" t="s">
        <v>812</v>
      </c>
      <c r="E627" s="40">
        <v>5</v>
      </c>
      <c r="F627" s="40">
        <v>2.5</v>
      </c>
      <c r="G627" s="40">
        <v>2</v>
      </c>
      <c r="H627" s="3">
        <f t="shared" si="109"/>
        <v>0.47916666666666674</v>
      </c>
      <c r="I627" s="3">
        <f t="shared" si="110"/>
        <v>0.23958333333333337</v>
      </c>
      <c r="J627" s="3">
        <f t="shared" si="111"/>
        <v>0.19166666666666668</v>
      </c>
      <c r="K627" s="3"/>
      <c r="L627" s="60">
        <f t="shared" si="102"/>
        <v>141.94416666666658</v>
      </c>
      <c r="M627" s="40">
        <v>0</v>
      </c>
      <c r="N627" s="40">
        <v>0</v>
      </c>
      <c r="O627" s="40">
        <v>0</v>
      </c>
      <c r="P627" s="40">
        <v>0</v>
      </c>
      <c r="Q627" s="40">
        <v>0</v>
      </c>
      <c r="R627" s="40">
        <v>0</v>
      </c>
      <c r="S627" s="61">
        <f t="shared" si="103"/>
        <v>73.000000000000099</v>
      </c>
      <c r="T627" s="40">
        <v>0</v>
      </c>
      <c r="U627" s="40">
        <v>0</v>
      </c>
      <c r="V627" s="40">
        <v>0</v>
      </c>
      <c r="W627" s="40">
        <v>0</v>
      </c>
      <c r="X627" s="67">
        <f t="shared" si="104"/>
        <v>135</v>
      </c>
      <c r="Z627" s="71"/>
      <c r="AA627" s="71"/>
      <c r="AB627" s="67" t="str">
        <f t="shared" si="105"/>
        <v/>
      </c>
      <c r="AD627" s="121"/>
      <c r="AE627" s="121"/>
    </row>
    <row r="628" spans="1:31" x14ac:dyDescent="0.25">
      <c r="A628" s="56" t="s">
        <v>925</v>
      </c>
      <c r="B628" s="65">
        <v>0.33333333333333331</v>
      </c>
      <c r="C628" s="3">
        <f t="shared" si="98"/>
        <v>3.6999999999999993</v>
      </c>
      <c r="D628" s="10" t="s">
        <v>927</v>
      </c>
      <c r="E628" s="40">
        <v>0</v>
      </c>
      <c r="F628" s="40">
        <v>2.5</v>
      </c>
      <c r="G628" s="40">
        <v>2</v>
      </c>
      <c r="H628" s="3">
        <f t="shared" si="109"/>
        <v>0</v>
      </c>
      <c r="I628" s="3">
        <f t="shared" si="110"/>
        <v>0.38541666666666663</v>
      </c>
      <c r="J628" s="3">
        <f t="shared" si="111"/>
        <v>0.30833333333333324</v>
      </c>
      <c r="K628" s="3"/>
      <c r="L628" s="60">
        <f t="shared" si="102"/>
        <v>141.25041666666658</v>
      </c>
      <c r="M628" s="40">
        <v>0</v>
      </c>
      <c r="N628" s="40">
        <v>0</v>
      </c>
      <c r="O628" s="40">
        <v>0</v>
      </c>
      <c r="P628" s="40">
        <v>0</v>
      </c>
      <c r="Q628" s="40">
        <v>0</v>
      </c>
      <c r="R628" s="40">
        <v>0</v>
      </c>
      <c r="S628" s="61">
        <f t="shared" si="103"/>
        <v>73.000000000000099</v>
      </c>
      <c r="T628" s="40">
        <v>0</v>
      </c>
      <c r="U628" s="40">
        <v>0</v>
      </c>
      <c r="V628" s="40">
        <v>0</v>
      </c>
      <c r="W628" s="40">
        <v>0</v>
      </c>
      <c r="X628" s="67">
        <f t="shared" si="104"/>
        <v>135</v>
      </c>
      <c r="Z628" s="71"/>
      <c r="AA628" s="71"/>
      <c r="AB628" s="67" t="str">
        <f t="shared" si="105"/>
        <v/>
      </c>
      <c r="AD628" s="121"/>
      <c r="AE628" s="121"/>
    </row>
    <row r="629" spans="1:31" x14ac:dyDescent="0.25">
      <c r="A629" s="56" t="s">
        <v>925</v>
      </c>
      <c r="B629" s="7">
        <v>0.4375</v>
      </c>
      <c r="C629" s="3">
        <f t="shared" si="98"/>
        <v>2.5000000000000004</v>
      </c>
      <c r="D629" s="10" t="s">
        <v>826</v>
      </c>
      <c r="E629" s="40">
        <v>0</v>
      </c>
      <c r="F629" s="40">
        <v>2.2000000000000002</v>
      </c>
      <c r="G629" s="40">
        <v>2</v>
      </c>
      <c r="H629" s="3">
        <f t="shared" si="109"/>
        <v>0</v>
      </c>
      <c r="I629" s="3">
        <f t="shared" si="110"/>
        <v>0.22916666666666671</v>
      </c>
      <c r="J629" s="3">
        <f t="shared" si="111"/>
        <v>0.20833333333333337</v>
      </c>
      <c r="K629" s="3"/>
      <c r="L629" s="60">
        <f t="shared" si="102"/>
        <v>140.81291666666658</v>
      </c>
      <c r="M629" s="40">
        <v>0</v>
      </c>
      <c r="N629" s="40">
        <v>0</v>
      </c>
      <c r="O629" s="40">
        <v>0</v>
      </c>
      <c r="P629" s="40">
        <v>0</v>
      </c>
      <c r="Q629" s="40">
        <v>0</v>
      </c>
      <c r="R629" s="40">
        <v>0</v>
      </c>
      <c r="S629" s="61">
        <f t="shared" si="103"/>
        <v>73.000000000000099</v>
      </c>
      <c r="T629" s="40">
        <v>0</v>
      </c>
      <c r="U629" s="40">
        <v>0</v>
      </c>
      <c r="V629" s="40">
        <v>0</v>
      </c>
      <c r="W629" s="40">
        <v>0</v>
      </c>
      <c r="X629" s="67">
        <f t="shared" si="104"/>
        <v>135</v>
      </c>
      <c r="Z629" s="71"/>
      <c r="AA629" s="71"/>
      <c r="AB629" s="67" t="str">
        <f t="shared" si="105"/>
        <v/>
      </c>
      <c r="AD629" s="121"/>
      <c r="AE629" s="121"/>
    </row>
    <row r="630" spans="1:31" x14ac:dyDescent="0.25">
      <c r="A630" s="56" t="s">
        <v>928</v>
      </c>
      <c r="B630" s="65">
        <v>0.33333333333333331</v>
      </c>
      <c r="C630" s="3">
        <f t="shared" si="98"/>
        <v>21.5</v>
      </c>
      <c r="D630" s="10" t="s">
        <v>828</v>
      </c>
      <c r="E630" s="40">
        <v>0</v>
      </c>
      <c r="F630" s="40">
        <v>2.5</v>
      </c>
      <c r="G630" s="40">
        <v>2</v>
      </c>
      <c r="H630" s="3">
        <f t="shared" si="109"/>
        <v>0</v>
      </c>
      <c r="I630" s="3">
        <f t="shared" si="110"/>
        <v>2.2395833333333335</v>
      </c>
      <c r="J630" s="3">
        <f t="shared" si="111"/>
        <v>1.7916666666666665</v>
      </c>
      <c r="K630" s="3"/>
      <c r="L630" s="60">
        <f t="shared" si="102"/>
        <v>136.78166666666658</v>
      </c>
      <c r="M630" s="40">
        <v>0</v>
      </c>
      <c r="N630" s="40">
        <v>0</v>
      </c>
      <c r="O630" s="40">
        <v>0</v>
      </c>
      <c r="P630" s="40">
        <v>0</v>
      </c>
      <c r="Q630" s="40">
        <v>0</v>
      </c>
      <c r="R630" s="40">
        <v>0</v>
      </c>
      <c r="S630" s="61">
        <f t="shared" si="103"/>
        <v>73.000000000000099</v>
      </c>
      <c r="T630" s="40">
        <v>0</v>
      </c>
      <c r="U630" s="40">
        <v>0</v>
      </c>
      <c r="V630" s="40">
        <v>5</v>
      </c>
      <c r="W630" s="40">
        <v>0</v>
      </c>
      <c r="X630" s="67">
        <f t="shared" si="104"/>
        <v>130</v>
      </c>
      <c r="Z630" s="71"/>
      <c r="AA630" s="71"/>
      <c r="AB630" s="67" t="str">
        <f t="shared" si="105"/>
        <v/>
      </c>
      <c r="AD630" s="121"/>
      <c r="AE630" s="121"/>
    </row>
    <row r="631" spans="1:31" x14ac:dyDescent="0.25">
      <c r="A631" s="57" t="s">
        <v>929</v>
      </c>
      <c r="B631" s="65">
        <v>0.33333333333333331</v>
      </c>
      <c r="C631" s="3">
        <v>24</v>
      </c>
      <c r="D631" s="10" t="s">
        <v>828</v>
      </c>
      <c r="E631" s="40">
        <v>0</v>
      </c>
      <c r="F631" s="40">
        <v>2.5</v>
      </c>
      <c r="G631" s="40">
        <v>2</v>
      </c>
      <c r="H631" s="3">
        <f t="shared" si="109"/>
        <v>0</v>
      </c>
      <c r="I631" s="3">
        <f t="shared" si="110"/>
        <v>2.5</v>
      </c>
      <c r="J631" s="3">
        <f t="shared" si="111"/>
        <v>2</v>
      </c>
      <c r="K631" s="3"/>
      <c r="L631" s="60">
        <f t="shared" ref="L631:L632" si="112">+IF(C631="","",(L630+K631)-(H631+I631+J631))</f>
        <v>132.28166666666658</v>
      </c>
      <c r="M631" s="40">
        <v>0</v>
      </c>
      <c r="N631" s="40">
        <v>0</v>
      </c>
      <c r="O631" s="40">
        <v>0</v>
      </c>
      <c r="P631" s="40">
        <v>0</v>
      </c>
      <c r="Q631" s="40">
        <v>0</v>
      </c>
      <c r="R631" s="40">
        <v>0</v>
      </c>
      <c r="S631" s="61">
        <f t="shared" ref="S631:S632" si="113">IF(C631="","",(S630+R631)-(M631+N631+O631+P631+Q631))</f>
        <v>73.000000000000099</v>
      </c>
      <c r="T631" s="40">
        <v>0</v>
      </c>
      <c r="U631" s="40">
        <v>0</v>
      </c>
      <c r="V631" s="40">
        <v>5</v>
      </c>
      <c r="W631" s="40">
        <v>0</v>
      </c>
      <c r="X631" s="67">
        <f t="shared" ref="X631:X632" si="114">IF(V631="","",((X630+T631+U631)-(V631+W631)))</f>
        <v>125</v>
      </c>
      <c r="Z631" s="71"/>
      <c r="AA631" s="71"/>
      <c r="AB631" s="67" t="str">
        <f t="shared" ref="AB631:AB632" si="115">IF(Z631="","",Z631+AA631)</f>
        <v/>
      </c>
      <c r="AD631" s="121"/>
      <c r="AE631" s="121"/>
    </row>
    <row r="632" spans="1:31" x14ac:dyDescent="0.25">
      <c r="A632" s="57" t="s">
        <v>930</v>
      </c>
      <c r="B632" s="7">
        <v>0.19999999999999998</v>
      </c>
      <c r="C632" s="3">
        <f t="shared" ref="C632" si="116">+IF((B632-B631)&lt;0,((B632-B631)*24)+24,(B632-B631)*24)</f>
        <v>20.8</v>
      </c>
      <c r="D632" s="10" t="s">
        <v>861</v>
      </c>
      <c r="E632" s="40">
        <v>0</v>
      </c>
      <c r="F632" s="40">
        <v>2.5</v>
      </c>
      <c r="G632" s="40">
        <v>2</v>
      </c>
      <c r="H632" s="3">
        <f t="shared" si="109"/>
        <v>0</v>
      </c>
      <c r="I632" s="3">
        <f t="shared" si="110"/>
        <v>2.166666666666667</v>
      </c>
      <c r="J632" s="3">
        <f t="shared" si="111"/>
        <v>1.7333333333333334</v>
      </c>
      <c r="K632" s="3"/>
      <c r="L632" s="60">
        <f t="shared" si="112"/>
        <v>128.38166666666658</v>
      </c>
      <c r="M632" s="40">
        <v>0</v>
      </c>
      <c r="N632" s="40">
        <v>0</v>
      </c>
      <c r="O632" s="40">
        <v>0</v>
      </c>
      <c r="P632" s="40">
        <v>0</v>
      </c>
      <c r="Q632" s="40">
        <v>1.5</v>
      </c>
      <c r="R632" s="40">
        <v>0</v>
      </c>
      <c r="S632" s="61">
        <f t="shared" si="113"/>
        <v>71.500000000000099</v>
      </c>
      <c r="T632" s="40">
        <v>0</v>
      </c>
      <c r="U632" s="40">
        <v>0</v>
      </c>
      <c r="V632" s="40">
        <v>4</v>
      </c>
      <c r="W632" s="40">
        <v>0</v>
      </c>
      <c r="X632" s="67">
        <f t="shared" si="114"/>
        <v>121</v>
      </c>
      <c r="Z632" s="71"/>
      <c r="AA632" s="71"/>
      <c r="AB632" s="67" t="str">
        <f t="shared" si="115"/>
        <v/>
      </c>
      <c r="AD632" s="121"/>
      <c r="AE632" s="121"/>
    </row>
    <row r="633" spans="1:31" x14ac:dyDescent="0.25">
      <c r="A633" s="57" t="s">
        <v>930</v>
      </c>
      <c r="B633" s="65">
        <v>0.33333333333333331</v>
      </c>
      <c r="C633" s="3">
        <f t="shared" ref="C633:C667" si="117">+IF((B633-B632)&lt;0,((B633-B632)*24)+24,(B633-B632)*24)</f>
        <v>3.2</v>
      </c>
      <c r="D633" s="10" t="s">
        <v>802</v>
      </c>
      <c r="E633" s="40">
        <v>0</v>
      </c>
      <c r="F633" s="40">
        <v>2.5</v>
      </c>
      <c r="G633" s="40">
        <v>2</v>
      </c>
      <c r="H633" s="3">
        <f t="shared" si="109"/>
        <v>0</v>
      </c>
      <c r="I633" s="3">
        <f t="shared" si="110"/>
        <v>0.33333333333333337</v>
      </c>
      <c r="J633" s="3">
        <f t="shared" si="111"/>
        <v>0.26666666666666666</v>
      </c>
      <c r="K633" s="3"/>
      <c r="L633" s="60">
        <f t="shared" ref="L633:L667" si="118">+IF(C633="","",(L632+K633)-(H633+I633+J633))</f>
        <v>127.78166666666658</v>
      </c>
      <c r="M633" s="40">
        <v>0</v>
      </c>
      <c r="N633" s="40">
        <v>0</v>
      </c>
      <c r="O633" s="40">
        <v>0</v>
      </c>
      <c r="P633" s="40">
        <v>0</v>
      </c>
      <c r="Q633" s="40">
        <v>0</v>
      </c>
      <c r="R633" s="40">
        <v>0</v>
      </c>
      <c r="S633" s="61">
        <f t="shared" ref="S633:S696" si="119">IF(C633="","",(S632+R633)-(M633+N633+O633+P633+Q633))</f>
        <v>71.500000000000099</v>
      </c>
      <c r="T633" s="40">
        <v>0</v>
      </c>
      <c r="U633" s="40">
        <v>0</v>
      </c>
      <c r="V633" s="40">
        <v>1</v>
      </c>
      <c r="W633" s="40">
        <v>0</v>
      </c>
      <c r="X633" s="67">
        <f t="shared" ref="X633:X696" si="120">IF(V633="","",((X632+T633+U633)-(V633+W633)))</f>
        <v>120</v>
      </c>
      <c r="Z633" s="71"/>
      <c r="AA633" s="71"/>
      <c r="AB633" s="67" t="str">
        <f t="shared" ref="AB633:AB696" si="121">IF(Z633="","",Z633+AA633)</f>
        <v/>
      </c>
      <c r="AD633" s="121"/>
      <c r="AE633" s="121"/>
    </row>
    <row r="634" spans="1:31" x14ac:dyDescent="0.25">
      <c r="A634" s="57" t="s">
        <v>930</v>
      </c>
      <c r="B634" s="7">
        <v>0.41250000000000003</v>
      </c>
      <c r="C634" s="3">
        <f t="shared" si="117"/>
        <v>1.9000000000000012</v>
      </c>
      <c r="D634" s="10" t="s">
        <v>660</v>
      </c>
      <c r="E634" s="40">
        <v>0</v>
      </c>
      <c r="F634" s="40">
        <v>2.5</v>
      </c>
      <c r="G634" s="40">
        <v>2</v>
      </c>
      <c r="H634" s="3">
        <f t="shared" si="109"/>
        <v>0</v>
      </c>
      <c r="I634" s="3">
        <f t="shared" si="110"/>
        <v>0.1979166666666668</v>
      </c>
      <c r="J634" s="3">
        <f t="shared" si="111"/>
        <v>0.15833333333333344</v>
      </c>
      <c r="K634" s="3"/>
      <c r="L634" s="60">
        <f t="shared" si="118"/>
        <v>127.42541666666658</v>
      </c>
      <c r="M634" s="40">
        <v>0</v>
      </c>
      <c r="N634" s="40">
        <v>0</v>
      </c>
      <c r="O634" s="40">
        <v>0</v>
      </c>
      <c r="P634" s="40">
        <v>0</v>
      </c>
      <c r="Q634" s="40">
        <v>0</v>
      </c>
      <c r="R634" s="40">
        <v>0</v>
      </c>
      <c r="S634" s="61">
        <f t="shared" si="119"/>
        <v>71.500000000000099</v>
      </c>
      <c r="T634" s="40">
        <v>0</v>
      </c>
      <c r="U634" s="40">
        <v>0</v>
      </c>
      <c r="V634" s="40">
        <v>0</v>
      </c>
      <c r="W634" s="40">
        <v>0</v>
      </c>
      <c r="X634" s="67">
        <f t="shared" si="120"/>
        <v>120</v>
      </c>
      <c r="Z634" s="71"/>
      <c r="AA634" s="71"/>
      <c r="AB634" s="67" t="str">
        <f t="shared" si="121"/>
        <v/>
      </c>
      <c r="AD634" s="121"/>
      <c r="AE634" s="121"/>
    </row>
    <row r="635" spans="1:31" x14ac:dyDescent="0.25">
      <c r="A635" s="57" t="s">
        <v>930</v>
      </c>
      <c r="B635" s="7">
        <v>0.43333333333333335</v>
      </c>
      <c r="C635" s="3">
        <f t="shared" si="117"/>
        <v>0.49999999999999956</v>
      </c>
      <c r="D635" s="10" t="s">
        <v>821</v>
      </c>
      <c r="E635" s="40">
        <v>5</v>
      </c>
      <c r="F635" s="40">
        <v>2.5</v>
      </c>
      <c r="G635" s="40">
        <v>2</v>
      </c>
      <c r="H635" s="3">
        <f t="shared" si="109"/>
        <v>0.10416666666666657</v>
      </c>
      <c r="I635" s="3">
        <f t="shared" si="110"/>
        <v>5.2083333333333287E-2</v>
      </c>
      <c r="J635" s="3">
        <f t="shared" si="111"/>
        <v>4.166666666666663E-2</v>
      </c>
      <c r="K635" s="3"/>
      <c r="L635" s="60">
        <f t="shared" si="118"/>
        <v>127.22749999999991</v>
      </c>
      <c r="M635" s="40">
        <v>0</v>
      </c>
      <c r="N635" s="40">
        <v>0</v>
      </c>
      <c r="O635" s="40">
        <v>0</v>
      </c>
      <c r="P635" s="40">
        <v>0</v>
      </c>
      <c r="Q635" s="40">
        <v>0</v>
      </c>
      <c r="R635" s="40">
        <v>0</v>
      </c>
      <c r="S635" s="61">
        <f t="shared" si="119"/>
        <v>71.500000000000099</v>
      </c>
      <c r="T635" s="40">
        <v>0</v>
      </c>
      <c r="U635" s="40">
        <v>0</v>
      </c>
      <c r="V635" s="40">
        <v>0</v>
      </c>
      <c r="W635" s="40">
        <v>0</v>
      </c>
      <c r="X635" s="67">
        <f t="shared" si="120"/>
        <v>120</v>
      </c>
      <c r="Z635" s="71"/>
      <c r="AA635" s="71"/>
      <c r="AB635" s="67" t="str">
        <f t="shared" si="121"/>
        <v/>
      </c>
      <c r="AD635" s="121"/>
      <c r="AE635" s="121"/>
    </row>
    <row r="636" spans="1:31" x14ac:dyDescent="0.25">
      <c r="A636" s="57" t="s">
        <v>930</v>
      </c>
      <c r="B636" s="7">
        <v>0.46249999999999997</v>
      </c>
      <c r="C636" s="3">
        <f t="shared" si="117"/>
        <v>0.69999999999999885</v>
      </c>
      <c r="D636" s="10" t="s">
        <v>796</v>
      </c>
      <c r="E636" s="40">
        <v>15</v>
      </c>
      <c r="F636" s="40">
        <v>2.5</v>
      </c>
      <c r="G636" s="40">
        <v>0</v>
      </c>
      <c r="H636" s="3">
        <f t="shared" si="109"/>
        <v>0.43749999999999928</v>
      </c>
      <c r="I636" s="3">
        <f t="shared" si="110"/>
        <v>7.2916666666666546E-2</v>
      </c>
      <c r="J636" s="3">
        <f t="shared" si="111"/>
        <v>0</v>
      </c>
      <c r="K636" s="3"/>
      <c r="L636" s="60">
        <f t="shared" si="118"/>
        <v>126.71708333333324</v>
      </c>
      <c r="M636" s="40">
        <v>0</v>
      </c>
      <c r="N636" s="40">
        <v>0</v>
      </c>
      <c r="O636" s="40">
        <v>0</v>
      </c>
      <c r="P636" s="40">
        <v>0</v>
      </c>
      <c r="Q636" s="40">
        <v>0</v>
      </c>
      <c r="R636" s="40">
        <v>0</v>
      </c>
      <c r="S636" s="61">
        <f t="shared" si="119"/>
        <v>71.500000000000099</v>
      </c>
      <c r="T636" s="40">
        <v>0</v>
      </c>
      <c r="U636" s="40">
        <v>0</v>
      </c>
      <c r="V636" s="40">
        <v>0</v>
      </c>
      <c r="W636" s="40">
        <v>0</v>
      </c>
      <c r="X636" s="67">
        <f t="shared" si="120"/>
        <v>120</v>
      </c>
      <c r="Z636" s="71"/>
      <c r="AA636" s="71"/>
      <c r="AB636" s="67" t="str">
        <f t="shared" si="121"/>
        <v/>
      </c>
      <c r="AD636" s="121"/>
      <c r="AE636" s="121"/>
    </row>
    <row r="637" spans="1:31" x14ac:dyDescent="0.25">
      <c r="A637" s="57" t="s">
        <v>930</v>
      </c>
      <c r="B637" s="7">
        <v>0.47916666666666669</v>
      </c>
      <c r="C637" s="3">
        <f t="shared" si="117"/>
        <v>0.40000000000000124</v>
      </c>
      <c r="D637" s="10" t="s">
        <v>812</v>
      </c>
      <c r="E637" s="40">
        <v>5</v>
      </c>
      <c r="F637" s="40">
        <v>2.5</v>
      </c>
      <c r="G637" s="40">
        <v>2</v>
      </c>
      <c r="H637" s="3">
        <f t="shared" si="109"/>
        <v>8.3333333333333592E-2</v>
      </c>
      <c r="I637" s="3">
        <f t="shared" si="110"/>
        <v>4.1666666666666796E-2</v>
      </c>
      <c r="J637" s="3">
        <f t="shared" si="111"/>
        <v>3.3333333333333437E-2</v>
      </c>
      <c r="K637" s="3"/>
      <c r="L637" s="60">
        <f t="shared" si="118"/>
        <v>126.5587499999999</v>
      </c>
      <c r="M637" s="40">
        <v>0</v>
      </c>
      <c r="N637" s="40">
        <v>0</v>
      </c>
      <c r="O637" s="40">
        <v>0</v>
      </c>
      <c r="P637" s="40">
        <v>0</v>
      </c>
      <c r="Q637" s="40">
        <v>0</v>
      </c>
      <c r="R637" s="40">
        <v>0</v>
      </c>
      <c r="S637" s="61">
        <f t="shared" si="119"/>
        <v>71.500000000000099</v>
      </c>
      <c r="T637" s="40">
        <v>0</v>
      </c>
      <c r="U637" s="40">
        <v>0</v>
      </c>
      <c r="V637" s="40">
        <v>3</v>
      </c>
      <c r="W637" s="40">
        <v>0</v>
      </c>
      <c r="X637" s="67">
        <f t="shared" si="120"/>
        <v>117</v>
      </c>
      <c r="Z637" s="71"/>
      <c r="AA637" s="71"/>
      <c r="AB637" s="67" t="str">
        <f t="shared" si="121"/>
        <v/>
      </c>
      <c r="AD637" s="121"/>
      <c r="AE637" s="121"/>
    </row>
    <row r="638" spans="1:31" x14ac:dyDescent="0.25">
      <c r="A638" s="57" t="s">
        <v>930</v>
      </c>
      <c r="B638" s="7">
        <v>0.59583333333333333</v>
      </c>
      <c r="C638" s="3">
        <f t="shared" si="117"/>
        <v>2.7999999999999994</v>
      </c>
      <c r="D638" s="10" t="s">
        <v>931</v>
      </c>
      <c r="E638" s="40">
        <v>0</v>
      </c>
      <c r="F638" s="40">
        <v>2.5</v>
      </c>
      <c r="G638" s="40">
        <v>0</v>
      </c>
      <c r="H638" s="3">
        <f t="shared" si="109"/>
        <v>0</v>
      </c>
      <c r="I638" s="3">
        <f t="shared" si="110"/>
        <v>0.29166666666666663</v>
      </c>
      <c r="J638" s="3">
        <f t="shared" si="111"/>
        <v>0</v>
      </c>
      <c r="K638" s="3"/>
      <c r="L638" s="60">
        <f t="shared" si="118"/>
        <v>126.26708333333323</v>
      </c>
      <c r="M638" s="40">
        <v>0</v>
      </c>
      <c r="N638" s="40">
        <v>0</v>
      </c>
      <c r="O638" s="40">
        <v>0</v>
      </c>
      <c r="P638" s="40">
        <v>0</v>
      </c>
      <c r="Q638" s="40">
        <v>0</v>
      </c>
      <c r="R638" s="40">
        <v>0</v>
      </c>
      <c r="S638" s="61">
        <f t="shared" si="119"/>
        <v>71.500000000000099</v>
      </c>
      <c r="T638" s="40">
        <v>0</v>
      </c>
      <c r="U638" s="40">
        <v>0</v>
      </c>
      <c r="V638" s="40">
        <v>0</v>
      </c>
      <c r="W638" s="40">
        <v>0</v>
      </c>
      <c r="X638" s="67">
        <f t="shared" si="120"/>
        <v>117</v>
      </c>
      <c r="Z638" s="71"/>
      <c r="AA638" s="71"/>
      <c r="AB638" s="67" t="str">
        <f t="shared" si="121"/>
        <v/>
      </c>
      <c r="AD638" s="121"/>
      <c r="AE638" s="121"/>
    </row>
    <row r="639" spans="1:31" x14ac:dyDescent="0.25">
      <c r="A639" s="57" t="s">
        <v>930</v>
      </c>
      <c r="B639" s="7">
        <v>0.64583333333333337</v>
      </c>
      <c r="C639" s="3">
        <f t="shared" si="117"/>
        <v>1.2000000000000011</v>
      </c>
      <c r="D639" s="10" t="s">
        <v>932</v>
      </c>
      <c r="E639" s="40">
        <v>0</v>
      </c>
      <c r="F639" s="40">
        <v>2.5</v>
      </c>
      <c r="G639" s="40">
        <v>0</v>
      </c>
      <c r="H639" s="3">
        <f t="shared" si="109"/>
        <v>0</v>
      </c>
      <c r="I639" s="3">
        <f t="shared" si="110"/>
        <v>0.12500000000000011</v>
      </c>
      <c r="J639" s="3">
        <f t="shared" si="111"/>
        <v>0</v>
      </c>
      <c r="K639" s="3">
        <v>500</v>
      </c>
      <c r="L639" s="60">
        <f t="shared" si="118"/>
        <v>626.14208333333318</v>
      </c>
      <c r="M639" s="40">
        <v>0</v>
      </c>
      <c r="N639" s="40">
        <v>0</v>
      </c>
      <c r="O639" s="40">
        <v>0</v>
      </c>
      <c r="P639" s="40">
        <v>0</v>
      </c>
      <c r="Q639" s="40">
        <v>0</v>
      </c>
      <c r="R639" s="40">
        <v>0</v>
      </c>
      <c r="S639" s="61">
        <f t="shared" si="119"/>
        <v>71.500000000000099</v>
      </c>
      <c r="T639" s="40">
        <v>0</v>
      </c>
      <c r="U639" s="40">
        <v>200</v>
      </c>
      <c r="V639" s="40">
        <v>2</v>
      </c>
      <c r="W639" s="40">
        <v>0</v>
      </c>
      <c r="X639" s="67">
        <f t="shared" si="120"/>
        <v>315</v>
      </c>
      <c r="Z639" s="71"/>
      <c r="AA639" s="71"/>
      <c r="AB639" s="67" t="str">
        <f t="shared" si="121"/>
        <v/>
      </c>
      <c r="AD639" s="121"/>
      <c r="AE639" s="121"/>
    </row>
    <row r="640" spans="1:31" x14ac:dyDescent="0.25">
      <c r="A640" s="57" t="s">
        <v>930</v>
      </c>
      <c r="B640" s="7">
        <v>0.98333333333333339</v>
      </c>
      <c r="C640" s="3">
        <f t="shared" si="117"/>
        <v>8.1000000000000014</v>
      </c>
      <c r="D640" s="10" t="s">
        <v>660</v>
      </c>
      <c r="E640" s="40">
        <v>0</v>
      </c>
      <c r="F640" s="40">
        <v>2.5</v>
      </c>
      <c r="G640" s="40">
        <v>0</v>
      </c>
      <c r="H640" s="3">
        <f t="shared" si="109"/>
        <v>0</v>
      </c>
      <c r="I640" s="3">
        <f t="shared" si="110"/>
        <v>0.84375000000000022</v>
      </c>
      <c r="J640" s="3">
        <f t="shared" si="111"/>
        <v>0</v>
      </c>
      <c r="K640" s="3"/>
      <c r="L640" s="60">
        <f t="shared" si="118"/>
        <v>625.29833333333318</v>
      </c>
      <c r="M640" s="40">
        <v>0</v>
      </c>
      <c r="N640" s="40">
        <v>0</v>
      </c>
      <c r="O640" s="40">
        <v>0</v>
      </c>
      <c r="P640" s="40">
        <v>0</v>
      </c>
      <c r="Q640" s="40">
        <v>0</v>
      </c>
      <c r="R640" s="40">
        <v>0</v>
      </c>
      <c r="S640" s="61">
        <f t="shared" si="119"/>
        <v>71.500000000000099</v>
      </c>
      <c r="T640" s="40">
        <v>0</v>
      </c>
      <c r="U640" s="40">
        <v>0</v>
      </c>
      <c r="V640" s="40">
        <v>0</v>
      </c>
      <c r="W640" s="40">
        <v>0</v>
      </c>
      <c r="X640" s="67">
        <f t="shared" si="120"/>
        <v>315</v>
      </c>
      <c r="Z640" s="71"/>
      <c r="AA640" s="71"/>
      <c r="AB640" s="67" t="str">
        <f t="shared" si="121"/>
        <v/>
      </c>
      <c r="AD640" s="121"/>
      <c r="AE640" s="121"/>
    </row>
    <row r="641" spans="1:31" x14ac:dyDescent="0.25">
      <c r="A641" s="57" t="s">
        <v>933</v>
      </c>
      <c r="B641" s="7">
        <v>4.1666666666666666E-3</v>
      </c>
      <c r="C641" s="3">
        <f t="shared" si="117"/>
        <v>0.5</v>
      </c>
      <c r="D641" s="10" t="s">
        <v>821</v>
      </c>
      <c r="E641" s="40">
        <v>5</v>
      </c>
      <c r="F641" s="40">
        <v>2.5</v>
      </c>
      <c r="G641" s="40">
        <v>6</v>
      </c>
      <c r="H641" s="3">
        <f t="shared" si="109"/>
        <v>0.10416666666666667</v>
      </c>
      <c r="I641" s="3">
        <f t="shared" si="110"/>
        <v>5.2083333333333336E-2</v>
      </c>
      <c r="J641" s="3">
        <f t="shared" si="111"/>
        <v>0.125</v>
      </c>
      <c r="K641" s="3"/>
      <c r="L641" s="60">
        <f t="shared" si="118"/>
        <v>625.01708333333318</v>
      </c>
      <c r="M641" s="40">
        <v>0</v>
      </c>
      <c r="N641" s="40">
        <v>0</v>
      </c>
      <c r="O641" s="40">
        <v>0</v>
      </c>
      <c r="P641" s="40">
        <v>0</v>
      </c>
      <c r="Q641" s="40">
        <v>0</v>
      </c>
      <c r="R641" s="40">
        <v>0</v>
      </c>
      <c r="S641" s="61">
        <f t="shared" si="119"/>
        <v>71.500000000000099</v>
      </c>
      <c r="T641" s="40">
        <v>0</v>
      </c>
      <c r="U641" s="40">
        <v>0</v>
      </c>
      <c r="V641" s="40">
        <v>0</v>
      </c>
      <c r="W641" s="40">
        <v>0</v>
      </c>
      <c r="X641" s="67">
        <f t="shared" si="120"/>
        <v>315</v>
      </c>
      <c r="Z641" s="71"/>
      <c r="AA641" s="71"/>
      <c r="AB641" s="67" t="str">
        <f t="shared" si="121"/>
        <v/>
      </c>
      <c r="AD641" s="121"/>
      <c r="AE641" s="121"/>
    </row>
    <row r="642" spans="1:31" x14ac:dyDescent="0.25">
      <c r="A642" s="57" t="s">
        <v>933</v>
      </c>
      <c r="B642" s="7">
        <v>0.3125</v>
      </c>
      <c r="C642" s="3">
        <f t="shared" si="117"/>
        <v>7.4</v>
      </c>
      <c r="D642" s="10" t="s">
        <v>796</v>
      </c>
      <c r="E642" s="40">
        <v>22</v>
      </c>
      <c r="F642" s="40">
        <v>2.5</v>
      </c>
      <c r="G642" s="40">
        <v>6</v>
      </c>
      <c r="H642" s="3">
        <f t="shared" si="109"/>
        <v>6.7833333333333332</v>
      </c>
      <c r="I642" s="3">
        <f t="shared" si="110"/>
        <v>0.77083333333333337</v>
      </c>
      <c r="J642" s="3">
        <f t="shared" si="111"/>
        <v>1.85</v>
      </c>
      <c r="K642" s="3"/>
      <c r="L642" s="60">
        <f t="shared" si="118"/>
        <v>615.61291666666648</v>
      </c>
      <c r="M642" s="40">
        <v>0</v>
      </c>
      <c r="N642" s="40">
        <v>0</v>
      </c>
      <c r="O642" s="40">
        <v>0</v>
      </c>
      <c r="P642" s="40">
        <v>0</v>
      </c>
      <c r="Q642" s="40">
        <v>0</v>
      </c>
      <c r="R642" s="40">
        <v>0</v>
      </c>
      <c r="S642" s="61">
        <f t="shared" si="119"/>
        <v>71.500000000000099</v>
      </c>
      <c r="T642" s="40">
        <v>0</v>
      </c>
      <c r="U642" s="40">
        <v>0</v>
      </c>
      <c r="V642" s="40">
        <v>0</v>
      </c>
      <c r="W642" s="40">
        <v>0</v>
      </c>
      <c r="X642" s="67">
        <f t="shared" si="120"/>
        <v>315</v>
      </c>
      <c r="Z642" s="71"/>
      <c r="AA642" s="71"/>
      <c r="AB642" s="67" t="str">
        <f t="shared" si="121"/>
        <v/>
      </c>
      <c r="AD642" s="121">
        <v>12.4</v>
      </c>
      <c r="AE642" s="121" t="s">
        <v>1296</v>
      </c>
    </row>
    <row r="643" spans="1:31" x14ac:dyDescent="0.25">
      <c r="A643" s="57" t="s">
        <v>933</v>
      </c>
      <c r="B643" s="65">
        <v>0.33333333333333331</v>
      </c>
      <c r="C643" s="3">
        <f t="shared" si="117"/>
        <v>0.49999999999999956</v>
      </c>
      <c r="D643" s="10" t="s">
        <v>934</v>
      </c>
      <c r="E643" s="40">
        <v>5</v>
      </c>
      <c r="F643" s="40">
        <v>2.5</v>
      </c>
      <c r="G643" s="40">
        <v>6</v>
      </c>
      <c r="H643" s="3">
        <f t="shared" si="109"/>
        <v>0.10416666666666657</v>
      </c>
      <c r="I643" s="3">
        <f t="shared" si="110"/>
        <v>5.2083333333333287E-2</v>
      </c>
      <c r="J643" s="3">
        <f t="shared" si="111"/>
        <v>0.12499999999999989</v>
      </c>
      <c r="K643" s="3"/>
      <c r="L643" s="60">
        <f t="shared" si="118"/>
        <v>615.33166666666648</v>
      </c>
      <c r="M643" s="40">
        <v>0</v>
      </c>
      <c r="N643" s="40">
        <v>0</v>
      </c>
      <c r="O643" s="40">
        <v>0</v>
      </c>
      <c r="P643" s="40">
        <v>0</v>
      </c>
      <c r="Q643" s="40">
        <v>0</v>
      </c>
      <c r="R643" s="40">
        <v>0</v>
      </c>
      <c r="S643" s="61">
        <f t="shared" si="119"/>
        <v>71.500000000000099</v>
      </c>
      <c r="T643" s="40">
        <v>0</v>
      </c>
      <c r="U643" s="40">
        <v>0</v>
      </c>
      <c r="V643" s="40">
        <v>0</v>
      </c>
      <c r="W643" s="40">
        <v>0</v>
      </c>
      <c r="X643" s="67">
        <f t="shared" si="120"/>
        <v>315</v>
      </c>
      <c r="Z643" s="71"/>
      <c r="AA643" s="71"/>
      <c r="AB643" s="67" t="str">
        <f t="shared" si="121"/>
        <v/>
      </c>
      <c r="AD643" s="121"/>
      <c r="AE643" s="121"/>
    </row>
    <row r="644" spans="1:31" x14ac:dyDescent="0.25">
      <c r="A644" s="57" t="s">
        <v>933</v>
      </c>
      <c r="B644" s="7">
        <v>0.33749999999999997</v>
      </c>
      <c r="C644" s="3">
        <f t="shared" si="117"/>
        <v>9.9999999999999645E-2</v>
      </c>
      <c r="D644" s="10" t="s">
        <v>812</v>
      </c>
      <c r="E644" s="40">
        <v>5</v>
      </c>
      <c r="F644" s="40">
        <v>2.5</v>
      </c>
      <c r="G644" s="40">
        <v>6</v>
      </c>
      <c r="H644" s="3">
        <f t="shared" si="109"/>
        <v>2.0833333333333259E-2</v>
      </c>
      <c r="I644" s="3">
        <f t="shared" si="110"/>
        <v>1.041666666666663E-2</v>
      </c>
      <c r="J644" s="3">
        <f t="shared" si="111"/>
        <v>2.4999999999999911E-2</v>
      </c>
      <c r="K644" s="3"/>
      <c r="L644" s="60">
        <f t="shared" si="118"/>
        <v>615.2754166666665</v>
      </c>
      <c r="M644" s="40">
        <v>0</v>
      </c>
      <c r="N644" s="40">
        <v>0</v>
      </c>
      <c r="O644" s="40">
        <v>0</v>
      </c>
      <c r="P644" s="40">
        <v>0</v>
      </c>
      <c r="Q644" s="40">
        <v>0</v>
      </c>
      <c r="R644" s="40">
        <v>0</v>
      </c>
      <c r="S644" s="61">
        <f t="shared" si="119"/>
        <v>71.500000000000099</v>
      </c>
      <c r="T644" s="40">
        <v>0</v>
      </c>
      <c r="U644" s="40">
        <v>0</v>
      </c>
      <c r="V644" s="40">
        <v>0</v>
      </c>
      <c r="W644" s="40">
        <v>0</v>
      </c>
      <c r="X644" s="67">
        <f t="shared" si="120"/>
        <v>315</v>
      </c>
      <c r="Z644" s="71"/>
      <c r="AA644" s="71"/>
      <c r="AB644" s="67" t="str">
        <f t="shared" si="121"/>
        <v/>
      </c>
      <c r="AD644" s="121"/>
      <c r="AE644" s="121"/>
    </row>
    <row r="645" spans="1:31" x14ac:dyDescent="0.25">
      <c r="A645" s="57" t="s">
        <v>935</v>
      </c>
      <c r="B645" s="65">
        <v>0.33333333333333331</v>
      </c>
      <c r="C645" s="3">
        <f t="shared" si="117"/>
        <v>23.9</v>
      </c>
      <c r="D645" s="10" t="s">
        <v>806</v>
      </c>
      <c r="E645" s="40">
        <v>0</v>
      </c>
      <c r="F645" s="40">
        <v>2.5</v>
      </c>
      <c r="G645" s="40">
        <v>6</v>
      </c>
      <c r="H645" s="3">
        <f t="shared" si="109"/>
        <v>0</v>
      </c>
      <c r="I645" s="3">
        <f t="shared" si="110"/>
        <v>2.4895833333333335</v>
      </c>
      <c r="J645" s="3">
        <f t="shared" si="111"/>
        <v>5.9749999999999996</v>
      </c>
      <c r="K645" s="3"/>
      <c r="L645" s="60">
        <f t="shared" si="118"/>
        <v>606.81083333333322</v>
      </c>
      <c r="M645" s="40">
        <v>0</v>
      </c>
      <c r="N645" s="40">
        <v>0</v>
      </c>
      <c r="O645" s="40">
        <v>0</v>
      </c>
      <c r="P645" s="40">
        <v>0</v>
      </c>
      <c r="Q645" s="40">
        <v>0</v>
      </c>
      <c r="R645" s="40">
        <v>0</v>
      </c>
      <c r="S645" s="61">
        <f t="shared" si="119"/>
        <v>71.500000000000099</v>
      </c>
      <c r="T645" s="40">
        <v>0</v>
      </c>
      <c r="U645" s="40">
        <v>0</v>
      </c>
      <c r="V645" s="40">
        <v>5</v>
      </c>
      <c r="W645" s="40">
        <v>0</v>
      </c>
      <c r="X645" s="67">
        <f t="shared" si="120"/>
        <v>310</v>
      </c>
      <c r="Z645" s="71"/>
      <c r="AA645" s="71"/>
      <c r="AB645" s="67" t="str">
        <f t="shared" si="121"/>
        <v/>
      </c>
      <c r="AD645" s="121"/>
      <c r="AE645" s="121"/>
    </row>
    <row r="646" spans="1:31" x14ac:dyDescent="0.25">
      <c r="A646" s="57" t="s">
        <v>936</v>
      </c>
      <c r="B646" s="65">
        <v>0.33333333333333331</v>
      </c>
      <c r="C646" s="3">
        <v>24</v>
      </c>
      <c r="D646" s="10" t="s">
        <v>806</v>
      </c>
      <c r="E646" s="40">
        <v>0</v>
      </c>
      <c r="F646" s="40">
        <v>2.5</v>
      </c>
      <c r="G646" s="40">
        <v>6</v>
      </c>
      <c r="H646" s="3">
        <f t="shared" si="109"/>
        <v>0</v>
      </c>
      <c r="I646" s="3">
        <f t="shared" si="110"/>
        <v>2.5</v>
      </c>
      <c r="J646" s="3">
        <f t="shared" si="111"/>
        <v>6</v>
      </c>
      <c r="K646" s="3"/>
      <c r="L646" s="60">
        <f t="shared" si="118"/>
        <v>598.31083333333322</v>
      </c>
      <c r="M646" s="40">
        <v>0</v>
      </c>
      <c r="N646" s="40">
        <v>0</v>
      </c>
      <c r="O646" s="40">
        <v>0</v>
      </c>
      <c r="P646" s="40">
        <v>0</v>
      </c>
      <c r="Q646" s="40">
        <v>2</v>
      </c>
      <c r="R646" s="40">
        <v>0</v>
      </c>
      <c r="S646" s="61">
        <f t="shared" si="119"/>
        <v>69.500000000000099</v>
      </c>
      <c r="T646" s="40">
        <v>0</v>
      </c>
      <c r="U646" s="40">
        <v>0</v>
      </c>
      <c r="V646" s="40">
        <v>5</v>
      </c>
      <c r="W646" s="40">
        <v>0</v>
      </c>
      <c r="X646" s="67">
        <f t="shared" si="120"/>
        <v>305</v>
      </c>
      <c r="Z646" s="71"/>
      <c r="AA646" s="71"/>
      <c r="AB646" s="67" t="str">
        <f t="shared" si="121"/>
        <v/>
      </c>
      <c r="AD646" s="121"/>
      <c r="AE646" s="121"/>
    </row>
    <row r="647" spans="1:31" x14ac:dyDescent="0.25">
      <c r="A647" s="57" t="s">
        <v>937</v>
      </c>
      <c r="B647" s="65">
        <v>0.33333333333333331</v>
      </c>
      <c r="C647" s="3">
        <v>24</v>
      </c>
      <c r="D647" s="10" t="s">
        <v>806</v>
      </c>
      <c r="E647" s="40">
        <v>0</v>
      </c>
      <c r="F647" s="40">
        <v>2.2999999999999998</v>
      </c>
      <c r="G647" s="40">
        <v>2</v>
      </c>
      <c r="H647" s="3">
        <f t="shared" si="109"/>
        <v>0</v>
      </c>
      <c r="I647" s="3">
        <f t="shared" si="110"/>
        <v>2.2999999999999998</v>
      </c>
      <c r="J647" s="3">
        <f t="shared" si="111"/>
        <v>2</v>
      </c>
      <c r="K647" s="3"/>
      <c r="L647" s="60">
        <f t="shared" si="118"/>
        <v>594.01083333333327</v>
      </c>
      <c r="M647" s="40">
        <v>0</v>
      </c>
      <c r="N647" s="40">
        <v>0</v>
      </c>
      <c r="O647" s="40">
        <v>0</v>
      </c>
      <c r="P647" s="40">
        <v>0</v>
      </c>
      <c r="Q647" s="40">
        <v>0</v>
      </c>
      <c r="R647" s="40">
        <v>0</v>
      </c>
      <c r="S647" s="61">
        <f t="shared" si="119"/>
        <v>69.500000000000099</v>
      </c>
      <c r="T647" s="40">
        <v>0</v>
      </c>
      <c r="U647" s="40">
        <v>0</v>
      </c>
      <c r="V647" s="40">
        <v>6</v>
      </c>
      <c r="W647" s="40">
        <v>1</v>
      </c>
      <c r="X647" s="67">
        <f t="shared" si="120"/>
        <v>298</v>
      </c>
      <c r="Z647" s="71"/>
      <c r="AA647" s="71"/>
      <c r="AB647" s="67" t="str">
        <f t="shared" si="121"/>
        <v/>
      </c>
      <c r="AD647" s="121"/>
      <c r="AE647" s="121"/>
    </row>
    <row r="648" spans="1:31" x14ac:dyDescent="0.25">
      <c r="A648" s="57" t="s">
        <v>938</v>
      </c>
      <c r="B648" s="65">
        <v>0.33333333333333331</v>
      </c>
      <c r="C648" s="3">
        <v>24</v>
      </c>
      <c r="D648" s="10" t="s">
        <v>806</v>
      </c>
      <c r="E648" s="40">
        <v>0</v>
      </c>
      <c r="F648" s="40">
        <v>2.2999999999999998</v>
      </c>
      <c r="G648" s="40">
        <v>2</v>
      </c>
      <c r="H648" s="3">
        <f t="shared" si="109"/>
        <v>0</v>
      </c>
      <c r="I648" s="3">
        <f t="shared" si="110"/>
        <v>2.2999999999999998</v>
      </c>
      <c r="J648" s="3">
        <f t="shared" si="111"/>
        <v>2</v>
      </c>
      <c r="K648" s="3"/>
      <c r="L648" s="60">
        <f t="shared" si="118"/>
        <v>589.71083333333331</v>
      </c>
      <c r="M648" s="40">
        <v>0</v>
      </c>
      <c r="N648" s="40">
        <v>0</v>
      </c>
      <c r="O648" s="40">
        <v>0</v>
      </c>
      <c r="P648" s="40">
        <v>0</v>
      </c>
      <c r="Q648" s="40">
        <v>0</v>
      </c>
      <c r="R648" s="40">
        <v>0</v>
      </c>
      <c r="S648" s="61">
        <f t="shared" si="119"/>
        <v>69.500000000000099</v>
      </c>
      <c r="T648" s="40">
        <v>0</v>
      </c>
      <c r="U648" s="40">
        <v>0</v>
      </c>
      <c r="V648" s="40">
        <v>5</v>
      </c>
      <c r="W648" s="40">
        <v>0</v>
      </c>
      <c r="X648" s="67">
        <f t="shared" si="120"/>
        <v>293</v>
      </c>
      <c r="Z648" s="71"/>
      <c r="AA648" s="71"/>
      <c r="AB648" s="67" t="str">
        <f t="shared" si="121"/>
        <v/>
      </c>
      <c r="AD648" s="121"/>
      <c r="AE648" s="121"/>
    </row>
    <row r="649" spans="1:31" x14ac:dyDescent="0.25">
      <c r="A649" s="57" t="s">
        <v>938</v>
      </c>
      <c r="B649" s="7">
        <v>0.79999999999999993</v>
      </c>
      <c r="C649" s="3">
        <f t="shared" si="117"/>
        <v>11.2</v>
      </c>
      <c r="D649" s="10" t="s">
        <v>660</v>
      </c>
      <c r="E649" s="40">
        <v>0</v>
      </c>
      <c r="F649" s="40">
        <v>2.5</v>
      </c>
      <c r="G649" s="40">
        <v>2</v>
      </c>
      <c r="H649" s="3">
        <f t="shared" si="109"/>
        <v>0</v>
      </c>
      <c r="I649" s="3">
        <f t="shared" si="110"/>
        <v>1.1666666666666667</v>
      </c>
      <c r="J649" s="3">
        <f t="shared" si="111"/>
        <v>0.93333333333333324</v>
      </c>
      <c r="K649" s="3"/>
      <c r="L649" s="60">
        <f t="shared" si="118"/>
        <v>587.61083333333329</v>
      </c>
      <c r="M649" s="40">
        <v>0</v>
      </c>
      <c r="N649" s="40">
        <v>0</v>
      </c>
      <c r="O649" s="40">
        <v>0</v>
      </c>
      <c r="P649" s="40">
        <v>0</v>
      </c>
      <c r="Q649" s="40">
        <v>0</v>
      </c>
      <c r="R649" s="40">
        <v>0</v>
      </c>
      <c r="S649" s="61">
        <f t="shared" si="119"/>
        <v>69.500000000000099</v>
      </c>
      <c r="T649" s="40">
        <v>0</v>
      </c>
      <c r="U649" s="40">
        <v>0</v>
      </c>
      <c r="V649" s="40">
        <v>3</v>
      </c>
      <c r="W649" s="40">
        <v>0</v>
      </c>
      <c r="X649" s="67">
        <f t="shared" si="120"/>
        <v>290</v>
      </c>
      <c r="Z649" s="71"/>
      <c r="AA649" s="71"/>
      <c r="AB649" s="67" t="str">
        <f t="shared" si="121"/>
        <v/>
      </c>
      <c r="AD649" s="121"/>
      <c r="AE649" s="121"/>
    </row>
    <row r="650" spans="1:31" x14ac:dyDescent="0.25">
      <c r="A650" s="57" t="s">
        <v>938</v>
      </c>
      <c r="B650" s="7">
        <v>0.86249999999999993</v>
      </c>
      <c r="C650" s="3">
        <f t="shared" si="117"/>
        <v>1.5</v>
      </c>
      <c r="D650" s="10" t="s">
        <v>812</v>
      </c>
      <c r="E650" s="40">
        <v>5</v>
      </c>
      <c r="F650" s="40">
        <v>2.5</v>
      </c>
      <c r="G650" s="40">
        <v>2</v>
      </c>
      <c r="H650" s="3">
        <f t="shared" si="109"/>
        <v>0.3125</v>
      </c>
      <c r="I650" s="3">
        <f t="shared" si="110"/>
        <v>0.15625</v>
      </c>
      <c r="J650" s="3">
        <f t="shared" si="111"/>
        <v>0.125</v>
      </c>
      <c r="K650" s="3"/>
      <c r="L650" s="60">
        <f t="shared" si="118"/>
        <v>587.01708333333329</v>
      </c>
      <c r="M650" s="40">
        <v>0</v>
      </c>
      <c r="N650" s="40">
        <v>0</v>
      </c>
      <c r="O650" s="40">
        <v>0</v>
      </c>
      <c r="P650" s="40">
        <v>0</v>
      </c>
      <c r="Q650" s="40">
        <v>0</v>
      </c>
      <c r="R650" s="40">
        <v>0</v>
      </c>
      <c r="S650" s="61">
        <f t="shared" si="119"/>
        <v>69.500000000000099</v>
      </c>
      <c r="T650" s="40">
        <v>0</v>
      </c>
      <c r="U650" s="40">
        <v>0</v>
      </c>
      <c r="V650" s="40">
        <v>0</v>
      </c>
      <c r="W650" s="40">
        <v>0</v>
      </c>
      <c r="X650" s="67">
        <f t="shared" si="120"/>
        <v>290</v>
      </c>
      <c r="Z650" s="71"/>
      <c r="AA650" s="71"/>
      <c r="AB650" s="67" t="str">
        <f t="shared" si="121"/>
        <v/>
      </c>
      <c r="AD650" s="121"/>
      <c r="AE650" s="121"/>
    </row>
    <row r="651" spans="1:31" x14ac:dyDescent="0.25">
      <c r="A651" s="57" t="s">
        <v>939</v>
      </c>
      <c r="B651" s="7">
        <v>2.0833333333333332E-2</v>
      </c>
      <c r="C651" s="3">
        <f t="shared" si="117"/>
        <v>3.8000000000000043</v>
      </c>
      <c r="D651" s="10" t="s">
        <v>813</v>
      </c>
      <c r="E651" s="40">
        <v>0</v>
      </c>
      <c r="F651" s="40">
        <v>2.5</v>
      </c>
      <c r="G651" s="40">
        <v>3</v>
      </c>
      <c r="H651" s="3">
        <f t="shared" si="109"/>
        <v>0</v>
      </c>
      <c r="I651" s="3">
        <f t="shared" si="110"/>
        <v>0.39583333333333381</v>
      </c>
      <c r="J651" s="3">
        <f t="shared" si="111"/>
        <v>0.47500000000000053</v>
      </c>
      <c r="K651" s="3"/>
      <c r="L651" s="60">
        <f t="shared" si="118"/>
        <v>586.14625000000001</v>
      </c>
      <c r="M651" s="40">
        <v>0</v>
      </c>
      <c r="N651" s="40">
        <v>0</v>
      </c>
      <c r="O651" s="40">
        <v>0</v>
      </c>
      <c r="P651" s="40">
        <v>0</v>
      </c>
      <c r="Q651" s="40">
        <v>0</v>
      </c>
      <c r="R651" s="40">
        <v>0</v>
      </c>
      <c r="S651" s="61">
        <f t="shared" si="119"/>
        <v>69.500000000000099</v>
      </c>
      <c r="T651" s="40">
        <v>0</v>
      </c>
      <c r="U651" s="40">
        <v>0</v>
      </c>
      <c r="V651" s="40">
        <v>0</v>
      </c>
      <c r="W651" s="40">
        <v>0</v>
      </c>
      <c r="X651" s="67">
        <f t="shared" si="120"/>
        <v>290</v>
      </c>
      <c r="Z651" s="71"/>
      <c r="AA651" s="71"/>
      <c r="AB651" s="67" t="str">
        <f t="shared" si="121"/>
        <v/>
      </c>
      <c r="AD651" s="121"/>
      <c r="AE651" s="121"/>
    </row>
    <row r="652" spans="1:31" x14ac:dyDescent="0.25">
      <c r="A652" s="57" t="s">
        <v>939</v>
      </c>
      <c r="B652" s="65">
        <v>0.33333333333333331</v>
      </c>
      <c r="C652" s="3">
        <f t="shared" si="117"/>
        <v>7.5</v>
      </c>
      <c r="D652" s="10" t="s">
        <v>940</v>
      </c>
      <c r="E652" s="40">
        <v>0</v>
      </c>
      <c r="F652" s="40">
        <v>2.5</v>
      </c>
      <c r="G652" s="40">
        <v>3</v>
      </c>
      <c r="H652" s="3">
        <f t="shared" si="109"/>
        <v>0</v>
      </c>
      <c r="I652" s="3">
        <f t="shared" si="110"/>
        <v>0.78125</v>
      </c>
      <c r="J652" s="3">
        <f t="shared" si="111"/>
        <v>0.9375</v>
      </c>
      <c r="K652" s="3"/>
      <c r="L652" s="60">
        <f t="shared" si="118"/>
        <v>584.42750000000001</v>
      </c>
      <c r="M652" s="40">
        <v>0</v>
      </c>
      <c r="N652" s="40">
        <v>0</v>
      </c>
      <c r="O652" s="40">
        <v>0</v>
      </c>
      <c r="P652" s="40">
        <v>0</v>
      </c>
      <c r="Q652" s="40">
        <v>0</v>
      </c>
      <c r="R652" s="40">
        <v>0</v>
      </c>
      <c r="S652" s="61">
        <f t="shared" si="119"/>
        <v>69.500000000000099</v>
      </c>
      <c r="T652" s="40">
        <v>0</v>
      </c>
      <c r="U652" s="40">
        <v>0</v>
      </c>
      <c r="V652" s="40">
        <v>2</v>
      </c>
      <c r="W652" s="40">
        <v>0</v>
      </c>
      <c r="X652" s="67">
        <f t="shared" si="120"/>
        <v>288</v>
      </c>
      <c r="Z652" s="71"/>
      <c r="AA652" s="71"/>
      <c r="AB652" s="67" t="str">
        <f t="shared" si="121"/>
        <v/>
      </c>
      <c r="AD652" s="121"/>
      <c r="AE652" s="121"/>
    </row>
    <row r="653" spans="1:31" x14ac:dyDescent="0.25">
      <c r="A653" s="57" t="s">
        <v>939</v>
      </c>
      <c r="B653" s="7">
        <v>0.90833333333333333</v>
      </c>
      <c r="C653" s="3">
        <f t="shared" si="117"/>
        <v>13.799999999999999</v>
      </c>
      <c r="D653" s="10" t="s">
        <v>801</v>
      </c>
      <c r="E653" s="40">
        <v>0</v>
      </c>
      <c r="F653" s="40">
        <v>2.5</v>
      </c>
      <c r="G653" s="40">
        <v>3</v>
      </c>
      <c r="H653" s="3">
        <f t="shared" si="109"/>
        <v>0</v>
      </c>
      <c r="I653" s="3">
        <f t="shared" si="110"/>
        <v>1.4375</v>
      </c>
      <c r="J653" s="3">
        <f t="shared" si="111"/>
        <v>1.7249999999999999</v>
      </c>
      <c r="K653" s="3"/>
      <c r="L653" s="60">
        <f t="shared" si="118"/>
        <v>581.26499999999999</v>
      </c>
      <c r="M653" s="40">
        <v>0</v>
      </c>
      <c r="N653" s="40">
        <v>0</v>
      </c>
      <c r="O653" s="40">
        <v>0</v>
      </c>
      <c r="P653" s="40">
        <v>0</v>
      </c>
      <c r="Q653" s="40">
        <v>5.3</v>
      </c>
      <c r="R653" s="40">
        <v>0</v>
      </c>
      <c r="S653" s="61">
        <f t="shared" si="119"/>
        <v>64.200000000000102</v>
      </c>
      <c r="T653" s="40">
        <v>0</v>
      </c>
      <c r="U653" s="40">
        <v>0</v>
      </c>
      <c r="V653" s="40">
        <v>0</v>
      </c>
      <c r="W653" s="40">
        <v>0</v>
      </c>
      <c r="X653" s="67">
        <f t="shared" si="120"/>
        <v>288</v>
      </c>
      <c r="Z653" s="71"/>
      <c r="AA653" s="71"/>
      <c r="AB653" s="67" t="str">
        <f t="shared" si="121"/>
        <v/>
      </c>
      <c r="AD653" s="121"/>
      <c r="AE653" s="121"/>
    </row>
    <row r="654" spans="1:31" x14ac:dyDescent="0.25">
      <c r="A654" s="57" t="s">
        <v>941</v>
      </c>
      <c r="B654" s="7">
        <v>1.6666666666666666E-2</v>
      </c>
      <c r="C654" s="3">
        <f t="shared" si="117"/>
        <v>2.6000000000000014</v>
      </c>
      <c r="D654" s="10" t="s">
        <v>789</v>
      </c>
      <c r="E654" s="40">
        <v>0</v>
      </c>
      <c r="F654" s="40">
        <v>2.5</v>
      </c>
      <c r="G654" s="40">
        <v>3</v>
      </c>
      <c r="H654" s="3">
        <f t="shared" si="109"/>
        <v>0</v>
      </c>
      <c r="I654" s="3">
        <f t="shared" si="110"/>
        <v>0.27083333333333348</v>
      </c>
      <c r="J654" s="3">
        <f t="shared" si="111"/>
        <v>0.32500000000000018</v>
      </c>
      <c r="K654" s="3"/>
      <c r="L654" s="60">
        <f t="shared" si="118"/>
        <v>580.66916666666668</v>
      </c>
      <c r="M654" s="40">
        <v>0</v>
      </c>
      <c r="N654" s="40">
        <v>0</v>
      </c>
      <c r="O654" s="40">
        <v>0</v>
      </c>
      <c r="P654" s="40">
        <v>0</v>
      </c>
      <c r="Q654" s="40">
        <v>0</v>
      </c>
      <c r="R654" s="40">
        <v>0</v>
      </c>
      <c r="S654" s="61">
        <f t="shared" si="119"/>
        <v>64.200000000000102</v>
      </c>
      <c r="T654" s="40">
        <v>0</v>
      </c>
      <c r="U654" s="40">
        <v>0</v>
      </c>
      <c r="V654" s="40">
        <v>0</v>
      </c>
      <c r="W654" s="40">
        <v>0</v>
      </c>
      <c r="X654" s="67">
        <f t="shared" si="120"/>
        <v>288</v>
      </c>
      <c r="Z654" s="71"/>
      <c r="AA654" s="71"/>
      <c r="AB654" s="67" t="str">
        <f t="shared" si="121"/>
        <v/>
      </c>
      <c r="AD654" s="121"/>
      <c r="AE654" s="121"/>
    </row>
    <row r="655" spans="1:31" x14ac:dyDescent="0.25">
      <c r="A655" s="57" t="s">
        <v>941</v>
      </c>
      <c r="B655" s="7">
        <v>4.1666666666666664E-2</v>
      </c>
      <c r="C655" s="3">
        <f t="shared" si="117"/>
        <v>0.6</v>
      </c>
      <c r="D655" s="10" t="s">
        <v>821</v>
      </c>
      <c r="E655" s="40">
        <v>5</v>
      </c>
      <c r="F655" s="40">
        <v>2.5</v>
      </c>
      <c r="G655" s="40">
        <v>3</v>
      </c>
      <c r="H655" s="3">
        <f t="shared" si="109"/>
        <v>0.125</v>
      </c>
      <c r="I655" s="3">
        <f t="shared" si="110"/>
        <v>6.25E-2</v>
      </c>
      <c r="J655" s="3">
        <f t="shared" si="111"/>
        <v>7.4999999999999997E-2</v>
      </c>
      <c r="K655" s="3"/>
      <c r="L655" s="60">
        <f t="shared" si="118"/>
        <v>580.40666666666664</v>
      </c>
      <c r="M655" s="40">
        <v>0</v>
      </c>
      <c r="N655" s="40">
        <v>0</v>
      </c>
      <c r="O655" s="40">
        <v>0</v>
      </c>
      <c r="P655" s="40">
        <v>0</v>
      </c>
      <c r="Q655" s="40">
        <v>0</v>
      </c>
      <c r="R655" s="40">
        <v>0</v>
      </c>
      <c r="S655" s="61">
        <f t="shared" si="119"/>
        <v>64.200000000000102</v>
      </c>
      <c r="T655" s="40">
        <v>0</v>
      </c>
      <c r="U655" s="40">
        <v>0</v>
      </c>
      <c r="V655" s="40">
        <v>0</v>
      </c>
      <c r="W655" s="40">
        <v>0</v>
      </c>
      <c r="X655" s="67">
        <f t="shared" si="120"/>
        <v>288</v>
      </c>
      <c r="Z655" s="71"/>
      <c r="AA655" s="71"/>
      <c r="AB655" s="67" t="str">
        <f t="shared" si="121"/>
        <v/>
      </c>
      <c r="AD655" s="121"/>
      <c r="AE655" s="121"/>
    </row>
    <row r="656" spans="1:31" x14ac:dyDescent="0.25">
      <c r="A656" s="57" t="s">
        <v>941</v>
      </c>
      <c r="B656" s="65">
        <v>0.33333333333333331</v>
      </c>
      <c r="C656" s="3">
        <f t="shared" si="117"/>
        <v>6.9999999999999991</v>
      </c>
      <c r="D656" s="10" t="s">
        <v>835</v>
      </c>
      <c r="E656" s="40">
        <v>22</v>
      </c>
      <c r="F656" s="40">
        <v>2.5</v>
      </c>
      <c r="G656" s="40">
        <v>0</v>
      </c>
      <c r="H656" s="3">
        <f t="shared" si="109"/>
        <v>6.4166666666666652</v>
      </c>
      <c r="I656" s="3">
        <f t="shared" si="110"/>
        <v>0.72916666666666663</v>
      </c>
      <c r="J656" s="3">
        <f t="shared" si="111"/>
        <v>0</v>
      </c>
      <c r="K656" s="3"/>
      <c r="L656" s="60">
        <f t="shared" si="118"/>
        <v>573.26083333333327</v>
      </c>
      <c r="M656" s="40">
        <v>0</v>
      </c>
      <c r="N656" s="40">
        <v>0</v>
      </c>
      <c r="O656" s="40">
        <v>0</v>
      </c>
      <c r="P656" s="40">
        <v>0</v>
      </c>
      <c r="Q656" s="40">
        <v>0</v>
      </c>
      <c r="R656" s="40">
        <v>0</v>
      </c>
      <c r="S656" s="61">
        <f t="shared" si="119"/>
        <v>64.200000000000102</v>
      </c>
      <c r="T656" s="40">
        <v>0</v>
      </c>
      <c r="U656" s="40">
        <v>0</v>
      </c>
      <c r="V656" s="40">
        <v>5</v>
      </c>
      <c r="W656" s="40">
        <v>0</v>
      </c>
      <c r="X656" s="67">
        <f t="shared" si="120"/>
        <v>283</v>
      </c>
      <c r="Z656" s="71"/>
      <c r="AA656" s="71"/>
      <c r="AB656" s="67" t="str">
        <f t="shared" si="121"/>
        <v/>
      </c>
      <c r="AD656" s="121"/>
      <c r="AE656" s="121"/>
    </row>
    <row r="657" spans="1:31" x14ac:dyDescent="0.25">
      <c r="A657" s="57" t="s">
        <v>941</v>
      </c>
      <c r="B657" s="7">
        <v>0.45833333333333331</v>
      </c>
      <c r="C657" s="3">
        <f t="shared" si="117"/>
        <v>3</v>
      </c>
      <c r="D657" s="10" t="s">
        <v>796</v>
      </c>
      <c r="E657" s="40">
        <v>22</v>
      </c>
      <c r="F657" s="40">
        <v>2.5</v>
      </c>
      <c r="G657" s="40">
        <v>0</v>
      </c>
      <c r="H657" s="3">
        <f t="shared" si="109"/>
        <v>2.75</v>
      </c>
      <c r="I657" s="3">
        <f t="shared" si="110"/>
        <v>0.3125</v>
      </c>
      <c r="J657" s="3">
        <f t="shared" si="111"/>
        <v>0</v>
      </c>
      <c r="K657" s="3"/>
      <c r="L657" s="60">
        <f t="shared" si="118"/>
        <v>570.19833333333327</v>
      </c>
      <c r="M657" s="40">
        <v>0</v>
      </c>
      <c r="N657" s="40">
        <v>0</v>
      </c>
      <c r="O657" s="40">
        <v>0</v>
      </c>
      <c r="P657" s="40">
        <v>0</v>
      </c>
      <c r="Q657" s="40">
        <v>0</v>
      </c>
      <c r="R657" s="40">
        <v>0</v>
      </c>
      <c r="S657" s="61">
        <f t="shared" si="119"/>
        <v>64.200000000000102</v>
      </c>
      <c r="T657" s="40">
        <v>0</v>
      </c>
      <c r="U657" s="40">
        <v>0</v>
      </c>
      <c r="V657" s="40">
        <v>0</v>
      </c>
      <c r="W657" s="40">
        <v>0</v>
      </c>
      <c r="X657" s="67">
        <f t="shared" si="120"/>
        <v>283</v>
      </c>
      <c r="Z657" s="71"/>
      <c r="AA657" s="71"/>
      <c r="AB657" s="67" t="str">
        <f t="shared" si="121"/>
        <v/>
      </c>
      <c r="AD657" s="121">
        <v>11.7</v>
      </c>
      <c r="AE657" s="121" t="s">
        <v>1295</v>
      </c>
    </row>
    <row r="658" spans="1:31" x14ac:dyDescent="0.25">
      <c r="A658" s="57" t="s">
        <v>941</v>
      </c>
      <c r="B658" s="7">
        <v>0.4916666666666667</v>
      </c>
      <c r="C658" s="3">
        <f t="shared" si="117"/>
        <v>0.80000000000000115</v>
      </c>
      <c r="D658" s="10" t="s">
        <v>812</v>
      </c>
      <c r="E658" s="40">
        <v>5</v>
      </c>
      <c r="F658" s="40">
        <v>2.5</v>
      </c>
      <c r="G658" s="40">
        <v>2</v>
      </c>
      <c r="H658" s="3">
        <f t="shared" si="109"/>
        <v>0.16666666666666691</v>
      </c>
      <c r="I658" s="3">
        <f t="shared" si="110"/>
        <v>8.3333333333333454E-2</v>
      </c>
      <c r="J658" s="3">
        <f t="shared" si="111"/>
        <v>6.6666666666666763E-2</v>
      </c>
      <c r="K658" s="3"/>
      <c r="L658" s="60">
        <f t="shared" si="118"/>
        <v>569.88166666666655</v>
      </c>
      <c r="M658" s="40">
        <v>0</v>
      </c>
      <c r="N658" s="40">
        <v>0</v>
      </c>
      <c r="O658" s="40">
        <v>0</v>
      </c>
      <c r="P658" s="40">
        <v>0</v>
      </c>
      <c r="Q658" s="40">
        <v>0</v>
      </c>
      <c r="R658" s="40">
        <v>0</v>
      </c>
      <c r="S658" s="61">
        <f t="shared" si="119"/>
        <v>64.200000000000102</v>
      </c>
      <c r="T658" s="40">
        <v>0</v>
      </c>
      <c r="U658" s="40">
        <v>0</v>
      </c>
      <c r="V658" s="40">
        <v>0</v>
      </c>
      <c r="W658" s="40">
        <v>0</v>
      </c>
      <c r="X658" s="67">
        <f t="shared" si="120"/>
        <v>283</v>
      </c>
      <c r="Z658" s="71"/>
      <c r="AA658" s="71"/>
      <c r="AB658" s="67" t="str">
        <f t="shared" si="121"/>
        <v/>
      </c>
      <c r="AD658" s="121"/>
      <c r="AE658" s="121"/>
    </row>
    <row r="659" spans="1:31" x14ac:dyDescent="0.25">
      <c r="A659" s="57" t="s">
        <v>941</v>
      </c>
      <c r="B659" s="7">
        <v>0.64583333333333337</v>
      </c>
      <c r="C659" s="3">
        <f t="shared" si="117"/>
        <v>3.7</v>
      </c>
      <c r="D659" s="10" t="s">
        <v>789</v>
      </c>
      <c r="E659" s="40">
        <v>0</v>
      </c>
      <c r="F659" s="40">
        <v>2.5</v>
      </c>
      <c r="G659" s="40">
        <v>2</v>
      </c>
      <c r="H659" s="3">
        <f t="shared" si="109"/>
        <v>0</v>
      </c>
      <c r="I659" s="3">
        <f t="shared" si="110"/>
        <v>0.38541666666666669</v>
      </c>
      <c r="J659" s="3">
        <f t="shared" si="111"/>
        <v>0.30833333333333335</v>
      </c>
      <c r="K659" s="3"/>
      <c r="L659" s="60">
        <f t="shared" si="118"/>
        <v>569.18791666666652</v>
      </c>
      <c r="M659" s="40">
        <v>0</v>
      </c>
      <c r="N659" s="40">
        <v>0</v>
      </c>
      <c r="O659" s="40">
        <v>0</v>
      </c>
      <c r="P659" s="40">
        <v>0</v>
      </c>
      <c r="Q659" s="40">
        <v>0</v>
      </c>
      <c r="R659" s="40">
        <v>0</v>
      </c>
      <c r="S659" s="61">
        <f t="shared" si="119"/>
        <v>64.200000000000102</v>
      </c>
      <c r="T659" s="40">
        <v>0</v>
      </c>
      <c r="U659" s="40">
        <v>0</v>
      </c>
      <c r="V659" s="40">
        <v>2</v>
      </c>
      <c r="W659" s="40">
        <v>0</v>
      </c>
      <c r="X659" s="67">
        <f t="shared" si="120"/>
        <v>281</v>
      </c>
      <c r="Z659" s="71"/>
      <c r="AA659" s="71"/>
      <c r="AB659" s="67" t="str">
        <f t="shared" si="121"/>
        <v/>
      </c>
      <c r="AD659" s="121"/>
      <c r="AE659" s="121"/>
    </row>
    <row r="660" spans="1:31" x14ac:dyDescent="0.25">
      <c r="A660" s="57" t="s">
        <v>941</v>
      </c>
      <c r="B660" s="7">
        <v>0.71666666666666667</v>
      </c>
      <c r="C660" s="3">
        <f t="shared" si="117"/>
        <v>1.6999999999999993</v>
      </c>
      <c r="D660" s="10" t="s">
        <v>812</v>
      </c>
      <c r="E660" s="40">
        <v>5</v>
      </c>
      <c r="F660" s="40">
        <v>2.5</v>
      </c>
      <c r="G660" s="40">
        <v>2</v>
      </c>
      <c r="H660" s="3">
        <f t="shared" si="109"/>
        <v>0.35416666666666652</v>
      </c>
      <c r="I660" s="3">
        <f t="shared" si="110"/>
        <v>0.17708333333333326</v>
      </c>
      <c r="J660" s="3">
        <f t="shared" si="111"/>
        <v>0.14166666666666661</v>
      </c>
      <c r="K660" s="3"/>
      <c r="L660" s="60">
        <f t="shared" si="118"/>
        <v>568.51499999999987</v>
      </c>
      <c r="M660" s="40">
        <v>0</v>
      </c>
      <c r="N660" s="40">
        <v>0</v>
      </c>
      <c r="O660" s="40">
        <v>0</v>
      </c>
      <c r="P660" s="40">
        <v>0</v>
      </c>
      <c r="Q660" s="40">
        <v>0</v>
      </c>
      <c r="R660" s="40">
        <v>0</v>
      </c>
      <c r="S660" s="61">
        <f t="shared" si="119"/>
        <v>64.200000000000102</v>
      </c>
      <c r="T660" s="40">
        <v>0</v>
      </c>
      <c r="U660" s="40">
        <v>0</v>
      </c>
      <c r="V660" s="40">
        <v>0</v>
      </c>
      <c r="W660" s="40">
        <v>0</v>
      </c>
      <c r="X660" s="67">
        <f t="shared" si="120"/>
        <v>281</v>
      </c>
      <c r="Z660" s="71"/>
      <c r="AA660" s="71"/>
      <c r="AB660" s="67" t="str">
        <f t="shared" si="121"/>
        <v/>
      </c>
      <c r="AD660" s="121"/>
      <c r="AE660" s="121"/>
    </row>
    <row r="661" spans="1:31" x14ac:dyDescent="0.25">
      <c r="A661" s="57" t="s">
        <v>941</v>
      </c>
      <c r="B661" s="7">
        <v>0.84722222222222221</v>
      </c>
      <c r="C661" s="3">
        <f t="shared" si="117"/>
        <v>3.1333333333333329</v>
      </c>
      <c r="D661" s="10" t="s">
        <v>813</v>
      </c>
      <c r="E661" s="40">
        <v>0</v>
      </c>
      <c r="F661" s="40">
        <v>2.5</v>
      </c>
      <c r="G661" s="40">
        <v>2</v>
      </c>
      <c r="H661" s="3">
        <f t="shared" si="109"/>
        <v>0</v>
      </c>
      <c r="I661" s="3">
        <f t="shared" si="110"/>
        <v>0.32638888888888884</v>
      </c>
      <c r="J661" s="3">
        <f t="shared" si="111"/>
        <v>0.26111111111111107</v>
      </c>
      <c r="K661" s="3"/>
      <c r="L661" s="60">
        <f t="shared" si="118"/>
        <v>567.9274999999999</v>
      </c>
      <c r="M661" s="40">
        <v>0</v>
      </c>
      <c r="N661" s="40">
        <v>0</v>
      </c>
      <c r="O661" s="40">
        <v>0</v>
      </c>
      <c r="P661" s="40">
        <v>0</v>
      </c>
      <c r="Q661" s="40">
        <v>0</v>
      </c>
      <c r="R661" s="40">
        <v>0</v>
      </c>
      <c r="S661" s="61">
        <f t="shared" si="119"/>
        <v>64.200000000000102</v>
      </c>
      <c r="T661" s="40">
        <v>0</v>
      </c>
      <c r="U661" s="40">
        <v>0</v>
      </c>
      <c r="V661" s="40">
        <v>0</v>
      </c>
      <c r="W661" s="40">
        <v>0</v>
      </c>
      <c r="X661" s="67">
        <f t="shared" si="120"/>
        <v>281</v>
      </c>
      <c r="Z661" s="71"/>
      <c r="AA661" s="71"/>
      <c r="AB661" s="67" t="str">
        <f t="shared" si="121"/>
        <v/>
      </c>
      <c r="AD661" s="121"/>
      <c r="AE661" s="121"/>
    </row>
    <row r="662" spans="1:31" x14ac:dyDescent="0.25">
      <c r="A662" s="57" t="s">
        <v>942</v>
      </c>
      <c r="B662" s="65">
        <v>0.33333333333333331</v>
      </c>
      <c r="C662" s="3">
        <f t="shared" si="117"/>
        <v>11.666666666666668</v>
      </c>
      <c r="D662" s="10" t="s">
        <v>820</v>
      </c>
      <c r="E662" s="40">
        <v>0</v>
      </c>
      <c r="F662" s="40">
        <v>2.5</v>
      </c>
      <c r="G662" s="40">
        <v>2</v>
      </c>
      <c r="H662" s="3">
        <f t="shared" si="109"/>
        <v>0</v>
      </c>
      <c r="I662" s="3">
        <f t="shared" si="110"/>
        <v>1.2152777777777779</v>
      </c>
      <c r="J662" s="3">
        <f t="shared" si="111"/>
        <v>0.97222222222222232</v>
      </c>
      <c r="K662" s="3"/>
      <c r="L662" s="60">
        <f t="shared" si="118"/>
        <v>565.7399999999999</v>
      </c>
      <c r="M662" s="40">
        <v>0</v>
      </c>
      <c r="N662" s="40">
        <v>0</v>
      </c>
      <c r="O662" s="40">
        <v>0</v>
      </c>
      <c r="P662" s="40">
        <v>0</v>
      </c>
      <c r="Q662" s="40">
        <v>2.9</v>
      </c>
      <c r="R662" s="40">
        <v>0</v>
      </c>
      <c r="S662" s="61">
        <f t="shared" si="119"/>
        <v>61.300000000000104</v>
      </c>
      <c r="T662" s="40">
        <v>0</v>
      </c>
      <c r="U662" s="40">
        <v>0</v>
      </c>
      <c r="V662" s="40">
        <v>3</v>
      </c>
      <c r="W662" s="40">
        <v>0</v>
      </c>
      <c r="X662" s="67">
        <f t="shared" si="120"/>
        <v>278</v>
      </c>
      <c r="Z662" s="71"/>
      <c r="AA662" s="71"/>
      <c r="AB662" s="67" t="str">
        <f t="shared" si="121"/>
        <v/>
      </c>
      <c r="AD662" s="121"/>
      <c r="AE662" s="121"/>
    </row>
    <row r="663" spans="1:31" x14ac:dyDescent="0.25">
      <c r="A663" s="57" t="s">
        <v>942</v>
      </c>
      <c r="B663" s="7">
        <v>0.43333333333333335</v>
      </c>
      <c r="C663" s="3">
        <f t="shared" si="117"/>
        <v>2.4000000000000008</v>
      </c>
      <c r="D663" s="10" t="s">
        <v>801</v>
      </c>
      <c r="E663" s="40">
        <v>0</v>
      </c>
      <c r="F663" s="40">
        <v>2.5</v>
      </c>
      <c r="G663" s="40">
        <v>2</v>
      </c>
      <c r="H663" s="3">
        <f t="shared" si="109"/>
        <v>0</v>
      </c>
      <c r="I663" s="3">
        <f t="shared" si="110"/>
        <v>0.25000000000000011</v>
      </c>
      <c r="J663" s="3">
        <f t="shared" si="111"/>
        <v>0.20000000000000007</v>
      </c>
      <c r="K663" s="3"/>
      <c r="L663" s="60">
        <f t="shared" si="118"/>
        <v>565.28999999999985</v>
      </c>
      <c r="M663" s="40">
        <v>0</v>
      </c>
      <c r="N663" s="40">
        <v>0</v>
      </c>
      <c r="O663" s="40">
        <v>0</v>
      </c>
      <c r="P663" s="40">
        <v>0</v>
      </c>
      <c r="Q663" s="40">
        <v>0.6</v>
      </c>
      <c r="R663" s="40">
        <v>0</v>
      </c>
      <c r="S663" s="61">
        <f t="shared" si="119"/>
        <v>60.700000000000102</v>
      </c>
      <c r="T663" s="40">
        <v>0</v>
      </c>
      <c r="U663" s="40">
        <v>0</v>
      </c>
      <c r="V663" s="40">
        <v>0</v>
      </c>
      <c r="W663" s="40">
        <v>0</v>
      </c>
      <c r="X663" s="67">
        <f t="shared" si="120"/>
        <v>278</v>
      </c>
      <c r="Z663" s="71"/>
      <c r="AA663" s="71"/>
      <c r="AB663" s="67" t="str">
        <f t="shared" si="121"/>
        <v/>
      </c>
      <c r="AD663" s="121"/>
      <c r="AE663" s="121"/>
    </row>
    <row r="664" spans="1:31" x14ac:dyDescent="0.25">
      <c r="A664" s="57" t="s">
        <v>942</v>
      </c>
      <c r="B664" s="7">
        <v>0.53333333333333333</v>
      </c>
      <c r="C664" s="3">
        <f t="shared" si="117"/>
        <v>2.3999999999999995</v>
      </c>
      <c r="D664" s="10" t="s">
        <v>789</v>
      </c>
      <c r="E664" s="40">
        <v>0</v>
      </c>
      <c r="F664" s="40">
        <v>2.5</v>
      </c>
      <c r="G664" s="40">
        <v>2</v>
      </c>
      <c r="H664" s="3">
        <f t="shared" si="109"/>
        <v>0</v>
      </c>
      <c r="I664" s="3">
        <f t="shared" si="110"/>
        <v>0.24999999999999994</v>
      </c>
      <c r="J664" s="3">
        <f t="shared" si="111"/>
        <v>0.19999999999999996</v>
      </c>
      <c r="K664" s="3"/>
      <c r="L664" s="60">
        <f t="shared" si="118"/>
        <v>564.8399999999998</v>
      </c>
      <c r="M664" s="40">
        <v>0</v>
      </c>
      <c r="N664" s="40">
        <v>0</v>
      </c>
      <c r="O664" s="40">
        <v>0</v>
      </c>
      <c r="P664" s="40">
        <v>0</v>
      </c>
      <c r="Q664" s="40">
        <v>0</v>
      </c>
      <c r="R664" s="40">
        <v>0</v>
      </c>
      <c r="S664" s="61">
        <f t="shared" si="119"/>
        <v>60.700000000000102</v>
      </c>
      <c r="T664" s="40">
        <v>0</v>
      </c>
      <c r="U664" s="40">
        <v>0</v>
      </c>
      <c r="V664" s="40">
        <v>0</v>
      </c>
      <c r="W664" s="40">
        <v>0</v>
      </c>
      <c r="X664" s="67">
        <f t="shared" si="120"/>
        <v>278</v>
      </c>
      <c r="Z664" s="71"/>
      <c r="AA664" s="71"/>
      <c r="AB664" s="67" t="str">
        <f t="shared" si="121"/>
        <v/>
      </c>
      <c r="AD664" s="121"/>
      <c r="AE664" s="121"/>
    </row>
    <row r="665" spans="1:31" x14ac:dyDescent="0.25">
      <c r="A665" s="57" t="s">
        <v>942</v>
      </c>
      <c r="B665" s="7">
        <v>0.60416666666666663</v>
      </c>
      <c r="C665" s="3">
        <f t="shared" si="117"/>
        <v>1.6999999999999993</v>
      </c>
      <c r="D665" s="10" t="s">
        <v>821</v>
      </c>
      <c r="E665" s="40">
        <v>5</v>
      </c>
      <c r="F665" s="40">
        <v>2.5</v>
      </c>
      <c r="G665" s="40">
        <v>2</v>
      </c>
      <c r="H665" s="3">
        <f t="shared" si="109"/>
        <v>0.35416666666666652</v>
      </c>
      <c r="I665" s="3">
        <f t="shared" si="110"/>
        <v>0.17708333333333326</v>
      </c>
      <c r="J665" s="3">
        <f t="shared" si="111"/>
        <v>0.14166666666666661</v>
      </c>
      <c r="K665" s="3"/>
      <c r="L665" s="60">
        <f t="shared" si="118"/>
        <v>564.16708333333315</v>
      </c>
      <c r="M665" s="40">
        <v>0</v>
      </c>
      <c r="N665" s="40">
        <v>0</v>
      </c>
      <c r="O665" s="40">
        <v>0</v>
      </c>
      <c r="P665" s="40">
        <v>0</v>
      </c>
      <c r="Q665" s="40">
        <v>0</v>
      </c>
      <c r="R665" s="40">
        <v>0</v>
      </c>
      <c r="S665" s="61">
        <f t="shared" si="119"/>
        <v>60.700000000000102</v>
      </c>
      <c r="T665" s="40">
        <v>0</v>
      </c>
      <c r="U665" s="40">
        <v>0</v>
      </c>
      <c r="V665" s="40">
        <v>0</v>
      </c>
      <c r="W665" s="40">
        <v>0</v>
      </c>
      <c r="X665" s="67">
        <f t="shared" si="120"/>
        <v>278</v>
      </c>
      <c r="Z665" s="71"/>
      <c r="AA665" s="71"/>
      <c r="AB665" s="67" t="str">
        <f t="shared" si="121"/>
        <v/>
      </c>
      <c r="AD665" s="121"/>
      <c r="AE665" s="121"/>
    </row>
    <row r="666" spans="1:31" x14ac:dyDescent="0.25">
      <c r="A666" s="57" t="s">
        <v>942</v>
      </c>
      <c r="B666" s="7">
        <v>0.8125</v>
      </c>
      <c r="C666" s="3">
        <f t="shared" si="117"/>
        <v>5.0000000000000009</v>
      </c>
      <c r="D666" s="10" t="s">
        <v>796</v>
      </c>
      <c r="E666" s="40">
        <v>22</v>
      </c>
      <c r="F666" s="40">
        <v>2.5</v>
      </c>
      <c r="G666" s="40">
        <v>0</v>
      </c>
      <c r="H666" s="3">
        <f t="shared" si="109"/>
        <v>4.5833333333333339</v>
      </c>
      <c r="I666" s="3">
        <f t="shared" si="110"/>
        <v>0.52083333333333348</v>
      </c>
      <c r="J666" s="3">
        <f t="shared" si="111"/>
        <v>0</v>
      </c>
      <c r="K666" s="3"/>
      <c r="L666" s="60">
        <f t="shared" si="118"/>
        <v>559.06291666666652</v>
      </c>
      <c r="M666" s="40">
        <v>0</v>
      </c>
      <c r="N666" s="40">
        <v>0</v>
      </c>
      <c r="O666" s="40">
        <v>0</v>
      </c>
      <c r="P666" s="40">
        <v>0</v>
      </c>
      <c r="Q666" s="40">
        <v>0</v>
      </c>
      <c r="R666" s="40">
        <v>0</v>
      </c>
      <c r="S666" s="61">
        <f t="shared" si="119"/>
        <v>60.700000000000102</v>
      </c>
      <c r="T666" s="40">
        <v>0</v>
      </c>
      <c r="U666" s="40">
        <v>0</v>
      </c>
      <c r="V666" s="40">
        <v>2</v>
      </c>
      <c r="W666" s="40">
        <v>0</v>
      </c>
      <c r="X666" s="67">
        <f t="shared" si="120"/>
        <v>276</v>
      </c>
      <c r="Z666" s="71"/>
      <c r="AA666" s="71"/>
      <c r="AB666" s="67" t="str">
        <f t="shared" si="121"/>
        <v/>
      </c>
      <c r="AD666" s="121">
        <v>13.4</v>
      </c>
      <c r="AE666" s="121" t="s">
        <v>1296</v>
      </c>
    </row>
    <row r="667" spans="1:31" x14ac:dyDescent="0.25">
      <c r="A667" s="57" t="s">
        <v>942</v>
      </c>
      <c r="B667" s="7">
        <v>0.92499999999999993</v>
      </c>
      <c r="C667" s="3">
        <f t="shared" si="117"/>
        <v>2.6999999999999984</v>
      </c>
      <c r="D667" s="10" t="s">
        <v>812</v>
      </c>
      <c r="E667" s="40">
        <v>5</v>
      </c>
      <c r="F667" s="40">
        <v>2.5</v>
      </c>
      <c r="G667" s="40">
        <v>2</v>
      </c>
      <c r="H667" s="3">
        <f t="shared" si="109"/>
        <v>0.56249999999999967</v>
      </c>
      <c r="I667" s="3">
        <f t="shared" si="110"/>
        <v>0.28124999999999983</v>
      </c>
      <c r="J667" s="3">
        <f t="shared" si="111"/>
        <v>0.22499999999999987</v>
      </c>
      <c r="K667" s="3"/>
      <c r="L667" s="60">
        <f t="shared" si="118"/>
        <v>557.9941666666665</v>
      </c>
      <c r="M667" s="40">
        <v>0</v>
      </c>
      <c r="N667" s="40">
        <v>0</v>
      </c>
      <c r="O667" s="40">
        <v>0</v>
      </c>
      <c r="P667" s="40">
        <v>0</v>
      </c>
      <c r="Q667" s="40">
        <v>0</v>
      </c>
      <c r="R667" s="40">
        <v>0</v>
      </c>
      <c r="S667" s="61">
        <f t="shared" si="119"/>
        <v>60.700000000000102</v>
      </c>
      <c r="T667" s="40">
        <v>0</v>
      </c>
      <c r="U667" s="40">
        <v>0</v>
      </c>
      <c r="V667" s="40">
        <v>0</v>
      </c>
      <c r="W667" s="40">
        <v>0</v>
      </c>
      <c r="X667" s="67">
        <f t="shared" si="120"/>
        <v>276</v>
      </c>
      <c r="Z667" s="71"/>
      <c r="AA667" s="71"/>
      <c r="AB667" s="67" t="str">
        <f t="shared" si="121"/>
        <v/>
      </c>
      <c r="AD667" s="121"/>
      <c r="AE667" s="121"/>
    </row>
    <row r="668" spans="1:31" x14ac:dyDescent="0.25">
      <c r="A668" s="58" t="s">
        <v>943</v>
      </c>
      <c r="B668" s="7">
        <v>0.12083333333333333</v>
      </c>
      <c r="C668" s="58">
        <v>4.7</v>
      </c>
      <c r="D668" s="10" t="s">
        <v>813</v>
      </c>
      <c r="E668" s="40">
        <v>0</v>
      </c>
      <c r="F668" s="40">
        <v>2.5</v>
      </c>
      <c r="G668" s="40">
        <v>2</v>
      </c>
      <c r="H668" s="3">
        <f t="shared" si="109"/>
        <v>0</v>
      </c>
      <c r="I668" s="3">
        <f t="shared" si="110"/>
        <v>0.48958333333333337</v>
      </c>
      <c r="J668" s="3">
        <f t="shared" si="111"/>
        <v>0.39166666666666666</v>
      </c>
      <c r="K668" s="3"/>
      <c r="L668" s="60">
        <f t="shared" ref="L668:L731" si="122">+IF(C668="","",((L667-(H668+I668+J668))+K668))</f>
        <v>557.11291666666648</v>
      </c>
      <c r="M668" s="40">
        <v>0</v>
      </c>
      <c r="N668" s="40">
        <v>0</v>
      </c>
      <c r="O668" s="40">
        <v>0</v>
      </c>
      <c r="P668" s="40">
        <v>0</v>
      </c>
      <c r="Q668" s="40">
        <v>0</v>
      </c>
      <c r="R668" s="40">
        <v>0</v>
      </c>
      <c r="S668" s="61">
        <f t="shared" si="119"/>
        <v>60.700000000000102</v>
      </c>
      <c r="T668" s="40">
        <v>0</v>
      </c>
      <c r="U668" s="40">
        <v>0</v>
      </c>
      <c r="V668" s="40">
        <v>0</v>
      </c>
      <c r="W668" s="40">
        <v>0</v>
      </c>
      <c r="X668" s="67">
        <f t="shared" si="120"/>
        <v>276</v>
      </c>
      <c r="Z668" s="71"/>
      <c r="AA668" s="71"/>
      <c r="AB668" s="67" t="str">
        <f t="shared" si="121"/>
        <v/>
      </c>
      <c r="AD668" s="121"/>
      <c r="AE668" s="121"/>
    </row>
    <row r="669" spans="1:31" x14ac:dyDescent="0.25">
      <c r="A669" s="58" t="s">
        <v>943</v>
      </c>
      <c r="B669" s="65">
        <v>0.33333333333333331</v>
      </c>
      <c r="C669" s="58">
        <v>5.0999999999999996</v>
      </c>
      <c r="D669" s="10" t="s">
        <v>944</v>
      </c>
      <c r="E669" s="40">
        <v>0</v>
      </c>
      <c r="F669" s="40">
        <v>2.5</v>
      </c>
      <c r="G669" s="40">
        <v>2</v>
      </c>
      <c r="H669" s="3">
        <f t="shared" si="109"/>
        <v>0</v>
      </c>
      <c r="I669" s="3">
        <f t="shared" si="110"/>
        <v>0.53125</v>
      </c>
      <c r="J669" s="3">
        <f t="shared" si="111"/>
        <v>0.42499999999999993</v>
      </c>
      <c r="K669" s="3"/>
      <c r="L669" s="60">
        <f t="shared" si="122"/>
        <v>556.15666666666652</v>
      </c>
      <c r="M669" s="40">
        <v>0</v>
      </c>
      <c r="N669" s="40">
        <v>0</v>
      </c>
      <c r="O669" s="40">
        <v>0</v>
      </c>
      <c r="P669" s="40">
        <v>0</v>
      </c>
      <c r="Q669" s="40">
        <v>1.3</v>
      </c>
      <c r="R669" s="40">
        <v>0</v>
      </c>
      <c r="S669" s="61">
        <f t="shared" si="119"/>
        <v>59.400000000000105</v>
      </c>
      <c r="T669" s="40">
        <v>0</v>
      </c>
      <c r="U669" s="40">
        <v>0</v>
      </c>
      <c r="V669" s="40">
        <v>5</v>
      </c>
      <c r="W669" s="40">
        <v>0</v>
      </c>
      <c r="X669" s="67">
        <f t="shared" si="120"/>
        <v>271</v>
      </c>
      <c r="Z669" s="71"/>
      <c r="AA669" s="71"/>
      <c r="AB669" s="67" t="str">
        <f t="shared" si="121"/>
        <v/>
      </c>
      <c r="AD669" s="121"/>
      <c r="AE669" s="121"/>
    </row>
    <row r="670" spans="1:31" x14ac:dyDescent="0.25">
      <c r="A670" s="58" t="s">
        <v>943</v>
      </c>
      <c r="B670" s="7">
        <v>0.90833333333333333</v>
      </c>
      <c r="C670" s="58">
        <v>13.8</v>
      </c>
      <c r="D670" s="10" t="s">
        <v>801</v>
      </c>
      <c r="E670" s="40">
        <v>0</v>
      </c>
      <c r="F670" s="40">
        <v>2.5</v>
      </c>
      <c r="G670" s="40">
        <v>2</v>
      </c>
      <c r="H670" s="3">
        <f t="shared" si="109"/>
        <v>0</v>
      </c>
      <c r="I670" s="3">
        <f t="shared" si="110"/>
        <v>1.4375000000000002</v>
      </c>
      <c r="J670" s="3">
        <f t="shared" si="111"/>
        <v>1.1499999999999999</v>
      </c>
      <c r="K670" s="3"/>
      <c r="L670" s="60">
        <f t="shared" si="122"/>
        <v>553.56916666666655</v>
      </c>
      <c r="M670" s="40">
        <v>0</v>
      </c>
      <c r="N670" s="40">
        <v>0</v>
      </c>
      <c r="O670" s="40">
        <v>0.1</v>
      </c>
      <c r="P670" s="40">
        <v>0</v>
      </c>
      <c r="Q670" s="40">
        <v>3.3</v>
      </c>
      <c r="R670" s="40">
        <v>0</v>
      </c>
      <c r="S670" s="61">
        <f t="shared" si="119"/>
        <v>56.000000000000107</v>
      </c>
      <c r="T670" s="40">
        <v>0</v>
      </c>
      <c r="U670" s="40">
        <v>0</v>
      </c>
      <c r="V670" s="40">
        <v>3</v>
      </c>
      <c r="W670" s="40">
        <v>0</v>
      </c>
      <c r="X670" s="67">
        <f t="shared" si="120"/>
        <v>268</v>
      </c>
      <c r="Z670" s="71"/>
      <c r="AA670" s="71"/>
      <c r="AB670" s="67" t="str">
        <f t="shared" si="121"/>
        <v/>
      </c>
      <c r="AD670" s="121"/>
      <c r="AE670" s="121"/>
    </row>
    <row r="671" spans="1:31" x14ac:dyDescent="0.25">
      <c r="A671" s="58" t="s">
        <v>943</v>
      </c>
      <c r="B671" s="7">
        <v>0.98749999999999993</v>
      </c>
      <c r="C671" s="58">
        <v>2</v>
      </c>
      <c r="D671" s="10" t="s">
        <v>945</v>
      </c>
      <c r="E671" s="40">
        <v>0</v>
      </c>
      <c r="F671" s="40">
        <v>2.5</v>
      </c>
      <c r="G671" s="40">
        <v>2</v>
      </c>
      <c r="H671" s="3">
        <f t="shared" si="109"/>
        <v>0</v>
      </c>
      <c r="I671" s="3">
        <f t="shared" si="110"/>
        <v>0.20833333333333334</v>
      </c>
      <c r="J671" s="3">
        <f t="shared" si="111"/>
        <v>0.16666666666666666</v>
      </c>
      <c r="K671" s="3"/>
      <c r="L671" s="60">
        <f t="shared" si="122"/>
        <v>553.19416666666655</v>
      </c>
      <c r="M671" s="40">
        <v>0</v>
      </c>
      <c r="N671" s="40">
        <v>0</v>
      </c>
      <c r="O671" s="40">
        <v>0</v>
      </c>
      <c r="P671" s="40">
        <v>0</v>
      </c>
      <c r="Q671" s="40">
        <v>0</v>
      </c>
      <c r="R671" s="40">
        <v>0</v>
      </c>
      <c r="S671" s="61">
        <f t="shared" si="119"/>
        <v>56.000000000000107</v>
      </c>
      <c r="T671" s="40">
        <v>0</v>
      </c>
      <c r="U671" s="40">
        <v>0</v>
      </c>
      <c r="V671" s="40">
        <v>0</v>
      </c>
      <c r="W671" s="40">
        <v>0</v>
      </c>
      <c r="X671" s="67">
        <f t="shared" si="120"/>
        <v>268</v>
      </c>
      <c r="Z671" s="71"/>
      <c r="AA671" s="71"/>
      <c r="AB671" s="67" t="str">
        <f t="shared" si="121"/>
        <v/>
      </c>
      <c r="AD671" s="121"/>
      <c r="AE671" s="121"/>
    </row>
    <row r="672" spans="1:31" x14ac:dyDescent="0.25">
      <c r="A672" s="58" t="s">
        <v>946</v>
      </c>
      <c r="B672" s="7">
        <v>2.0833333333333332E-2</v>
      </c>
      <c r="C672" s="58">
        <v>0.7</v>
      </c>
      <c r="D672" s="10" t="s">
        <v>947</v>
      </c>
      <c r="E672" s="40">
        <v>5</v>
      </c>
      <c r="F672" s="40">
        <v>2.5</v>
      </c>
      <c r="G672" s="40">
        <v>2</v>
      </c>
      <c r="H672" s="3">
        <f t="shared" si="109"/>
        <v>0.14583333333333334</v>
      </c>
      <c r="I672" s="3">
        <f t="shared" si="110"/>
        <v>7.2916666666666671E-2</v>
      </c>
      <c r="J672" s="3">
        <f t="shared" si="111"/>
        <v>5.8333333333333327E-2</v>
      </c>
      <c r="K672" s="3"/>
      <c r="L672" s="60">
        <f t="shared" si="122"/>
        <v>552.91708333333327</v>
      </c>
      <c r="M672" s="40">
        <v>0</v>
      </c>
      <c r="N672" s="40">
        <v>0</v>
      </c>
      <c r="O672" s="40">
        <v>0</v>
      </c>
      <c r="P672" s="40">
        <v>0</v>
      </c>
      <c r="Q672" s="40">
        <v>0</v>
      </c>
      <c r="R672" s="40">
        <v>0</v>
      </c>
      <c r="S672" s="61">
        <f t="shared" si="119"/>
        <v>56.000000000000107</v>
      </c>
      <c r="T672" s="40">
        <v>0</v>
      </c>
      <c r="U672" s="40">
        <v>0</v>
      </c>
      <c r="V672" s="40">
        <v>0</v>
      </c>
      <c r="W672" s="40">
        <v>0</v>
      </c>
      <c r="X672" s="67">
        <f t="shared" si="120"/>
        <v>268</v>
      </c>
      <c r="Z672" s="71"/>
      <c r="AA672" s="71"/>
      <c r="AB672" s="67" t="str">
        <f t="shared" si="121"/>
        <v/>
      </c>
      <c r="AD672" s="121"/>
      <c r="AE672" s="121"/>
    </row>
    <row r="673" spans="1:31" x14ac:dyDescent="0.25">
      <c r="A673" s="58" t="s">
        <v>946</v>
      </c>
      <c r="B673" s="7">
        <v>4.1666666666666664E-2</v>
      </c>
      <c r="C673" s="58">
        <v>0.5</v>
      </c>
      <c r="D673" s="10" t="s">
        <v>658</v>
      </c>
      <c r="E673" s="40">
        <v>10</v>
      </c>
      <c r="F673" s="40">
        <v>2.5</v>
      </c>
      <c r="G673" s="40">
        <v>2</v>
      </c>
      <c r="H673" s="3">
        <f t="shared" si="109"/>
        <v>0.20833333333333334</v>
      </c>
      <c r="I673" s="3">
        <f t="shared" si="110"/>
        <v>5.2083333333333336E-2</v>
      </c>
      <c r="J673" s="3">
        <f t="shared" si="111"/>
        <v>4.1666666666666664E-2</v>
      </c>
      <c r="K673" s="3"/>
      <c r="L673" s="60">
        <f t="shared" si="122"/>
        <v>552.6149999999999</v>
      </c>
      <c r="M673" s="40">
        <v>0</v>
      </c>
      <c r="N673" s="40">
        <v>0</v>
      </c>
      <c r="O673" s="40">
        <v>0</v>
      </c>
      <c r="P673" s="40">
        <v>0</v>
      </c>
      <c r="Q673" s="40">
        <v>0</v>
      </c>
      <c r="R673" s="40">
        <v>0</v>
      </c>
      <c r="S673" s="61">
        <f t="shared" si="119"/>
        <v>56.000000000000107</v>
      </c>
      <c r="T673" s="40">
        <v>0</v>
      </c>
      <c r="U673" s="40">
        <v>0</v>
      </c>
      <c r="V673" s="40">
        <v>0</v>
      </c>
      <c r="W673" s="40">
        <v>0</v>
      </c>
      <c r="X673" s="67">
        <f t="shared" si="120"/>
        <v>268</v>
      </c>
      <c r="Z673" s="71"/>
      <c r="AA673" s="71"/>
      <c r="AB673" s="67" t="str">
        <f t="shared" si="121"/>
        <v/>
      </c>
      <c r="AD673" s="121"/>
      <c r="AE673" s="121"/>
    </row>
    <row r="674" spans="1:31" x14ac:dyDescent="0.25">
      <c r="A674" s="58" t="s">
        <v>946</v>
      </c>
      <c r="B674" s="65">
        <v>0.33333333333333331</v>
      </c>
      <c r="C674" s="58">
        <v>7</v>
      </c>
      <c r="D674" s="10" t="s">
        <v>835</v>
      </c>
      <c r="E674" s="40">
        <v>22</v>
      </c>
      <c r="F674" s="40">
        <v>2.5</v>
      </c>
      <c r="G674" s="40">
        <v>2</v>
      </c>
      <c r="H674" s="3">
        <f t="shared" si="109"/>
        <v>6.4166666666666661</v>
      </c>
      <c r="I674" s="3">
        <f t="shared" si="110"/>
        <v>0.72916666666666674</v>
      </c>
      <c r="J674" s="3">
        <f t="shared" si="111"/>
        <v>0.58333333333333326</v>
      </c>
      <c r="K674" s="3"/>
      <c r="L674" s="60">
        <f t="shared" si="122"/>
        <v>544.88583333333327</v>
      </c>
      <c r="M674" s="40">
        <v>0</v>
      </c>
      <c r="N674" s="40">
        <v>0</v>
      </c>
      <c r="O674" s="40">
        <v>0.1</v>
      </c>
      <c r="P674" s="40">
        <v>0</v>
      </c>
      <c r="Q674" s="40">
        <v>0</v>
      </c>
      <c r="R674" s="40">
        <v>0</v>
      </c>
      <c r="S674" s="61">
        <f t="shared" si="119"/>
        <v>55.900000000000105</v>
      </c>
      <c r="T674" s="40">
        <v>2</v>
      </c>
      <c r="U674" s="40">
        <v>0</v>
      </c>
      <c r="V674" s="40">
        <v>2</v>
      </c>
      <c r="W674" s="40">
        <v>0</v>
      </c>
      <c r="X674" s="67">
        <f t="shared" si="120"/>
        <v>268</v>
      </c>
      <c r="Z674" s="71"/>
      <c r="AA674" s="71"/>
      <c r="AB674" s="67" t="str">
        <f t="shared" si="121"/>
        <v/>
      </c>
      <c r="AD674" s="121"/>
      <c r="AE674" s="121"/>
    </row>
    <row r="675" spans="1:31" x14ac:dyDescent="0.25">
      <c r="A675" s="58" t="s">
        <v>946</v>
      </c>
      <c r="B675" s="7">
        <v>0.83333333333333337</v>
      </c>
      <c r="C675" s="58">
        <v>12</v>
      </c>
      <c r="D675" s="10" t="s">
        <v>948</v>
      </c>
      <c r="E675" s="40">
        <v>22</v>
      </c>
      <c r="F675" s="40">
        <v>2</v>
      </c>
      <c r="G675" s="40">
        <v>2</v>
      </c>
      <c r="H675" s="3">
        <f t="shared" si="109"/>
        <v>11</v>
      </c>
      <c r="I675" s="3">
        <f t="shared" si="110"/>
        <v>1</v>
      </c>
      <c r="J675" s="3">
        <f t="shared" si="111"/>
        <v>1</v>
      </c>
      <c r="K675" s="3"/>
      <c r="L675" s="60">
        <f t="shared" si="122"/>
        <v>531.88583333333327</v>
      </c>
      <c r="M675" s="40">
        <v>0</v>
      </c>
      <c r="N675" s="40">
        <v>0</v>
      </c>
      <c r="O675" s="40">
        <v>0.1</v>
      </c>
      <c r="P675" s="40">
        <v>0</v>
      </c>
      <c r="Q675" s="40">
        <v>0</v>
      </c>
      <c r="R675" s="40">
        <v>0</v>
      </c>
      <c r="S675" s="61">
        <f t="shared" si="119"/>
        <v>55.800000000000104</v>
      </c>
      <c r="T675" s="40">
        <v>3</v>
      </c>
      <c r="U675" s="40">
        <v>0</v>
      </c>
      <c r="V675" s="40">
        <v>4</v>
      </c>
      <c r="W675" s="40">
        <v>0</v>
      </c>
      <c r="X675" s="67">
        <f t="shared" si="120"/>
        <v>267</v>
      </c>
      <c r="Z675" s="71"/>
      <c r="AA675" s="71"/>
      <c r="AB675" s="67" t="str">
        <f t="shared" si="121"/>
        <v/>
      </c>
      <c r="AD675" s="121">
        <v>11.9</v>
      </c>
      <c r="AE675" s="121" t="s">
        <v>1296</v>
      </c>
    </row>
    <row r="676" spans="1:31" x14ac:dyDescent="0.25">
      <c r="A676" s="58" t="s">
        <v>946</v>
      </c>
      <c r="B676" s="7">
        <v>0.87916666666666676</v>
      </c>
      <c r="C676" s="58">
        <v>1</v>
      </c>
      <c r="D676" s="10" t="s">
        <v>949</v>
      </c>
      <c r="E676" s="40">
        <v>10</v>
      </c>
      <c r="F676" s="40">
        <v>2.5</v>
      </c>
      <c r="G676" s="40">
        <v>2</v>
      </c>
      <c r="H676" s="3">
        <f t="shared" si="109"/>
        <v>0.41666666666666669</v>
      </c>
      <c r="I676" s="3">
        <f t="shared" si="110"/>
        <v>0.10416666666666667</v>
      </c>
      <c r="J676" s="3">
        <f t="shared" si="111"/>
        <v>8.3333333333333329E-2</v>
      </c>
      <c r="K676" s="3"/>
      <c r="L676" s="60">
        <f t="shared" si="122"/>
        <v>531.28166666666664</v>
      </c>
      <c r="M676" s="40">
        <v>0</v>
      </c>
      <c r="N676" s="40">
        <v>0</v>
      </c>
      <c r="O676" s="40">
        <v>0</v>
      </c>
      <c r="P676" s="40">
        <v>0</v>
      </c>
      <c r="Q676" s="40">
        <v>0</v>
      </c>
      <c r="R676" s="40">
        <v>0</v>
      </c>
      <c r="S676" s="61">
        <f t="shared" si="119"/>
        <v>55.800000000000104</v>
      </c>
      <c r="T676" s="40">
        <v>0</v>
      </c>
      <c r="U676" s="40">
        <v>0</v>
      </c>
      <c r="V676" s="40">
        <v>0</v>
      </c>
      <c r="W676" s="40">
        <v>0</v>
      </c>
      <c r="X676" s="67">
        <f t="shared" si="120"/>
        <v>267</v>
      </c>
      <c r="Z676" s="71"/>
      <c r="AA676" s="71"/>
      <c r="AB676" s="67" t="str">
        <f t="shared" si="121"/>
        <v/>
      </c>
      <c r="AD676" s="121"/>
      <c r="AE676" s="121"/>
    </row>
    <row r="677" spans="1:31" x14ac:dyDescent="0.25">
      <c r="A677" s="58" t="s">
        <v>950</v>
      </c>
      <c r="B677" s="65">
        <v>0.33333333333333331</v>
      </c>
      <c r="C677" s="58">
        <v>11</v>
      </c>
      <c r="D677" s="10" t="s">
        <v>949</v>
      </c>
      <c r="E677" s="40">
        <v>0</v>
      </c>
      <c r="F677" s="40">
        <v>2.5</v>
      </c>
      <c r="G677" s="40">
        <v>2</v>
      </c>
      <c r="H677" s="3">
        <f t="shared" si="109"/>
        <v>0</v>
      </c>
      <c r="I677" s="3">
        <f t="shared" si="110"/>
        <v>1.1458333333333335</v>
      </c>
      <c r="J677" s="3">
        <f t="shared" si="111"/>
        <v>0.91666666666666663</v>
      </c>
      <c r="K677" s="3"/>
      <c r="L677" s="60">
        <f t="shared" si="122"/>
        <v>529.21916666666664</v>
      </c>
      <c r="M677" s="40">
        <v>0</v>
      </c>
      <c r="N677" s="40">
        <v>0</v>
      </c>
      <c r="O677" s="40">
        <v>0</v>
      </c>
      <c r="P677" s="40">
        <v>0</v>
      </c>
      <c r="Q677" s="40">
        <v>0</v>
      </c>
      <c r="R677" s="40">
        <v>0</v>
      </c>
      <c r="S677" s="61">
        <f t="shared" si="119"/>
        <v>55.800000000000104</v>
      </c>
      <c r="T677" s="40">
        <v>0</v>
      </c>
      <c r="U677" s="40">
        <v>0</v>
      </c>
      <c r="V677" s="40">
        <v>0</v>
      </c>
      <c r="W677" s="40">
        <v>0</v>
      </c>
      <c r="X677" s="67">
        <f t="shared" si="120"/>
        <v>267</v>
      </c>
      <c r="Z677" s="71"/>
      <c r="AA677" s="71"/>
      <c r="AB677" s="67" t="str">
        <f t="shared" si="121"/>
        <v/>
      </c>
      <c r="AD677" s="121"/>
      <c r="AE677" s="121"/>
    </row>
    <row r="678" spans="1:31" x14ac:dyDescent="0.25">
      <c r="A678" s="58" t="s">
        <v>950</v>
      </c>
      <c r="B678" s="7">
        <v>0.60416666666666663</v>
      </c>
      <c r="C678" s="58">
        <v>6.5</v>
      </c>
      <c r="D678" s="10" t="s">
        <v>945</v>
      </c>
      <c r="E678" s="40">
        <v>0</v>
      </c>
      <c r="F678" s="40">
        <v>2.5</v>
      </c>
      <c r="G678" s="40">
        <v>2</v>
      </c>
      <c r="H678" s="3">
        <f t="shared" si="109"/>
        <v>0</v>
      </c>
      <c r="I678" s="3">
        <f t="shared" si="110"/>
        <v>0.67708333333333337</v>
      </c>
      <c r="J678" s="3">
        <f t="shared" si="111"/>
        <v>0.54166666666666663</v>
      </c>
      <c r="K678" s="3"/>
      <c r="L678" s="60">
        <f t="shared" si="122"/>
        <v>528.00041666666664</v>
      </c>
      <c r="M678" s="40">
        <v>0</v>
      </c>
      <c r="N678" s="40">
        <v>0</v>
      </c>
      <c r="O678" s="40">
        <v>0</v>
      </c>
      <c r="P678" s="40">
        <v>0</v>
      </c>
      <c r="Q678" s="40">
        <v>0</v>
      </c>
      <c r="R678" s="40">
        <v>0</v>
      </c>
      <c r="S678" s="61">
        <f t="shared" si="119"/>
        <v>55.800000000000104</v>
      </c>
      <c r="T678" s="40">
        <v>0</v>
      </c>
      <c r="U678" s="40">
        <v>0</v>
      </c>
      <c r="V678" s="40">
        <v>2</v>
      </c>
      <c r="W678" s="40">
        <v>0</v>
      </c>
      <c r="X678" s="67">
        <f t="shared" si="120"/>
        <v>265</v>
      </c>
      <c r="Z678" s="71"/>
      <c r="AA678" s="71"/>
      <c r="AB678" s="67" t="str">
        <f t="shared" si="121"/>
        <v/>
      </c>
      <c r="AD678" s="121"/>
      <c r="AE678" s="121"/>
    </row>
    <row r="679" spans="1:31" x14ac:dyDescent="0.25">
      <c r="A679" s="58" t="s">
        <v>950</v>
      </c>
      <c r="B679" s="7">
        <v>0.64166666666666672</v>
      </c>
      <c r="C679" s="58">
        <v>1</v>
      </c>
      <c r="D679" s="10" t="s">
        <v>951</v>
      </c>
      <c r="E679" s="40">
        <v>10</v>
      </c>
      <c r="F679" s="40">
        <v>2.5</v>
      </c>
      <c r="G679" s="40">
        <v>2</v>
      </c>
      <c r="H679" s="3">
        <f t="shared" si="109"/>
        <v>0.41666666666666669</v>
      </c>
      <c r="I679" s="3">
        <f t="shared" si="110"/>
        <v>0.10416666666666667</v>
      </c>
      <c r="J679" s="3">
        <f t="shared" si="111"/>
        <v>8.3333333333333329E-2</v>
      </c>
      <c r="K679" s="3"/>
      <c r="L679" s="60">
        <f t="shared" si="122"/>
        <v>527.39625000000001</v>
      </c>
      <c r="M679" s="40">
        <v>0</v>
      </c>
      <c r="N679" s="40">
        <v>0</v>
      </c>
      <c r="O679" s="40">
        <v>0</v>
      </c>
      <c r="P679" s="40">
        <v>0.1</v>
      </c>
      <c r="Q679" s="40">
        <v>0</v>
      </c>
      <c r="R679" s="40">
        <v>0</v>
      </c>
      <c r="S679" s="61">
        <f t="shared" si="119"/>
        <v>55.700000000000102</v>
      </c>
      <c r="T679" s="40">
        <v>0</v>
      </c>
      <c r="U679" s="40">
        <v>0</v>
      </c>
      <c r="V679" s="40">
        <v>0</v>
      </c>
      <c r="W679" s="40">
        <v>0</v>
      </c>
      <c r="X679" s="67">
        <f t="shared" si="120"/>
        <v>265</v>
      </c>
      <c r="Z679" s="71"/>
      <c r="AA679" s="71"/>
      <c r="AB679" s="67" t="str">
        <f t="shared" si="121"/>
        <v/>
      </c>
      <c r="AD679" s="121"/>
      <c r="AE679" s="121"/>
    </row>
    <row r="680" spans="1:31" x14ac:dyDescent="0.25">
      <c r="A680" s="58" t="s">
        <v>952</v>
      </c>
      <c r="B680" s="7">
        <v>7.4999999999999997E-2</v>
      </c>
      <c r="C680" s="58">
        <v>10.8</v>
      </c>
      <c r="D680" s="10" t="s">
        <v>953</v>
      </c>
      <c r="E680" s="40">
        <v>0</v>
      </c>
      <c r="F680" s="40">
        <v>2.5</v>
      </c>
      <c r="G680" s="40">
        <v>2</v>
      </c>
      <c r="H680" s="3">
        <f t="shared" si="109"/>
        <v>0</v>
      </c>
      <c r="I680" s="3">
        <f t="shared" si="110"/>
        <v>1.1250000000000002</v>
      </c>
      <c r="J680" s="3">
        <f t="shared" si="111"/>
        <v>0.9</v>
      </c>
      <c r="K680" s="3"/>
      <c r="L680" s="60">
        <f t="shared" si="122"/>
        <v>525.37125000000003</v>
      </c>
      <c r="M680" s="40">
        <v>0</v>
      </c>
      <c r="N680" s="40">
        <v>0</v>
      </c>
      <c r="O680" s="40">
        <v>0</v>
      </c>
      <c r="P680" s="40">
        <v>0</v>
      </c>
      <c r="Q680" s="40">
        <v>0</v>
      </c>
      <c r="R680" s="40">
        <v>0</v>
      </c>
      <c r="S680" s="61">
        <f t="shared" si="119"/>
        <v>55.700000000000102</v>
      </c>
      <c r="T680" s="40">
        <v>0</v>
      </c>
      <c r="U680" s="40">
        <v>0</v>
      </c>
      <c r="V680" s="40">
        <v>3</v>
      </c>
      <c r="W680" s="40">
        <v>0</v>
      </c>
      <c r="X680" s="67">
        <f t="shared" si="120"/>
        <v>262</v>
      </c>
      <c r="Z680" s="71"/>
      <c r="AA680" s="71"/>
      <c r="AB680" s="67" t="str">
        <f t="shared" si="121"/>
        <v/>
      </c>
      <c r="AD680" s="121"/>
      <c r="AE680" s="121"/>
    </row>
    <row r="681" spans="1:31" x14ac:dyDescent="0.25">
      <c r="A681" s="58" t="s">
        <v>952</v>
      </c>
      <c r="B681" s="7">
        <v>0.25</v>
      </c>
      <c r="C681" s="58">
        <v>4.2</v>
      </c>
      <c r="D681" s="10" t="s">
        <v>625</v>
      </c>
      <c r="E681" s="40">
        <v>0</v>
      </c>
      <c r="F681" s="40">
        <v>2.5</v>
      </c>
      <c r="G681" s="40">
        <v>2</v>
      </c>
      <c r="H681" s="3">
        <f t="shared" si="109"/>
        <v>0</v>
      </c>
      <c r="I681" s="3">
        <f t="shared" si="110"/>
        <v>0.43750000000000006</v>
      </c>
      <c r="J681" s="3">
        <f t="shared" si="111"/>
        <v>0.35</v>
      </c>
      <c r="K681" s="3"/>
      <c r="L681" s="60">
        <f t="shared" si="122"/>
        <v>524.58375000000001</v>
      </c>
      <c r="M681" s="40">
        <v>0</v>
      </c>
      <c r="N681" s="40">
        <v>0</v>
      </c>
      <c r="O681" s="40">
        <v>0</v>
      </c>
      <c r="P681" s="40">
        <v>0</v>
      </c>
      <c r="Q681" s="40">
        <v>0</v>
      </c>
      <c r="R681" s="40">
        <v>0</v>
      </c>
      <c r="S681" s="61">
        <f t="shared" si="119"/>
        <v>55.700000000000102</v>
      </c>
      <c r="T681" s="40">
        <v>0</v>
      </c>
      <c r="U681" s="40">
        <v>0</v>
      </c>
      <c r="V681" s="40">
        <v>0</v>
      </c>
      <c r="W681" s="40">
        <v>0</v>
      </c>
      <c r="X681" s="67">
        <f t="shared" si="120"/>
        <v>262</v>
      </c>
      <c r="Z681" s="71"/>
      <c r="AA681" s="71"/>
      <c r="AB681" s="67" t="str">
        <f t="shared" si="121"/>
        <v/>
      </c>
      <c r="AD681" s="121"/>
      <c r="AE681" s="121"/>
    </row>
    <row r="682" spans="1:31" x14ac:dyDescent="0.25">
      <c r="A682" s="58" t="s">
        <v>952</v>
      </c>
      <c r="B682" s="7">
        <v>0.26250000000000001</v>
      </c>
      <c r="C682" s="58">
        <v>0.2</v>
      </c>
      <c r="D682" s="10" t="s">
        <v>947</v>
      </c>
      <c r="E682" s="40">
        <v>10</v>
      </c>
      <c r="F682" s="40">
        <v>2.5</v>
      </c>
      <c r="G682" s="40">
        <v>2</v>
      </c>
      <c r="H682" s="3">
        <f t="shared" si="109"/>
        <v>8.3333333333333343E-2</v>
      </c>
      <c r="I682" s="3">
        <f t="shared" si="110"/>
        <v>2.0833333333333336E-2</v>
      </c>
      <c r="J682" s="3">
        <f t="shared" si="111"/>
        <v>1.6666666666666666E-2</v>
      </c>
      <c r="K682" s="3"/>
      <c r="L682" s="60">
        <f t="shared" si="122"/>
        <v>524.46291666666673</v>
      </c>
      <c r="M682" s="40">
        <v>0</v>
      </c>
      <c r="N682" s="40">
        <v>0</v>
      </c>
      <c r="O682" s="40">
        <v>0</v>
      </c>
      <c r="P682" s="40">
        <v>0</v>
      </c>
      <c r="Q682" s="40">
        <v>0</v>
      </c>
      <c r="R682" s="40">
        <v>0</v>
      </c>
      <c r="S682" s="61">
        <f t="shared" si="119"/>
        <v>55.700000000000102</v>
      </c>
      <c r="T682" s="40">
        <v>0</v>
      </c>
      <c r="U682" s="40">
        <v>0</v>
      </c>
      <c r="V682" s="40">
        <v>0</v>
      </c>
      <c r="W682" s="40">
        <v>0</v>
      </c>
      <c r="X682" s="67">
        <f t="shared" si="120"/>
        <v>262</v>
      </c>
      <c r="Z682" s="71"/>
      <c r="AA682" s="71"/>
      <c r="AB682" s="67" t="str">
        <f t="shared" si="121"/>
        <v/>
      </c>
      <c r="AD682" s="121"/>
      <c r="AE682" s="121"/>
    </row>
    <row r="683" spans="1:31" x14ac:dyDescent="0.25">
      <c r="A683" s="58" t="s">
        <v>952</v>
      </c>
      <c r="B683" s="7">
        <v>0.29166666666666669</v>
      </c>
      <c r="C683" s="58">
        <v>0.8</v>
      </c>
      <c r="D683" s="10" t="s">
        <v>658</v>
      </c>
      <c r="E683" s="40">
        <v>10</v>
      </c>
      <c r="F683" s="40">
        <v>2.5</v>
      </c>
      <c r="G683" s="40">
        <v>2</v>
      </c>
      <c r="H683" s="3">
        <f>+IF(E683="","",(E683/24)*C683)</f>
        <v>0.33333333333333337</v>
      </c>
      <c r="I683" s="3">
        <f t="shared" si="110"/>
        <v>8.3333333333333343E-2</v>
      </c>
      <c r="J683" s="3">
        <f t="shared" si="111"/>
        <v>6.6666666666666666E-2</v>
      </c>
      <c r="K683" s="3"/>
      <c r="L683" s="60">
        <f t="shared" si="122"/>
        <v>523.97958333333338</v>
      </c>
      <c r="M683" s="40">
        <v>0</v>
      </c>
      <c r="N683" s="40">
        <v>0</v>
      </c>
      <c r="O683" s="40">
        <v>0</v>
      </c>
      <c r="P683" s="40">
        <v>0</v>
      </c>
      <c r="Q683" s="40">
        <v>0</v>
      </c>
      <c r="R683" s="40">
        <v>0</v>
      </c>
      <c r="S683" s="61">
        <f t="shared" si="119"/>
        <v>55.700000000000102</v>
      </c>
      <c r="T683" s="40">
        <v>0</v>
      </c>
      <c r="U683" s="40">
        <v>0</v>
      </c>
      <c r="V683" s="40">
        <v>0</v>
      </c>
      <c r="W683" s="40">
        <v>0</v>
      </c>
      <c r="X683" s="67">
        <f t="shared" si="120"/>
        <v>262</v>
      </c>
      <c r="Z683" s="71"/>
      <c r="AA683" s="71"/>
      <c r="AB683" s="67" t="str">
        <f t="shared" si="121"/>
        <v/>
      </c>
      <c r="AD683" s="121"/>
      <c r="AE683" s="121"/>
    </row>
    <row r="684" spans="1:31" x14ac:dyDescent="0.25">
      <c r="A684" s="58" t="s">
        <v>952</v>
      </c>
      <c r="B684" s="65">
        <v>0.33333333333333331</v>
      </c>
      <c r="C684" s="58">
        <v>0.5</v>
      </c>
      <c r="D684" s="10" t="s">
        <v>355</v>
      </c>
      <c r="E684" s="40">
        <v>22</v>
      </c>
      <c r="F684" s="40">
        <v>2.5</v>
      </c>
      <c r="G684" s="40">
        <v>2</v>
      </c>
      <c r="H684" s="3">
        <f t="shared" si="109"/>
        <v>0.45833333333333331</v>
      </c>
      <c r="I684" s="3">
        <f t="shared" si="110"/>
        <v>5.2083333333333336E-2</v>
      </c>
      <c r="J684" s="3">
        <f t="shared" si="111"/>
        <v>4.1666666666666664E-2</v>
      </c>
      <c r="K684" s="3"/>
      <c r="L684" s="60">
        <f t="shared" si="122"/>
        <v>523.42750000000001</v>
      </c>
      <c r="M684" s="40">
        <v>0</v>
      </c>
      <c r="N684" s="40">
        <v>0</v>
      </c>
      <c r="O684" s="40">
        <v>0</v>
      </c>
      <c r="P684" s="40">
        <v>0</v>
      </c>
      <c r="Q684" s="40">
        <v>0</v>
      </c>
      <c r="R684" s="40">
        <v>0</v>
      </c>
      <c r="S684" s="61">
        <f t="shared" si="119"/>
        <v>55.700000000000102</v>
      </c>
      <c r="T684" s="40">
        <v>0</v>
      </c>
      <c r="U684" s="40">
        <v>0</v>
      </c>
      <c r="V684" s="40">
        <v>2</v>
      </c>
      <c r="W684" s="40">
        <v>0</v>
      </c>
      <c r="X684" s="67">
        <f t="shared" si="120"/>
        <v>260</v>
      </c>
      <c r="Z684" s="71">
        <v>101</v>
      </c>
      <c r="AA684" s="71">
        <v>30</v>
      </c>
      <c r="AB684" s="67">
        <f t="shared" si="121"/>
        <v>131</v>
      </c>
      <c r="AD684" s="121"/>
      <c r="AE684" s="121"/>
    </row>
    <row r="685" spans="1:31" x14ac:dyDescent="0.25">
      <c r="A685" s="58" t="s">
        <v>954</v>
      </c>
      <c r="B685" s="65">
        <v>0.33333333333333331</v>
      </c>
      <c r="C685" s="58">
        <v>24</v>
      </c>
      <c r="D685" s="10" t="s">
        <v>355</v>
      </c>
      <c r="E685" s="40">
        <v>23</v>
      </c>
      <c r="F685" s="40">
        <v>2.5</v>
      </c>
      <c r="G685" s="40">
        <v>2</v>
      </c>
      <c r="H685" s="3">
        <f t="shared" si="109"/>
        <v>23</v>
      </c>
      <c r="I685" s="3">
        <f t="shared" si="110"/>
        <v>2.5</v>
      </c>
      <c r="J685" s="3">
        <f t="shared" si="111"/>
        <v>2</v>
      </c>
      <c r="K685" s="3"/>
      <c r="L685" s="60">
        <f t="shared" si="122"/>
        <v>495.92750000000001</v>
      </c>
      <c r="M685" s="40">
        <v>0</v>
      </c>
      <c r="N685" s="40">
        <v>0</v>
      </c>
      <c r="O685" s="40">
        <v>0</v>
      </c>
      <c r="P685" s="40">
        <v>0.2</v>
      </c>
      <c r="Q685" s="40">
        <v>0</v>
      </c>
      <c r="R685" s="40">
        <v>0</v>
      </c>
      <c r="S685" s="61">
        <f t="shared" si="119"/>
        <v>55.500000000000099</v>
      </c>
      <c r="T685" s="40">
        <v>4</v>
      </c>
      <c r="U685" s="40">
        <v>0</v>
      </c>
      <c r="V685" s="40">
        <v>7</v>
      </c>
      <c r="W685" s="40">
        <v>0</v>
      </c>
      <c r="X685" s="67">
        <f t="shared" si="120"/>
        <v>257</v>
      </c>
      <c r="Z685" s="71">
        <v>97</v>
      </c>
      <c r="AA685" s="71">
        <v>30</v>
      </c>
      <c r="AB685" s="67">
        <f t="shared" si="121"/>
        <v>127</v>
      </c>
      <c r="AD685" s="121"/>
      <c r="AE685" s="121"/>
    </row>
    <row r="686" spans="1:31" x14ac:dyDescent="0.25">
      <c r="A686" s="58" t="s">
        <v>955</v>
      </c>
      <c r="B686" s="7">
        <v>0.3</v>
      </c>
      <c r="C686" s="58">
        <v>23.2</v>
      </c>
      <c r="D686" s="10" t="s">
        <v>956</v>
      </c>
      <c r="E686" s="40">
        <v>22</v>
      </c>
      <c r="F686" s="40">
        <v>2.5</v>
      </c>
      <c r="G686" s="40">
        <v>2</v>
      </c>
      <c r="H686" s="3">
        <f t="shared" si="109"/>
        <v>21.266666666666666</v>
      </c>
      <c r="I686" s="3">
        <f t="shared" si="110"/>
        <v>2.4166666666666665</v>
      </c>
      <c r="J686" s="3">
        <f t="shared" si="111"/>
        <v>1.9333333333333331</v>
      </c>
      <c r="K686" s="3"/>
      <c r="L686" s="60">
        <f t="shared" si="122"/>
        <v>470.31083333333333</v>
      </c>
      <c r="M686" s="40">
        <v>0</v>
      </c>
      <c r="N686" s="40">
        <v>0</v>
      </c>
      <c r="O686" s="40">
        <v>0</v>
      </c>
      <c r="P686" s="40">
        <v>0.1</v>
      </c>
      <c r="Q686" s="40">
        <v>0</v>
      </c>
      <c r="R686" s="40">
        <v>0</v>
      </c>
      <c r="S686" s="61">
        <f t="shared" si="119"/>
        <v>55.400000000000098</v>
      </c>
      <c r="T686" s="40">
        <v>4</v>
      </c>
      <c r="U686" s="40">
        <v>0</v>
      </c>
      <c r="V686" s="40">
        <v>5</v>
      </c>
      <c r="W686" s="40">
        <v>0</v>
      </c>
      <c r="X686" s="67">
        <f t="shared" si="120"/>
        <v>256</v>
      </c>
      <c r="Z686" s="71"/>
      <c r="AA686" s="71"/>
      <c r="AB686" s="67" t="str">
        <f t="shared" si="121"/>
        <v/>
      </c>
      <c r="AD686" s="121">
        <v>9.9</v>
      </c>
      <c r="AE686" s="121" t="s">
        <v>1302</v>
      </c>
    </row>
    <row r="687" spans="1:31" x14ac:dyDescent="0.25">
      <c r="A687" s="58" t="s">
        <v>955</v>
      </c>
      <c r="B687" s="65">
        <v>0.33333333333333331</v>
      </c>
      <c r="C687" s="58">
        <v>0.8</v>
      </c>
      <c r="D687" s="10" t="s">
        <v>957</v>
      </c>
      <c r="E687" s="40">
        <v>10</v>
      </c>
      <c r="F687" s="40">
        <v>2.5</v>
      </c>
      <c r="G687" s="40">
        <v>2</v>
      </c>
      <c r="H687" s="3">
        <f t="shared" si="109"/>
        <v>0.33333333333333337</v>
      </c>
      <c r="I687" s="3">
        <f t="shared" si="110"/>
        <v>8.3333333333333343E-2</v>
      </c>
      <c r="J687" s="3">
        <f t="shared" si="111"/>
        <v>6.6666666666666666E-2</v>
      </c>
      <c r="K687" s="3"/>
      <c r="L687" s="60">
        <f t="shared" si="122"/>
        <v>469.82749999999999</v>
      </c>
      <c r="M687" s="40">
        <v>0</v>
      </c>
      <c r="N687" s="40">
        <v>0</v>
      </c>
      <c r="O687" s="40">
        <v>0</v>
      </c>
      <c r="P687" s="40">
        <v>0</v>
      </c>
      <c r="Q687" s="40">
        <v>0</v>
      </c>
      <c r="R687" s="40">
        <v>0</v>
      </c>
      <c r="S687" s="61">
        <f t="shared" si="119"/>
        <v>55.400000000000098</v>
      </c>
      <c r="T687" s="40">
        <v>0</v>
      </c>
      <c r="U687" s="40">
        <v>0</v>
      </c>
      <c r="V687" s="40">
        <v>0</v>
      </c>
      <c r="W687" s="40">
        <v>0</v>
      </c>
      <c r="X687" s="67">
        <f t="shared" si="120"/>
        <v>256</v>
      </c>
      <c r="Z687" s="71"/>
      <c r="AA687" s="71"/>
      <c r="AB687" s="67" t="str">
        <f t="shared" si="121"/>
        <v/>
      </c>
      <c r="AD687" s="121"/>
      <c r="AE687" s="121"/>
    </row>
    <row r="688" spans="1:31" x14ac:dyDescent="0.25">
      <c r="A688" s="58" t="s">
        <v>955</v>
      </c>
      <c r="B688" s="7">
        <v>0.34166666666666662</v>
      </c>
      <c r="C688" s="58">
        <v>0.2</v>
      </c>
      <c r="D688" s="10" t="s">
        <v>97</v>
      </c>
      <c r="E688" s="40">
        <v>10</v>
      </c>
      <c r="F688" s="40">
        <v>2.5</v>
      </c>
      <c r="G688" s="40">
        <v>2</v>
      </c>
      <c r="H688" s="3">
        <f t="shared" si="109"/>
        <v>8.3333333333333343E-2</v>
      </c>
      <c r="I688" s="3">
        <f t="shared" si="110"/>
        <v>2.0833333333333336E-2</v>
      </c>
      <c r="J688" s="3">
        <f t="shared" si="111"/>
        <v>1.6666666666666666E-2</v>
      </c>
      <c r="K688" s="3"/>
      <c r="L688" s="60">
        <f t="shared" si="122"/>
        <v>469.70666666666665</v>
      </c>
      <c r="M688" s="40">
        <v>0</v>
      </c>
      <c r="N688" s="40">
        <v>0</v>
      </c>
      <c r="O688" s="40">
        <v>0</v>
      </c>
      <c r="P688" s="40">
        <v>0</v>
      </c>
      <c r="Q688" s="40">
        <v>0</v>
      </c>
      <c r="R688" s="40">
        <v>0</v>
      </c>
      <c r="S688" s="61">
        <f t="shared" si="119"/>
        <v>55.400000000000098</v>
      </c>
      <c r="T688" s="40">
        <v>0</v>
      </c>
      <c r="U688" s="40">
        <v>0</v>
      </c>
      <c r="V688" s="40">
        <v>0</v>
      </c>
      <c r="W688" s="40">
        <v>0</v>
      </c>
      <c r="X688" s="67">
        <f t="shared" si="120"/>
        <v>256</v>
      </c>
      <c r="Z688" s="71"/>
      <c r="AA688" s="71"/>
      <c r="AB688" s="67" t="str">
        <f t="shared" si="121"/>
        <v/>
      </c>
      <c r="AD688" s="121"/>
      <c r="AE688" s="121"/>
    </row>
    <row r="689" spans="1:31" x14ac:dyDescent="0.25">
      <c r="A689" s="58" t="s">
        <v>958</v>
      </c>
      <c r="B689" s="65">
        <v>0.33333333333333331</v>
      </c>
      <c r="C689" s="58">
        <v>23.8</v>
      </c>
      <c r="D689" s="10" t="s">
        <v>97</v>
      </c>
      <c r="E689" s="40">
        <v>0</v>
      </c>
      <c r="F689" s="40">
        <v>2.5</v>
      </c>
      <c r="G689" s="40">
        <v>4</v>
      </c>
      <c r="H689" s="3">
        <f t="shared" si="109"/>
        <v>0</v>
      </c>
      <c r="I689" s="3">
        <f t="shared" si="110"/>
        <v>2.479166666666667</v>
      </c>
      <c r="J689" s="3">
        <f t="shared" si="111"/>
        <v>3.9666666666666668</v>
      </c>
      <c r="K689" s="3"/>
      <c r="L689" s="60">
        <f t="shared" si="122"/>
        <v>463.26083333333332</v>
      </c>
      <c r="M689" s="40">
        <v>0</v>
      </c>
      <c r="N689" s="40">
        <v>0</v>
      </c>
      <c r="O689" s="40">
        <v>0</v>
      </c>
      <c r="P689" s="40">
        <v>0.2</v>
      </c>
      <c r="Q689" s="40">
        <v>0</v>
      </c>
      <c r="R689" s="40">
        <v>0</v>
      </c>
      <c r="S689" s="61">
        <f t="shared" si="119"/>
        <v>55.200000000000095</v>
      </c>
      <c r="T689" s="40">
        <v>0</v>
      </c>
      <c r="U689" s="40">
        <v>0</v>
      </c>
      <c r="V689" s="40">
        <v>5</v>
      </c>
      <c r="W689" s="40">
        <v>0</v>
      </c>
      <c r="X689" s="67">
        <f t="shared" si="120"/>
        <v>251</v>
      </c>
      <c r="Z689" s="71"/>
      <c r="AA689" s="71"/>
      <c r="AB689" s="67" t="str">
        <f t="shared" si="121"/>
        <v/>
      </c>
      <c r="AD689" s="121"/>
      <c r="AE689" s="121"/>
    </row>
    <row r="690" spans="1:31" x14ac:dyDescent="0.25">
      <c r="A690" s="58" t="s">
        <v>959</v>
      </c>
      <c r="B690" s="65">
        <v>0.33333333333333331</v>
      </c>
      <c r="C690" s="58">
        <v>24</v>
      </c>
      <c r="D690" s="10" t="s">
        <v>97</v>
      </c>
      <c r="E690" s="40">
        <v>0</v>
      </c>
      <c r="F690" s="40">
        <v>2.5</v>
      </c>
      <c r="G690" s="40">
        <v>2</v>
      </c>
      <c r="H690" s="3">
        <f t="shared" ref="H690:H757" si="123">+IF(E690="","",(E690/24)*C690)</f>
        <v>0</v>
      </c>
      <c r="I690" s="3">
        <f t="shared" ref="I690:I706" si="124">+IF(F690="","",(F690/24)*C690)</f>
        <v>2.5</v>
      </c>
      <c r="J690" s="3">
        <f t="shared" ref="J690:J757" si="125">+IF(G690="","",(G690/24)*C690)</f>
        <v>2</v>
      </c>
      <c r="K690" s="3"/>
      <c r="L690" s="60">
        <f t="shared" si="122"/>
        <v>458.76083333333332</v>
      </c>
      <c r="M690" s="40">
        <v>0</v>
      </c>
      <c r="N690" s="40">
        <v>0</v>
      </c>
      <c r="O690" s="40">
        <v>0</v>
      </c>
      <c r="P690" s="40">
        <v>0.1</v>
      </c>
      <c r="Q690" s="40">
        <v>0</v>
      </c>
      <c r="R690" s="40">
        <v>0</v>
      </c>
      <c r="S690" s="61">
        <f t="shared" si="119"/>
        <v>55.100000000000094</v>
      </c>
      <c r="T690" s="40">
        <v>0</v>
      </c>
      <c r="U690" s="40">
        <v>0</v>
      </c>
      <c r="V690" s="40">
        <v>5</v>
      </c>
      <c r="W690" s="40">
        <v>0</v>
      </c>
      <c r="X690" s="67">
        <f t="shared" si="120"/>
        <v>246</v>
      </c>
      <c r="Z690" s="71"/>
      <c r="AA690" s="71"/>
      <c r="AB690" s="67" t="str">
        <f t="shared" si="121"/>
        <v/>
      </c>
      <c r="AD690" s="121"/>
      <c r="AE690" s="121"/>
    </row>
    <row r="691" spans="1:31" x14ac:dyDescent="0.25">
      <c r="A691" s="58" t="s">
        <v>959</v>
      </c>
      <c r="B691" s="7">
        <v>0.375</v>
      </c>
      <c r="C691" s="58">
        <v>1</v>
      </c>
      <c r="D691" s="10" t="s">
        <v>789</v>
      </c>
      <c r="E691" s="40">
        <v>0</v>
      </c>
      <c r="F691" s="40">
        <v>2.5</v>
      </c>
      <c r="G691" s="40">
        <v>2</v>
      </c>
      <c r="H691" s="3">
        <f t="shared" si="123"/>
        <v>0</v>
      </c>
      <c r="I691" s="3">
        <f t="shared" si="124"/>
        <v>0.10416666666666667</v>
      </c>
      <c r="J691" s="3">
        <f t="shared" si="125"/>
        <v>8.3333333333333329E-2</v>
      </c>
      <c r="K691" s="3"/>
      <c r="L691" s="60">
        <f t="shared" si="122"/>
        <v>458.57333333333332</v>
      </c>
      <c r="M691" s="40">
        <v>0</v>
      </c>
      <c r="N691" s="40">
        <v>0</v>
      </c>
      <c r="O691" s="40">
        <v>0</v>
      </c>
      <c r="P691" s="40">
        <v>0</v>
      </c>
      <c r="Q691" s="40">
        <v>0</v>
      </c>
      <c r="R691" s="40">
        <v>0</v>
      </c>
      <c r="S691" s="61">
        <f t="shared" si="119"/>
        <v>55.100000000000094</v>
      </c>
      <c r="T691" s="40">
        <v>0</v>
      </c>
      <c r="U691" s="40">
        <v>0</v>
      </c>
      <c r="V691" s="40">
        <v>0</v>
      </c>
      <c r="W691" s="40">
        <v>0</v>
      </c>
      <c r="X691" s="67">
        <f t="shared" si="120"/>
        <v>246</v>
      </c>
      <c r="Z691" s="71"/>
      <c r="AA691" s="71"/>
      <c r="AB691" s="67" t="str">
        <f t="shared" si="121"/>
        <v/>
      </c>
      <c r="AD691" s="121"/>
      <c r="AE691" s="121"/>
    </row>
    <row r="692" spans="1:31" x14ac:dyDescent="0.25">
      <c r="A692" s="58" t="s">
        <v>959</v>
      </c>
      <c r="B692" s="7">
        <v>0.41666666666666669</v>
      </c>
      <c r="C692" s="58">
        <v>1</v>
      </c>
      <c r="D692" s="10" t="s">
        <v>960</v>
      </c>
      <c r="E692" s="40">
        <v>10</v>
      </c>
      <c r="F692" s="40">
        <v>2.5</v>
      </c>
      <c r="G692" s="40">
        <v>2</v>
      </c>
      <c r="H692" s="3">
        <f t="shared" si="123"/>
        <v>0.41666666666666669</v>
      </c>
      <c r="I692" s="3">
        <f t="shared" si="124"/>
        <v>0.10416666666666667</v>
      </c>
      <c r="J692" s="3">
        <f t="shared" si="125"/>
        <v>8.3333333333333329E-2</v>
      </c>
      <c r="K692" s="3"/>
      <c r="L692" s="60">
        <f t="shared" si="122"/>
        <v>457.96916666666664</v>
      </c>
      <c r="M692" s="40">
        <v>0</v>
      </c>
      <c r="N692" s="40">
        <v>0</v>
      </c>
      <c r="O692" s="40">
        <v>0</v>
      </c>
      <c r="P692" s="40">
        <v>0</v>
      </c>
      <c r="Q692" s="40">
        <v>0</v>
      </c>
      <c r="R692" s="40">
        <v>0</v>
      </c>
      <c r="S692" s="61">
        <f t="shared" si="119"/>
        <v>55.100000000000094</v>
      </c>
      <c r="T692" s="40">
        <v>0</v>
      </c>
      <c r="U692" s="40">
        <v>0</v>
      </c>
      <c r="V692" s="40">
        <v>0</v>
      </c>
      <c r="W692" s="40">
        <v>0</v>
      </c>
      <c r="X692" s="67">
        <f t="shared" si="120"/>
        <v>246</v>
      </c>
      <c r="Z692" s="71"/>
      <c r="AA692" s="71"/>
      <c r="AB692" s="67" t="str">
        <f t="shared" si="121"/>
        <v/>
      </c>
      <c r="AD692" s="121"/>
      <c r="AE692" s="121"/>
    </row>
    <row r="693" spans="1:31" x14ac:dyDescent="0.25">
      <c r="A693" s="58" t="s">
        <v>959</v>
      </c>
      <c r="B693" s="7">
        <v>0.64583333333333337</v>
      </c>
      <c r="C693" s="58">
        <v>5.5</v>
      </c>
      <c r="D693" s="10" t="s">
        <v>789</v>
      </c>
      <c r="E693" s="40">
        <v>0</v>
      </c>
      <c r="F693" s="40">
        <v>2.5</v>
      </c>
      <c r="G693" s="40">
        <v>2</v>
      </c>
      <c r="H693" s="3">
        <f t="shared" si="123"/>
        <v>0</v>
      </c>
      <c r="I693" s="3">
        <f t="shared" si="124"/>
        <v>0.57291666666666674</v>
      </c>
      <c r="J693" s="3">
        <f t="shared" si="125"/>
        <v>0.45833333333333331</v>
      </c>
      <c r="K693" s="3"/>
      <c r="L693" s="60">
        <f t="shared" si="122"/>
        <v>456.93791666666664</v>
      </c>
      <c r="M693" s="40">
        <v>0</v>
      </c>
      <c r="N693" s="40">
        <v>0</v>
      </c>
      <c r="O693" s="40">
        <v>0</v>
      </c>
      <c r="P693" s="40">
        <v>0.1</v>
      </c>
      <c r="Q693" s="40">
        <v>0</v>
      </c>
      <c r="R693" s="40">
        <v>0</v>
      </c>
      <c r="S693" s="61">
        <f t="shared" si="119"/>
        <v>55.000000000000092</v>
      </c>
      <c r="T693" s="40">
        <v>0</v>
      </c>
      <c r="U693" s="40">
        <v>0</v>
      </c>
      <c r="V693" s="40">
        <v>3</v>
      </c>
      <c r="W693" s="40">
        <v>0</v>
      </c>
      <c r="X693" s="67">
        <f t="shared" si="120"/>
        <v>243</v>
      </c>
      <c r="Z693" s="71"/>
      <c r="AA693" s="71"/>
      <c r="AB693" s="67" t="str">
        <f t="shared" si="121"/>
        <v/>
      </c>
      <c r="AD693" s="121"/>
      <c r="AE693" s="121"/>
    </row>
    <row r="694" spans="1:31" x14ac:dyDescent="0.25">
      <c r="A694" s="58" t="s">
        <v>959</v>
      </c>
      <c r="B694" s="7">
        <v>0.77083333333333337</v>
      </c>
      <c r="C694" s="58">
        <v>3</v>
      </c>
      <c r="D694" s="10" t="s">
        <v>961</v>
      </c>
      <c r="E694" s="40">
        <v>10</v>
      </c>
      <c r="F694" s="40">
        <v>2.5</v>
      </c>
      <c r="G694" s="40">
        <v>2</v>
      </c>
      <c r="H694" s="3">
        <f t="shared" si="123"/>
        <v>1.25</v>
      </c>
      <c r="I694" s="3">
        <f t="shared" si="124"/>
        <v>0.3125</v>
      </c>
      <c r="J694" s="3">
        <f t="shared" si="125"/>
        <v>0.25</v>
      </c>
      <c r="K694" s="3"/>
      <c r="L694" s="60">
        <f t="shared" si="122"/>
        <v>455.12541666666664</v>
      </c>
      <c r="M694" s="40">
        <v>1</v>
      </c>
      <c r="N694" s="40">
        <v>0</v>
      </c>
      <c r="O694" s="40">
        <v>0</v>
      </c>
      <c r="P694" s="40">
        <v>0.1</v>
      </c>
      <c r="Q694" s="40">
        <v>0</v>
      </c>
      <c r="R694" s="40">
        <v>0</v>
      </c>
      <c r="S694" s="61">
        <f t="shared" si="119"/>
        <v>53.900000000000091</v>
      </c>
      <c r="T694" s="40">
        <v>0</v>
      </c>
      <c r="U694" s="40">
        <v>0</v>
      </c>
      <c r="V694" s="40">
        <v>1</v>
      </c>
      <c r="W694" s="40">
        <v>0</v>
      </c>
      <c r="X694" s="67">
        <f t="shared" si="120"/>
        <v>242</v>
      </c>
      <c r="Z694" s="71"/>
      <c r="AA694" s="71"/>
      <c r="AB694" s="67" t="str">
        <f t="shared" si="121"/>
        <v/>
      </c>
      <c r="AD694" s="121"/>
      <c r="AE694" s="121"/>
    </row>
    <row r="695" spans="1:31" x14ac:dyDescent="0.25">
      <c r="A695" s="58" t="s">
        <v>962</v>
      </c>
      <c r="B695" s="65">
        <v>0.33333333333333331</v>
      </c>
      <c r="C695" s="58">
        <v>13.5</v>
      </c>
      <c r="D695" s="10" t="s">
        <v>595</v>
      </c>
      <c r="E695" s="40">
        <v>0</v>
      </c>
      <c r="F695" s="40">
        <v>2.5</v>
      </c>
      <c r="G695" s="40">
        <v>2</v>
      </c>
      <c r="H695" s="3">
        <f t="shared" si="123"/>
        <v>0</v>
      </c>
      <c r="I695" s="3">
        <f t="shared" si="124"/>
        <v>1.40625</v>
      </c>
      <c r="J695" s="3">
        <f t="shared" si="125"/>
        <v>1.125</v>
      </c>
      <c r="K695" s="3"/>
      <c r="L695" s="60">
        <f t="shared" si="122"/>
        <v>452.59416666666664</v>
      </c>
      <c r="M695" s="40">
        <v>0</v>
      </c>
      <c r="N695" s="40">
        <v>0</v>
      </c>
      <c r="O695" s="40">
        <v>0</v>
      </c>
      <c r="P695" s="40">
        <v>0</v>
      </c>
      <c r="Q695" s="40">
        <v>0</v>
      </c>
      <c r="R695" s="40">
        <v>0</v>
      </c>
      <c r="S695" s="61">
        <f t="shared" si="119"/>
        <v>53.900000000000091</v>
      </c>
      <c r="T695" s="40">
        <v>0</v>
      </c>
      <c r="U695" s="40">
        <v>0</v>
      </c>
      <c r="V695" s="40">
        <v>2</v>
      </c>
      <c r="W695" s="40">
        <v>0</v>
      </c>
      <c r="X695" s="67">
        <f t="shared" si="120"/>
        <v>240</v>
      </c>
      <c r="Z695" s="71"/>
      <c r="AA695" s="71"/>
      <c r="AB695" s="67" t="str">
        <f t="shared" si="121"/>
        <v/>
      </c>
      <c r="AD695" s="121"/>
      <c r="AE695" s="121"/>
    </row>
    <row r="696" spans="1:31" x14ac:dyDescent="0.25">
      <c r="A696" s="58" t="s">
        <v>963</v>
      </c>
      <c r="B696" s="7">
        <v>0.17916666666666667</v>
      </c>
      <c r="C696" s="58">
        <v>5.5</v>
      </c>
      <c r="D696" s="10" t="s">
        <v>964</v>
      </c>
      <c r="E696" s="40">
        <v>0</v>
      </c>
      <c r="F696" s="40">
        <v>2.5</v>
      </c>
      <c r="G696" s="40">
        <v>2</v>
      </c>
      <c r="H696" s="3">
        <f t="shared" si="123"/>
        <v>0</v>
      </c>
      <c r="I696" s="3">
        <f t="shared" si="124"/>
        <v>0.57291666666666674</v>
      </c>
      <c r="J696" s="3">
        <f t="shared" si="125"/>
        <v>0.45833333333333331</v>
      </c>
      <c r="K696" s="3"/>
      <c r="L696" s="60">
        <f t="shared" si="122"/>
        <v>451.56291666666664</v>
      </c>
      <c r="M696" s="40">
        <v>0</v>
      </c>
      <c r="N696" s="40">
        <v>0</v>
      </c>
      <c r="O696" s="40">
        <v>0</v>
      </c>
      <c r="P696" s="40">
        <v>0.1</v>
      </c>
      <c r="Q696" s="40">
        <v>0</v>
      </c>
      <c r="R696" s="40">
        <v>0</v>
      </c>
      <c r="S696" s="61">
        <f t="shared" si="119"/>
        <v>53.80000000000009</v>
      </c>
      <c r="T696" s="40">
        <v>0</v>
      </c>
      <c r="U696" s="40">
        <v>0</v>
      </c>
      <c r="V696" s="40">
        <v>1</v>
      </c>
      <c r="W696" s="40">
        <v>0</v>
      </c>
      <c r="X696" s="67">
        <f t="shared" si="120"/>
        <v>239</v>
      </c>
      <c r="Z696" s="71"/>
      <c r="AA696" s="71"/>
      <c r="AB696" s="67" t="str">
        <f t="shared" si="121"/>
        <v/>
      </c>
      <c r="AD696" s="121"/>
      <c r="AE696" s="121"/>
    </row>
    <row r="697" spans="1:31" x14ac:dyDescent="0.25">
      <c r="A697" s="58" t="s">
        <v>365</v>
      </c>
      <c r="B697" s="65">
        <v>0.33333333333333331</v>
      </c>
      <c r="C697" s="58">
        <v>18.5</v>
      </c>
      <c r="D697" s="10" t="s">
        <v>964</v>
      </c>
      <c r="E697" s="40">
        <v>0</v>
      </c>
      <c r="F697" s="40">
        <v>2.5</v>
      </c>
      <c r="G697" s="40">
        <v>2</v>
      </c>
      <c r="H697" s="3">
        <f t="shared" si="123"/>
        <v>0</v>
      </c>
      <c r="I697" s="3">
        <f t="shared" si="124"/>
        <v>1.9270833333333335</v>
      </c>
      <c r="J697" s="3">
        <f t="shared" si="125"/>
        <v>1.5416666666666665</v>
      </c>
      <c r="K697" s="3"/>
      <c r="L697" s="60">
        <f t="shared" si="122"/>
        <v>448.09416666666664</v>
      </c>
      <c r="M697" s="40">
        <v>0</v>
      </c>
      <c r="N697" s="40">
        <v>0</v>
      </c>
      <c r="O697" s="40">
        <v>0</v>
      </c>
      <c r="P697" s="40">
        <v>0.1</v>
      </c>
      <c r="Q697" s="40">
        <v>0</v>
      </c>
      <c r="R697" s="40">
        <v>0</v>
      </c>
      <c r="S697" s="61">
        <f t="shared" ref="S697:S760" si="126">IF(C697="","",(S696+R697)-(M697+N697+O697+P697+Q697))</f>
        <v>53.700000000000088</v>
      </c>
      <c r="T697" s="40">
        <v>0</v>
      </c>
      <c r="U697" s="40">
        <v>0</v>
      </c>
      <c r="V697" s="40">
        <v>5</v>
      </c>
      <c r="W697" s="40">
        <v>0</v>
      </c>
      <c r="X697" s="67">
        <f t="shared" ref="X697:X760" si="127">IF(V697="","",((X696+T697+U697)-(V697+W697)))</f>
        <v>234</v>
      </c>
      <c r="Z697" s="71"/>
      <c r="AA697" s="71"/>
      <c r="AB697" s="67" t="str">
        <f t="shared" ref="AB697:AB706" si="128">IF(Z697="","",Z697+AA697)</f>
        <v/>
      </c>
      <c r="AD697" s="121"/>
      <c r="AE697" s="121"/>
    </row>
    <row r="698" spans="1:31" x14ac:dyDescent="0.25">
      <c r="A698" s="58" t="s">
        <v>963</v>
      </c>
      <c r="B698" s="7">
        <v>0.55833333333333335</v>
      </c>
      <c r="C698" s="58">
        <v>1.5</v>
      </c>
      <c r="D698" s="10" t="s">
        <v>789</v>
      </c>
      <c r="E698" s="40">
        <v>0</v>
      </c>
      <c r="F698" s="40">
        <v>2.5</v>
      </c>
      <c r="G698" s="40">
        <v>2</v>
      </c>
      <c r="H698" s="3">
        <f t="shared" si="123"/>
        <v>0</v>
      </c>
      <c r="I698" s="3">
        <f t="shared" si="124"/>
        <v>0.15625</v>
      </c>
      <c r="J698" s="3">
        <f t="shared" si="125"/>
        <v>0.125</v>
      </c>
      <c r="K698" s="3"/>
      <c r="L698" s="60">
        <f t="shared" si="122"/>
        <v>447.81291666666664</v>
      </c>
      <c r="M698" s="40">
        <v>0</v>
      </c>
      <c r="N698" s="40">
        <v>0</v>
      </c>
      <c r="O698" s="40">
        <v>0</v>
      </c>
      <c r="P698" s="40">
        <v>0</v>
      </c>
      <c r="Q698" s="40">
        <v>0</v>
      </c>
      <c r="R698" s="40">
        <v>0</v>
      </c>
      <c r="S698" s="61">
        <f t="shared" si="126"/>
        <v>53.700000000000088</v>
      </c>
      <c r="T698" s="40">
        <v>0</v>
      </c>
      <c r="U698" s="40">
        <v>0</v>
      </c>
      <c r="V698" s="40">
        <v>2</v>
      </c>
      <c r="W698" s="40">
        <v>0</v>
      </c>
      <c r="X698" s="67">
        <f t="shared" si="127"/>
        <v>232</v>
      </c>
      <c r="Z698" s="71"/>
      <c r="AA698" s="71"/>
      <c r="AB698" s="67" t="str">
        <f t="shared" si="128"/>
        <v/>
      </c>
      <c r="AD698" s="121"/>
      <c r="AE698" s="121"/>
    </row>
    <row r="699" spans="1:31" x14ac:dyDescent="0.25">
      <c r="A699" s="58" t="s">
        <v>963</v>
      </c>
      <c r="B699" s="7">
        <v>0.64166666666666672</v>
      </c>
      <c r="C699" s="58">
        <v>2</v>
      </c>
      <c r="D699" s="10" t="s">
        <v>626</v>
      </c>
      <c r="E699" s="40">
        <v>10</v>
      </c>
      <c r="F699" s="40">
        <v>2.5</v>
      </c>
      <c r="G699" s="40">
        <v>2</v>
      </c>
      <c r="H699" s="3">
        <f t="shared" si="123"/>
        <v>0.83333333333333337</v>
      </c>
      <c r="I699" s="3">
        <f t="shared" si="124"/>
        <v>0.20833333333333334</v>
      </c>
      <c r="J699" s="3">
        <f t="shared" si="125"/>
        <v>0.16666666666666666</v>
      </c>
      <c r="K699" s="3"/>
      <c r="L699" s="60">
        <f t="shared" si="122"/>
        <v>446.60458333333332</v>
      </c>
      <c r="M699" s="40">
        <v>0</v>
      </c>
      <c r="N699" s="40">
        <v>0</v>
      </c>
      <c r="O699" s="40">
        <v>0</v>
      </c>
      <c r="P699" s="40">
        <v>0</v>
      </c>
      <c r="Q699" s="40">
        <v>0</v>
      </c>
      <c r="R699" s="40">
        <v>0</v>
      </c>
      <c r="S699" s="61">
        <f t="shared" si="126"/>
        <v>53.700000000000088</v>
      </c>
      <c r="T699" s="40">
        <v>0</v>
      </c>
      <c r="U699" s="40">
        <v>0</v>
      </c>
      <c r="V699" s="40">
        <v>0</v>
      </c>
      <c r="W699" s="40">
        <v>0</v>
      </c>
      <c r="X699" s="67">
        <f t="shared" si="127"/>
        <v>232</v>
      </c>
      <c r="Z699" s="71"/>
      <c r="AA699" s="71"/>
      <c r="AB699" s="67" t="str">
        <f t="shared" si="128"/>
        <v/>
      </c>
      <c r="AD699" s="121"/>
      <c r="AE699" s="121"/>
    </row>
    <row r="700" spans="1:31" x14ac:dyDescent="0.25">
      <c r="A700" s="58" t="s">
        <v>965</v>
      </c>
      <c r="B700" s="65">
        <v>0.33333333333333331</v>
      </c>
      <c r="C700" s="58">
        <v>17</v>
      </c>
      <c r="D700" s="10" t="s">
        <v>966</v>
      </c>
      <c r="E700" s="40">
        <v>0</v>
      </c>
      <c r="F700" s="40">
        <v>2.5</v>
      </c>
      <c r="G700" s="40">
        <v>2</v>
      </c>
      <c r="H700" s="3">
        <f t="shared" si="123"/>
        <v>0</v>
      </c>
      <c r="I700" s="3">
        <f t="shared" si="124"/>
        <v>1.7708333333333335</v>
      </c>
      <c r="J700" s="3">
        <f t="shared" si="125"/>
        <v>1.4166666666666665</v>
      </c>
      <c r="K700" s="3"/>
      <c r="L700" s="60">
        <f t="shared" si="122"/>
        <v>443.41708333333332</v>
      </c>
      <c r="M700" s="40">
        <v>0</v>
      </c>
      <c r="N700" s="40">
        <v>0</v>
      </c>
      <c r="O700" s="40">
        <v>0</v>
      </c>
      <c r="P700" s="40">
        <v>4.3</v>
      </c>
      <c r="Q700" s="40">
        <v>0</v>
      </c>
      <c r="R700" s="40">
        <v>0</v>
      </c>
      <c r="S700" s="61">
        <f t="shared" si="126"/>
        <v>49.400000000000091</v>
      </c>
      <c r="T700" s="40">
        <v>0</v>
      </c>
      <c r="U700" s="40">
        <v>0</v>
      </c>
      <c r="V700" s="40">
        <v>4</v>
      </c>
      <c r="W700" s="40">
        <v>0</v>
      </c>
      <c r="X700" s="67">
        <f t="shared" si="127"/>
        <v>228</v>
      </c>
      <c r="Z700" s="71"/>
      <c r="AA700" s="71"/>
      <c r="AB700" s="67" t="str">
        <f t="shared" si="128"/>
        <v/>
      </c>
      <c r="AD700" s="121"/>
      <c r="AE700" s="121"/>
    </row>
    <row r="701" spans="1:31" x14ac:dyDescent="0.25">
      <c r="A701" s="58" t="s">
        <v>965</v>
      </c>
      <c r="B701" s="7">
        <v>0.47916666666666669</v>
      </c>
      <c r="C701" s="58">
        <v>3.5</v>
      </c>
      <c r="D701" s="10" t="s">
        <v>801</v>
      </c>
      <c r="E701" s="40">
        <v>0</v>
      </c>
      <c r="F701" s="40">
        <v>2.5</v>
      </c>
      <c r="G701" s="40">
        <v>2</v>
      </c>
      <c r="H701" s="3">
        <f t="shared" si="123"/>
        <v>0</v>
      </c>
      <c r="I701" s="3">
        <f t="shared" si="124"/>
        <v>0.36458333333333337</v>
      </c>
      <c r="J701" s="3">
        <f t="shared" si="125"/>
        <v>0.29166666666666663</v>
      </c>
      <c r="K701" s="3"/>
      <c r="L701" s="60">
        <f t="shared" si="122"/>
        <v>442.76083333333332</v>
      </c>
      <c r="M701" s="40">
        <v>0</v>
      </c>
      <c r="N701" s="40">
        <v>0</v>
      </c>
      <c r="O701" s="40">
        <v>0</v>
      </c>
      <c r="P701" s="40">
        <v>0.9</v>
      </c>
      <c r="Q701" s="40">
        <v>0</v>
      </c>
      <c r="R701" s="40">
        <v>0</v>
      </c>
      <c r="S701" s="61">
        <f t="shared" si="126"/>
        <v>48.500000000000092</v>
      </c>
      <c r="T701" s="40">
        <v>0</v>
      </c>
      <c r="U701" s="40">
        <v>0</v>
      </c>
      <c r="V701" s="40">
        <v>1</v>
      </c>
      <c r="W701" s="40">
        <v>0</v>
      </c>
      <c r="X701" s="67">
        <f t="shared" si="127"/>
        <v>227</v>
      </c>
      <c r="Z701" s="71"/>
      <c r="AA701" s="71"/>
      <c r="AB701" s="67" t="str">
        <f t="shared" si="128"/>
        <v/>
      </c>
      <c r="AD701" s="121"/>
      <c r="AE701" s="121"/>
    </row>
    <row r="702" spans="1:31" x14ac:dyDescent="0.25">
      <c r="A702" s="58" t="s">
        <v>965</v>
      </c>
      <c r="B702" s="7">
        <v>0.65833333333333333</v>
      </c>
      <c r="C702" s="58">
        <v>4.2</v>
      </c>
      <c r="D702" s="10" t="s">
        <v>945</v>
      </c>
      <c r="E702" s="40">
        <v>0</v>
      </c>
      <c r="F702" s="40">
        <v>2.5</v>
      </c>
      <c r="G702" s="40">
        <v>2</v>
      </c>
      <c r="H702" s="3">
        <f t="shared" si="123"/>
        <v>0</v>
      </c>
      <c r="I702" s="3">
        <f t="shared" si="124"/>
        <v>0.43750000000000006</v>
      </c>
      <c r="J702" s="3">
        <f t="shared" si="125"/>
        <v>0.35</v>
      </c>
      <c r="K702" s="3"/>
      <c r="L702" s="60">
        <f t="shared" si="122"/>
        <v>441.9733333333333</v>
      </c>
      <c r="M702" s="40">
        <v>0</v>
      </c>
      <c r="N702" s="40">
        <v>0</v>
      </c>
      <c r="O702" s="40">
        <v>0</v>
      </c>
      <c r="P702" s="40">
        <v>0</v>
      </c>
      <c r="Q702" s="40">
        <v>0</v>
      </c>
      <c r="R702" s="40">
        <v>0</v>
      </c>
      <c r="S702" s="61">
        <f t="shared" si="126"/>
        <v>48.500000000000092</v>
      </c>
      <c r="T702" s="40">
        <v>0</v>
      </c>
      <c r="U702" s="40">
        <v>0</v>
      </c>
      <c r="V702" s="40">
        <v>0</v>
      </c>
      <c r="W702" s="40">
        <v>0</v>
      </c>
      <c r="X702" s="67">
        <f t="shared" si="127"/>
        <v>227</v>
      </c>
      <c r="Z702" s="71"/>
      <c r="AA702" s="71"/>
      <c r="AB702" s="67" t="str">
        <f t="shared" si="128"/>
        <v/>
      </c>
      <c r="AD702" s="121"/>
      <c r="AE702" s="121"/>
    </row>
    <row r="703" spans="1:31" x14ac:dyDescent="0.25">
      <c r="A703" s="58" t="s">
        <v>965</v>
      </c>
      <c r="B703" s="7">
        <v>0.6875</v>
      </c>
      <c r="C703" s="58">
        <v>0.8</v>
      </c>
      <c r="D703" s="10" t="s">
        <v>789</v>
      </c>
      <c r="E703" s="40">
        <v>0</v>
      </c>
      <c r="F703" s="40">
        <v>2.5</v>
      </c>
      <c r="G703" s="40">
        <v>2</v>
      </c>
      <c r="H703" s="3">
        <f t="shared" si="123"/>
        <v>0</v>
      </c>
      <c r="I703" s="3">
        <f t="shared" si="124"/>
        <v>8.3333333333333343E-2</v>
      </c>
      <c r="J703" s="3">
        <f t="shared" si="125"/>
        <v>6.6666666666666666E-2</v>
      </c>
      <c r="K703" s="3"/>
      <c r="L703" s="60">
        <f t="shared" si="122"/>
        <v>441.82333333333332</v>
      </c>
      <c r="M703" s="40">
        <v>0</v>
      </c>
      <c r="N703" s="40">
        <v>0</v>
      </c>
      <c r="O703" s="40">
        <v>0</v>
      </c>
      <c r="P703" s="40">
        <v>0</v>
      </c>
      <c r="Q703" s="40">
        <v>0</v>
      </c>
      <c r="R703" s="40">
        <v>0</v>
      </c>
      <c r="S703" s="61">
        <f t="shared" si="126"/>
        <v>48.500000000000092</v>
      </c>
      <c r="T703" s="40">
        <v>0</v>
      </c>
      <c r="U703" s="40">
        <v>0</v>
      </c>
      <c r="V703" s="40">
        <v>0</v>
      </c>
      <c r="W703" s="40">
        <v>0</v>
      </c>
      <c r="X703" s="67">
        <f t="shared" si="127"/>
        <v>227</v>
      </c>
      <c r="Z703" s="71"/>
      <c r="AA703" s="71"/>
      <c r="AB703" s="67" t="str">
        <f t="shared" si="128"/>
        <v/>
      </c>
      <c r="AD703" s="121"/>
      <c r="AE703" s="121"/>
    </row>
    <row r="704" spans="1:31" x14ac:dyDescent="0.25">
      <c r="A704" s="58" t="s">
        <v>965</v>
      </c>
      <c r="B704" s="7">
        <v>0.6958333333333333</v>
      </c>
      <c r="C704" s="58">
        <v>0.2</v>
      </c>
      <c r="D704" s="10" t="s">
        <v>658</v>
      </c>
      <c r="E704" s="40">
        <v>10</v>
      </c>
      <c r="F704" s="40">
        <v>2.5</v>
      </c>
      <c r="G704" s="40">
        <v>2</v>
      </c>
      <c r="H704" s="3">
        <f t="shared" si="123"/>
        <v>8.3333333333333343E-2</v>
      </c>
      <c r="I704" s="3">
        <f t="shared" si="124"/>
        <v>2.0833333333333336E-2</v>
      </c>
      <c r="J704" s="3">
        <f t="shared" si="125"/>
        <v>1.6666666666666666E-2</v>
      </c>
      <c r="K704" s="3"/>
      <c r="L704" s="60">
        <f t="shared" si="122"/>
        <v>441.70249999999999</v>
      </c>
      <c r="M704" s="40">
        <v>0</v>
      </c>
      <c r="N704" s="40">
        <v>0</v>
      </c>
      <c r="O704" s="40">
        <v>0</v>
      </c>
      <c r="P704" s="40">
        <v>0</v>
      </c>
      <c r="Q704" s="40">
        <v>0</v>
      </c>
      <c r="R704" s="40">
        <v>0</v>
      </c>
      <c r="S704" s="61">
        <f t="shared" si="126"/>
        <v>48.500000000000092</v>
      </c>
      <c r="T704" s="40">
        <v>0</v>
      </c>
      <c r="U704" s="40">
        <v>0</v>
      </c>
      <c r="V704" s="40">
        <v>0</v>
      </c>
      <c r="W704" s="40">
        <v>0</v>
      </c>
      <c r="X704" s="67">
        <f t="shared" si="127"/>
        <v>227</v>
      </c>
      <c r="Z704" s="71"/>
      <c r="AA704" s="71"/>
      <c r="AB704" s="67" t="str">
        <f t="shared" si="128"/>
        <v/>
      </c>
      <c r="AD704" s="121"/>
      <c r="AE704" s="121"/>
    </row>
    <row r="705" spans="1:31" x14ac:dyDescent="0.25">
      <c r="A705" s="58" t="s">
        <v>965</v>
      </c>
      <c r="B705" s="7">
        <v>0.79166666666666663</v>
      </c>
      <c r="C705" s="58">
        <v>2.5</v>
      </c>
      <c r="D705" s="10" t="s">
        <v>667</v>
      </c>
      <c r="E705" s="40">
        <v>15</v>
      </c>
      <c r="F705" s="40">
        <v>2.5</v>
      </c>
      <c r="G705" s="40">
        <v>2</v>
      </c>
      <c r="H705" s="3">
        <f t="shared" si="123"/>
        <v>1.5625</v>
      </c>
      <c r="I705" s="3">
        <f t="shared" si="124"/>
        <v>0.26041666666666669</v>
      </c>
      <c r="J705" s="3">
        <f t="shared" si="125"/>
        <v>0.20833333333333331</v>
      </c>
      <c r="K705" s="3"/>
      <c r="L705" s="60">
        <f t="shared" si="122"/>
        <v>439.67124999999999</v>
      </c>
      <c r="M705" s="40">
        <v>0</v>
      </c>
      <c r="N705" s="40">
        <v>0</v>
      </c>
      <c r="O705" s="40">
        <v>0</v>
      </c>
      <c r="P705" s="40">
        <v>0</v>
      </c>
      <c r="Q705" s="40">
        <v>0</v>
      </c>
      <c r="R705" s="40">
        <v>0</v>
      </c>
      <c r="S705" s="61">
        <f t="shared" si="126"/>
        <v>48.500000000000092</v>
      </c>
      <c r="T705" s="40">
        <v>0</v>
      </c>
      <c r="U705" s="40">
        <v>0</v>
      </c>
      <c r="V705" s="40">
        <v>0</v>
      </c>
      <c r="W705" s="40">
        <v>0</v>
      </c>
      <c r="X705" s="67">
        <f t="shared" si="127"/>
        <v>227</v>
      </c>
      <c r="Z705" s="71"/>
      <c r="AA705" s="71"/>
      <c r="AB705" s="67" t="str">
        <f t="shared" si="128"/>
        <v/>
      </c>
      <c r="AD705" s="121"/>
      <c r="AE705" s="121"/>
    </row>
    <row r="706" spans="1:31" x14ac:dyDescent="0.25">
      <c r="A706" s="58" t="s">
        <v>967</v>
      </c>
      <c r="B706" s="65">
        <v>0.33333333333333331</v>
      </c>
      <c r="C706" s="58">
        <v>12.8</v>
      </c>
      <c r="D706" s="10" t="s">
        <v>968</v>
      </c>
      <c r="E706" s="40">
        <v>0</v>
      </c>
      <c r="F706" s="40">
        <v>2.5</v>
      </c>
      <c r="G706" s="40">
        <v>2</v>
      </c>
      <c r="H706" s="3">
        <f t="shared" si="123"/>
        <v>0</v>
      </c>
      <c r="I706" s="3">
        <f t="shared" si="124"/>
        <v>1.3333333333333335</v>
      </c>
      <c r="J706" s="3">
        <f t="shared" si="125"/>
        <v>1.0666666666666667</v>
      </c>
      <c r="K706" s="3"/>
      <c r="L706" s="60">
        <f t="shared" si="122"/>
        <v>437.27125000000001</v>
      </c>
      <c r="M706" s="40">
        <v>0</v>
      </c>
      <c r="N706" s="40">
        <v>0</v>
      </c>
      <c r="O706" s="40">
        <v>0</v>
      </c>
      <c r="P706" s="40">
        <v>0.1</v>
      </c>
      <c r="Q706" s="40">
        <v>0</v>
      </c>
      <c r="R706" s="40">
        <v>0</v>
      </c>
      <c r="S706" s="61">
        <f t="shared" si="126"/>
        <v>48.400000000000091</v>
      </c>
      <c r="T706" s="40">
        <v>0</v>
      </c>
      <c r="U706" s="40">
        <v>0</v>
      </c>
      <c r="V706" s="40">
        <v>4</v>
      </c>
      <c r="W706" s="40">
        <v>0</v>
      </c>
      <c r="X706" s="67">
        <f t="shared" si="127"/>
        <v>223</v>
      </c>
      <c r="Z706" s="71"/>
      <c r="AA706" s="71"/>
      <c r="AB706" s="67" t="str">
        <f t="shared" si="128"/>
        <v/>
      </c>
      <c r="AD706" s="121"/>
      <c r="AE706" s="121"/>
    </row>
    <row r="707" spans="1:31" x14ac:dyDescent="0.25">
      <c r="A707" s="58" t="s">
        <v>967</v>
      </c>
      <c r="B707" s="7">
        <v>0.71666666666666667</v>
      </c>
      <c r="C707" s="58">
        <v>15.2</v>
      </c>
      <c r="D707" s="10" t="s">
        <v>789</v>
      </c>
      <c r="E707" s="40">
        <v>0</v>
      </c>
      <c r="F707" s="40">
        <v>2.5</v>
      </c>
      <c r="G707" s="40">
        <v>2</v>
      </c>
      <c r="H707" s="3">
        <f t="shared" si="123"/>
        <v>0</v>
      </c>
      <c r="I707" s="3">
        <f>+IF(F707="","",(F707/24)*C707)</f>
        <v>1.5833333333333333</v>
      </c>
      <c r="J707" s="3">
        <f t="shared" si="125"/>
        <v>1.2666666666666666</v>
      </c>
      <c r="K707" s="58"/>
      <c r="L707" s="60">
        <f>+IF(C707="","",((L706-(H707+I707+J707))+K707))</f>
        <v>434.42124999999999</v>
      </c>
      <c r="M707" s="40">
        <v>0</v>
      </c>
      <c r="N707" s="40">
        <v>0</v>
      </c>
      <c r="O707" s="40">
        <v>0</v>
      </c>
      <c r="P707" s="40">
        <v>0</v>
      </c>
      <c r="Q707" s="40">
        <v>0</v>
      </c>
      <c r="R707" s="40">
        <v>0</v>
      </c>
      <c r="S707" s="61">
        <f t="shared" si="126"/>
        <v>48.400000000000091</v>
      </c>
      <c r="T707" s="40">
        <v>0</v>
      </c>
      <c r="U707" s="40">
        <v>0</v>
      </c>
      <c r="V707" s="40">
        <v>2</v>
      </c>
      <c r="W707" s="40">
        <v>0</v>
      </c>
      <c r="X707" s="67">
        <f t="shared" si="127"/>
        <v>221</v>
      </c>
      <c r="Z707" s="71"/>
      <c r="AA707" s="71"/>
      <c r="AB707" s="67"/>
      <c r="AD707" s="121"/>
      <c r="AE707" s="121"/>
    </row>
    <row r="708" spans="1:31" x14ac:dyDescent="0.25">
      <c r="A708" s="58" t="s">
        <v>967</v>
      </c>
      <c r="B708" s="7">
        <v>0.75</v>
      </c>
      <c r="C708" s="58">
        <v>0.8</v>
      </c>
      <c r="D708" s="10" t="s">
        <v>833</v>
      </c>
      <c r="E708" s="40">
        <v>15</v>
      </c>
      <c r="F708" s="40">
        <v>2.5</v>
      </c>
      <c r="G708" s="40">
        <v>2</v>
      </c>
      <c r="H708" s="3">
        <f t="shared" si="123"/>
        <v>0.5</v>
      </c>
      <c r="I708" s="3">
        <f t="shared" ref="I708:I772" si="129">+IF(F708="","",(F708/24)*C708)</f>
        <v>8.3333333333333343E-2</v>
      </c>
      <c r="J708" s="3">
        <f t="shared" si="125"/>
        <v>6.6666666666666666E-2</v>
      </c>
      <c r="K708" s="58"/>
      <c r="L708" s="60">
        <f t="shared" si="122"/>
        <v>433.77125000000001</v>
      </c>
      <c r="M708" s="40">
        <v>0</v>
      </c>
      <c r="N708" s="40">
        <v>0</v>
      </c>
      <c r="O708" s="40">
        <v>0</v>
      </c>
      <c r="P708" s="40">
        <v>0</v>
      </c>
      <c r="Q708" s="40">
        <v>0</v>
      </c>
      <c r="R708" s="40">
        <v>0</v>
      </c>
      <c r="S708" s="61">
        <f t="shared" si="126"/>
        <v>48.400000000000091</v>
      </c>
      <c r="T708" s="40">
        <v>0</v>
      </c>
      <c r="U708" s="40">
        <v>0</v>
      </c>
      <c r="V708" s="40">
        <v>0</v>
      </c>
      <c r="W708" s="40">
        <v>0</v>
      </c>
      <c r="X708" s="67">
        <f t="shared" si="127"/>
        <v>221</v>
      </c>
      <c r="Z708" s="71"/>
      <c r="AA708" s="71"/>
      <c r="AB708" s="67"/>
      <c r="AD708" s="121"/>
      <c r="AE708" s="121"/>
    </row>
    <row r="709" spans="1:31" x14ac:dyDescent="0.25">
      <c r="A709" s="58" t="s">
        <v>967</v>
      </c>
      <c r="B709" s="7">
        <v>0.91666666666666663</v>
      </c>
      <c r="C709" s="58">
        <v>4</v>
      </c>
      <c r="D709" s="10" t="s">
        <v>969</v>
      </c>
      <c r="E709" s="40">
        <v>22</v>
      </c>
      <c r="F709" s="40">
        <v>2.5</v>
      </c>
      <c r="G709" s="40">
        <v>2</v>
      </c>
      <c r="H709" s="3">
        <f t="shared" si="123"/>
        <v>3.6666666666666665</v>
      </c>
      <c r="I709" s="3">
        <f t="shared" si="129"/>
        <v>0.41666666666666669</v>
      </c>
      <c r="J709" s="3">
        <f t="shared" si="125"/>
        <v>0.33333333333333331</v>
      </c>
      <c r="K709" s="58"/>
      <c r="L709" s="60">
        <f t="shared" si="122"/>
        <v>429.35458333333332</v>
      </c>
      <c r="M709" s="40">
        <v>0</v>
      </c>
      <c r="N709" s="40">
        <v>0</v>
      </c>
      <c r="O709" s="40">
        <v>0</v>
      </c>
      <c r="P709" s="40">
        <v>0</v>
      </c>
      <c r="Q709" s="40">
        <v>0</v>
      </c>
      <c r="R709" s="40">
        <v>0</v>
      </c>
      <c r="S709" s="61">
        <f t="shared" si="126"/>
        <v>48.400000000000091</v>
      </c>
      <c r="T709" s="40">
        <v>0</v>
      </c>
      <c r="U709" s="40">
        <v>0</v>
      </c>
      <c r="V709" s="40">
        <v>1</v>
      </c>
      <c r="W709" s="40">
        <v>0</v>
      </c>
      <c r="X709" s="67">
        <f t="shared" si="127"/>
        <v>220</v>
      </c>
      <c r="Z709" s="71"/>
      <c r="AA709" s="71"/>
      <c r="AB709" s="67"/>
      <c r="AD709" s="121">
        <v>9</v>
      </c>
      <c r="AE709" s="121" t="s">
        <v>1302</v>
      </c>
    </row>
    <row r="710" spans="1:31" x14ac:dyDescent="0.25">
      <c r="A710" s="58" t="s">
        <v>970</v>
      </c>
      <c r="B710" s="7">
        <v>0.16250000000000001</v>
      </c>
      <c r="C710" s="58">
        <v>6</v>
      </c>
      <c r="D710" s="10" t="s">
        <v>625</v>
      </c>
      <c r="E710" s="40">
        <v>0</v>
      </c>
      <c r="F710" s="40">
        <v>2.5</v>
      </c>
      <c r="G710" s="40">
        <v>2</v>
      </c>
      <c r="H710" s="3">
        <f t="shared" si="123"/>
        <v>0</v>
      </c>
      <c r="I710" s="3">
        <f t="shared" si="129"/>
        <v>0.625</v>
      </c>
      <c r="J710" s="3">
        <f t="shared" si="125"/>
        <v>0.5</v>
      </c>
      <c r="K710" s="58"/>
      <c r="L710" s="60">
        <f>+IF(C710="","",((L709-(H710+I710+J710))+K710))</f>
        <v>428.22958333333332</v>
      </c>
      <c r="M710" s="40">
        <v>0</v>
      </c>
      <c r="N710" s="40">
        <v>0</v>
      </c>
      <c r="O710" s="40">
        <v>0</v>
      </c>
      <c r="P710" s="40">
        <v>0</v>
      </c>
      <c r="Q710" s="40">
        <v>0</v>
      </c>
      <c r="R710" s="40">
        <v>0</v>
      </c>
      <c r="S710" s="61">
        <f>IF(C710="","",(S709+R710)-(M710+N710+O710+P710+Q710))</f>
        <v>48.400000000000091</v>
      </c>
      <c r="T710" s="40">
        <v>0</v>
      </c>
      <c r="U710" s="40">
        <v>0</v>
      </c>
      <c r="V710" s="40">
        <v>2</v>
      </c>
      <c r="W710" s="40">
        <v>0</v>
      </c>
      <c r="X710" s="67">
        <f>IF(V710="","",((X709+T710+U710)-(V710+W710)))</f>
        <v>218</v>
      </c>
      <c r="Z710" s="71"/>
      <c r="AA710" s="71"/>
      <c r="AB710" s="67"/>
      <c r="AD710" s="121"/>
      <c r="AE710" s="121"/>
    </row>
    <row r="711" spans="1:31" x14ac:dyDescent="0.25">
      <c r="A711" s="58" t="s">
        <v>970</v>
      </c>
      <c r="B711" s="7">
        <v>0.21666666666666667</v>
      </c>
      <c r="C711" s="58">
        <v>1.2</v>
      </c>
      <c r="D711" s="10" t="s">
        <v>971</v>
      </c>
      <c r="E711" s="40">
        <v>10</v>
      </c>
      <c r="F711" s="40">
        <v>2.5</v>
      </c>
      <c r="G711" s="40">
        <v>2</v>
      </c>
      <c r="H711" s="3">
        <f t="shared" si="123"/>
        <v>0.5</v>
      </c>
      <c r="I711" s="3">
        <f t="shared" si="129"/>
        <v>0.125</v>
      </c>
      <c r="J711" s="3">
        <f t="shared" si="125"/>
        <v>9.9999999999999992E-2</v>
      </c>
      <c r="K711" s="58"/>
      <c r="L711" s="60">
        <f t="shared" si="122"/>
        <v>427.5045833333333</v>
      </c>
      <c r="M711" s="40">
        <v>0</v>
      </c>
      <c r="N711" s="40">
        <v>0</v>
      </c>
      <c r="O711" s="40">
        <v>0</v>
      </c>
      <c r="P711" s="40">
        <v>0</v>
      </c>
      <c r="Q711" s="40">
        <v>0</v>
      </c>
      <c r="R711" s="40">
        <v>0</v>
      </c>
      <c r="S711" s="61">
        <f t="shared" si="126"/>
        <v>48.400000000000091</v>
      </c>
      <c r="T711" s="40">
        <v>0</v>
      </c>
      <c r="U711" s="40">
        <v>0</v>
      </c>
      <c r="V711" s="40">
        <v>0</v>
      </c>
      <c r="W711" s="40">
        <v>0</v>
      </c>
      <c r="X711" s="67">
        <f t="shared" si="127"/>
        <v>218</v>
      </c>
      <c r="Z711" s="71"/>
      <c r="AA711" s="71"/>
      <c r="AB711" s="67"/>
      <c r="AD711" s="121"/>
      <c r="AE711" s="121"/>
    </row>
    <row r="712" spans="1:31" x14ac:dyDescent="0.25">
      <c r="A712" s="58" t="s">
        <v>970</v>
      </c>
      <c r="B712" s="65">
        <v>0.33333333333333331</v>
      </c>
      <c r="C712" s="58">
        <v>2.8</v>
      </c>
      <c r="D712" s="10" t="s">
        <v>972</v>
      </c>
      <c r="E712" s="40">
        <v>0</v>
      </c>
      <c r="F712" s="40">
        <v>2.5</v>
      </c>
      <c r="G712" s="40">
        <v>2</v>
      </c>
      <c r="H712" s="3">
        <f t="shared" si="123"/>
        <v>0</v>
      </c>
      <c r="I712" s="3">
        <f t="shared" si="129"/>
        <v>0.29166666666666669</v>
      </c>
      <c r="J712" s="3">
        <f t="shared" si="125"/>
        <v>0.23333333333333331</v>
      </c>
      <c r="K712" s="58"/>
      <c r="L712" s="60">
        <f t="shared" si="122"/>
        <v>426.97958333333332</v>
      </c>
      <c r="M712" s="40">
        <v>0</v>
      </c>
      <c r="N712" s="40">
        <v>0</v>
      </c>
      <c r="O712" s="40">
        <v>0</v>
      </c>
      <c r="P712" s="40">
        <v>0.1</v>
      </c>
      <c r="Q712" s="40">
        <v>0</v>
      </c>
      <c r="R712" s="40">
        <v>0</v>
      </c>
      <c r="S712" s="61">
        <f t="shared" si="126"/>
        <v>48.30000000000009</v>
      </c>
      <c r="T712" s="40">
        <v>0</v>
      </c>
      <c r="U712" s="40">
        <v>0</v>
      </c>
      <c r="V712" s="40">
        <v>1</v>
      </c>
      <c r="W712" s="40">
        <v>0</v>
      </c>
      <c r="X712" s="67">
        <f t="shared" si="127"/>
        <v>217</v>
      </c>
      <c r="Z712" s="71"/>
      <c r="AA712" s="71"/>
      <c r="AB712" s="67"/>
      <c r="AD712" s="121"/>
      <c r="AE712" s="121"/>
    </row>
    <row r="713" spans="1:31" x14ac:dyDescent="0.25">
      <c r="A713" s="58"/>
      <c r="B713" s="7"/>
      <c r="C713" s="58"/>
      <c r="D713" s="10"/>
      <c r="E713" s="40"/>
      <c r="F713" s="40"/>
      <c r="G713" s="40"/>
      <c r="H713" s="3"/>
      <c r="I713" s="3"/>
      <c r="J713" s="3"/>
      <c r="K713" s="58"/>
      <c r="L713" s="60"/>
      <c r="M713" s="40"/>
      <c r="N713" s="40"/>
      <c r="O713" s="40"/>
      <c r="P713" s="40"/>
      <c r="Q713" s="40"/>
      <c r="R713" s="40"/>
      <c r="S713" s="61"/>
      <c r="T713" s="40"/>
      <c r="U713" s="40"/>
      <c r="V713" s="40"/>
      <c r="W713" s="40"/>
      <c r="X713" s="67"/>
      <c r="Z713" s="71"/>
      <c r="AA713" s="71"/>
      <c r="AB713" s="67"/>
      <c r="AD713" s="121"/>
      <c r="AE713" s="121"/>
    </row>
    <row r="714" spans="1:31" x14ac:dyDescent="0.25">
      <c r="A714" s="9" t="s">
        <v>973</v>
      </c>
      <c r="B714" s="7">
        <v>0.20833333333333334</v>
      </c>
      <c r="C714" s="58">
        <v>10</v>
      </c>
      <c r="D714" s="10" t="s">
        <v>966</v>
      </c>
      <c r="E714" s="40">
        <v>0</v>
      </c>
      <c r="F714" s="40">
        <v>2.5</v>
      </c>
      <c r="G714" s="40">
        <v>2</v>
      </c>
      <c r="H714" s="3">
        <f t="shared" si="123"/>
        <v>0</v>
      </c>
      <c r="I714" s="3">
        <f t="shared" si="129"/>
        <v>1.0416666666666667</v>
      </c>
      <c r="J714" s="3">
        <f t="shared" si="125"/>
        <v>0.83333333333333326</v>
      </c>
      <c r="K714" s="58"/>
      <c r="L714" s="60">
        <f>+IF(C714="","",((L712-(H714+I714+J714))+K714))</f>
        <v>425.10458333333332</v>
      </c>
      <c r="M714" s="40">
        <v>0</v>
      </c>
      <c r="N714" s="40">
        <v>0</v>
      </c>
      <c r="O714" s="40">
        <v>0</v>
      </c>
      <c r="P714" s="40">
        <v>0</v>
      </c>
      <c r="Q714" s="40">
        <v>0</v>
      </c>
      <c r="R714" s="40">
        <v>0</v>
      </c>
      <c r="S714" s="61">
        <f>IF(C714="","",(S712+R714)-(M714+N714+O714+P714+Q714))</f>
        <v>48.30000000000009</v>
      </c>
      <c r="T714" s="40">
        <v>0</v>
      </c>
      <c r="U714" s="40">
        <v>0</v>
      </c>
      <c r="V714" s="40">
        <v>0</v>
      </c>
      <c r="W714" s="40">
        <v>0</v>
      </c>
      <c r="X714" s="67">
        <f>IF(V714="","",((X712+T714+U714)-(V714+W714)))</f>
        <v>217</v>
      </c>
      <c r="Z714" s="71"/>
      <c r="AA714" s="71"/>
      <c r="AB714" s="67"/>
      <c r="AD714" s="121"/>
      <c r="AE714" s="121"/>
    </row>
    <row r="715" spans="1:31" x14ac:dyDescent="0.25">
      <c r="A715" s="58" t="s">
        <v>973</v>
      </c>
      <c r="B715" s="65">
        <v>0.33333333333333331</v>
      </c>
      <c r="C715" s="58">
        <v>3</v>
      </c>
      <c r="D715" s="10" t="s">
        <v>974</v>
      </c>
      <c r="E715" s="40">
        <v>0</v>
      </c>
      <c r="F715" s="40">
        <v>2.5</v>
      </c>
      <c r="G715" s="40">
        <v>2</v>
      </c>
      <c r="H715" s="3">
        <f t="shared" si="123"/>
        <v>0</v>
      </c>
      <c r="I715" s="3">
        <f t="shared" si="129"/>
        <v>0.3125</v>
      </c>
      <c r="J715" s="3">
        <f t="shared" si="125"/>
        <v>0.25</v>
      </c>
      <c r="K715" s="58"/>
      <c r="L715" s="60">
        <f t="shared" si="122"/>
        <v>424.54208333333332</v>
      </c>
      <c r="M715" s="40">
        <v>0</v>
      </c>
      <c r="N715" s="40">
        <v>0</v>
      </c>
      <c r="O715" s="40">
        <v>0</v>
      </c>
      <c r="P715" s="40">
        <v>2.2000000000000002</v>
      </c>
      <c r="Q715" s="40">
        <v>0</v>
      </c>
      <c r="R715" s="40">
        <v>0</v>
      </c>
      <c r="S715" s="61">
        <f t="shared" si="126"/>
        <v>46.100000000000087</v>
      </c>
      <c r="T715" s="40">
        <v>0</v>
      </c>
      <c r="U715" s="40">
        <v>0</v>
      </c>
      <c r="V715" s="40">
        <v>0</v>
      </c>
      <c r="W715" s="40">
        <v>0</v>
      </c>
      <c r="X715" s="67">
        <f t="shared" si="127"/>
        <v>217</v>
      </c>
      <c r="Z715" s="71"/>
      <c r="AA715" s="71"/>
      <c r="AB715" s="67"/>
      <c r="AD715" s="121"/>
      <c r="AE715" s="121"/>
    </row>
    <row r="716" spans="1:31" x14ac:dyDescent="0.25">
      <c r="A716" s="58" t="s">
        <v>973</v>
      </c>
      <c r="B716" s="7">
        <v>0.375</v>
      </c>
      <c r="C716" s="58">
        <v>1</v>
      </c>
      <c r="D716" s="10" t="s">
        <v>975</v>
      </c>
      <c r="E716" s="40">
        <v>0</v>
      </c>
      <c r="F716" s="40">
        <v>2.5</v>
      </c>
      <c r="G716" s="40">
        <v>2</v>
      </c>
      <c r="H716" s="3">
        <f t="shared" si="123"/>
        <v>0</v>
      </c>
      <c r="I716" s="3">
        <f t="shared" si="129"/>
        <v>0.10416666666666667</v>
      </c>
      <c r="J716" s="3">
        <f t="shared" si="125"/>
        <v>8.3333333333333329E-2</v>
      </c>
      <c r="K716" s="58"/>
      <c r="L716" s="60">
        <f t="shared" si="122"/>
        <v>424.35458333333332</v>
      </c>
      <c r="M716" s="40">
        <v>0</v>
      </c>
      <c r="N716" s="40">
        <v>0</v>
      </c>
      <c r="O716" s="40">
        <v>0</v>
      </c>
      <c r="P716" s="40">
        <v>0</v>
      </c>
      <c r="Q716" s="40">
        <v>0</v>
      </c>
      <c r="R716" s="40">
        <v>0</v>
      </c>
      <c r="S716" s="61">
        <f t="shared" si="126"/>
        <v>46.100000000000087</v>
      </c>
      <c r="T716" s="40">
        <v>0</v>
      </c>
      <c r="U716" s="40">
        <v>0</v>
      </c>
      <c r="V716" s="40">
        <v>0</v>
      </c>
      <c r="W716" s="40">
        <v>0</v>
      </c>
      <c r="X716" s="67">
        <f t="shared" si="127"/>
        <v>217</v>
      </c>
      <c r="Z716" s="71"/>
      <c r="AA716" s="71"/>
      <c r="AB716" s="67"/>
      <c r="AD716" s="121"/>
      <c r="AE716" s="121"/>
    </row>
    <row r="717" spans="1:31" x14ac:dyDescent="0.25">
      <c r="A717" s="58" t="s">
        <v>973</v>
      </c>
      <c r="B717" s="7">
        <v>0.40416666666666662</v>
      </c>
      <c r="C717" s="58">
        <v>0.8</v>
      </c>
      <c r="D717" s="10" t="s">
        <v>976</v>
      </c>
      <c r="E717" s="40">
        <v>10</v>
      </c>
      <c r="F717" s="40">
        <v>2.5</v>
      </c>
      <c r="G717" s="40">
        <v>2</v>
      </c>
      <c r="H717" s="3">
        <f t="shared" si="123"/>
        <v>0.33333333333333337</v>
      </c>
      <c r="I717" s="3">
        <f t="shared" si="129"/>
        <v>8.3333333333333343E-2</v>
      </c>
      <c r="J717" s="3">
        <f t="shared" si="125"/>
        <v>6.6666666666666666E-2</v>
      </c>
      <c r="K717" s="58"/>
      <c r="L717" s="60">
        <f t="shared" si="122"/>
        <v>423.87124999999997</v>
      </c>
      <c r="M717" s="40">
        <v>0</v>
      </c>
      <c r="N717" s="40">
        <v>0</v>
      </c>
      <c r="O717" s="40">
        <v>0</v>
      </c>
      <c r="P717" s="40">
        <v>0</v>
      </c>
      <c r="Q717" s="40">
        <v>0</v>
      </c>
      <c r="R717" s="40">
        <v>0</v>
      </c>
      <c r="S717" s="61">
        <f t="shared" si="126"/>
        <v>46.100000000000087</v>
      </c>
      <c r="T717" s="40">
        <v>0</v>
      </c>
      <c r="U717" s="40">
        <v>0</v>
      </c>
      <c r="V717" s="40">
        <v>2</v>
      </c>
      <c r="W717" s="40">
        <v>0</v>
      </c>
      <c r="X717" s="67">
        <f>IF(V717="","",((X716+T717+U717)-(V717+W717)))</f>
        <v>215</v>
      </c>
      <c r="Z717" s="71"/>
      <c r="AA717" s="71"/>
      <c r="AB717" s="67"/>
      <c r="AD717" s="121"/>
      <c r="AE717" s="121"/>
    </row>
    <row r="718" spans="1:31" x14ac:dyDescent="0.25">
      <c r="A718" s="58" t="s">
        <v>977</v>
      </c>
      <c r="B718" s="65">
        <v>0.33333333333333331</v>
      </c>
      <c r="C718" s="58">
        <v>22.2</v>
      </c>
      <c r="D718" s="10" t="s">
        <v>355</v>
      </c>
      <c r="E718" s="40">
        <v>22</v>
      </c>
      <c r="F718" s="40">
        <v>2.5</v>
      </c>
      <c r="G718" s="40">
        <v>2</v>
      </c>
      <c r="H718" s="3">
        <f t="shared" si="123"/>
        <v>20.349999999999998</v>
      </c>
      <c r="I718" s="3">
        <f t="shared" si="129"/>
        <v>2.3125</v>
      </c>
      <c r="J718" s="3">
        <f t="shared" si="125"/>
        <v>1.8499999999999999</v>
      </c>
      <c r="K718" s="58"/>
      <c r="L718" s="60">
        <f t="shared" si="122"/>
        <v>399.35874999999999</v>
      </c>
      <c r="M718" s="40">
        <v>0</v>
      </c>
      <c r="N718" s="40">
        <v>0</v>
      </c>
      <c r="O718" s="40">
        <v>0</v>
      </c>
      <c r="P718" s="40">
        <v>0.1</v>
      </c>
      <c r="Q718" s="40">
        <v>0</v>
      </c>
      <c r="R718" s="40">
        <v>0</v>
      </c>
      <c r="S718" s="61">
        <f t="shared" si="126"/>
        <v>46.000000000000085</v>
      </c>
      <c r="T718" s="40">
        <v>0</v>
      </c>
      <c r="U718" s="40">
        <v>0</v>
      </c>
      <c r="V718" s="40">
        <v>6</v>
      </c>
      <c r="W718" s="40">
        <v>0</v>
      </c>
      <c r="X718" s="67">
        <f t="shared" si="127"/>
        <v>209</v>
      </c>
      <c r="Z718" s="71"/>
      <c r="AA718" s="71"/>
      <c r="AB718" s="67"/>
      <c r="AD718" s="121"/>
      <c r="AE718" s="121"/>
    </row>
    <row r="719" spans="1:31" x14ac:dyDescent="0.25">
      <c r="A719" s="58" t="s">
        <v>978</v>
      </c>
      <c r="B719" s="65">
        <v>0.33333333333333331</v>
      </c>
      <c r="C719" s="58">
        <v>24</v>
      </c>
      <c r="D719" s="10" t="s">
        <v>355</v>
      </c>
      <c r="E719" s="40">
        <v>22</v>
      </c>
      <c r="F719" s="40">
        <v>2.5</v>
      </c>
      <c r="G719" s="40">
        <v>2</v>
      </c>
      <c r="H719" s="3">
        <f t="shared" si="123"/>
        <v>22</v>
      </c>
      <c r="I719" s="3">
        <f t="shared" si="129"/>
        <v>2.5</v>
      </c>
      <c r="J719" s="3">
        <f t="shared" si="125"/>
        <v>2</v>
      </c>
      <c r="K719" s="58"/>
      <c r="L719" s="60">
        <f t="shared" si="122"/>
        <v>372.85874999999999</v>
      </c>
      <c r="M719" s="40">
        <v>0</v>
      </c>
      <c r="N719" s="40">
        <v>0</v>
      </c>
      <c r="O719" s="40">
        <v>0</v>
      </c>
      <c r="P719" s="40">
        <v>0.1</v>
      </c>
      <c r="Q719" s="40">
        <v>0</v>
      </c>
      <c r="R719" s="40">
        <v>0</v>
      </c>
      <c r="S719" s="61">
        <f t="shared" si="126"/>
        <v>45.900000000000084</v>
      </c>
      <c r="T719" s="40">
        <v>4</v>
      </c>
      <c r="U719" s="40">
        <v>0</v>
      </c>
      <c r="V719" s="40">
        <v>6</v>
      </c>
      <c r="W719" s="40">
        <v>0</v>
      </c>
      <c r="X719" s="67">
        <f t="shared" si="127"/>
        <v>207</v>
      </c>
      <c r="Z719" s="71"/>
      <c r="AA719" s="71"/>
      <c r="AB719" s="67"/>
      <c r="AD719" s="121"/>
      <c r="AE719" s="121"/>
    </row>
    <row r="720" spans="1:31" x14ac:dyDescent="0.25">
      <c r="A720" s="58" t="s">
        <v>978</v>
      </c>
      <c r="B720" s="7">
        <v>0.625</v>
      </c>
      <c r="C720" s="58">
        <v>7</v>
      </c>
      <c r="D720" s="10" t="s">
        <v>979</v>
      </c>
      <c r="E720" s="40">
        <v>22</v>
      </c>
      <c r="F720" s="40">
        <v>2.5</v>
      </c>
      <c r="G720" s="40">
        <v>2</v>
      </c>
      <c r="H720" s="3">
        <f t="shared" si="123"/>
        <v>6.4166666666666661</v>
      </c>
      <c r="I720" s="3">
        <f t="shared" si="129"/>
        <v>0.72916666666666674</v>
      </c>
      <c r="J720" s="3">
        <f t="shared" si="125"/>
        <v>0.58333333333333326</v>
      </c>
      <c r="K720" s="58"/>
      <c r="L720" s="60">
        <f t="shared" si="122"/>
        <v>365.1295833333333</v>
      </c>
      <c r="M720" s="40">
        <v>0</v>
      </c>
      <c r="N720" s="40">
        <v>0</v>
      </c>
      <c r="O720" s="40">
        <v>0</v>
      </c>
      <c r="P720" s="40">
        <v>0</v>
      </c>
      <c r="Q720" s="40">
        <v>0</v>
      </c>
      <c r="R720" s="40">
        <v>0</v>
      </c>
      <c r="S720" s="61">
        <f t="shared" si="126"/>
        <v>45.900000000000084</v>
      </c>
      <c r="T720" s="40">
        <v>2</v>
      </c>
      <c r="U720" s="40">
        <v>0</v>
      </c>
      <c r="V720" s="40">
        <v>3</v>
      </c>
      <c r="W720" s="40">
        <v>0</v>
      </c>
      <c r="X720" s="67">
        <f t="shared" si="127"/>
        <v>206</v>
      </c>
      <c r="Z720" s="71"/>
      <c r="AA720" s="71"/>
      <c r="AB720" s="67"/>
      <c r="AD720" s="121">
        <v>9.3000000000000007</v>
      </c>
      <c r="AE720" s="121" t="s">
        <v>1309</v>
      </c>
    </row>
    <row r="721" spans="1:31" x14ac:dyDescent="0.25">
      <c r="A721" s="58" t="s">
        <v>978</v>
      </c>
      <c r="B721" s="7">
        <v>0.6875</v>
      </c>
      <c r="C721" s="58">
        <v>1.5</v>
      </c>
      <c r="D721" s="10" t="s">
        <v>980</v>
      </c>
      <c r="E721" s="40">
        <v>10</v>
      </c>
      <c r="F721" s="40">
        <v>2.5</v>
      </c>
      <c r="G721" s="40">
        <v>2</v>
      </c>
      <c r="H721" s="3">
        <f t="shared" si="123"/>
        <v>0.625</v>
      </c>
      <c r="I721" s="3">
        <f t="shared" si="129"/>
        <v>0.15625</v>
      </c>
      <c r="J721" s="3">
        <f t="shared" si="125"/>
        <v>0.125</v>
      </c>
      <c r="K721" s="58"/>
      <c r="L721" s="60">
        <f t="shared" si="122"/>
        <v>364.2233333333333</v>
      </c>
      <c r="M721" s="40">
        <v>0</v>
      </c>
      <c r="N721" s="40">
        <v>0</v>
      </c>
      <c r="O721" s="40">
        <v>0</v>
      </c>
      <c r="P721" s="40">
        <v>0</v>
      </c>
      <c r="Q721" s="40">
        <v>0</v>
      </c>
      <c r="R721" s="40">
        <v>0</v>
      </c>
      <c r="S721" s="61">
        <f t="shared" si="126"/>
        <v>45.900000000000084</v>
      </c>
      <c r="T721" s="40">
        <v>0</v>
      </c>
      <c r="U721" s="40">
        <v>0</v>
      </c>
      <c r="V721" s="40">
        <v>0</v>
      </c>
      <c r="W721" s="40">
        <v>0</v>
      </c>
      <c r="X721" s="67">
        <f t="shared" si="127"/>
        <v>206</v>
      </c>
      <c r="Z721" s="71"/>
      <c r="AA721" s="71"/>
      <c r="AB721" s="67"/>
      <c r="AD721" s="121"/>
      <c r="AE721" s="121"/>
    </row>
    <row r="722" spans="1:31" x14ac:dyDescent="0.25">
      <c r="A722" s="58" t="s">
        <v>282</v>
      </c>
      <c r="B722" s="65">
        <v>0.33333333333333331</v>
      </c>
      <c r="C722" s="58">
        <v>15.5</v>
      </c>
      <c r="D722" s="10" t="s">
        <v>368</v>
      </c>
      <c r="E722" s="40">
        <v>0</v>
      </c>
      <c r="F722" s="40">
        <v>2.5</v>
      </c>
      <c r="G722" s="40">
        <v>2</v>
      </c>
      <c r="H722" s="3">
        <f t="shared" si="123"/>
        <v>0</v>
      </c>
      <c r="I722" s="3">
        <f t="shared" si="129"/>
        <v>1.6145833333333335</v>
      </c>
      <c r="J722" s="3">
        <f t="shared" si="125"/>
        <v>1.2916666666666665</v>
      </c>
      <c r="K722" s="58"/>
      <c r="L722" s="60">
        <f t="shared" si="122"/>
        <v>361.3170833333333</v>
      </c>
      <c r="M722" s="40">
        <v>0</v>
      </c>
      <c r="N722" s="40">
        <v>0</v>
      </c>
      <c r="O722" s="40">
        <v>0</v>
      </c>
      <c r="P722" s="40">
        <v>0.1</v>
      </c>
      <c r="Q722" s="40">
        <v>0</v>
      </c>
      <c r="R722" s="40">
        <v>0</v>
      </c>
      <c r="S722" s="61">
        <f t="shared" si="126"/>
        <v>45.800000000000082</v>
      </c>
      <c r="T722" s="40">
        <v>0</v>
      </c>
      <c r="U722" s="40">
        <v>0</v>
      </c>
      <c r="V722" s="40">
        <v>3</v>
      </c>
      <c r="W722" s="40">
        <v>0</v>
      </c>
      <c r="X722" s="67">
        <f t="shared" si="127"/>
        <v>203</v>
      </c>
      <c r="Z722" s="71"/>
      <c r="AA722" s="71"/>
      <c r="AB722" s="67"/>
      <c r="AD722" s="121"/>
      <c r="AE722" s="121"/>
    </row>
    <row r="723" spans="1:31" x14ac:dyDescent="0.25">
      <c r="A723" s="58" t="s">
        <v>981</v>
      </c>
      <c r="B723" s="65">
        <v>0.33333333333333331</v>
      </c>
      <c r="C723" s="58">
        <v>24</v>
      </c>
      <c r="D723" s="10" t="s">
        <v>368</v>
      </c>
      <c r="E723" s="40">
        <v>0</v>
      </c>
      <c r="F723" s="40">
        <v>2.5</v>
      </c>
      <c r="G723" s="40">
        <v>2</v>
      </c>
      <c r="H723" s="3">
        <f t="shared" si="123"/>
        <v>0</v>
      </c>
      <c r="I723" s="3">
        <f t="shared" si="129"/>
        <v>2.5</v>
      </c>
      <c r="J723" s="3">
        <f t="shared" si="125"/>
        <v>2</v>
      </c>
      <c r="K723" s="58"/>
      <c r="L723" s="60">
        <f t="shared" si="122"/>
        <v>356.8170833333333</v>
      </c>
      <c r="M723" s="40">
        <v>0</v>
      </c>
      <c r="N723" s="40">
        <v>0</v>
      </c>
      <c r="O723" s="40">
        <v>0</v>
      </c>
      <c r="P723" s="40">
        <v>0.2</v>
      </c>
      <c r="Q723" s="40">
        <v>0</v>
      </c>
      <c r="R723" s="40">
        <v>0</v>
      </c>
      <c r="S723" s="61">
        <f t="shared" si="126"/>
        <v>45.60000000000008</v>
      </c>
      <c r="T723" s="40">
        <v>0</v>
      </c>
      <c r="U723" s="40">
        <v>0</v>
      </c>
      <c r="V723" s="40">
        <v>6</v>
      </c>
      <c r="W723" s="40">
        <v>0</v>
      </c>
      <c r="X723" s="67">
        <f t="shared" si="127"/>
        <v>197</v>
      </c>
      <c r="Z723" s="71">
        <v>80</v>
      </c>
      <c r="AA723" s="71">
        <v>40</v>
      </c>
      <c r="AB723" s="67">
        <f>SUM(Z723:AA723)</f>
        <v>120</v>
      </c>
      <c r="AD723" s="121"/>
      <c r="AE723" s="121"/>
    </row>
    <row r="724" spans="1:31" x14ac:dyDescent="0.25">
      <c r="A724" s="58" t="s">
        <v>981</v>
      </c>
      <c r="B724" s="7">
        <v>0.47916666666666669</v>
      </c>
      <c r="C724" s="58">
        <v>3.5</v>
      </c>
      <c r="D724" s="10" t="s">
        <v>945</v>
      </c>
      <c r="E724" s="40">
        <v>0</v>
      </c>
      <c r="F724" s="40">
        <v>2.5</v>
      </c>
      <c r="G724" s="40">
        <v>0</v>
      </c>
      <c r="H724" s="3">
        <f t="shared" si="123"/>
        <v>0</v>
      </c>
      <c r="I724" s="3">
        <f t="shared" si="129"/>
        <v>0.36458333333333337</v>
      </c>
      <c r="J724" s="3">
        <f t="shared" si="125"/>
        <v>0</v>
      </c>
      <c r="K724" s="58"/>
      <c r="L724" s="60">
        <f t="shared" si="122"/>
        <v>356.45249999999999</v>
      </c>
      <c r="M724" s="40">
        <v>0</v>
      </c>
      <c r="N724" s="40">
        <v>0</v>
      </c>
      <c r="O724" s="40">
        <v>0</v>
      </c>
      <c r="P724" s="40">
        <v>0</v>
      </c>
      <c r="Q724" s="40">
        <v>0</v>
      </c>
      <c r="R724" s="40">
        <v>0</v>
      </c>
      <c r="S724" s="61">
        <f t="shared" si="126"/>
        <v>45.60000000000008</v>
      </c>
      <c r="T724" s="40">
        <v>0</v>
      </c>
      <c r="U724" s="40">
        <v>0</v>
      </c>
      <c r="V724" s="40">
        <v>2</v>
      </c>
      <c r="W724" s="40">
        <v>0</v>
      </c>
      <c r="X724" s="67">
        <f t="shared" si="127"/>
        <v>195</v>
      </c>
      <c r="Z724" s="71"/>
      <c r="AA724" s="71"/>
      <c r="AB724" s="67">
        <f t="shared" ref="AB724:AB787" si="130">SUM(Z724:AA724)</f>
        <v>0</v>
      </c>
      <c r="AD724" s="121"/>
      <c r="AE724" s="121"/>
    </row>
    <row r="725" spans="1:31" x14ac:dyDescent="0.25">
      <c r="A725" s="58" t="s">
        <v>981</v>
      </c>
      <c r="B725" s="7">
        <v>0.52083333333333337</v>
      </c>
      <c r="C725" s="58">
        <v>1</v>
      </c>
      <c r="D725" s="10" t="s">
        <v>982</v>
      </c>
      <c r="E725" s="40">
        <v>10</v>
      </c>
      <c r="F725" s="40">
        <v>2.5</v>
      </c>
      <c r="G725" s="40">
        <v>0</v>
      </c>
      <c r="H725" s="3">
        <f t="shared" si="123"/>
        <v>0.41666666666666669</v>
      </c>
      <c r="I725" s="3">
        <f t="shared" si="129"/>
        <v>0.10416666666666667</v>
      </c>
      <c r="J725" s="3">
        <f t="shared" si="125"/>
        <v>0</v>
      </c>
      <c r="K725" s="58"/>
      <c r="L725" s="60">
        <f t="shared" si="122"/>
        <v>355.93166666666667</v>
      </c>
      <c r="M725" s="40">
        <v>0</v>
      </c>
      <c r="N725" s="40">
        <v>0</v>
      </c>
      <c r="O725" s="40">
        <v>0</v>
      </c>
      <c r="P725" s="40">
        <v>0</v>
      </c>
      <c r="Q725" s="40">
        <v>0</v>
      </c>
      <c r="R725" s="40">
        <v>0</v>
      </c>
      <c r="S725" s="61">
        <f t="shared" si="126"/>
        <v>45.60000000000008</v>
      </c>
      <c r="T725" s="40">
        <v>0</v>
      </c>
      <c r="U725" s="40">
        <v>0</v>
      </c>
      <c r="V725" s="40">
        <v>0</v>
      </c>
      <c r="W725" s="40">
        <v>0</v>
      </c>
      <c r="X725" s="67">
        <f t="shared" si="127"/>
        <v>195</v>
      </c>
      <c r="Z725" s="71"/>
      <c r="AA725" s="71"/>
      <c r="AB725" s="67">
        <f t="shared" si="130"/>
        <v>0</v>
      </c>
      <c r="AD725" s="121"/>
      <c r="AE725" s="121"/>
    </row>
    <row r="726" spans="1:31" x14ac:dyDescent="0.25">
      <c r="A726" s="58" t="s">
        <v>983</v>
      </c>
      <c r="B726" s="7">
        <v>0.125</v>
      </c>
      <c r="C726" s="58">
        <v>2.5</v>
      </c>
      <c r="D726" s="10" t="s">
        <v>120</v>
      </c>
      <c r="E726" s="40">
        <v>0</v>
      </c>
      <c r="F726" s="40">
        <v>2.5</v>
      </c>
      <c r="G726" s="40">
        <v>2</v>
      </c>
      <c r="H726" s="3">
        <f t="shared" si="123"/>
        <v>0</v>
      </c>
      <c r="I726" s="3">
        <f t="shared" si="129"/>
        <v>0.26041666666666669</v>
      </c>
      <c r="J726" s="3">
        <f t="shared" si="125"/>
        <v>0.20833333333333331</v>
      </c>
      <c r="K726" s="58"/>
      <c r="L726" s="60">
        <f t="shared" si="122"/>
        <v>355.46291666666667</v>
      </c>
      <c r="M726" s="40">
        <v>0</v>
      </c>
      <c r="N726" s="40">
        <v>0</v>
      </c>
      <c r="O726" s="40">
        <v>0</v>
      </c>
      <c r="P726" s="40">
        <v>0</v>
      </c>
      <c r="Q726" s="40">
        <v>3.5</v>
      </c>
      <c r="R726" s="40">
        <v>0</v>
      </c>
      <c r="S726" s="61">
        <f t="shared" si="126"/>
        <v>42.10000000000008</v>
      </c>
      <c r="T726" s="40">
        <v>0</v>
      </c>
      <c r="U726" s="40">
        <v>0</v>
      </c>
      <c r="V726" s="40">
        <v>2</v>
      </c>
      <c r="W726" s="40">
        <v>0</v>
      </c>
      <c r="X726" s="67">
        <f t="shared" si="127"/>
        <v>193</v>
      </c>
      <c r="Z726" s="71"/>
      <c r="AA726" s="71"/>
      <c r="AB726" s="67">
        <f t="shared" si="130"/>
        <v>0</v>
      </c>
      <c r="AD726" s="121"/>
      <c r="AE726" s="121"/>
    </row>
    <row r="727" spans="1:31" x14ac:dyDescent="0.25">
      <c r="A727" s="58" t="s">
        <v>983</v>
      </c>
      <c r="B727" s="7">
        <v>0.29166666666666669</v>
      </c>
      <c r="C727" s="58">
        <v>4</v>
      </c>
      <c r="D727" s="10" t="s">
        <v>190</v>
      </c>
      <c r="E727" s="40">
        <v>0</v>
      </c>
      <c r="F727" s="40">
        <v>2.5</v>
      </c>
      <c r="G727" s="40">
        <v>2</v>
      </c>
      <c r="H727" s="3">
        <f t="shared" si="123"/>
        <v>0</v>
      </c>
      <c r="I727" s="3">
        <f t="shared" si="129"/>
        <v>0.41666666666666669</v>
      </c>
      <c r="J727" s="3">
        <f t="shared" si="125"/>
        <v>0.33333333333333331</v>
      </c>
      <c r="K727" s="58"/>
      <c r="L727" s="60">
        <f t="shared" si="122"/>
        <v>354.71291666666667</v>
      </c>
      <c r="M727" s="40">
        <v>0</v>
      </c>
      <c r="N727" s="40">
        <v>0</v>
      </c>
      <c r="O727" s="40">
        <v>0</v>
      </c>
      <c r="P727" s="40">
        <v>0</v>
      </c>
      <c r="Q727" s="40">
        <v>0</v>
      </c>
      <c r="R727" s="40">
        <v>0</v>
      </c>
      <c r="S727" s="61">
        <f t="shared" si="126"/>
        <v>42.10000000000008</v>
      </c>
      <c r="T727" s="40">
        <v>0</v>
      </c>
      <c r="U727" s="40">
        <v>0</v>
      </c>
      <c r="V727" s="40">
        <v>2</v>
      </c>
      <c r="W727" s="40">
        <v>0</v>
      </c>
      <c r="X727" s="67">
        <f t="shared" si="127"/>
        <v>191</v>
      </c>
      <c r="Z727" s="71"/>
      <c r="AA727" s="71"/>
      <c r="AB727" s="67">
        <f t="shared" si="130"/>
        <v>0</v>
      </c>
      <c r="AD727" s="121"/>
      <c r="AE727" s="121"/>
    </row>
    <row r="728" spans="1:31" x14ac:dyDescent="0.25">
      <c r="A728" s="58" t="s">
        <v>983</v>
      </c>
      <c r="B728" s="65">
        <v>0.33333333333333331</v>
      </c>
      <c r="C728" s="58">
        <v>1</v>
      </c>
      <c r="D728" s="10" t="s">
        <v>947</v>
      </c>
      <c r="E728" s="40">
        <v>10</v>
      </c>
      <c r="F728" s="40">
        <v>2.5</v>
      </c>
      <c r="G728" s="40">
        <v>2</v>
      </c>
      <c r="H728" s="3">
        <f t="shared" si="123"/>
        <v>0.41666666666666669</v>
      </c>
      <c r="I728" s="3">
        <f t="shared" si="129"/>
        <v>0.10416666666666667</v>
      </c>
      <c r="J728" s="3">
        <f t="shared" si="125"/>
        <v>8.3333333333333329E-2</v>
      </c>
      <c r="K728" s="58"/>
      <c r="L728" s="60">
        <f t="shared" si="122"/>
        <v>354.10874999999999</v>
      </c>
      <c r="M728" s="40">
        <v>0</v>
      </c>
      <c r="N728" s="40">
        <v>0</v>
      </c>
      <c r="O728" s="40">
        <v>0</v>
      </c>
      <c r="P728" s="40">
        <v>0</v>
      </c>
      <c r="Q728" s="40">
        <v>0</v>
      </c>
      <c r="R728" s="40">
        <v>0</v>
      </c>
      <c r="S728" s="61">
        <f t="shared" si="126"/>
        <v>42.10000000000008</v>
      </c>
      <c r="T728" s="40">
        <v>0</v>
      </c>
      <c r="U728" s="40">
        <v>0</v>
      </c>
      <c r="V728" s="40">
        <v>0</v>
      </c>
      <c r="W728" s="40">
        <v>0</v>
      </c>
      <c r="X728" s="67">
        <f t="shared" si="127"/>
        <v>191</v>
      </c>
      <c r="Z728" s="71"/>
      <c r="AA728" s="71"/>
      <c r="AB728" s="67">
        <f t="shared" si="130"/>
        <v>0</v>
      </c>
      <c r="AD728" s="121"/>
      <c r="AE728" s="121"/>
    </row>
    <row r="729" spans="1:31" x14ac:dyDescent="0.25">
      <c r="A729" s="58" t="s">
        <v>984</v>
      </c>
      <c r="B729" s="65">
        <v>0.33333333333333331</v>
      </c>
      <c r="C729" s="58">
        <v>24</v>
      </c>
      <c r="D729" s="10" t="s">
        <v>355</v>
      </c>
      <c r="E729" s="40">
        <v>23</v>
      </c>
      <c r="F729" s="40">
        <v>2.5</v>
      </c>
      <c r="G729" s="40">
        <v>2</v>
      </c>
      <c r="H729" s="3">
        <f t="shared" si="123"/>
        <v>23</v>
      </c>
      <c r="I729" s="3">
        <f t="shared" si="129"/>
        <v>2.5</v>
      </c>
      <c r="J729" s="3">
        <f t="shared" si="125"/>
        <v>2</v>
      </c>
      <c r="K729" s="58"/>
      <c r="L729" s="60">
        <f t="shared" si="122"/>
        <v>326.60874999999999</v>
      </c>
      <c r="M729" s="40">
        <v>0</v>
      </c>
      <c r="N729" s="40">
        <v>0</v>
      </c>
      <c r="O729" s="40">
        <v>0</v>
      </c>
      <c r="P729" s="40">
        <v>0.1</v>
      </c>
      <c r="Q729" s="40">
        <v>0</v>
      </c>
      <c r="R729" s="40">
        <v>0</v>
      </c>
      <c r="S729" s="61">
        <f t="shared" si="126"/>
        <v>42.000000000000078</v>
      </c>
      <c r="T729" s="40">
        <v>0</v>
      </c>
      <c r="U729" s="40">
        <v>0</v>
      </c>
      <c r="V729" s="40">
        <v>5</v>
      </c>
      <c r="W729" s="40">
        <v>0</v>
      </c>
      <c r="X729" s="67">
        <f t="shared" si="127"/>
        <v>186</v>
      </c>
      <c r="Z729" s="71"/>
      <c r="AA729" s="71"/>
      <c r="AB729" s="67">
        <f t="shared" si="130"/>
        <v>0</v>
      </c>
      <c r="AD729" s="121"/>
      <c r="AE729" s="121"/>
    </row>
    <row r="730" spans="1:31" x14ac:dyDescent="0.25">
      <c r="A730" s="58" t="s">
        <v>984</v>
      </c>
      <c r="B730" s="7">
        <v>0.8125</v>
      </c>
      <c r="C730" s="58">
        <v>11.5</v>
      </c>
      <c r="D730" s="10" t="s">
        <v>985</v>
      </c>
      <c r="E730" s="40">
        <v>22</v>
      </c>
      <c r="F730" s="40">
        <v>2.5</v>
      </c>
      <c r="G730" s="40">
        <v>2</v>
      </c>
      <c r="H730" s="3">
        <f t="shared" si="123"/>
        <v>10.541666666666666</v>
      </c>
      <c r="I730" s="3">
        <f t="shared" si="129"/>
        <v>1.1979166666666667</v>
      </c>
      <c r="J730" s="3">
        <f t="shared" si="125"/>
        <v>0.95833333333333326</v>
      </c>
      <c r="K730" s="58"/>
      <c r="L730" s="60">
        <f t="shared" si="122"/>
        <v>313.9108333333333</v>
      </c>
      <c r="M730" s="40">
        <v>0</v>
      </c>
      <c r="N730" s="40">
        <v>0</v>
      </c>
      <c r="O730" s="40">
        <v>0</v>
      </c>
      <c r="P730" s="40">
        <v>0</v>
      </c>
      <c r="Q730" s="40">
        <v>0</v>
      </c>
      <c r="R730" s="40">
        <v>0</v>
      </c>
      <c r="S730" s="61">
        <f t="shared" si="126"/>
        <v>42.000000000000078</v>
      </c>
      <c r="T730" s="40">
        <v>0</v>
      </c>
      <c r="U730" s="40">
        <v>0</v>
      </c>
      <c r="V730" s="40">
        <v>3</v>
      </c>
      <c r="W730" s="40">
        <v>0</v>
      </c>
      <c r="X730" s="67">
        <f t="shared" si="127"/>
        <v>183</v>
      </c>
      <c r="Z730" s="71"/>
      <c r="AA730" s="71"/>
      <c r="AB730" s="67">
        <f t="shared" si="130"/>
        <v>0</v>
      </c>
      <c r="AD730" s="121">
        <v>11.7</v>
      </c>
      <c r="AE730" s="121" t="s">
        <v>1303</v>
      </c>
    </row>
    <row r="731" spans="1:31" x14ac:dyDescent="0.25">
      <c r="A731" s="58" t="s">
        <v>984</v>
      </c>
      <c r="B731" s="7">
        <v>0.87916666666666676</v>
      </c>
      <c r="C731" s="58">
        <v>1.5</v>
      </c>
      <c r="D731" s="10" t="s">
        <v>986</v>
      </c>
      <c r="E731" s="40">
        <v>10</v>
      </c>
      <c r="F731" s="40">
        <v>2.5</v>
      </c>
      <c r="G731" s="40">
        <v>2</v>
      </c>
      <c r="H731" s="3">
        <f t="shared" si="123"/>
        <v>0.625</v>
      </c>
      <c r="I731" s="3">
        <f t="shared" si="129"/>
        <v>0.15625</v>
      </c>
      <c r="J731" s="3">
        <f t="shared" si="125"/>
        <v>0.125</v>
      </c>
      <c r="K731" s="58"/>
      <c r="L731" s="60">
        <f t="shared" si="122"/>
        <v>313.0045833333333</v>
      </c>
      <c r="M731" s="40">
        <v>0</v>
      </c>
      <c r="N731" s="40">
        <v>0</v>
      </c>
      <c r="O731" s="40">
        <v>0</v>
      </c>
      <c r="P731" s="40">
        <v>0</v>
      </c>
      <c r="Q731" s="40">
        <v>0</v>
      </c>
      <c r="R731" s="40">
        <v>0</v>
      </c>
      <c r="S731" s="61">
        <f t="shared" si="126"/>
        <v>42.000000000000078</v>
      </c>
      <c r="T731" s="40">
        <v>0</v>
      </c>
      <c r="U731" s="40">
        <v>0</v>
      </c>
      <c r="V731" s="40">
        <v>0</v>
      </c>
      <c r="W731" s="40">
        <v>0</v>
      </c>
      <c r="X731" s="67">
        <f t="shared" si="127"/>
        <v>183</v>
      </c>
      <c r="Z731" s="71"/>
      <c r="AA731" s="71"/>
      <c r="AB731" s="67">
        <f t="shared" si="130"/>
        <v>0</v>
      </c>
      <c r="AD731" s="121"/>
      <c r="AE731" s="121"/>
    </row>
    <row r="732" spans="1:31" x14ac:dyDescent="0.25">
      <c r="A732" s="58" t="s">
        <v>987</v>
      </c>
      <c r="B732" s="7">
        <v>8.3333333333333332E-3</v>
      </c>
      <c r="C732" s="58">
        <v>3</v>
      </c>
      <c r="D732" s="10" t="s">
        <v>945</v>
      </c>
      <c r="E732" s="40">
        <v>0</v>
      </c>
      <c r="F732" s="40">
        <v>2.5</v>
      </c>
      <c r="G732" s="40">
        <v>2</v>
      </c>
      <c r="H732" s="3">
        <f t="shared" si="123"/>
        <v>0</v>
      </c>
      <c r="I732" s="3">
        <f t="shared" si="129"/>
        <v>0.3125</v>
      </c>
      <c r="J732" s="3">
        <f t="shared" si="125"/>
        <v>0.25</v>
      </c>
      <c r="K732" s="58"/>
      <c r="L732" s="60">
        <f t="shared" ref="L732:L795" si="131">+IF(C732="","",((L731-(H732+I732+J732))+K732))</f>
        <v>312.4420833333333</v>
      </c>
      <c r="M732" s="40">
        <v>0</v>
      </c>
      <c r="N732" s="40">
        <v>0</v>
      </c>
      <c r="O732" s="40">
        <v>0</v>
      </c>
      <c r="P732" s="40">
        <v>0</v>
      </c>
      <c r="Q732" s="40">
        <v>0</v>
      </c>
      <c r="R732" s="40">
        <v>0</v>
      </c>
      <c r="S732" s="61">
        <f t="shared" si="126"/>
        <v>42.000000000000078</v>
      </c>
      <c r="T732" s="40">
        <v>0</v>
      </c>
      <c r="U732" s="40">
        <v>0</v>
      </c>
      <c r="V732" s="40">
        <v>1</v>
      </c>
      <c r="W732" s="40">
        <v>0</v>
      </c>
      <c r="X732" s="67">
        <f t="shared" si="127"/>
        <v>182</v>
      </c>
      <c r="Z732" s="71"/>
      <c r="AA732" s="71"/>
      <c r="AB732" s="67">
        <f t="shared" si="130"/>
        <v>0</v>
      </c>
      <c r="AD732" s="121"/>
      <c r="AE732" s="121"/>
    </row>
    <row r="733" spans="1:31" x14ac:dyDescent="0.25">
      <c r="A733" s="58" t="s">
        <v>987</v>
      </c>
      <c r="B733" s="7">
        <v>7.0833333333333331E-2</v>
      </c>
      <c r="C733" s="58">
        <v>1.5</v>
      </c>
      <c r="D733" s="10" t="s">
        <v>489</v>
      </c>
      <c r="E733" s="40">
        <v>10</v>
      </c>
      <c r="F733" s="40">
        <v>2.5</v>
      </c>
      <c r="G733" s="40">
        <v>2</v>
      </c>
      <c r="H733" s="3">
        <f t="shared" si="123"/>
        <v>0.625</v>
      </c>
      <c r="I733" s="3">
        <f t="shared" si="129"/>
        <v>0.15625</v>
      </c>
      <c r="J733" s="3">
        <f t="shared" si="125"/>
        <v>0.125</v>
      </c>
      <c r="K733" s="58"/>
      <c r="L733" s="60">
        <f t="shared" si="131"/>
        <v>311.5358333333333</v>
      </c>
      <c r="M733" s="40">
        <v>0</v>
      </c>
      <c r="N733" s="40">
        <v>0</v>
      </c>
      <c r="O733" s="40">
        <v>0</v>
      </c>
      <c r="P733" s="40">
        <v>0</v>
      </c>
      <c r="Q733" s="40">
        <v>0</v>
      </c>
      <c r="R733" s="40">
        <v>0</v>
      </c>
      <c r="S733" s="61">
        <f t="shared" si="126"/>
        <v>42.000000000000078</v>
      </c>
      <c r="T733" s="40">
        <v>0</v>
      </c>
      <c r="U733" s="40">
        <v>0</v>
      </c>
      <c r="V733" s="40">
        <v>0</v>
      </c>
      <c r="W733" s="40">
        <v>0</v>
      </c>
      <c r="X733" s="67">
        <f t="shared" si="127"/>
        <v>182</v>
      </c>
      <c r="Z733" s="71"/>
      <c r="AA733" s="71"/>
      <c r="AB733" s="67">
        <f t="shared" si="130"/>
        <v>0</v>
      </c>
      <c r="AD733" s="121"/>
      <c r="AE733" s="121"/>
    </row>
    <row r="734" spans="1:31" x14ac:dyDescent="0.25">
      <c r="A734" s="58" t="s">
        <v>987</v>
      </c>
      <c r="B734" s="65">
        <v>0.33333333333333331</v>
      </c>
      <c r="C734" s="58">
        <v>6.5</v>
      </c>
      <c r="D734" s="10" t="s">
        <v>966</v>
      </c>
      <c r="E734" s="40">
        <v>0</v>
      </c>
      <c r="F734" s="40">
        <v>2.5</v>
      </c>
      <c r="G734" s="40">
        <v>2</v>
      </c>
      <c r="H734" s="3">
        <f t="shared" si="123"/>
        <v>0</v>
      </c>
      <c r="I734" s="3">
        <f t="shared" si="129"/>
        <v>0.67708333333333337</v>
      </c>
      <c r="J734" s="3">
        <f t="shared" si="125"/>
        <v>0.54166666666666663</v>
      </c>
      <c r="K734" s="58"/>
      <c r="L734" s="60">
        <f t="shared" si="131"/>
        <v>310.3170833333333</v>
      </c>
      <c r="M734" s="40">
        <v>0</v>
      </c>
      <c r="N734" s="40">
        <v>0</v>
      </c>
      <c r="O734" s="40">
        <v>0</v>
      </c>
      <c r="P734" s="40">
        <v>0.1</v>
      </c>
      <c r="Q734" s="40">
        <v>1.25</v>
      </c>
      <c r="R734" s="40">
        <v>0</v>
      </c>
      <c r="S734" s="61">
        <f t="shared" si="126"/>
        <v>40.650000000000077</v>
      </c>
      <c r="T734" s="40">
        <v>0</v>
      </c>
      <c r="U734" s="40">
        <v>0</v>
      </c>
      <c r="V734" s="40">
        <v>1</v>
      </c>
      <c r="W734" s="40">
        <v>0</v>
      </c>
      <c r="X734" s="67">
        <f t="shared" si="127"/>
        <v>181</v>
      </c>
      <c r="Z734" s="71"/>
      <c r="AA734" s="71"/>
      <c r="AB734" s="67">
        <f t="shared" si="130"/>
        <v>0</v>
      </c>
      <c r="AD734" s="121"/>
      <c r="AE734" s="121"/>
    </row>
    <row r="735" spans="1:31" x14ac:dyDescent="0.25">
      <c r="A735" s="58" t="s">
        <v>987</v>
      </c>
      <c r="B735" s="7">
        <v>0.72083333333333333</v>
      </c>
      <c r="C735" s="58">
        <v>9.1999999999999993</v>
      </c>
      <c r="D735" s="10" t="s">
        <v>801</v>
      </c>
      <c r="E735" s="40">
        <v>0</v>
      </c>
      <c r="F735" s="40">
        <v>2.5</v>
      </c>
      <c r="G735" s="40">
        <v>2</v>
      </c>
      <c r="H735" s="3">
        <f t="shared" si="123"/>
        <v>0</v>
      </c>
      <c r="I735" s="3">
        <f t="shared" si="129"/>
        <v>0.95833333333333326</v>
      </c>
      <c r="J735" s="3">
        <f t="shared" si="125"/>
        <v>0.76666666666666661</v>
      </c>
      <c r="K735" s="58"/>
      <c r="L735" s="60">
        <f t="shared" si="131"/>
        <v>308.59208333333328</v>
      </c>
      <c r="M735" s="40">
        <v>0</v>
      </c>
      <c r="N735" s="40">
        <v>0</v>
      </c>
      <c r="O735" s="40">
        <v>0</v>
      </c>
      <c r="P735" s="40">
        <v>0</v>
      </c>
      <c r="Q735" s="40">
        <v>2.38</v>
      </c>
      <c r="R735" s="40">
        <v>0</v>
      </c>
      <c r="S735" s="61">
        <f t="shared" si="126"/>
        <v>38.270000000000074</v>
      </c>
      <c r="T735" s="40">
        <v>0</v>
      </c>
      <c r="U735" s="40">
        <v>0</v>
      </c>
      <c r="V735" s="40">
        <v>3</v>
      </c>
      <c r="W735" s="40">
        <v>0</v>
      </c>
      <c r="X735" s="67">
        <f t="shared" si="127"/>
        <v>178</v>
      </c>
      <c r="Z735" s="71"/>
      <c r="AA735" s="71"/>
      <c r="AB735" s="67">
        <f t="shared" si="130"/>
        <v>0</v>
      </c>
      <c r="AD735" s="121"/>
      <c r="AE735" s="121"/>
    </row>
    <row r="736" spans="1:31" x14ac:dyDescent="0.25">
      <c r="A736" s="58" t="s">
        <v>987</v>
      </c>
      <c r="B736" s="7">
        <v>0.87916666666666676</v>
      </c>
      <c r="C736" s="58">
        <v>3.9</v>
      </c>
      <c r="D736" s="10" t="s">
        <v>190</v>
      </c>
      <c r="E736" s="40">
        <v>0</v>
      </c>
      <c r="F736" s="40">
        <v>2.5</v>
      </c>
      <c r="G736" s="40">
        <v>2</v>
      </c>
      <c r="H736" s="3">
        <f t="shared" si="123"/>
        <v>0</v>
      </c>
      <c r="I736" s="3">
        <f t="shared" si="129"/>
        <v>0.40625</v>
      </c>
      <c r="J736" s="3">
        <f t="shared" si="125"/>
        <v>0.32499999999999996</v>
      </c>
      <c r="K736" s="58"/>
      <c r="L736" s="60">
        <f t="shared" si="131"/>
        <v>307.86083333333329</v>
      </c>
      <c r="M736" s="40">
        <v>0</v>
      </c>
      <c r="N736" s="40">
        <v>0</v>
      </c>
      <c r="O736" s="40">
        <v>0</v>
      </c>
      <c r="P736" s="40">
        <v>0</v>
      </c>
      <c r="Q736" s="40">
        <v>0</v>
      </c>
      <c r="R736" s="40">
        <v>0</v>
      </c>
      <c r="S736" s="61">
        <f t="shared" si="126"/>
        <v>38.270000000000074</v>
      </c>
      <c r="T736" s="40">
        <v>0</v>
      </c>
      <c r="U736" s="40">
        <v>0</v>
      </c>
      <c r="V736" s="40">
        <v>1</v>
      </c>
      <c r="W736" s="40">
        <v>0</v>
      </c>
      <c r="X736" s="67">
        <f t="shared" si="127"/>
        <v>177</v>
      </c>
      <c r="Z736" s="71"/>
      <c r="AA736" s="71"/>
      <c r="AB736" s="67">
        <f t="shared" si="130"/>
        <v>0</v>
      </c>
      <c r="AD736" s="121"/>
      <c r="AE736" s="121"/>
    </row>
    <row r="737" spans="1:31" x14ac:dyDescent="0.25">
      <c r="A737" s="58" t="s">
        <v>987</v>
      </c>
      <c r="B737" s="7">
        <v>0.91666666666666663</v>
      </c>
      <c r="C737" s="58">
        <v>0.9</v>
      </c>
      <c r="D737" s="10" t="s">
        <v>308</v>
      </c>
      <c r="E737" s="40">
        <v>10</v>
      </c>
      <c r="F737" s="40">
        <v>2.5</v>
      </c>
      <c r="G737" s="40">
        <v>2</v>
      </c>
      <c r="H737" s="3">
        <f t="shared" si="123"/>
        <v>0.375</v>
      </c>
      <c r="I737" s="3">
        <f t="shared" si="129"/>
        <v>9.375E-2</v>
      </c>
      <c r="J737" s="3">
        <f t="shared" si="125"/>
        <v>7.4999999999999997E-2</v>
      </c>
      <c r="K737" s="58"/>
      <c r="L737" s="60">
        <f t="shared" si="131"/>
        <v>307.3170833333333</v>
      </c>
      <c r="M737" s="40">
        <v>0</v>
      </c>
      <c r="N737" s="40">
        <v>0</v>
      </c>
      <c r="O737" s="40">
        <v>0</v>
      </c>
      <c r="P737" s="40">
        <v>0</v>
      </c>
      <c r="Q737" s="40">
        <v>0</v>
      </c>
      <c r="R737" s="40">
        <v>0</v>
      </c>
      <c r="S737" s="61">
        <f t="shared" si="126"/>
        <v>38.270000000000074</v>
      </c>
      <c r="T737" s="40">
        <v>0</v>
      </c>
      <c r="U737" s="40">
        <v>0</v>
      </c>
      <c r="V737" s="40">
        <v>0</v>
      </c>
      <c r="W737" s="40">
        <v>0</v>
      </c>
      <c r="X737" s="67">
        <f t="shared" si="127"/>
        <v>177</v>
      </c>
      <c r="Z737" s="71"/>
      <c r="AA737" s="71"/>
      <c r="AB737" s="67">
        <f t="shared" si="130"/>
        <v>0</v>
      </c>
      <c r="AD737" s="121"/>
      <c r="AE737" s="121"/>
    </row>
    <row r="738" spans="1:31" x14ac:dyDescent="0.25">
      <c r="A738" s="58" t="s">
        <v>987</v>
      </c>
      <c r="B738" s="7">
        <v>0.95833333333333337</v>
      </c>
      <c r="C738" s="58">
        <v>1</v>
      </c>
      <c r="D738" s="10" t="s">
        <v>988</v>
      </c>
      <c r="E738" s="40">
        <v>10</v>
      </c>
      <c r="F738" s="40">
        <v>2.5</v>
      </c>
      <c r="G738" s="40">
        <v>1</v>
      </c>
      <c r="H738" s="3">
        <f t="shared" si="123"/>
        <v>0.41666666666666669</v>
      </c>
      <c r="I738" s="3">
        <f t="shared" si="129"/>
        <v>0.10416666666666667</v>
      </c>
      <c r="J738" s="3">
        <f t="shared" si="125"/>
        <v>4.1666666666666664E-2</v>
      </c>
      <c r="K738" s="58"/>
      <c r="L738" s="60">
        <f t="shared" si="131"/>
        <v>306.7545833333333</v>
      </c>
      <c r="M738" s="40">
        <v>0</v>
      </c>
      <c r="N738" s="40">
        <v>0</v>
      </c>
      <c r="O738" s="40">
        <v>0</v>
      </c>
      <c r="P738" s="40">
        <v>0</v>
      </c>
      <c r="Q738" s="40">
        <v>0</v>
      </c>
      <c r="R738" s="40">
        <v>0</v>
      </c>
      <c r="S738" s="61">
        <f t="shared" si="126"/>
        <v>38.270000000000074</v>
      </c>
      <c r="T738" s="40">
        <v>0</v>
      </c>
      <c r="U738" s="40">
        <v>0</v>
      </c>
      <c r="V738" s="40">
        <v>0</v>
      </c>
      <c r="W738" s="40">
        <v>0</v>
      </c>
      <c r="X738" s="67">
        <f t="shared" si="127"/>
        <v>177</v>
      </c>
      <c r="Z738" s="71"/>
      <c r="AA738" s="71"/>
      <c r="AB738" s="67">
        <f t="shared" si="130"/>
        <v>0</v>
      </c>
      <c r="AD738" s="121"/>
      <c r="AE738" s="121"/>
    </row>
    <row r="739" spans="1:31" x14ac:dyDescent="0.25">
      <c r="A739" s="58" t="s">
        <v>989</v>
      </c>
      <c r="B739" s="65">
        <v>0.33333333333333331</v>
      </c>
      <c r="C739" s="58">
        <v>9</v>
      </c>
      <c r="D739" s="10" t="s">
        <v>355</v>
      </c>
      <c r="E739" s="40">
        <v>22</v>
      </c>
      <c r="F739" s="40">
        <v>2.5</v>
      </c>
      <c r="G739" s="40">
        <v>2</v>
      </c>
      <c r="H739" s="3">
        <f t="shared" si="123"/>
        <v>8.25</v>
      </c>
      <c r="I739" s="3">
        <f t="shared" si="129"/>
        <v>0.9375</v>
      </c>
      <c r="J739" s="3">
        <f t="shared" si="125"/>
        <v>0.75</v>
      </c>
      <c r="K739" s="58"/>
      <c r="L739" s="60">
        <f t="shared" si="131"/>
        <v>296.8170833333333</v>
      </c>
      <c r="M739" s="40">
        <v>0</v>
      </c>
      <c r="N739" s="40">
        <v>0</v>
      </c>
      <c r="O739" s="40">
        <v>0</v>
      </c>
      <c r="P739" s="40">
        <v>0.1</v>
      </c>
      <c r="Q739" s="40">
        <v>0</v>
      </c>
      <c r="R739" s="40">
        <v>0</v>
      </c>
      <c r="S739" s="61">
        <f t="shared" si="126"/>
        <v>38.170000000000073</v>
      </c>
      <c r="T739" s="40">
        <v>0</v>
      </c>
      <c r="U739" s="40">
        <v>0</v>
      </c>
      <c r="V739" s="40">
        <v>2</v>
      </c>
      <c r="W739" s="40">
        <v>0</v>
      </c>
      <c r="X739" s="67">
        <f t="shared" si="127"/>
        <v>175</v>
      </c>
      <c r="Z739" s="71">
        <v>74</v>
      </c>
      <c r="AA739" s="71">
        <v>44</v>
      </c>
      <c r="AB739" s="67">
        <f t="shared" si="130"/>
        <v>118</v>
      </c>
      <c r="AD739" s="121"/>
      <c r="AE739" s="121"/>
    </row>
    <row r="740" spans="1:31" x14ac:dyDescent="0.25">
      <c r="A740" s="58" t="s">
        <v>989</v>
      </c>
      <c r="B740" s="62">
        <v>0.39999999999999997</v>
      </c>
      <c r="C740" s="58">
        <v>1.5</v>
      </c>
      <c r="D740" s="10" t="s">
        <v>645</v>
      </c>
      <c r="E740" s="40">
        <v>22</v>
      </c>
      <c r="F740" s="40">
        <v>2.5</v>
      </c>
      <c r="G740" s="40">
        <v>2</v>
      </c>
      <c r="H740" s="3">
        <f t="shared" si="123"/>
        <v>1.375</v>
      </c>
      <c r="I740" s="3">
        <f t="shared" si="129"/>
        <v>0.15625</v>
      </c>
      <c r="J740" s="3">
        <f t="shared" si="125"/>
        <v>0.125</v>
      </c>
      <c r="K740" s="58"/>
      <c r="L740" s="60">
        <f t="shared" si="131"/>
        <v>295.1608333333333</v>
      </c>
      <c r="M740" s="40">
        <v>0</v>
      </c>
      <c r="N740" s="40">
        <v>0</v>
      </c>
      <c r="O740" s="40">
        <v>0</v>
      </c>
      <c r="P740" s="40">
        <v>0</v>
      </c>
      <c r="Q740" s="40">
        <v>0</v>
      </c>
      <c r="R740" s="40">
        <v>0</v>
      </c>
      <c r="S740" s="61">
        <f t="shared" si="126"/>
        <v>38.170000000000073</v>
      </c>
      <c r="T740" s="40">
        <v>0</v>
      </c>
      <c r="U740" s="40">
        <v>0</v>
      </c>
      <c r="V740" s="40">
        <v>1</v>
      </c>
      <c r="W740" s="40">
        <v>0</v>
      </c>
      <c r="X740" s="67">
        <f t="shared" si="127"/>
        <v>174</v>
      </c>
      <c r="Z740" s="71"/>
      <c r="AA740" s="71"/>
      <c r="AB740" s="67">
        <f t="shared" si="130"/>
        <v>0</v>
      </c>
      <c r="AD740" s="121">
        <v>12.1</v>
      </c>
      <c r="AE740" s="121" t="s">
        <v>1301</v>
      </c>
    </row>
    <row r="741" spans="1:31" x14ac:dyDescent="0.25">
      <c r="A741" s="58" t="s">
        <v>989</v>
      </c>
      <c r="B741" s="62">
        <v>0.45</v>
      </c>
      <c r="C741" s="58">
        <v>1.1000000000000001</v>
      </c>
      <c r="D741" s="10" t="s">
        <v>990</v>
      </c>
      <c r="E741" s="40">
        <v>10</v>
      </c>
      <c r="F741" s="40">
        <v>2.5</v>
      </c>
      <c r="G741" s="40">
        <v>2</v>
      </c>
      <c r="H741" s="3">
        <f t="shared" si="123"/>
        <v>0.45833333333333337</v>
      </c>
      <c r="I741" s="3">
        <f t="shared" si="129"/>
        <v>0.11458333333333334</v>
      </c>
      <c r="J741" s="3">
        <f t="shared" si="125"/>
        <v>9.1666666666666674E-2</v>
      </c>
      <c r="K741" s="58"/>
      <c r="L741" s="60">
        <f t="shared" si="131"/>
        <v>294.49624999999997</v>
      </c>
      <c r="M741" s="40">
        <v>0</v>
      </c>
      <c r="N741" s="40">
        <v>0</v>
      </c>
      <c r="O741" s="40">
        <v>0</v>
      </c>
      <c r="P741" s="40">
        <v>0</v>
      </c>
      <c r="Q741" s="40">
        <v>0</v>
      </c>
      <c r="R741" s="40">
        <v>0</v>
      </c>
      <c r="S741" s="61">
        <f t="shared" si="126"/>
        <v>38.170000000000073</v>
      </c>
      <c r="T741" s="40">
        <v>0</v>
      </c>
      <c r="U741" s="40">
        <v>0</v>
      </c>
      <c r="V741" s="40">
        <v>0</v>
      </c>
      <c r="W741" s="40">
        <v>0</v>
      </c>
      <c r="X741" s="67">
        <f t="shared" si="127"/>
        <v>174</v>
      </c>
      <c r="Z741" s="71"/>
      <c r="AA741" s="71"/>
      <c r="AB741" s="67">
        <f t="shared" si="130"/>
        <v>0</v>
      </c>
      <c r="AD741" s="121"/>
      <c r="AE741" s="121"/>
    </row>
    <row r="742" spans="1:31" x14ac:dyDescent="0.25">
      <c r="A742" s="58" t="s">
        <v>991</v>
      </c>
      <c r="B742" s="66">
        <v>0.33333333333333331</v>
      </c>
      <c r="C742" s="58">
        <v>21.4</v>
      </c>
      <c r="D742" s="10" t="s">
        <v>992</v>
      </c>
      <c r="E742" s="40">
        <v>0</v>
      </c>
      <c r="F742" s="40">
        <v>2.5</v>
      </c>
      <c r="G742" s="40">
        <v>2</v>
      </c>
      <c r="H742" s="3">
        <f t="shared" si="123"/>
        <v>0</v>
      </c>
      <c r="I742" s="3">
        <f t="shared" si="129"/>
        <v>2.2291666666666665</v>
      </c>
      <c r="J742" s="3">
        <f t="shared" si="125"/>
        <v>1.7833333333333332</v>
      </c>
      <c r="K742" s="58"/>
      <c r="L742" s="60">
        <f t="shared" si="131"/>
        <v>290.48374999999999</v>
      </c>
      <c r="M742" s="40">
        <v>0</v>
      </c>
      <c r="N742" s="40">
        <v>0</v>
      </c>
      <c r="O742" s="40">
        <v>0</v>
      </c>
      <c r="P742" s="40">
        <v>0.1</v>
      </c>
      <c r="Q742" s="40">
        <v>2.8</v>
      </c>
      <c r="R742" s="40">
        <v>0</v>
      </c>
      <c r="S742" s="61">
        <f t="shared" si="126"/>
        <v>35.270000000000074</v>
      </c>
      <c r="T742" s="40">
        <v>0</v>
      </c>
      <c r="U742" s="40">
        <v>0</v>
      </c>
      <c r="V742" s="40">
        <v>5</v>
      </c>
      <c r="W742" s="40">
        <v>0</v>
      </c>
      <c r="X742" s="67">
        <f t="shared" si="127"/>
        <v>169</v>
      </c>
      <c r="Z742" s="71"/>
      <c r="AA742" s="71"/>
      <c r="AB742" s="67">
        <f t="shared" si="130"/>
        <v>0</v>
      </c>
      <c r="AD742" s="121"/>
      <c r="AE742" s="121"/>
    </row>
    <row r="743" spans="1:31" x14ac:dyDescent="0.25">
      <c r="A743" s="58" t="s">
        <v>993</v>
      </c>
      <c r="B743" s="62">
        <v>0.15833333333333333</v>
      </c>
      <c r="C743" s="58">
        <v>19.8</v>
      </c>
      <c r="D743" s="10" t="s">
        <v>625</v>
      </c>
      <c r="E743" s="40">
        <v>0</v>
      </c>
      <c r="F743" s="40">
        <v>2.5</v>
      </c>
      <c r="G743" s="40">
        <v>2</v>
      </c>
      <c r="H743" s="3">
        <f t="shared" si="123"/>
        <v>0</v>
      </c>
      <c r="I743" s="3">
        <f t="shared" si="129"/>
        <v>2.0625</v>
      </c>
      <c r="J743" s="3">
        <f t="shared" si="125"/>
        <v>1.65</v>
      </c>
      <c r="K743" s="58"/>
      <c r="L743" s="60">
        <f t="shared" si="131"/>
        <v>286.77125000000001</v>
      </c>
      <c r="M743" s="40">
        <v>0</v>
      </c>
      <c r="N743" s="40">
        <v>0</v>
      </c>
      <c r="O743" s="40">
        <v>0</v>
      </c>
      <c r="P743" s="40">
        <v>0</v>
      </c>
      <c r="Q743" s="40">
        <v>0.3</v>
      </c>
      <c r="R743" s="40">
        <v>0</v>
      </c>
      <c r="S743" s="61">
        <f t="shared" si="126"/>
        <v>34.970000000000077</v>
      </c>
      <c r="T743" s="40">
        <v>0</v>
      </c>
      <c r="U743" s="40">
        <v>0</v>
      </c>
      <c r="V743" s="40">
        <v>4</v>
      </c>
      <c r="W743" s="40">
        <v>0</v>
      </c>
      <c r="X743" s="67">
        <f t="shared" si="127"/>
        <v>165</v>
      </c>
      <c r="Z743" s="71"/>
      <c r="AA743" s="71"/>
      <c r="AB743" s="67">
        <f t="shared" si="130"/>
        <v>0</v>
      </c>
      <c r="AD743" s="121"/>
      <c r="AE743" s="121"/>
    </row>
    <row r="744" spans="1:31" x14ac:dyDescent="0.25">
      <c r="A744" s="58" t="s">
        <v>993</v>
      </c>
      <c r="B744" s="62">
        <v>0.19583333333333333</v>
      </c>
      <c r="C744" s="58">
        <v>1</v>
      </c>
      <c r="D744" s="10" t="s">
        <v>994</v>
      </c>
      <c r="E744" s="40">
        <v>10</v>
      </c>
      <c r="F744" s="40">
        <v>2.5</v>
      </c>
      <c r="G744" s="40">
        <v>2</v>
      </c>
      <c r="H744" s="3">
        <f t="shared" si="123"/>
        <v>0.41666666666666669</v>
      </c>
      <c r="I744" s="3">
        <f t="shared" si="129"/>
        <v>0.10416666666666667</v>
      </c>
      <c r="J744" s="3">
        <f t="shared" si="125"/>
        <v>8.3333333333333329E-2</v>
      </c>
      <c r="K744" s="58"/>
      <c r="L744" s="60">
        <f t="shared" si="131"/>
        <v>286.16708333333332</v>
      </c>
      <c r="M744" s="40">
        <v>0</v>
      </c>
      <c r="N744" s="40">
        <v>0</v>
      </c>
      <c r="O744" s="40">
        <v>0</v>
      </c>
      <c r="P744" s="40">
        <v>0</v>
      </c>
      <c r="Q744" s="40">
        <v>0</v>
      </c>
      <c r="R744" s="40">
        <v>0</v>
      </c>
      <c r="S744" s="61">
        <f t="shared" si="126"/>
        <v>34.970000000000077</v>
      </c>
      <c r="T744" s="40">
        <v>0</v>
      </c>
      <c r="U744" s="40">
        <v>0</v>
      </c>
      <c r="V744" s="40">
        <v>0</v>
      </c>
      <c r="W744" s="40">
        <v>0</v>
      </c>
      <c r="X744" s="67">
        <f t="shared" si="127"/>
        <v>165</v>
      </c>
      <c r="Z744" s="71"/>
      <c r="AA744" s="71"/>
      <c r="AB744" s="67">
        <f t="shared" si="130"/>
        <v>0</v>
      </c>
      <c r="AD744" s="121"/>
      <c r="AE744" s="121"/>
    </row>
    <row r="745" spans="1:31" x14ac:dyDescent="0.25">
      <c r="A745" s="58" t="s">
        <v>993</v>
      </c>
      <c r="B745" s="66">
        <v>0.33333333333333331</v>
      </c>
      <c r="C745" s="58">
        <v>3.2</v>
      </c>
      <c r="D745" s="10" t="s">
        <v>179</v>
      </c>
      <c r="E745" s="40">
        <v>0</v>
      </c>
      <c r="F745" s="40">
        <v>2.5</v>
      </c>
      <c r="G745" s="40">
        <v>2</v>
      </c>
      <c r="H745" s="3">
        <f t="shared" si="123"/>
        <v>0</v>
      </c>
      <c r="I745" s="3">
        <f t="shared" si="129"/>
        <v>0.33333333333333337</v>
      </c>
      <c r="J745" s="3">
        <f t="shared" si="125"/>
        <v>0.26666666666666666</v>
      </c>
      <c r="K745" s="58"/>
      <c r="L745" s="60">
        <f t="shared" si="131"/>
        <v>285.5670833333333</v>
      </c>
      <c r="M745" s="40">
        <v>0</v>
      </c>
      <c r="N745" s="40">
        <v>0</v>
      </c>
      <c r="O745" s="40">
        <v>0</v>
      </c>
      <c r="P745" s="40">
        <v>0</v>
      </c>
      <c r="Q745" s="40">
        <v>0</v>
      </c>
      <c r="R745" s="40">
        <v>0</v>
      </c>
      <c r="S745" s="61">
        <f t="shared" si="126"/>
        <v>34.970000000000077</v>
      </c>
      <c r="T745" s="40">
        <v>0</v>
      </c>
      <c r="U745" s="40">
        <v>0</v>
      </c>
      <c r="V745" s="40">
        <v>2</v>
      </c>
      <c r="W745" s="40">
        <v>0</v>
      </c>
      <c r="X745" s="67">
        <f t="shared" si="127"/>
        <v>163</v>
      </c>
      <c r="Z745" s="71"/>
      <c r="AA745" s="71"/>
      <c r="AB745" s="67">
        <f t="shared" si="130"/>
        <v>0</v>
      </c>
      <c r="AD745" s="121"/>
      <c r="AE745" s="121"/>
    </row>
    <row r="746" spans="1:31" x14ac:dyDescent="0.25">
      <c r="A746" s="58" t="s">
        <v>995</v>
      </c>
      <c r="B746" s="66">
        <v>0.33333333333333331</v>
      </c>
      <c r="C746" s="58">
        <v>24</v>
      </c>
      <c r="D746" s="10" t="s">
        <v>179</v>
      </c>
      <c r="E746" s="40">
        <v>0</v>
      </c>
      <c r="F746" s="40">
        <v>2.5</v>
      </c>
      <c r="G746" s="40">
        <v>2</v>
      </c>
      <c r="H746" s="3">
        <f t="shared" si="123"/>
        <v>0</v>
      </c>
      <c r="I746" s="3">
        <f t="shared" si="129"/>
        <v>2.5</v>
      </c>
      <c r="J746" s="3">
        <f t="shared" si="125"/>
        <v>2</v>
      </c>
      <c r="K746" s="58"/>
      <c r="L746" s="60">
        <f t="shared" si="131"/>
        <v>281.0670833333333</v>
      </c>
      <c r="M746" s="40">
        <v>0</v>
      </c>
      <c r="N746" s="40">
        <v>0</v>
      </c>
      <c r="O746" s="40">
        <v>0</v>
      </c>
      <c r="P746" s="40">
        <v>0.1</v>
      </c>
      <c r="Q746" s="40">
        <v>0</v>
      </c>
      <c r="R746" s="40">
        <v>0</v>
      </c>
      <c r="S746" s="61">
        <f t="shared" si="126"/>
        <v>34.870000000000076</v>
      </c>
      <c r="T746" s="40">
        <v>0</v>
      </c>
      <c r="U746" s="40">
        <v>0</v>
      </c>
      <c r="V746" s="40">
        <v>5</v>
      </c>
      <c r="W746" s="40">
        <v>0</v>
      </c>
      <c r="X746" s="67">
        <f t="shared" si="127"/>
        <v>158</v>
      </c>
      <c r="Z746" s="71"/>
      <c r="AA746" s="71"/>
      <c r="AB746" s="67">
        <f t="shared" si="130"/>
        <v>0</v>
      </c>
      <c r="AD746" s="121"/>
      <c r="AE746" s="121"/>
    </row>
    <row r="747" spans="1:31" x14ac:dyDescent="0.25">
      <c r="A747" s="58" t="s">
        <v>996</v>
      </c>
      <c r="B747" s="66">
        <v>0.33333333333333331</v>
      </c>
      <c r="C747" s="58">
        <v>24</v>
      </c>
      <c r="D747" s="10" t="s">
        <v>595</v>
      </c>
      <c r="E747" s="40">
        <v>0</v>
      </c>
      <c r="F747" s="40">
        <v>2.5</v>
      </c>
      <c r="G747" s="40">
        <v>2</v>
      </c>
      <c r="H747" s="3">
        <f t="shared" si="123"/>
        <v>0</v>
      </c>
      <c r="I747" s="3">
        <f t="shared" si="129"/>
        <v>2.5</v>
      </c>
      <c r="J747" s="3">
        <f t="shared" si="125"/>
        <v>2</v>
      </c>
      <c r="K747" s="58"/>
      <c r="L747" s="60">
        <f t="shared" si="131"/>
        <v>276.5670833333333</v>
      </c>
      <c r="M747" s="40">
        <v>0</v>
      </c>
      <c r="N747" s="40">
        <v>0</v>
      </c>
      <c r="O747" s="40">
        <v>0</v>
      </c>
      <c r="P747" s="40">
        <v>0.1</v>
      </c>
      <c r="Q747" s="40">
        <v>0</v>
      </c>
      <c r="R747" s="40">
        <v>0</v>
      </c>
      <c r="S747" s="61">
        <f t="shared" si="126"/>
        <v>34.770000000000074</v>
      </c>
      <c r="T747" s="40">
        <v>0</v>
      </c>
      <c r="U747" s="40">
        <v>0</v>
      </c>
      <c r="V747" s="40">
        <v>5</v>
      </c>
      <c r="W747" s="40">
        <v>0</v>
      </c>
      <c r="X747" s="67">
        <f t="shared" si="127"/>
        <v>153</v>
      </c>
      <c r="Z747" s="71"/>
      <c r="AA747" s="71"/>
      <c r="AB747" s="67">
        <f t="shared" si="130"/>
        <v>0</v>
      </c>
      <c r="AD747" s="121"/>
      <c r="AE747" s="121"/>
    </row>
    <row r="748" spans="1:31" x14ac:dyDescent="0.25">
      <c r="A748" s="58" t="s">
        <v>996</v>
      </c>
      <c r="B748" s="62">
        <v>0.72916666666666663</v>
      </c>
      <c r="C748" s="58">
        <v>13.5</v>
      </c>
      <c r="D748" s="10" t="s">
        <v>953</v>
      </c>
      <c r="E748" s="40">
        <v>0</v>
      </c>
      <c r="F748" s="40">
        <v>2.5</v>
      </c>
      <c r="G748" s="40">
        <v>5</v>
      </c>
      <c r="H748" s="3">
        <f t="shared" si="123"/>
        <v>0</v>
      </c>
      <c r="I748" s="3">
        <f t="shared" si="129"/>
        <v>1.40625</v>
      </c>
      <c r="J748" s="3">
        <f t="shared" si="125"/>
        <v>2.8125</v>
      </c>
      <c r="K748" s="58"/>
      <c r="L748" s="60">
        <f t="shared" si="131"/>
        <v>272.3483333333333</v>
      </c>
      <c r="M748" s="40">
        <v>0</v>
      </c>
      <c r="N748" s="40">
        <v>0</v>
      </c>
      <c r="O748" s="40">
        <v>0</v>
      </c>
      <c r="P748" s="40">
        <v>0.1</v>
      </c>
      <c r="Q748" s="40">
        <v>0</v>
      </c>
      <c r="R748" s="40">
        <v>0</v>
      </c>
      <c r="S748" s="61">
        <f t="shared" si="126"/>
        <v>34.670000000000073</v>
      </c>
      <c r="T748" s="40">
        <v>0</v>
      </c>
      <c r="U748" s="40">
        <v>0</v>
      </c>
      <c r="V748" s="40">
        <v>3</v>
      </c>
      <c r="W748" s="40">
        <v>0</v>
      </c>
      <c r="X748" s="67">
        <f t="shared" si="127"/>
        <v>150</v>
      </c>
      <c r="Z748" s="71"/>
      <c r="AA748" s="71"/>
      <c r="AB748" s="67">
        <f t="shared" si="130"/>
        <v>0</v>
      </c>
      <c r="AD748" s="121"/>
      <c r="AE748" s="121"/>
    </row>
    <row r="749" spans="1:31" x14ac:dyDescent="0.25">
      <c r="A749" s="58" t="s">
        <v>997</v>
      </c>
      <c r="B749" s="62">
        <v>8.7500000000000008E-2</v>
      </c>
      <c r="C749" s="58">
        <v>8.5</v>
      </c>
      <c r="D749" s="10" t="s">
        <v>998</v>
      </c>
      <c r="E749" s="40">
        <v>0</v>
      </c>
      <c r="F749" s="40">
        <v>2.5</v>
      </c>
      <c r="G749" s="40">
        <v>2</v>
      </c>
      <c r="H749" s="3">
        <f t="shared" si="123"/>
        <v>0</v>
      </c>
      <c r="I749" s="3">
        <f t="shared" si="129"/>
        <v>0.88541666666666674</v>
      </c>
      <c r="J749" s="3">
        <f t="shared" si="125"/>
        <v>0.70833333333333326</v>
      </c>
      <c r="K749" s="58"/>
      <c r="L749" s="60">
        <f t="shared" si="131"/>
        <v>270.7545833333333</v>
      </c>
      <c r="M749" s="40">
        <v>0</v>
      </c>
      <c r="N749" s="40">
        <v>0</v>
      </c>
      <c r="O749" s="40">
        <v>0</v>
      </c>
      <c r="P749" s="40">
        <v>0</v>
      </c>
      <c r="Q749" s="40">
        <v>0</v>
      </c>
      <c r="R749" s="40">
        <v>0</v>
      </c>
      <c r="S749" s="61">
        <f t="shared" si="126"/>
        <v>34.670000000000073</v>
      </c>
      <c r="T749" s="40">
        <v>0</v>
      </c>
      <c r="U749" s="40">
        <v>0</v>
      </c>
      <c r="V749" s="40">
        <v>1</v>
      </c>
      <c r="W749" s="40">
        <v>0</v>
      </c>
      <c r="X749" s="67">
        <f t="shared" si="127"/>
        <v>149</v>
      </c>
      <c r="Z749" s="71"/>
      <c r="AA749" s="71"/>
      <c r="AB749" s="67">
        <f t="shared" si="130"/>
        <v>0</v>
      </c>
      <c r="AD749" s="121"/>
      <c r="AE749" s="121"/>
    </row>
    <row r="750" spans="1:31" x14ac:dyDescent="0.25">
      <c r="A750" s="58" t="s">
        <v>997</v>
      </c>
      <c r="B750" s="62">
        <v>0.16250000000000001</v>
      </c>
      <c r="C750" s="58">
        <v>2</v>
      </c>
      <c r="D750" s="10" t="s">
        <v>616</v>
      </c>
      <c r="E750" s="40">
        <v>10</v>
      </c>
      <c r="F750" s="40">
        <v>2.5</v>
      </c>
      <c r="G750" s="40">
        <v>2</v>
      </c>
      <c r="H750" s="3">
        <f t="shared" si="123"/>
        <v>0.83333333333333337</v>
      </c>
      <c r="I750" s="3">
        <f t="shared" si="129"/>
        <v>0.20833333333333334</v>
      </c>
      <c r="J750" s="3">
        <f t="shared" si="125"/>
        <v>0.16666666666666666</v>
      </c>
      <c r="K750" s="58"/>
      <c r="L750" s="60">
        <f t="shared" si="131"/>
        <v>269.54624999999999</v>
      </c>
      <c r="M750" s="40">
        <v>0</v>
      </c>
      <c r="N750" s="40">
        <v>0</v>
      </c>
      <c r="O750" s="40">
        <v>0</v>
      </c>
      <c r="P750" s="40">
        <v>0</v>
      </c>
      <c r="Q750" s="40">
        <v>0</v>
      </c>
      <c r="R750" s="40">
        <v>0</v>
      </c>
      <c r="S750" s="61">
        <f t="shared" si="126"/>
        <v>34.670000000000073</v>
      </c>
      <c r="T750" s="40">
        <v>0</v>
      </c>
      <c r="U750" s="40">
        <v>0</v>
      </c>
      <c r="V750" s="40">
        <v>0</v>
      </c>
      <c r="W750" s="40">
        <v>0</v>
      </c>
      <c r="X750" s="67">
        <f t="shared" si="127"/>
        <v>149</v>
      </c>
      <c r="Z750" s="71"/>
      <c r="AA750" s="71"/>
      <c r="AB750" s="67">
        <f t="shared" si="130"/>
        <v>0</v>
      </c>
      <c r="AD750" s="121"/>
      <c r="AE750" s="121"/>
    </row>
    <row r="751" spans="1:31" x14ac:dyDescent="0.25">
      <c r="A751" s="58" t="s">
        <v>997</v>
      </c>
      <c r="B751" s="66">
        <v>0.33333333333333331</v>
      </c>
      <c r="C751" s="58">
        <v>3</v>
      </c>
      <c r="D751" s="10" t="s">
        <v>999</v>
      </c>
      <c r="E751" s="40">
        <v>0</v>
      </c>
      <c r="F751" s="40">
        <v>2.5</v>
      </c>
      <c r="G751" s="40">
        <v>2</v>
      </c>
      <c r="H751" s="3">
        <f t="shared" si="123"/>
        <v>0</v>
      </c>
      <c r="I751" s="3">
        <f t="shared" si="129"/>
        <v>0.3125</v>
      </c>
      <c r="J751" s="3">
        <f t="shared" si="125"/>
        <v>0.25</v>
      </c>
      <c r="K751" s="58"/>
      <c r="L751" s="60">
        <f t="shared" si="131"/>
        <v>268.98374999999999</v>
      </c>
      <c r="M751" s="40">
        <v>0</v>
      </c>
      <c r="N751" s="40">
        <v>0</v>
      </c>
      <c r="O751" s="40">
        <v>0</v>
      </c>
      <c r="P751" s="40">
        <v>0</v>
      </c>
      <c r="Q751" s="40">
        <v>0</v>
      </c>
      <c r="R751" s="40">
        <v>0</v>
      </c>
      <c r="S751" s="61">
        <f t="shared" si="126"/>
        <v>34.670000000000073</v>
      </c>
      <c r="T751" s="40">
        <v>0</v>
      </c>
      <c r="U751" s="40">
        <v>0</v>
      </c>
      <c r="V751" s="40">
        <v>1</v>
      </c>
      <c r="W751" s="40">
        <v>0</v>
      </c>
      <c r="X751" s="67">
        <f t="shared" si="127"/>
        <v>148</v>
      </c>
      <c r="Z751" s="71"/>
      <c r="AA751" s="71"/>
      <c r="AB751" s="67">
        <f t="shared" si="130"/>
        <v>0</v>
      </c>
      <c r="AD751" s="121"/>
      <c r="AE751" s="121"/>
    </row>
    <row r="752" spans="1:31" x14ac:dyDescent="0.25">
      <c r="A752" s="58" t="s">
        <v>1000</v>
      </c>
      <c r="B752" s="66">
        <v>0.33333333333333331</v>
      </c>
      <c r="C752" s="58">
        <v>24</v>
      </c>
      <c r="D752" s="10" t="s">
        <v>999</v>
      </c>
      <c r="E752" s="40">
        <v>0</v>
      </c>
      <c r="F752" s="40">
        <v>2.5</v>
      </c>
      <c r="G752" s="40">
        <v>2</v>
      </c>
      <c r="H752" s="3">
        <f t="shared" si="123"/>
        <v>0</v>
      </c>
      <c r="I752" s="3">
        <f t="shared" si="129"/>
        <v>2.5</v>
      </c>
      <c r="J752" s="3">
        <f t="shared" si="125"/>
        <v>2</v>
      </c>
      <c r="K752" s="58"/>
      <c r="L752" s="60">
        <f t="shared" si="131"/>
        <v>264.48374999999999</v>
      </c>
      <c r="M752" s="40">
        <v>0</v>
      </c>
      <c r="N752" s="40">
        <v>0</v>
      </c>
      <c r="O752" s="40">
        <v>0</v>
      </c>
      <c r="P752" s="40">
        <v>0</v>
      </c>
      <c r="Q752" s="40">
        <v>5</v>
      </c>
      <c r="R752" s="40">
        <v>0</v>
      </c>
      <c r="S752" s="61">
        <f t="shared" si="126"/>
        <v>29.670000000000073</v>
      </c>
      <c r="T752" s="40">
        <v>0</v>
      </c>
      <c r="U752" s="40">
        <v>0</v>
      </c>
      <c r="V752" s="40">
        <v>5</v>
      </c>
      <c r="W752" s="40">
        <v>0</v>
      </c>
      <c r="X752" s="67">
        <f t="shared" si="127"/>
        <v>143</v>
      </c>
      <c r="Z752" s="71"/>
      <c r="AA752" s="71"/>
      <c r="AB752" s="67">
        <f t="shared" si="130"/>
        <v>0</v>
      </c>
      <c r="AD752" s="121"/>
      <c r="AE752" s="121"/>
    </row>
    <row r="753" spans="1:31" x14ac:dyDescent="0.25">
      <c r="A753" s="58" t="s">
        <v>1000</v>
      </c>
      <c r="B753" s="62">
        <v>0.47500000000000003</v>
      </c>
      <c r="C753" s="58">
        <v>3.5</v>
      </c>
      <c r="D753" s="10" t="s">
        <v>1001</v>
      </c>
      <c r="E753" s="40">
        <v>0</v>
      </c>
      <c r="F753" s="40">
        <v>2.5</v>
      </c>
      <c r="G753" s="40">
        <v>2</v>
      </c>
      <c r="H753" s="3">
        <f t="shared" si="123"/>
        <v>0</v>
      </c>
      <c r="I753" s="3">
        <f t="shared" si="129"/>
        <v>0.36458333333333337</v>
      </c>
      <c r="J753" s="3">
        <f t="shared" si="125"/>
        <v>0.29166666666666663</v>
      </c>
      <c r="K753" s="58"/>
      <c r="L753" s="60">
        <f t="shared" si="131"/>
        <v>263.82749999999999</v>
      </c>
      <c r="M753" s="40">
        <v>0</v>
      </c>
      <c r="N753" s="40">
        <v>0</v>
      </c>
      <c r="O753" s="40">
        <v>0</v>
      </c>
      <c r="P753" s="40">
        <v>0</v>
      </c>
      <c r="Q753" s="40">
        <v>0.9</v>
      </c>
      <c r="R753" s="40">
        <v>0</v>
      </c>
      <c r="S753" s="61">
        <f t="shared" si="126"/>
        <v>28.770000000000074</v>
      </c>
      <c r="T753" s="40">
        <v>0</v>
      </c>
      <c r="U753" s="40">
        <v>0</v>
      </c>
      <c r="V753" s="40">
        <v>2</v>
      </c>
      <c r="W753" s="40">
        <v>0</v>
      </c>
      <c r="X753" s="67">
        <f t="shared" si="127"/>
        <v>141</v>
      </c>
      <c r="Z753" s="71"/>
      <c r="AA753" s="71"/>
      <c r="AB753" s="67">
        <f t="shared" si="130"/>
        <v>0</v>
      </c>
      <c r="AD753" s="121"/>
      <c r="AE753" s="121"/>
    </row>
    <row r="754" spans="1:31" x14ac:dyDescent="0.25">
      <c r="A754" s="58" t="s">
        <v>1000</v>
      </c>
      <c r="B754" s="7">
        <v>0.70833333333333337</v>
      </c>
      <c r="C754" s="58">
        <v>5.5</v>
      </c>
      <c r="D754" s="10" t="s">
        <v>789</v>
      </c>
      <c r="E754" s="40">
        <v>0</v>
      </c>
      <c r="F754" s="40">
        <v>2.5</v>
      </c>
      <c r="G754" s="40">
        <v>2</v>
      </c>
      <c r="H754" s="3">
        <f t="shared" si="123"/>
        <v>0</v>
      </c>
      <c r="I754" s="3">
        <f t="shared" si="129"/>
        <v>0.57291666666666674</v>
      </c>
      <c r="J754" s="3">
        <f t="shared" si="125"/>
        <v>0.45833333333333331</v>
      </c>
      <c r="K754" s="58"/>
      <c r="L754" s="60">
        <f t="shared" si="131"/>
        <v>262.79624999999999</v>
      </c>
      <c r="M754" s="40">
        <v>0</v>
      </c>
      <c r="N754" s="40">
        <v>0</v>
      </c>
      <c r="O754" s="40">
        <v>0.1</v>
      </c>
      <c r="P754" s="40">
        <v>0</v>
      </c>
      <c r="Q754" s="40">
        <v>0</v>
      </c>
      <c r="R754" s="40">
        <v>0</v>
      </c>
      <c r="S754" s="61">
        <f t="shared" si="126"/>
        <v>28.670000000000073</v>
      </c>
      <c r="T754" s="40">
        <v>0</v>
      </c>
      <c r="U754" s="40">
        <v>0</v>
      </c>
      <c r="V754" s="40">
        <v>1</v>
      </c>
      <c r="W754" s="40">
        <v>0</v>
      </c>
      <c r="X754" s="67">
        <f t="shared" si="127"/>
        <v>140</v>
      </c>
      <c r="Z754" s="71"/>
      <c r="AA754" s="71"/>
      <c r="AB754" s="67">
        <f t="shared" si="130"/>
        <v>0</v>
      </c>
      <c r="AD754" s="121"/>
      <c r="AE754" s="121"/>
    </row>
    <row r="755" spans="1:31" x14ac:dyDescent="0.25">
      <c r="A755" s="58" t="s">
        <v>1000</v>
      </c>
      <c r="B755" s="7">
        <v>0.72916666666666663</v>
      </c>
      <c r="C755" s="58">
        <v>0.5</v>
      </c>
      <c r="D755" s="10" t="s">
        <v>988</v>
      </c>
      <c r="E755" s="40">
        <v>10</v>
      </c>
      <c r="F755" s="40">
        <v>2.5</v>
      </c>
      <c r="G755" s="40">
        <v>2</v>
      </c>
      <c r="H755" s="3">
        <f t="shared" si="123"/>
        <v>0.20833333333333334</v>
      </c>
      <c r="I755" s="3">
        <f t="shared" si="129"/>
        <v>5.2083333333333336E-2</v>
      </c>
      <c r="J755" s="3">
        <f t="shared" si="125"/>
        <v>4.1666666666666664E-2</v>
      </c>
      <c r="K755" s="58"/>
      <c r="L755" s="60">
        <f t="shared" si="131"/>
        <v>262.49416666666667</v>
      </c>
      <c r="M755" s="40">
        <v>0</v>
      </c>
      <c r="N755" s="40">
        <v>0</v>
      </c>
      <c r="O755" s="40">
        <v>0</v>
      </c>
      <c r="P755" s="40">
        <v>0</v>
      </c>
      <c r="Q755" s="40">
        <v>0</v>
      </c>
      <c r="R755" s="40">
        <v>0</v>
      </c>
      <c r="S755" s="61">
        <f t="shared" si="126"/>
        <v>28.670000000000073</v>
      </c>
      <c r="T755" s="40">
        <v>0</v>
      </c>
      <c r="U755" s="40">
        <v>0</v>
      </c>
      <c r="V755" s="40">
        <v>0</v>
      </c>
      <c r="W755" s="40">
        <v>0</v>
      </c>
      <c r="X755" s="67">
        <f t="shared" si="127"/>
        <v>140</v>
      </c>
      <c r="Z755" s="71">
        <v>55</v>
      </c>
      <c r="AA755" s="71">
        <v>35</v>
      </c>
      <c r="AB755" s="67">
        <f t="shared" si="130"/>
        <v>90</v>
      </c>
      <c r="AD755" s="121"/>
      <c r="AE755" s="121"/>
    </row>
    <row r="756" spans="1:31" x14ac:dyDescent="0.25">
      <c r="A756" s="58" t="s">
        <v>1002</v>
      </c>
      <c r="B756" s="65">
        <v>0.33333333333333331</v>
      </c>
      <c r="C756" s="58">
        <v>14.5</v>
      </c>
      <c r="D756" s="10" t="s">
        <v>835</v>
      </c>
      <c r="E756" s="40">
        <v>22</v>
      </c>
      <c r="F756" s="40">
        <v>2.5</v>
      </c>
      <c r="G756" s="40">
        <v>2</v>
      </c>
      <c r="H756" s="3">
        <f t="shared" si="123"/>
        <v>13.291666666666666</v>
      </c>
      <c r="I756" s="3">
        <f t="shared" si="129"/>
        <v>1.5104166666666667</v>
      </c>
      <c r="J756" s="3">
        <f t="shared" si="125"/>
        <v>1.2083333333333333</v>
      </c>
      <c r="K756" s="58"/>
      <c r="L756" s="60">
        <f t="shared" si="131"/>
        <v>246.48375000000001</v>
      </c>
      <c r="M756" s="40">
        <v>0</v>
      </c>
      <c r="N756" s="40">
        <v>0</v>
      </c>
      <c r="O756" s="40">
        <v>0</v>
      </c>
      <c r="P756" s="40">
        <v>0</v>
      </c>
      <c r="Q756" s="40">
        <v>0</v>
      </c>
      <c r="R756" s="40">
        <v>0</v>
      </c>
      <c r="S756" s="61">
        <f t="shared" si="126"/>
        <v>28.670000000000073</v>
      </c>
      <c r="T756" s="40">
        <v>0</v>
      </c>
      <c r="U756" s="40">
        <v>0</v>
      </c>
      <c r="V756" s="40">
        <v>2</v>
      </c>
      <c r="W756" s="40">
        <v>0</v>
      </c>
      <c r="X756" s="67">
        <f t="shared" si="127"/>
        <v>138</v>
      </c>
      <c r="Z756" s="71"/>
      <c r="AA756" s="71"/>
      <c r="AB756" s="67">
        <f t="shared" si="130"/>
        <v>0</v>
      </c>
      <c r="AD756" s="121"/>
      <c r="AE756" s="121"/>
    </row>
    <row r="757" spans="1:31" x14ac:dyDescent="0.25">
      <c r="A757" s="58" t="s">
        <v>1002</v>
      </c>
      <c r="B757" s="7">
        <v>0.70000000000000007</v>
      </c>
      <c r="C757" s="58">
        <v>8.6999999999999993</v>
      </c>
      <c r="D757" s="10" t="s">
        <v>1003</v>
      </c>
      <c r="E757" s="40">
        <v>22</v>
      </c>
      <c r="F757" s="40">
        <v>2.5</v>
      </c>
      <c r="G757" s="40">
        <v>2</v>
      </c>
      <c r="H757" s="3">
        <f t="shared" si="123"/>
        <v>7.9749999999999988</v>
      </c>
      <c r="I757" s="3">
        <f t="shared" si="129"/>
        <v>0.90625</v>
      </c>
      <c r="J757" s="3">
        <f t="shared" si="125"/>
        <v>0.72499999999999987</v>
      </c>
      <c r="K757" s="58"/>
      <c r="L757" s="60">
        <f t="shared" si="131"/>
        <v>236.87750000000003</v>
      </c>
      <c r="M757" s="40">
        <v>0</v>
      </c>
      <c r="N757" s="40">
        <v>0</v>
      </c>
      <c r="O757" s="40">
        <v>0</v>
      </c>
      <c r="P757" s="40">
        <v>0</v>
      </c>
      <c r="Q757" s="40">
        <v>0</v>
      </c>
      <c r="R757" s="40">
        <v>0</v>
      </c>
      <c r="S757" s="61">
        <f t="shared" si="126"/>
        <v>28.670000000000073</v>
      </c>
      <c r="T757" s="40">
        <v>2</v>
      </c>
      <c r="U757" s="40">
        <v>0</v>
      </c>
      <c r="V757" s="40">
        <v>3</v>
      </c>
      <c r="W757" s="40">
        <v>0</v>
      </c>
      <c r="X757" s="67">
        <f t="shared" si="127"/>
        <v>137</v>
      </c>
      <c r="Z757" s="71"/>
      <c r="AA757" s="71"/>
      <c r="AB757" s="67">
        <f t="shared" si="130"/>
        <v>0</v>
      </c>
      <c r="AD757" s="121">
        <v>11.3</v>
      </c>
      <c r="AE757" s="121" t="s">
        <v>1303</v>
      </c>
    </row>
    <row r="758" spans="1:31" x14ac:dyDescent="0.25">
      <c r="A758" s="58" t="s">
        <v>1002</v>
      </c>
      <c r="B758" s="7">
        <v>0.76666666666666661</v>
      </c>
      <c r="C758" s="58">
        <v>1.8</v>
      </c>
      <c r="D758" s="10" t="s">
        <v>190</v>
      </c>
      <c r="E758" s="40">
        <v>15</v>
      </c>
      <c r="F758" s="40">
        <v>2.5</v>
      </c>
      <c r="G758" s="40">
        <v>2</v>
      </c>
      <c r="H758" s="3">
        <f t="shared" ref="H758:H821" si="132">+IF(E758="","",(E758/24)*C758)</f>
        <v>1.125</v>
      </c>
      <c r="I758" s="3">
        <f t="shared" si="129"/>
        <v>0.1875</v>
      </c>
      <c r="J758" s="3">
        <f t="shared" ref="J758:J821" si="133">+IF(G758="","",(G758/24)*C758)</f>
        <v>0.15</v>
      </c>
      <c r="K758" s="58"/>
      <c r="L758" s="60">
        <f t="shared" si="131"/>
        <v>235.41500000000002</v>
      </c>
      <c r="M758" s="40">
        <v>0</v>
      </c>
      <c r="N758" s="40">
        <v>0</v>
      </c>
      <c r="O758" s="40">
        <v>0</v>
      </c>
      <c r="P758" s="40">
        <v>0</v>
      </c>
      <c r="Q758" s="40">
        <v>0</v>
      </c>
      <c r="R758" s="40">
        <v>0</v>
      </c>
      <c r="S758" s="61">
        <f t="shared" si="126"/>
        <v>28.670000000000073</v>
      </c>
      <c r="T758" s="40">
        <v>0</v>
      </c>
      <c r="U758" s="40">
        <v>0</v>
      </c>
      <c r="V758" s="40">
        <v>0</v>
      </c>
      <c r="W758" s="40">
        <v>0</v>
      </c>
      <c r="X758" s="67">
        <f t="shared" si="127"/>
        <v>137</v>
      </c>
      <c r="Z758" s="71"/>
      <c r="AA758" s="71"/>
      <c r="AB758" s="67">
        <f t="shared" si="130"/>
        <v>0</v>
      </c>
      <c r="AD758" s="121"/>
      <c r="AE758" s="121"/>
    </row>
    <row r="759" spans="1:31" x14ac:dyDescent="0.25">
      <c r="A759" s="58" t="s">
        <v>1002</v>
      </c>
      <c r="B759" s="7">
        <v>0.8125</v>
      </c>
      <c r="C759" s="58">
        <v>1</v>
      </c>
      <c r="D759" s="10" t="s">
        <v>616</v>
      </c>
      <c r="E759" s="40">
        <v>10</v>
      </c>
      <c r="F759" s="40">
        <v>2.5</v>
      </c>
      <c r="G759" s="40">
        <v>2</v>
      </c>
      <c r="H759" s="3">
        <f t="shared" si="132"/>
        <v>0.41666666666666669</v>
      </c>
      <c r="I759" s="3">
        <f t="shared" si="129"/>
        <v>0.10416666666666667</v>
      </c>
      <c r="J759" s="3">
        <f t="shared" si="133"/>
        <v>8.3333333333333329E-2</v>
      </c>
      <c r="K759" s="58"/>
      <c r="L759" s="60">
        <f t="shared" si="131"/>
        <v>234.81083333333336</v>
      </c>
      <c r="M759" s="40">
        <v>0</v>
      </c>
      <c r="N759" s="40">
        <v>0</v>
      </c>
      <c r="O759" s="40">
        <v>0</v>
      </c>
      <c r="P759" s="40">
        <v>0</v>
      </c>
      <c r="Q759" s="40">
        <v>0</v>
      </c>
      <c r="R759" s="40">
        <v>0</v>
      </c>
      <c r="S759" s="61">
        <f t="shared" si="126"/>
        <v>28.670000000000073</v>
      </c>
      <c r="T759" s="40">
        <v>0</v>
      </c>
      <c r="U759" s="40">
        <v>0</v>
      </c>
      <c r="V759" s="40">
        <v>1</v>
      </c>
      <c r="W759" s="40">
        <v>0</v>
      </c>
      <c r="X759" s="67">
        <f t="shared" si="127"/>
        <v>136</v>
      </c>
      <c r="Z759" s="71"/>
      <c r="AA759" s="71"/>
      <c r="AB759" s="67">
        <f t="shared" si="130"/>
        <v>0</v>
      </c>
      <c r="AD759" s="121"/>
      <c r="AE759" s="121"/>
    </row>
    <row r="760" spans="1:31" x14ac:dyDescent="0.25">
      <c r="A760" s="58" t="s">
        <v>1002</v>
      </c>
      <c r="B760" s="7">
        <v>0.99583333333333324</v>
      </c>
      <c r="C760" s="58">
        <v>4.5</v>
      </c>
      <c r="D760" s="10" t="s">
        <v>1004</v>
      </c>
      <c r="E760" s="40">
        <v>0</v>
      </c>
      <c r="F760" s="40">
        <v>2.5</v>
      </c>
      <c r="G760" s="40">
        <v>2</v>
      </c>
      <c r="H760" s="3">
        <f t="shared" si="132"/>
        <v>0</v>
      </c>
      <c r="I760" s="3">
        <f t="shared" si="129"/>
        <v>0.46875</v>
      </c>
      <c r="J760" s="3">
        <f t="shared" si="133"/>
        <v>0.375</v>
      </c>
      <c r="K760" s="58"/>
      <c r="L760" s="60">
        <f t="shared" si="131"/>
        <v>233.96708333333336</v>
      </c>
      <c r="M760" s="40">
        <v>0</v>
      </c>
      <c r="N760" s="40">
        <v>0</v>
      </c>
      <c r="O760" s="40">
        <v>0</v>
      </c>
      <c r="P760" s="40">
        <v>0</v>
      </c>
      <c r="Q760" s="40">
        <v>0.25</v>
      </c>
      <c r="R760" s="40">
        <v>0</v>
      </c>
      <c r="S760" s="61">
        <f t="shared" si="126"/>
        <v>28.420000000000073</v>
      </c>
      <c r="T760" s="40">
        <v>0</v>
      </c>
      <c r="U760" s="40">
        <v>0</v>
      </c>
      <c r="V760" s="40">
        <v>1</v>
      </c>
      <c r="W760" s="40">
        <v>0</v>
      </c>
      <c r="X760" s="67">
        <f t="shared" si="127"/>
        <v>135</v>
      </c>
      <c r="Z760" s="71"/>
      <c r="AA760" s="71"/>
      <c r="AB760" s="67">
        <f t="shared" si="130"/>
        <v>0</v>
      </c>
      <c r="AD760" s="121"/>
      <c r="AE760" s="121"/>
    </row>
    <row r="761" spans="1:31" x14ac:dyDescent="0.25">
      <c r="A761" s="58" t="s">
        <v>1005</v>
      </c>
      <c r="B761" s="65">
        <v>0.33333333333333331</v>
      </c>
      <c r="C761" s="58">
        <v>8</v>
      </c>
      <c r="D761" s="10" t="s">
        <v>966</v>
      </c>
      <c r="E761" s="40">
        <v>0</v>
      </c>
      <c r="F761" s="40">
        <v>2.5</v>
      </c>
      <c r="G761" s="40">
        <v>2</v>
      </c>
      <c r="H761" s="3">
        <f t="shared" si="132"/>
        <v>0</v>
      </c>
      <c r="I761" s="3">
        <f t="shared" si="129"/>
        <v>0.83333333333333337</v>
      </c>
      <c r="J761" s="3">
        <f t="shared" si="133"/>
        <v>0.66666666666666663</v>
      </c>
      <c r="K761" s="58"/>
      <c r="L761" s="60">
        <f t="shared" si="131"/>
        <v>232.46708333333336</v>
      </c>
      <c r="M761" s="40">
        <v>0</v>
      </c>
      <c r="N761" s="40">
        <v>0</v>
      </c>
      <c r="O761" s="40">
        <v>0.1</v>
      </c>
      <c r="P761" s="40">
        <v>0</v>
      </c>
      <c r="Q761" s="40">
        <v>2</v>
      </c>
      <c r="R761" s="40">
        <v>0</v>
      </c>
      <c r="S761" s="61">
        <f t="shared" ref="S761:S824" si="134">IF(C761="","",(S760+R761)-(M761+N761+O761+P761+Q761))</f>
        <v>26.320000000000071</v>
      </c>
      <c r="T761" s="40">
        <v>0</v>
      </c>
      <c r="U761" s="40">
        <v>0</v>
      </c>
      <c r="V761" s="40">
        <v>2</v>
      </c>
      <c r="W761" s="40">
        <v>0</v>
      </c>
      <c r="X761" s="67">
        <f t="shared" ref="X761:X824" si="135">IF(V761="","",((X760+T761+U761)-(V761+W761)))</f>
        <v>133</v>
      </c>
      <c r="Z761" s="71"/>
      <c r="AA761" s="71"/>
      <c r="AB761" s="67">
        <f t="shared" si="130"/>
        <v>0</v>
      </c>
      <c r="AD761" s="121"/>
      <c r="AE761" s="121"/>
    </row>
    <row r="762" spans="1:31" x14ac:dyDescent="0.25">
      <c r="A762" s="58" t="s">
        <v>1005</v>
      </c>
      <c r="B762" s="7">
        <v>0.61249999999999993</v>
      </c>
      <c r="C762" s="58">
        <v>6.8</v>
      </c>
      <c r="D762" s="10" t="s">
        <v>801</v>
      </c>
      <c r="E762" s="40">
        <v>0</v>
      </c>
      <c r="F762" s="40">
        <v>2.5</v>
      </c>
      <c r="G762" s="40">
        <v>2</v>
      </c>
      <c r="H762" s="3">
        <f t="shared" si="132"/>
        <v>0</v>
      </c>
      <c r="I762" s="3">
        <f t="shared" si="129"/>
        <v>0.70833333333333337</v>
      </c>
      <c r="J762" s="3">
        <f t="shared" si="133"/>
        <v>0.56666666666666665</v>
      </c>
      <c r="K762" s="58"/>
      <c r="L762" s="60">
        <f t="shared" si="131"/>
        <v>231.19208333333336</v>
      </c>
      <c r="M762" s="40">
        <v>0</v>
      </c>
      <c r="N762" s="40">
        <v>0</v>
      </c>
      <c r="O762" s="40">
        <v>0</v>
      </c>
      <c r="P762" s="40">
        <v>0</v>
      </c>
      <c r="Q762" s="40">
        <v>1.8</v>
      </c>
      <c r="R762" s="40">
        <v>0</v>
      </c>
      <c r="S762" s="61">
        <f t="shared" si="134"/>
        <v>24.520000000000071</v>
      </c>
      <c r="T762" s="40">
        <v>0</v>
      </c>
      <c r="U762" s="40">
        <v>0</v>
      </c>
      <c r="V762" s="40">
        <v>3</v>
      </c>
      <c r="W762" s="40">
        <v>0</v>
      </c>
      <c r="X762" s="67">
        <f t="shared" si="135"/>
        <v>130</v>
      </c>
      <c r="Z762" s="71"/>
      <c r="AA762" s="71"/>
      <c r="AB762" s="67">
        <f t="shared" si="130"/>
        <v>0</v>
      </c>
      <c r="AD762" s="121"/>
      <c r="AE762" s="121"/>
    </row>
    <row r="763" spans="1:31" x14ac:dyDescent="0.25">
      <c r="A763" s="58" t="s">
        <v>1005</v>
      </c>
      <c r="B763" s="7">
        <v>0.72916666666666663</v>
      </c>
      <c r="C763" s="58">
        <v>3.1</v>
      </c>
      <c r="D763" s="10" t="s">
        <v>789</v>
      </c>
      <c r="E763" s="40">
        <v>0</v>
      </c>
      <c r="F763" s="40">
        <v>2.5</v>
      </c>
      <c r="G763" s="40">
        <v>2</v>
      </c>
      <c r="H763" s="3">
        <f t="shared" si="132"/>
        <v>0</v>
      </c>
      <c r="I763" s="3">
        <f t="shared" si="129"/>
        <v>0.32291666666666669</v>
      </c>
      <c r="J763" s="3">
        <f t="shared" si="133"/>
        <v>0.2583333333333333</v>
      </c>
      <c r="K763" s="58"/>
      <c r="L763" s="60">
        <f t="shared" si="131"/>
        <v>230.61083333333335</v>
      </c>
      <c r="M763" s="40">
        <v>0</v>
      </c>
      <c r="N763" s="40">
        <v>0</v>
      </c>
      <c r="O763" s="40">
        <v>0</v>
      </c>
      <c r="P763" s="40">
        <v>0</v>
      </c>
      <c r="Q763" s="40">
        <v>0</v>
      </c>
      <c r="R763" s="40">
        <v>0</v>
      </c>
      <c r="S763" s="61">
        <f t="shared" si="134"/>
        <v>24.520000000000071</v>
      </c>
      <c r="T763" s="40">
        <v>0</v>
      </c>
      <c r="U763" s="40">
        <v>0</v>
      </c>
      <c r="V763" s="40">
        <v>0</v>
      </c>
      <c r="W763" s="40">
        <v>0</v>
      </c>
      <c r="X763" s="67">
        <f t="shared" si="135"/>
        <v>130</v>
      </c>
      <c r="Z763" s="71"/>
      <c r="AA763" s="71"/>
      <c r="AB763" s="67">
        <f t="shared" si="130"/>
        <v>0</v>
      </c>
      <c r="AD763" s="121"/>
      <c r="AE763" s="121"/>
    </row>
    <row r="764" spans="1:31" x14ac:dyDescent="0.25">
      <c r="A764" s="58" t="s">
        <v>1005</v>
      </c>
      <c r="B764" s="7">
        <v>0.75</v>
      </c>
      <c r="C764" s="58">
        <v>0.5</v>
      </c>
      <c r="D764" s="10" t="s">
        <v>833</v>
      </c>
      <c r="E764" s="40">
        <v>10</v>
      </c>
      <c r="F764" s="40">
        <v>2.5</v>
      </c>
      <c r="G764" s="40">
        <v>2</v>
      </c>
      <c r="H764" s="3">
        <f t="shared" si="132"/>
        <v>0.20833333333333334</v>
      </c>
      <c r="I764" s="3">
        <f t="shared" si="129"/>
        <v>5.2083333333333336E-2</v>
      </c>
      <c r="J764" s="3">
        <f t="shared" si="133"/>
        <v>4.1666666666666664E-2</v>
      </c>
      <c r="K764" s="58"/>
      <c r="L764" s="60">
        <f t="shared" si="131"/>
        <v>230.30875</v>
      </c>
      <c r="M764" s="40">
        <v>0</v>
      </c>
      <c r="N764" s="40">
        <v>0</v>
      </c>
      <c r="O764" s="40">
        <v>0</v>
      </c>
      <c r="P764" s="40">
        <v>0</v>
      </c>
      <c r="Q764" s="40">
        <v>0</v>
      </c>
      <c r="R764" s="40">
        <v>0</v>
      </c>
      <c r="S764" s="61">
        <f t="shared" si="134"/>
        <v>24.520000000000071</v>
      </c>
      <c r="T764" s="40">
        <v>0</v>
      </c>
      <c r="U764" s="40">
        <v>0</v>
      </c>
      <c r="V764" s="40">
        <v>0</v>
      </c>
      <c r="W764" s="40">
        <v>0</v>
      </c>
      <c r="X764" s="67">
        <f t="shared" si="135"/>
        <v>130</v>
      </c>
      <c r="Z764" s="71">
        <v>70</v>
      </c>
      <c r="AA764" s="71">
        <v>33</v>
      </c>
      <c r="AB764" s="67">
        <f t="shared" si="130"/>
        <v>103</v>
      </c>
      <c r="AD764" s="121"/>
      <c r="AE764" s="121"/>
    </row>
    <row r="765" spans="1:31" x14ac:dyDescent="0.25">
      <c r="A765" s="58" t="s">
        <v>1006</v>
      </c>
      <c r="B765" s="65">
        <v>0.33333333333333331</v>
      </c>
      <c r="C765" s="58">
        <v>14</v>
      </c>
      <c r="D765" s="10" t="s">
        <v>622</v>
      </c>
      <c r="E765" s="40">
        <v>22</v>
      </c>
      <c r="F765" s="40">
        <v>2.5</v>
      </c>
      <c r="G765" s="40">
        <v>2</v>
      </c>
      <c r="H765" s="3">
        <f t="shared" si="132"/>
        <v>12.833333333333332</v>
      </c>
      <c r="I765" s="3">
        <f t="shared" si="129"/>
        <v>1.4583333333333335</v>
      </c>
      <c r="J765" s="3">
        <f t="shared" si="133"/>
        <v>1.1666666666666665</v>
      </c>
      <c r="K765" s="58"/>
      <c r="L765" s="60">
        <f t="shared" si="131"/>
        <v>214.85041666666666</v>
      </c>
      <c r="M765" s="40">
        <v>0</v>
      </c>
      <c r="N765" s="40">
        <v>0</v>
      </c>
      <c r="O765" s="40">
        <v>0.1</v>
      </c>
      <c r="P765" s="40">
        <v>0</v>
      </c>
      <c r="Q765" s="40">
        <v>0</v>
      </c>
      <c r="R765" s="40">
        <v>0</v>
      </c>
      <c r="S765" s="61">
        <f t="shared" si="134"/>
        <v>24.420000000000069</v>
      </c>
      <c r="T765" s="40">
        <v>2</v>
      </c>
      <c r="U765" s="40">
        <v>0</v>
      </c>
      <c r="V765" s="40">
        <v>2</v>
      </c>
      <c r="W765" s="40">
        <v>0</v>
      </c>
      <c r="X765" s="67">
        <f t="shared" si="135"/>
        <v>130</v>
      </c>
      <c r="Z765" s="71"/>
      <c r="AA765" s="71"/>
      <c r="AB765" s="67">
        <f t="shared" si="130"/>
        <v>0</v>
      </c>
      <c r="AD765" s="121"/>
      <c r="AE765" s="121"/>
    </row>
    <row r="766" spans="1:31" x14ac:dyDescent="0.25">
      <c r="A766" s="58" t="s">
        <v>1006</v>
      </c>
      <c r="B766" s="7">
        <v>0.7583333333333333</v>
      </c>
      <c r="C766" s="58">
        <v>10.199999999999999</v>
      </c>
      <c r="D766" s="10" t="s">
        <v>109</v>
      </c>
      <c r="E766" s="40">
        <v>22</v>
      </c>
      <c r="F766" s="40">
        <v>2.5</v>
      </c>
      <c r="G766" s="40">
        <v>2</v>
      </c>
      <c r="H766" s="3">
        <f t="shared" si="132"/>
        <v>9.35</v>
      </c>
      <c r="I766" s="3">
        <f t="shared" si="129"/>
        <v>1.0625</v>
      </c>
      <c r="J766" s="3">
        <f t="shared" si="133"/>
        <v>0.84999999999999987</v>
      </c>
      <c r="K766" s="58"/>
      <c r="L766" s="60">
        <f t="shared" si="131"/>
        <v>203.58791666666667</v>
      </c>
      <c r="M766" s="40">
        <v>0</v>
      </c>
      <c r="N766" s="40">
        <v>0</v>
      </c>
      <c r="O766" s="40">
        <v>0.1</v>
      </c>
      <c r="P766" s="40">
        <v>0</v>
      </c>
      <c r="Q766" s="40">
        <v>0</v>
      </c>
      <c r="R766" s="40">
        <v>0</v>
      </c>
      <c r="S766" s="61">
        <f t="shared" si="134"/>
        <v>24.320000000000068</v>
      </c>
      <c r="T766" s="40">
        <v>3</v>
      </c>
      <c r="U766" s="40">
        <v>0</v>
      </c>
      <c r="V766" s="40">
        <v>4</v>
      </c>
      <c r="W766" s="40">
        <v>1</v>
      </c>
      <c r="X766" s="67">
        <f t="shared" si="135"/>
        <v>128</v>
      </c>
      <c r="Z766" s="71"/>
      <c r="AA766" s="71"/>
      <c r="AB766" s="67">
        <f t="shared" si="130"/>
        <v>0</v>
      </c>
      <c r="AD766" s="121">
        <v>11.8</v>
      </c>
      <c r="AE766" s="121" t="s">
        <v>1307</v>
      </c>
    </row>
    <row r="767" spans="1:31" x14ac:dyDescent="0.25">
      <c r="A767" s="58" t="s">
        <v>1006</v>
      </c>
      <c r="B767" s="7">
        <v>0.79166666666666663</v>
      </c>
      <c r="C767" s="58">
        <v>0.8</v>
      </c>
      <c r="D767" s="10" t="s">
        <v>113</v>
      </c>
      <c r="E767" s="40">
        <v>10</v>
      </c>
      <c r="F767" s="40">
        <v>2.5</v>
      </c>
      <c r="G767" s="40">
        <v>2</v>
      </c>
      <c r="H767" s="3">
        <f t="shared" si="132"/>
        <v>0.33333333333333337</v>
      </c>
      <c r="I767" s="3">
        <f t="shared" si="129"/>
        <v>8.3333333333333343E-2</v>
      </c>
      <c r="J767" s="3">
        <f t="shared" si="133"/>
        <v>6.6666666666666666E-2</v>
      </c>
      <c r="K767" s="58"/>
      <c r="L767" s="60">
        <f t="shared" si="131"/>
        <v>203.10458333333335</v>
      </c>
      <c r="M767" s="40">
        <v>0</v>
      </c>
      <c r="N767" s="40">
        <v>0</v>
      </c>
      <c r="O767" s="40">
        <v>0</v>
      </c>
      <c r="P767" s="40">
        <v>0</v>
      </c>
      <c r="Q767" s="40">
        <v>0</v>
      </c>
      <c r="R767" s="40">
        <v>0</v>
      </c>
      <c r="S767" s="61">
        <f t="shared" si="134"/>
        <v>24.320000000000068</v>
      </c>
      <c r="T767" s="40">
        <v>0</v>
      </c>
      <c r="U767" s="40">
        <v>0</v>
      </c>
      <c r="V767" s="40">
        <v>0</v>
      </c>
      <c r="W767" s="40">
        <v>0</v>
      </c>
      <c r="X767" s="67">
        <f t="shared" si="135"/>
        <v>128</v>
      </c>
      <c r="Z767" s="71"/>
      <c r="AA767" s="71"/>
      <c r="AB767" s="67">
        <f t="shared" si="130"/>
        <v>0</v>
      </c>
      <c r="AD767" s="121"/>
      <c r="AE767" s="121"/>
    </row>
    <row r="768" spans="1:31" x14ac:dyDescent="0.25">
      <c r="A768" s="58" t="s">
        <v>1006</v>
      </c>
      <c r="B768" s="7">
        <v>0.85416666666666663</v>
      </c>
      <c r="C768" s="58">
        <v>1.5</v>
      </c>
      <c r="D768" s="10" t="s">
        <v>789</v>
      </c>
      <c r="E768" s="40">
        <v>0</v>
      </c>
      <c r="F768" s="40">
        <v>2.5</v>
      </c>
      <c r="G768" s="40">
        <v>2</v>
      </c>
      <c r="H768" s="3">
        <f t="shared" si="132"/>
        <v>0</v>
      </c>
      <c r="I768" s="3">
        <f t="shared" si="129"/>
        <v>0.15625</v>
      </c>
      <c r="J768" s="3">
        <f t="shared" si="133"/>
        <v>0.125</v>
      </c>
      <c r="K768" s="58"/>
      <c r="L768" s="60">
        <f t="shared" si="131"/>
        <v>202.82333333333335</v>
      </c>
      <c r="M768" s="40">
        <v>0</v>
      </c>
      <c r="N768" s="40">
        <v>0</v>
      </c>
      <c r="O768" s="40">
        <v>0</v>
      </c>
      <c r="P768" s="40">
        <v>0</v>
      </c>
      <c r="Q768" s="40">
        <v>0</v>
      </c>
      <c r="R768" s="40">
        <v>0</v>
      </c>
      <c r="S768" s="61">
        <f t="shared" si="134"/>
        <v>24.320000000000068</v>
      </c>
      <c r="T768" s="40">
        <v>0</v>
      </c>
      <c r="U768" s="40">
        <v>0</v>
      </c>
      <c r="V768" s="40">
        <v>1</v>
      </c>
      <c r="W768" s="40">
        <v>0</v>
      </c>
      <c r="X768" s="67">
        <f t="shared" si="135"/>
        <v>127</v>
      </c>
      <c r="Z768" s="71"/>
      <c r="AA768" s="71"/>
      <c r="AB768" s="67">
        <f t="shared" si="130"/>
        <v>0</v>
      </c>
      <c r="AD768" s="121"/>
      <c r="AE768" s="121"/>
    </row>
    <row r="769" spans="1:31" x14ac:dyDescent="0.25">
      <c r="A769" s="58" t="s">
        <v>1006</v>
      </c>
      <c r="B769" s="7">
        <v>0.95416666666666661</v>
      </c>
      <c r="C769" s="58">
        <v>2.2000000000000002</v>
      </c>
      <c r="D769" s="10" t="s">
        <v>1007</v>
      </c>
      <c r="E769" s="40">
        <v>10</v>
      </c>
      <c r="F769" s="40">
        <v>2.5</v>
      </c>
      <c r="G769" s="40">
        <v>2</v>
      </c>
      <c r="H769" s="3">
        <f t="shared" si="132"/>
        <v>0.91666666666666674</v>
      </c>
      <c r="I769" s="3">
        <f t="shared" si="129"/>
        <v>0.22916666666666669</v>
      </c>
      <c r="J769" s="3">
        <f t="shared" si="133"/>
        <v>0.18333333333333335</v>
      </c>
      <c r="K769" s="58"/>
      <c r="L769" s="60">
        <f t="shared" si="131"/>
        <v>201.49416666666667</v>
      </c>
      <c r="M769" s="40">
        <v>0</v>
      </c>
      <c r="N769" s="40">
        <v>0</v>
      </c>
      <c r="O769" s="40">
        <v>0</v>
      </c>
      <c r="P769" s="40">
        <v>0</v>
      </c>
      <c r="Q769" s="40">
        <v>0</v>
      </c>
      <c r="R769" s="40">
        <v>0</v>
      </c>
      <c r="S769" s="61">
        <f t="shared" si="134"/>
        <v>24.320000000000068</v>
      </c>
      <c r="T769" s="40">
        <v>0</v>
      </c>
      <c r="U769" s="40">
        <v>0</v>
      </c>
      <c r="V769" s="40">
        <v>0</v>
      </c>
      <c r="W769" s="40">
        <v>0</v>
      </c>
      <c r="X769" s="67">
        <f t="shared" si="135"/>
        <v>127</v>
      </c>
      <c r="Z769" s="71"/>
      <c r="AA769" s="71"/>
      <c r="AB769" s="67">
        <f t="shared" si="130"/>
        <v>0</v>
      </c>
      <c r="AD769" s="121"/>
      <c r="AE769" s="121"/>
    </row>
    <row r="770" spans="1:31" x14ac:dyDescent="0.25">
      <c r="A770" s="58" t="s">
        <v>1008</v>
      </c>
      <c r="B770" s="7">
        <v>0.1388888888888889</v>
      </c>
      <c r="C770" s="58">
        <v>4.2</v>
      </c>
      <c r="D770" s="10" t="s">
        <v>1009</v>
      </c>
      <c r="E770" s="40">
        <v>0</v>
      </c>
      <c r="F770" s="40">
        <v>2.5</v>
      </c>
      <c r="G770" s="40">
        <v>2</v>
      </c>
      <c r="H770" s="3">
        <f t="shared" si="132"/>
        <v>0</v>
      </c>
      <c r="I770" s="3">
        <f t="shared" si="129"/>
        <v>0.43750000000000006</v>
      </c>
      <c r="J770" s="3">
        <f t="shared" si="133"/>
        <v>0.35</v>
      </c>
      <c r="K770" s="58"/>
      <c r="L770" s="60">
        <f t="shared" si="131"/>
        <v>200.70666666666668</v>
      </c>
      <c r="M770" s="40">
        <v>0</v>
      </c>
      <c r="N770" s="40">
        <v>0</v>
      </c>
      <c r="O770" s="40">
        <v>0</v>
      </c>
      <c r="P770" s="40">
        <v>0</v>
      </c>
      <c r="Q770" s="40">
        <v>0</v>
      </c>
      <c r="R770" s="40">
        <v>0</v>
      </c>
      <c r="S770" s="61">
        <f t="shared" si="134"/>
        <v>24.320000000000068</v>
      </c>
      <c r="T770" s="40">
        <v>0</v>
      </c>
      <c r="U770" s="40">
        <v>0</v>
      </c>
      <c r="V770" s="40">
        <v>2</v>
      </c>
      <c r="W770" s="40">
        <v>0</v>
      </c>
      <c r="X770" s="67">
        <f t="shared" si="135"/>
        <v>125</v>
      </c>
      <c r="Z770" s="71"/>
      <c r="AA770" s="71"/>
      <c r="AB770" s="67">
        <f t="shared" si="130"/>
        <v>0</v>
      </c>
      <c r="AD770" s="121"/>
      <c r="AE770" s="121"/>
    </row>
    <row r="771" spans="1:31" x14ac:dyDescent="0.25">
      <c r="A771" s="58" t="s">
        <v>1008</v>
      </c>
      <c r="B771" s="65">
        <v>0.33333333333333331</v>
      </c>
      <c r="C771" s="58">
        <v>5.0999999999999996</v>
      </c>
      <c r="D771" s="10" t="s">
        <v>1010</v>
      </c>
      <c r="E771" s="40">
        <v>0</v>
      </c>
      <c r="F771" s="40">
        <v>2.5</v>
      </c>
      <c r="G771" s="40">
        <v>2</v>
      </c>
      <c r="H771" s="3">
        <f t="shared" si="132"/>
        <v>0</v>
      </c>
      <c r="I771" s="3">
        <f t="shared" si="129"/>
        <v>0.53125</v>
      </c>
      <c r="J771" s="3">
        <f t="shared" si="133"/>
        <v>0.42499999999999993</v>
      </c>
      <c r="K771" s="58"/>
      <c r="L771" s="60">
        <f t="shared" si="131"/>
        <v>199.75041666666667</v>
      </c>
      <c r="M771" s="40">
        <v>0</v>
      </c>
      <c r="N771" s="40">
        <v>0</v>
      </c>
      <c r="O771" s="40">
        <v>0</v>
      </c>
      <c r="P771" s="40">
        <v>0</v>
      </c>
      <c r="Q771" s="40">
        <v>0</v>
      </c>
      <c r="R771" s="40">
        <v>0</v>
      </c>
      <c r="S771" s="61">
        <f t="shared" si="134"/>
        <v>24.320000000000068</v>
      </c>
      <c r="T771" s="40">
        <v>0</v>
      </c>
      <c r="U771" s="40">
        <v>0</v>
      </c>
      <c r="V771" s="40">
        <v>1</v>
      </c>
      <c r="W771" s="40">
        <v>0</v>
      </c>
      <c r="X771" s="67">
        <f t="shared" si="135"/>
        <v>124</v>
      </c>
      <c r="Z771" s="71"/>
      <c r="AA771" s="71"/>
      <c r="AB771" s="67">
        <f t="shared" si="130"/>
        <v>0</v>
      </c>
      <c r="AD771" s="121"/>
      <c r="AE771" s="121"/>
    </row>
    <row r="772" spans="1:31" x14ac:dyDescent="0.25">
      <c r="A772" s="58" t="s">
        <v>1008</v>
      </c>
      <c r="B772" s="7">
        <v>0.33749999999999997</v>
      </c>
      <c r="C772" s="58">
        <v>0.1</v>
      </c>
      <c r="D772" s="10" t="s">
        <v>1011</v>
      </c>
      <c r="E772" s="40">
        <v>0</v>
      </c>
      <c r="F772" s="40">
        <v>2.5</v>
      </c>
      <c r="G772" s="40">
        <v>2</v>
      </c>
      <c r="H772" s="3">
        <f t="shared" si="132"/>
        <v>0</v>
      </c>
      <c r="I772" s="3">
        <f t="shared" si="129"/>
        <v>1.0416666666666668E-2</v>
      </c>
      <c r="J772" s="3">
        <f t="shared" si="133"/>
        <v>8.3333333333333332E-3</v>
      </c>
      <c r="K772" s="58"/>
      <c r="L772" s="60">
        <f t="shared" si="131"/>
        <v>199.73166666666665</v>
      </c>
      <c r="M772" s="40">
        <v>0</v>
      </c>
      <c r="N772" s="40">
        <v>0</v>
      </c>
      <c r="O772" s="40">
        <v>0</v>
      </c>
      <c r="P772" s="40">
        <v>0</v>
      </c>
      <c r="Q772" s="40">
        <v>0</v>
      </c>
      <c r="R772" s="40">
        <v>0</v>
      </c>
      <c r="S772" s="61">
        <f t="shared" si="134"/>
        <v>24.320000000000068</v>
      </c>
      <c r="T772" s="40">
        <v>0</v>
      </c>
      <c r="U772" s="40">
        <v>0</v>
      </c>
      <c r="V772" s="40">
        <v>0</v>
      </c>
      <c r="W772" s="40">
        <v>0</v>
      </c>
      <c r="X772" s="67">
        <f t="shared" si="135"/>
        <v>124</v>
      </c>
      <c r="Z772" s="71"/>
      <c r="AA772" s="71"/>
      <c r="AB772" s="67">
        <f t="shared" si="130"/>
        <v>0</v>
      </c>
      <c r="AD772" s="121"/>
      <c r="AE772" s="121"/>
    </row>
    <row r="773" spans="1:31" x14ac:dyDescent="0.25">
      <c r="A773" s="58" t="s">
        <v>1008</v>
      </c>
      <c r="B773" s="7">
        <v>0.39583333333333331</v>
      </c>
      <c r="C773" s="58">
        <v>1.4</v>
      </c>
      <c r="D773" s="10" t="s">
        <v>988</v>
      </c>
      <c r="E773" s="40">
        <v>10</v>
      </c>
      <c r="F773" s="40">
        <v>2.5</v>
      </c>
      <c r="G773" s="40">
        <v>2</v>
      </c>
      <c r="H773" s="3">
        <f t="shared" si="132"/>
        <v>0.58333333333333337</v>
      </c>
      <c r="I773" s="3">
        <f t="shared" ref="I773:I836" si="136">+IF(F773="","",(F773/24)*C773)</f>
        <v>0.14583333333333334</v>
      </c>
      <c r="J773" s="3">
        <f t="shared" si="133"/>
        <v>0.11666666666666665</v>
      </c>
      <c r="K773" s="58"/>
      <c r="L773" s="60">
        <f t="shared" si="131"/>
        <v>198.88583333333332</v>
      </c>
      <c r="M773" s="40">
        <v>0</v>
      </c>
      <c r="N773" s="40">
        <v>0</v>
      </c>
      <c r="O773" s="40">
        <v>0</v>
      </c>
      <c r="P773" s="40">
        <v>0</v>
      </c>
      <c r="Q773" s="40">
        <v>0</v>
      </c>
      <c r="R773" s="40">
        <v>0</v>
      </c>
      <c r="S773" s="61">
        <f t="shared" si="134"/>
        <v>24.320000000000068</v>
      </c>
      <c r="T773" s="40">
        <v>0</v>
      </c>
      <c r="U773" s="40">
        <v>0</v>
      </c>
      <c r="V773" s="40">
        <v>1</v>
      </c>
      <c r="W773" s="40">
        <v>0</v>
      </c>
      <c r="X773" s="67">
        <f t="shared" si="135"/>
        <v>123</v>
      </c>
      <c r="Z773" s="71"/>
      <c r="AA773" s="71"/>
      <c r="AB773" s="67">
        <f t="shared" si="130"/>
        <v>0</v>
      </c>
      <c r="AD773" s="121"/>
      <c r="AE773" s="121"/>
    </row>
    <row r="774" spans="1:31" x14ac:dyDescent="0.25">
      <c r="A774" s="58" t="s">
        <v>1012</v>
      </c>
      <c r="B774" s="65">
        <v>0.33333333333333331</v>
      </c>
      <c r="C774" s="58">
        <v>22.4</v>
      </c>
      <c r="D774" s="10" t="s">
        <v>355</v>
      </c>
      <c r="E774" s="40">
        <v>22</v>
      </c>
      <c r="F774" s="40">
        <v>2.5</v>
      </c>
      <c r="G774" s="40">
        <v>2</v>
      </c>
      <c r="H774" s="3">
        <f t="shared" si="132"/>
        <v>20.533333333333331</v>
      </c>
      <c r="I774" s="3">
        <f t="shared" si="136"/>
        <v>2.3333333333333335</v>
      </c>
      <c r="J774" s="3">
        <f t="shared" si="133"/>
        <v>1.8666666666666665</v>
      </c>
      <c r="K774" s="58"/>
      <c r="L774" s="60">
        <f t="shared" si="131"/>
        <v>174.1525</v>
      </c>
      <c r="M774" s="40">
        <v>0</v>
      </c>
      <c r="N774" s="40">
        <v>0</v>
      </c>
      <c r="O774" s="40">
        <v>0.1</v>
      </c>
      <c r="P774" s="40">
        <v>0</v>
      </c>
      <c r="Q774" s="40">
        <v>0</v>
      </c>
      <c r="R774" s="40">
        <v>0</v>
      </c>
      <c r="S774" s="61">
        <f t="shared" si="134"/>
        <v>24.220000000000066</v>
      </c>
      <c r="T774" s="40">
        <v>5</v>
      </c>
      <c r="U774" s="40">
        <v>0</v>
      </c>
      <c r="V774" s="40">
        <v>5</v>
      </c>
      <c r="W774" s="40">
        <v>0</v>
      </c>
      <c r="X774" s="67">
        <f t="shared" si="135"/>
        <v>123</v>
      </c>
      <c r="Z774" s="71">
        <v>84</v>
      </c>
      <c r="AA774" s="71">
        <v>48</v>
      </c>
      <c r="AB774" s="67">
        <f t="shared" si="130"/>
        <v>132</v>
      </c>
      <c r="AD774" s="121"/>
      <c r="AE774" s="121"/>
    </row>
    <row r="775" spans="1:31" x14ac:dyDescent="0.25">
      <c r="A775" s="58" t="s">
        <v>1013</v>
      </c>
      <c r="B775" s="65">
        <v>0.33333333333333331</v>
      </c>
      <c r="C775" s="58">
        <v>24</v>
      </c>
      <c r="D775" s="10" t="s">
        <v>355</v>
      </c>
      <c r="E775" s="40">
        <v>22</v>
      </c>
      <c r="F775" s="40">
        <v>2.5</v>
      </c>
      <c r="G775" s="40">
        <v>2</v>
      </c>
      <c r="H775" s="3">
        <f t="shared" si="132"/>
        <v>22</v>
      </c>
      <c r="I775" s="3">
        <f t="shared" si="136"/>
        <v>2.5</v>
      </c>
      <c r="J775" s="3">
        <f t="shared" si="133"/>
        <v>2</v>
      </c>
      <c r="K775" s="58"/>
      <c r="L775" s="60">
        <f t="shared" si="131"/>
        <v>147.6525</v>
      </c>
      <c r="M775" s="40">
        <v>0</v>
      </c>
      <c r="N775" s="40">
        <v>0</v>
      </c>
      <c r="O775" s="40">
        <v>0.1</v>
      </c>
      <c r="P775" s="40">
        <v>0</v>
      </c>
      <c r="Q775" s="40">
        <v>0</v>
      </c>
      <c r="R775" s="40">
        <v>0</v>
      </c>
      <c r="S775" s="61">
        <f t="shared" si="134"/>
        <v>24.120000000000065</v>
      </c>
      <c r="T775" s="40">
        <v>6</v>
      </c>
      <c r="U775" s="40">
        <v>0</v>
      </c>
      <c r="V775" s="40">
        <v>6</v>
      </c>
      <c r="W775" s="40">
        <v>0</v>
      </c>
      <c r="X775" s="67">
        <f t="shared" si="135"/>
        <v>123</v>
      </c>
      <c r="Z775" s="71">
        <v>90</v>
      </c>
      <c r="AA775" s="71">
        <v>58</v>
      </c>
      <c r="AB775" s="67">
        <f t="shared" si="130"/>
        <v>148</v>
      </c>
      <c r="AD775" s="121"/>
      <c r="AE775" s="121"/>
    </row>
    <row r="776" spans="1:31" x14ac:dyDescent="0.25">
      <c r="A776" s="58" t="s">
        <v>1013</v>
      </c>
      <c r="B776" s="7">
        <v>0.45833333333333331</v>
      </c>
      <c r="C776" s="58">
        <v>3</v>
      </c>
      <c r="D776" s="10" t="s">
        <v>956</v>
      </c>
      <c r="E776" s="40">
        <v>22</v>
      </c>
      <c r="F776" s="40">
        <v>2.5</v>
      </c>
      <c r="G776" s="40">
        <v>2</v>
      </c>
      <c r="H776" s="3">
        <f t="shared" si="132"/>
        <v>2.75</v>
      </c>
      <c r="I776" s="3">
        <f t="shared" si="136"/>
        <v>0.3125</v>
      </c>
      <c r="J776" s="3">
        <f t="shared" si="133"/>
        <v>0.25</v>
      </c>
      <c r="K776" s="58"/>
      <c r="L776" s="60">
        <f t="shared" si="131"/>
        <v>144.34</v>
      </c>
      <c r="M776" s="40">
        <v>0</v>
      </c>
      <c r="N776" s="40">
        <v>0</v>
      </c>
      <c r="O776" s="40">
        <v>0</v>
      </c>
      <c r="P776" s="40">
        <v>0</v>
      </c>
      <c r="Q776" s="40">
        <v>0</v>
      </c>
      <c r="R776" s="40">
        <v>0</v>
      </c>
      <c r="S776" s="61">
        <f t="shared" si="134"/>
        <v>24.120000000000065</v>
      </c>
      <c r="T776" s="40">
        <v>0</v>
      </c>
      <c r="U776" s="40">
        <v>0</v>
      </c>
      <c r="V776" s="40">
        <v>1</v>
      </c>
      <c r="W776" s="40">
        <v>0</v>
      </c>
      <c r="X776" s="67">
        <f t="shared" si="135"/>
        <v>122</v>
      </c>
      <c r="Z776" s="71"/>
      <c r="AA776" s="71"/>
      <c r="AB776" s="67">
        <f t="shared" si="130"/>
        <v>0</v>
      </c>
      <c r="AD776" s="121">
        <v>10.7</v>
      </c>
      <c r="AE776" s="121" t="s">
        <v>1302</v>
      </c>
    </row>
    <row r="777" spans="1:31" x14ac:dyDescent="0.25">
      <c r="A777" s="58" t="s">
        <v>1013</v>
      </c>
      <c r="B777" s="7">
        <v>0.47500000000000003</v>
      </c>
      <c r="C777" s="58">
        <v>0.5</v>
      </c>
      <c r="D777" s="10" t="s">
        <v>97</v>
      </c>
      <c r="E777" s="40">
        <v>10</v>
      </c>
      <c r="F777" s="40">
        <v>2.5</v>
      </c>
      <c r="G777" s="40">
        <v>2</v>
      </c>
      <c r="H777" s="3">
        <f t="shared" si="132"/>
        <v>0.20833333333333334</v>
      </c>
      <c r="I777" s="3">
        <f t="shared" si="136"/>
        <v>5.2083333333333336E-2</v>
      </c>
      <c r="J777" s="3">
        <f t="shared" si="133"/>
        <v>4.1666666666666664E-2</v>
      </c>
      <c r="K777" s="58"/>
      <c r="L777" s="60">
        <f t="shared" si="131"/>
        <v>144.03791666666666</v>
      </c>
      <c r="M777" s="40">
        <v>0</v>
      </c>
      <c r="N777" s="40">
        <v>0</v>
      </c>
      <c r="O777" s="40">
        <v>0</v>
      </c>
      <c r="P777" s="40">
        <v>0</v>
      </c>
      <c r="Q777" s="40">
        <v>0</v>
      </c>
      <c r="R777" s="40">
        <v>0</v>
      </c>
      <c r="S777" s="61">
        <f t="shared" si="134"/>
        <v>24.120000000000065</v>
      </c>
      <c r="T777" s="40">
        <v>0</v>
      </c>
      <c r="U777" s="40">
        <v>0</v>
      </c>
      <c r="V777" s="40">
        <v>0</v>
      </c>
      <c r="W777" s="40">
        <v>0</v>
      </c>
      <c r="X777" s="67">
        <f t="shared" si="135"/>
        <v>122</v>
      </c>
      <c r="Z777" s="71"/>
      <c r="AA777" s="71"/>
      <c r="AB777" s="67">
        <f t="shared" si="130"/>
        <v>0</v>
      </c>
      <c r="AD777" s="121"/>
      <c r="AE777" s="121"/>
    </row>
    <row r="778" spans="1:31" x14ac:dyDescent="0.25">
      <c r="A778" s="58" t="s">
        <v>1013</v>
      </c>
      <c r="B778" s="7">
        <v>0.5708333333333333</v>
      </c>
      <c r="C778" s="58">
        <v>2.2000000000000002</v>
      </c>
      <c r="D778" s="10" t="s">
        <v>789</v>
      </c>
      <c r="E778" s="40">
        <v>0</v>
      </c>
      <c r="F778" s="40">
        <v>2.5</v>
      </c>
      <c r="G778" s="40">
        <v>2</v>
      </c>
      <c r="H778" s="3">
        <f t="shared" si="132"/>
        <v>0</v>
      </c>
      <c r="I778" s="3">
        <f t="shared" si="136"/>
        <v>0.22916666666666669</v>
      </c>
      <c r="J778" s="3">
        <f t="shared" si="133"/>
        <v>0.18333333333333335</v>
      </c>
      <c r="K778" s="58"/>
      <c r="L778" s="60">
        <f t="shared" si="131"/>
        <v>143.62541666666667</v>
      </c>
      <c r="M778" s="40">
        <v>0</v>
      </c>
      <c r="N778" s="40">
        <v>0</v>
      </c>
      <c r="O778" s="40">
        <v>0</v>
      </c>
      <c r="P778" s="40">
        <v>0</v>
      </c>
      <c r="Q778" s="40">
        <v>0</v>
      </c>
      <c r="R778" s="40">
        <v>0</v>
      </c>
      <c r="S778" s="61">
        <f t="shared" si="134"/>
        <v>24.120000000000065</v>
      </c>
      <c r="T778" s="40">
        <v>0</v>
      </c>
      <c r="U778" s="40">
        <v>0</v>
      </c>
      <c r="V778" s="40">
        <v>0</v>
      </c>
      <c r="W778" s="40">
        <v>0</v>
      </c>
      <c r="X778" s="67">
        <f t="shared" si="135"/>
        <v>122</v>
      </c>
      <c r="Z778" s="71"/>
      <c r="AA778" s="71"/>
      <c r="AB778" s="67">
        <f t="shared" si="130"/>
        <v>0</v>
      </c>
      <c r="AD778" s="121"/>
      <c r="AE778" s="121"/>
    </row>
    <row r="779" spans="1:31" x14ac:dyDescent="0.25">
      <c r="A779" s="58" t="s">
        <v>1013</v>
      </c>
      <c r="B779" s="7">
        <v>0.58333333333333337</v>
      </c>
      <c r="C779" s="58">
        <v>0.4</v>
      </c>
      <c r="D779" s="10" t="s">
        <v>1014</v>
      </c>
      <c r="E779" s="40">
        <v>10</v>
      </c>
      <c r="F779" s="40">
        <v>2.5</v>
      </c>
      <c r="G779" s="40">
        <v>2</v>
      </c>
      <c r="H779" s="3">
        <f t="shared" si="132"/>
        <v>0.16666666666666669</v>
      </c>
      <c r="I779" s="3">
        <f t="shared" si="136"/>
        <v>4.1666666666666671E-2</v>
      </c>
      <c r="J779" s="3">
        <f t="shared" si="133"/>
        <v>3.3333333333333333E-2</v>
      </c>
      <c r="K779" s="58"/>
      <c r="L779" s="60">
        <f t="shared" si="131"/>
        <v>143.38374999999999</v>
      </c>
      <c r="M779" s="40">
        <v>0</v>
      </c>
      <c r="N779" s="40">
        <v>0</v>
      </c>
      <c r="O779" s="40">
        <v>0</v>
      </c>
      <c r="P779" s="40">
        <v>0</v>
      </c>
      <c r="Q779" s="40">
        <v>0</v>
      </c>
      <c r="R779" s="40">
        <v>0</v>
      </c>
      <c r="S779" s="61">
        <f t="shared" si="134"/>
        <v>24.120000000000065</v>
      </c>
      <c r="T779" s="40">
        <v>0</v>
      </c>
      <c r="U779" s="40">
        <v>0</v>
      </c>
      <c r="V779" s="40">
        <v>0</v>
      </c>
      <c r="W779" s="40">
        <v>0</v>
      </c>
      <c r="X779" s="67">
        <f t="shared" si="135"/>
        <v>122</v>
      </c>
      <c r="Z779" s="71"/>
      <c r="AA779" s="71"/>
      <c r="AB779" s="67">
        <f t="shared" si="130"/>
        <v>0</v>
      </c>
      <c r="AD779" s="121"/>
      <c r="AE779" s="121"/>
    </row>
    <row r="780" spans="1:31" x14ac:dyDescent="0.25">
      <c r="A780" s="58" t="s">
        <v>1013</v>
      </c>
      <c r="B780" s="7">
        <v>0.59166666666666667</v>
      </c>
      <c r="C780" s="58">
        <v>0.1</v>
      </c>
      <c r="D780" s="10" t="s">
        <v>1015</v>
      </c>
      <c r="E780" s="40">
        <v>22</v>
      </c>
      <c r="F780" s="40">
        <v>2.5</v>
      </c>
      <c r="G780" s="40">
        <v>2</v>
      </c>
      <c r="H780" s="3">
        <f t="shared" si="132"/>
        <v>9.1666666666666674E-2</v>
      </c>
      <c r="I780" s="3">
        <f t="shared" si="136"/>
        <v>1.0416666666666668E-2</v>
      </c>
      <c r="J780" s="3">
        <f t="shared" si="133"/>
        <v>8.3333333333333332E-3</v>
      </c>
      <c r="K780" s="58"/>
      <c r="L780" s="60">
        <f t="shared" si="131"/>
        <v>143.27333333333331</v>
      </c>
      <c r="M780" s="40">
        <v>0</v>
      </c>
      <c r="N780" s="40">
        <v>0</v>
      </c>
      <c r="O780" s="40">
        <v>0</v>
      </c>
      <c r="P780" s="40">
        <v>0</v>
      </c>
      <c r="Q780" s="40">
        <v>0</v>
      </c>
      <c r="R780" s="40">
        <v>0</v>
      </c>
      <c r="S780" s="61">
        <f t="shared" si="134"/>
        <v>24.120000000000065</v>
      </c>
      <c r="T780" s="40">
        <v>0</v>
      </c>
      <c r="U780" s="40">
        <v>0</v>
      </c>
      <c r="V780" s="40">
        <v>0</v>
      </c>
      <c r="W780" s="40">
        <v>0</v>
      </c>
      <c r="X780" s="67">
        <f t="shared" si="135"/>
        <v>122</v>
      </c>
      <c r="Z780" s="71"/>
      <c r="AA780" s="71"/>
      <c r="AB780" s="67">
        <f t="shared" si="130"/>
        <v>0</v>
      </c>
      <c r="AD780" s="121"/>
      <c r="AE780" s="121"/>
    </row>
    <row r="781" spans="1:31" x14ac:dyDescent="0.25">
      <c r="A781" s="58" t="s">
        <v>1013</v>
      </c>
      <c r="B781" s="7">
        <v>0.66666666666666663</v>
      </c>
      <c r="C781" s="58">
        <v>1.9</v>
      </c>
      <c r="D781" s="10" t="s">
        <v>616</v>
      </c>
      <c r="E781" s="40">
        <v>10</v>
      </c>
      <c r="F781" s="40">
        <v>2.5</v>
      </c>
      <c r="G781" s="40">
        <v>2</v>
      </c>
      <c r="H781" s="3">
        <f t="shared" si="132"/>
        <v>0.79166666666666663</v>
      </c>
      <c r="I781" s="3">
        <f t="shared" si="136"/>
        <v>0.19791666666666666</v>
      </c>
      <c r="J781" s="3">
        <f t="shared" si="133"/>
        <v>0.15833333333333333</v>
      </c>
      <c r="K781" s="58"/>
      <c r="L781" s="60">
        <f t="shared" si="131"/>
        <v>142.12541666666664</v>
      </c>
      <c r="M781" s="40">
        <v>0</v>
      </c>
      <c r="N781" s="40">
        <v>0</v>
      </c>
      <c r="O781" s="40">
        <v>0</v>
      </c>
      <c r="P781" s="40">
        <v>0</v>
      </c>
      <c r="Q781" s="40">
        <v>0</v>
      </c>
      <c r="R781" s="40">
        <v>0</v>
      </c>
      <c r="S781" s="61">
        <f t="shared" si="134"/>
        <v>24.120000000000065</v>
      </c>
      <c r="T781" s="40">
        <v>0</v>
      </c>
      <c r="U781" s="40">
        <v>0</v>
      </c>
      <c r="V781" s="40">
        <v>2</v>
      </c>
      <c r="W781" s="40">
        <v>0</v>
      </c>
      <c r="X781" s="67">
        <f t="shared" si="135"/>
        <v>120</v>
      </c>
      <c r="Z781" s="71">
        <v>88</v>
      </c>
      <c r="AA781" s="71">
        <v>56</v>
      </c>
      <c r="AB781" s="67">
        <f t="shared" si="130"/>
        <v>144</v>
      </c>
      <c r="AD781" s="121"/>
      <c r="AE781" s="121"/>
    </row>
    <row r="782" spans="1:31" x14ac:dyDescent="0.25">
      <c r="A782" s="58" t="s">
        <v>1013</v>
      </c>
      <c r="B782" s="7">
        <v>8.3333333333333329E-2</v>
      </c>
      <c r="C782" s="58">
        <v>10</v>
      </c>
      <c r="D782" s="10" t="s">
        <v>1004</v>
      </c>
      <c r="E782" s="40">
        <v>0</v>
      </c>
      <c r="F782" s="40">
        <v>2.5</v>
      </c>
      <c r="G782" s="40">
        <v>2</v>
      </c>
      <c r="H782" s="3">
        <f t="shared" si="132"/>
        <v>0</v>
      </c>
      <c r="I782" s="3">
        <f t="shared" si="136"/>
        <v>1.0416666666666667</v>
      </c>
      <c r="J782" s="3">
        <f t="shared" si="133"/>
        <v>0.83333333333333326</v>
      </c>
      <c r="K782" s="58"/>
      <c r="L782" s="60">
        <f t="shared" si="131"/>
        <v>140.25041666666664</v>
      </c>
      <c r="M782" s="40">
        <v>0</v>
      </c>
      <c r="N782" s="40">
        <v>0</v>
      </c>
      <c r="O782" s="40">
        <v>0.1</v>
      </c>
      <c r="P782" s="40">
        <v>0</v>
      </c>
      <c r="Q782" s="40">
        <v>0</v>
      </c>
      <c r="R782" s="40">
        <v>0</v>
      </c>
      <c r="S782" s="61">
        <f t="shared" si="134"/>
        <v>24.020000000000064</v>
      </c>
      <c r="T782" s="40">
        <v>0</v>
      </c>
      <c r="U782" s="40">
        <v>0</v>
      </c>
      <c r="V782" s="40">
        <v>2</v>
      </c>
      <c r="W782" s="40">
        <v>0</v>
      </c>
      <c r="X782" s="67">
        <f t="shared" si="135"/>
        <v>118</v>
      </c>
      <c r="Z782" s="71"/>
      <c r="AA782" s="71">
        <v>0</v>
      </c>
      <c r="AB782" s="67">
        <v>0</v>
      </c>
      <c r="AD782" s="121"/>
      <c r="AE782" s="121"/>
    </row>
    <row r="783" spans="1:31" x14ac:dyDescent="0.25">
      <c r="A783" s="58" t="s">
        <v>1016</v>
      </c>
      <c r="B783" s="7">
        <v>0.25</v>
      </c>
      <c r="C783" s="58">
        <v>4</v>
      </c>
      <c r="D783" s="10" t="s">
        <v>265</v>
      </c>
      <c r="E783" s="40">
        <v>0</v>
      </c>
      <c r="F783" s="40">
        <v>2.5</v>
      </c>
      <c r="G783" s="40">
        <v>2</v>
      </c>
      <c r="H783" s="3">
        <f t="shared" si="132"/>
        <v>0</v>
      </c>
      <c r="I783" s="3">
        <f t="shared" si="136"/>
        <v>0.41666666666666669</v>
      </c>
      <c r="J783" s="3">
        <f t="shared" si="133"/>
        <v>0.33333333333333331</v>
      </c>
      <c r="K783" s="58"/>
      <c r="L783" s="60">
        <f t="shared" si="131"/>
        <v>139.50041666666664</v>
      </c>
      <c r="M783" s="40">
        <v>0</v>
      </c>
      <c r="N783" s="40">
        <v>0</v>
      </c>
      <c r="O783" s="40">
        <v>0</v>
      </c>
      <c r="P783" s="40">
        <v>0</v>
      </c>
      <c r="Q783" s="40">
        <v>1.3</v>
      </c>
      <c r="R783" s="40">
        <v>0</v>
      </c>
      <c r="S783" s="61">
        <f t="shared" si="134"/>
        <v>22.720000000000063</v>
      </c>
      <c r="T783" s="40">
        <v>0</v>
      </c>
      <c r="U783" s="40">
        <v>0</v>
      </c>
      <c r="V783" s="40">
        <v>1</v>
      </c>
      <c r="W783" s="40">
        <v>0</v>
      </c>
      <c r="X783" s="67">
        <f t="shared" si="135"/>
        <v>117</v>
      </c>
      <c r="Z783" s="71"/>
      <c r="AA783" s="71"/>
      <c r="AB783" s="67">
        <f t="shared" si="130"/>
        <v>0</v>
      </c>
      <c r="AD783" s="121"/>
      <c r="AE783" s="121"/>
    </row>
    <row r="784" spans="1:31" x14ac:dyDescent="0.25">
      <c r="A784" s="58" t="s">
        <v>1016</v>
      </c>
      <c r="B784" s="65">
        <v>0.33333333333333331</v>
      </c>
      <c r="C784" s="58">
        <v>2</v>
      </c>
      <c r="D784" s="10" t="s">
        <v>179</v>
      </c>
      <c r="E784" s="40">
        <v>0</v>
      </c>
      <c r="F784" s="40">
        <v>2.5</v>
      </c>
      <c r="G784" s="40">
        <v>2</v>
      </c>
      <c r="H784" s="3">
        <f t="shared" si="132"/>
        <v>0</v>
      </c>
      <c r="I784" s="3">
        <f t="shared" si="136"/>
        <v>0.20833333333333334</v>
      </c>
      <c r="J784" s="3">
        <f t="shared" si="133"/>
        <v>0.16666666666666666</v>
      </c>
      <c r="K784" s="58"/>
      <c r="L784" s="60">
        <f t="shared" si="131"/>
        <v>139.12541666666664</v>
      </c>
      <c r="M784" s="40">
        <v>0</v>
      </c>
      <c r="N784" s="40">
        <v>0</v>
      </c>
      <c r="O784" s="40">
        <v>0</v>
      </c>
      <c r="P784" s="40">
        <v>0</v>
      </c>
      <c r="Q784" s="40">
        <v>0</v>
      </c>
      <c r="R784" s="40">
        <v>0</v>
      </c>
      <c r="S784" s="61">
        <f t="shared" si="134"/>
        <v>22.720000000000063</v>
      </c>
      <c r="T784" s="40">
        <v>0</v>
      </c>
      <c r="U784" s="40">
        <v>0</v>
      </c>
      <c r="V784" s="40">
        <v>0</v>
      </c>
      <c r="W784" s="40">
        <v>0</v>
      </c>
      <c r="X784" s="67">
        <f t="shared" si="135"/>
        <v>117</v>
      </c>
      <c r="Z784" s="71"/>
      <c r="AA784" s="71"/>
      <c r="AB784" s="67">
        <f t="shared" si="130"/>
        <v>0</v>
      </c>
      <c r="AD784" s="121"/>
      <c r="AE784" s="121"/>
    </row>
    <row r="785" spans="1:31" x14ac:dyDescent="0.25">
      <c r="A785" s="58" t="s">
        <v>1017</v>
      </c>
      <c r="B785" s="65">
        <v>0.33333333333333331</v>
      </c>
      <c r="C785" s="58">
        <v>24</v>
      </c>
      <c r="D785" s="10" t="s">
        <v>179</v>
      </c>
      <c r="E785" s="40">
        <v>0</v>
      </c>
      <c r="F785" s="40">
        <v>2.5</v>
      </c>
      <c r="G785" s="40">
        <v>2</v>
      </c>
      <c r="H785" s="3">
        <f t="shared" si="132"/>
        <v>0</v>
      </c>
      <c r="I785" s="3">
        <f t="shared" si="136"/>
        <v>2.5</v>
      </c>
      <c r="J785" s="3">
        <f t="shared" si="133"/>
        <v>2</v>
      </c>
      <c r="K785" s="58"/>
      <c r="L785" s="60">
        <f t="shared" si="131"/>
        <v>134.62541666666664</v>
      </c>
      <c r="M785" s="40">
        <v>0</v>
      </c>
      <c r="N785" s="40">
        <v>0</v>
      </c>
      <c r="O785" s="40">
        <v>0</v>
      </c>
      <c r="P785" s="40">
        <v>0</v>
      </c>
      <c r="Q785" s="40">
        <v>0</v>
      </c>
      <c r="R785" s="40">
        <v>0</v>
      </c>
      <c r="S785" s="61">
        <f t="shared" si="134"/>
        <v>22.720000000000063</v>
      </c>
      <c r="T785" s="40">
        <v>0</v>
      </c>
      <c r="U785" s="40">
        <v>0</v>
      </c>
      <c r="V785" s="40">
        <v>6</v>
      </c>
      <c r="W785" s="40">
        <v>0</v>
      </c>
      <c r="X785" s="67">
        <f t="shared" si="135"/>
        <v>111</v>
      </c>
      <c r="Z785" s="71"/>
      <c r="AA785" s="71"/>
      <c r="AB785" s="67">
        <f t="shared" si="130"/>
        <v>0</v>
      </c>
      <c r="AD785" s="121"/>
      <c r="AE785" s="121"/>
    </row>
    <row r="786" spans="1:31" x14ac:dyDescent="0.25">
      <c r="A786" s="58" t="s">
        <v>1017</v>
      </c>
      <c r="B786" s="7">
        <v>0.875</v>
      </c>
      <c r="C786" s="58">
        <v>13</v>
      </c>
      <c r="D786" s="10" t="s">
        <v>120</v>
      </c>
      <c r="E786" s="40">
        <v>0</v>
      </c>
      <c r="F786" s="40">
        <v>2.5</v>
      </c>
      <c r="G786" s="40">
        <v>2</v>
      </c>
      <c r="H786" s="3">
        <f t="shared" si="132"/>
        <v>0</v>
      </c>
      <c r="I786" s="3">
        <f t="shared" si="136"/>
        <v>1.3541666666666667</v>
      </c>
      <c r="J786" s="3">
        <f t="shared" si="133"/>
        <v>1.0833333333333333</v>
      </c>
      <c r="K786" s="58"/>
      <c r="L786" s="60">
        <f t="shared" si="131"/>
        <v>132.18791666666664</v>
      </c>
      <c r="M786" s="40">
        <v>0</v>
      </c>
      <c r="N786" s="40">
        <v>0</v>
      </c>
      <c r="O786" s="40">
        <v>0</v>
      </c>
      <c r="P786" s="40">
        <v>0</v>
      </c>
      <c r="Q786" s="40">
        <v>0</v>
      </c>
      <c r="R786" s="40">
        <v>0</v>
      </c>
      <c r="S786" s="61">
        <f t="shared" si="134"/>
        <v>22.720000000000063</v>
      </c>
      <c r="T786" s="40">
        <v>0</v>
      </c>
      <c r="U786" s="40">
        <v>0</v>
      </c>
      <c r="V786" s="40">
        <v>3</v>
      </c>
      <c r="W786" s="40">
        <v>0</v>
      </c>
      <c r="X786" s="67">
        <f t="shared" si="135"/>
        <v>108</v>
      </c>
      <c r="Z786" s="71"/>
      <c r="AA786" s="71"/>
      <c r="AB786" s="67">
        <f t="shared" si="130"/>
        <v>0</v>
      </c>
      <c r="AD786" s="121"/>
      <c r="AE786" s="121"/>
    </row>
    <row r="787" spans="1:31" x14ac:dyDescent="0.25">
      <c r="A787" s="58" t="s">
        <v>1018</v>
      </c>
      <c r="B787" s="7">
        <v>4.1666666666666664E-2</v>
      </c>
      <c r="C787" s="58">
        <v>4</v>
      </c>
      <c r="D787" s="10" t="s">
        <v>789</v>
      </c>
      <c r="E787" s="40">
        <v>0</v>
      </c>
      <c r="F787" s="40">
        <v>2.5</v>
      </c>
      <c r="G787" s="40">
        <v>2</v>
      </c>
      <c r="H787" s="3">
        <f t="shared" si="132"/>
        <v>0</v>
      </c>
      <c r="I787" s="3">
        <f t="shared" si="136"/>
        <v>0.41666666666666669</v>
      </c>
      <c r="J787" s="3">
        <f t="shared" si="133"/>
        <v>0.33333333333333331</v>
      </c>
      <c r="K787" s="58"/>
      <c r="L787" s="60">
        <f t="shared" si="131"/>
        <v>131.43791666666664</v>
      </c>
      <c r="M787" s="40">
        <v>0</v>
      </c>
      <c r="N787" s="40">
        <v>0</v>
      </c>
      <c r="O787" s="40">
        <v>0</v>
      </c>
      <c r="P787" s="40">
        <v>0</v>
      </c>
      <c r="Q787" s="40">
        <v>0</v>
      </c>
      <c r="R787" s="40">
        <v>0</v>
      </c>
      <c r="S787" s="61">
        <f t="shared" si="134"/>
        <v>22.720000000000063</v>
      </c>
      <c r="T787" s="40">
        <v>0</v>
      </c>
      <c r="U787" s="40">
        <v>0</v>
      </c>
      <c r="V787" s="40">
        <v>0</v>
      </c>
      <c r="W787" s="40">
        <v>0</v>
      </c>
      <c r="X787" s="67">
        <f t="shared" si="135"/>
        <v>108</v>
      </c>
      <c r="Z787" s="71"/>
      <c r="AA787" s="71"/>
      <c r="AB787" s="67">
        <f t="shared" si="130"/>
        <v>0</v>
      </c>
      <c r="AD787" s="121"/>
      <c r="AE787" s="121"/>
    </row>
    <row r="788" spans="1:31" x14ac:dyDescent="0.25">
      <c r="A788" s="58" t="s">
        <v>1018</v>
      </c>
      <c r="B788" s="7">
        <v>9.5833333333333326E-2</v>
      </c>
      <c r="C788" s="58">
        <v>1.3</v>
      </c>
      <c r="D788" s="10" t="s">
        <v>837</v>
      </c>
      <c r="E788" s="40">
        <v>10</v>
      </c>
      <c r="F788" s="40">
        <v>2.5</v>
      </c>
      <c r="G788" s="40">
        <v>2</v>
      </c>
      <c r="H788" s="3">
        <f t="shared" si="132"/>
        <v>0.54166666666666674</v>
      </c>
      <c r="I788" s="3">
        <f t="shared" si="136"/>
        <v>0.13541666666666669</v>
      </c>
      <c r="J788" s="3">
        <f t="shared" si="133"/>
        <v>0.10833333333333334</v>
      </c>
      <c r="K788" s="58"/>
      <c r="L788" s="60">
        <f t="shared" si="131"/>
        <v>130.65249999999997</v>
      </c>
      <c r="M788" s="40">
        <v>0</v>
      </c>
      <c r="N788" s="40">
        <v>0</v>
      </c>
      <c r="O788" s="40">
        <v>0</v>
      </c>
      <c r="P788" s="40">
        <v>0</v>
      </c>
      <c r="Q788" s="40">
        <v>0</v>
      </c>
      <c r="R788" s="40">
        <v>0</v>
      </c>
      <c r="S788" s="61">
        <f t="shared" si="134"/>
        <v>22.720000000000063</v>
      </c>
      <c r="T788" s="40">
        <v>0</v>
      </c>
      <c r="U788" s="40">
        <v>0</v>
      </c>
      <c r="V788" s="40">
        <v>0</v>
      </c>
      <c r="W788" s="40">
        <v>0</v>
      </c>
      <c r="X788" s="67">
        <f t="shared" si="135"/>
        <v>108</v>
      </c>
      <c r="Z788" s="71"/>
      <c r="AA788" s="71"/>
      <c r="AB788" s="67">
        <f t="shared" ref="AB788:AB847" si="137">SUM(Z788:AA788)</f>
        <v>0</v>
      </c>
      <c r="AD788" s="121"/>
      <c r="AE788" s="121"/>
    </row>
    <row r="789" spans="1:31" x14ac:dyDescent="0.25">
      <c r="A789" s="58" t="s">
        <v>1018</v>
      </c>
      <c r="B789" s="7">
        <v>0.24166666666666667</v>
      </c>
      <c r="C789" s="58">
        <v>3.5</v>
      </c>
      <c r="D789" s="10" t="s">
        <v>796</v>
      </c>
      <c r="E789" s="40">
        <v>22</v>
      </c>
      <c r="F789" s="40">
        <v>2.5</v>
      </c>
      <c r="G789" s="40">
        <v>0</v>
      </c>
      <c r="H789" s="3">
        <f t="shared" si="132"/>
        <v>3.208333333333333</v>
      </c>
      <c r="I789" s="3">
        <f t="shared" si="136"/>
        <v>0.36458333333333337</v>
      </c>
      <c r="J789" s="3">
        <f t="shared" si="133"/>
        <v>0</v>
      </c>
      <c r="K789" s="58"/>
      <c r="L789" s="60">
        <f t="shared" si="131"/>
        <v>127.0795833333333</v>
      </c>
      <c r="M789" s="40">
        <v>0</v>
      </c>
      <c r="N789" s="40">
        <v>0</v>
      </c>
      <c r="O789" s="40">
        <v>0</v>
      </c>
      <c r="P789" s="40">
        <v>0</v>
      </c>
      <c r="Q789" s="40">
        <v>0</v>
      </c>
      <c r="R789" s="40">
        <v>0</v>
      </c>
      <c r="S789" s="61">
        <f t="shared" si="134"/>
        <v>22.720000000000063</v>
      </c>
      <c r="T789" s="40">
        <v>0</v>
      </c>
      <c r="U789" s="40">
        <v>0</v>
      </c>
      <c r="V789" s="40">
        <v>0</v>
      </c>
      <c r="W789" s="40">
        <v>0</v>
      </c>
      <c r="X789" s="67">
        <f t="shared" si="135"/>
        <v>108</v>
      </c>
      <c r="Z789" s="71"/>
      <c r="AA789" s="71"/>
      <c r="AB789" s="67">
        <f t="shared" si="137"/>
        <v>0</v>
      </c>
      <c r="AD789" s="121">
        <v>11.4</v>
      </c>
      <c r="AE789" s="121" t="s">
        <v>1303</v>
      </c>
    </row>
    <row r="790" spans="1:31" x14ac:dyDescent="0.25">
      <c r="A790" s="58" t="s">
        <v>1018</v>
      </c>
      <c r="B790" s="65">
        <v>0.33333333333333331</v>
      </c>
      <c r="C790" s="58">
        <v>2.2000000000000002</v>
      </c>
      <c r="D790" s="10" t="s">
        <v>812</v>
      </c>
      <c r="E790" s="40">
        <v>10</v>
      </c>
      <c r="F790" s="40">
        <v>2.5</v>
      </c>
      <c r="G790" s="40">
        <v>2</v>
      </c>
      <c r="H790" s="3">
        <f t="shared" si="132"/>
        <v>0.91666666666666674</v>
      </c>
      <c r="I790" s="3">
        <f t="shared" si="136"/>
        <v>0.22916666666666669</v>
      </c>
      <c r="J790" s="3">
        <f t="shared" si="133"/>
        <v>0.18333333333333335</v>
      </c>
      <c r="K790" s="58"/>
      <c r="L790" s="60">
        <f t="shared" si="131"/>
        <v>125.75041666666664</v>
      </c>
      <c r="M790" s="40">
        <v>0</v>
      </c>
      <c r="N790" s="40">
        <v>0</v>
      </c>
      <c r="O790" s="40">
        <v>0</v>
      </c>
      <c r="P790" s="40">
        <v>0</v>
      </c>
      <c r="Q790" s="40">
        <v>0</v>
      </c>
      <c r="R790" s="40">
        <v>0</v>
      </c>
      <c r="S790" s="61">
        <f t="shared" si="134"/>
        <v>22.720000000000063</v>
      </c>
      <c r="T790" s="40">
        <v>0</v>
      </c>
      <c r="U790" s="40">
        <v>0</v>
      </c>
      <c r="V790" s="40">
        <v>3</v>
      </c>
      <c r="W790" s="40">
        <v>0</v>
      </c>
      <c r="X790" s="67">
        <f t="shared" si="135"/>
        <v>105</v>
      </c>
      <c r="Z790" s="71"/>
      <c r="AA790" s="71"/>
      <c r="AB790" s="67">
        <f t="shared" si="137"/>
        <v>0</v>
      </c>
      <c r="AD790" s="121"/>
      <c r="AE790" s="121"/>
    </row>
    <row r="791" spans="1:31" x14ac:dyDescent="0.25">
      <c r="A791" s="58" t="s">
        <v>1018</v>
      </c>
      <c r="B791" s="7">
        <v>0.5</v>
      </c>
      <c r="C791" s="58">
        <v>4</v>
      </c>
      <c r="D791" s="10" t="s">
        <v>1019</v>
      </c>
      <c r="E791" s="40">
        <v>0</v>
      </c>
      <c r="F791" s="40">
        <v>2.5</v>
      </c>
      <c r="G791" s="40">
        <v>2</v>
      </c>
      <c r="H791" s="3">
        <f t="shared" si="132"/>
        <v>0</v>
      </c>
      <c r="I791" s="3">
        <f t="shared" si="136"/>
        <v>0.41666666666666669</v>
      </c>
      <c r="J791" s="3">
        <f t="shared" si="133"/>
        <v>0.33333333333333331</v>
      </c>
      <c r="K791" s="58"/>
      <c r="L791" s="60">
        <f t="shared" si="131"/>
        <v>125.00041666666664</v>
      </c>
      <c r="M791" s="40">
        <v>0</v>
      </c>
      <c r="N791" s="40">
        <v>0</v>
      </c>
      <c r="O791" s="40">
        <v>0</v>
      </c>
      <c r="P791" s="40">
        <v>0</v>
      </c>
      <c r="Q791" s="40">
        <v>0</v>
      </c>
      <c r="R791" s="40">
        <v>0</v>
      </c>
      <c r="S791" s="61">
        <f t="shared" si="134"/>
        <v>22.720000000000063</v>
      </c>
      <c r="T791" s="40">
        <v>0</v>
      </c>
      <c r="U791" s="40">
        <v>0</v>
      </c>
      <c r="V791" s="40">
        <v>0</v>
      </c>
      <c r="W791" s="40">
        <v>0</v>
      </c>
      <c r="X791" s="67">
        <f t="shared" si="135"/>
        <v>105</v>
      </c>
      <c r="Z791" s="71"/>
      <c r="AA791" s="71"/>
      <c r="AB791" s="67">
        <f t="shared" si="137"/>
        <v>0</v>
      </c>
      <c r="AD791" s="121"/>
      <c r="AE791" s="121"/>
    </row>
    <row r="792" spans="1:31" x14ac:dyDescent="0.25">
      <c r="A792" s="58" t="s">
        <v>1018</v>
      </c>
      <c r="B792" s="7">
        <v>0.9458333333333333</v>
      </c>
      <c r="C792" s="58">
        <v>10.7</v>
      </c>
      <c r="D792" s="10" t="s">
        <v>816</v>
      </c>
      <c r="E792" s="40">
        <v>0</v>
      </c>
      <c r="F792" s="40">
        <v>2.5</v>
      </c>
      <c r="G792" s="40">
        <v>2</v>
      </c>
      <c r="H792" s="3">
        <f t="shared" si="132"/>
        <v>0</v>
      </c>
      <c r="I792" s="3">
        <f t="shared" si="136"/>
        <v>1.1145833333333333</v>
      </c>
      <c r="J792" s="3">
        <f t="shared" si="133"/>
        <v>0.89166666666666661</v>
      </c>
      <c r="K792" s="58"/>
      <c r="L792" s="60">
        <f t="shared" si="131"/>
        <v>122.99416666666664</v>
      </c>
      <c r="M792" s="40">
        <v>0</v>
      </c>
      <c r="N792" s="40">
        <v>0</v>
      </c>
      <c r="O792" s="40">
        <v>0</v>
      </c>
      <c r="P792" s="40">
        <v>0</v>
      </c>
      <c r="Q792" s="40">
        <v>2.62</v>
      </c>
      <c r="R792" s="40">
        <v>0</v>
      </c>
      <c r="S792" s="61">
        <f t="shared" si="134"/>
        <v>20.100000000000062</v>
      </c>
      <c r="T792" s="40">
        <v>0</v>
      </c>
      <c r="U792" s="40">
        <v>0</v>
      </c>
      <c r="V792" s="40">
        <v>3</v>
      </c>
      <c r="W792" s="40">
        <v>0</v>
      </c>
      <c r="X792" s="67">
        <f t="shared" si="135"/>
        <v>102</v>
      </c>
      <c r="Z792" s="71"/>
      <c r="AA792" s="71"/>
      <c r="AB792" s="67">
        <f t="shared" si="137"/>
        <v>0</v>
      </c>
      <c r="AD792" s="121"/>
      <c r="AE792" s="121"/>
    </row>
    <row r="793" spans="1:31" x14ac:dyDescent="0.25">
      <c r="A793" s="58" t="s">
        <v>1020</v>
      </c>
      <c r="B793" s="7">
        <v>3.7499999999999999E-2</v>
      </c>
      <c r="C793" s="58">
        <v>2.2000000000000002</v>
      </c>
      <c r="D793" s="10" t="s">
        <v>1011</v>
      </c>
      <c r="E793" s="40">
        <v>0</v>
      </c>
      <c r="F793" s="40">
        <v>2.5</v>
      </c>
      <c r="G793" s="40">
        <v>2</v>
      </c>
      <c r="H793" s="3">
        <f t="shared" si="132"/>
        <v>0</v>
      </c>
      <c r="I793" s="3">
        <f t="shared" si="136"/>
        <v>0.22916666666666669</v>
      </c>
      <c r="J793" s="3">
        <f t="shared" si="133"/>
        <v>0.18333333333333335</v>
      </c>
      <c r="K793" s="58"/>
      <c r="L793" s="60">
        <f t="shared" si="131"/>
        <v>122.58166666666665</v>
      </c>
      <c r="M793" s="40">
        <v>0</v>
      </c>
      <c r="N793" s="40">
        <v>0</v>
      </c>
      <c r="O793" s="40">
        <v>0</v>
      </c>
      <c r="P793" s="40">
        <v>0</v>
      </c>
      <c r="Q793" s="40">
        <v>0</v>
      </c>
      <c r="R793" s="40">
        <v>0</v>
      </c>
      <c r="S793" s="61">
        <f t="shared" si="134"/>
        <v>20.100000000000062</v>
      </c>
      <c r="T793" s="40">
        <v>0</v>
      </c>
      <c r="U793" s="40">
        <v>0</v>
      </c>
      <c r="V793" s="40">
        <v>0</v>
      </c>
      <c r="W793" s="40">
        <v>0</v>
      </c>
      <c r="X793" s="67">
        <f t="shared" si="135"/>
        <v>102</v>
      </c>
      <c r="Z793" s="71"/>
      <c r="AA793" s="71"/>
      <c r="AB793" s="67">
        <f t="shared" si="137"/>
        <v>0</v>
      </c>
      <c r="AD793" s="121"/>
      <c r="AE793" s="121"/>
    </row>
    <row r="794" spans="1:31" x14ac:dyDescent="0.25">
      <c r="A794" s="58" t="s">
        <v>1021</v>
      </c>
      <c r="B794" s="7">
        <v>6.25E-2</v>
      </c>
      <c r="C794" s="58">
        <v>0.6</v>
      </c>
      <c r="D794" s="10" t="s">
        <v>1022</v>
      </c>
      <c r="E794" s="40">
        <v>10</v>
      </c>
      <c r="F794" s="40">
        <v>2.5</v>
      </c>
      <c r="G794" s="40">
        <v>2</v>
      </c>
      <c r="H794" s="3">
        <f t="shared" si="132"/>
        <v>0.25</v>
      </c>
      <c r="I794" s="3">
        <f t="shared" si="136"/>
        <v>6.25E-2</v>
      </c>
      <c r="J794" s="3">
        <f t="shared" si="133"/>
        <v>4.9999999999999996E-2</v>
      </c>
      <c r="K794" s="58"/>
      <c r="L794" s="60">
        <f t="shared" si="131"/>
        <v>122.21916666666665</v>
      </c>
      <c r="M794" s="40">
        <v>0</v>
      </c>
      <c r="N794" s="40">
        <v>0</v>
      </c>
      <c r="O794" s="40">
        <v>0</v>
      </c>
      <c r="P794" s="40">
        <v>0</v>
      </c>
      <c r="Q794" s="40">
        <v>0</v>
      </c>
      <c r="R794" s="40">
        <v>0</v>
      </c>
      <c r="S794" s="61">
        <f t="shared" si="134"/>
        <v>20.100000000000062</v>
      </c>
      <c r="T794" s="40">
        <v>0</v>
      </c>
      <c r="U794" s="40">
        <v>0</v>
      </c>
      <c r="V794" s="40">
        <v>0</v>
      </c>
      <c r="W794" s="40">
        <v>0</v>
      </c>
      <c r="X794" s="67">
        <f t="shared" si="135"/>
        <v>102</v>
      </c>
      <c r="Z794" s="71"/>
      <c r="AA794" s="71"/>
      <c r="AB794" s="67">
        <f t="shared" si="137"/>
        <v>0</v>
      </c>
      <c r="AD794" s="121"/>
      <c r="AE794" s="121"/>
    </row>
    <row r="795" spans="1:31" x14ac:dyDescent="0.25">
      <c r="A795" s="58" t="s">
        <v>1021</v>
      </c>
      <c r="B795" s="7">
        <v>0.15416666666666667</v>
      </c>
      <c r="C795" s="58">
        <v>2.2000000000000002</v>
      </c>
      <c r="D795" s="10" t="s">
        <v>201</v>
      </c>
      <c r="E795" s="40">
        <v>22</v>
      </c>
      <c r="F795" s="40">
        <v>2.5</v>
      </c>
      <c r="G795" s="40">
        <v>2</v>
      </c>
      <c r="H795" s="3">
        <f t="shared" si="132"/>
        <v>2.0166666666666666</v>
      </c>
      <c r="I795" s="3">
        <f t="shared" si="136"/>
        <v>0.22916666666666669</v>
      </c>
      <c r="J795" s="3">
        <f t="shared" si="133"/>
        <v>0.18333333333333335</v>
      </c>
      <c r="K795" s="58"/>
      <c r="L795" s="60">
        <f t="shared" si="131"/>
        <v>119.78999999999999</v>
      </c>
      <c r="M795" s="40">
        <v>0</v>
      </c>
      <c r="N795" s="40">
        <v>0</v>
      </c>
      <c r="O795" s="40">
        <v>0</v>
      </c>
      <c r="P795" s="40">
        <v>0</v>
      </c>
      <c r="Q795" s="40">
        <v>0</v>
      </c>
      <c r="R795" s="40">
        <v>0</v>
      </c>
      <c r="S795" s="61">
        <f t="shared" si="134"/>
        <v>20.100000000000062</v>
      </c>
      <c r="T795" s="40">
        <v>0</v>
      </c>
      <c r="U795" s="40">
        <v>0</v>
      </c>
      <c r="V795" s="40">
        <v>0</v>
      </c>
      <c r="W795" s="40">
        <v>0</v>
      </c>
      <c r="X795" s="67">
        <f t="shared" si="135"/>
        <v>102</v>
      </c>
      <c r="Z795" s="71"/>
      <c r="AA795" s="71"/>
      <c r="AB795" s="67">
        <f t="shared" si="137"/>
        <v>0</v>
      </c>
      <c r="AD795" s="121">
        <v>13</v>
      </c>
      <c r="AE795" s="121" t="s">
        <v>1301</v>
      </c>
    </row>
    <row r="796" spans="1:31" x14ac:dyDescent="0.25">
      <c r="A796" s="58" t="s">
        <v>1021</v>
      </c>
      <c r="B796" s="7">
        <v>0.1875</v>
      </c>
      <c r="C796" s="58">
        <v>0.8</v>
      </c>
      <c r="D796" s="10" t="s">
        <v>1023</v>
      </c>
      <c r="E796" s="40">
        <v>10</v>
      </c>
      <c r="F796" s="40">
        <v>2.5</v>
      </c>
      <c r="G796" s="40">
        <v>2</v>
      </c>
      <c r="H796" s="3">
        <f t="shared" si="132"/>
        <v>0.33333333333333337</v>
      </c>
      <c r="I796" s="3">
        <f t="shared" si="136"/>
        <v>8.3333333333333343E-2</v>
      </c>
      <c r="J796" s="3">
        <f t="shared" si="133"/>
        <v>6.6666666666666666E-2</v>
      </c>
      <c r="K796" s="58"/>
      <c r="L796" s="60">
        <f t="shared" ref="L796:L847" si="138">+IF(C796="","",((L795-(H796+I796+J796))+K796))</f>
        <v>119.30666666666666</v>
      </c>
      <c r="M796" s="40">
        <v>0</v>
      </c>
      <c r="N796" s="40">
        <v>0</v>
      </c>
      <c r="O796" s="40">
        <v>0</v>
      </c>
      <c r="P796" s="40">
        <v>0</v>
      </c>
      <c r="Q796" s="40">
        <v>0</v>
      </c>
      <c r="R796" s="40">
        <v>0</v>
      </c>
      <c r="S796" s="61">
        <f t="shared" si="134"/>
        <v>20.100000000000062</v>
      </c>
      <c r="T796" s="40">
        <v>0</v>
      </c>
      <c r="U796" s="40">
        <v>0</v>
      </c>
      <c r="V796" s="40">
        <v>0</v>
      </c>
      <c r="W796" s="40">
        <v>0</v>
      </c>
      <c r="X796" s="67">
        <f t="shared" si="135"/>
        <v>102</v>
      </c>
      <c r="Z796" s="71"/>
      <c r="AA796" s="71"/>
      <c r="AB796" s="67">
        <f t="shared" si="137"/>
        <v>0</v>
      </c>
      <c r="AD796" s="121"/>
      <c r="AE796" s="121"/>
    </row>
    <row r="797" spans="1:31" x14ac:dyDescent="0.25">
      <c r="A797" s="58" t="s">
        <v>1021</v>
      </c>
      <c r="B797" s="65">
        <v>0.33333333333333331</v>
      </c>
      <c r="C797" s="58">
        <v>3.5</v>
      </c>
      <c r="D797" s="10" t="s">
        <v>1024</v>
      </c>
      <c r="E797" s="40">
        <v>0</v>
      </c>
      <c r="F797" s="40">
        <v>2.5</v>
      </c>
      <c r="G797" s="40">
        <v>2</v>
      </c>
      <c r="H797" s="3">
        <f t="shared" si="132"/>
        <v>0</v>
      </c>
      <c r="I797" s="3">
        <f t="shared" si="136"/>
        <v>0.36458333333333337</v>
      </c>
      <c r="J797" s="3">
        <f t="shared" si="133"/>
        <v>0.29166666666666663</v>
      </c>
      <c r="K797" s="58"/>
      <c r="L797" s="60">
        <f t="shared" si="138"/>
        <v>118.65041666666666</v>
      </c>
      <c r="M797" s="40">
        <v>0</v>
      </c>
      <c r="N797" s="40">
        <v>0</v>
      </c>
      <c r="O797" s="40">
        <v>0</v>
      </c>
      <c r="P797" s="40">
        <v>0</v>
      </c>
      <c r="Q797" s="40">
        <v>0</v>
      </c>
      <c r="R797" s="40">
        <v>0</v>
      </c>
      <c r="S797" s="61">
        <f t="shared" si="134"/>
        <v>20.100000000000062</v>
      </c>
      <c r="T797" s="40">
        <v>0</v>
      </c>
      <c r="U797" s="40">
        <v>0</v>
      </c>
      <c r="V797" s="40">
        <v>3</v>
      </c>
      <c r="W797" s="40">
        <v>0</v>
      </c>
      <c r="X797" s="67">
        <f t="shared" si="135"/>
        <v>99</v>
      </c>
      <c r="Z797" s="71">
        <v>72</v>
      </c>
      <c r="AA797" s="71">
        <v>58</v>
      </c>
      <c r="AB797" s="67">
        <f t="shared" si="137"/>
        <v>130</v>
      </c>
      <c r="AD797" s="121"/>
      <c r="AE797" s="121"/>
    </row>
    <row r="798" spans="1:31" x14ac:dyDescent="0.25">
      <c r="A798" s="58" t="s">
        <v>1021</v>
      </c>
      <c r="B798" s="7">
        <v>0.875</v>
      </c>
      <c r="C798" s="58">
        <v>11.5</v>
      </c>
      <c r="D798" s="10" t="s">
        <v>1011</v>
      </c>
      <c r="E798" s="40">
        <v>0</v>
      </c>
      <c r="F798" s="40">
        <v>2.5</v>
      </c>
      <c r="G798" s="40">
        <v>2</v>
      </c>
      <c r="H798" s="3">
        <f t="shared" si="132"/>
        <v>0</v>
      </c>
      <c r="I798" s="3">
        <f t="shared" si="136"/>
        <v>1.1979166666666667</v>
      </c>
      <c r="J798" s="3">
        <f t="shared" si="133"/>
        <v>0.95833333333333326</v>
      </c>
      <c r="K798" s="58">
        <v>400</v>
      </c>
      <c r="L798" s="60">
        <f t="shared" si="138"/>
        <v>516.49416666666662</v>
      </c>
      <c r="M798" s="40">
        <v>0</v>
      </c>
      <c r="N798" s="40">
        <v>0</v>
      </c>
      <c r="O798" s="40">
        <v>0</v>
      </c>
      <c r="P798" s="40">
        <v>0</v>
      </c>
      <c r="Q798" s="40">
        <v>0</v>
      </c>
      <c r="R798" s="40">
        <v>80</v>
      </c>
      <c r="S798" s="61">
        <f t="shared" si="134"/>
        <v>100.10000000000007</v>
      </c>
      <c r="T798" s="40">
        <v>0</v>
      </c>
      <c r="U798" s="40">
        <v>0</v>
      </c>
      <c r="V798" s="40">
        <v>0</v>
      </c>
      <c r="W798" s="40">
        <v>0</v>
      </c>
      <c r="X798" s="67">
        <f t="shared" si="135"/>
        <v>99</v>
      </c>
      <c r="Z798" s="71"/>
      <c r="AA798" s="71"/>
      <c r="AB798" s="67">
        <f t="shared" si="137"/>
        <v>0</v>
      </c>
      <c r="AD798" s="121"/>
      <c r="AE798" s="121"/>
    </row>
    <row r="799" spans="1:31" x14ac:dyDescent="0.25">
      <c r="A799" s="58" t="s">
        <v>1021</v>
      </c>
      <c r="B799" s="7">
        <v>0.90833333333333333</v>
      </c>
      <c r="C799" s="58">
        <v>0.5</v>
      </c>
      <c r="D799" s="10" t="s">
        <v>616</v>
      </c>
      <c r="E799" s="40">
        <v>10</v>
      </c>
      <c r="F799" s="40">
        <v>2.5</v>
      </c>
      <c r="G799" s="40">
        <v>2</v>
      </c>
      <c r="H799" s="3">
        <f t="shared" si="132"/>
        <v>0.20833333333333334</v>
      </c>
      <c r="I799" s="3">
        <f t="shared" si="136"/>
        <v>5.2083333333333336E-2</v>
      </c>
      <c r="J799" s="3">
        <f t="shared" si="133"/>
        <v>4.1666666666666664E-2</v>
      </c>
      <c r="K799" s="58"/>
      <c r="L799" s="60">
        <f t="shared" si="138"/>
        <v>516.19208333333324</v>
      </c>
      <c r="M799" s="40">
        <v>0</v>
      </c>
      <c r="N799" s="40">
        <v>0</v>
      </c>
      <c r="O799" s="40">
        <v>0</v>
      </c>
      <c r="P799" s="40">
        <v>0</v>
      </c>
      <c r="Q799" s="40">
        <v>0</v>
      </c>
      <c r="R799" s="40">
        <v>0</v>
      </c>
      <c r="S799" s="61">
        <f t="shared" si="134"/>
        <v>100.10000000000007</v>
      </c>
      <c r="T799" s="40">
        <v>0</v>
      </c>
      <c r="U799" s="40">
        <v>0</v>
      </c>
      <c r="V799" s="40">
        <v>0</v>
      </c>
      <c r="W799" s="40">
        <v>0</v>
      </c>
      <c r="X799" s="67">
        <f t="shared" si="135"/>
        <v>99</v>
      </c>
      <c r="Z799" s="71"/>
      <c r="AA799" s="71"/>
      <c r="AB799" s="67">
        <f t="shared" si="137"/>
        <v>0</v>
      </c>
      <c r="AD799" s="121"/>
      <c r="AE799" s="121"/>
    </row>
    <row r="800" spans="1:31" x14ac:dyDescent="0.25">
      <c r="A800" s="58" t="s">
        <v>1025</v>
      </c>
      <c r="B800" s="65">
        <v>0.33333333333333331</v>
      </c>
      <c r="C800" s="58">
        <v>10.199999999999999</v>
      </c>
      <c r="D800" s="10" t="s">
        <v>351</v>
      </c>
      <c r="E800" s="40">
        <v>0</v>
      </c>
      <c r="F800" s="40">
        <v>2.5</v>
      </c>
      <c r="G800" s="40">
        <v>2</v>
      </c>
      <c r="H800" s="3">
        <f t="shared" si="132"/>
        <v>0</v>
      </c>
      <c r="I800" s="3">
        <f t="shared" si="136"/>
        <v>1.0625</v>
      </c>
      <c r="J800" s="3">
        <f t="shared" si="133"/>
        <v>0.84999999999999987</v>
      </c>
      <c r="K800" s="58"/>
      <c r="L800" s="60">
        <f t="shared" si="138"/>
        <v>514.27958333333322</v>
      </c>
      <c r="M800" s="40">
        <v>0</v>
      </c>
      <c r="N800" s="40">
        <v>0</v>
      </c>
      <c r="O800" s="40">
        <v>0</v>
      </c>
      <c r="P800" s="40">
        <v>0</v>
      </c>
      <c r="Q800" s="40">
        <v>0</v>
      </c>
      <c r="R800" s="40">
        <v>0</v>
      </c>
      <c r="S800" s="61">
        <f t="shared" si="134"/>
        <v>100.10000000000007</v>
      </c>
      <c r="T800" s="40">
        <v>0</v>
      </c>
      <c r="U800" s="40">
        <v>200</v>
      </c>
      <c r="V800" s="40">
        <v>6</v>
      </c>
      <c r="W800" s="40">
        <v>0</v>
      </c>
      <c r="X800" s="67">
        <f t="shared" si="135"/>
        <v>293</v>
      </c>
      <c r="Z800" s="71"/>
      <c r="AA800" s="71"/>
      <c r="AB800" s="67">
        <f t="shared" si="137"/>
        <v>0</v>
      </c>
      <c r="AD800" s="121"/>
      <c r="AE800" s="121"/>
    </row>
    <row r="801" spans="1:31" x14ac:dyDescent="0.25">
      <c r="A801" s="58" t="s">
        <v>1025</v>
      </c>
      <c r="B801" s="7">
        <v>0.75</v>
      </c>
      <c r="C801" s="58">
        <v>10.5</v>
      </c>
      <c r="D801" s="10" t="s">
        <v>1011</v>
      </c>
      <c r="E801" s="40">
        <v>0</v>
      </c>
      <c r="F801" s="40">
        <v>2.5</v>
      </c>
      <c r="G801" s="40">
        <v>2</v>
      </c>
      <c r="H801" s="3">
        <f t="shared" si="132"/>
        <v>0</v>
      </c>
      <c r="I801" s="3">
        <f t="shared" si="136"/>
        <v>1.09375</v>
      </c>
      <c r="J801" s="3">
        <f t="shared" si="133"/>
        <v>0.875</v>
      </c>
      <c r="K801" s="58"/>
      <c r="L801" s="60">
        <f t="shared" si="138"/>
        <v>512.31083333333322</v>
      </c>
      <c r="M801" s="40">
        <v>0</v>
      </c>
      <c r="N801" s="40">
        <v>0</v>
      </c>
      <c r="O801" s="40">
        <v>0</v>
      </c>
      <c r="P801" s="40">
        <v>0</v>
      </c>
      <c r="Q801" s="40">
        <v>0</v>
      </c>
      <c r="R801" s="40">
        <v>0</v>
      </c>
      <c r="S801" s="61">
        <f t="shared" si="134"/>
        <v>100.10000000000007</v>
      </c>
      <c r="T801" s="40">
        <v>0</v>
      </c>
      <c r="U801" s="40">
        <v>0</v>
      </c>
      <c r="V801" s="40">
        <v>2</v>
      </c>
      <c r="W801" s="40">
        <v>0</v>
      </c>
      <c r="X801" s="67">
        <f t="shared" si="135"/>
        <v>291</v>
      </c>
      <c r="Z801" s="71"/>
      <c r="AA801" s="71"/>
      <c r="AB801" s="67">
        <f t="shared" si="137"/>
        <v>0</v>
      </c>
      <c r="AD801" s="121"/>
      <c r="AE801" s="121"/>
    </row>
    <row r="802" spans="1:31" x14ac:dyDescent="0.25">
      <c r="A802" s="58" t="s">
        <v>1025</v>
      </c>
      <c r="B802" s="7">
        <v>0.77083333333333337</v>
      </c>
      <c r="C802" s="58">
        <v>0.5</v>
      </c>
      <c r="D802" s="10" t="s">
        <v>1026</v>
      </c>
      <c r="E802" s="40">
        <v>10</v>
      </c>
      <c r="F802" s="40">
        <v>2.5</v>
      </c>
      <c r="G802" s="40">
        <v>2</v>
      </c>
      <c r="H802" s="3">
        <f t="shared" si="132"/>
        <v>0.20833333333333334</v>
      </c>
      <c r="I802" s="3">
        <f t="shared" si="136"/>
        <v>5.2083333333333336E-2</v>
      </c>
      <c r="J802" s="3">
        <f t="shared" si="133"/>
        <v>4.1666666666666664E-2</v>
      </c>
      <c r="K802" s="58"/>
      <c r="L802" s="60">
        <f t="shared" si="138"/>
        <v>512.00874999999985</v>
      </c>
      <c r="M802" s="40">
        <v>0</v>
      </c>
      <c r="N802" s="40">
        <v>0</v>
      </c>
      <c r="O802" s="40">
        <v>0</v>
      </c>
      <c r="P802" s="40">
        <v>0</v>
      </c>
      <c r="Q802" s="40">
        <v>0</v>
      </c>
      <c r="R802" s="40">
        <v>0</v>
      </c>
      <c r="S802" s="61">
        <f t="shared" si="134"/>
        <v>100.10000000000007</v>
      </c>
      <c r="T802" s="40">
        <v>0</v>
      </c>
      <c r="U802" s="40">
        <v>0</v>
      </c>
      <c r="V802" s="40">
        <v>0</v>
      </c>
      <c r="W802" s="40">
        <v>0</v>
      </c>
      <c r="X802" s="67">
        <f t="shared" si="135"/>
        <v>291</v>
      </c>
      <c r="Z802" s="71"/>
      <c r="AA802" s="71"/>
      <c r="AB802" s="67">
        <f t="shared" si="137"/>
        <v>0</v>
      </c>
      <c r="AD802" s="121"/>
      <c r="AE802" s="121"/>
    </row>
    <row r="803" spans="1:31" x14ac:dyDescent="0.25">
      <c r="A803" s="58" t="s">
        <v>1027</v>
      </c>
      <c r="B803" s="65">
        <v>0.33333333333333331</v>
      </c>
      <c r="C803" s="58">
        <v>13.5</v>
      </c>
      <c r="D803" s="10" t="s">
        <v>355</v>
      </c>
      <c r="E803" s="40">
        <v>24</v>
      </c>
      <c r="F803" s="40">
        <v>2.5</v>
      </c>
      <c r="G803" s="40">
        <v>0</v>
      </c>
      <c r="H803" s="3">
        <f t="shared" si="132"/>
        <v>13.5</v>
      </c>
      <c r="I803" s="3">
        <f t="shared" si="136"/>
        <v>1.40625</v>
      </c>
      <c r="J803" s="3">
        <f t="shared" si="133"/>
        <v>0</v>
      </c>
      <c r="K803" s="58"/>
      <c r="L803" s="60">
        <f t="shared" si="138"/>
        <v>497.10249999999985</v>
      </c>
      <c r="M803" s="40">
        <v>0</v>
      </c>
      <c r="N803" s="40">
        <v>0</v>
      </c>
      <c r="O803" s="40">
        <v>0</v>
      </c>
      <c r="P803" s="40">
        <v>0</v>
      </c>
      <c r="Q803" s="40">
        <v>0</v>
      </c>
      <c r="R803" s="40">
        <v>0</v>
      </c>
      <c r="S803" s="61">
        <f t="shared" si="134"/>
        <v>100.10000000000007</v>
      </c>
      <c r="T803" s="40">
        <v>4</v>
      </c>
      <c r="U803" s="40">
        <v>0</v>
      </c>
      <c r="V803" s="40">
        <v>4</v>
      </c>
      <c r="W803" s="40">
        <v>0</v>
      </c>
      <c r="X803" s="67">
        <f t="shared" si="135"/>
        <v>291</v>
      </c>
      <c r="Z803" s="71"/>
      <c r="AA803" s="71"/>
      <c r="AB803" s="67">
        <f t="shared" si="137"/>
        <v>0</v>
      </c>
      <c r="AD803" s="121"/>
      <c r="AE803" s="121"/>
    </row>
    <row r="804" spans="1:31" x14ac:dyDescent="0.25">
      <c r="A804" s="58" t="s">
        <v>1027</v>
      </c>
      <c r="B804" s="7">
        <v>0.58333333333333337</v>
      </c>
      <c r="C804" s="58">
        <v>6</v>
      </c>
      <c r="D804" s="10" t="s">
        <v>201</v>
      </c>
      <c r="E804" s="40">
        <v>24</v>
      </c>
      <c r="F804" s="40">
        <v>2.5</v>
      </c>
      <c r="G804" s="40">
        <v>0</v>
      </c>
      <c r="H804" s="3">
        <f t="shared" si="132"/>
        <v>6</v>
      </c>
      <c r="I804" s="3">
        <f t="shared" si="136"/>
        <v>0.625</v>
      </c>
      <c r="J804" s="3">
        <f t="shared" si="133"/>
        <v>0</v>
      </c>
      <c r="K804" s="58"/>
      <c r="L804" s="60">
        <f t="shared" si="138"/>
        <v>490.47749999999985</v>
      </c>
      <c r="M804" s="40">
        <v>0</v>
      </c>
      <c r="N804" s="40">
        <v>0</v>
      </c>
      <c r="O804" s="40">
        <v>0</v>
      </c>
      <c r="P804" s="40">
        <v>0</v>
      </c>
      <c r="Q804" s="40">
        <v>0</v>
      </c>
      <c r="R804" s="40">
        <v>0</v>
      </c>
      <c r="S804" s="61">
        <f t="shared" si="134"/>
        <v>100.10000000000007</v>
      </c>
      <c r="T804" s="40">
        <v>2</v>
      </c>
      <c r="U804" s="40">
        <v>0</v>
      </c>
      <c r="V804" s="40">
        <v>3</v>
      </c>
      <c r="W804" s="40">
        <v>0</v>
      </c>
      <c r="X804" s="67">
        <f t="shared" si="135"/>
        <v>290</v>
      </c>
      <c r="Z804" s="71"/>
      <c r="AA804" s="71"/>
      <c r="AB804" s="67">
        <f t="shared" si="137"/>
        <v>0</v>
      </c>
      <c r="AD804" s="121">
        <v>13.5</v>
      </c>
      <c r="AE804" s="121" t="s">
        <v>1301</v>
      </c>
    </row>
    <row r="805" spans="1:31" x14ac:dyDescent="0.25">
      <c r="A805" s="58" t="s">
        <v>485</v>
      </c>
      <c r="B805" s="7">
        <v>0.60416666666666663</v>
      </c>
      <c r="C805" s="58">
        <v>0.5</v>
      </c>
      <c r="D805" s="10" t="s">
        <v>616</v>
      </c>
      <c r="E805" s="40">
        <v>10</v>
      </c>
      <c r="F805" s="40">
        <v>2.5</v>
      </c>
      <c r="G805" s="40">
        <v>2</v>
      </c>
      <c r="H805" s="3">
        <f t="shared" si="132"/>
        <v>0.20833333333333334</v>
      </c>
      <c r="I805" s="3">
        <f t="shared" si="136"/>
        <v>5.2083333333333336E-2</v>
      </c>
      <c r="J805" s="3">
        <f t="shared" si="133"/>
        <v>4.1666666666666664E-2</v>
      </c>
      <c r="K805" s="58"/>
      <c r="L805" s="60">
        <f t="shared" si="138"/>
        <v>490.17541666666654</v>
      </c>
      <c r="M805" s="40">
        <v>0</v>
      </c>
      <c r="N805" s="40">
        <v>0</v>
      </c>
      <c r="O805" s="40">
        <v>0</v>
      </c>
      <c r="P805" s="40">
        <v>0</v>
      </c>
      <c r="Q805" s="40">
        <v>0</v>
      </c>
      <c r="R805" s="40">
        <v>0</v>
      </c>
      <c r="S805" s="61">
        <f t="shared" si="134"/>
        <v>100.10000000000007</v>
      </c>
      <c r="T805" s="40">
        <v>0</v>
      </c>
      <c r="U805" s="40">
        <v>0</v>
      </c>
      <c r="V805" s="40">
        <v>0</v>
      </c>
      <c r="W805" s="40">
        <v>0</v>
      </c>
      <c r="X805" s="67">
        <f t="shared" si="135"/>
        <v>290</v>
      </c>
      <c r="Z805" s="71"/>
      <c r="AA805" s="71"/>
      <c r="AB805" s="67">
        <f t="shared" si="137"/>
        <v>0</v>
      </c>
      <c r="AD805" s="121"/>
      <c r="AE805" s="121"/>
    </row>
    <row r="806" spans="1:31" x14ac:dyDescent="0.25">
      <c r="A806" s="58" t="s">
        <v>876</v>
      </c>
      <c r="B806" s="65">
        <v>0.33333333333333331</v>
      </c>
      <c r="C806" s="58">
        <v>17.5</v>
      </c>
      <c r="D806" s="10" t="s">
        <v>1028</v>
      </c>
      <c r="E806" s="40">
        <v>0</v>
      </c>
      <c r="F806" s="40">
        <v>2.5</v>
      </c>
      <c r="G806" s="40">
        <v>2</v>
      </c>
      <c r="H806" s="3">
        <f t="shared" si="132"/>
        <v>0</v>
      </c>
      <c r="I806" s="3">
        <f t="shared" si="136"/>
        <v>1.8229166666666667</v>
      </c>
      <c r="J806" s="3">
        <f t="shared" si="133"/>
        <v>1.4583333333333333</v>
      </c>
      <c r="K806" s="58"/>
      <c r="L806" s="60">
        <f t="shared" si="138"/>
        <v>486.89416666666654</v>
      </c>
      <c r="M806" s="40">
        <v>0</v>
      </c>
      <c r="N806" s="40">
        <v>0</v>
      </c>
      <c r="O806" s="40">
        <v>0</v>
      </c>
      <c r="P806" s="40">
        <v>0</v>
      </c>
      <c r="Q806" s="40">
        <v>0</v>
      </c>
      <c r="R806" s="40">
        <v>0</v>
      </c>
      <c r="S806" s="61">
        <f t="shared" si="134"/>
        <v>100.10000000000007</v>
      </c>
      <c r="T806" s="40">
        <v>0</v>
      </c>
      <c r="U806" s="40">
        <v>0</v>
      </c>
      <c r="V806" s="40">
        <v>3</v>
      </c>
      <c r="W806" s="40">
        <v>0</v>
      </c>
      <c r="X806" s="67">
        <f t="shared" si="135"/>
        <v>287</v>
      </c>
      <c r="Z806" s="71">
        <v>128</v>
      </c>
      <c r="AA806" s="71">
        <v>63</v>
      </c>
      <c r="AB806" s="67">
        <f t="shared" si="137"/>
        <v>191</v>
      </c>
      <c r="AD806" s="121"/>
      <c r="AE806" s="121"/>
    </row>
    <row r="807" spans="1:31" x14ac:dyDescent="0.25">
      <c r="A807" s="58" t="s">
        <v>1029</v>
      </c>
      <c r="B807" s="65">
        <v>0.33333333333333331</v>
      </c>
      <c r="C807" s="58">
        <v>24</v>
      </c>
      <c r="D807" s="10" t="s">
        <v>1028</v>
      </c>
      <c r="E807" s="40">
        <v>0</v>
      </c>
      <c r="F807" s="40">
        <v>2.5</v>
      </c>
      <c r="G807" s="40">
        <v>2</v>
      </c>
      <c r="H807" s="3">
        <f t="shared" si="132"/>
        <v>0</v>
      </c>
      <c r="I807" s="3">
        <f t="shared" si="136"/>
        <v>2.5</v>
      </c>
      <c r="J807" s="3">
        <f t="shared" si="133"/>
        <v>2</v>
      </c>
      <c r="K807" s="58"/>
      <c r="L807" s="60">
        <f>+IF(C807="","",((L806-(H807+I807+J807))+K807))</f>
        <v>482.39416666666654</v>
      </c>
      <c r="M807" s="40">
        <v>0</v>
      </c>
      <c r="N807" s="40">
        <v>0</v>
      </c>
      <c r="O807" s="40">
        <v>0</v>
      </c>
      <c r="P807" s="40">
        <v>0</v>
      </c>
      <c r="Q807" s="40">
        <v>0</v>
      </c>
      <c r="R807" s="40">
        <v>0</v>
      </c>
      <c r="S807" s="61">
        <f t="shared" si="134"/>
        <v>100.10000000000007</v>
      </c>
      <c r="T807" s="40">
        <v>0</v>
      </c>
      <c r="U807" s="40">
        <v>0</v>
      </c>
      <c r="V807" s="40">
        <v>6</v>
      </c>
      <c r="W807" s="40">
        <v>0</v>
      </c>
      <c r="X807" s="67">
        <f t="shared" si="135"/>
        <v>281</v>
      </c>
      <c r="Z807" s="71"/>
      <c r="AA807" s="71"/>
      <c r="AB807" s="67">
        <f t="shared" si="137"/>
        <v>0</v>
      </c>
      <c r="AD807" s="121"/>
      <c r="AE807" s="121"/>
    </row>
    <row r="808" spans="1:31" x14ac:dyDescent="0.25">
      <c r="A808" s="58" t="s">
        <v>1029</v>
      </c>
      <c r="B808" s="7">
        <v>0.5708333333333333</v>
      </c>
      <c r="C808" s="58">
        <v>5.7</v>
      </c>
      <c r="D808" s="10" t="s">
        <v>1011</v>
      </c>
      <c r="E808" s="40">
        <v>0</v>
      </c>
      <c r="F808" s="40">
        <v>2.5</v>
      </c>
      <c r="G808" s="40">
        <v>2</v>
      </c>
      <c r="H808" s="3">
        <f t="shared" si="132"/>
        <v>0</v>
      </c>
      <c r="I808" s="3">
        <f t="shared" si="136"/>
        <v>0.59375</v>
      </c>
      <c r="J808" s="3">
        <f t="shared" si="133"/>
        <v>0.47499999999999998</v>
      </c>
      <c r="K808" s="58"/>
      <c r="L808" s="60">
        <f t="shared" si="138"/>
        <v>481.32541666666651</v>
      </c>
      <c r="M808" s="40">
        <v>0</v>
      </c>
      <c r="N808" s="40">
        <v>0</v>
      </c>
      <c r="O808" s="40">
        <v>0</v>
      </c>
      <c r="P808" s="40">
        <v>0</v>
      </c>
      <c r="Q808" s="40">
        <v>0</v>
      </c>
      <c r="R808" s="40">
        <v>0</v>
      </c>
      <c r="S808" s="61">
        <f t="shared" si="134"/>
        <v>100.10000000000007</v>
      </c>
      <c r="T808" s="40">
        <v>0</v>
      </c>
      <c r="U808" s="40">
        <v>0</v>
      </c>
      <c r="V808" s="40">
        <v>0</v>
      </c>
      <c r="W808" s="40">
        <v>0</v>
      </c>
      <c r="X808" s="67">
        <f t="shared" si="135"/>
        <v>281</v>
      </c>
      <c r="Z808" s="71"/>
      <c r="AA808" s="71"/>
      <c r="AB808" s="67">
        <f t="shared" si="137"/>
        <v>0</v>
      </c>
      <c r="AD808" s="121"/>
      <c r="AE808" s="121"/>
    </row>
    <row r="809" spans="1:31" x14ac:dyDescent="0.25">
      <c r="A809" s="58" t="s">
        <v>1029</v>
      </c>
      <c r="B809" s="7">
        <v>0.64166666666666672</v>
      </c>
      <c r="C809" s="58">
        <v>1.7</v>
      </c>
      <c r="D809" s="10" t="s">
        <v>616</v>
      </c>
      <c r="E809" s="40">
        <v>10</v>
      </c>
      <c r="F809" s="40">
        <v>2.5</v>
      </c>
      <c r="G809" s="40">
        <v>2</v>
      </c>
      <c r="H809" s="3">
        <f t="shared" si="132"/>
        <v>0.70833333333333337</v>
      </c>
      <c r="I809" s="3">
        <f t="shared" si="136"/>
        <v>0.17708333333333334</v>
      </c>
      <c r="J809" s="3">
        <f t="shared" si="133"/>
        <v>0.14166666666666666</v>
      </c>
      <c r="K809" s="58"/>
      <c r="L809" s="60">
        <f t="shared" si="138"/>
        <v>480.29833333333318</v>
      </c>
      <c r="M809" s="40">
        <v>0</v>
      </c>
      <c r="N809" s="40">
        <v>0</v>
      </c>
      <c r="O809" s="40">
        <v>0</v>
      </c>
      <c r="P809" s="40">
        <v>0</v>
      </c>
      <c r="Q809" s="40">
        <v>0</v>
      </c>
      <c r="R809" s="40">
        <v>0</v>
      </c>
      <c r="S809" s="61">
        <f t="shared" si="134"/>
        <v>100.10000000000007</v>
      </c>
      <c r="T809" s="40">
        <v>0</v>
      </c>
      <c r="U809" s="40">
        <v>0</v>
      </c>
      <c r="V809" s="40">
        <v>2</v>
      </c>
      <c r="W809" s="40">
        <v>0</v>
      </c>
      <c r="X809" s="67">
        <f t="shared" si="135"/>
        <v>279</v>
      </c>
      <c r="Z809" s="71"/>
      <c r="AA809" s="71"/>
      <c r="AB809" s="67">
        <f t="shared" si="137"/>
        <v>0</v>
      </c>
      <c r="AD809" s="121"/>
      <c r="AE809" s="121"/>
    </row>
    <row r="810" spans="1:31" x14ac:dyDescent="0.25">
      <c r="A810" s="58" t="s">
        <v>1029</v>
      </c>
      <c r="B810" s="7">
        <v>0.76666666666666661</v>
      </c>
      <c r="C810" s="58">
        <v>3</v>
      </c>
      <c r="D810" s="10" t="s">
        <v>1004</v>
      </c>
      <c r="E810" s="40">
        <v>0</v>
      </c>
      <c r="F810" s="40">
        <v>2.5</v>
      </c>
      <c r="G810" s="40">
        <v>2</v>
      </c>
      <c r="H810" s="3">
        <f t="shared" si="132"/>
        <v>0</v>
      </c>
      <c r="I810" s="3">
        <f t="shared" si="136"/>
        <v>0.3125</v>
      </c>
      <c r="J810" s="3">
        <f t="shared" si="133"/>
        <v>0.25</v>
      </c>
      <c r="K810" s="58"/>
      <c r="L810" s="60">
        <f t="shared" si="138"/>
        <v>479.73583333333318</v>
      </c>
      <c r="M810" s="40">
        <v>0</v>
      </c>
      <c r="N810" s="40">
        <v>0</v>
      </c>
      <c r="O810" s="40">
        <v>0</v>
      </c>
      <c r="P810" s="40">
        <v>0</v>
      </c>
      <c r="Q810" s="40">
        <v>0</v>
      </c>
      <c r="R810" s="40">
        <v>0</v>
      </c>
      <c r="S810" s="61">
        <f t="shared" si="134"/>
        <v>100.10000000000007</v>
      </c>
      <c r="T810" s="40">
        <v>0</v>
      </c>
      <c r="U810" s="40">
        <v>0</v>
      </c>
      <c r="V810" s="40">
        <v>0</v>
      </c>
      <c r="W810" s="40">
        <v>0</v>
      </c>
      <c r="X810" s="67">
        <f t="shared" si="135"/>
        <v>279</v>
      </c>
      <c r="Z810" s="71"/>
      <c r="AA810" s="71"/>
      <c r="AB810" s="67">
        <f t="shared" si="137"/>
        <v>0</v>
      </c>
      <c r="AD810" s="121"/>
      <c r="AE810" s="121"/>
    </row>
    <row r="811" spans="1:31" x14ac:dyDescent="0.25">
      <c r="A811" s="58" t="s">
        <v>1030</v>
      </c>
      <c r="B811" s="65">
        <v>0.33333333333333331</v>
      </c>
      <c r="C811" s="58">
        <v>13.6</v>
      </c>
      <c r="D811" s="10" t="s">
        <v>966</v>
      </c>
      <c r="E811" s="40">
        <v>0</v>
      </c>
      <c r="F811" s="40">
        <v>2.5</v>
      </c>
      <c r="G811" s="40">
        <v>2</v>
      </c>
      <c r="H811" s="3">
        <f t="shared" si="132"/>
        <v>0</v>
      </c>
      <c r="I811" s="3">
        <f t="shared" si="136"/>
        <v>1.4166666666666667</v>
      </c>
      <c r="J811" s="3">
        <f t="shared" si="133"/>
        <v>1.1333333333333333</v>
      </c>
      <c r="K811" s="58"/>
      <c r="L811" s="60">
        <f t="shared" si="138"/>
        <v>477.18583333333316</v>
      </c>
      <c r="M811" s="40">
        <v>0</v>
      </c>
      <c r="N811" s="40">
        <v>0</v>
      </c>
      <c r="O811" s="40">
        <v>0</v>
      </c>
      <c r="P811" s="40">
        <v>0</v>
      </c>
      <c r="Q811" s="40">
        <v>3.4</v>
      </c>
      <c r="R811" s="40">
        <v>0</v>
      </c>
      <c r="S811" s="61">
        <f t="shared" si="134"/>
        <v>96.70000000000006</v>
      </c>
      <c r="T811" s="40">
        <v>0</v>
      </c>
      <c r="U811" s="40">
        <v>0</v>
      </c>
      <c r="V811" s="40">
        <v>4</v>
      </c>
      <c r="W811" s="40">
        <v>0</v>
      </c>
      <c r="X811" s="67">
        <f t="shared" si="135"/>
        <v>275</v>
      </c>
      <c r="Z811" s="71">
        <v>116</v>
      </c>
      <c r="AA811" s="71">
        <v>58</v>
      </c>
      <c r="AB811" s="67">
        <f t="shared" si="137"/>
        <v>174</v>
      </c>
      <c r="AD811" s="121"/>
      <c r="AE811" s="121"/>
    </row>
    <row r="812" spans="1:31" x14ac:dyDescent="0.25">
      <c r="A812" s="58" t="s">
        <v>1030</v>
      </c>
      <c r="B812" s="7">
        <v>0.4291666666666667</v>
      </c>
      <c r="C812" s="58">
        <v>2.2999999999999998</v>
      </c>
      <c r="D812" s="10" t="s">
        <v>265</v>
      </c>
      <c r="E812" s="40">
        <v>0</v>
      </c>
      <c r="F812" s="40">
        <v>2.5</v>
      </c>
      <c r="G812" s="40">
        <v>2</v>
      </c>
      <c r="H812" s="3">
        <f t="shared" si="132"/>
        <v>0</v>
      </c>
      <c r="I812" s="3">
        <f t="shared" si="136"/>
        <v>0.23958333333333331</v>
      </c>
      <c r="J812" s="3">
        <f t="shared" si="133"/>
        <v>0.19166666666666665</v>
      </c>
      <c r="K812" s="58"/>
      <c r="L812" s="60">
        <f t="shared" si="138"/>
        <v>476.75458333333319</v>
      </c>
      <c r="M812" s="40">
        <v>0</v>
      </c>
      <c r="N812" s="40">
        <v>0</v>
      </c>
      <c r="O812" s="40">
        <v>0</v>
      </c>
      <c r="P812" s="40">
        <v>0</v>
      </c>
      <c r="Q812" s="40">
        <v>0.6</v>
      </c>
      <c r="R812" s="40">
        <v>0</v>
      </c>
      <c r="S812" s="61">
        <f t="shared" si="134"/>
        <v>96.100000000000065</v>
      </c>
      <c r="T812" s="40">
        <v>0</v>
      </c>
      <c r="U812" s="40">
        <v>0</v>
      </c>
      <c r="V812" s="40">
        <v>2</v>
      </c>
      <c r="W812" s="40">
        <v>0</v>
      </c>
      <c r="X812" s="67">
        <f t="shared" si="135"/>
        <v>273</v>
      </c>
      <c r="Z812" s="71"/>
      <c r="AA812" s="71"/>
      <c r="AB812" s="67">
        <f t="shared" si="137"/>
        <v>0</v>
      </c>
      <c r="AD812" s="121"/>
      <c r="AE812" s="121"/>
    </row>
    <row r="813" spans="1:31" x14ac:dyDescent="0.25">
      <c r="A813" s="58" t="s">
        <v>1030</v>
      </c>
      <c r="B813" s="7">
        <v>0.5708333333333333</v>
      </c>
      <c r="C813" s="58">
        <v>3.4</v>
      </c>
      <c r="D813" s="10" t="s">
        <v>1011</v>
      </c>
      <c r="E813" s="40">
        <v>0</v>
      </c>
      <c r="F813" s="40">
        <v>2.5</v>
      </c>
      <c r="G813" s="40">
        <v>2</v>
      </c>
      <c r="H813" s="3">
        <f t="shared" si="132"/>
        <v>0</v>
      </c>
      <c r="I813" s="3">
        <f t="shared" si="136"/>
        <v>0.35416666666666669</v>
      </c>
      <c r="J813" s="3">
        <f t="shared" si="133"/>
        <v>0.28333333333333333</v>
      </c>
      <c r="K813" s="58"/>
      <c r="L813" s="60">
        <f t="shared" si="138"/>
        <v>476.1170833333332</v>
      </c>
      <c r="M813" s="40">
        <v>0</v>
      </c>
      <c r="N813" s="40">
        <v>0</v>
      </c>
      <c r="O813" s="40">
        <v>0</v>
      </c>
      <c r="P813" s="40">
        <v>0</v>
      </c>
      <c r="Q813" s="40">
        <v>0</v>
      </c>
      <c r="R813" s="40">
        <v>0</v>
      </c>
      <c r="S813" s="61">
        <f t="shared" si="134"/>
        <v>96.100000000000065</v>
      </c>
      <c r="T813" s="40">
        <v>0</v>
      </c>
      <c r="U813" s="40">
        <v>0</v>
      </c>
      <c r="V813" s="40">
        <v>0</v>
      </c>
      <c r="W813" s="40">
        <v>0</v>
      </c>
      <c r="X813" s="67">
        <f t="shared" si="135"/>
        <v>273</v>
      </c>
      <c r="Z813" s="71"/>
      <c r="AA813" s="71"/>
      <c r="AB813" s="67">
        <f t="shared" si="137"/>
        <v>0</v>
      </c>
      <c r="AD813" s="121"/>
      <c r="AE813" s="121"/>
    </row>
    <row r="814" spans="1:31" x14ac:dyDescent="0.25">
      <c r="A814" s="58" t="s">
        <v>1030</v>
      </c>
      <c r="B814" s="7">
        <v>0.60416666666666663</v>
      </c>
      <c r="C814" s="58">
        <v>0.8</v>
      </c>
      <c r="D814" s="10" t="s">
        <v>1022</v>
      </c>
      <c r="E814" s="40">
        <v>5</v>
      </c>
      <c r="F814" s="40">
        <v>2.5</v>
      </c>
      <c r="G814" s="40">
        <v>2</v>
      </c>
      <c r="H814" s="3">
        <f t="shared" si="132"/>
        <v>0.16666666666666669</v>
      </c>
      <c r="I814" s="3">
        <f t="shared" si="136"/>
        <v>8.3333333333333343E-2</v>
      </c>
      <c r="J814" s="3">
        <f t="shared" si="133"/>
        <v>6.6666666666666666E-2</v>
      </c>
      <c r="K814" s="58"/>
      <c r="L814" s="60">
        <f t="shared" si="138"/>
        <v>475.80041666666654</v>
      </c>
      <c r="M814" s="40">
        <v>0</v>
      </c>
      <c r="N814" s="40">
        <v>0</v>
      </c>
      <c r="O814" s="40">
        <v>0</v>
      </c>
      <c r="P814" s="40">
        <v>0</v>
      </c>
      <c r="Q814" s="40">
        <v>0</v>
      </c>
      <c r="R814" s="40">
        <v>0</v>
      </c>
      <c r="S814" s="61">
        <f t="shared" si="134"/>
        <v>96.100000000000065</v>
      </c>
      <c r="T814" s="40">
        <v>0</v>
      </c>
      <c r="U814" s="40">
        <v>0</v>
      </c>
      <c r="V814" s="40">
        <v>0</v>
      </c>
      <c r="W814" s="40">
        <v>0</v>
      </c>
      <c r="X814" s="67">
        <f t="shared" si="135"/>
        <v>273</v>
      </c>
      <c r="Z814" s="71"/>
      <c r="AA814" s="71"/>
      <c r="AB814" s="67">
        <f t="shared" si="137"/>
        <v>0</v>
      </c>
      <c r="AD814" s="121"/>
      <c r="AE814" s="121"/>
    </row>
    <row r="815" spans="1:31" x14ac:dyDescent="0.25">
      <c r="A815" s="58" t="s">
        <v>1030</v>
      </c>
      <c r="B815" s="7">
        <v>0.82500000000000007</v>
      </c>
      <c r="C815" s="58">
        <v>5.3</v>
      </c>
      <c r="D815" s="10" t="s">
        <v>201</v>
      </c>
      <c r="E815" s="40">
        <v>20</v>
      </c>
      <c r="F815" s="40">
        <v>2.5</v>
      </c>
      <c r="G815" s="40">
        <v>0</v>
      </c>
      <c r="H815" s="3">
        <f t="shared" si="132"/>
        <v>4.416666666666667</v>
      </c>
      <c r="I815" s="3">
        <f t="shared" si="136"/>
        <v>0.55208333333333337</v>
      </c>
      <c r="J815" s="3">
        <f t="shared" si="133"/>
        <v>0</v>
      </c>
      <c r="K815" s="58"/>
      <c r="L815" s="60">
        <f t="shared" si="138"/>
        <v>470.83166666666654</v>
      </c>
      <c r="M815" s="40">
        <v>0</v>
      </c>
      <c r="N815" s="40">
        <v>0</v>
      </c>
      <c r="O815" s="40">
        <v>0</v>
      </c>
      <c r="P815" s="40">
        <v>0</v>
      </c>
      <c r="Q815" s="40">
        <v>0</v>
      </c>
      <c r="R815" s="40">
        <v>0</v>
      </c>
      <c r="S815" s="61">
        <f t="shared" si="134"/>
        <v>96.100000000000065</v>
      </c>
      <c r="T815" s="40">
        <v>0</v>
      </c>
      <c r="U815" s="40">
        <v>0</v>
      </c>
      <c r="V815" s="40">
        <v>2</v>
      </c>
      <c r="W815" s="40">
        <v>0</v>
      </c>
      <c r="X815" s="67">
        <f t="shared" si="135"/>
        <v>271</v>
      </c>
      <c r="Z815" s="71"/>
      <c r="AA815" s="71"/>
      <c r="AB815" s="67">
        <f t="shared" si="137"/>
        <v>0</v>
      </c>
      <c r="AD815" s="121">
        <v>12.6</v>
      </c>
      <c r="AE815" s="121" t="s">
        <v>1301</v>
      </c>
    </row>
    <row r="816" spans="1:31" x14ac:dyDescent="0.25">
      <c r="A816" s="58" t="s">
        <v>1030</v>
      </c>
      <c r="B816" s="7">
        <v>0.9291666666666667</v>
      </c>
      <c r="C816" s="58">
        <v>2.5</v>
      </c>
      <c r="D816" s="10" t="s">
        <v>1011</v>
      </c>
      <c r="E816" s="40">
        <v>0</v>
      </c>
      <c r="F816" s="40">
        <v>2.5</v>
      </c>
      <c r="G816" s="40">
        <v>2</v>
      </c>
      <c r="H816" s="3">
        <f t="shared" si="132"/>
        <v>0</v>
      </c>
      <c r="I816" s="3">
        <f t="shared" si="136"/>
        <v>0.26041666666666669</v>
      </c>
      <c r="J816" s="3">
        <f t="shared" si="133"/>
        <v>0.20833333333333331</v>
      </c>
      <c r="K816" s="58"/>
      <c r="L816" s="60">
        <f t="shared" si="138"/>
        <v>470.36291666666654</v>
      </c>
      <c r="M816" s="40">
        <v>0</v>
      </c>
      <c r="N816" s="40">
        <v>0</v>
      </c>
      <c r="O816" s="40">
        <v>0</v>
      </c>
      <c r="P816" s="40">
        <v>0</v>
      </c>
      <c r="Q816" s="40">
        <v>0</v>
      </c>
      <c r="R816" s="40">
        <v>0</v>
      </c>
      <c r="S816" s="61">
        <f t="shared" si="134"/>
        <v>96.100000000000065</v>
      </c>
      <c r="T816" s="40">
        <v>0</v>
      </c>
      <c r="U816" s="40">
        <v>0</v>
      </c>
      <c r="V816" s="40">
        <v>0</v>
      </c>
      <c r="W816" s="40">
        <v>0</v>
      </c>
      <c r="X816" s="67">
        <f t="shared" si="135"/>
        <v>271</v>
      </c>
      <c r="Z816" s="71"/>
      <c r="AA816" s="71"/>
      <c r="AB816" s="67">
        <f t="shared" si="137"/>
        <v>0</v>
      </c>
      <c r="AD816" s="121"/>
      <c r="AE816" s="121"/>
    </row>
    <row r="817" spans="1:31" x14ac:dyDescent="0.25">
      <c r="A817" s="58" t="s">
        <v>1031</v>
      </c>
      <c r="B817" s="7">
        <v>8.3333333333333332E-3</v>
      </c>
      <c r="C817" s="58">
        <v>1.7</v>
      </c>
      <c r="D817" s="10" t="s">
        <v>616</v>
      </c>
      <c r="E817" s="40">
        <v>5</v>
      </c>
      <c r="F817" s="40">
        <v>2.5</v>
      </c>
      <c r="G817" s="40">
        <v>2</v>
      </c>
      <c r="H817" s="3">
        <f t="shared" si="132"/>
        <v>0.35416666666666669</v>
      </c>
      <c r="I817" s="3">
        <f t="shared" si="136"/>
        <v>0.17708333333333334</v>
      </c>
      <c r="J817" s="3">
        <f t="shared" si="133"/>
        <v>0.14166666666666666</v>
      </c>
      <c r="K817" s="58"/>
      <c r="L817" s="60">
        <f t="shared" si="138"/>
        <v>469.68999999999988</v>
      </c>
      <c r="M817" s="40">
        <v>0</v>
      </c>
      <c r="N817" s="40">
        <v>0</v>
      </c>
      <c r="O817" s="40">
        <v>0</v>
      </c>
      <c r="P817" s="40">
        <v>0</v>
      </c>
      <c r="Q817" s="40">
        <v>0</v>
      </c>
      <c r="R817" s="40">
        <v>0</v>
      </c>
      <c r="S817" s="61">
        <f t="shared" si="134"/>
        <v>96.100000000000065</v>
      </c>
      <c r="T817" s="40">
        <v>0</v>
      </c>
      <c r="U817" s="40">
        <v>0</v>
      </c>
      <c r="V817" s="40">
        <v>0</v>
      </c>
      <c r="W817" s="40">
        <v>0</v>
      </c>
      <c r="X817" s="67">
        <f t="shared" si="135"/>
        <v>271</v>
      </c>
      <c r="Z817" s="71"/>
      <c r="AA817" s="71"/>
      <c r="AB817" s="67">
        <f t="shared" si="137"/>
        <v>0</v>
      </c>
      <c r="AD817" s="121"/>
      <c r="AE817" s="121"/>
    </row>
    <row r="818" spans="1:31" x14ac:dyDescent="0.25">
      <c r="A818" s="58" t="s">
        <v>1031</v>
      </c>
      <c r="B818" s="65">
        <v>0.33333333333333331</v>
      </c>
      <c r="C818" s="58">
        <v>7.8</v>
      </c>
      <c r="D818" s="10" t="s">
        <v>966</v>
      </c>
      <c r="E818" s="40">
        <v>0</v>
      </c>
      <c r="F818" s="40">
        <v>2.5</v>
      </c>
      <c r="G818" s="40">
        <v>2</v>
      </c>
      <c r="H818" s="3">
        <f t="shared" si="132"/>
        <v>0</v>
      </c>
      <c r="I818" s="3">
        <f t="shared" si="136"/>
        <v>0.8125</v>
      </c>
      <c r="J818" s="3">
        <f t="shared" si="133"/>
        <v>0.64999999999999991</v>
      </c>
      <c r="K818" s="58"/>
      <c r="L818" s="60">
        <f t="shared" si="138"/>
        <v>468.22749999999991</v>
      </c>
      <c r="M818" s="40">
        <v>0</v>
      </c>
      <c r="N818" s="40">
        <v>0</v>
      </c>
      <c r="O818" s="40">
        <v>0</v>
      </c>
      <c r="P818" s="40">
        <v>0</v>
      </c>
      <c r="Q818" s="40">
        <v>2</v>
      </c>
      <c r="R818" s="40">
        <v>0</v>
      </c>
      <c r="S818" s="61">
        <f t="shared" si="134"/>
        <v>94.100000000000065</v>
      </c>
      <c r="T818" s="40">
        <v>0</v>
      </c>
      <c r="U818" s="40">
        <v>0</v>
      </c>
      <c r="V818" s="40">
        <v>2</v>
      </c>
      <c r="W818" s="40">
        <v>0</v>
      </c>
      <c r="X818" s="67">
        <f t="shared" si="135"/>
        <v>269</v>
      </c>
      <c r="Z818" s="71"/>
      <c r="AA818" s="71"/>
      <c r="AB818" s="67">
        <f t="shared" si="137"/>
        <v>0</v>
      </c>
      <c r="AD818" s="121"/>
      <c r="AE818" s="121"/>
    </row>
    <row r="819" spans="1:31" x14ac:dyDescent="0.25">
      <c r="A819" s="58" t="s">
        <v>1031</v>
      </c>
      <c r="B819" s="7">
        <v>0.47916666666666669</v>
      </c>
      <c r="C819" s="58">
        <v>3.5</v>
      </c>
      <c r="D819" s="10" t="s">
        <v>265</v>
      </c>
      <c r="E819" s="40">
        <v>0</v>
      </c>
      <c r="F819" s="40">
        <v>2.5</v>
      </c>
      <c r="G819" s="40">
        <v>2</v>
      </c>
      <c r="H819" s="3">
        <f t="shared" si="132"/>
        <v>0</v>
      </c>
      <c r="I819" s="3">
        <f t="shared" si="136"/>
        <v>0.36458333333333337</v>
      </c>
      <c r="J819" s="3">
        <f t="shared" si="133"/>
        <v>0.29166666666666663</v>
      </c>
      <c r="K819" s="58"/>
      <c r="L819" s="60">
        <f t="shared" si="138"/>
        <v>467.57124999999991</v>
      </c>
      <c r="M819" s="40">
        <v>0</v>
      </c>
      <c r="N819" s="40">
        <v>0</v>
      </c>
      <c r="O819" s="40">
        <v>0</v>
      </c>
      <c r="P819" s="40">
        <v>0</v>
      </c>
      <c r="Q819" s="40">
        <v>0.3</v>
      </c>
      <c r="R819" s="40">
        <v>0</v>
      </c>
      <c r="S819" s="61">
        <f t="shared" si="134"/>
        <v>93.800000000000068</v>
      </c>
      <c r="T819" s="40">
        <v>0</v>
      </c>
      <c r="U819" s="40">
        <v>0</v>
      </c>
      <c r="V819" s="40">
        <v>0</v>
      </c>
      <c r="W819" s="40">
        <v>0</v>
      </c>
      <c r="X819" s="67">
        <f t="shared" si="135"/>
        <v>269</v>
      </c>
      <c r="Z819" s="71"/>
      <c r="AA819" s="71"/>
      <c r="AB819" s="67">
        <f t="shared" si="137"/>
        <v>0</v>
      </c>
      <c r="AD819" s="121"/>
      <c r="AE819" s="121"/>
    </row>
    <row r="820" spans="1:31" x14ac:dyDescent="0.25">
      <c r="A820" s="58" t="s">
        <v>1031</v>
      </c>
      <c r="B820" s="7">
        <v>0.62916666666666665</v>
      </c>
      <c r="C820" s="58">
        <v>3.6</v>
      </c>
      <c r="D820" s="10" t="s">
        <v>1011</v>
      </c>
      <c r="E820" s="40">
        <v>0</v>
      </c>
      <c r="F820" s="40">
        <v>2.5</v>
      </c>
      <c r="G820" s="40">
        <v>2</v>
      </c>
      <c r="H820" s="3">
        <f t="shared" si="132"/>
        <v>0</v>
      </c>
      <c r="I820" s="3">
        <f t="shared" si="136"/>
        <v>0.375</v>
      </c>
      <c r="J820" s="3">
        <f t="shared" si="133"/>
        <v>0.3</v>
      </c>
      <c r="K820" s="58"/>
      <c r="L820" s="60">
        <f t="shared" si="138"/>
        <v>466.8962499999999</v>
      </c>
      <c r="M820" s="40">
        <v>0</v>
      </c>
      <c r="N820" s="40">
        <v>0</v>
      </c>
      <c r="O820" s="40">
        <v>0</v>
      </c>
      <c r="P820" s="40">
        <v>0</v>
      </c>
      <c r="Q820" s="40">
        <v>0</v>
      </c>
      <c r="R820" s="40">
        <v>0</v>
      </c>
      <c r="S820" s="61">
        <f t="shared" si="134"/>
        <v>93.800000000000068</v>
      </c>
      <c r="T820" s="40">
        <v>0</v>
      </c>
      <c r="U820" s="40">
        <v>0</v>
      </c>
      <c r="V820" s="40">
        <v>0</v>
      </c>
      <c r="W820" s="40">
        <v>0</v>
      </c>
      <c r="X820" s="67">
        <f t="shared" si="135"/>
        <v>269</v>
      </c>
      <c r="Z820" s="71"/>
      <c r="AA820" s="71"/>
      <c r="AB820" s="67">
        <f t="shared" si="137"/>
        <v>0</v>
      </c>
      <c r="AD820" s="121"/>
      <c r="AE820" s="121"/>
    </row>
    <row r="821" spans="1:31" x14ac:dyDescent="0.25">
      <c r="A821" s="58" t="s">
        <v>1031</v>
      </c>
      <c r="B821" s="7">
        <v>0.67083333333333339</v>
      </c>
      <c r="C821" s="58">
        <v>1</v>
      </c>
      <c r="D821" s="10" t="s">
        <v>1022</v>
      </c>
      <c r="E821" s="40">
        <v>5</v>
      </c>
      <c r="F821" s="40">
        <v>2.5</v>
      </c>
      <c r="G821" s="40">
        <v>2</v>
      </c>
      <c r="H821" s="3">
        <f t="shared" si="132"/>
        <v>0.20833333333333334</v>
      </c>
      <c r="I821" s="3">
        <f t="shared" si="136"/>
        <v>0.10416666666666667</v>
      </c>
      <c r="J821" s="3">
        <f t="shared" si="133"/>
        <v>8.3333333333333329E-2</v>
      </c>
      <c r="K821" s="58"/>
      <c r="L821" s="60">
        <f t="shared" si="138"/>
        <v>466.50041666666658</v>
      </c>
      <c r="M821" s="40">
        <v>0</v>
      </c>
      <c r="N821" s="40">
        <v>0</v>
      </c>
      <c r="O821" s="40">
        <v>0</v>
      </c>
      <c r="P821" s="40">
        <v>0</v>
      </c>
      <c r="Q821" s="40">
        <v>0</v>
      </c>
      <c r="R821" s="40">
        <v>0</v>
      </c>
      <c r="S821" s="61">
        <f t="shared" si="134"/>
        <v>93.800000000000068</v>
      </c>
      <c r="T821" s="40">
        <v>0</v>
      </c>
      <c r="U821" s="40">
        <v>0</v>
      </c>
      <c r="V821" s="40">
        <v>0</v>
      </c>
      <c r="W821" s="40">
        <v>0</v>
      </c>
      <c r="X821" s="67">
        <f t="shared" si="135"/>
        <v>269</v>
      </c>
      <c r="Z821" s="71"/>
      <c r="AA821" s="71"/>
      <c r="AB821" s="67">
        <f t="shared" si="137"/>
        <v>0</v>
      </c>
      <c r="AD821" s="121"/>
      <c r="AE821" s="121"/>
    </row>
    <row r="822" spans="1:31" x14ac:dyDescent="0.25">
      <c r="A822" s="58"/>
      <c r="B822" s="7"/>
      <c r="C822" s="58"/>
      <c r="D822" s="10"/>
      <c r="E822" s="40"/>
      <c r="F822" s="40"/>
      <c r="G822" s="40"/>
      <c r="H822" s="3"/>
      <c r="I822" s="3"/>
      <c r="J822" s="3"/>
      <c r="K822" s="58"/>
      <c r="L822" s="60"/>
      <c r="M822" s="40"/>
      <c r="N822" s="40"/>
      <c r="O822" s="40"/>
      <c r="P822" s="40"/>
      <c r="Q822" s="40"/>
      <c r="R822" s="40"/>
      <c r="S822" s="61"/>
      <c r="T822" s="40"/>
      <c r="U822" s="40"/>
      <c r="V822" s="40"/>
      <c r="W822" s="40"/>
      <c r="X822" s="67"/>
      <c r="Z822" s="71"/>
      <c r="AA822" s="71"/>
      <c r="AB822" s="67"/>
      <c r="AD822" s="121"/>
      <c r="AE822" s="121"/>
    </row>
    <row r="823" spans="1:31" x14ac:dyDescent="0.25">
      <c r="A823" s="9" t="s">
        <v>1032</v>
      </c>
      <c r="B823" s="65">
        <v>0.33333333333333331</v>
      </c>
      <c r="C823" s="58">
        <v>15.9</v>
      </c>
      <c r="D823" s="10" t="s">
        <v>355</v>
      </c>
      <c r="E823" s="40">
        <v>20.8</v>
      </c>
      <c r="F823" s="40">
        <v>2.5</v>
      </c>
      <c r="G823" s="40">
        <v>0</v>
      </c>
      <c r="H823" s="3">
        <f t="shared" ref="H823:H847" si="139">+IF(E823="","",(E823/24)*C823)</f>
        <v>13.780000000000001</v>
      </c>
      <c r="I823" s="3">
        <f t="shared" si="136"/>
        <v>1.65625</v>
      </c>
      <c r="J823" s="3">
        <f t="shared" ref="J823:J847" si="140">+IF(G823="","",(G823/24)*C823)</f>
        <v>0</v>
      </c>
      <c r="K823" s="58"/>
      <c r="L823" s="60">
        <f>+IF(C823="","",((L821-(H823+I823+J823))+K823))</f>
        <v>451.06416666666655</v>
      </c>
      <c r="M823" s="40">
        <v>0</v>
      </c>
      <c r="N823" s="40">
        <v>0</v>
      </c>
      <c r="O823" s="40">
        <v>0</v>
      </c>
      <c r="P823" s="40">
        <v>0</v>
      </c>
      <c r="Q823" s="40">
        <v>0</v>
      </c>
      <c r="R823" s="40">
        <v>0</v>
      </c>
      <c r="S823" s="61">
        <f>IF(C823="","",(S821+R823)-(M823+N823+O823+P823+Q823))</f>
        <v>93.800000000000068</v>
      </c>
      <c r="T823" s="40">
        <v>3</v>
      </c>
      <c r="U823" s="40">
        <v>0</v>
      </c>
      <c r="V823" s="40">
        <v>4</v>
      </c>
      <c r="W823" s="40">
        <v>0</v>
      </c>
      <c r="X823" s="67">
        <f>IF(V823="","",((X821+T823+U823)-(V823+W823)))</f>
        <v>268</v>
      </c>
      <c r="Z823" s="71">
        <v>104</v>
      </c>
      <c r="AA823" s="71">
        <v>69</v>
      </c>
      <c r="AB823" s="67">
        <f t="shared" si="137"/>
        <v>173</v>
      </c>
      <c r="AD823" s="121"/>
      <c r="AE823" s="121"/>
    </row>
    <row r="824" spans="1:31" x14ac:dyDescent="0.25">
      <c r="A824" s="58" t="s">
        <v>1032</v>
      </c>
      <c r="B824" s="7">
        <v>0.38750000000000001</v>
      </c>
      <c r="C824" s="58">
        <v>1.3</v>
      </c>
      <c r="D824" s="10" t="s">
        <v>201</v>
      </c>
      <c r="E824" s="40">
        <v>21</v>
      </c>
      <c r="F824" s="40">
        <v>2.5</v>
      </c>
      <c r="G824" s="40">
        <v>0</v>
      </c>
      <c r="H824" s="3">
        <f t="shared" si="139"/>
        <v>1.1375</v>
      </c>
      <c r="I824" s="3">
        <f t="shared" si="136"/>
        <v>0.13541666666666669</v>
      </c>
      <c r="J824" s="3">
        <f t="shared" si="140"/>
        <v>0</v>
      </c>
      <c r="K824" s="58"/>
      <c r="L824" s="60">
        <f t="shared" si="138"/>
        <v>449.79124999999988</v>
      </c>
      <c r="M824" s="40">
        <v>0</v>
      </c>
      <c r="N824" s="40">
        <v>0</v>
      </c>
      <c r="O824" s="40">
        <v>0</v>
      </c>
      <c r="P824" s="40">
        <v>0</v>
      </c>
      <c r="Q824" s="40">
        <v>0</v>
      </c>
      <c r="R824" s="40">
        <v>0</v>
      </c>
      <c r="S824" s="61">
        <f t="shared" si="134"/>
        <v>93.800000000000068</v>
      </c>
      <c r="T824" s="40">
        <v>0</v>
      </c>
      <c r="U824" s="40">
        <v>0</v>
      </c>
      <c r="V824" s="40">
        <v>0</v>
      </c>
      <c r="W824" s="40">
        <v>0</v>
      </c>
      <c r="X824" s="67">
        <f t="shared" si="135"/>
        <v>268</v>
      </c>
      <c r="Z824" s="71"/>
      <c r="AA824" s="71"/>
      <c r="AB824" s="67">
        <f t="shared" si="137"/>
        <v>0</v>
      </c>
      <c r="AD824" s="121">
        <v>11.8</v>
      </c>
      <c r="AE824" s="121" t="s">
        <v>1301</v>
      </c>
    </row>
    <row r="825" spans="1:31" x14ac:dyDescent="0.25">
      <c r="A825" s="58" t="s">
        <v>1032</v>
      </c>
      <c r="B825" s="7">
        <v>0.39999999999999997</v>
      </c>
      <c r="C825" s="58">
        <v>0.3</v>
      </c>
      <c r="D825" s="10" t="s">
        <v>616</v>
      </c>
      <c r="E825" s="40">
        <v>5</v>
      </c>
      <c r="F825" s="40">
        <v>2.5</v>
      </c>
      <c r="G825" s="40">
        <v>2</v>
      </c>
      <c r="H825" s="3">
        <f t="shared" si="139"/>
        <v>6.25E-2</v>
      </c>
      <c r="I825" s="3">
        <f t="shared" si="136"/>
        <v>3.125E-2</v>
      </c>
      <c r="J825" s="3">
        <f t="shared" si="140"/>
        <v>2.4999999999999998E-2</v>
      </c>
      <c r="K825" s="58"/>
      <c r="L825" s="60">
        <f t="shared" si="138"/>
        <v>449.6724999999999</v>
      </c>
      <c r="M825" s="40">
        <v>0</v>
      </c>
      <c r="N825" s="40">
        <v>0</v>
      </c>
      <c r="O825" s="40">
        <v>0</v>
      </c>
      <c r="P825" s="40">
        <v>0</v>
      </c>
      <c r="Q825" s="40">
        <v>0</v>
      </c>
      <c r="R825" s="40">
        <v>0</v>
      </c>
      <c r="S825" s="61">
        <f t="shared" ref="S825:S847" si="141">IF(C825="","",(S824+R825)-(M825+N825+O825+P825+Q825))</f>
        <v>93.800000000000068</v>
      </c>
      <c r="T825" s="40">
        <v>0</v>
      </c>
      <c r="U825" s="40">
        <v>0</v>
      </c>
      <c r="V825" s="40">
        <v>0</v>
      </c>
      <c r="W825" s="40">
        <v>0</v>
      </c>
      <c r="X825" s="67">
        <f t="shared" ref="X825:X847" si="142">IF(V825="","",((X824+T825+U825)-(V825+W825)))</f>
        <v>268</v>
      </c>
      <c r="Z825" s="71"/>
      <c r="AA825" s="71"/>
      <c r="AB825" s="67">
        <f t="shared" si="137"/>
        <v>0</v>
      </c>
      <c r="AD825" s="121"/>
      <c r="AE825" s="121"/>
    </row>
    <row r="826" spans="1:31" x14ac:dyDescent="0.25">
      <c r="A826" s="58" t="s">
        <v>1033</v>
      </c>
      <c r="B826" s="65">
        <v>0.33333333333333331</v>
      </c>
      <c r="C826" s="58">
        <v>22.4</v>
      </c>
      <c r="D826" s="10" t="s">
        <v>351</v>
      </c>
      <c r="E826" s="40">
        <v>0</v>
      </c>
      <c r="F826" s="40">
        <v>2.5</v>
      </c>
      <c r="G826" s="40">
        <v>2</v>
      </c>
      <c r="H826" s="3">
        <f t="shared" si="139"/>
        <v>0</v>
      </c>
      <c r="I826" s="3">
        <f t="shared" si="136"/>
        <v>2.3333333333333335</v>
      </c>
      <c r="J826" s="3">
        <f t="shared" si="140"/>
        <v>1.8666666666666665</v>
      </c>
      <c r="K826" s="58"/>
      <c r="L826" s="60">
        <f t="shared" si="138"/>
        <v>445.47249999999991</v>
      </c>
      <c r="M826" s="40">
        <v>0</v>
      </c>
      <c r="N826" s="40">
        <v>0</v>
      </c>
      <c r="O826" s="40">
        <v>0</v>
      </c>
      <c r="P826" s="40">
        <v>0</v>
      </c>
      <c r="Q826" s="40">
        <v>5</v>
      </c>
      <c r="R826" s="40">
        <v>0</v>
      </c>
      <c r="S826" s="61">
        <f t="shared" si="141"/>
        <v>88.800000000000068</v>
      </c>
      <c r="T826" s="40">
        <v>0</v>
      </c>
      <c r="U826" s="40">
        <v>0</v>
      </c>
      <c r="V826" s="40">
        <v>6</v>
      </c>
      <c r="W826" s="40">
        <v>0</v>
      </c>
      <c r="X826" s="67">
        <f t="shared" si="142"/>
        <v>262</v>
      </c>
      <c r="Z826" s="71"/>
      <c r="AA826" s="71"/>
      <c r="AB826" s="67">
        <f t="shared" si="137"/>
        <v>0</v>
      </c>
      <c r="AD826" s="121"/>
      <c r="AE826" s="121"/>
    </row>
    <row r="827" spans="1:31" x14ac:dyDescent="0.25">
      <c r="A827" s="58" t="s">
        <v>1034</v>
      </c>
      <c r="B827" s="65">
        <v>0.33333333333333331</v>
      </c>
      <c r="C827" s="58">
        <v>24</v>
      </c>
      <c r="D827" s="10" t="s">
        <v>351</v>
      </c>
      <c r="E827" s="40">
        <v>0</v>
      </c>
      <c r="F827" s="40">
        <v>2.5</v>
      </c>
      <c r="G827" s="40">
        <v>2</v>
      </c>
      <c r="H827" s="3">
        <f t="shared" si="139"/>
        <v>0</v>
      </c>
      <c r="I827" s="3">
        <f t="shared" si="136"/>
        <v>2.5</v>
      </c>
      <c r="J827" s="3">
        <f t="shared" si="140"/>
        <v>2</v>
      </c>
      <c r="K827" s="58"/>
      <c r="L827" s="60">
        <f t="shared" si="138"/>
        <v>440.97249999999991</v>
      </c>
      <c r="M827" s="40">
        <v>0</v>
      </c>
      <c r="N827" s="40">
        <v>0</v>
      </c>
      <c r="O827" s="40">
        <v>0</v>
      </c>
      <c r="P827" s="40">
        <v>0</v>
      </c>
      <c r="Q827" s="40">
        <v>2.2999999999999998</v>
      </c>
      <c r="R827" s="40">
        <v>0</v>
      </c>
      <c r="S827" s="61">
        <f t="shared" si="141"/>
        <v>86.500000000000071</v>
      </c>
      <c r="T827" s="40">
        <v>0</v>
      </c>
      <c r="U827" s="40">
        <v>0</v>
      </c>
      <c r="V827" s="40">
        <v>6</v>
      </c>
      <c r="W827" s="40">
        <v>0</v>
      </c>
      <c r="X827" s="67">
        <f t="shared" si="142"/>
        <v>256</v>
      </c>
      <c r="Z827" s="71"/>
      <c r="AA827" s="71"/>
      <c r="AB827" s="67">
        <f t="shared" si="137"/>
        <v>0</v>
      </c>
      <c r="AD827" s="121"/>
      <c r="AE827" s="121"/>
    </row>
    <row r="828" spans="1:31" x14ac:dyDescent="0.25">
      <c r="A828" s="58" t="s">
        <v>1035</v>
      </c>
      <c r="B828" s="65">
        <v>0.33333333333333331</v>
      </c>
      <c r="C828" s="58">
        <v>24</v>
      </c>
      <c r="D828" s="10" t="s">
        <v>351</v>
      </c>
      <c r="E828" s="40">
        <v>0</v>
      </c>
      <c r="F828" s="40">
        <v>2.5</v>
      </c>
      <c r="G828" s="40">
        <v>2</v>
      </c>
      <c r="H828" s="3">
        <f t="shared" si="139"/>
        <v>0</v>
      </c>
      <c r="I828" s="3">
        <f t="shared" si="136"/>
        <v>2.5</v>
      </c>
      <c r="J828" s="3">
        <f t="shared" si="140"/>
        <v>2</v>
      </c>
      <c r="K828" s="58"/>
      <c r="L828" s="60">
        <f t="shared" si="138"/>
        <v>436.47249999999991</v>
      </c>
      <c r="M828" s="40">
        <v>0</v>
      </c>
      <c r="N828" s="40">
        <v>0</v>
      </c>
      <c r="O828" s="40">
        <v>0</v>
      </c>
      <c r="P828" s="40">
        <v>0</v>
      </c>
      <c r="Q828" s="40">
        <v>0</v>
      </c>
      <c r="R828" s="40">
        <v>0</v>
      </c>
      <c r="S828" s="61">
        <f t="shared" si="141"/>
        <v>86.500000000000071</v>
      </c>
      <c r="T828" s="40">
        <v>0</v>
      </c>
      <c r="U828" s="40">
        <v>0</v>
      </c>
      <c r="V828" s="40">
        <v>6</v>
      </c>
      <c r="W828" s="40">
        <v>0</v>
      </c>
      <c r="X828" s="67">
        <f t="shared" si="142"/>
        <v>250</v>
      </c>
      <c r="Z828" s="71"/>
      <c r="AA828" s="71"/>
      <c r="AB828" s="67">
        <f t="shared" si="137"/>
        <v>0</v>
      </c>
      <c r="AD828" s="121"/>
      <c r="AE828" s="121"/>
    </row>
    <row r="829" spans="1:31" x14ac:dyDescent="0.25">
      <c r="A829" s="58" t="s">
        <v>1036</v>
      </c>
      <c r="B829" s="65">
        <v>0.33333333333333331</v>
      </c>
      <c r="C829" s="58">
        <v>24</v>
      </c>
      <c r="D829" s="10" t="s">
        <v>351</v>
      </c>
      <c r="E829" s="40">
        <v>0</v>
      </c>
      <c r="F829" s="40">
        <v>2.5</v>
      </c>
      <c r="G829" s="40">
        <v>2</v>
      </c>
      <c r="H829" s="3">
        <f t="shared" si="139"/>
        <v>0</v>
      </c>
      <c r="I829" s="3">
        <f t="shared" si="136"/>
        <v>2.5</v>
      </c>
      <c r="J829" s="3">
        <f t="shared" si="140"/>
        <v>2</v>
      </c>
      <c r="K829" s="58"/>
      <c r="L829" s="60">
        <f t="shared" si="138"/>
        <v>431.97249999999991</v>
      </c>
      <c r="M829" s="40">
        <v>0</v>
      </c>
      <c r="N829" s="40">
        <v>0</v>
      </c>
      <c r="O829" s="40">
        <v>0</v>
      </c>
      <c r="P829" s="40">
        <v>0</v>
      </c>
      <c r="Q829" s="40">
        <v>0</v>
      </c>
      <c r="R829" s="40">
        <v>0</v>
      </c>
      <c r="S829" s="61">
        <f t="shared" si="141"/>
        <v>86.500000000000071</v>
      </c>
      <c r="T829" s="40">
        <v>0</v>
      </c>
      <c r="U829" s="40">
        <v>0</v>
      </c>
      <c r="V829" s="40">
        <v>6</v>
      </c>
      <c r="W829" s="40">
        <v>0</v>
      </c>
      <c r="X829" s="67">
        <f t="shared" si="142"/>
        <v>244</v>
      </c>
      <c r="Z829" s="71">
        <v>90</v>
      </c>
      <c r="AA829" s="71">
        <v>58</v>
      </c>
      <c r="AB829" s="67">
        <f t="shared" si="137"/>
        <v>148</v>
      </c>
      <c r="AD829" s="121"/>
      <c r="AE829" s="121"/>
    </row>
    <row r="830" spans="1:31" x14ac:dyDescent="0.25">
      <c r="A830" s="58" t="s">
        <v>1037</v>
      </c>
      <c r="B830" s="65">
        <v>0.33333333333333331</v>
      </c>
      <c r="C830" s="58">
        <v>24</v>
      </c>
      <c r="D830" s="10" t="s">
        <v>351</v>
      </c>
      <c r="E830" s="40">
        <v>0</v>
      </c>
      <c r="F830" s="40">
        <v>2.5</v>
      </c>
      <c r="G830" s="40">
        <v>2</v>
      </c>
      <c r="H830" s="3">
        <f t="shared" si="139"/>
        <v>0</v>
      </c>
      <c r="I830" s="3">
        <f t="shared" si="136"/>
        <v>2.5</v>
      </c>
      <c r="J830" s="3">
        <f t="shared" si="140"/>
        <v>2</v>
      </c>
      <c r="K830" s="58"/>
      <c r="L830" s="60">
        <f t="shared" si="138"/>
        <v>427.47249999999991</v>
      </c>
      <c r="M830" s="40">
        <v>0</v>
      </c>
      <c r="N830" s="40">
        <v>0</v>
      </c>
      <c r="O830" s="40">
        <v>0</v>
      </c>
      <c r="P830" s="40">
        <v>0</v>
      </c>
      <c r="Q830" s="40">
        <v>0</v>
      </c>
      <c r="R830" s="40">
        <v>0</v>
      </c>
      <c r="S830" s="61">
        <f t="shared" si="141"/>
        <v>86.500000000000071</v>
      </c>
      <c r="T830" s="40">
        <v>0</v>
      </c>
      <c r="U830" s="40">
        <v>0</v>
      </c>
      <c r="V830" s="40">
        <v>6</v>
      </c>
      <c r="W830" s="40">
        <v>0</v>
      </c>
      <c r="X830" s="67">
        <f t="shared" si="142"/>
        <v>238</v>
      </c>
      <c r="Z830" s="71"/>
      <c r="AA830" s="71"/>
      <c r="AB830" s="67">
        <f t="shared" si="137"/>
        <v>0</v>
      </c>
      <c r="AD830" s="121"/>
      <c r="AE830" s="121"/>
    </row>
    <row r="831" spans="1:31" x14ac:dyDescent="0.25">
      <c r="A831" s="58" t="s">
        <v>1038</v>
      </c>
      <c r="B831" s="65">
        <v>0.33333333333333331</v>
      </c>
      <c r="C831" s="58">
        <v>24</v>
      </c>
      <c r="D831" s="10" t="s">
        <v>351</v>
      </c>
      <c r="E831" s="40">
        <v>0</v>
      </c>
      <c r="F831" s="40">
        <v>2.5</v>
      </c>
      <c r="G831" s="40">
        <v>2</v>
      </c>
      <c r="H831" s="3">
        <f t="shared" si="139"/>
        <v>0</v>
      </c>
      <c r="I831" s="3">
        <f t="shared" si="136"/>
        <v>2.5</v>
      </c>
      <c r="J831" s="3">
        <f t="shared" si="140"/>
        <v>2</v>
      </c>
      <c r="K831" s="58"/>
      <c r="L831" s="60">
        <f t="shared" si="138"/>
        <v>422.97249999999991</v>
      </c>
      <c r="M831" s="40">
        <v>0</v>
      </c>
      <c r="N831" s="40">
        <v>0</v>
      </c>
      <c r="O831" s="40">
        <v>0</v>
      </c>
      <c r="P831" s="40">
        <v>0</v>
      </c>
      <c r="Q831" s="40">
        <v>0</v>
      </c>
      <c r="R831" s="40">
        <v>0</v>
      </c>
      <c r="S831" s="61">
        <f t="shared" si="141"/>
        <v>86.500000000000071</v>
      </c>
      <c r="T831" s="40">
        <v>0</v>
      </c>
      <c r="U831" s="40">
        <v>0</v>
      </c>
      <c r="V831" s="40">
        <v>6</v>
      </c>
      <c r="W831" s="40">
        <v>0</v>
      </c>
      <c r="X831" s="67">
        <f t="shared" si="142"/>
        <v>232</v>
      </c>
      <c r="Z831" s="71">
        <v>82</v>
      </c>
      <c r="AA831" s="71">
        <v>53</v>
      </c>
      <c r="AB831" s="67">
        <f t="shared" si="137"/>
        <v>135</v>
      </c>
      <c r="AD831" s="121"/>
      <c r="AE831" s="121"/>
    </row>
    <row r="832" spans="1:31" x14ac:dyDescent="0.25">
      <c r="A832" s="58" t="s">
        <v>1039</v>
      </c>
      <c r="B832" s="65">
        <v>0.33333333333333331</v>
      </c>
      <c r="C832" s="58">
        <v>24</v>
      </c>
      <c r="D832" s="10" t="s">
        <v>351</v>
      </c>
      <c r="E832" s="40">
        <v>0</v>
      </c>
      <c r="F832" s="40">
        <v>2.5</v>
      </c>
      <c r="G832" s="40">
        <v>2</v>
      </c>
      <c r="H832" s="3">
        <f t="shared" si="139"/>
        <v>0</v>
      </c>
      <c r="I832" s="3">
        <f t="shared" si="136"/>
        <v>2.5</v>
      </c>
      <c r="J832" s="3">
        <f t="shared" si="140"/>
        <v>2</v>
      </c>
      <c r="K832" s="58"/>
      <c r="L832" s="60">
        <f t="shared" si="138"/>
        <v>418.47249999999991</v>
      </c>
      <c r="M832" s="40">
        <v>0</v>
      </c>
      <c r="N832" s="40">
        <v>0</v>
      </c>
      <c r="O832" s="40">
        <v>0</v>
      </c>
      <c r="P832" s="40">
        <v>0</v>
      </c>
      <c r="Q832" s="40">
        <v>0</v>
      </c>
      <c r="R832" s="40">
        <v>0</v>
      </c>
      <c r="S832" s="61">
        <f t="shared" si="141"/>
        <v>86.500000000000071</v>
      </c>
      <c r="T832" s="40">
        <v>0</v>
      </c>
      <c r="U832" s="40">
        <v>0</v>
      </c>
      <c r="V832" s="40">
        <v>6</v>
      </c>
      <c r="W832" s="40">
        <v>0</v>
      </c>
      <c r="X832" s="67">
        <f t="shared" si="142"/>
        <v>226</v>
      </c>
      <c r="Z832" s="71"/>
      <c r="AA832" s="71"/>
      <c r="AB832" s="67">
        <f t="shared" si="137"/>
        <v>0</v>
      </c>
      <c r="AD832" s="121"/>
      <c r="AE832" s="121"/>
    </row>
    <row r="833" spans="1:31" x14ac:dyDescent="0.25">
      <c r="A833" s="58" t="s">
        <v>1040</v>
      </c>
      <c r="B833" s="65">
        <v>0.33333333333333331</v>
      </c>
      <c r="C833" s="58">
        <v>24</v>
      </c>
      <c r="D833" s="10" t="s">
        <v>351</v>
      </c>
      <c r="E833" s="40">
        <v>0</v>
      </c>
      <c r="F833" s="40">
        <v>2.5</v>
      </c>
      <c r="G833" s="40">
        <v>2</v>
      </c>
      <c r="H833" s="3">
        <f t="shared" si="139"/>
        <v>0</v>
      </c>
      <c r="I833" s="3">
        <f t="shared" si="136"/>
        <v>2.5</v>
      </c>
      <c r="J833" s="3">
        <f t="shared" si="140"/>
        <v>2</v>
      </c>
      <c r="K833" s="58"/>
      <c r="L833" s="60">
        <f t="shared" si="138"/>
        <v>413.97249999999991</v>
      </c>
      <c r="M833" s="40">
        <v>0</v>
      </c>
      <c r="N833" s="40">
        <v>0</v>
      </c>
      <c r="O833" s="40">
        <v>0</v>
      </c>
      <c r="P833" s="40">
        <v>0</v>
      </c>
      <c r="Q833" s="40">
        <v>0</v>
      </c>
      <c r="R833" s="40">
        <v>0</v>
      </c>
      <c r="S833" s="61">
        <f t="shared" si="141"/>
        <v>86.500000000000071</v>
      </c>
      <c r="T833" s="40">
        <v>0</v>
      </c>
      <c r="U833" s="40">
        <v>0</v>
      </c>
      <c r="V833" s="40">
        <v>6</v>
      </c>
      <c r="W833" s="40">
        <v>0</v>
      </c>
      <c r="X833" s="67">
        <f t="shared" si="142"/>
        <v>220</v>
      </c>
      <c r="Z833" s="71">
        <v>73</v>
      </c>
      <c r="AA833" s="71">
        <v>48</v>
      </c>
      <c r="AB833" s="67">
        <f t="shared" si="137"/>
        <v>121</v>
      </c>
      <c r="AD833" s="121"/>
      <c r="AE833" s="121"/>
    </row>
    <row r="834" spans="1:31" x14ac:dyDescent="0.25">
      <c r="A834" s="58" t="s">
        <v>1041</v>
      </c>
      <c r="B834" s="65">
        <v>0.33333333333333331</v>
      </c>
      <c r="C834" s="58">
        <v>24</v>
      </c>
      <c r="D834" s="10" t="s">
        <v>351</v>
      </c>
      <c r="E834" s="40">
        <v>0</v>
      </c>
      <c r="F834" s="40">
        <v>2.5</v>
      </c>
      <c r="G834" s="40">
        <v>2</v>
      </c>
      <c r="H834" s="3">
        <f t="shared" si="139"/>
        <v>0</v>
      </c>
      <c r="I834" s="3">
        <f t="shared" si="136"/>
        <v>2.5</v>
      </c>
      <c r="J834" s="3">
        <f t="shared" si="140"/>
        <v>2</v>
      </c>
      <c r="K834" s="58"/>
      <c r="L834" s="60">
        <f t="shared" si="138"/>
        <v>409.47249999999991</v>
      </c>
      <c r="M834" s="40">
        <v>0</v>
      </c>
      <c r="N834" s="40">
        <v>0</v>
      </c>
      <c r="O834" s="40">
        <v>0</v>
      </c>
      <c r="P834" s="40">
        <v>0</v>
      </c>
      <c r="Q834" s="40">
        <v>0</v>
      </c>
      <c r="R834" s="40">
        <v>0</v>
      </c>
      <c r="S834" s="61">
        <f t="shared" si="141"/>
        <v>86.500000000000071</v>
      </c>
      <c r="T834" s="40">
        <v>0</v>
      </c>
      <c r="U834" s="40">
        <v>0</v>
      </c>
      <c r="V834" s="40">
        <v>6</v>
      </c>
      <c r="W834" s="40">
        <v>0</v>
      </c>
      <c r="X834" s="67">
        <f t="shared" si="142"/>
        <v>214</v>
      </c>
      <c r="Z834" s="71">
        <v>68</v>
      </c>
      <c r="AA834" s="71">
        <v>47</v>
      </c>
      <c r="AB834" s="67">
        <f t="shared" si="137"/>
        <v>115</v>
      </c>
      <c r="AD834" s="121"/>
      <c r="AE834" s="121"/>
    </row>
    <row r="835" spans="1:31" x14ac:dyDescent="0.25">
      <c r="A835" s="58" t="s">
        <v>1042</v>
      </c>
      <c r="B835" s="65">
        <v>0.33333333333333331</v>
      </c>
      <c r="C835" s="58">
        <v>24</v>
      </c>
      <c r="D835" s="10" t="s">
        <v>351</v>
      </c>
      <c r="E835" s="40">
        <v>0</v>
      </c>
      <c r="F835" s="40">
        <v>2.5</v>
      </c>
      <c r="G835" s="40">
        <v>2</v>
      </c>
      <c r="H835" s="3">
        <f t="shared" si="139"/>
        <v>0</v>
      </c>
      <c r="I835" s="3">
        <f t="shared" si="136"/>
        <v>2.5</v>
      </c>
      <c r="J835" s="3">
        <f t="shared" si="140"/>
        <v>2</v>
      </c>
      <c r="K835" s="58"/>
      <c r="L835" s="60">
        <f t="shared" si="138"/>
        <v>404.97249999999991</v>
      </c>
      <c r="M835" s="40">
        <v>0</v>
      </c>
      <c r="N835" s="40">
        <v>0</v>
      </c>
      <c r="O835" s="40">
        <v>0</v>
      </c>
      <c r="P835" s="40">
        <v>0</v>
      </c>
      <c r="Q835" s="40">
        <v>0</v>
      </c>
      <c r="R835" s="40">
        <v>0</v>
      </c>
      <c r="S835" s="61">
        <f t="shared" si="141"/>
        <v>86.500000000000071</v>
      </c>
      <c r="T835" s="40">
        <v>0</v>
      </c>
      <c r="U835" s="40">
        <v>0</v>
      </c>
      <c r="V835" s="40">
        <v>6</v>
      </c>
      <c r="W835" s="40">
        <v>0</v>
      </c>
      <c r="X835" s="67">
        <f t="shared" si="142"/>
        <v>208</v>
      </c>
      <c r="Z835" s="71"/>
      <c r="AA835" s="71"/>
      <c r="AB835" s="67">
        <f t="shared" si="137"/>
        <v>0</v>
      </c>
      <c r="AD835" s="121"/>
      <c r="AE835" s="121"/>
    </row>
    <row r="836" spans="1:31" x14ac:dyDescent="0.25">
      <c r="A836" s="58" t="s">
        <v>1043</v>
      </c>
      <c r="B836" s="65">
        <v>0.33333333333333331</v>
      </c>
      <c r="C836" s="58">
        <v>24</v>
      </c>
      <c r="D836" s="10" t="s">
        <v>351</v>
      </c>
      <c r="E836" s="40">
        <v>0</v>
      </c>
      <c r="F836" s="40">
        <v>2.5</v>
      </c>
      <c r="G836" s="40">
        <v>2</v>
      </c>
      <c r="H836" s="3">
        <f t="shared" si="139"/>
        <v>0</v>
      </c>
      <c r="I836" s="3">
        <f t="shared" si="136"/>
        <v>2.5</v>
      </c>
      <c r="J836" s="3">
        <f t="shared" si="140"/>
        <v>2</v>
      </c>
      <c r="K836" s="58"/>
      <c r="L836" s="60">
        <f t="shared" si="138"/>
        <v>400.47249999999991</v>
      </c>
      <c r="M836" s="40">
        <v>0</v>
      </c>
      <c r="N836" s="40">
        <v>0</v>
      </c>
      <c r="O836" s="40">
        <v>0</v>
      </c>
      <c r="P836" s="40">
        <v>0</v>
      </c>
      <c r="Q836" s="40">
        <v>0</v>
      </c>
      <c r="R836" s="40">
        <v>0</v>
      </c>
      <c r="S836" s="61">
        <f t="shared" si="141"/>
        <v>86.500000000000071</v>
      </c>
      <c r="T836" s="40">
        <v>0</v>
      </c>
      <c r="U836" s="40">
        <v>0</v>
      </c>
      <c r="V836" s="40">
        <v>6</v>
      </c>
      <c r="W836" s="40">
        <v>0</v>
      </c>
      <c r="X836" s="67">
        <f t="shared" si="142"/>
        <v>202</v>
      </c>
      <c r="Z836" s="71">
        <v>60</v>
      </c>
      <c r="AA836" s="71">
        <v>40</v>
      </c>
      <c r="AB836" s="67">
        <f t="shared" si="137"/>
        <v>100</v>
      </c>
      <c r="AD836" s="121"/>
      <c r="AE836" s="121"/>
    </row>
    <row r="837" spans="1:31" x14ac:dyDescent="0.25">
      <c r="A837" s="58" t="s">
        <v>1044</v>
      </c>
      <c r="B837" s="65">
        <v>0.33333333333333331</v>
      </c>
      <c r="C837" s="58">
        <v>24</v>
      </c>
      <c r="D837" s="10" t="s">
        <v>351</v>
      </c>
      <c r="E837" s="40">
        <v>0</v>
      </c>
      <c r="F837" s="40">
        <v>2.5</v>
      </c>
      <c r="G837" s="40">
        <v>2</v>
      </c>
      <c r="H837" s="3">
        <f t="shared" si="139"/>
        <v>0</v>
      </c>
      <c r="I837" s="3">
        <f t="shared" ref="I837:I847" si="143">+IF(F837="","",(F837/24)*C837)</f>
        <v>2.5</v>
      </c>
      <c r="J837" s="3">
        <f t="shared" si="140"/>
        <v>2</v>
      </c>
      <c r="K837" s="58"/>
      <c r="L837" s="60">
        <f t="shared" si="138"/>
        <v>395.97249999999991</v>
      </c>
      <c r="M837" s="40">
        <v>0</v>
      </c>
      <c r="N837" s="40">
        <v>0</v>
      </c>
      <c r="O837" s="40">
        <v>0</v>
      </c>
      <c r="P837" s="40">
        <v>0</v>
      </c>
      <c r="Q837" s="40">
        <v>1</v>
      </c>
      <c r="R837" s="40">
        <v>0</v>
      </c>
      <c r="S837" s="61">
        <f t="shared" si="141"/>
        <v>85.500000000000071</v>
      </c>
      <c r="T837" s="40">
        <v>0</v>
      </c>
      <c r="U837" s="40">
        <v>0</v>
      </c>
      <c r="V837" s="40">
        <v>6</v>
      </c>
      <c r="W837" s="40">
        <v>0</v>
      </c>
      <c r="X837" s="67">
        <f t="shared" si="142"/>
        <v>196</v>
      </c>
      <c r="Z837" s="71">
        <v>81</v>
      </c>
      <c r="AA837" s="71">
        <v>40</v>
      </c>
      <c r="AB837" s="67">
        <f t="shared" si="137"/>
        <v>121</v>
      </c>
      <c r="AD837" s="121"/>
      <c r="AE837" s="121"/>
    </row>
    <row r="838" spans="1:31" x14ac:dyDescent="0.25">
      <c r="A838" s="58" t="s">
        <v>1045</v>
      </c>
      <c r="B838" s="65">
        <v>0.33333333333333331</v>
      </c>
      <c r="C838" s="58">
        <v>24</v>
      </c>
      <c r="D838" s="10" t="s">
        <v>351</v>
      </c>
      <c r="E838" s="40">
        <v>0</v>
      </c>
      <c r="F838" s="40">
        <v>2.5</v>
      </c>
      <c r="G838" s="40">
        <v>2</v>
      </c>
      <c r="H838" s="3">
        <f t="shared" si="139"/>
        <v>0</v>
      </c>
      <c r="I838" s="3">
        <f t="shared" si="143"/>
        <v>2.5</v>
      </c>
      <c r="J838" s="3">
        <f t="shared" si="140"/>
        <v>2</v>
      </c>
      <c r="K838" s="58"/>
      <c r="L838" s="60">
        <f t="shared" si="138"/>
        <v>391.47249999999991</v>
      </c>
      <c r="M838" s="40">
        <v>0</v>
      </c>
      <c r="N838" s="40">
        <v>0</v>
      </c>
      <c r="O838" s="40">
        <v>0</v>
      </c>
      <c r="P838" s="40">
        <v>0</v>
      </c>
      <c r="Q838" s="40">
        <v>0</v>
      </c>
      <c r="R838" s="40">
        <v>0</v>
      </c>
      <c r="S838" s="61">
        <f t="shared" si="141"/>
        <v>85.500000000000071</v>
      </c>
      <c r="T838" s="40">
        <v>0</v>
      </c>
      <c r="U838" s="40">
        <v>0</v>
      </c>
      <c r="V838" s="40">
        <v>6</v>
      </c>
      <c r="W838" s="40">
        <v>0</v>
      </c>
      <c r="X838" s="67">
        <f t="shared" si="142"/>
        <v>190</v>
      </c>
      <c r="Z838" s="71">
        <v>101</v>
      </c>
      <c r="AA838" s="71">
        <v>40</v>
      </c>
      <c r="AB838" s="67">
        <f t="shared" si="137"/>
        <v>141</v>
      </c>
      <c r="AD838" s="121"/>
      <c r="AE838" s="121"/>
    </row>
    <row r="839" spans="1:31" x14ac:dyDescent="0.25">
      <c r="A839" s="58" t="s">
        <v>1046</v>
      </c>
      <c r="B839" s="65">
        <v>0.33333333333333331</v>
      </c>
      <c r="C839" s="58">
        <v>24</v>
      </c>
      <c r="D839" s="10" t="s">
        <v>351</v>
      </c>
      <c r="E839" s="40">
        <v>0</v>
      </c>
      <c r="F839" s="40">
        <v>2.5</v>
      </c>
      <c r="G839" s="40">
        <v>2</v>
      </c>
      <c r="H839" s="3">
        <f t="shared" si="139"/>
        <v>0</v>
      </c>
      <c r="I839" s="3">
        <f t="shared" si="143"/>
        <v>2.5</v>
      </c>
      <c r="J839" s="3">
        <f t="shared" si="140"/>
        <v>2</v>
      </c>
      <c r="K839" s="58"/>
      <c r="L839" s="60">
        <f t="shared" si="138"/>
        <v>386.97249999999991</v>
      </c>
      <c r="M839" s="40">
        <v>0</v>
      </c>
      <c r="N839" s="40">
        <v>0</v>
      </c>
      <c r="O839" s="40">
        <v>0</v>
      </c>
      <c r="P839" s="40">
        <v>0</v>
      </c>
      <c r="Q839" s="40">
        <v>0</v>
      </c>
      <c r="R839" s="40">
        <v>0</v>
      </c>
      <c r="S839" s="61">
        <f t="shared" si="141"/>
        <v>85.500000000000071</v>
      </c>
      <c r="T839" s="40">
        <v>0</v>
      </c>
      <c r="U839" s="40">
        <v>0</v>
      </c>
      <c r="V839" s="40">
        <v>6</v>
      </c>
      <c r="W839" s="40">
        <v>0</v>
      </c>
      <c r="X839" s="67">
        <f t="shared" si="142"/>
        <v>184</v>
      </c>
      <c r="Z839" s="71">
        <v>111</v>
      </c>
      <c r="AA839" s="71">
        <v>39</v>
      </c>
      <c r="AB839" s="67">
        <f t="shared" si="137"/>
        <v>150</v>
      </c>
      <c r="AD839" s="121"/>
      <c r="AE839" s="121"/>
    </row>
    <row r="840" spans="1:31" x14ac:dyDescent="0.25">
      <c r="A840" s="58" t="s">
        <v>1047</v>
      </c>
      <c r="B840" s="65">
        <v>0.33333333333333331</v>
      </c>
      <c r="C840" s="58">
        <v>24</v>
      </c>
      <c r="D840" s="10" t="s">
        <v>351</v>
      </c>
      <c r="E840" s="40">
        <v>0</v>
      </c>
      <c r="F840" s="40">
        <v>2.5</v>
      </c>
      <c r="G840" s="40">
        <v>2</v>
      </c>
      <c r="H840" s="3">
        <f t="shared" si="139"/>
        <v>0</v>
      </c>
      <c r="I840" s="3">
        <f t="shared" si="143"/>
        <v>2.5</v>
      </c>
      <c r="J840" s="3">
        <f t="shared" si="140"/>
        <v>2</v>
      </c>
      <c r="K840" s="58"/>
      <c r="L840" s="60">
        <f t="shared" si="138"/>
        <v>382.47249999999991</v>
      </c>
      <c r="M840" s="40">
        <v>0</v>
      </c>
      <c r="N840" s="40">
        <v>0</v>
      </c>
      <c r="O840" s="40">
        <v>0</v>
      </c>
      <c r="P840" s="40">
        <v>0</v>
      </c>
      <c r="Q840" s="40">
        <v>0</v>
      </c>
      <c r="R840" s="40">
        <v>0</v>
      </c>
      <c r="S840" s="61">
        <f t="shared" si="141"/>
        <v>85.500000000000071</v>
      </c>
      <c r="T840" s="40">
        <v>0</v>
      </c>
      <c r="U840" s="40">
        <v>0</v>
      </c>
      <c r="V840" s="40">
        <v>6</v>
      </c>
      <c r="W840" s="40">
        <v>0</v>
      </c>
      <c r="X840" s="67">
        <f t="shared" si="142"/>
        <v>178</v>
      </c>
      <c r="Z840" s="71">
        <v>138</v>
      </c>
      <c r="AA840" s="71">
        <v>39</v>
      </c>
      <c r="AB840" s="67">
        <f t="shared" si="137"/>
        <v>177</v>
      </c>
      <c r="AD840" s="121"/>
      <c r="AE840" s="121"/>
    </row>
    <row r="841" spans="1:31" x14ac:dyDescent="0.25">
      <c r="A841" s="58" t="s">
        <v>1047</v>
      </c>
      <c r="B841" s="7">
        <v>0.5625</v>
      </c>
      <c r="C841" s="58">
        <v>5.5</v>
      </c>
      <c r="D841" s="10" t="s">
        <v>1011</v>
      </c>
      <c r="E841" s="40">
        <v>0</v>
      </c>
      <c r="F841" s="40">
        <v>2.5</v>
      </c>
      <c r="G841" s="40">
        <v>2</v>
      </c>
      <c r="H841" s="3">
        <f t="shared" si="139"/>
        <v>0</v>
      </c>
      <c r="I841" s="3">
        <f t="shared" si="143"/>
        <v>0.57291666666666674</v>
      </c>
      <c r="J841" s="3">
        <f t="shared" si="140"/>
        <v>0.45833333333333331</v>
      </c>
      <c r="K841" s="58"/>
      <c r="L841" s="60">
        <f t="shared" si="138"/>
        <v>381.44124999999991</v>
      </c>
      <c r="M841" s="40">
        <v>0</v>
      </c>
      <c r="N841" s="40">
        <v>0</v>
      </c>
      <c r="O841" s="40">
        <v>0</v>
      </c>
      <c r="P841" s="40">
        <v>0</v>
      </c>
      <c r="Q841" s="40">
        <v>0</v>
      </c>
      <c r="R841" s="40">
        <v>0</v>
      </c>
      <c r="S841" s="61">
        <f t="shared" si="141"/>
        <v>85.500000000000071</v>
      </c>
      <c r="T841" s="40">
        <v>0</v>
      </c>
      <c r="U841" s="40">
        <v>0</v>
      </c>
      <c r="V841" s="40">
        <v>0</v>
      </c>
      <c r="W841" s="40">
        <v>0</v>
      </c>
      <c r="X841" s="67">
        <f t="shared" si="142"/>
        <v>178</v>
      </c>
      <c r="Z841" s="71"/>
      <c r="AA841" s="71"/>
      <c r="AB841" s="67">
        <f t="shared" si="137"/>
        <v>0</v>
      </c>
      <c r="AD841" s="121"/>
      <c r="AE841" s="121"/>
    </row>
    <row r="842" spans="1:31" x14ac:dyDescent="0.25">
      <c r="A842" s="58" t="s">
        <v>1047</v>
      </c>
      <c r="B842" s="7">
        <v>0.57500000000000007</v>
      </c>
      <c r="C842" s="58">
        <v>0.3</v>
      </c>
      <c r="D842" s="10" t="s">
        <v>988</v>
      </c>
      <c r="E842" s="40">
        <v>10</v>
      </c>
      <c r="F842" s="40">
        <v>2.5</v>
      </c>
      <c r="G842" s="40">
        <v>2</v>
      </c>
      <c r="H842" s="3">
        <f t="shared" si="139"/>
        <v>0.125</v>
      </c>
      <c r="I842" s="3">
        <f t="shared" si="143"/>
        <v>3.125E-2</v>
      </c>
      <c r="J842" s="3">
        <f t="shared" si="140"/>
        <v>2.4999999999999998E-2</v>
      </c>
      <c r="K842" s="58"/>
      <c r="L842" s="60">
        <f t="shared" si="138"/>
        <v>381.25999999999993</v>
      </c>
      <c r="M842" s="40">
        <v>0</v>
      </c>
      <c r="N842" s="40">
        <v>0</v>
      </c>
      <c r="O842" s="40">
        <v>0</v>
      </c>
      <c r="P842" s="40">
        <v>0</v>
      </c>
      <c r="Q842" s="40">
        <v>0</v>
      </c>
      <c r="R842" s="40">
        <v>0</v>
      </c>
      <c r="S842" s="61">
        <f t="shared" si="141"/>
        <v>85.500000000000071</v>
      </c>
      <c r="T842" s="40">
        <v>0</v>
      </c>
      <c r="U842" s="40">
        <v>0</v>
      </c>
      <c r="V842" s="40">
        <v>0</v>
      </c>
      <c r="W842" s="40">
        <v>0</v>
      </c>
      <c r="X842" s="67">
        <f t="shared" si="142"/>
        <v>178</v>
      </c>
      <c r="Z842" s="71"/>
      <c r="AA842" s="71"/>
      <c r="AB842" s="67">
        <f t="shared" si="137"/>
        <v>0</v>
      </c>
      <c r="AD842" s="121"/>
      <c r="AE842" s="121"/>
    </row>
    <row r="843" spans="1:31" x14ac:dyDescent="0.25">
      <c r="A843" s="58" t="s">
        <v>1047</v>
      </c>
      <c r="B843" s="7">
        <v>0.59166666666666667</v>
      </c>
      <c r="C843" s="58">
        <v>0.4</v>
      </c>
      <c r="D843" s="10" t="s">
        <v>1048</v>
      </c>
      <c r="E843" s="40">
        <v>20</v>
      </c>
      <c r="F843" s="40">
        <v>2.5</v>
      </c>
      <c r="G843" s="40">
        <v>2</v>
      </c>
      <c r="H843" s="3">
        <f t="shared" si="139"/>
        <v>0.33333333333333337</v>
      </c>
      <c r="I843" s="3">
        <f t="shared" si="143"/>
        <v>4.1666666666666671E-2</v>
      </c>
      <c r="J843" s="3">
        <f t="shared" si="140"/>
        <v>3.3333333333333333E-2</v>
      </c>
      <c r="K843" s="58"/>
      <c r="L843" s="60">
        <f t="shared" si="138"/>
        <v>380.85166666666657</v>
      </c>
      <c r="M843" s="40">
        <v>0</v>
      </c>
      <c r="N843" s="40">
        <v>0</v>
      </c>
      <c r="O843" s="40">
        <v>0</v>
      </c>
      <c r="P843" s="40">
        <v>0</v>
      </c>
      <c r="Q843" s="40">
        <v>0</v>
      </c>
      <c r="R843" s="40">
        <v>0</v>
      </c>
      <c r="S843" s="61">
        <f t="shared" si="141"/>
        <v>85.500000000000071</v>
      </c>
      <c r="T843" s="40">
        <v>0</v>
      </c>
      <c r="U843" s="40">
        <v>0</v>
      </c>
      <c r="V843" s="40">
        <v>0</v>
      </c>
      <c r="W843" s="40">
        <v>0</v>
      </c>
      <c r="X843" s="67">
        <f t="shared" si="142"/>
        <v>178</v>
      </c>
      <c r="Z843" s="71"/>
      <c r="AA843" s="71"/>
      <c r="AB843" s="67">
        <f t="shared" si="137"/>
        <v>0</v>
      </c>
      <c r="AD843" s="121"/>
      <c r="AE843" s="121"/>
    </row>
    <row r="844" spans="1:31" x14ac:dyDescent="0.25">
      <c r="A844" s="58" t="s">
        <v>1047</v>
      </c>
      <c r="B844" s="7">
        <v>0.65833333333333333</v>
      </c>
      <c r="C844" s="58">
        <v>1.6</v>
      </c>
      <c r="D844" s="10" t="s">
        <v>616</v>
      </c>
      <c r="E844" s="40">
        <v>10</v>
      </c>
      <c r="F844" s="40">
        <v>2.5</v>
      </c>
      <c r="G844" s="40">
        <v>2</v>
      </c>
      <c r="H844" s="3">
        <f t="shared" si="139"/>
        <v>0.66666666666666674</v>
      </c>
      <c r="I844" s="3">
        <f t="shared" si="143"/>
        <v>0.16666666666666669</v>
      </c>
      <c r="J844" s="3">
        <f t="shared" si="140"/>
        <v>0.13333333333333333</v>
      </c>
      <c r="K844" s="58"/>
      <c r="L844" s="60">
        <f t="shared" si="138"/>
        <v>379.88499999999993</v>
      </c>
      <c r="M844" s="40">
        <v>0</v>
      </c>
      <c r="N844" s="40">
        <v>0</v>
      </c>
      <c r="O844" s="40">
        <v>0</v>
      </c>
      <c r="P844" s="40">
        <v>0</v>
      </c>
      <c r="Q844" s="40">
        <v>0</v>
      </c>
      <c r="R844" s="40">
        <v>0</v>
      </c>
      <c r="S844" s="61">
        <f t="shared" si="141"/>
        <v>85.500000000000071</v>
      </c>
      <c r="T844" s="40">
        <v>0</v>
      </c>
      <c r="U844" s="40">
        <v>0</v>
      </c>
      <c r="V844" s="40">
        <v>0</v>
      </c>
      <c r="W844" s="40">
        <v>0</v>
      </c>
      <c r="X844" s="67">
        <f t="shared" si="142"/>
        <v>178</v>
      </c>
      <c r="Z844" s="71"/>
      <c r="AA844" s="71"/>
      <c r="AB844" s="67">
        <f t="shared" si="137"/>
        <v>0</v>
      </c>
      <c r="AD844" s="121"/>
      <c r="AE844" s="121"/>
    </row>
    <row r="845" spans="1:31" x14ac:dyDescent="0.25">
      <c r="A845" s="58" t="s">
        <v>1047</v>
      </c>
      <c r="B845" s="7">
        <v>0.97083333333333333</v>
      </c>
      <c r="C845" s="58">
        <v>7.5</v>
      </c>
      <c r="D845" s="10" t="s">
        <v>1049</v>
      </c>
      <c r="E845" s="40">
        <v>0</v>
      </c>
      <c r="F845" s="40">
        <v>2.5</v>
      </c>
      <c r="G845" s="40">
        <v>2</v>
      </c>
      <c r="H845" s="3">
        <f t="shared" si="139"/>
        <v>0</v>
      </c>
      <c r="I845" s="3">
        <f t="shared" si="143"/>
        <v>0.78125</v>
      </c>
      <c r="J845" s="3">
        <f t="shared" si="140"/>
        <v>0.625</v>
      </c>
      <c r="K845" s="58"/>
      <c r="L845" s="60">
        <f t="shared" si="138"/>
        <v>378.47874999999993</v>
      </c>
      <c r="M845" s="40">
        <v>0</v>
      </c>
      <c r="N845" s="40">
        <v>0</v>
      </c>
      <c r="O845" s="40">
        <v>0</v>
      </c>
      <c r="P845" s="40">
        <v>0</v>
      </c>
      <c r="Q845" s="40">
        <v>0</v>
      </c>
      <c r="R845" s="40">
        <v>0</v>
      </c>
      <c r="S845" s="61">
        <f t="shared" si="141"/>
        <v>85.500000000000071</v>
      </c>
      <c r="T845" s="40">
        <v>0</v>
      </c>
      <c r="U845" s="40">
        <v>0</v>
      </c>
      <c r="V845" s="40">
        <v>0</v>
      </c>
      <c r="W845" s="40">
        <v>0</v>
      </c>
      <c r="X845" s="67">
        <f t="shared" si="142"/>
        <v>178</v>
      </c>
      <c r="Z845" s="71"/>
      <c r="AA845" s="71"/>
      <c r="AB845" s="67">
        <f t="shared" si="137"/>
        <v>0</v>
      </c>
      <c r="AD845" s="121"/>
      <c r="AE845" s="121"/>
    </row>
    <row r="846" spans="1:31" x14ac:dyDescent="0.25">
      <c r="A846" s="58" t="s">
        <v>1050</v>
      </c>
      <c r="B846" s="65">
        <v>0.33333333333333331</v>
      </c>
      <c r="C846" s="58">
        <v>8.6999999999999993</v>
      </c>
      <c r="D846" s="10" t="s">
        <v>1051</v>
      </c>
      <c r="E846" s="40">
        <v>0</v>
      </c>
      <c r="F846" s="40">
        <v>2.5</v>
      </c>
      <c r="G846" s="40">
        <v>2</v>
      </c>
      <c r="H846" s="3">
        <f t="shared" si="139"/>
        <v>0</v>
      </c>
      <c r="I846" s="3">
        <f t="shared" si="143"/>
        <v>0.90625</v>
      </c>
      <c r="J846" s="3">
        <f t="shared" si="140"/>
        <v>0.72499999999999987</v>
      </c>
      <c r="K846" s="58"/>
      <c r="L846" s="60">
        <f t="shared" si="138"/>
        <v>376.84749999999991</v>
      </c>
      <c r="M846" s="40">
        <v>0</v>
      </c>
      <c r="N846" s="40">
        <v>0</v>
      </c>
      <c r="O846" s="40">
        <v>0</v>
      </c>
      <c r="P846" s="40">
        <v>0</v>
      </c>
      <c r="Q846" s="40">
        <v>0</v>
      </c>
      <c r="R846" s="40">
        <v>0</v>
      </c>
      <c r="S846" s="61">
        <f t="shared" si="141"/>
        <v>85.500000000000071</v>
      </c>
      <c r="T846" s="40">
        <v>0</v>
      </c>
      <c r="U846" s="40">
        <v>0</v>
      </c>
      <c r="V846" s="40">
        <v>6</v>
      </c>
      <c r="W846" s="40">
        <v>0</v>
      </c>
      <c r="X846" s="67">
        <f t="shared" si="142"/>
        <v>172</v>
      </c>
      <c r="Z846" s="71"/>
      <c r="AA846" s="71"/>
      <c r="AB846" s="67">
        <f t="shared" si="137"/>
        <v>0</v>
      </c>
      <c r="AD846" s="121"/>
      <c r="AE846" s="121"/>
    </row>
    <row r="847" spans="1:31" x14ac:dyDescent="0.25">
      <c r="A847" s="58" t="s">
        <v>1052</v>
      </c>
      <c r="B847" s="65">
        <v>0.33333333333333331</v>
      </c>
      <c r="C847" s="58">
        <v>24</v>
      </c>
      <c r="D847" s="10" t="s">
        <v>1051</v>
      </c>
      <c r="E847" s="40">
        <v>0</v>
      </c>
      <c r="F847" s="40">
        <v>2.5</v>
      </c>
      <c r="G847" s="40">
        <v>2</v>
      </c>
      <c r="H847" s="3">
        <f t="shared" si="139"/>
        <v>0</v>
      </c>
      <c r="I847" s="3">
        <f t="shared" si="143"/>
        <v>2.5</v>
      </c>
      <c r="J847" s="3">
        <f t="shared" si="140"/>
        <v>2</v>
      </c>
      <c r="K847" s="58"/>
      <c r="L847" s="60">
        <f t="shared" si="138"/>
        <v>372.34749999999991</v>
      </c>
      <c r="M847" s="40">
        <v>0</v>
      </c>
      <c r="N847" s="40">
        <v>0</v>
      </c>
      <c r="O847" s="40">
        <v>0</v>
      </c>
      <c r="P847" s="40">
        <v>0</v>
      </c>
      <c r="Q847" s="40">
        <v>0</v>
      </c>
      <c r="R847" s="40">
        <v>0</v>
      </c>
      <c r="S847" s="61">
        <f t="shared" si="141"/>
        <v>85.500000000000071</v>
      </c>
      <c r="T847" s="40">
        <v>0</v>
      </c>
      <c r="U847" s="40">
        <v>0</v>
      </c>
      <c r="V847" s="40">
        <v>6</v>
      </c>
      <c r="W847" s="40">
        <v>0</v>
      </c>
      <c r="X847" s="67">
        <f t="shared" si="142"/>
        <v>166</v>
      </c>
      <c r="Z847" s="71">
        <v>132</v>
      </c>
      <c r="AA847" s="71">
        <v>36</v>
      </c>
      <c r="AB847" s="67">
        <f t="shared" si="137"/>
        <v>168</v>
      </c>
      <c r="AD847" s="121"/>
      <c r="AE847" s="121"/>
    </row>
    <row r="848" spans="1:31" x14ac:dyDescent="0.25">
      <c r="A848" s="58" t="s">
        <v>1053</v>
      </c>
      <c r="B848" s="65">
        <v>0.33333333333333331</v>
      </c>
      <c r="C848" s="3">
        <v>24</v>
      </c>
      <c r="D848" s="10" t="s">
        <v>1051</v>
      </c>
      <c r="E848" s="40">
        <v>0</v>
      </c>
      <c r="F848" s="40">
        <v>2.4</v>
      </c>
      <c r="G848" s="40">
        <v>2</v>
      </c>
      <c r="H848" s="3">
        <f t="shared" ref="H848:H882" si="144">+IF(E848="","",(E848/24)*C848)</f>
        <v>0</v>
      </c>
      <c r="I848" s="3">
        <f t="shared" ref="I848:I882" si="145">+IF(F848="","",(F848/24)*C848)</f>
        <v>2.4</v>
      </c>
      <c r="J848" s="3">
        <f t="shared" ref="J848:J882" si="146">+IF(G848="","",(G848/24)*C848)</f>
        <v>2</v>
      </c>
      <c r="K848" s="3"/>
      <c r="L848" s="60">
        <f t="shared" ref="L848:L871" si="147">+IF(C848="","",(L847+K848)-(H848+I848+J848))</f>
        <v>367.94749999999993</v>
      </c>
      <c r="M848" s="40">
        <v>0</v>
      </c>
      <c r="N848" s="40">
        <v>0</v>
      </c>
      <c r="O848" s="40">
        <v>0</v>
      </c>
      <c r="P848" s="40">
        <v>0</v>
      </c>
      <c r="Q848" s="40">
        <v>0</v>
      </c>
      <c r="R848" s="40">
        <v>0</v>
      </c>
      <c r="S848" s="61">
        <f t="shared" ref="S848:S871" si="148">IF(C848="","",(S847+R848)-(M848+N848+O848+P848+Q848))</f>
        <v>85.500000000000071</v>
      </c>
      <c r="T848" s="40">
        <v>0</v>
      </c>
      <c r="U848" s="40">
        <v>0</v>
      </c>
      <c r="V848" s="40">
        <v>6</v>
      </c>
      <c r="W848" s="40">
        <v>0</v>
      </c>
      <c r="X848" s="67">
        <f t="shared" ref="X848:X871" si="149">IF(V848="","",((X847+T848+U848)-(V848+W848)))</f>
        <v>160</v>
      </c>
      <c r="Z848" s="71"/>
      <c r="AA848" s="71"/>
      <c r="AB848" s="67" t="str">
        <f t="shared" ref="AB848:AB871" si="150">IF(Z848="","",Z848+AA848)</f>
        <v/>
      </c>
      <c r="AD848" s="121"/>
      <c r="AE848" s="121"/>
    </row>
    <row r="849" spans="1:31" x14ac:dyDescent="0.25">
      <c r="A849" s="58" t="s">
        <v>1055</v>
      </c>
      <c r="B849" s="65">
        <v>0.33333333333333331</v>
      </c>
      <c r="C849" s="3">
        <v>24</v>
      </c>
      <c r="D849" s="10" t="s">
        <v>1051</v>
      </c>
      <c r="E849" s="40">
        <v>0</v>
      </c>
      <c r="F849" s="40">
        <v>2.5</v>
      </c>
      <c r="G849" s="40">
        <v>2</v>
      </c>
      <c r="H849" s="3">
        <f t="shared" si="144"/>
        <v>0</v>
      </c>
      <c r="I849" s="3">
        <f t="shared" si="145"/>
        <v>2.5</v>
      </c>
      <c r="J849" s="3">
        <f t="shared" si="146"/>
        <v>2</v>
      </c>
      <c r="K849" s="3"/>
      <c r="L849" s="60">
        <f t="shared" si="147"/>
        <v>363.44749999999993</v>
      </c>
      <c r="M849" s="40">
        <v>0</v>
      </c>
      <c r="N849" s="40">
        <v>0</v>
      </c>
      <c r="O849" s="40">
        <v>0</v>
      </c>
      <c r="P849" s="40">
        <v>0</v>
      </c>
      <c r="Q849" s="40">
        <v>0</v>
      </c>
      <c r="R849" s="40">
        <v>0</v>
      </c>
      <c r="S849" s="61">
        <f t="shared" si="148"/>
        <v>85.500000000000071</v>
      </c>
      <c r="T849" s="40">
        <v>0</v>
      </c>
      <c r="U849" s="40">
        <v>0</v>
      </c>
      <c r="V849" s="40">
        <v>6</v>
      </c>
      <c r="W849" s="40">
        <v>0</v>
      </c>
      <c r="X849" s="67">
        <f t="shared" si="149"/>
        <v>154</v>
      </c>
      <c r="Z849" s="71">
        <v>122</v>
      </c>
      <c r="AA849" s="71">
        <v>33</v>
      </c>
      <c r="AB849" s="67">
        <f t="shared" si="150"/>
        <v>155</v>
      </c>
      <c r="AD849" s="121"/>
      <c r="AE849" s="121"/>
    </row>
    <row r="850" spans="1:31" x14ac:dyDescent="0.25">
      <c r="A850" s="58" t="s">
        <v>1056</v>
      </c>
      <c r="B850" s="7">
        <v>9.9999999999999992E-2</v>
      </c>
      <c r="C850" s="3">
        <f t="shared" ref="C850:C871" si="151">+IF((B850-B849)&lt;0,((B850-B849)*24)+24,(B850-B849)*24)</f>
        <v>18.399999999999999</v>
      </c>
      <c r="D850" s="10" t="s">
        <v>289</v>
      </c>
      <c r="E850" s="40">
        <v>0</v>
      </c>
      <c r="F850" s="40">
        <v>2.5</v>
      </c>
      <c r="G850" s="40">
        <v>2</v>
      </c>
      <c r="H850" s="3">
        <f t="shared" si="144"/>
        <v>0</v>
      </c>
      <c r="I850" s="3">
        <f t="shared" si="145"/>
        <v>1.9166666666666665</v>
      </c>
      <c r="J850" s="3">
        <f t="shared" si="146"/>
        <v>1.5333333333333332</v>
      </c>
      <c r="K850" s="3"/>
      <c r="L850" s="60">
        <f t="shared" si="147"/>
        <v>359.99749999999995</v>
      </c>
      <c r="M850" s="40">
        <v>0</v>
      </c>
      <c r="N850" s="40">
        <v>0</v>
      </c>
      <c r="O850" s="40">
        <v>0</v>
      </c>
      <c r="P850" s="40">
        <v>0</v>
      </c>
      <c r="Q850" s="40">
        <v>0</v>
      </c>
      <c r="R850" s="40">
        <v>0</v>
      </c>
      <c r="S850" s="61">
        <f t="shared" si="148"/>
        <v>85.500000000000071</v>
      </c>
      <c r="T850" s="40">
        <v>0</v>
      </c>
      <c r="U850" s="40">
        <v>0</v>
      </c>
      <c r="V850" s="40">
        <v>4</v>
      </c>
      <c r="W850" s="40">
        <v>0</v>
      </c>
      <c r="X850" s="67">
        <f t="shared" si="149"/>
        <v>150</v>
      </c>
      <c r="Z850" s="71"/>
      <c r="AA850" s="71"/>
      <c r="AB850" s="67" t="str">
        <f t="shared" si="150"/>
        <v/>
      </c>
      <c r="AD850" s="121"/>
      <c r="AE850" s="121"/>
    </row>
    <row r="851" spans="1:31" x14ac:dyDescent="0.25">
      <c r="A851" s="58" t="s">
        <v>1056</v>
      </c>
      <c r="B851" s="65">
        <v>0.33333333333333331</v>
      </c>
      <c r="C851" s="3">
        <f t="shared" si="151"/>
        <v>5.6</v>
      </c>
      <c r="D851" s="10" t="s">
        <v>1057</v>
      </c>
      <c r="E851" s="40">
        <v>0</v>
      </c>
      <c r="F851" s="40">
        <v>2.5</v>
      </c>
      <c r="G851" s="40">
        <v>2</v>
      </c>
      <c r="H851" s="3">
        <f t="shared" si="144"/>
        <v>0</v>
      </c>
      <c r="I851" s="3">
        <f t="shared" si="145"/>
        <v>0.58333333333333337</v>
      </c>
      <c r="J851" s="3">
        <f t="shared" si="146"/>
        <v>0.46666666666666662</v>
      </c>
      <c r="K851" s="3"/>
      <c r="L851" s="60">
        <f t="shared" si="147"/>
        <v>358.94749999999993</v>
      </c>
      <c r="M851" s="40">
        <v>0</v>
      </c>
      <c r="N851" s="40">
        <v>0</v>
      </c>
      <c r="O851" s="40">
        <v>0</v>
      </c>
      <c r="P851" s="40">
        <v>0</v>
      </c>
      <c r="Q851" s="40">
        <v>0</v>
      </c>
      <c r="R851" s="40">
        <v>0</v>
      </c>
      <c r="S851" s="61">
        <f t="shared" si="148"/>
        <v>85.500000000000071</v>
      </c>
      <c r="T851" s="40">
        <v>0</v>
      </c>
      <c r="U851" s="40">
        <v>0</v>
      </c>
      <c r="V851" s="40">
        <v>2</v>
      </c>
      <c r="W851" s="40">
        <v>0</v>
      </c>
      <c r="X851" s="67">
        <f t="shared" si="149"/>
        <v>148</v>
      </c>
      <c r="Z851" s="71"/>
      <c r="AA851" s="71"/>
      <c r="AB851" s="67" t="str">
        <f t="shared" si="150"/>
        <v/>
      </c>
      <c r="AD851" s="121"/>
      <c r="AE851" s="121"/>
    </row>
    <row r="852" spans="1:31" x14ac:dyDescent="0.25">
      <c r="A852" s="58" t="s">
        <v>1056</v>
      </c>
      <c r="B852" s="7">
        <v>0.34166666666666662</v>
      </c>
      <c r="C852" s="3">
        <f t="shared" si="151"/>
        <v>0.19999999999999929</v>
      </c>
      <c r="D852" s="10" t="s">
        <v>1011</v>
      </c>
      <c r="E852" s="40">
        <v>0</v>
      </c>
      <c r="F852" s="40">
        <v>2.5</v>
      </c>
      <c r="G852" s="40">
        <v>2</v>
      </c>
      <c r="H852" s="3">
        <f t="shared" si="144"/>
        <v>0</v>
      </c>
      <c r="I852" s="3">
        <f t="shared" si="145"/>
        <v>2.0833333333333259E-2</v>
      </c>
      <c r="J852" s="3">
        <f t="shared" si="146"/>
        <v>1.6666666666666607E-2</v>
      </c>
      <c r="K852" s="3"/>
      <c r="L852" s="60">
        <f t="shared" si="147"/>
        <v>358.90999999999991</v>
      </c>
      <c r="M852" s="40">
        <v>0</v>
      </c>
      <c r="N852" s="40">
        <v>0</v>
      </c>
      <c r="O852" s="40">
        <v>0</v>
      </c>
      <c r="P852" s="40">
        <v>0</v>
      </c>
      <c r="Q852" s="40">
        <v>0</v>
      </c>
      <c r="R852" s="40">
        <v>0</v>
      </c>
      <c r="S852" s="61">
        <f t="shared" si="148"/>
        <v>85.500000000000071</v>
      </c>
      <c r="T852" s="40">
        <v>0</v>
      </c>
      <c r="U852" s="40">
        <v>0</v>
      </c>
      <c r="V852" s="40">
        <v>0</v>
      </c>
      <c r="W852" s="40">
        <v>0</v>
      </c>
      <c r="X852" s="67">
        <f t="shared" si="149"/>
        <v>148</v>
      </c>
      <c r="Z852" s="71"/>
      <c r="AA852" s="71"/>
      <c r="AB852" s="67" t="str">
        <f t="shared" si="150"/>
        <v/>
      </c>
      <c r="AD852" s="121"/>
      <c r="AE852" s="121"/>
    </row>
    <row r="853" spans="1:31" x14ac:dyDescent="0.25">
      <c r="A853" s="58" t="s">
        <v>1056</v>
      </c>
      <c r="B853" s="7">
        <v>0.375</v>
      </c>
      <c r="C853" s="3">
        <f t="shared" si="151"/>
        <v>0.80000000000000115</v>
      </c>
      <c r="D853" s="10" t="s">
        <v>1022</v>
      </c>
      <c r="E853" s="40">
        <v>10</v>
      </c>
      <c r="F853" s="40">
        <v>2.5</v>
      </c>
      <c r="G853" s="40">
        <v>2</v>
      </c>
      <c r="H853" s="3">
        <f t="shared" si="144"/>
        <v>0.33333333333333381</v>
      </c>
      <c r="I853" s="3">
        <f t="shared" si="145"/>
        <v>8.3333333333333454E-2</v>
      </c>
      <c r="J853" s="3">
        <f t="shared" si="146"/>
        <v>6.6666666666666763E-2</v>
      </c>
      <c r="K853" s="3"/>
      <c r="L853" s="60">
        <f t="shared" si="147"/>
        <v>358.42666666666656</v>
      </c>
      <c r="M853" s="40">
        <v>0</v>
      </c>
      <c r="N853" s="40">
        <v>0</v>
      </c>
      <c r="O853" s="40">
        <v>0</v>
      </c>
      <c r="P853" s="40">
        <v>0</v>
      </c>
      <c r="Q853" s="40">
        <v>0</v>
      </c>
      <c r="R853" s="40">
        <v>0</v>
      </c>
      <c r="S853" s="61">
        <f t="shared" si="148"/>
        <v>85.500000000000071</v>
      </c>
      <c r="T853" s="40">
        <v>0</v>
      </c>
      <c r="U853" s="40">
        <v>0</v>
      </c>
      <c r="V853" s="40">
        <v>0</v>
      </c>
      <c r="W853" s="40">
        <v>0</v>
      </c>
      <c r="X853" s="67">
        <f t="shared" si="149"/>
        <v>148</v>
      </c>
      <c r="Z853" s="71"/>
      <c r="AA853" s="71"/>
      <c r="AB853" s="67" t="str">
        <f t="shared" si="150"/>
        <v/>
      </c>
      <c r="AD853" s="121"/>
      <c r="AE853" s="121"/>
    </row>
    <row r="854" spans="1:31" x14ac:dyDescent="0.25">
      <c r="A854" s="58" t="s">
        <v>1058</v>
      </c>
      <c r="B854" s="65">
        <v>0.33333333333333331</v>
      </c>
      <c r="C854" s="3">
        <f t="shared" si="151"/>
        <v>23</v>
      </c>
      <c r="D854" s="10" t="s">
        <v>355</v>
      </c>
      <c r="E854" s="40">
        <v>24</v>
      </c>
      <c r="F854" s="40">
        <v>2.5</v>
      </c>
      <c r="G854" s="40">
        <v>0</v>
      </c>
      <c r="H854" s="3">
        <f t="shared" si="144"/>
        <v>23</v>
      </c>
      <c r="I854" s="3">
        <f t="shared" si="145"/>
        <v>2.3958333333333335</v>
      </c>
      <c r="J854" s="3">
        <f t="shared" si="146"/>
        <v>0</v>
      </c>
      <c r="K854" s="3"/>
      <c r="L854" s="60">
        <f t="shared" si="147"/>
        <v>333.03083333333325</v>
      </c>
      <c r="M854" s="40">
        <v>0</v>
      </c>
      <c r="N854" s="40">
        <v>0</v>
      </c>
      <c r="O854" s="40">
        <v>0</v>
      </c>
      <c r="P854" s="40">
        <v>0</v>
      </c>
      <c r="Q854" s="40">
        <v>0</v>
      </c>
      <c r="R854" s="40">
        <v>0</v>
      </c>
      <c r="S854" s="61">
        <f t="shared" si="148"/>
        <v>85.500000000000071</v>
      </c>
      <c r="T854" s="40">
        <v>5</v>
      </c>
      <c r="U854" s="40">
        <v>0</v>
      </c>
      <c r="V854" s="40">
        <v>6</v>
      </c>
      <c r="W854" s="40">
        <v>0</v>
      </c>
      <c r="X854" s="67">
        <f t="shared" si="149"/>
        <v>147</v>
      </c>
      <c r="Z854" s="71">
        <v>113</v>
      </c>
      <c r="AA854" s="71">
        <v>38</v>
      </c>
      <c r="AB854" s="67">
        <f t="shared" si="150"/>
        <v>151</v>
      </c>
      <c r="AD854" s="121"/>
      <c r="AE854" s="121"/>
    </row>
    <row r="855" spans="1:31" x14ac:dyDescent="0.25">
      <c r="A855" s="58" t="s">
        <v>1059</v>
      </c>
      <c r="B855" s="7">
        <v>0.16666666666666666</v>
      </c>
      <c r="C855" s="3">
        <f t="shared" si="151"/>
        <v>20</v>
      </c>
      <c r="D855" s="10" t="s">
        <v>201</v>
      </c>
      <c r="E855" s="40">
        <v>24</v>
      </c>
      <c r="F855" s="40">
        <v>2.5</v>
      </c>
      <c r="G855" s="40">
        <v>0</v>
      </c>
      <c r="H855" s="3">
        <f t="shared" si="144"/>
        <v>20</v>
      </c>
      <c r="I855" s="3">
        <f t="shared" si="145"/>
        <v>2.0833333333333335</v>
      </c>
      <c r="J855" s="3">
        <f t="shared" si="146"/>
        <v>0</v>
      </c>
      <c r="K855" s="3"/>
      <c r="L855" s="60">
        <f t="shared" si="147"/>
        <v>310.94749999999993</v>
      </c>
      <c r="M855" s="40">
        <v>0</v>
      </c>
      <c r="N855" s="40">
        <v>0</v>
      </c>
      <c r="O855" s="40">
        <v>0</v>
      </c>
      <c r="P855" s="40">
        <v>0</v>
      </c>
      <c r="Q855" s="40">
        <v>0</v>
      </c>
      <c r="R855" s="40">
        <v>0</v>
      </c>
      <c r="S855" s="61">
        <f t="shared" si="148"/>
        <v>85.500000000000071</v>
      </c>
      <c r="T855" s="40">
        <v>4</v>
      </c>
      <c r="U855" s="40">
        <v>0</v>
      </c>
      <c r="V855" s="40">
        <v>5</v>
      </c>
      <c r="W855" s="40">
        <v>0</v>
      </c>
      <c r="X855" s="67">
        <f t="shared" si="149"/>
        <v>146</v>
      </c>
      <c r="Z855" s="71"/>
      <c r="AA855" s="71"/>
      <c r="AB855" s="67" t="str">
        <f t="shared" si="150"/>
        <v/>
      </c>
      <c r="AD855" s="121">
        <v>10.8</v>
      </c>
      <c r="AE855" s="121" t="s">
        <v>1315</v>
      </c>
    </row>
    <row r="856" spans="1:31" x14ac:dyDescent="0.25">
      <c r="A856" s="58" t="s">
        <v>1059</v>
      </c>
      <c r="B856" s="7">
        <v>0.19999999999999998</v>
      </c>
      <c r="C856" s="3">
        <f t="shared" si="151"/>
        <v>0.79999999999999982</v>
      </c>
      <c r="D856" s="10" t="s">
        <v>616</v>
      </c>
      <c r="E856" s="40">
        <v>5</v>
      </c>
      <c r="F856" s="40">
        <v>2.5</v>
      </c>
      <c r="G856" s="40">
        <v>2</v>
      </c>
      <c r="H856" s="3">
        <f t="shared" si="144"/>
        <v>0.16666666666666663</v>
      </c>
      <c r="I856" s="3">
        <f t="shared" si="145"/>
        <v>8.3333333333333315E-2</v>
      </c>
      <c r="J856" s="3">
        <f t="shared" si="146"/>
        <v>6.6666666666666652E-2</v>
      </c>
      <c r="K856" s="3"/>
      <c r="L856" s="60">
        <f t="shared" si="147"/>
        <v>310.63083333333327</v>
      </c>
      <c r="M856" s="40">
        <v>0</v>
      </c>
      <c r="N856" s="40">
        <v>0</v>
      </c>
      <c r="O856" s="40">
        <v>0</v>
      </c>
      <c r="P856" s="40">
        <v>0</v>
      </c>
      <c r="Q856" s="40">
        <v>0</v>
      </c>
      <c r="R856" s="40">
        <v>0</v>
      </c>
      <c r="S856" s="61">
        <f t="shared" si="148"/>
        <v>85.500000000000071</v>
      </c>
      <c r="T856" s="40">
        <v>0</v>
      </c>
      <c r="U856" s="40">
        <v>0</v>
      </c>
      <c r="V856" s="40">
        <v>0</v>
      </c>
      <c r="W856" s="40">
        <v>0</v>
      </c>
      <c r="X856" s="67">
        <f t="shared" si="149"/>
        <v>146</v>
      </c>
      <c r="Z856" s="71"/>
      <c r="AA856" s="71"/>
      <c r="AB856" s="67" t="str">
        <f t="shared" si="150"/>
        <v/>
      </c>
      <c r="AD856" s="121"/>
      <c r="AE856" s="121"/>
    </row>
    <row r="857" spans="1:31" x14ac:dyDescent="0.25">
      <c r="A857" s="58" t="s">
        <v>1059</v>
      </c>
      <c r="B857" s="65">
        <v>0.33333333333333331</v>
      </c>
      <c r="C857" s="3">
        <f t="shared" si="151"/>
        <v>3.2</v>
      </c>
      <c r="D857" s="10" t="s">
        <v>351</v>
      </c>
      <c r="E857" s="40">
        <v>0</v>
      </c>
      <c r="F857" s="40">
        <v>2.5</v>
      </c>
      <c r="G857" s="40">
        <v>2</v>
      </c>
      <c r="H857" s="3">
        <f t="shared" si="144"/>
        <v>0</v>
      </c>
      <c r="I857" s="3">
        <f t="shared" si="145"/>
        <v>0.33333333333333337</v>
      </c>
      <c r="J857" s="3">
        <f t="shared" si="146"/>
        <v>0.26666666666666666</v>
      </c>
      <c r="K857" s="3"/>
      <c r="L857" s="60">
        <f t="shared" si="147"/>
        <v>310.03083333333325</v>
      </c>
      <c r="M857" s="40">
        <v>0</v>
      </c>
      <c r="N857" s="40">
        <v>0</v>
      </c>
      <c r="O857" s="40">
        <v>0</v>
      </c>
      <c r="P857" s="40">
        <v>0</v>
      </c>
      <c r="Q857" s="40">
        <v>0</v>
      </c>
      <c r="R857" s="40">
        <v>0</v>
      </c>
      <c r="S857" s="61">
        <f t="shared" si="148"/>
        <v>85.500000000000071</v>
      </c>
      <c r="T857" s="40">
        <v>0</v>
      </c>
      <c r="U857" s="40">
        <v>0</v>
      </c>
      <c r="V857" s="40">
        <v>1</v>
      </c>
      <c r="W857" s="40">
        <v>0</v>
      </c>
      <c r="X857" s="67">
        <f t="shared" si="149"/>
        <v>145</v>
      </c>
      <c r="Z857" s="71"/>
      <c r="AA857" s="71"/>
      <c r="AB857" s="67" t="str">
        <f t="shared" si="150"/>
        <v/>
      </c>
      <c r="AD857" s="121"/>
      <c r="AE857" s="121"/>
    </row>
    <row r="858" spans="1:31" x14ac:dyDescent="0.25">
      <c r="A858" s="58" t="s">
        <v>1060</v>
      </c>
      <c r="B858" s="65">
        <v>0.33333333333333331</v>
      </c>
      <c r="C858" s="3">
        <v>24</v>
      </c>
      <c r="D858" s="10" t="s">
        <v>351</v>
      </c>
      <c r="E858" s="40">
        <v>0</v>
      </c>
      <c r="F858" s="40">
        <v>2.5</v>
      </c>
      <c r="G858" s="40">
        <v>2</v>
      </c>
      <c r="H858" s="3">
        <f t="shared" si="144"/>
        <v>0</v>
      </c>
      <c r="I858" s="3">
        <f t="shared" si="145"/>
        <v>2.5</v>
      </c>
      <c r="J858" s="3">
        <f t="shared" si="146"/>
        <v>2</v>
      </c>
      <c r="K858" s="3"/>
      <c r="L858" s="60">
        <f t="shared" si="147"/>
        <v>305.53083333333325</v>
      </c>
      <c r="M858" s="40">
        <v>0</v>
      </c>
      <c r="N858" s="40">
        <v>0</v>
      </c>
      <c r="O858" s="40">
        <v>0</v>
      </c>
      <c r="P858" s="40">
        <v>0</v>
      </c>
      <c r="Q858" s="40">
        <v>0</v>
      </c>
      <c r="R858" s="40">
        <v>0</v>
      </c>
      <c r="S858" s="61">
        <f t="shared" si="148"/>
        <v>85.500000000000071</v>
      </c>
      <c r="T858" s="40">
        <v>0</v>
      </c>
      <c r="U858" s="40">
        <v>0</v>
      </c>
      <c r="V858" s="40">
        <v>6</v>
      </c>
      <c r="W858" s="40">
        <v>0</v>
      </c>
      <c r="X858" s="67">
        <f t="shared" si="149"/>
        <v>139</v>
      </c>
      <c r="Z858" s="71">
        <v>123</v>
      </c>
      <c r="AA858" s="71">
        <v>42</v>
      </c>
      <c r="AB858" s="67">
        <f t="shared" si="150"/>
        <v>165</v>
      </c>
      <c r="AD858" s="121"/>
      <c r="AE858" s="121"/>
    </row>
    <row r="859" spans="1:31" x14ac:dyDescent="0.25">
      <c r="A859" s="58" t="s">
        <v>1061</v>
      </c>
      <c r="B859" s="65">
        <v>0.33333333333333331</v>
      </c>
      <c r="C859" s="3">
        <v>24</v>
      </c>
      <c r="D859" s="10" t="s">
        <v>351</v>
      </c>
      <c r="E859" s="40">
        <v>0</v>
      </c>
      <c r="F859" s="40">
        <v>2.5</v>
      </c>
      <c r="G859" s="40">
        <v>2</v>
      </c>
      <c r="H859" s="3">
        <f t="shared" si="144"/>
        <v>0</v>
      </c>
      <c r="I859" s="3">
        <f t="shared" si="145"/>
        <v>2.5</v>
      </c>
      <c r="J859" s="3">
        <f t="shared" si="146"/>
        <v>2</v>
      </c>
      <c r="K859" s="3"/>
      <c r="L859" s="60">
        <f t="shared" si="147"/>
        <v>301.03083333333325</v>
      </c>
      <c r="M859" s="40">
        <v>0</v>
      </c>
      <c r="N859" s="40">
        <v>0</v>
      </c>
      <c r="O859" s="40">
        <v>0</v>
      </c>
      <c r="P859" s="40">
        <v>0</v>
      </c>
      <c r="Q859" s="40">
        <v>0</v>
      </c>
      <c r="R859" s="40">
        <v>0</v>
      </c>
      <c r="S859" s="61">
        <f t="shared" si="148"/>
        <v>85.500000000000071</v>
      </c>
      <c r="T859" s="40">
        <v>0</v>
      </c>
      <c r="U859" s="40">
        <v>0</v>
      </c>
      <c r="V859" s="40">
        <v>6</v>
      </c>
      <c r="W859" s="40">
        <v>0</v>
      </c>
      <c r="X859" s="67">
        <f t="shared" si="149"/>
        <v>133</v>
      </c>
      <c r="Z859" s="71">
        <v>145</v>
      </c>
      <c r="AA859" s="71">
        <v>42</v>
      </c>
      <c r="AB859" s="67">
        <f t="shared" si="150"/>
        <v>187</v>
      </c>
      <c r="AD859" s="121"/>
      <c r="AE859" s="121"/>
    </row>
    <row r="860" spans="1:31" x14ac:dyDescent="0.25">
      <c r="A860" s="58" t="s">
        <v>1061</v>
      </c>
      <c r="B860" s="7">
        <v>0.98333333333333339</v>
      </c>
      <c r="C860" s="3">
        <f t="shared" si="151"/>
        <v>15.600000000000003</v>
      </c>
      <c r="D860" s="10" t="s">
        <v>1011</v>
      </c>
      <c r="E860" s="40">
        <v>0</v>
      </c>
      <c r="F860" s="40">
        <v>2.5</v>
      </c>
      <c r="G860" s="40">
        <v>2</v>
      </c>
      <c r="H860" s="3">
        <f t="shared" si="144"/>
        <v>0</v>
      </c>
      <c r="I860" s="3">
        <f t="shared" si="145"/>
        <v>1.6250000000000004</v>
      </c>
      <c r="J860" s="3">
        <f t="shared" si="146"/>
        <v>1.3000000000000003</v>
      </c>
      <c r="K860" s="3"/>
      <c r="L860" s="60">
        <f t="shared" si="147"/>
        <v>298.10583333333324</v>
      </c>
      <c r="M860" s="40">
        <v>0</v>
      </c>
      <c r="N860" s="40">
        <v>0</v>
      </c>
      <c r="O860" s="40">
        <v>0</v>
      </c>
      <c r="P860" s="40">
        <v>0</v>
      </c>
      <c r="Q860" s="40">
        <v>0</v>
      </c>
      <c r="R860" s="40">
        <v>0</v>
      </c>
      <c r="S860" s="61">
        <f t="shared" si="148"/>
        <v>85.500000000000071</v>
      </c>
      <c r="T860" s="40">
        <v>0</v>
      </c>
      <c r="U860" s="40">
        <v>0</v>
      </c>
      <c r="V860" s="40">
        <v>0</v>
      </c>
      <c r="W860" s="40">
        <v>0</v>
      </c>
      <c r="X860" s="67">
        <f t="shared" si="149"/>
        <v>133</v>
      </c>
      <c r="Z860" s="71"/>
      <c r="AA860" s="71"/>
      <c r="AB860" s="67" t="str">
        <f t="shared" si="150"/>
        <v/>
      </c>
      <c r="AD860" s="121"/>
      <c r="AE860" s="121"/>
    </row>
    <row r="861" spans="1:31" x14ac:dyDescent="0.25">
      <c r="A861" s="58" t="s">
        <v>1061</v>
      </c>
      <c r="B861" s="7">
        <v>0.98749999999999993</v>
      </c>
      <c r="C861" s="3">
        <f t="shared" si="151"/>
        <v>9.999999999999698E-2</v>
      </c>
      <c r="D861" s="10" t="s">
        <v>1022</v>
      </c>
      <c r="E861" s="40">
        <v>5</v>
      </c>
      <c r="F861" s="40">
        <v>2.5</v>
      </c>
      <c r="G861" s="40">
        <v>2</v>
      </c>
      <c r="H861" s="3">
        <f t="shared" si="144"/>
        <v>2.0833333333332704E-2</v>
      </c>
      <c r="I861" s="3">
        <f t="shared" si="145"/>
        <v>1.0416666666666352E-2</v>
      </c>
      <c r="J861" s="3">
        <f t="shared" si="146"/>
        <v>8.3333333333330817E-3</v>
      </c>
      <c r="K861" s="3"/>
      <c r="L861" s="60">
        <f t="shared" si="147"/>
        <v>298.06624999999991</v>
      </c>
      <c r="M861" s="40">
        <v>0</v>
      </c>
      <c r="N861" s="40">
        <v>0</v>
      </c>
      <c r="O861" s="40">
        <v>0</v>
      </c>
      <c r="P861" s="40">
        <v>0</v>
      </c>
      <c r="Q861" s="40">
        <v>0</v>
      </c>
      <c r="R861" s="40">
        <v>0</v>
      </c>
      <c r="S861" s="61">
        <f t="shared" si="148"/>
        <v>85.500000000000071</v>
      </c>
      <c r="T861" s="40">
        <v>0</v>
      </c>
      <c r="U861" s="40">
        <v>0</v>
      </c>
      <c r="V861" s="40">
        <v>0</v>
      </c>
      <c r="W861" s="40">
        <v>0</v>
      </c>
      <c r="X861" s="67">
        <f t="shared" si="149"/>
        <v>133</v>
      </c>
      <c r="Z861" s="71"/>
      <c r="AA861" s="71"/>
      <c r="AB861" s="67" t="str">
        <f t="shared" si="150"/>
        <v/>
      </c>
      <c r="AD861" s="121"/>
      <c r="AE861" s="121"/>
    </row>
    <row r="862" spans="1:31" x14ac:dyDescent="0.25">
      <c r="A862" s="58" t="s">
        <v>1062</v>
      </c>
      <c r="B862" s="7">
        <v>7.0833333333333331E-2</v>
      </c>
      <c r="C862" s="3">
        <f t="shared" si="151"/>
        <v>2</v>
      </c>
      <c r="D862" s="10" t="s">
        <v>201</v>
      </c>
      <c r="E862" s="40">
        <v>5</v>
      </c>
      <c r="F862" s="40">
        <v>2.5</v>
      </c>
      <c r="G862" s="40">
        <v>2</v>
      </c>
      <c r="H862" s="3">
        <f t="shared" si="144"/>
        <v>0.41666666666666669</v>
      </c>
      <c r="I862" s="3">
        <f t="shared" si="145"/>
        <v>0.20833333333333334</v>
      </c>
      <c r="J862" s="3">
        <f t="shared" si="146"/>
        <v>0.16666666666666666</v>
      </c>
      <c r="K862" s="3"/>
      <c r="L862" s="60">
        <f t="shared" si="147"/>
        <v>297.27458333333323</v>
      </c>
      <c r="M862" s="40">
        <v>0</v>
      </c>
      <c r="N862" s="40">
        <v>0</v>
      </c>
      <c r="O862" s="40">
        <v>0</v>
      </c>
      <c r="P862" s="40">
        <v>0</v>
      </c>
      <c r="Q862" s="40">
        <v>0</v>
      </c>
      <c r="R862" s="40">
        <v>0</v>
      </c>
      <c r="S862" s="61">
        <f t="shared" si="148"/>
        <v>85.500000000000071</v>
      </c>
      <c r="T862" s="40">
        <v>0</v>
      </c>
      <c r="U862" s="40">
        <v>0</v>
      </c>
      <c r="V862" s="40">
        <v>0</v>
      </c>
      <c r="W862" s="40">
        <v>0</v>
      </c>
      <c r="X862" s="67">
        <f t="shared" si="149"/>
        <v>133</v>
      </c>
      <c r="Z862" s="71"/>
      <c r="AA862" s="71"/>
      <c r="AB862" s="67" t="str">
        <f t="shared" si="150"/>
        <v/>
      </c>
      <c r="AD862" s="121">
        <v>11</v>
      </c>
      <c r="AE862" s="121" t="s">
        <v>1301</v>
      </c>
    </row>
    <row r="863" spans="1:31" x14ac:dyDescent="0.25">
      <c r="A863" s="58" t="s">
        <v>1062</v>
      </c>
      <c r="B863" s="7">
        <v>9.5833333333333326E-2</v>
      </c>
      <c r="C863" s="3">
        <f t="shared" si="151"/>
        <v>0.59999999999999987</v>
      </c>
      <c r="D863" s="10" t="s">
        <v>616</v>
      </c>
      <c r="E863" s="40">
        <v>5</v>
      </c>
      <c r="F863" s="40">
        <v>2.5</v>
      </c>
      <c r="G863" s="40">
        <v>2</v>
      </c>
      <c r="H863" s="3">
        <f t="shared" si="144"/>
        <v>0.12499999999999997</v>
      </c>
      <c r="I863" s="3">
        <f t="shared" si="145"/>
        <v>6.2499999999999986E-2</v>
      </c>
      <c r="J863" s="3">
        <f t="shared" si="146"/>
        <v>4.9999999999999989E-2</v>
      </c>
      <c r="K863" s="3"/>
      <c r="L863" s="60">
        <f t="shared" si="147"/>
        <v>297.03708333333321</v>
      </c>
      <c r="M863" s="40">
        <v>0</v>
      </c>
      <c r="N863" s="40">
        <v>0</v>
      </c>
      <c r="O863" s="40">
        <v>0</v>
      </c>
      <c r="P863" s="40">
        <v>0</v>
      </c>
      <c r="Q863" s="40">
        <v>0</v>
      </c>
      <c r="R863" s="40">
        <v>0</v>
      </c>
      <c r="S863" s="61">
        <f t="shared" si="148"/>
        <v>85.500000000000071</v>
      </c>
      <c r="T863" s="40">
        <v>0</v>
      </c>
      <c r="U863" s="40">
        <v>0</v>
      </c>
      <c r="V863" s="40">
        <v>4</v>
      </c>
      <c r="W863" s="40">
        <v>0</v>
      </c>
      <c r="X863" s="67">
        <f t="shared" si="149"/>
        <v>129</v>
      </c>
      <c r="Z863" s="71"/>
      <c r="AA863" s="71"/>
      <c r="AB863" s="67" t="str">
        <f t="shared" si="150"/>
        <v/>
      </c>
      <c r="AD863" s="121"/>
      <c r="AE863" s="121"/>
    </row>
    <row r="864" spans="1:31" x14ac:dyDescent="0.25">
      <c r="A864" s="58" t="s">
        <v>1062</v>
      </c>
      <c r="B864" s="7">
        <v>0.23750000000000002</v>
      </c>
      <c r="C864" s="3">
        <f t="shared" si="151"/>
        <v>3.4000000000000004</v>
      </c>
      <c r="D864" s="10" t="s">
        <v>1004</v>
      </c>
      <c r="E864" s="40">
        <v>0</v>
      </c>
      <c r="F864" s="40">
        <v>2.5</v>
      </c>
      <c r="G864" s="40">
        <v>2</v>
      </c>
      <c r="H864" s="3">
        <f t="shared" si="144"/>
        <v>0</v>
      </c>
      <c r="I864" s="3">
        <f t="shared" si="145"/>
        <v>0.35416666666666674</v>
      </c>
      <c r="J864" s="3">
        <f t="shared" si="146"/>
        <v>0.28333333333333333</v>
      </c>
      <c r="K864" s="3"/>
      <c r="L864" s="60">
        <f t="shared" si="147"/>
        <v>296.39958333333323</v>
      </c>
      <c r="M864" s="40">
        <v>0</v>
      </c>
      <c r="N864" s="40">
        <v>0</v>
      </c>
      <c r="O864" s="40">
        <v>0</v>
      </c>
      <c r="P864" s="40">
        <v>0</v>
      </c>
      <c r="Q864" s="40">
        <v>0</v>
      </c>
      <c r="R864" s="40">
        <v>0</v>
      </c>
      <c r="S864" s="61">
        <f t="shared" si="148"/>
        <v>85.500000000000071</v>
      </c>
      <c r="T864" s="40">
        <v>0</v>
      </c>
      <c r="U864" s="40">
        <v>0</v>
      </c>
      <c r="V864" s="40">
        <v>0</v>
      </c>
      <c r="W864" s="40">
        <v>0</v>
      </c>
      <c r="X864" s="67">
        <f t="shared" si="149"/>
        <v>129</v>
      </c>
      <c r="Z864" s="71"/>
      <c r="AA864" s="71"/>
      <c r="AB864" s="67" t="str">
        <f t="shared" si="150"/>
        <v/>
      </c>
      <c r="AD864" s="121"/>
      <c r="AE864" s="121"/>
    </row>
    <row r="865" spans="1:31" x14ac:dyDescent="0.25">
      <c r="A865" s="58" t="s">
        <v>1062</v>
      </c>
      <c r="B865" s="65">
        <v>0.33333333333333331</v>
      </c>
      <c r="C865" s="3">
        <f t="shared" si="151"/>
        <v>2.2999999999999989</v>
      </c>
      <c r="D865" s="10" t="s">
        <v>966</v>
      </c>
      <c r="E865" s="40">
        <v>0</v>
      </c>
      <c r="F865" s="40">
        <v>2.5</v>
      </c>
      <c r="G865" s="40">
        <v>2</v>
      </c>
      <c r="H865" s="3">
        <f t="shared" si="144"/>
        <v>0</v>
      </c>
      <c r="I865" s="3">
        <f t="shared" si="145"/>
        <v>0.23958333333333323</v>
      </c>
      <c r="J865" s="3">
        <f t="shared" si="146"/>
        <v>0.19166666666666657</v>
      </c>
      <c r="K865" s="3"/>
      <c r="L865" s="60">
        <f t="shared" si="147"/>
        <v>295.96833333333325</v>
      </c>
      <c r="M865" s="40">
        <v>0</v>
      </c>
      <c r="N865" s="40">
        <v>0</v>
      </c>
      <c r="O865" s="40">
        <v>0</v>
      </c>
      <c r="P865" s="40">
        <v>0</v>
      </c>
      <c r="Q865" s="40">
        <v>0.6</v>
      </c>
      <c r="R865" s="40">
        <v>0</v>
      </c>
      <c r="S865" s="61">
        <f t="shared" si="148"/>
        <v>84.900000000000077</v>
      </c>
      <c r="T865" s="40">
        <v>0</v>
      </c>
      <c r="U865" s="40">
        <v>0</v>
      </c>
      <c r="V865" s="40">
        <v>2</v>
      </c>
      <c r="W865" s="40">
        <v>0</v>
      </c>
      <c r="X865" s="67">
        <f t="shared" si="149"/>
        <v>127</v>
      </c>
      <c r="Z865" s="71"/>
      <c r="AA865" s="71"/>
      <c r="AB865" s="67" t="str">
        <f t="shared" si="150"/>
        <v/>
      </c>
      <c r="AD865" s="121"/>
      <c r="AE865" s="121"/>
    </row>
    <row r="866" spans="1:31" x14ac:dyDescent="0.25">
      <c r="A866" s="58" t="s">
        <v>1063</v>
      </c>
      <c r="B866" s="65">
        <v>0.33333333333333331</v>
      </c>
      <c r="C866" s="3">
        <v>24</v>
      </c>
      <c r="D866" s="10" t="s">
        <v>966</v>
      </c>
      <c r="E866" s="40">
        <v>0</v>
      </c>
      <c r="F866" s="40">
        <v>2.5</v>
      </c>
      <c r="G866" s="40">
        <v>2</v>
      </c>
      <c r="H866" s="3">
        <f t="shared" si="144"/>
        <v>0</v>
      </c>
      <c r="I866" s="3">
        <f t="shared" si="145"/>
        <v>2.5</v>
      </c>
      <c r="J866" s="3">
        <f t="shared" si="146"/>
        <v>2</v>
      </c>
      <c r="K866" s="3"/>
      <c r="L866" s="60">
        <f t="shared" si="147"/>
        <v>291.46833333333325</v>
      </c>
      <c r="M866" s="40">
        <v>0</v>
      </c>
      <c r="N866" s="40">
        <v>0</v>
      </c>
      <c r="O866" s="40">
        <v>0</v>
      </c>
      <c r="P866" s="40">
        <v>0</v>
      </c>
      <c r="Q866" s="40">
        <v>6</v>
      </c>
      <c r="R866" s="40">
        <v>0</v>
      </c>
      <c r="S866" s="61">
        <f t="shared" si="148"/>
        <v>78.900000000000077</v>
      </c>
      <c r="T866" s="40">
        <v>0</v>
      </c>
      <c r="U866" s="40">
        <v>0</v>
      </c>
      <c r="V866" s="40">
        <v>6</v>
      </c>
      <c r="W866" s="40">
        <v>0</v>
      </c>
      <c r="X866" s="67">
        <f t="shared" si="149"/>
        <v>121</v>
      </c>
      <c r="Z866" s="71">
        <v>137</v>
      </c>
      <c r="AA866" s="71">
        <v>36</v>
      </c>
      <c r="AB866" s="67">
        <f t="shared" si="150"/>
        <v>173</v>
      </c>
      <c r="AD866" s="121"/>
      <c r="AE866" s="121"/>
    </row>
    <row r="867" spans="1:31" x14ac:dyDescent="0.25">
      <c r="A867" s="58" t="s">
        <v>1063</v>
      </c>
      <c r="B867" s="7">
        <v>0.52916666666666667</v>
      </c>
      <c r="C867" s="3">
        <f t="shared" si="151"/>
        <v>4.7000000000000011</v>
      </c>
      <c r="D867" s="10" t="s">
        <v>265</v>
      </c>
      <c r="E867" s="40">
        <v>0</v>
      </c>
      <c r="F867" s="40">
        <v>2.5</v>
      </c>
      <c r="G867" s="40">
        <v>2</v>
      </c>
      <c r="H867" s="3">
        <f t="shared" si="144"/>
        <v>0</v>
      </c>
      <c r="I867" s="3">
        <f t="shared" si="145"/>
        <v>0.48958333333333348</v>
      </c>
      <c r="J867" s="3">
        <f t="shared" si="146"/>
        <v>0.39166666666666672</v>
      </c>
      <c r="K867" s="3"/>
      <c r="L867" s="60">
        <f t="shared" si="147"/>
        <v>290.58708333333323</v>
      </c>
      <c r="M867" s="40">
        <v>0</v>
      </c>
      <c r="N867" s="40">
        <v>0</v>
      </c>
      <c r="O867" s="40">
        <v>0</v>
      </c>
      <c r="P867" s="40">
        <v>0</v>
      </c>
      <c r="Q867" s="40">
        <v>1.2</v>
      </c>
      <c r="R867" s="40">
        <v>0</v>
      </c>
      <c r="S867" s="61">
        <f t="shared" si="148"/>
        <v>77.700000000000074</v>
      </c>
      <c r="T867" s="40">
        <v>0</v>
      </c>
      <c r="U867" s="40">
        <v>0</v>
      </c>
      <c r="V867" s="40">
        <v>2</v>
      </c>
      <c r="W867" s="40">
        <v>0</v>
      </c>
      <c r="X867" s="67">
        <f t="shared" si="149"/>
        <v>119</v>
      </c>
      <c r="Z867" s="71"/>
      <c r="AA867" s="71"/>
      <c r="AB867" s="67" t="str">
        <f t="shared" si="150"/>
        <v/>
      </c>
      <c r="AD867" s="121"/>
      <c r="AE867" s="121"/>
    </row>
    <row r="868" spans="1:31" x14ac:dyDescent="0.25">
      <c r="A868" s="58" t="s">
        <v>1063</v>
      </c>
      <c r="B868" s="7">
        <v>0.64166666666666672</v>
      </c>
      <c r="C868" s="3">
        <f t="shared" si="151"/>
        <v>2.7000000000000011</v>
      </c>
      <c r="D868" s="10" t="s">
        <v>1011</v>
      </c>
      <c r="E868" s="40">
        <v>0</v>
      </c>
      <c r="F868" s="40">
        <v>2.5</v>
      </c>
      <c r="G868" s="40">
        <v>2</v>
      </c>
      <c r="H868" s="3">
        <f t="shared" si="144"/>
        <v>0</v>
      </c>
      <c r="I868" s="3">
        <f t="shared" si="145"/>
        <v>0.28125000000000011</v>
      </c>
      <c r="J868" s="3">
        <f t="shared" si="146"/>
        <v>0.22500000000000009</v>
      </c>
      <c r="K868" s="3"/>
      <c r="L868" s="60">
        <f t="shared" si="147"/>
        <v>290.0808333333332</v>
      </c>
      <c r="M868" s="40">
        <v>0</v>
      </c>
      <c r="N868" s="40">
        <v>0</v>
      </c>
      <c r="O868" s="40">
        <v>0</v>
      </c>
      <c r="P868" s="40">
        <v>0</v>
      </c>
      <c r="Q868" s="40">
        <v>0</v>
      </c>
      <c r="R868" s="40">
        <v>0</v>
      </c>
      <c r="S868" s="61">
        <f t="shared" si="148"/>
        <v>77.700000000000074</v>
      </c>
      <c r="T868" s="40">
        <v>0</v>
      </c>
      <c r="U868" s="40">
        <v>0</v>
      </c>
      <c r="V868" s="40">
        <v>0</v>
      </c>
      <c r="W868" s="40">
        <v>0</v>
      </c>
      <c r="X868" s="67">
        <f t="shared" si="149"/>
        <v>119</v>
      </c>
      <c r="Z868" s="71"/>
      <c r="AA868" s="71"/>
      <c r="AB868" s="67" t="str">
        <f t="shared" si="150"/>
        <v/>
      </c>
      <c r="AD868" s="121"/>
      <c r="AE868" s="121"/>
    </row>
    <row r="869" spans="1:31" x14ac:dyDescent="0.25">
      <c r="A869" s="58" t="s">
        <v>1063</v>
      </c>
      <c r="B869" s="7">
        <v>0.72916666666666663</v>
      </c>
      <c r="C869" s="3">
        <f t="shared" si="151"/>
        <v>2.0999999999999979</v>
      </c>
      <c r="D869" s="10" t="s">
        <v>1022</v>
      </c>
      <c r="E869" s="40">
        <v>2</v>
      </c>
      <c r="F869" s="40">
        <v>2.5</v>
      </c>
      <c r="G869" s="40">
        <v>2</v>
      </c>
      <c r="H869" s="3">
        <f t="shared" si="144"/>
        <v>0.17499999999999982</v>
      </c>
      <c r="I869" s="3">
        <f t="shared" si="145"/>
        <v>0.21874999999999978</v>
      </c>
      <c r="J869" s="3">
        <f t="shared" si="146"/>
        <v>0.17499999999999982</v>
      </c>
      <c r="K869" s="3"/>
      <c r="L869" s="60">
        <f t="shared" si="147"/>
        <v>289.51208333333318</v>
      </c>
      <c r="M869" s="40">
        <v>0</v>
      </c>
      <c r="N869" s="40">
        <v>0</v>
      </c>
      <c r="O869" s="40">
        <v>0</v>
      </c>
      <c r="P869" s="40">
        <v>0</v>
      </c>
      <c r="Q869" s="40">
        <v>0</v>
      </c>
      <c r="R869" s="40">
        <v>0</v>
      </c>
      <c r="S869" s="61">
        <f t="shared" si="148"/>
        <v>77.700000000000074</v>
      </c>
      <c r="T869" s="40">
        <v>0</v>
      </c>
      <c r="U869" s="40">
        <v>0</v>
      </c>
      <c r="V869" s="40">
        <v>0</v>
      </c>
      <c r="W869" s="40">
        <v>0</v>
      </c>
      <c r="X869" s="67">
        <f t="shared" si="149"/>
        <v>119</v>
      </c>
      <c r="Z869" s="71"/>
      <c r="AA869" s="71"/>
      <c r="AB869" s="67" t="str">
        <f t="shared" si="150"/>
        <v/>
      </c>
      <c r="AD869" s="121"/>
      <c r="AE869" s="121"/>
    </row>
    <row r="870" spans="1:31" x14ac:dyDescent="0.25">
      <c r="A870" s="58" t="s">
        <v>1063</v>
      </c>
      <c r="B870" s="7">
        <v>0.88750000000000007</v>
      </c>
      <c r="C870" s="3">
        <f t="shared" si="151"/>
        <v>3.8000000000000025</v>
      </c>
      <c r="D870" s="10" t="s">
        <v>201</v>
      </c>
      <c r="E870" s="40">
        <v>22</v>
      </c>
      <c r="F870" s="40">
        <v>2.5</v>
      </c>
      <c r="G870" s="40">
        <v>0</v>
      </c>
      <c r="H870" s="3">
        <f t="shared" si="144"/>
        <v>3.4833333333333356</v>
      </c>
      <c r="I870" s="3">
        <f t="shared" si="145"/>
        <v>0.39583333333333359</v>
      </c>
      <c r="J870" s="3">
        <f t="shared" si="146"/>
        <v>0</v>
      </c>
      <c r="K870" s="3"/>
      <c r="L870" s="60">
        <f t="shared" si="147"/>
        <v>285.63291666666652</v>
      </c>
      <c r="M870" s="40">
        <v>0</v>
      </c>
      <c r="N870" s="40">
        <v>0</v>
      </c>
      <c r="O870" s="40">
        <v>0</v>
      </c>
      <c r="P870" s="40">
        <v>0</v>
      </c>
      <c r="Q870" s="40">
        <v>0</v>
      </c>
      <c r="R870" s="40">
        <v>0</v>
      </c>
      <c r="S870" s="61">
        <f t="shared" si="148"/>
        <v>77.700000000000074</v>
      </c>
      <c r="T870" s="40">
        <v>0</v>
      </c>
      <c r="U870" s="40">
        <v>0</v>
      </c>
      <c r="V870" s="40">
        <v>0</v>
      </c>
      <c r="W870" s="40">
        <v>0</v>
      </c>
      <c r="X870" s="67">
        <f t="shared" si="149"/>
        <v>119</v>
      </c>
      <c r="Z870" s="71"/>
      <c r="AA870" s="71"/>
      <c r="AB870" s="67" t="str">
        <f t="shared" si="150"/>
        <v/>
      </c>
      <c r="AD870" s="121">
        <v>13.9</v>
      </c>
      <c r="AE870" s="121" t="s">
        <v>1301</v>
      </c>
    </row>
    <row r="871" spans="1:31" x14ac:dyDescent="0.25">
      <c r="A871" s="58" t="s">
        <v>1063</v>
      </c>
      <c r="B871" s="7">
        <v>0.89583333333333337</v>
      </c>
      <c r="C871" s="3">
        <f t="shared" si="151"/>
        <v>0.19999999999999929</v>
      </c>
      <c r="D871" s="10" t="s">
        <v>616</v>
      </c>
      <c r="E871" s="40">
        <v>5</v>
      </c>
      <c r="F871" s="40">
        <v>2.5</v>
      </c>
      <c r="G871" s="40">
        <v>2</v>
      </c>
      <c r="H871" s="3">
        <f t="shared" si="144"/>
        <v>4.1666666666666519E-2</v>
      </c>
      <c r="I871" s="3">
        <f t="shared" si="145"/>
        <v>2.0833333333333259E-2</v>
      </c>
      <c r="J871" s="3">
        <f t="shared" si="146"/>
        <v>1.6666666666666607E-2</v>
      </c>
      <c r="K871" s="3"/>
      <c r="L871" s="60">
        <f t="shared" si="147"/>
        <v>285.55374999999987</v>
      </c>
      <c r="M871" s="40">
        <v>0</v>
      </c>
      <c r="N871" s="40">
        <v>0</v>
      </c>
      <c r="O871" s="40">
        <v>0</v>
      </c>
      <c r="P871" s="40">
        <v>0</v>
      </c>
      <c r="Q871" s="40">
        <v>0</v>
      </c>
      <c r="R871" s="40">
        <v>0</v>
      </c>
      <c r="S871" s="61">
        <f t="shared" si="148"/>
        <v>77.700000000000074</v>
      </c>
      <c r="T871" s="40">
        <v>0</v>
      </c>
      <c r="U871" s="40">
        <v>0</v>
      </c>
      <c r="V871" s="40">
        <v>0</v>
      </c>
      <c r="W871" s="40">
        <v>0</v>
      </c>
      <c r="X871" s="67">
        <f t="shared" si="149"/>
        <v>119</v>
      </c>
      <c r="Z871" s="71"/>
      <c r="AA871" s="71"/>
      <c r="AB871" s="67" t="str">
        <f t="shared" si="150"/>
        <v/>
      </c>
      <c r="AD871" s="121"/>
      <c r="AE871" s="121"/>
    </row>
    <row r="872" spans="1:31" x14ac:dyDescent="0.25">
      <c r="A872" s="58" t="s">
        <v>1064</v>
      </c>
      <c r="B872" s="65">
        <v>0.33333333333333331</v>
      </c>
      <c r="C872" s="3">
        <f t="shared" ref="C872:C936" si="152">+IF((B872-B871)&lt;0,((B872-B871)*24)+24,(B872-B871)*24)</f>
        <v>10.5</v>
      </c>
      <c r="D872" s="10" t="s">
        <v>351</v>
      </c>
      <c r="E872" s="40">
        <v>0</v>
      </c>
      <c r="F872" s="40">
        <v>2.5</v>
      </c>
      <c r="G872" s="40">
        <v>2</v>
      </c>
      <c r="H872" s="3">
        <f t="shared" si="144"/>
        <v>0</v>
      </c>
      <c r="I872" s="3">
        <f t="shared" si="145"/>
        <v>1.09375</v>
      </c>
      <c r="J872" s="3">
        <f t="shared" si="146"/>
        <v>0.875</v>
      </c>
      <c r="K872" s="3"/>
      <c r="L872" s="60">
        <f t="shared" ref="L872:L936" si="153">+IF(C872="","",(L871+K872)-(H872+I872+J872))</f>
        <v>283.58499999999987</v>
      </c>
      <c r="M872" s="40">
        <v>0</v>
      </c>
      <c r="N872" s="40">
        <v>0</v>
      </c>
      <c r="O872" s="40">
        <v>0</v>
      </c>
      <c r="P872" s="40">
        <v>0</v>
      </c>
      <c r="Q872" s="40">
        <v>0</v>
      </c>
      <c r="R872" s="40">
        <v>0</v>
      </c>
      <c r="S872" s="61">
        <f t="shared" ref="S872:S936" si="154">IF(C872="","",(S871+R872)-(M872+N872+O872+P872+Q872))</f>
        <v>77.700000000000074</v>
      </c>
      <c r="T872" s="40">
        <v>0</v>
      </c>
      <c r="U872" s="40">
        <v>0</v>
      </c>
      <c r="V872" s="40">
        <v>4</v>
      </c>
      <c r="W872" s="40">
        <v>0</v>
      </c>
      <c r="X872" s="67">
        <f t="shared" ref="X872:X936" si="155">IF(V872="","",((X871+T872+U872)-(V872+W872)))</f>
        <v>115</v>
      </c>
      <c r="Z872" s="71">
        <v>133</v>
      </c>
      <c r="AA872" s="71">
        <v>38</v>
      </c>
      <c r="AB872" s="67">
        <f t="shared" ref="AB872:AB936" si="156">IF(Z872="","",Z872+AA872)</f>
        <v>171</v>
      </c>
      <c r="AD872" s="121"/>
      <c r="AE872" s="121"/>
    </row>
    <row r="873" spans="1:31" x14ac:dyDescent="0.25">
      <c r="A873" s="58" t="s">
        <v>1064</v>
      </c>
      <c r="B873" s="7">
        <v>0.70000000000000007</v>
      </c>
      <c r="C873" s="3">
        <f t="shared" si="152"/>
        <v>8.8000000000000025</v>
      </c>
      <c r="D873" s="10" t="s">
        <v>1011</v>
      </c>
      <c r="E873" s="40">
        <v>0</v>
      </c>
      <c r="F873" s="40">
        <v>2.5</v>
      </c>
      <c r="G873" s="40">
        <v>2</v>
      </c>
      <c r="H873" s="3">
        <f t="shared" si="144"/>
        <v>0</v>
      </c>
      <c r="I873" s="3">
        <f t="shared" si="145"/>
        <v>0.91666666666666696</v>
      </c>
      <c r="J873" s="3">
        <f t="shared" si="146"/>
        <v>0.7333333333333335</v>
      </c>
      <c r="K873" s="3"/>
      <c r="L873" s="60">
        <f t="shared" si="153"/>
        <v>281.93499999999989</v>
      </c>
      <c r="M873" s="40">
        <v>0</v>
      </c>
      <c r="N873" s="40">
        <v>0</v>
      </c>
      <c r="O873" s="40">
        <v>0</v>
      </c>
      <c r="P873" s="40">
        <v>0</v>
      </c>
      <c r="Q873" s="40">
        <v>0</v>
      </c>
      <c r="R873" s="40">
        <v>0</v>
      </c>
      <c r="S873" s="61">
        <f t="shared" si="154"/>
        <v>77.700000000000074</v>
      </c>
      <c r="T873" s="40">
        <v>0</v>
      </c>
      <c r="U873" s="40">
        <v>0</v>
      </c>
      <c r="V873" s="40">
        <v>0</v>
      </c>
      <c r="W873" s="40">
        <v>0</v>
      </c>
      <c r="X873" s="67">
        <f t="shared" si="155"/>
        <v>115</v>
      </c>
      <c r="Z873" s="71"/>
      <c r="AA873" s="71"/>
      <c r="AB873" s="67" t="str">
        <f t="shared" si="156"/>
        <v/>
      </c>
      <c r="AD873" s="121"/>
      <c r="AE873" s="121"/>
    </row>
    <row r="874" spans="1:31" x14ac:dyDescent="0.25">
      <c r="A874" s="58" t="s">
        <v>1064</v>
      </c>
      <c r="B874" s="7">
        <v>0.78333333333333333</v>
      </c>
      <c r="C874" s="3">
        <f t="shared" si="152"/>
        <v>1.9999999999999982</v>
      </c>
      <c r="D874" s="10" t="s">
        <v>616</v>
      </c>
      <c r="E874" s="40">
        <v>5</v>
      </c>
      <c r="F874" s="40">
        <v>2.5</v>
      </c>
      <c r="G874" s="40">
        <v>2</v>
      </c>
      <c r="H874" s="3">
        <f t="shared" si="144"/>
        <v>0.4166666666666663</v>
      </c>
      <c r="I874" s="3">
        <f t="shared" si="145"/>
        <v>0.20833333333333315</v>
      </c>
      <c r="J874" s="3">
        <f t="shared" si="146"/>
        <v>0.16666666666666652</v>
      </c>
      <c r="K874" s="3"/>
      <c r="L874" s="60">
        <f t="shared" si="153"/>
        <v>281.1433333333332</v>
      </c>
      <c r="M874" s="40">
        <v>0</v>
      </c>
      <c r="N874" s="40">
        <v>0</v>
      </c>
      <c r="O874" s="40">
        <v>0</v>
      </c>
      <c r="P874" s="40">
        <v>0</v>
      </c>
      <c r="Q874" s="40">
        <v>0</v>
      </c>
      <c r="R874" s="40">
        <v>0</v>
      </c>
      <c r="S874" s="61">
        <f t="shared" si="154"/>
        <v>77.700000000000074</v>
      </c>
      <c r="T874" s="40">
        <v>0</v>
      </c>
      <c r="U874" s="40">
        <v>0</v>
      </c>
      <c r="V874" s="40">
        <v>4</v>
      </c>
      <c r="W874" s="40">
        <v>0</v>
      </c>
      <c r="X874" s="67">
        <f t="shared" si="155"/>
        <v>111</v>
      </c>
      <c r="Z874" s="71"/>
      <c r="AA874" s="71"/>
      <c r="AB874" s="67" t="str">
        <f t="shared" si="156"/>
        <v/>
      </c>
      <c r="AD874" s="121"/>
      <c r="AE874" s="121"/>
    </row>
    <row r="875" spans="1:31" x14ac:dyDescent="0.25">
      <c r="A875" s="58" t="s">
        <v>1064</v>
      </c>
      <c r="B875" s="7">
        <v>0.88750000000000007</v>
      </c>
      <c r="C875" s="3">
        <f t="shared" si="152"/>
        <v>2.5000000000000018</v>
      </c>
      <c r="D875" s="10" t="s">
        <v>1004</v>
      </c>
      <c r="E875" s="40">
        <v>0</v>
      </c>
      <c r="F875" s="40">
        <v>2.5</v>
      </c>
      <c r="G875" s="40">
        <v>2</v>
      </c>
      <c r="H875" s="3">
        <f t="shared" si="144"/>
        <v>0</v>
      </c>
      <c r="I875" s="3">
        <f t="shared" si="145"/>
        <v>0.26041666666666685</v>
      </c>
      <c r="J875" s="3">
        <f t="shared" si="146"/>
        <v>0.20833333333333348</v>
      </c>
      <c r="K875" s="3"/>
      <c r="L875" s="60">
        <f t="shared" si="153"/>
        <v>280.6745833333332</v>
      </c>
      <c r="M875" s="40">
        <v>0</v>
      </c>
      <c r="N875" s="40">
        <v>0</v>
      </c>
      <c r="O875" s="40">
        <v>0</v>
      </c>
      <c r="P875" s="40">
        <v>0</v>
      </c>
      <c r="Q875" s="40">
        <v>0</v>
      </c>
      <c r="R875" s="40">
        <v>0</v>
      </c>
      <c r="S875" s="61">
        <f t="shared" si="154"/>
        <v>77.700000000000074</v>
      </c>
      <c r="T875" s="40">
        <v>0</v>
      </c>
      <c r="U875" s="40">
        <v>0</v>
      </c>
      <c r="V875" s="40">
        <v>0</v>
      </c>
      <c r="W875" s="40">
        <v>0</v>
      </c>
      <c r="X875" s="67">
        <f t="shared" si="155"/>
        <v>111</v>
      </c>
      <c r="Z875" s="71"/>
      <c r="AA875" s="71"/>
      <c r="AB875" s="67" t="str">
        <f t="shared" si="156"/>
        <v/>
      </c>
      <c r="AD875" s="121"/>
      <c r="AE875" s="121"/>
    </row>
    <row r="876" spans="1:31" x14ac:dyDescent="0.25">
      <c r="A876" s="58" t="s">
        <v>1065</v>
      </c>
      <c r="B876" s="64">
        <v>0.24166666666666667</v>
      </c>
      <c r="C876" s="3">
        <f t="shared" si="152"/>
        <v>8.5</v>
      </c>
      <c r="D876" s="10" t="s">
        <v>966</v>
      </c>
      <c r="E876" s="40">
        <v>0</v>
      </c>
      <c r="F876" s="40">
        <v>2.5</v>
      </c>
      <c r="G876" s="40">
        <v>2</v>
      </c>
      <c r="H876" s="3">
        <f t="shared" si="144"/>
        <v>0</v>
      </c>
      <c r="I876" s="3">
        <f t="shared" si="145"/>
        <v>0.88541666666666674</v>
      </c>
      <c r="J876" s="3">
        <f t="shared" si="146"/>
        <v>0.70833333333333326</v>
      </c>
      <c r="K876" s="3"/>
      <c r="L876" s="60">
        <f t="shared" si="153"/>
        <v>279.0808333333332</v>
      </c>
      <c r="M876" s="40">
        <v>0</v>
      </c>
      <c r="N876" s="40">
        <v>0</v>
      </c>
      <c r="O876" s="40">
        <v>0</v>
      </c>
      <c r="P876" s="40">
        <v>0</v>
      </c>
      <c r="Q876" s="40">
        <v>2.2000000000000002</v>
      </c>
      <c r="R876" s="40">
        <v>0</v>
      </c>
      <c r="S876" s="61">
        <f t="shared" si="154"/>
        <v>75.500000000000071</v>
      </c>
      <c r="T876" s="40">
        <v>0</v>
      </c>
      <c r="U876" s="40">
        <v>0</v>
      </c>
      <c r="V876" s="40">
        <v>2</v>
      </c>
      <c r="W876" s="40">
        <v>0</v>
      </c>
      <c r="X876" s="67">
        <f t="shared" si="155"/>
        <v>109</v>
      </c>
      <c r="Z876" s="71"/>
      <c r="AA876" s="71"/>
      <c r="AB876" s="67" t="str">
        <f t="shared" si="156"/>
        <v/>
      </c>
      <c r="AD876" s="121"/>
      <c r="AE876" s="121"/>
    </row>
    <row r="877" spans="1:31" x14ac:dyDescent="0.25">
      <c r="A877" s="58" t="s">
        <v>1065</v>
      </c>
      <c r="B877" s="65">
        <v>0.33333333333333331</v>
      </c>
      <c r="C877" s="3">
        <f t="shared" si="152"/>
        <v>2.1999999999999993</v>
      </c>
      <c r="D877" s="10" t="s">
        <v>1066</v>
      </c>
      <c r="E877" s="40">
        <v>0</v>
      </c>
      <c r="F877" s="40">
        <v>2.5</v>
      </c>
      <c r="G877" s="40">
        <v>2</v>
      </c>
      <c r="H877" s="3">
        <f t="shared" si="144"/>
        <v>0</v>
      </c>
      <c r="I877" s="3">
        <f t="shared" si="145"/>
        <v>0.2291666666666666</v>
      </c>
      <c r="J877" s="3">
        <f t="shared" si="146"/>
        <v>0.18333333333333326</v>
      </c>
      <c r="K877" s="3"/>
      <c r="L877" s="60">
        <f t="shared" si="153"/>
        <v>278.66833333333318</v>
      </c>
      <c r="M877" s="40">
        <v>0</v>
      </c>
      <c r="N877" s="40">
        <v>0</v>
      </c>
      <c r="O877" s="40">
        <v>0</v>
      </c>
      <c r="P877" s="40">
        <v>0</v>
      </c>
      <c r="Q877" s="40">
        <v>0</v>
      </c>
      <c r="R877" s="40">
        <v>0</v>
      </c>
      <c r="S877" s="61">
        <f t="shared" si="154"/>
        <v>75.500000000000071</v>
      </c>
      <c r="T877" s="40">
        <v>0</v>
      </c>
      <c r="U877" s="40">
        <v>0</v>
      </c>
      <c r="V877" s="40">
        <v>0</v>
      </c>
      <c r="W877" s="40">
        <v>0</v>
      </c>
      <c r="X877" s="67">
        <f t="shared" si="155"/>
        <v>109</v>
      </c>
      <c r="Z877" s="71"/>
      <c r="AA877" s="71"/>
      <c r="AB877" s="67" t="str">
        <f t="shared" si="156"/>
        <v/>
      </c>
      <c r="AD877" s="121"/>
      <c r="AE877" s="121"/>
    </row>
    <row r="878" spans="1:31" x14ac:dyDescent="0.25">
      <c r="A878" s="58" t="s">
        <v>1065</v>
      </c>
      <c r="B878" s="7">
        <v>0.38750000000000001</v>
      </c>
      <c r="C878" s="3">
        <f t="shared" si="152"/>
        <v>1.3000000000000007</v>
      </c>
      <c r="D878" s="10" t="s">
        <v>1011</v>
      </c>
      <c r="E878" s="40">
        <v>0</v>
      </c>
      <c r="F878" s="40">
        <v>2.5</v>
      </c>
      <c r="G878" s="40">
        <v>2</v>
      </c>
      <c r="H878" s="3">
        <f t="shared" si="144"/>
        <v>0</v>
      </c>
      <c r="I878" s="3">
        <f t="shared" si="145"/>
        <v>0.13541666666666674</v>
      </c>
      <c r="J878" s="3">
        <f t="shared" si="146"/>
        <v>0.10833333333333339</v>
      </c>
      <c r="K878" s="3"/>
      <c r="L878" s="60">
        <f t="shared" si="153"/>
        <v>278.4245833333332</v>
      </c>
      <c r="M878" s="40">
        <v>0</v>
      </c>
      <c r="N878" s="40">
        <v>0</v>
      </c>
      <c r="O878" s="40">
        <v>0</v>
      </c>
      <c r="P878" s="40">
        <v>0</v>
      </c>
      <c r="Q878" s="40">
        <v>0</v>
      </c>
      <c r="R878" s="40">
        <v>0</v>
      </c>
      <c r="S878" s="61">
        <f t="shared" si="154"/>
        <v>75.500000000000071</v>
      </c>
      <c r="T878" s="40">
        <v>0</v>
      </c>
      <c r="U878" s="40">
        <v>0</v>
      </c>
      <c r="V878" s="40">
        <v>0</v>
      </c>
      <c r="W878" s="40">
        <v>0</v>
      </c>
      <c r="X878" s="67">
        <f t="shared" si="155"/>
        <v>109</v>
      </c>
      <c r="Z878" s="71"/>
      <c r="AA878" s="71"/>
      <c r="AB878" s="67" t="str">
        <f t="shared" si="156"/>
        <v/>
      </c>
      <c r="AD878" s="121"/>
      <c r="AE878" s="121"/>
    </row>
    <row r="879" spans="1:31" x14ac:dyDescent="0.25">
      <c r="A879" s="58" t="s">
        <v>1065</v>
      </c>
      <c r="B879" s="7">
        <v>0.41666666666666669</v>
      </c>
      <c r="C879" s="3">
        <f t="shared" si="152"/>
        <v>0.70000000000000018</v>
      </c>
      <c r="D879" s="10" t="s">
        <v>1022</v>
      </c>
      <c r="E879" s="40">
        <v>5</v>
      </c>
      <c r="F879" s="40">
        <v>2.5</v>
      </c>
      <c r="G879" s="40">
        <v>2</v>
      </c>
      <c r="H879" s="3">
        <f t="shared" si="144"/>
        <v>0.14583333333333337</v>
      </c>
      <c r="I879" s="3">
        <f t="shared" si="145"/>
        <v>7.2916666666666685E-2</v>
      </c>
      <c r="J879" s="3">
        <f t="shared" si="146"/>
        <v>5.8333333333333348E-2</v>
      </c>
      <c r="K879" s="3"/>
      <c r="L879" s="60">
        <f t="shared" si="153"/>
        <v>278.14749999999987</v>
      </c>
      <c r="M879" s="40">
        <v>0</v>
      </c>
      <c r="N879" s="40">
        <v>0</v>
      </c>
      <c r="O879" s="40">
        <v>0</v>
      </c>
      <c r="P879" s="40">
        <v>0</v>
      </c>
      <c r="Q879" s="40">
        <v>0</v>
      </c>
      <c r="R879" s="40">
        <v>0</v>
      </c>
      <c r="S879" s="61">
        <f t="shared" si="154"/>
        <v>75.500000000000071</v>
      </c>
      <c r="T879" s="40">
        <v>0</v>
      </c>
      <c r="U879" s="40">
        <v>0</v>
      </c>
      <c r="V879" s="40">
        <v>0</v>
      </c>
      <c r="W879" s="40">
        <v>0</v>
      </c>
      <c r="X879" s="67">
        <f t="shared" si="155"/>
        <v>109</v>
      </c>
      <c r="Z879" s="71"/>
      <c r="AA879" s="71"/>
      <c r="AB879" s="67" t="str">
        <f t="shared" si="156"/>
        <v/>
      </c>
      <c r="AD879" s="121"/>
      <c r="AE879" s="121"/>
    </row>
    <row r="880" spans="1:31" x14ac:dyDescent="0.25">
      <c r="A880" s="58" t="s">
        <v>1067</v>
      </c>
      <c r="B880" s="65">
        <v>0.33333333333333331</v>
      </c>
      <c r="C880" s="3">
        <f t="shared" si="152"/>
        <v>22</v>
      </c>
      <c r="D880" s="10" t="s">
        <v>355</v>
      </c>
      <c r="E880" s="40">
        <v>22</v>
      </c>
      <c r="F880" s="40">
        <v>2.5</v>
      </c>
      <c r="G880" s="40">
        <v>0</v>
      </c>
      <c r="H880" s="3">
        <f t="shared" si="144"/>
        <v>20.166666666666664</v>
      </c>
      <c r="I880" s="3">
        <f t="shared" si="145"/>
        <v>2.291666666666667</v>
      </c>
      <c r="J880" s="3">
        <f t="shared" si="146"/>
        <v>0</v>
      </c>
      <c r="K880" s="3"/>
      <c r="L880" s="60">
        <f t="shared" si="153"/>
        <v>255.68916666666652</v>
      </c>
      <c r="M880" s="40">
        <v>0</v>
      </c>
      <c r="N880" s="40">
        <v>0</v>
      </c>
      <c r="O880" s="40">
        <v>0</v>
      </c>
      <c r="P880" s="40">
        <v>0</v>
      </c>
      <c r="Q880" s="40">
        <v>0</v>
      </c>
      <c r="R880" s="40">
        <v>0</v>
      </c>
      <c r="S880" s="61">
        <f t="shared" si="154"/>
        <v>75.500000000000071</v>
      </c>
      <c r="T880" s="40">
        <v>0</v>
      </c>
      <c r="U880" s="40">
        <v>0</v>
      </c>
      <c r="V880" s="40">
        <v>6</v>
      </c>
      <c r="W880" s="40">
        <v>0</v>
      </c>
      <c r="X880" s="67">
        <f t="shared" si="155"/>
        <v>103</v>
      </c>
      <c r="Z880" s="71"/>
      <c r="AA880" s="71"/>
      <c r="AB880" s="67" t="str">
        <f t="shared" si="156"/>
        <v/>
      </c>
      <c r="AD880" s="121"/>
      <c r="AE880" s="121"/>
    </row>
    <row r="881" spans="1:31" x14ac:dyDescent="0.25">
      <c r="A881" s="100"/>
      <c r="B881" s="64"/>
      <c r="C881" s="3"/>
      <c r="D881" s="10"/>
      <c r="E881" s="40"/>
      <c r="F881" s="40"/>
      <c r="G881" s="40"/>
      <c r="H881" s="3"/>
      <c r="I881" s="3"/>
      <c r="J881" s="3"/>
      <c r="K881" s="3"/>
      <c r="L881" s="60"/>
      <c r="M881" s="40"/>
      <c r="N881" s="40"/>
      <c r="O881" s="40"/>
      <c r="P881" s="40"/>
      <c r="Q881" s="40"/>
      <c r="R881" s="40"/>
      <c r="S881" s="61"/>
      <c r="T881" s="40"/>
      <c r="U881" s="40"/>
      <c r="V881" s="40"/>
      <c r="W881" s="40"/>
      <c r="X881" s="67"/>
      <c r="Z881" s="71"/>
      <c r="AA881" s="71"/>
      <c r="AB881" s="67"/>
      <c r="AD881" s="121"/>
      <c r="AE881" s="121"/>
    </row>
    <row r="882" spans="1:31" x14ac:dyDescent="0.25">
      <c r="A882" s="9" t="s">
        <v>1068</v>
      </c>
      <c r="B882" s="65">
        <v>0.33333333333333331</v>
      </c>
      <c r="C882" s="3">
        <v>24</v>
      </c>
      <c r="D882" s="10" t="s">
        <v>355</v>
      </c>
      <c r="E882" s="40">
        <v>23</v>
      </c>
      <c r="F882" s="40">
        <v>2.5</v>
      </c>
      <c r="G882" s="40">
        <v>0</v>
      </c>
      <c r="H882" s="3">
        <f t="shared" si="144"/>
        <v>23</v>
      </c>
      <c r="I882" s="3">
        <f t="shared" si="145"/>
        <v>2.5</v>
      </c>
      <c r="J882" s="3">
        <f t="shared" si="146"/>
        <v>0</v>
      </c>
      <c r="K882" s="3"/>
      <c r="L882" s="60">
        <f>+IF(C882="","",(L880+K882)-(H882+I882+J882))</f>
        <v>230.18916666666652</v>
      </c>
      <c r="M882" s="40">
        <v>0</v>
      </c>
      <c r="N882" s="40">
        <v>0</v>
      </c>
      <c r="O882" s="40">
        <v>0</v>
      </c>
      <c r="P882" s="40">
        <v>0</v>
      </c>
      <c r="Q882" s="40">
        <v>0</v>
      </c>
      <c r="R882" s="40">
        <v>0</v>
      </c>
      <c r="S882" s="61">
        <f>IF(C882="","",(S880+R882)-(M882+N882+O882+P882+Q882))</f>
        <v>75.500000000000071</v>
      </c>
      <c r="T882" s="40">
        <v>0</v>
      </c>
      <c r="U882" s="40">
        <v>0</v>
      </c>
      <c r="V882" s="40">
        <v>6</v>
      </c>
      <c r="W882" s="40">
        <v>0</v>
      </c>
      <c r="X882" s="67">
        <f>IF(V882="","",((X880+T882+U882)-(V882+W882)))</f>
        <v>97</v>
      </c>
      <c r="Z882" s="71"/>
      <c r="AA882" s="71"/>
      <c r="AB882" s="67" t="str">
        <f t="shared" si="156"/>
        <v/>
      </c>
      <c r="AD882" s="121"/>
      <c r="AE882" s="121"/>
    </row>
    <row r="883" spans="1:31" x14ac:dyDescent="0.25">
      <c r="A883" s="58" t="s">
        <v>1069</v>
      </c>
      <c r="B883" s="65">
        <v>0.33333333333333331</v>
      </c>
      <c r="C883" s="3">
        <v>24</v>
      </c>
      <c r="D883" s="10" t="s">
        <v>355</v>
      </c>
      <c r="E883" s="40">
        <v>23</v>
      </c>
      <c r="F883" s="40">
        <v>2.5</v>
      </c>
      <c r="G883" s="40">
        <v>0</v>
      </c>
      <c r="H883" s="3">
        <f t="shared" ref="H883:H946" si="157">+IF(E883="","",(E883/24)*C883)</f>
        <v>23</v>
      </c>
      <c r="I883" s="3">
        <f t="shared" ref="I883:I946" si="158">+IF(F883="","",(F883/24)*C883)</f>
        <v>2.5</v>
      </c>
      <c r="J883" s="3">
        <f t="shared" ref="J883:J946" si="159">+IF(G883="","",(G883/24)*C883)</f>
        <v>0</v>
      </c>
      <c r="K883" s="3"/>
      <c r="L883" s="60">
        <f t="shared" si="153"/>
        <v>204.68916666666652</v>
      </c>
      <c r="M883" s="40">
        <v>0</v>
      </c>
      <c r="N883" s="40">
        <v>0</v>
      </c>
      <c r="O883" s="40">
        <v>0</v>
      </c>
      <c r="P883" s="40">
        <v>0</v>
      </c>
      <c r="Q883" s="40">
        <v>0</v>
      </c>
      <c r="R883" s="40">
        <v>0</v>
      </c>
      <c r="S883" s="61">
        <f t="shared" si="154"/>
        <v>75.500000000000071</v>
      </c>
      <c r="T883" s="40">
        <v>0</v>
      </c>
      <c r="U883" s="40">
        <v>0</v>
      </c>
      <c r="V883" s="40">
        <v>6</v>
      </c>
      <c r="W883" s="40">
        <v>0</v>
      </c>
      <c r="X883" s="67">
        <f t="shared" si="155"/>
        <v>91</v>
      </c>
      <c r="Z883" s="71"/>
      <c r="AA883" s="71"/>
      <c r="AB883" s="67" t="str">
        <f t="shared" si="156"/>
        <v/>
      </c>
      <c r="AD883" s="121"/>
      <c r="AE883" s="121"/>
    </row>
    <row r="884" spans="1:31" x14ac:dyDescent="0.25">
      <c r="A884" s="58" t="s">
        <v>1069</v>
      </c>
      <c r="B884" s="7">
        <v>0.89583333333333337</v>
      </c>
      <c r="C884" s="3">
        <f t="shared" si="152"/>
        <v>13.5</v>
      </c>
      <c r="D884" s="10" t="s">
        <v>201</v>
      </c>
      <c r="E884" s="40">
        <v>23</v>
      </c>
      <c r="F884" s="40">
        <v>2.5</v>
      </c>
      <c r="G884" s="40">
        <v>0</v>
      </c>
      <c r="H884" s="3">
        <f t="shared" si="157"/>
        <v>12.9375</v>
      </c>
      <c r="I884" s="3">
        <f t="shared" si="158"/>
        <v>1.40625</v>
      </c>
      <c r="J884" s="3">
        <f t="shared" si="159"/>
        <v>0</v>
      </c>
      <c r="K884" s="3"/>
      <c r="L884" s="60">
        <f t="shared" si="153"/>
        <v>190.34541666666652</v>
      </c>
      <c r="M884" s="40">
        <v>0</v>
      </c>
      <c r="N884" s="40">
        <v>0</v>
      </c>
      <c r="O884" s="40">
        <v>0</v>
      </c>
      <c r="P884" s="40">
        <v>0</v>
      </c>
      <c r="Q884" s="40">
        <v>3.4</v>
      </c>
      <c r="R884" s="40">
        <v>0</v>
      </c>
      <c r="S884" s="61">
        <v>72.099999999999994</v>
      </c>
      <c r="T884" s="40">
        <v>0</v>
      </c>
      <c r="U884" s="40">
        <v>0</v>
      </c>
      <c r="V884" s="40">
        <v>10</v>
      </c>
      <c r="W884" s="40">
        <v>0</v>
      </c>
      <c r="X884" s="67">
        <f t="shared" si="155"/>
        <v>81</v>
      </c>
      <c r="Z884" s="71"/>
      <c r="AA884" s="71"/>
      <c r="AB884" s="67"/>
      <c r="AD884" s="121">
        <v>12.3</v>
      </c>
      <c r="AE884" s="121" t="s">
        <v>1296</v>
      </c>
    </row>
    <row r="885" spans="1:31" x14ac:dyDescent="0.25">
      <c r="A885" s="58" t="s">
        <v>1070</v>
      </c>
      <c r="B885" s="7">
        <v>2.0833333333333332E-2</v>
      </c>
      <c r="C885" s="3">
        <f t="shared" si="152"/>
        <v>3</v>
      </c>
      <c r="D885" s="10" t="s">
        <v>616</v>
      </c>
      <c r="E885" s="40">
        <v>10</v>
      </c>
      <c r="F885" s="40">
        <v>2.5</v>
      </c>
      <c r="G885" s="40">
        <v>2</v>
      </c>
      <c r="H885" s="3">
        <f t="shared" si="157"/>
        <v>1.25</v>
      </c>
      <c r="I885" s="3">
        <f t="shared" si="158"/>
        <v>0.3125</v>
      </c>
      <c r="J885" s="3">
        <f t="shared" si="159"/>
        <v>0.25</v>
      </c>
      <c r="K885" s="3"/>
      <c r="L885" s="60">
        <f t="shared" si="153"/>
        <v>188.53291666666652</v>
      </c>
      <c r="M885" s="40">
        <v>0</v>
      </c>
      <c r="N885" s="40">
        <v>0</v>
      </c>
      <c r="O885" s="40">
        <v>0</v>
      </c>
      <c r="P885" s="40">
        <v>0</v>
      </c>
      <c r="Q885" s="40">
        <v>0.8</v>
      </c>
      <c r="R885" s="40">
        <v>0</v>
      </c>
      <c r="S885" s="61">
        <v>71.3</v>
      </c>
      <c r="T885" s="40">
        <v>0</v>
      </c>
      <c r="U885" s="40">
        <v>0</v>
      </c>
      <c r="V885" s="40">
        <v>1</v>
      </c>
      <c r="W885" s="40">
        <v>0</v>
      </c>
      <c r="X885" s="67">
        <f t="shared" si="155"/>
        <v>80</v>
      </c>
      <c r="Z885" s="71"/>
      <c r="AA885" s="71"/>
      <c r="AB885" s="67"/>
      <c r="AD885" s="121"/>
      <c r="AE885" s="121"/>
    </row>
    <row r="886" spans="1:31" x14ac:dyDescent="0.25">
      <c r="A886" s="58" t="s">
        <v>1070</v>
      </c>
      <c r="B886" s="7">
        <v>0.10416666666666667</v>
      </c>
      <c r="C886" s="3">
        <f t="shared" si="152"/>
        <v>2</v>
      </c>
      <c r="D886" s="10" t="s">
        <v>1049</v>
      </c>
      <c r="E886" s="40">
        <v>0</v>
      </c>
      <c r="F886" s="40">
        <v>2.5</v>
      </c>
      <c r="G886" s="40">
        <v>2</v>
      </c>
      <c r="H886" s="3">
        <f t="shared" si="157"/>
        <v>0</v>
      </c>
      <c r="I886" s="3">
        <f t="shared" si="158"/>
        <v>0.20833333333333334</v>
      </c>
      <c r="J886" s="3">
        <f t="shared" si="159"/>
        <v>0.16666666666666666</v>
      </c>
      <c r="K886" s="3"/>
      <c r="L886" s="60">
        <f t="shared" si="153"/>
        <v>188.15791666666652</v>
      </c>
      <c r="M886" s="40">
        <v>0</v>
      </c>
      <c r="N886" s="40">
        <v>0</v>
      </c>
      <c r="O886" s="40">
        <v>0</v>
      </c>
      <c r="P886" s="40">
        <v>0</v>
      </c>
      <c r="Q886" s="40">
        <v>0</v>
      </c>
      <c r="R886" s="40">
        <v>0</v>
      </c>
      <c r="S886" s="61">
        <f t="shared" si="154"/>
        <v>71.3</v>
      </c>
      <c r="T886" s="40">
        <v>0</v>
      </c>
      <c r="U886" s="40">
        <v>0</v>
      </c>
      <c r="V886" s="40">
        <v>0</v>
      </c>
      <c r="W886" s="40">
        <v>0</v>
      </c>
      <c r="X886" s="67">
        <f>IF(V886="","",((X885+T886+U886)-(V886+W886)))</f>
        <v>80</v>
      </c>
      <c r="Z886" s="71"/>
      <c r="AA886" s="71"/>
      <c r="AB886" s="67" t="str">
        <f t="shared" si="156"/>
        <v/>
      </c>
      <c r="AD886" s="121"/>
      <c r="AE886" s="121"/>
    </row>
    <row r="887" spans="1:31" x14ac:dyDescent="0.25">
      <c r="A887" s="58" t="s">
        <v>1070</v>
      </c>
      <c r="B887" s="65">
        <v>0.33333333333333331</v>
      </c>
      <c r="C887" s="3">
        <f t="shared" si="152"/>
        <v>5.4999999999999991</v>
      </c>
      <c r="D887" s="10" t="s">
        <v>1051</v>
      </c>
      <c r="E887" s="40">
        <v>0</v>
      </c>
      <c r="F887" s="40">
        <v>2.5</v>
      </c>
      <c r="G887" s="40">
        <v>2</v>
      </c>
      <c r="H887" s="3">
        <f t="shared" si="157"/>
        <v>0</v>
      </c>
      <c r="I887" s="3">
        <f t="shared" si="158"/>
        <v>0.57291666666666663</v>
      </c>
      <c r="J887" s="3">
        <f t="shared" si="159"/>
        <v>0.45833333333333326</v>
      </c>
      <c r="K887" s="3"/>
      <c r="L887" s="60">
        <f t="shared" si="153"/>
        <v>187.12666666666652</v>
      </c>
      <c r="M887" s="40">
        <v>0</v>
      </c>
      <c r="N887" s="40">
        <v>0</v>
      </c>
      <c r="O887" s="40">
        <v>0</v>
      </c>
      <c r="P887" s="40">
        <v>0</v>
      </c>
      <c r="Q887" s="40">
        <v>0</v>
      </c>
      <c r="R887" s="40">
        <v>0</v>
      </c>
      <c r="S887" s="61">
        <f t="shared" si="154"/>
        <v>71.3</v>
      </c>
      <c r="T887" s="40">
        <v>0</v>
      </c>
      <c r="U887" s="40">
        <v>0</v>
      </c>
      <c r="V887" s="40">
        <v>0</v>
      </c>
      <c r="W887" s="40">
        <v>0</v>
      </c>
      <c r="X887" s="67">
        <f t="shared" si="155"/>
        <v>80</v>
      </c>
      <c r="Z887" s="71">
        <v>105</v>
      </c>
      <c r="AA887" s="71">
        <v>20</v>
      </c>
      <c r="AB887" s="67">
        <f t="shared" si="156"/>
        <v>125</v>
      </c>
      <c r="AD887" s="121"/>
      <c r="AE887" s="121"/>
    </row>
    <row r="888" spans="1:31" x14ac:dyDescent="0.25">
      <c r="A888" s="58" t="s">
        <v>1071</v>
      </c>
      <c r="B888" s="65">
        <v>0.33333333333333331</v>
      </c>
      <c r="C888" s="3">
        <v>24</v>
      </c>
      <c r="D888" s="10" t="s">
        <v>1051</v>
      </c>
      <c r="E888" s="40">
        <v>0</v>
      </c>
      <c r="F888" s="40">
        <v>2.5</v>
      </c>
      <c r="G888" s="40">
        <v>2</v>
      </c>
      <c r="H888" s="3">
        <f t="shared" si="157"/>
        <v>0</v>
      </c>
      <c r="I888" s="3">
        <f t="shared" si="158"/>
        <v>2.5</v>
      </c>
      <c r="J888" s="3">
        <f t="shared" si="159"/>
        <v>2</v>
      </c>
      <c r="K888" s="3"/>
      <c r="L888" s="60">
        <f t="shared" si="153"/>
        <v>182.62666666666652</v>
      </c>
      <c r="M888" s="40">
        <v>0</v>
      </c>
      <c r="N888" s="40">
        <v>0</v>
      </c>
      <c r="O888" s="40">
        <v>0</v>
      </c>
      <c r="P888" s="40">
        <v>0</v>
      </c>
      <c r="Q888" s="40">
        <v>0</v>
      </c>
      <c r="R888" s="40">
        <v>0</v>
      </c>
      <c r="S888" s="61">
        <f t="shared" si="154"/>
        <v>71.3</v>
      </c>
      <c r="T888" s="40">
        <v>0</v>
      </c>
      <c r="U888" s="40">
        <v>260</v>
      </c>
      <c r="V888" s="40">
        <v>6</v>
      </c>
      <c r="W888" s="40">
        <v>0</v>
      </c>
      <c r="X888" s="67">
        <f t="shared" si="155"/>
        <v>334</v>
      </c>
      <c r="Z888" s="71">
        <v>150</v>
      </c>
      <c r="AA888" s="71">
        <v>18</v>
      </c>
      <c r="AB888" s="67">
        <f t="shared" si="156"/>
        <v>168</v>
      </c>
      <c r="AD888" s="121"/>
      <c r="AE888" s="121"/>
    </row>
    <row r="889" spans="1:31" x14ac:dyDescent="0.25">
      <c r="A889" s="58" t="s">
        <v>1071</v>
      </c>
      <c r="B889" s="7">
        <v>0.43333333333333335</v>
      </c>
      <c r="C889" s="3">
        <f t="shared" si="152"/>
        <v>2.4000000000000008</v>
      </c>
      <c r="D889" s="10" t="s">
        <v>1072</v>
      </c>
      <c r="E889" s="40">
        <v>0</v>
      </c>
      <c r="F889" s="40">
        <v>2.5</v>
      </c>
      <c r="G889" s="40">
        <v>2</v>
      </c>
      <c r="H889" s="3">
        <f t="shared" si="157"/>
        <v>0</v>
      </c>
      <c r="I889" s="3">
        <f t="shared" si="158"/>
        <v>0.25000000000000011</v>
      </c>
      <c r="J889" s="3">
        <f t="shared" si="159"/>
        <v>0.20000000000000007</v>
      </c>
      <c r="K889" s="3"/>
      <c r="L889" s="60">
        <f t="shared" si="153"/>
        <v>182.17666666666653</v>
      </c>
      <c r="M889" s="40">
        <v>0</v>
      </c>
      <c r="N889" s="40">
        <v>0</v>
      </c>
      <c r="O889" s="40">
        <v>0</v>
      </c>
      <c r="P889" s="40">
        <v>0</v>
      </c>
      <c r="Q889" s="40">
        <v>0</v>
      </c>
      <c r="R889" s="40">
        <v>0</v>
      </c>
      <c r="S889" s="61">
        <f t="shared" si="154"/>
        <v>71.3</v>
      </c>
      <c r="T889" s="40">
        <v>0</v>
      </c>
      <c r="U889" s="40">
        <v>0</v>
      </c>
      <c r="V889" s="40">
        <v>0</v>
      </c>
      <c r="W889" s="40">
        <v>0</v>
      </c>
      <c r="X889" s="67">
        <f t="shared" si="155"/>
        <v>334</v>
      </c>
      <c r="Z889" s="71"/>
      <c r="AA889" s="71"/>
      <c r="AB889" s="67" t="str">
        <f t="shared" si="156"/>
        <v/>
      </c>
      <c r="AD889" s="121"/>
      <c r="AE889" s="121"/>
    </row>
    <row r="890" spans="1:31" x14ac:dyDescent="0.25">
      <c r="A890" s="58" t="s">
        <v>1071</v>
      </c>
      <c r="B890" s="7">
        <v>0.6333333333333333</v>
      </c>
      <c r="C890" s="3">
        <f t="shared" si="152"/>
        <v>4.7999999999999989</v>
      </c>
      <c r="D890" s="10" t="s">
        <v>1011</v>
      </c>
      <c r="E890" s="40">
        <v>0</v>
      </c>
      <c r="F890" s="40">
        <v>2.5</v>
      </c>
      <c r="G890" s="40">
        <v>2</v>
      </c>
      <c r="H890" s="3">
        <f>+IF(E890="","",(E890/24)*C890)</f>
        <v>0</v>
      </c>
      <c r="I890" s="3">
        <f t="shared" si="158"/>
        <v>0.49999999999999989</v>
      </c>
      <c r="J890" s="3">
        <f t="shared" si="159"/>
        <v>0.39999999999999991</v>
      </c>
      <c r="K890" s="3"/>
      <c r="L890" s="60">
        <f t="shared" si="153"/>
        <v>181.27666666666653</v>
      </c>
      <c r="M890" s="40">
        <v>0</v>
      </c>
      <c r="N890" s="40">
        <v>0</v>
      </c>
      <c r="O890" s="40">
        <v>0</v>
      </c>
      <c r="P890" s="40">
        <v>0</v>
      </c>
      <c r="Q890" s="40">
        <v>0</v>
      </c>
      <c r="R890" s="40">
        <v>0</v>
      </c>
      <c r="S890" s="61">
        <f t="shared" si="154"/>
        <v>71.3</v>
      </c>
      <c r="T890" s="40">
        <v>0</v>
      </c>
      <c r="U890" s="40">
        <v>0</v>
      </c>
      <c r="V890" s="40">
        <v>0</v>
      </c>
      <c r="W890" s="40">
        <v>0</v>
      </c>
      <c r="X890" s="67">
        <f t="shared" si="155"/>
        <v>334</v>
      </c>
      <c r="Z890" s="71"/>
      <c r="AA890" s="71"/>
      <c r="AB890" s="67" t="str">
        <f t="shared" si="156"/>
        <v/>
      </c>
      <c r="AD890" s="121"/>
      <c r="AE890" s="121"/>
    </row>
    <row r="891" spans="1:31" x14ac:dyDescent="0.25">
      <c r="A891" s="58" t="s">
        <v>1071</v>
      </c>
      <c r="B891" s="7">
        <v>0.6875</v>
      </c>
      <c r="C891" s="3">
        <f t="shared" si="152"/>
        <v>1.3000000000000007</v>
      </c>
      <c r="D891" s="10" t="s">
        <v>1022</v>
      </c>
      <c r="E891" s="40">
        <v>10</v>
      </c>
      <c r="F891" s="40">
        <v>2.5</v>
      </c>
      <c r="G891" s="40">
        <v>2</v>
      </c>
      <c r="H891" s="3">
        <f t="shared" si="157"/>
        <v>0.54166666666666696</v>
      </c>
      <c r="I891" s="3">
        <f t="shared" si="158"/>
        <v>0.13541666666666674</v>
      </c>
      <c r="J891" s="3">
        <f t="shared" si="159"/>
        <v>0.10833333333333339</v>
      </c>
      <c r="K891" s="3"/>
      <c r="L891" s="60">
        <f t="shared" si="153"/>
        <v>180.49124999999987</v>
      </c>
      <c r="M891" s="40">
        <v>0</v>
      </c>
      <c r="N891" s="40">
        <v>0</v>
      </c>
      <c r="O891" s="40">
        <v>0</v>
      </c>
      <c r="P891" s="40">
        <v>0</v>
      </c>
      <c r="Q891" s="40">
        <v>0</v>
      </c>
      <c r="R891" s="40">
        <v>0</v>
      </c>
      <c r="S891" s="61">
        <f t="shared" si="154"/>
        <v>71.3</v>
      </c>
      <c r="T891" s="40">
        <v>0</v>
      </c>
      <c r="U891" s="40">
        <v>0</v>
      </c>
      <c r="V891" s="40">
        <v>0</v>
      </c>
      <c r="W891" s="40">
        <v>0</v>
      </c>
      <c r="X891" s="67">
        <f t="shared" si="155"/>
        <v>334</v>
      </c>
      <c r="Z891" s="71"/>
      <c r="AA891" s="71"/>
      <c r="AB891" s="67" t="str">
        <f t="shared" si="156"/>
        <v/>
      </c>
      <c r="AD891" s="121"/>
      <c r="AE891" s="121"/>
    </row>
    <row r="892" spans="1:31" x14ac:dyDescent="0.25">
      <c r="A892" s="58" t="s">
        <v>1073</v>
      </c>
      <c r="B892" s="65">
        <v>0.33333333333333331</v>
      </c>
      <c r="C892" s="3">
        <f t="shared" si="152"/>
        <v>15.5</v>
      </c>
      <c r="D892" s="10" t="s">
        <v>355</v>
      </c>
      <c r="E892" s="40">
        <v>24</v>
      </c>
      <c r="F892" s="40">
        <v>2.5</v>
      </c>
      <c r="G892" s="40">
        <v>0</v>
      </c>
      <c r="H892" s="3">
        <f t="shared" si="157"/>
        <v>15.5</v>
      </c>
      <c r="I892" s="3">
        <f t="shared" si="158"/>
        <v>1.6145833333333335</v>
      </c>
      <c r="J892" s="3">
        <f t="shared" si="159"/>
        <v>0</v>
      </c>
      <c r="K892" s="3"/>
      <c r="L892" s="60">
        <f t="shared" si="153"/>
        <v>163.37666666666652</v>
      </c>
      <c r="M892" s="40">
        <v>0</v>
      </c>
      <c r="N892" s="40">
        <v>0</v>
      </c>
      <c r="O892" s="40">
        <v>0</v>
      </c>
      <c r="P892" s="40">
        <v>0</v>
      </c>
      <c r="Q892" s="40">
        <v>0</v>
      </c>
      <c r="R892" s="40">
        <v>0</v>
      </c>
      <c r="S892" s="61">
        <f t="shared" si="154"/>
        <v>71.3</v>
      </c>
      <c r="T892" s="40">
        <v>0</v>
      </c>
      <c r="U892" s="40">
        <v>0</v>
      </c>
      <c r="V892" s="40">
        <v>6</v>
      </c>
      <c r="W892" s="40">
        <v>0</v>
      </c>
      <c r="X892" s="67">
        <f t="shared" si="155"/>
        <v>328</v>
      </c>
      <c r="Z892" s="71">
        <v>142</v>
      </c>
      <c r="AA892" s="71">
        <v>20</v>
      </c>
      <c r="AB892" s="67">
        <f t="shared" si="156"/>
        <v>162</v>
      </c>
      <c r="AD892" s="121"/>
      <c r="AE892" s="121"/>
    </row>
    <row r="893" spans="1:31" x14ac:dyDescent="0.25">
      <c r="A893" s="58" t="s">
        <v>1074</v>
      </c>
      <c r="B893" s="65">
        <v>0.33333333333333331</v>
      </c>
      <c r="C893" s="3">
        <v>24</v>
      </c>
      <c r="D893" s="10" t="s">
        <v>355</v>
      </c>
      <c r="E893" s="40">
        <v>24</v>
      </c>
      <c r="F893" s="40">
        <v>2.5</v>
      </c>
      <c r="G893" s="40">
        <v>0</v>
      </c>
      <c r="H893" s="3">
        <f t="shared" si="157"/>
        <v>24</v>
      </c>
      <c r="I893" s="3">
        <f t="shared" si="158"/>
        <v>2.5</v>
      </c>
      <c r="J893" s="3">
        <f t="shared" si="159"/>
        <v>0</v>
      </c>
      <c r="K893" s="3"/>
      <c r="L893" s="60">
        <f t="shared" si="153"/>
        <v>136.87666666666652</v>
      </c>
      <c r="M893" s="40">
        <v>0</v>
      </c>
      <c r="N893" s="40">
        <v>0</v>
      </c>
      <c r="O893" s="40">
        <v>0</v>
      </c>
      <c r="P893" s="40">
        <v>0</v>
      </c>
      <c r="Q893" s="40">
        <v>0</v>
      </c>
      <c r="R893" s="40">
        <v>0</v>
      </c>
      <c r="S893" s="61">
        <f t="shared" si="154"/>
        <v>71.3</v>
      </c>
      <c r="T893" s="40">
        <v>0</v>
      </c>
      <c r="U893" s="40">
        <v>0</v>
      </c>
      <c r="V893" s="40">
        <v>6</v>
      </c>
      <c r="W893" s="40">
        <v>0</v>
      </c>
      <c r="X893" s="67">
        <f t="shared" si="155"/>
        <v>322</v>
      </c>
      <c r="Z893" s="71">
        <v>136</v>
      </c>
      <c r="AA893" s="71">
        <v>28</v>
      </c>
      <c r="AB893" s="67">
        <f t="shared" si="156"/>
        <v>164</v>
      </c>
      <c r="AD893" s="121"/>
      <c r="AE893" s="121"/>
    </row>
    <row r="894" spans="1:31" x14ac:dyDescent="0.25">
      <c r="A894" s="58" t="s">
        <v>1074</v>
      </c>
      <c r="B894" s="7">
        <v>0.97916666666666663</v>
      </c>
      <c r="C894" s="3">
        <f t="shared" si="152"/>
        <v>15.499999999999998</v>
      </c>
      <c r="D894" s="10" t="s">
        <v>201</v>
      </c>
      <c r="E894" s="40">
        <v>24</v>
      </c>
      <c r="F894" s="40">
        <v>2.5</v>
      </c>
      <c r="G894" s="40">
        <v>0</v>
      </c>
      <c r="H894" s="3">
        <f t="shared" si="157"/>
        <v>15.499999999999998</v>
      </c>
      <c r="I894" s="3">
        <f t="shared" si="158"/>
        <v>1.6145833333333333</v>
      </c>
      <c r="J894" s="3">
        <f t="shared" si="159"/>
        <v>0</v>
      </c>
      <c r="K894" s="3"/>
      <c r="L894" s="60">
        <f t="shared" si="153"/>
        <v>119.76208333333319</v>
      </c>
      <c r="M894" s="40">
        <v>0</v>
      </c>
      <c r="N894" s="40">
        <v>0</v>
      </c>
      <c r="O894" s="40">
        <v>0</v>
      </c>
      <c r="P894" s="40">
        <v>0</v>
      </c>
      <c r="Q894" s="40">
        <v>0</v>
      </c>
      <c r="R894" s="40">
        <v>0</v>
      </c>
      <c r="S894" s="61">
        <f t="shared" si="154"/>
        <v>71.3</v>
      </c>
      <c r="T894" s="40">
        <v>0</v>
      </c>
      <c r="U894" s="40">
        <v>0</v>
      </c>
      <c r="V894" s="40">
        <v>4</v>
      </c>
      <c r="W894" s="40">
        <v>0</v>
      </c>
      <c r="X894" s="67">
        <f t="shared" si="155"/>
        <v>318</v>
      </c>
      <c r="Z894" s="71"/>
      <c r="AA894" s="71"/>
      <c r="AB894" s="67" t="str">
        <f t="shared" si="156"/>
        <v/>
      </c>
      <c r="AD894" s="121">
        <v>9.6</v>
      </c>
      <c r="AE894" s="121" t="s">
        <v>1302</v>
      </c>
    </row>
    <row r="895" spans="1:31" x14ac:dyDescent="0.25">
      <c r="A895" s="58" t="s">
        <v>1074</v>
      </c>
      <c r="B895" s="7">
        <v>0.99583333333333324</v>
      </c>
      <c r="C895" s="3">
        <f t="shared" si="152"/>
        <v>0.39999999999999858</v>
      </c>
      <c r="D895" s="10" t="s">
        <v>616</v>
      </c>
      <c r="E895" s="40">
        <v>10</v>
      </c>
      <c r="F895" s="40">
        <v>2.5</v>
      </c>
      <c r="G895" s="40">
        <v>2</v>
      </c>
      <c r="H895" s="3">
        <f t="shared" si="157"/>
        <v>0.16666666666666607</v>
      </c>
      <c r="I895" s="3">
        <f t="shared" si="158"/>
        <v>4.1666666666666519E-2</v>
      </c>
      <c r="J895" s="3">
        <f t="shared" si="159"/>
        <v>3.3333333333333215E-2</v>
      </c>
      <c r="K895" s="3"/>
      <c r="L895" s="60">
        <f t="shared" si="153"/>
        <v>119.52041666666653</v>
      </c>
      <c r="M895" s="40">
        <v>0</v>
      </c>
      <c r="N895" s="40">
        <v>0</v>
      </c>
      <c r="O895" s="40">
        <v>0</v>
      </c>
      <c r="P895" s="40">
        <v>0</v>
      </c>
      <c r="Q895" s="40">
        <v>0</v>
      </c>
      <c r="R895" s="40">
        <v>0</v>
      </c>
      <c r="S895" s="61">
        <f t="shared" si="154"/>
        <v>71.3</v>
      </c>
      <c r="T895" s="40">
        <v>0</v>
      </c>
      <c r="U895" s="40">
        <v>0</v>
      </c>
      <c r="V895" s="40">
        <v>0</v>
      </c>
      <c r="W895" s="40">
        <v>0</v>
      </c>
      <c r="X895" s="67">
        <f t="shared" si="155"/>
        <v>318</v>
      </c>
      <c r="Z895" s="71"/>
      <c r="AA895" s="71"/>
      <c r="AB895" s="67" t="str">
        <f t="shared" si="156"/>
        <v/>
      </c>
      <c r="AD895" s="121"/>
      <c r="AE895" s="121"/>
    </row>
    <row r="896" spans="1:31" x14ac:dyDescent="0.25">
      <c r="A896" s="101" t="s">
        <v>1075</v>
      </c>
      <c r="B896" s="65">
        <v>0.33333333333333331</v>
      </c>
      <c r="C896" s="3">
        <f t="shared" si="152"/>
        <v>8.1000000000000032</v>
      </c>
      <c r="D896" s="10" t="s">
        <v>351</v>
      </c>
      <c r="E896" s="40">
        <v>0</v>
      </c>
      <c r="F896" s="40">
        <v>2.5</v>
      </c>
      <c r="G896" s="40">
        <v>2</v>
      </c>
      <c r="H896" s="3">
        <f t="shared" si="157"/>
        <v>0</v>
      </c>
      <c r="I896" s="3">
        <f t="shared" si="158"/>
        <v>0.84375000000000033</v>
      </c>
      <c r="J896" s="3">
        <f t="shared" si="159"/>
        <v>0.67500000000000027</v>
      </c>
      <c r="K896" s="3"/>
      <c r="L896" s="60">
        <f t="shared" si="153"/>
        <v>118.00166666666654</v>
      </c>
      <c r="M896" s="40">
        <v>0</v>
      </c>
      <c r="N896" s="40">
        <v>0</v>
      </c>
      <c r="O896" s="40">
        <v>0</v>
      </c>
      <c r="P896" s="40">
        <v>0</v>
      </c>
      <c r="Q896" s="40">
        <v>0</v>
      </c>
      <c r="R896" s="40">
        <v>0</v>
      </c>
      <c r="S896" s="61">
        <f t="shared" si="154"/>
        <v>71.3</v>
      </c>
      <c r="T896" s="40">
        <v>0</v>
      </c>
      <c r="U896" s="40">
        <v>0</v>
      </c>
      <c r="V896" s="40">
        <v>2</v>
      </c>
      <c r="W896" s="40">
        <v>0</v>
      </c>
      <c r="X896" s="67">
        <f t="shared" si="155"/>
        <v>316</v>
      </c>
      <c r="Z896" s="71"/>
      <c r="AA896" s="71"/>
      <c r="AB896" s="67" t="str">
        <f t="shared" si="156"/>
        <v/>
      </c>
      <c r="AD896" s="121"/>
      <c r="AE896" s="121"/>
    </row>
    <row r="897" spans="1:31" x14ac:dyDescent="0.25">
      <c r="A897" s="58" t="s">
        <v>1076</v>
      </c>
      <c r="B897" s="65">
        <v>0.33333333333333331</v>
      </c>
      <c r="C897" s="3">
        <v>24</v>
      </c>
      <c r="D897" s="10" t="s">
        <v>351</v>
      </c>
      <c r="E897" s="40">
        <v>0</v>
      </c>
      <c r="F897" s="40">
        <v>2.5</v>
      </c>
      <c r="G897" s="40">
        <v>2</v>
      </c>
      <c r="H897" s="3">
        <f t="shared" si="157"/>
        <v>0</v>
      </c>
      <c r="I897" s="3">
        <f t="shared" si="158"/>
        <v>2.5</v>
      </c>
      <c r="J897" s="3">
        <f t="shared" si="159"/>
        <v>2</v>
      </c>
      <c r="K897" s="3"/>
      <c r="L897" s="60">
        <f t="shared" si="153"/>
        <v>113.50166666666654</v>
      </c>
      <c r="M897" s="40">
        <v>0</v>
      </c>
      <c r="N897" s="40">
        <v>0</v>
      </c>
      <c r="O897" s="40">
        <v>0</v>
      </c>
      <c r="P897" s="40">
        <v>0</v>
      </c>
      <c r="Q897" s="40">
        <v>0</v>
      </c>
      <c r="R897" s="40">
        <v>0</v>
      </c>
      <c r="S897" s="61">
        <f t="shared" si="154"/>
        <v>71.3</v>
      </c>
      <c r="T897" s="40">
        <v>0</v>
      </c>
      <c r="U897" s="40">
        <v>0</v>
      </c>
      <c r="V897" s="40">
        <v>6</v>
      </c>
      <c r="W897" s="40">
        <v>0</v>
      </c>
      <c r="X897" s="67">
        <f t="shared" si="155"/>
        <v>310</v>
      </c>
      <c r="Z897" s="71"/>
      <c r="AA897" s="71"/>
      <c r="AB897" s="67" t="str">
        <f t="shared" si="156"/>
        <v/>
      </c>
      <c r="AD897" s="121"/>
      <c r="AE897" s="121"/>
    </row>
    <row r="898" spans="1:31" x14ac:dyDescent="0.25">
      <c r="A898" s="58" t="s">
        <v>1076</v>
      </c>
      <c r="B898" s="7">
        <v>0.64166666666666672</v>
      </c>
      <c r="C898" s="3">
        <f t="shared" si="152"/>
        <v>7.4000000000000021</v>
      </c>
      <c r="D898" s="10" t="s">
        <v>1011</v>
      </c>
      <c r="E898" s="40">
        <v>0</v>
      </c>
      <c r="F898" s="40">
        <v>2.5</v>
      </c>
      <c r="G898" s="40">
        <v>2</v>
      </c>
      <c r="H898" s="3">
        <f t="shared" si="157"/>
        <v>0</v>
      </c>
      <c r="I898" s="3">
        <f t="shared" si="158"/>
        <v>0.77083333333333359</v>
      </c>
      <c r="J898" s="3">
        <f t="shared" si="159"/>
        <v>0.61666666666666681</v>
      </c>
      <c r="K898" s="3"/>
      <c r="L898" s="60">
        <f t="shared" si="153"/>
        <v>112.11416666666653</v>
      </c>
      <c r="M898" s="40">
        <v>0</v>
      </c>
      <c r="N898" s="40">
        <v>0</v>
      </c>
      <c r="O898" s="40">
        <v>0</v>
      </c>
      <c r="P898" s="40">
        <v>0</v>
      </c>
      <c r="Q898" s="40">
        <v>0</v>
      </c>
      <c r="R898" s="40">
        <v>0</v>
      </c>
      <c r="S898" s="61">
        <f t="shared" si="154"/>
        <v>71.3</v>
      </c>
      <c r="T898" s="40">
        <v>0</v>
      </c>
      <c r="U898" s="40">
        <v>0</v>
      </c>
      <c r="V898" s="40">
        <v>0</v>
      </c>
      <c r="W898" s="40">
        <v>0</v>
      </c>
      <c r="X898" s="67">
        <f t="shared" si="155"/>
        <v>310</v>
      </c>
      <c r="Z898" s="71"/>
      <c r="AA898" s="71"/>
      <c r="AB898" s="67" t="str">
        <f t="shared" si="156"/>
        <v/>
      </c>
      <c r="AD898" s="121"/>
      <c r="AE898" s="121"/>
    </row>
    <row r="899" spans="1:31" x14ac:dyDescent="0.25">
      <c r="A899" s="102" t="s">
        <v>1076</v>
      </c>
      <c r="B899" s="7">
        <v>0.65833333333333333</v>
      </c>
      <c r="C899" s="3">
        <f t="shared" si="152"/>
        <v>0.39999999999999858</v>
      </c>
      <c r="D899" s="10" t="s">
        <v>988</v>
      </c>
      <c r="E899" s="40">
        <v>5</v>
      </c>
      <c r="F899" s="40">
        <v>2.5</v>
      </c>
      <c r="G899" s="40">
        <v>2</v>
      </c>
      <c r="H899" s="3">
        <f t="shared" si="157"/>
        <v>8.3333333333333037E-2</v>
      </c>
      <c r="I899" s="3">
        <f t="shared" si="158"/>
        <v>4.1666666666666519E-2</v>
      </c>
      <c r="J899" s="3">
        <f t="shared" si="159"/>
        <v>3.3333333333333215E-2</v>
      </c>
      <c r="K899" s="3"/>
      <c r="L899" s="60">
        <f t="shared" si="153"/>
        <v>111.9558333333332</v>
      </c>
      <c r="M899" s="40">
        <v>0</v>
      </c>
      <c r="N899" s="40">
        <v>0</v>
      </c>
      <c r="O899" s="40">
        <v>0</v>
      </c>
      <c r="P899" s="40">
        <v>0</v>
      </c>
      <c r="Q899" s="40">
        <v>0</v>
      </c>
      <c r="R899" s="40">
        <v>0</v>
      </c>
      <c r="S899" s="61">
        <f t="shared" si="154"/>
        <v>71.3</v>
      </c>
      <c r="T899" s="40">
        <v>0</v>
      </c>
      <c r="U899" s="40">
        <v>0</v>
      </c>
      <c r="V899" s="40">
        <v>0</v>
      </c>
      <c r="W899" s="40">
        <v>0</v>
      </c>
      <c r="X899" s="67">
        <f t="shared" si="155"/>
        <v>310</v>
      </c>
      <c r="Z899" s="71"/>
      <c r="AA899" s="71"/>
      <c r="AB899" s="67" t="str">
        <f t="shared" si="156"/>
        <v/>
      </c>
      <c r="AD899" s="121"/>
      <c r="AE899" s="121"/>
    </row>
    <row r="900" spans="1:31" x14ac:dyDescent="0.25">
      <c r="A900" s="102" t="s">
        <v>1076</v>
      </c>
      <c r="B900" s="7">
        <v>0.67499999999999993</v>
      </c>
      <c r="C900" s="3">
        <f t="shared" si="152"/>
        <v>0.39999999999999858</v>
      </c>
      <c r="D900" s="10" t="s">
        <v>1048</v>
      </c>
      <c r="E900" s="40">
        <v>20</v>
      </c>
      <c r="F900" s="40">
        <v>2.5</v>
      </c>
      <c r="G900" s="40">
        <v>2</v>
      </c>
      <c r="H900" s="3">
        <f t="shared" si="157"/>
        <v>0.33333333333333215</v>
      </c>
      <c r="I900" s="3">
        <f t="shared" si="158"/>
        <v>4.1666666666666519E-2</v>
      </c>
      <c r="J900" s="3">
        <f t="shared" si="159"/>
        <v>3.3333333333333215E-2</v>
      </c>
      <c r="K900" s="3"/>
      <c r="L900" s="60">
        <f t="shared" si="153"/>
        <v>111.54749999999987</v>
      </c>
      <c r="M900" s="40">
        <v>0</v>
      </c>
      <c r="N900" s="40">
        <v>0</v>
      </c>
      <c r="O900" s="40">
        <v>0</v>
      </c>
      <c r="P900" s="40">
        <v>0</v>
      </c>
      <c r="Q900" s="40">
        <v>0</v>
      </c>
      <c r="R900" s="40">
        <v>0</v>
      </c>
      <c r="S900" s="61">
        <f t="shared" si="154"/>
        <v>71.3</v>
      </c>
      <c r="T900" s="40">
        <v>0</v>
      </c>
      <c r="U900" s="40">
        <v>0</v>
      </c>
      <c r="V900" s="40">
        <v>0</v>
      </c>
      <c r="W900" s="40">
        <v>0</v>
      </c>
      <c r="X900" s="67">
        <f t="shared" si="155"/>
        <v>310</v>
      </c>
      <c r="Z900" s="71"/>
      <c r="AA900" s="71"/>
      <c r="AB900" s="67" t="str">
        <f t="shared" si="156"/>
        <v/>
      </c>
      <c r="AD900" s="121"/>
      <c r="AE900" s="121"/>
    </row>
    <row r="901" spans="1:31" x14ac:dyDescent="0.25">
      <c r="A901" s="102" t="s">
        <v>1076</v>
      </c>
      <c r="B901" s="7">
        <v>0.75</v>
      </c>
      <c r="C901" s="3">
        <f t="shared" si="152"/>
        <v>1.8000000000000016</v>
      </c>
      <c r="D901" s="10" t="s">
        <v>616</v>
      </c>
      <c r="E901" s="40">
        <v>5</v>
      </c>
      <c r="F901" s="40">
        <v>2.5</v>
      </c>
      <c r="G901" s="40">
        <v>2</v>
      </c>
      <c r="H901" s="3">
        <f t="shared" si="157"/>
        <v>0.37500000000000033</v>
      </c>
      <c r="I901" s="3">
        <f t="shared" si="158"/>
        <v>0.18750000000000017</v>
      </c>
      <c r="J901" s="3">
        <f t="shared" si="159"/>
        <v>0.15000000000000013</v>
      </c>
      <c r="K901" s="3"/>
      <c r="L901" s="60">
        <f t="shared" si="153"/>
        <v>110.83499999999987</v>
      </c>
      <c r="M901" s="40">
        <v>0</v>
      </c>
      <c r="N901" s="40">
        <v>0</v>
      </c>
      <c r="O901" s="40">
        <v>0</v>
      </c>
      <c r="P901" s="40">
        <v>0</v>
      </c>
      <c r="Q901" s="40">
        <v>0</v>
      </c>
      <c r="R901" s="40">
        <v>0</v>
      </c>
      <c r="S901" s="61">
        <f t="shared" si="154"/>
        <v>71.3</v>
      </c>
      <c r="T901" s="40">
        <v>0</v>
      </c>
      <c r="U901" s="40">
        <v>0</v>
      </c>
      <c r="V901" s="40">
        <v>4</v>
      </c>
      <c r="W901" s="40">
        <v>0</v>
      </c>
      <c r="X901" s="67">
        <f t="shared" si="155"/>
        <v>306</v>
      </c>
      <c r="Z901" s="71"/>
      <c r="AA901" s="71"/>
      <c r="AB901" s="67" t="str">
        <f t="shared" si="156"/>
        <v/>
      </c>
      <c r="AD901" s="121"/>
      <c r="AE901" s="121"/>
    </row>
    <row r="902" spans="1:31" x14ac:dyDescent="0.25">
      <c r="A902" s="58" t="s">
        <v>1076</v>
      </c>
      <c r="B902" s="7">
        <v>0.93333333333333324</v>
      </c>
      <c r="C902" s="3">
        <f t="shared" si="152"/>
        <v>4.3999999999999977</v>
      </c>
      <c r="D902" s="10" t="s">
        <v>1004</v>
      </c>
      <c r="E902" s="40">
        <v>0</v>
      </c>
      <c r="F902" s="40">
        <v>2.5</v>
      </c>
      <c r="G902" s="40">
        <v>2</v>
      </c>
      <c r="H902" s="3">
        <f t="shared" si="157"/>
        <v>0</v>
      </c>
      <c r="I902" s="3">
        <f t="shared" si="158"/>
        <v>0.45833333333333309</v>
      </c>
      <c r="J902" s="3">
        <f t="shared" si="159"/>
        <v>0.36666666666666647</v>
      </c>
      <c r="K902" s="3"/>
      <c r="L902" s="60">
        <f t="shared" si="153"/>
        <v>110.00999999999986</v>
      </c>
      <c r="M902" s="40">
        <v>0</v>
      </c>
      <c r="N902" s="40">
        <v>0</v>
      </c>
      <c r="O902" s="40">
        <v>0</v>
      </c>
      <c r="P902" s="40">
        <v>0</v>
      </c>
      <c r="Q902" s="40">
        <v>1.1000000000000001</v>
      </c>
      <c r="R902" s="40">
        <v>0</v>
      </c>
      <c r="S902" s="61">
        <f t="shared" si="154"/>
        <v>70.2</v>
      </c>
      <c r="T902" s="40">
        <v>0</v>
      </c>
      <c r="U902" s="40">
        <v>0</v>
      </c>
      <c r="V902" s="40">
        <v>0</v>
      </c>
      <c r="W902" s="40">
        <v>0</v>
      </c>
      <c r="X902" s="67">
        <f t="shared" si="155"/>
        <v>306</v>
      </c>
      <c r="Z902" s="71"/>
      <c r="AA902" s="71"/>
      <c r="AB902" s="67" t="str">
        <f t="shared" si="156"/>
        <v/>
      </c>
      <c r="AD902" s="121"/>
      <c r="AE902" s="121"/>
    </row>
    <row r="903" spans="1:31" x14ac:dyDescent="0.25">
      <c r="A903" s="58" t="s">
        <v>1077</v>
      </c>
      <c r="B903" s="65">
        <v>0.33333333333333331</v>
      </c>
      <c r="C903" s="3">
        <f t="shared" si="152"/>
        <v>9.6000000000000032</v>
      </c>
      <c r="D903" s="10" t="s">
        <v>966</v>
      </c>
      <c r="E903" s="40">
        <v>0</v>
      </c>
      <c r="F903" s="40">
        <v>2.5</v>
      </c>
      <c r="G903" s="40">
        <v>2</v>
      </c>
      <c r="H903" s="3">
        <f t="shared" si="157"/>
        <v>0</v>
      </c>
      <c r="I903" s="3">
        <f t="shared" si="158"/>
        <v>1.0000000000000004</v>
      </c>
      <c r="J903" s="3">
        <f t="shared" si="159"/>
        <v>0.80000000000000027</v>
      </c>
      <c r="K903" s="3"/>
      <c r="L903" s="60">
        <f t="shared" si="153"/>
        <v>108.20999999999987</v>
      </c>
      <c r="M903" s="40">
        <v>0</v>
      </c>
      <c r="N903" s="40">
        <v>0</v>
      </c>
      <c r="O903" s="40">
        <v>0</v>
      </c>
      <c r="P903" s="40">
        <v>0.6</v>
      </c>
      <c r="Q903" s="40">
        <v>2.4</v>
      </c>
      <c r="R903" s="40">
        <v>0</v>
      </c>
      <c r="S903" s="61">
        <f t="shared" si="154"/>
        <v>67.2</v>
      </c>
      <c r="T903" s="40">
        <v>0</v>
      </c>
      <c r="U903" s="40">
        <v>0</v>
      </c>
      <c r="V903" s="40">
        <v>2</v>
      </c>
      <c r="W903" s="40">
        <v>0</v>
      </c>
      <c r="X903" s="67">
        <f t="shared" si="155"/>
        <v>304</v>
      </c>
      <c r="Z903" s="71"/>
      <c r="AA903" s="71"/>
      <c r="AB903" s="67" t="str">
        <f t="shared" si="156"/>
        <v/>
      </c>
      <c r="AD903" s="121"/>
      <c r="AE903" s="121"/>
    </row>
    <row r="904" spans="1:31" x14ac:dyDescent="0.25">
      <c r="A904" s="58" t="s">
        <v>1078</v>
      </c>
      <c r="B904" s="65">
        <v>0.33333333333333331</v>
      </c>
      <c r="C904" s="3">
        <v>24</v>
      </c>
      <c r="D904" s="10" t="s">
        <v>966</v>
      </c>
      <c r="E904" s="40">
        <v>0</v>
      </c>
      <c r="F904" s="40">
        <v>2.5</v>
      </c>
      <c r="G904" s="40">
        <v>2</v>
      </c>
      <c r="H904" s="3">
        <f t="shared" si="157"/>
        <v>0</v>
      </c>
      <c r="I904" s="3">
        <f t="shared" si="158"/>
        <v>2.5</v>
      </c>
      <c r="J904" s="3">
        <f t="shared" si="159"/>
        <v>2</v>
      </c>
      <c r="K904" s="3"/>
      <c r="L904" s="60">
        <f t="shared" si="153"/>
        <v>103.70999999999987</v>
      </c>
      <c r="M904" s="40">
        <v>0</v>
      </c>
      <c r="N904" s="40">
        <v>0</v>
      </c>
      <c r="O904" s="40">
        <v>0</v>
      </c>
      <c r="P904" s="40">
        <v>0</v>
      </c>
      <c r="Q904" s="40">
        <v>6</v>
      </c>
      <c r="R904" s="40">
        <v>0</v>
      </c>
      <c r="S904" s="61">
        <f t="shared" si="154"/>
        <v>61.2</v>
      </c>
      <c r="T904" s="40">
        <v>0</v>
      </c>
      <c r="U904" s="40">
        <v>0</v>
      </c>
      <c r="V904" s="40">
        <v>6</v>
      </c>
      <c r="W904" s="40">
        <v>0</v>
      </c>
      <c r="X904" s="67">
        <f t="shared" si="155"/>
        <v>298</v>
      </c>
      <c r="Z904" s="71"/>
      <c r="AA904" s="71"/>
      <c r="AB904" s="67" t="str">
        <f t="shared" si="156"/>
        <v/>
      </c>
      <c r="AD904" s="121"/>
      <c r="AE904" s="121"/>
    </row>
    <row r="905" spans="1:31" x14ac:dyDescent="0.25">
      <c r="A905" s="58" t="s">
        <v>1078</v>
      </c>
      <c r="B905" s="7">
        <v>0.67499999999999993</v>
      </c>
      <c r="C905" s="3">
        <f t="shared" si="152"/>
        <v>8.1999999999999993</v>
      </c>
      <c r="D905" s="10" t="s">
        <v>1079</v>
      </c>
      <c r="E905" s="40">
        <v>0</v>
      </c>
      <c r="F905" s="40">
        <v>2.5</v>
      </c>
      <c r="G905" s="40">
        <v>2</v>
      </c>
      <c r="H905" s="3">
        <f t="shared" si="157"/>
        <v>0</v>
      </c>
      <c r="I905" s="3">
        <f t="shared" si="158"/>
        <v>0.85416666666666663</v>
      </c>
      <c r="J905" s="3">
        <f t="shared" si="159"/>
        <v>0.68333333333333324</v>
      </c>
      <c r="K905" s="3"/>
      <c r="L905" s="60">
        <f t="shared" si="153"/>
        <v>102.17249999999987</v>
      </c>
      <c r="M905" s="40">
        <v>0</v>
      </c>
      <c r="N905" s="40">
        <v>0</v>
      </c>
      <c r="O905" s="40">
        <v>0</v>
      </c>
      <c r="P905" s="40">
        <v>0</v>
      </c>
      <c r="Q905" s="40">
        <v>2.1</v>
      </c>
      <c r="R905" s="40">
        <v>0</v>
      </c>
      <c r="S905" s="61">
        <f t="shared" si="154"/>
        <v>59.1</v>
      </c>
      <c r="T905" s="40">
        <v>0</v>
      </c>
      <c r="U905" s="40">
        <v>0</v>
      </c>
      <c r="V905" s="40">
        <v>4</v>
      </c>
      <c r="W905" s="40">
        <v>0</v>
      </c>
      <c r="X905" s="67">
        <f t="shared" si="155"/>
        <v>294</v>
      </c>
      <c r="Z905" s="71"/>
      <c r="AA905" s="71"/>
      <c r="AB905" s="67" t="str">
        <f t="shared" si="156"/>
        <v/>
      </c>
      <c r="AD905" s="121"/>
      <c r="AE905" s="121"/>
    </row>
    <row r="906" spans="1:31" x14ac:dyDescent="0.25">
      <c r="A906" s="58" t="s">
        <v>1078</v>
      </c>
      <c r="B906" s="7">
        <v>0.79166666666666663</v>
      </c>
      <c r="C906" s="3">
        <f t="shared" si="152"/>
        <v>2.8000000000000007</v>
      </c>
      <c r="D906" s="10" t="s">
        <v>1011</v>
      </c>
      <c r="E906" s="40">
        <v>0</v>
      </c>
      <c r="F906" s="40">
        <v>2.5</v>
      </c>
      <c r="G906" s="40">
        <v>2</v>
      </c>
      <c r="H906" s="3">
        <f t="shared" si="157"/>
        <v>0</v>
      </c>
      <c r="I906" s="3">
        <f t="shared" si="158"/>
        <v>0.29166666666666674</v>
      </c>
      <c r="J906" s="3">
        <f t="shared" si="159"/>
        <v>0.23333333333333339</v>
      </c>
      <c r="K906" s="3"/>
      <c r="L906" s="60">
        <f t="shared" si="153"/>
        <v>101.64749999999987</v>
      </c>
      <c r="M906" s="40">
        <v>0</v>
      </c>
      <c r="N906" s="40">
        <v>0</v>
      </c>
      <c r="O906" s="40">
        <v>0</v>
      </c>
      <c r="P906" s="40">
        <v>0</v>
      </c>
      <c r="Q906" s="40">
        <v>0</v>
      </c>
      <c r="R906" s="40">
        <v>0</v>
      </c>
      <c r="S906" s="61">
        <f t="shared" si="154"/>
        <v>59.1</v>
      </c>
      <c r="T906" s="40">
        <v>0</v>
      </c>
      <c r="U906" s="40">
        <v>0</v>
      </c>
      <c r="V906" s="40">
        <v>0</v>
      </c>
      <c r="W906" s="40">
        <v>0</v>
      </c>
      <c r="X906" s="67">
        <f t="shared" si="155"/>
        <v>294</v>
      </c>
      <c r="Z906" s="71"/>
      <c r="AA906" s="71"/>
      <c r="AB906" s="67" t="str">
        <f t="shared" si="156"/>
        <v/>
      </c>
      <c r="AD906" s="121"/>
      <c r="AE906" s="121"/>
    </row>
    <row r="907" spans="1:31" x14ac:dyDescent="0.25">
      <c r="A907" s="58" t="s">
        <v>1078</v>
      </c>
      <c r="B907" s="7">
        <v>0.85416666666666663</v>
      </c>
      <c r="C907" s="3">
        <f t="shared" si="152"/>
        <v>1.5</v>
      </c>
      <c r="D907" s="10" t="s">
        <v>149</v>
      </c>
      <c r="E907" s="40">
        <v>5</v>
      </c>
      <c r="F907" s="40">
        <v>2.5</v>
      </c>
      <c r="G907" s="40">
        <v>2</v>
      </c>
      <c r="H907" s="3">
        <f t="shared" si="157"/>
        <v>0.3125</v>
      </c>
      <c r="I907" s="3">
        <f t="shared" si="158"/>
        <v>0.15625</v>
      </c>
      <c r="J907" s="3">
        <f t="shared" si="159"/>
        <v>0.125</v>
      </c>
      <c r="K907" s="3"/>
      <c r="L907" s="60">
        <f t="shared" si="153"/>
        <v>101.05374999999987</v>
      </c>
      <c r="M907" s="40">
        <v>0</v>
      </c>
      <c r="N907" s="40">
        <v>0</v>
      </c>
      <c r="O907" s="40">
        <v>0</v>
      </c>
      <c r="P907" s="40">
        <v>0</v>
      </c>
      <c r="Q907" s="40">
        <v>0</v>
      </c>
      <c r="R907" s="40">
        <v>0</v>
      </c>
      <c r="S907" s="61">
        <f t="shared" si="154"/>
        <v>59.1</v>
      </c>
      <c r="T907" s="40">
        <v>0</v>
      </c>
      <c r="U907" s="40">
        <v>0</v>
      </c>
      <c r="V907" s="40">
        <v>0</v>
      </c>
      <c r="W907" s="40">
        <v>0</v>
      </c>
      <c r="X907" s="67">
        <f t="shared" si="155"/>
        <v>294</v>
      </c>
      <c r="Z907" s="71"/>
      <c r="AA907" s="71"/>
      <c r="AB907" s="67" t="str">
        <f t="shared" si="156"/>
        <v/>
      </c>
      <c r="AD907" s="121"/>
      <c r="AE907" s="121"/>
    </row>
    <row r="908" spans="1:31" x14ac:dyDescent="0.25">
      <c r="A908" s="58" t="s">
        <v>1078</v>
      </c>
      <c r="B908" s="7">
        <v>0.87083333333333324</v>
      </c>
      <c r="C908" s="3">
        <f t="shared" si="152"/>
        <v>0.39999999999999858</v>
      </c>
      <c r="D908" s="10" t="s">
        <v>1080</v>
      </c>
      <c r="E908" s="40">
        <v>20</v>
      </c>
      <c r="F908" s="40">
        <v>2.5</v>
      </c>
      <c r="G908" s="40">
        <v>2</v>
      </c>
      <c r="H908" s="3">
        <f t="shared" si="157"/>
        <v>0.33333333333333215</v>
      </c>
      <c r="I908" s="3">
        <f t="shared" si="158"/>
        <v>4.1666666666666519E-2</v>
      </c>
      <c r="J908" s="3">
        <f t="shared" si="159"/>
        <v>3.3333333333333215E-2</v>
      </c>
      <c r="K908" s="3"/>
      <c r="L908" s="60">
        <f t="shared" si="153"/>
        <v>100.64541666666653</v>
      </c>
      <c r="M908" s="40">
        <v>0</v>
      </c>
      <c r="N908" s="40">
        <v>0</v>
      </c>
      <c r="O908" s="40">
        <v>0</v>
      </c>
      <c r="P908" s="40">
        <v>0</v>
      </c>
      <c r="Q908" s="40">
        <v>0</v>
      </c>
      <c r="R908" s="40">
        <v>0</v>
      </c>
      <c r="S908" s="61">
        <f t="shared" si="154"/>
        <v>59.1</v>
      </c>
      <c r="T908" s="40">
        <v>0</v>
      </c>
      <c r="U908" s="40">
        <v>0</v>
      </c>
      <c r="V908" s="40">
        <v>0</v>
      </c>
      <c r="W908" s="40">
        <v>0</v>
      </c>
      <c r="X908" s="67">
        <f t="shared" si="155"/>
        <v>294</v>
      </c>
      <c r="Z908" s="71"/>
      <c r="AA908" s="71"/>
      <c r="AB908" s="67" t="str">
        <f t="shared" si="156"/>
        <v/>
      </c>
      <c r="AD908" s="121"/>
      <c r="AE908" s="121"/>
    </row>
    <row r="909" spans="1:31" x14ac:dyDescent="0.25">
      <c r="A909" s="58" t="s">
        <v>1078</v>
      </c>
      <c r="B909" s="7">
        <v>0.875</v>
      </c>
      <c r="C909" s="3">
        <f t="shared" si="152"/>
        <v>0.10000000000000231</v>
      </c>
      <c r="D909" s="10" t="s">
        <v>616</v>
      </c>
      <c r="E909" s="40">
        <v>5</v>
      </c>
      <c r="F909" s="40">
        <v>2.5</v>
      </c>
      <c r="G909" s="40">
        <v>2</v>
      </c>
      <c r="H909" s="3">
        <f t="shared" si="157"/>
        <v>2.0833333333333814E-2</v>
      </c>
      <c r="I909" s="3">
        <f t="shared" si="158"/>
        <v>1.0416666666666907E-2</v>
      </c>
      <c r="J909" s="3">
        <f t="shared" si="159"/>
        <v>8.3333333333335258E-3</v>
      </c>
      <c r="K909" s="3"/>
      <c r="L909" s="60">
        <f t="shared" si="153"/>
        <v>100.60583333333319</v>
      </c>
      <c r="M909" s="40">
        <v>0</v>
      </c>
      <c r="N909" s="40">
        <v>0</v>
      </c>
      <c r="O909" s="40">
        <v>0</v>
      </c>
      <c r="P909" s="40">
        <v>0</v>
      </c>
      <c r="Q909" s="40">
        <v>0</v>
      </c>
      <c r="R909" s="40">
        <v>0</v>
      </c>
      <c r="S909" s="61">
        <f t="shared" si="154"/>
        <v>59.1</v>
      </c>
      <c r="T909" s="40">
        <v>0</v>
      </c>
      <c r="U909" s="40">
        <v>0</v>
      </c>
      <c r="V909" s="40">
        <v>0</v>
      </c>
      <c r="W909" s="40">
        <v>0</v>
      </c>
      <c r="X909" s="67">
        <f t="shared" si="155"/>
        <v>294</v>
      </c>
      <c r="Z909" s="71"/>
      <c r="AA909" s="71"/>
      <c r="AB909" s="67" t="str">
        <f t="shared" si="156"/>
        <v/>
      </c>
      <c r="AD909" s="121"/>
      <c r="AE909" s="121"/>
    </row>
    <row r="910" spans="1:31" x14ac:dyDescent="0.25">
      <c r="A910" s="58" t="s">
        <v>1081</v>
      </c>
      <c r="B910" s="65">
        <v>0.33333333333333331</v>
      </c>
      <c r="C910" s="3">
        <f t="shared" si="152"/>
        <v>10.999999999999998</v>
      </c>
      <c r="D910" s="10" t="s">
        <v>351</v>
      </c>
      <c r="E910" s="40">
        <v>0</v>
      </c>
      <c r="F910" s="40">
        <v>2.5</v>
      </c>
      <c r="G910" s="40">
        <v>6</v>
      </c>
      <c r="H910" s="3">
        <f t="shared" si="157"/>
        <v>0</v>
      </c>
      <c r="I910" s="3">
        <f t="shared" si="158"/>
        <v>1.1458333333333333</v>
      </c>
      <c r="J910" s="3">
        <f t="shared" si="159"/>
        <v>2.7499999999999996</v>
      </c>
      <c r="K910" s="3"/>
      <c r="L910" s="60">
        <f t="shared" si="153"/>
        <v>96.709999999999866</v>
      </c>
      <c r="M910" s="40">
        <v>0</v>
      </c>
      <c r="N910" s="40">
        <v>0</v>
      </c>
      <c r="O910" s="40">
        <v>0</v>
      </c>
      <c r="P910" s="40">
        <v>0</v>
      </c>
      <c r="Q910" s="40">
        <v>0</v>
      </c>
      <c r="R910" s="40">
        <v>0</v>
      </c>
      <c r="S910" s="61">
        <f t="shared" si="154"/>
        <v>59.1</v>
      </c>
      <c r="T910" s="40">
        <v>0</v>
      </c>
      <c r="U910" s="40">
        <v>0</v>
      </c>
      <c r="V910" s="40">
        <v>6</v>
      </c>
      <c r="W910" s="40">
        <v>0</v>
      </c>
      <c r="X910" s="67">
        <f t="shared" si="155"/>
        <v>288</v>
      </c>
      <c r="Z910" s="71"/>
      <c r="AA910" s="71"/>
      <c r="AB910" s="67" t="str">
        <f t="shared" si="156"/>
        <v/>
      </c>
      <c r="AD910" s="121"/>
      <c r="AE910" s="121"/>
    </row>
    <row r="911" spans="1:31" x14ac:dyDescent="0.25">
      <c r="A911" s="58" t="s">
        <v>1082</v>
      </c>
      <c r="B911" s="65">
        <v>0.33333333333333331</v>
      </c>
      <c r="C911" s="3">
        <v>24</v>
      </c>
      <c r="D911" s="10" t="s">
        <v>351</v>
      </c>
      <c r="E911" s="40">
        <v>0</v>
      </c>
      <c r="F911" s="40">
        <v>2.5</v>
      </c>
      <c r="G911" s="40">
        <v>2</v>
      </c>
      <c r="H911" s="3">
        <f t="shared" si="157"/>
        <v>0</v>
      </c>
      <c r="I911" s="3">
        <f t="shared" si="158"/>
        <v>2.5</v>
      </c>
      <c r="J911" s="3">
        <f t="shared" si="159"/>
        <v>2</v>
      </c>
      <c r="K911" s="3"/>
      <c r="L911" s="60">
        <f t="shared" si="153"/>
        <v>92.209999999999866</v>
      </c>
      <c r="M911" s="40">
        <v>0</v>
      </c>
      <c r="N911" s="40">
        <v>0</v>
      </c>
      <c r="O911" s="40">
        <v>0</v>
      </c>
      <c r="P911" s="40">
        <v>0</v>
      </c>
      <c r="Q911" s="40">
        <v>0</v>
      </c>
      <c r="R911" s="40">
        <v>0</v>
      </c>
      <c r="S911" s="61">
        <f t="shared" si="154"/>
        <v>59.1</v>
      </c>
      <c r="T911" s="40">
        <v>0</v>
      </c>
      <c r="U911" s="40">
        <v>0</v>
      </c>
      <c r="V911" s="40">
        <v>8</v>
      </c>
      <c r="W911" s="40">
        <v>0</v>
      </c>
      <c r="X911" s="67">
        <f t="shared" si="155"/>
        <v>280</v>
      </c>
      <c r="Z911" s="71"/>
      <c r="AA911" s="71"/>
      <c r="AB911" s="67" t="str">
        <f t="shared" si="156"/>
        <v/>
      </c>
      <c r="AD911" s="121"/>
      <c r="AE911" s="121"/>
    </row>
    <row r="912" spans="1:31" x14ac:dyDescent="0.25">
      <c r="A912" s="58" t="s">
        <v>1083</v>
      </c>
      <c r="B912" s="65">
        <v>0.33333333333333331</v>
      </c>
      <c r="C912" s="3">
        <v>24</v>
      </c>
      <c r="D912" s="10" t="s">
        <v>351</v>
      </c>
      <c r="E912" s="40">
        <v>0</v>
      </c>
      <c r="F912" s="40">
        <v>2.5</v>
      </c>
      <c r="G912" s="40">
        <v>2</v>
      </c>
      <c r="H912" s="3">
        <f t="shared" si="157"/>
        <v>0</v>
      </c>
      <c r="I912" s="3">
        <f t="shared" si="158"/>
        <v>2.5</v>
      </c>
      <c r="J912" s="3">
        <f t="shared" si="159"/>
        <v>2</v>
      </c>
      <c r="K912" s="3"/>
      <c r="L912" s="60">
        <f t="shared" si="153"/>
        <v>87.709999999999866</v>
      </c>
      <c r="M912" s="40">
        <v>0</v>
      </c>
      <c r="N912" s="40">
        <v>0</v>
      </c>
      <c r="O912" s="40">
        <v>0</v>
      </c>
      <c r="P912" s="40">
        <v>0</v>
      </c>
      <c r="Q912" s="40">
        <v>9</v>
      </c>
      <c r="R912" s="40">
        <v>0</v>
      </c>
      <c r="S912" s="61">
        <f t="shared" si="154"/>
        <v>50.1</v>
      </c>
      <c r="T912" s="40">
        <v>0</v>
      </c>
      <c r="U912" s="40">
        <v>0</v>
      </c>
      <c r="V912" s="40">
        <v>6</v>
      </c>
      <c r="W912" s="40">
        <v>0</v>
      </c>
      <c r="X912" s="67">
        <f t="shared" si="155"/>
        <v>274</v>
      </c>
      <c r="Z912" s="71"/>
      <c r="AA912" s="71"/>
      <c r="AB912" s="67" t="str">
        <f t="shared" si="156"/>
        <v/>
      </c>
      <c r="AD912" s="121"/>
      <c r="AE912" s="121"/>
    </row>
    <row r="913" spans="1:31" x14ac:dyDescent="0.25">
      <c r="A913" s="58" t="s">
        <v>1084</v>
      </c>
      <c r="B913" s="65">
        <v>0.33333333333333331</v>
      </c>
      <c r="C913" s="3">
        <v>24</v>
      </c>
      <c r="D913" s="10" t="s">
        <v>351</v>
      </c>
      <c r="E913" s="40">
        <v>0</v>
      </c>
      <c r="F913" s="40">
        <v>2.5</v>
      </c>
      <c r="G913" s="40">
        <v>2</v>
      </c>
      <c r="H913" s="3">
        <f t="shared" si="157"/>
        <v>0</v>
      </c>
      <c r="I913" s="3">
        <f t="shared" si="158"/>
        <v>2.5</v>
      </c>
      <c r="J913" s="3">
        <f t="shared" si="159"/>
        <v>2</v>
      </c>
      <c r="K913" s="3"/>
      <c r="L913" s="60">
        <f t="shared" si="153"/>
        <v>83.209999999999866</v>
      </c>
      <c r="M913" s="40">
        <v>0</v>
      </c>
      <c r="N913" s="40">
        <v>0</v>
      </c>
      <c r="O913" s="40">
        <v>0</v>
      </c>
      <c r="P913" s="40">
        <v>0</v>
      </c>
      <c r="Q913" s="40">
        <v>9</v>
      </c>
      <c r="R913" s="40">
        <v>0</v>
      </c>
      <c r="S913" s="61">
        <f t="shared" si="154"/>
        <v>41.1</v>
      </c>
      <c r="T913" s="40">
        <v>0</v>
      </c>
      <c r="U913" s="40">
        <v>0</v>
      </c>
      <c r="V913" s="40">
        <v>6</v>
      </c>
      <c r="W913" s="40">
        <v>0</v>
      </c>
      <c r="X913" s="67">
        <f t="shared" si="155"/>
        <v>268</v>
      </c>
      <c r="Z913" s="71">
        <v>94</v>
      </c>
      <c r="AA913" s="71">
        <v>19</v>
      </c>
      <c r="AB913" s="67">
        <f t="shared" si="156"/>
        <v>113</v>
      </c>
      <c r="AD913" s="121"/>
      <c r="AE913" s="121"/>
    </row>
    <row r="914" spans="1:31" x14ac:dyDescent="0.25">
      <c r="A914" s="58" t="s">
        <v>1084</v>
      </c>
      <c r="B914" s="7">
        <v>0.72083333333333333</v>
      </c>
      <c r="C914" s="3">
        <f t="shared" si="152"/>
        <v>9.3000000000000007</v>
      </c>
      <c r="D914" s="10" t="s">
        <v>1011</v>
      </c>
      <c r="E914" s="40">
        <v>0</v>
      </c>
      <c r="F914" s="40">
        <v>2.5</v>
      </c>
      <c r="G914" s="40">
        <v>2</v>
      </c>
      <c r="H914" s="3">
        <f t="shared" si="157"/>
        <v>0</v>
      </c>
      <c r="I914" s="3">
        <f t="shared" si="158"/>
        <v>0.96875000000000011</v>
      </c>
      <c r="J914" s="3">
        <f t="shared" si="159"/>
        <v>0.77500000000000002</v>
      </c>
      <c r="K914" s="3"/>
      <c r="L914" s="60">
        <f t="shared" si="153"/>
        <v>81.46624999999986</v>
      </c>
      <c r="M914" s="40">
        <v>0</v>
      </c>
      <c r="N914" s="40">
        <v>0</v>
      </c>
      <c r="O914" s="40">
        <v>0</v>
      </c>
      <c r="P914" s="40">
        <v>0</v>
      </c>
      <c r="Q914" s="40">
        <v>0</v>
      </c>
      <c r="R914" s="40">
        <v>0</v>
      </c>
      <c r="S914" s="61">
        <f t="shared" si="154"/>
        <v>41.1</v>
      </c>
      <c r="T914" s="40">
        <v>0</v>
      </c>
      <c r="U914" s="40">
        <v>0</v>
      </c>
      <c r="V914" s="40">
        <v>0</v>
      </c>
      <c r="W914" s="40">
        <v>0</v>
      </c>
      <c r="X914" s="67">
        <f t="shared" si="155"/>
        <v>268</v>
      </c>
      <c r="Z914" s="71"/>
      <c r="AA914" s="71"/>
      <c r="AB914" s="67" t="str">
        <f t="shared" si="156"/>
        <v/>
      </c>
      <c r="AD914" s="121"/>
      <c r="AE914" s="121"/>
    </row>
    <row r="915" spans="1:31" x14ac:dyDescent="0.25">
      <c r="A915" s="58" t="s">
        <v>1084</v>
      </c>
      <c r="B915" s="7">
        <v>0.84583333333333333</v>
      </c>
      <c r="C915" s="3">
        <f t="shared" si="152"/>
        <v>3</v>
      </c>
      <c r="D915" s="10" t="s">
        <v>616</v>
      </c>
      <c r="E915" s="40">
        <v>5</v>
      </c>
      <c r="F915" s="40">
        <v>2.5</v>
      </c>
      <c r="G915" s="40">
        <v>2</v>
      </c>
      <c r="H915" s="3">
        <f t="shared" si="157"/>
        <v>0.625</v>
      </c>
      <c r="I915" s="3">
        <f t="shared" si="158"/>
        <v>0.3125</v>
      </c>
      <c r="J915" s="3">
        <f t="shared" si="159"/>
        <v>0.25</v>
      </c>
      <c r="K915" s="3"/>
      <c r="L915" s="60">
        <f t="shared" si="153"/>
        <v>80.27874999999986</v>
      </c>
      <c r="M915" s="40">
        <v>0</v>
      </c>
      <c r="N915" s="40">
        <v>0</v>
      </c>
      <c r="O915" s="40">
        <v>0</v>
      </c>
      <c r="P915" s="40">
        <v>0</v>
      </c>
      <c r="Q915" s="40">
        <v>0</v>
      </c>
      <c r="R915" s="40">
        <v>0</v>
      </c>
      <c r="S915" s="61">
        <f t="shared" si="154"/>
        <v>41.1</v>
      </c>
      <c r="T915" s="40">
        <v>0</v>
      </c>
      <c r="U915" s="40">
        <v>0</v>
      </c>
      <c r="V915" s="40">
        <v>3</v>
      </c>
      <c r="W915" s="40">
        <v>0</v>
      </c>
      <c r="X915" s="67">
        <f t="shared" si="155"/>
        <v>265</v>
      </c>
      <c r="Z915" s="71"/>
      <c r="AA915" s="71"/>
      <c r="AB915" s="67" t="str">
        <f t="shared" si="156"/>
        <v/>
      </c>
      <c r="AD915" s="121"/>
      <c r="AE915" s="121"/>
    </row>
    <row r="916" spans="1:31" x14ac:dyDescent="0.25">
      <c r="A916" s="58" t="s">
        <v>1085</v>
      </c>
      <c r="B916" s="7">
        <v>8.3333333333333329E-2</v>
      </c>
      <c r="C916" s="3">
        <f t="shared" si="152"/>
        <v>5.7000000000000028</v>
      </c>
      <c r="D916" s="10" t="s">
        <v>1049</v>
      </c>
      <c r="E916" s="40">
        <v>0</v>
      </c>
      <c r="F916" s="40">
        <v>2.5</v>
      </c>
      <c r="G916" s="40">
        <v>2</v>
      </c>
      <c r="H916" s="3">
        <f t="shared" si="157"/>
        <v>0</v>
      </c>
      <c r="I916" s="3">
        <f t="shared" si="158"/>
        <v>0.59375000000000033</v>
      </c>
      <c r="J916" s="3">
        <f t="shared" si="159"/>
        <v>0.4750000000000002</v>
      </c>
      <c r="K916" s="3"/>
      <c r="L916" s="60">
        <f t="shared" si="153"/>
        <v>79.209999999999866</v>
      </c>
      <c r="M916" s="40">
        <v>0</v>
      </c>
      <c r="N916" s="40">
        <v>0</v>
      </c>
      <c r="O916" s="40">
        <v>0</v>
      </c>
      <c r="P916" s="40">
        <v>0</v>
      </c>
      <c r="Q916" s="40">
        <v>0</v>
      </c>
      <c r="R916" s="40">
        <v>0</v>
      </c>
      <c r="S916" s="61">
        <f t="shared" si="154"/>
        <v>41.1</v>
      </c>
      <c r="T916" s="40">
        <v>0</v>
      </c>
      <c r="U916" s="40">
        <v>0</v>
      </c>
      <c r="V916" s="40">
        <v>2</v>
      </c>
      <c r="W916" s="40">
        <v>0</v>
      </c>
      <c r="X916" s="67">
        <f t="shared" si="155"/>
        <v>263</v>
      </c>
      <c r="Z916" s="71"/>
      <c r="AA916" s="71"/>
      <c r="AB916" s="67" t="str">
        <f t="shared" si="156"/>
        <v/>
      </c>
      <c r="AD916" s="121"/>
      <c r="AE916" s="121"/>
    </row>
    <row r="917" spans="1:31" x14ac:dyDescent="0.25">
      <c r="A917" s="58" t="s">
        <v>1085</v>
      </c>
      <c r="B917" s="65">
        <v>0.33333333333333331</v>
      </c>
      <c r="C917" s="3">
        <f t="shared" si="152"/>
        <v>6</v>
      </c>
      <c r="D917" s="10" t="s">
        <v>1051</v>
      </c>
      <c r="E917" s="40">
        <v>0</v>
      </c>
      <c r="F917" s="40">
        <v>2.5</v>
      </c>
      <c r="G917" s="40">
        <v>2</v>
      </c>
      <c r="H917" s="3">
        <f t="shared" si="157"/>
        <v>0</v>
      </c>
      <c r="I917" s="3">
        <f t="shared" si="158"/>
        <v>0.625</v>
      </c>
      <c r="J917" s="3">
        <f t="shared" si="159"/>
        <v>0.5</v>
      </c>
      <c r="K917" s="3"/>
      <c r="L917" s="60">
        <f t="shared" si="153"/>
        <v>78.084999999999866</v>
      </c>
      <c r="M917" s="40">
        <v>0</v>
      </c>
      <c r="N917" s="40">
        <v>0</v>
      </c>
      <c r="O917" s="40">
        <v>0</v>
      </c>
      <c r="P917" s="40">
        <v>0</v>
      </c>
      <c r="Q917" s="40">
        <v>0</v>
      </c>
      <c r="R917" s="40">
        <v>0</v>
      </c>
      <c r="S917" s="61">
        <f t="shared" si="154"/>
        <v>41.1</v>
      </c>
      <c r="T917" s="40">
        <v>0</v>
      </c>
      <c r="U917" s="40">
        <v>0</v>
      </c>
      <c r="V917" s="40">
        <v>1</v>
      </c>
      <c r="W917" s="40">
        <v>0</v>
      </c>
      <c r="X917" s="67">
        <f t="shared" si="155"/>
        <v>262</v>
      </c>
      <c r="Z917" s="71"/>
      <c r="AA917" s="71"/>
      <c r="AB917" s="67" t="str">
        <f t="shared" si="156"/>
        <v/>
      </c>
      <c r="AD917" s="121"/>
      <c r="AE917" s="121"/>
    </row>
    <row r="918" spans="1:31" x14ac:dyDescent="0.25">
      <c r="A918" s="58" t="s">
        <v>1086</v>
      </c>
      <c r="B918" s="65">
        <v>0.33333333333333331</v>
      </c>
      <c r="C918" s="3">
        <v>24</v>
      </c>
      <c r="D918" s="10" t="s">
        <v>1051</v>
      </c>
      <c r="E918" s="40">
        <v>0</v>
      </c>
      <c r="F918" s="40">
        <v>2.5</v>
      </c>
      <c r="G918" s="40">
        <v>2</v>
      </c>
      <c r="H918" s="3">
        <f t="shared" si="157"/>
        <v>0</v>
      </c>
      <c r="I918" s="3">
        <f t="shared" si="158"/>
        <v>2.5</v>
      </c>
      <c r="J918" s="3">
        <f t="shared" si="159"/>
        <v>2</v>
      </c>
      <c r="K918" s="3"/>
      <c r="L918" s="60">
        <f t="shared" si="153"/>
        <v>73.584999999999866</v>
      </c>
      <c r="M918" s="40">
        <v>0</v>
      </c>
      <c r="N918" s="40">
        <v>0</v>
      </c>
      <c r="O918" s="40">
        <v>0</v>
      </c>
      <c r="P918" s="40">
        <v>0</v>
      </c>
      <c r="Q918" s="40">
        <v>0</v>
      </c>
      <c r="R918" s="40">
        <v>0</v>
      </c>
      <c r="S918" s="61">
        <f t="shared" si="154"/>
        <v>41.1</v>
      </c>
      <c r="T918" s="40">
        <v>0</v>
      </c>
      <c r="U918" s="40">
        <v>0</v>
      </c>
      <c r="V918" s="40">
        <v>6</v>
      </c>
      <c r="W918" s="40">
        <v>0</v>
      </c>
      <c r="X918" s="67">
        <f t="shared" si="155"/>
        <v>256</v>
      </c>
      <c r="Z918" s="71">
        <v>85</v>
      </c>
      <c r="AA918" s="71">
        <v>17</v>
      </c>
      <c r="AB918" s="67">
        <f t="shared" si="156"/>
        <v>102</v>
      </c>
      <c r="AD918" s="121"/>
      <c r="AE918" s="121"/>
    </row>
    <row r="919" spans="1:31" x14ac:dyDescent="0.25">
      <c r="A919" s="58" t="s">
        <v>1086</v>
      </c>
      <c r="B919" s="7">
        <v>0.6333333333333333</v>
      </c>
      <c r="C919" s="3">
        <f t="shared" si="152"/>
        <v>7.1999999999999993</v>
      </c>
      <c r="D919" s="10" t="s">
        <v>1087</v>
      </c>
      <c r="E919" s="40">
        <v>0</v>
      </c>
      <c r="F919" s="40">
        <v>2.5</v>
      </c>
      <c r="G919" s="40">
        <v>2</v>
      </c>
      <c r="H919" s="3">
        <f t="shared" si="157"/>
        <v>0</v>
      </c>
      <c r="I919" s="3">
        <f t="shared" si="158"/>
        <v>0.75</v>
      </c>
      <c r="J919" s="3">
        <f t="shared" si="159"/>
        <v>0.59999999999999987</v>
      </c>
      <c r="K919" s="3"/>
      <c r="L919" s="60">
        <f t="shared" si="153"/>
        <v>72.234999999999872</v>
      </c>
      <c r="M919" s="40">
        <v>0</v>
      </c>
      <c r="N919" s="40">
        <v>0</v>
      </c>
      <c r="O919" s="40">
        <v>0</v>
      </c>
      <c r="P919" s="40">
        <v>0</v>
      </c>
      <c r="Q919" s="40">
        <v>0</v>
      </c>
      <c r="R919" s="40">
        <v>0</v>
      </c>
      <c r="S919" s="61">
        <f t="shared" si="154"/>
        <v>41.1</v>
      </c>
      <c r="T919" s="40">
        <v>0</v>
      </c>
      <c r="U919" s="40">
        <v>0</v>
      </c>
      <c r="V919" s="40">
        <v>3</v>
      </c>
      <c r="W919" s="40">
        <v>0</v>
      </c>
      <c r="X919" s="67">
        <f t="shared" si="155"/>
        <v>253</v>
      </c>
      <c r="Z919" s="71"/>
      <c r="AA919" s="71"/>
      <c r="AB919" s="67" t="str">
        <f t="shared" si="156"/>
        <v/>
      </c>
      <c r="AD919" s="121"/>
      <c r="AE919" s="121"/>
    </row>
    <row r="920" spans="1:31" x14ac:dyDescent="0.25">
      <c r="A920" s="58" t="s">
        <v>1086</v>
      </c>
      <c r="B920" s="7">
        <v>0.77500000000000002</v>
      </c>
      <c r="C920" s="3">
        <f t="shared" si="152"/>
        <v>3.4000000000000012</v>
      </c>
      <c r="D920" s="10" t="s">
        <v>1011</v>
      </c>
      <c r="E920" s="40">
        <v>0</v>
      </c>
      <c r="F920" s="40">
        <v>2.5</v>
      </c>
      <c r="G920" s="40">
        <v>2</v>
      </c>
      <c r="H920" s="3">
        <f t="shared" si="157"/>
        <v>0</v>
      </c>
      <c r="I920" s="3">
        <f t="shared" si="158"/>
        <v>0.3541666666666668</v>
      </c>
      <c r="J920" s="3">
        <f t="shared" si="159"/>
        <v>0.28333333333333344</v>
      </c>
      <c r="K920" s="3"/>
      <c r="L920" s="60">
        <f t="shared" si="153"/>
        <v>71.597499999999869</v>
      </c>
      <c r="M920" s="40">
        <v>0</v>
      </c>
      <c r="N920" s="40">
        <v>0</v>
      </c>
      <c r="O920" s="40">
        <v>0</v>
      </c>
      <c r="P920" s="40">
        <v>0</v>
      </c>
      <c r="Q920" s="40">
        <v>0</v>
      </c>
      <c r="R920" s="40">
        <v>0</v>
      </c>
      <c r="S920" s="61">
        <f t="shared" si="154"/>
        <v>41.1</v>
      </c>
      <c r="T920" s="40">
        <v>0</v>
      </c>
      <c r="U920" s="40">
        <v>0</v>
      </c>
      <c r="V920" s="40">
        <v>0</v>
      </c>
      <c r="W920" s="40">
        <v>0</v>
      </c>
      <c r="X920" s="67">
        <f t="shared" si="155"/>
        <v>253</v>
      </c>
      <c r="Z920" s="71"/>
      <c r="AA920" s="71"/>
      <c r="AB920" s="67" t="str">
        <f t="shared" si="156"/>
        <v/>
      </c>
      <c r="AD920" s="121"/>
      <c r="AE920" s="121"/>
    </row>
    <row r="921" spans="1:31" x14ac:dyDescent="0.25">
      <c r="A921" s="58">
        <v>16.101900000000001</v>
      </c>
      <c r="B921" s="7">
        <v>0.81666666666666676</v>
      </c>
      <c r="C921" s="3">
        <f t="shared" si="152"/>
        <v>1.0000000000000018</v>
      </c>
      <c r="D921" s="10" t="s">
        <v>616</v>
      </c>
      <c r="E921" s="40">
        <v>10</v>
      </c>
      <c r="F921" s="40">
        <v>2.5</v>
      </c>
      <c r="G921" s="40">
        <v>2</v>
      </c>
      <c r="H921" s="3">
        <f t="shared" si="157"/>
        <v>0.41666666666666741</v>
      </c>
      <c r="I921" s="3">
        <f t="shared" si="158"/>
        <v>0.10416666666666685</v>
      </c>
      <c r="J921" s="3">
        <f t="shared" si="159"/>
        <v>8.3333333333333481E-2</v>
      </c>
      <c r="K921" s="3"/>
      <c r="L921" s="60">
        <f t="shared" si="153"/>
        <v>70.993333333333197</v>
      </c>
      <c r="M921" s="40">
        <v>0</v>
      </c>
      <c r="N921" s="40">
        <v>0</v>
      </c>
      <c r="O921" s="40">
        <v>0</v>
      </c>
      <c r="P921" s="40">
        <v>0</v>
      </c>
      <c r="Q921" s="40">
        <v>0</v>
      </c>
      <c r="R921" s="40">
        <v>0</v>
      </c>
      <c r="S921" s="61">
        <f t="shared" si="154"/>
        <v>41.1</v>
      </c>
      <c r="T921" s="40">
        <v>0</v>
      </c>
      <c r="U921" s="40">
        <v>0</v>
      </c>
      <c r="V921" s="40">
        <v>0</v>
      </c>
      <c r="W921" s="40">
        <v>0</v>
      </c>
      <c r="X921" s="67">
        <f t="shared" si="155"/>
        <v>253</v>
      </c>
      <c r="Z921" s="71"/>
      <c r="AA921" s="71"/>
      <c r="AB921" s="67" t="str">
        <f t="shared" si="156"/>
        <v/>
      </c>
      <c r="AD921" s="121"/>
      <c r="AE921" s="121"/>
    </row>
    <row r="922" spans="1:31" x14ac:dyDescent="0.25">
      <c r="A922" s="58">
        <v>16.101900000000001</v>
      </c>
      <c r="B922" s="7">
        <v>0.86249999999999993</v>
      </c>
      <c r="C922" s="3">
        <f t="shared" si="152"/>
        <v>1.0999999999999961</v>
      </c>
      <c r="D922" s="10" t="s">
        <v>1011</v>
      </c>
      <c r="E922" s="40">
        <v>0</v>
      </c>
      <c r="F922" s="40">
        <v>2.5</v>
      </c>
      <c r="G922" s="40">
        <v>2</v>
      </c>
      <c r="H922" s="3">
        <f t="shared" si="157"/>
        <v>0</v>
      </c>
      <c r="I922" s="3">
        <f t="shared" si="158"/>
        <v>0.11458333333333293</v>
      </c>
      <c r="J922" s="3">
        <f t="shared" si="159"/>
        <v>9.1666666666666341E-2</v>
      </c>
      <c r="K922" s="3"/>
      <c r="L922" s="60">
        <f t="shared" si="153"/>
        <v>70.7870833333332</v>
      </c>
      <c r="M922" s="40">
        <v>0</v>
      </c>
      <c r="N922" s="40">
        <v>0</v>
      </c>
      <c r="O922" s="40">
        <v>0</v>
      </c>
      <c r="P922" s="40">
        <v>0</v>
      </c>
      <c r="Q922" s="40">
        <v>0</v>
      </c>
      <c r="R922" s="40">
        <v>0</v>
      </c>
      <c r="S922" s="61">
        <f t="shared" si="154"/>
        <v>41.1</v>
      </c>
      <c r="T922" s="40">
        <v>0</v>
      </c>
      <c r="U922" s="40">
        <v>0</v>
      </c>
      <c r="V922" s="40">
        <v>0</v>
      </c>
      <c r="W922" s="40">
        <v>0</v>
      </c>
      <c r="X922" s="67">
        <f t="shared" si="155"/>
        <v>253</v>
      </c>
      <c r="Z922" s="71"/>
      <c r="AA922" s="71"/>
      <c r="AB922" s="67" t="str">
        <f t="shared" si="156"/>
        <v/>
      </c>
      <c r="AD922" s="121"/>
      <c r="AE922" s="121"/>
    </row>
    <row r="923" spans="1:31" x14ac:dyDescent="0.25">
      <c r="A923" s="58" t="s">
        <v>1086</v>
      </c>
      <c r="B923" s="7">
        <v>0.9555555555555556</v>
      </c>
      <c r="C923" s="3">
        <f t="shared" si="152"/>
        <v>2.2333333333333361</v>
      </c>
      <c r="D923" s="10" t="s">
        <v>616</v>
      </c>
      <c r="E923" s="40">
        <v>10</v>
      </c>
      <c r="F923" s="40">
        <v>2.5</v>
      </c>
      <c r="G923" s="40">
        <v>2</v>
      </c>
      <c r="H923" s="3">
        <f t="shared" si="157"/>
        <v>0.93055555555555669</v>
      </c>
      <c r="I923" s="3">
        <f t="shared" si="158"/>
        <v>0.23263888888888917</v>
      </c>
      <c r="J923" s="3">
        <f t="shared" si="159"/>
        <v>0.18611111111111134</v>
      </c>
      <c r="K923" s="3"/>
      <c r="L923" s="60">
        <f t="shared" si="153"/>
        <v>69.43777777777764</v>
      </c>
      <c r="M923" s="40">
        <v>0</v>
      </c>
      <c r="N923" s="40">
        <v>0</v>
      </c>
      <c r="O923" s="40">
        <v>0</v>
      </c>
      <c r="P923" s="40">
        <v>0</v>
      </c>
      <c r="Q923" s="40">
        <v>0</v>
      </c>
      <c r="R923" s="40">
        <v>0</v>
      </c>
      <c r="S923" s="61">
        <f t="shared" si="154"/>
        <v>41.1</v>
      </c>
      <c r="T923" s="40">
        <v>0</v>
      </c>
      <c r="U923" s="40">
        <v>0</v>
      </c>
      <c r="V923" s="40">
        <v>0</v>
      </c>
      <c r="W923" s="40">
        <v>0</v>
      </c>
      <c r="X923" s="67">
        <f t="shared" si="155"/>
        <v>253</v>
      </c>
      <c r="Z923" s="71"/>
      <c r="AA923" s="71"/>
      <c r="AB923" s="67" t="str">
        <f t="shared" si="156"/>
        <v/>
      </c>
      <c r="AD923" s="121"/>
      <c r="AE923" s="121"/>
    </row>
    <row r="924" spans="1:31" x14ac:dyDescent="0.25">
      <c r="A924" s="58" t="s">
        <v>1088</v>
      </c>
      <c r="B924" s="7">
        <v>7.4999999999999997E-2</v>
      </c>
      <c r="C924" s="3">
        <f t="shared" si="152"/>
        <v>2.8666666666666636</v>
      </c>
      <c r="D924" s="10" t="s">
        <v>1049</v>
      </c>
      <c r="E924" s="40">
        <v>0</v>
      </c>
      <c r="F924" s="40">
        <v>2.5</v>
      </c>
      <c r="G924" s="40">
        <v>2</v>
      </c>
      <c r="H924" s="3">
        <f t="shared" si="157"/>
        <v>0</v>
      </c>
      <c r="I924" s="3">
        <f t="shared" si="158"/>
        <v>0.29861111111111083</v>
      </c>
      <c r="J924" s="3">
        <f t="shared" si="159"/>
        <v>0.23888888888888862</v>
      </c>
      <c r="K924" s="3"/>
      <c r="L924" s="60">
        <f t="shared" si="153"/>
        <v>68.900277777777646</v>
      </c>
      <c r="M924" s="40">
        <v>0</v>
      </c>
      <c r="N924" s="40">
        <v>0</v>
      </c>
      <c r="O924" s="40">
        <v>0</v>
      </c>
      <c r="P924" s="40">
        <v>0</v>
      </c>
      <c r="Q924" s="40">
        <v>0</v>
      </c>
      <c r="R924" s="40">
        <v>0</v>
      </c>
      <c r="S924" s="61">
        <f t="shared" si="154"/>
        <v>41.1</v>
      </c>
      <c r="T924" s="40">
        <v>0</v>
      </c>
      <c r="U924" s="40">
        <v>0</v>
      </c>
      <c r="V924" s="40">
        <v>0</v>
      </c>
      <c r="W924" s="40">
        <v>0</v>
      </c>
      <c r="X924" s="67">
        <f t="shared" si="155"/>
        <v>253</v>
      </c>
      <c r="Z924" s="71"/>
      <c r="AA924" s="71"/>
      <c r="AB924" s="67" t="str">
        <f t="shared" si="156"/>
        <v/>
      </c>
      <c r="AD924" s="121"/>
      <c r="AE924" s="121"/>
    </row>
    <row r="925" spans="1:31" x14ac:dyDescent="0.25">
      <c r="A925" s="58" t="s">
        <v>1088</v>
      </c>
      <c r="B925" s="65">
        <v>0.33333333333333331</v>
      </c>
      <c r="C925" s="3">
        <f t="shared" si="152"/>
        <v>6.1999999999999993</v>
      </c>
      <c r="D925" s="10" t="s">
        <v>1051</v>
      </c>
      <c r="E925" s="40">
        <v>0</v>
      </c>
      <c r="F925" s="40">
        <v>2.5</v>
      </c>
      <c r="G925" s="40">
        <v>2</v>
      </c>
      <c r="H925" s="3">
        <f t="shared" si="157"/>
        <v>0</v>
      </c>
      <c r="I925" s="3">
        <f t="shared" si="158"/>
        <v>0.64583333333333326</v>
      </c>
      <c r="J925" s="3">
        <f t="shared" si="159"/>
        <v>0.51666666666666661</v>
      </c>
      <c r="K925" s="3"/>
      <c r="L925" s="60">
        <f t="shared" si="153"/>
        <v>67.737777777777652</v>
      </c>
      <c r="M925" s="40">
        <v>0</v>
      </c>
      <c r="N925" s="40">
        <v>0</v>
      </c>
      <c r="O925" s="40">
        <v>0</v>
      </c>
      <c r="P925" s="40">
        <v>0</v>
      </c>
      <c r="Q925" s="40">
        <v>0</v>
      </c>
      <c r="R925" s="40">
        <v>0</v>
      </c>
      <c r="S925" s="61">
        <f t="shared" si="154"/>
        <v>41.1</v>
      </c>
      <c r="T925" s="40">
        <v>0</v>
      </c>
      <c r="U925" s="40">
        <v>0</v>
      </c>
      <c r="V925" s="40">
        <v>3</v>
      </c>
      <c r="W925" s="40">
        <v>0</v>
      </c>
      <c r="X925" s="67">
        <f t="shared" si="155"/>
        <v>250</v>
      </c>
      <c r="Z925" s="71"/>
      <c r="AA925" s="71"/>
      <c r="AB925" s="67" t="str">
        <f t="shared" si="156"/>
        <v/>
      </c>
      <c r="AD925" s="121"/>
      <c r="AE925" s="121"/>
    </row>
    <row r="926" spans="1:31" x14ac:dyDescent="0.25">
      <c r="A926" s="58" t="s">
        <v>1089</v>
      </c>
      <c r="B926" s="65">
        <v>0.33333333333333331</v>
      </c>
      <c r="C926" s="3">
        <v>24</v>
      </c>
      <c r="D926" s="10" t="s">
        <v>1051</v>
      </c>
      <c r="E926" s="40">
        <v>0</v>
      </c>
      <c r="F926" s="40">
        <v>2.5</v>
      </c>
      <c r="G926" s="40">
        <v>2</v>
      </c>
      <c r="H926" s="3">
        <f t="shared" si="157"/>
        <v>0</v>
      </c>
      <c r="I926" s="3">
        <f t="shared" si="158"/>
        <v>2.5</v>
      </c>
      <c r="J926" s="3">
        <f t="shared" si="159"/>
        <v>2</v>
      </c>
      <c r="K926" s="3"/>
      <c r="L926" s="60">
        <f t="shared" si="153"/>
        <v>63.237777777777652</v>
      </c>
      <c r="M926" s="40">
        <v>0</v>
      </c>
      <c r="N926" s="40">
        <v>0</v>
      </c>
      <c r="O926" s="40">
        <v>0</v>
      </c>
      <c r="P926" s="40">
        <v>0</v>
      </c>
      <c r="Q926" s="40">
        <v>0</v>
      </c>
      <c r="R926" s="40">
        <v>0</v>
      </c>
      <c r="S926" s="61">
        <f t="shared" si="154"/>
        <v>41.1</v>
      </c>
      <c r="T926" s="40">
        <v>0</v>
      </c>
      <c r="U926" s="40">
        <v>0</v>
      </c>
      <c r="V926" s="40">
        <v>6</v>
      </c>
      <c r="W926" s="40">
        <v>0</v>
      </c>
      <c r="X926" s="67">
        <f t="shared" si="155"/>
        <v>244</v>
      </c>
      <c r="Z926" s="71">
        <v>72</v>
      </c>
      <c r="AA926" s="71">
        <v>15</v>
      </c>
      <c r="AB926" s="67">
        <f t="shared" si="156"/>
        <v>87</v>
      </c>
      <c r="AD926" s="121"/>
      <c r="AE926" s="121"/>
    </row>
    <row r="927" spans="1:31" x14ac:dyDescent="0.25">
      <c r="A927" s="58" t="s">
        <v>1089</v>
      </c>
      <c r="B927" s="7">
        <v>0.55833333333333335</v>
      </c>
      <c r="C927" s="3">
        <f t="shared" si="152"/>
        <v>5.4</v>
      </c>
      <c r="D927" s="10" t="s">
        <v>1090</v>
      </c>
      <c r="E927" s="40">
        <v>0</v>
      </c>
      <c r="F927" s="40">
        <v>2.5</v>
      </c>
      <c r="G927" s="40">
        <v>2</v>
      </c>
      <c r="H927" s="3">
        <f t="shared" si="157"/>
        <v>0</v>
      </c>
      <c r="I927" s="3">
        <f t="shared" si="158"/>
        <v>0.56250000000000011</v>
      </c>
      <c r="J927" s="3">
        <f t="shared" si="159"/>
        <v>0.45</v>
      </c>
      <c r="K927" s="3"/>
      <c r="L927" s="60">
        <f t="shared" si="153"/>
        <v>62.225277777777649</v>
      </c>
      <c r="M927" s="40">
        <v>0</v>
      </c>
      <c r="N927" s="40">
        <v>0</v>
      </c>
      <c r="O927" s="40">
        <v>0</v>
      </c>
      <c r="P927" s="40">
        <v>0</v>
      </c>
      <c r="Q927" s="40">
        <v>0</v>
      </c>
      <c r="R927" s="40">
        <v>0</v>
      </c>
      <c r="S927" s="61">
        <f t="shared" si="154"/>
        <v>41.1</v>
      </c>
      <c r="T927" s="40">
        <v>0</v>
      </c>
      <c r="U927" s="40">
        <v>0</v>
      </c>
      <c r="V927" s="40">
        <v>3</v>
      </c>
      <c r="W927" s="40">
        <v>0</v>
      </c>
      <c r="X927" s="67">
        <f t="shared" si="155"/>
        <v>241</v>
      </c>
      <c r="Z927" s="71"/>
      <c r="AA927" s="71"/>
      <c r="AB927" s="67" t="str">
        <f t="shared" si="156"/>
        <v/>
      </c>
      <c r="AD927" s="121"/>
      <c r="AE927" s="121"/>
    </row>
    <row r="928" spans="1:31" x14ac:dyDescent="0.25">
      <c r="A928" s="58" t="s">
        <v>1089</v>
      </c>
      <c r="B928" s="7">
        <v>0.74583333333333324</v>
      </c>
      <c r="C928" s="3">
        <f t="shared" si="152"/>
        <v>4.4999999999999973</v>
      </c>
      <c r="D928" s="10" t="s">
        <v>1011</v>
      </c>
      <c r="E928" s="40">
        <v>0</v>
      </c>
      <c r="F928" s="40">
        <v>2.5</v>
      </c>
      <c r="G928" s="40">
        <v>2</v>
      </c>
      <c r="H928" s="3">
        <f t="shared" si="157"/>
        <v>0</v>
      </c>
      <c r="I928" s="3">
        <f t="shared" si="158"/>
        <v>0.46874999999999972</v>
      </c>
      <c r="J928" s="3">
        <f t="shared" si="159"/>
        <v>0.37499999999999978</v>
      </c>
      <c r="K928" s="3"/>
      <c r="L928" s="60">
        <f t="shared" si="153"/>
        <v>61.381527777777649</v>
      </c>
      <c r="M928" s="40">
        <v>0</v>
      </c>
      <c r="N928" s="40">
        <v>0</v>
      </c>
      <c r="O928" s="40">
        <v>0</v>
      </c>
      <c r="P928" s="40">
        <v>0</v>
      </c>
      <c r="Q928" s="40">
        <v>0</v>
      </c>
      <c r="R928" s="40">
        <v>0</v>
      </c>
      <c r="S928" s="61">
        <f t="shared" si="154"/>
        <v>41.1</v>
      </c>
      <c r="T928" s="40">
        <v>0</v>
      </c>
      <c r="U928" s="40">
        <v>0</v>
      </c>
      <c r="V928" s="40">
        <v>0</v>
      </c>
      <c r="W928" s="40">
        <v>0</v>
      </c>
      <c r="X928" s="67">
        <f t="shared" si="155"/>
        <v>241</v>
      </c>
      <c r="Z928" s="71"/>
      <c r="AA928" s="71"/>
      <c r="AB928" s="67" t="str">
        <f t="shared" si="156"/>
        <v/>
      </c>
      <c r="AD928" s="121"/>
      <c r="AE928" s="121"/>
    </row>
    <row r="929" spans="1:31" x14ac:dyDescent="0.25">
      <c r="A929" s="58" t="s">
        <v>1089</v>
      </c>
      <c r="B929" s="7">
        <v>0.83333333333333337</v>
      </c>
      <c r="C929" s="3">
        <f t="shared" si="152"/>
        <v>2.1000000000000032</v>
      </c>
      <c r="D929" s="10" t="s">
        <v>616</v>
      </c>
      <c r="E929" s="40">
        <v>10</v>
      </c>
      <c r="F929" s="40">
        <v>2.5</v>
      </c>
      <c r="G929" s="40">
        <v>2</v>
      </c>
      <c r="H929" s="3">
        <f t="shared" si="157"/>
        <v>0.87500000000000133</v>
      </c>
      <c r="I929" s="3">
        <f t="shared" si="158"/>
        <v>0.21875000000000033</v>
      </c>
      <c r="J929" s="3">
        <f t="shared" si="159"/>
        <v>0.17500000000000027</v>
      </c>
      <c r="K929" s="3"/>
      <c r="L929" s="60">
        <f t="shared" si="153"/>
        <v>60.112777777777644</v>
      </c>
      <c r="M929" s="40">
        <v>0</v>
      </c>
      <c r="N929" s="40">
        <v>0</v>
      </c>
      <c r="O929" s="40">
        <v>0</v>
      </c>
      <c r="P929" s="40">
        <v>0</v>
      </c>
      <c r="Q929" s="40">
        <v>0</v>
      </c>
      <c r="R929" s="40">
        <v>0</v>
      </c>
      <c r="S929" s="61">
        <f t="shared" si="154"/>
        <v>41.1</v>
      </c>
      <c r="T929" s="40">
        <v>0</v>
      </c>
      <c r="U929" s="40">
        <v>0</v>
      </c>
      <c r="V929" s="40">
        <v>0</v>
      </c>
      <c r="W929" s="40">
        <v>0</v>
      </c>
      <c r="X929" s="67">
        <f t="shared" si="155"/>
        <v>241</v>
      </c>
      <c r="Z929" s="71"/>
      <c r="AA929" s="71"/>
      <c r="AB929" s="67" t="str">
        <f t="shared" si="156"/>
        <v/>
      </c>
      <c r="AD929" s="121"/>
      <c r="AE929" s="121"/>
    </row>
    <row r="930" spans="1:31" x14ac:dyDescent="0.25">
      <c r="A930" s="58" t="s">
        <v>1091</v>
      </c>
      <c r="B930" s="65">
        <v>0.33333333333333331</v>
      </c>
      <c r="C930" s="3">
        <f t="shared" si="152"/>
        <v>12</v>
      </c>
      <c r="D930" s="10" t="s">
        <v>351</v>
      </c>
      <c r="E930" s="40">
        <v>0</v>
      </c>
      <c r="F930" s="40">
        <v>2.5</v>
      </c>
      <c r="G930" s="40">
        <v>2</v>
      </c>
      <c r="H930" s="3">
        <f t="shared" si="157"/>
        <v>0</v>
      </c>
      <c r="I930" s="3">
        <f t="shared" si="158"/>
        <v>1.25</v>
      </c>
      <c r="J930" s="3">
        <f t="shared" si="159"/>
        <v>1</v>
      </c>
      <c r="K930" s="3">
        <v>400</v>
      </c>
      <c r="L930" s="60">
        <f t="shared" si="153"/>
        <v>457.86277777777764</v>
      </c>
      <c r="M930" s="40">
        <v>0</v>
      </c>
      <c r="N930" s="40">
        <v>0</v>
      </c>
      <c r="O930" s="40">
        <v>0</v>
      </c>
      <c r="P930" s="40">
        <v>0</v>
      </c>
      <c r="Q930" s="40">
        <v>0</v>
      </c>
      <c r="R930" s="40">
        <v>0</v>
      </c>
      <c r="S930" s="61">
        <f t="shared" si="154"/>
        <v>41.1</v>
      </c>
      <c r="T930" s="40">
        <v>0</v>
      </c>
      <c r="U930" s="40">
        <v>0</v>
      </c>
      <c r="V930" s="40">
        <v>3</v>
      </c>
      <c r="W930" s="40">
        <v>1</v>
      </c>
      <c r="X930" s="67">
        <f t="shared" si="155"/>
        <v>237</v>
      </c>
      <c r="Z930" s="71">
        <v>65</v>
      </c>
      <c r="AA930" s="71">
        <v>13</v>
      </c>
      <c r="AB930" s="67">
        <f t="shared" si="156"/>
        <v>78</v>
      </c>
      <c r="AD930" s="121"/>
      <c r="AE930" s="121"/>
    </row>
    <row r="931" spans="1:31" x14ac:dyDescent="0.25">
      <c r="A931" s="57" t="s">
        <v>1092</v>
      </c>
      <c r="B931" s="7">
        <v>4.5833333333333337E-2</v>
      </c>
      <c r="C931" s="3">
        <f t="shared" si="152"/>
        <v>17.100000000000001</v>
      </c>
      <c r="D931" s="10" t="s">
        <v>1011</v>
      </c>
      <c r="E931" s="40">
        <v>0</v>
      </c>
      <c r="F931" s="40">
        <v>2.5</v>
      </c>
      <c r="G931" s="40">
        <v>6</v>
      </c>
      <c r="H931" s="3">
        <f t="shared" si="157"/>
        <v>0</v>
      </c>
      <c r="I931" s="3">
        <f t="shared" si="158"/>
        <v>1.7812500000000002</v>
      </c>
      <c r="J931" s="3">
        <f t="shared" si="159"/>
        <v>4.2750000000000004</v>
      </c>
      <c r="K931" s="3"/>
      <c r="L931" s="60">
        <f t="shared" si="153"/>
        <v>451.80652777777766</v>
      </c>
      <c r="M931" s="40">
        <v>0</v>
      </c>
      <c r="N931" s="40">
        <v>0</v>
      </c>
      <c r="O931" s="40">
        <v>0</v>
      </c>
      <c r="P931" s="40">
        <v>0</v>
      </c>
      <c r="Q931" s="40">
        <v>0</v>
      </c>
      <c r="R931" s="40">
        <v>80</v>
      </c>
      <c r="S931" s="61">
        <f t="shared" si="154"/>
        <v>121.1</v>
      </c>
      <c r="T931" s="40">
        <v>0</v>
      </c>
      <c r="U931" s="40">
        <v>0</v>
      </c>
      <c r="V931" s="40">
        <v>0</v>
      </c>
      <c r="W931" s="40">
        <v>0</v>
      </c>
      <c r="X931" s="67">
        <f t="shared" si="155"/>
        <v>237</v>
      </c>
      <c r="Z931" s="71"/>
      <c r="AA931" s="71"/>
      <c r="AB931" s="67" t="str">
        <f t="shared" si="156"/>
        <v/>
      </c>
      <c r="AD931" s="121"/>
      <c r="AE931" s="121"/>
    </row>
    <row r="932" spans="1:31" x14ac:dyDescent="0.25">
      <c r="A932" s="57" t="s">
        <v>1092</v>
      </c>
      <c r="B932" s="7">
        <v>6.25E-2</v>
      </c>
      <c r="C932" s="3">
        <f t="shared" si="152"/>
        <v>0.39999999999999991</v>
      </c>
      <c r="D932" s="10" t="s">
        <v>1022</v>
      </c>
      <c r="E932" s="40">
        <v>10</v>
      </c>
      <c r="F932" s="40">
        <v>2.5</v>
      </c>
      <c r="G932" s="40">
        <v>6</v>
      </c>
      <c r="H932" s="3">
        <f t="shared" si="157"/>
        <v>0.16666666666666663</v>
      </c>
      <c r="I932" s="3">
        <f t="shared" si="158"/>
        <v>4.1666666666666657E-2</v>
      </c>
      <c r="J932" s="3">
        <f t="shared" si="159"/>
        <v>9.9999999999999978E-2</v>
      </c>
      <c r="K932" s="3"/>
      <c r="L932" s="60">
        <f t="shared" si="153"/>
        <v>451.49819444444432</v>
      </c>
      <c r="M932" s="40">
        <v>0</v>
      </c>
      <c r="N932" s="40">
        <v>0</v>
      </c>
      <c r="O932" s="40">
        <v>0</v>
      </c>
      <c r="P932" s="40">
        <v>0</v>
      </c>
      <c r="Q932" s="40">
        <v>0</v>
      </c>
      <c r="R932" s="40">
        <v>0</v>
      </c>
      <c r="S932" s="61">
        <f t="shared" si="154"/>
        <v>121.1</v>
      </c>
      <c r="T932" s="40">
        <v>0</v>
      </c>
      <c r="U932" s="40">
        <v>0</v>
      </c>
      <c r="V932" s="40">
        <v>0</v>
      </c>
      <c r="W932" s="40">
        <v>0</v>
      </c>
      <c r="X932" s="67">
        <f t="shared" si="155"/>
        <v>237</v>
      </c>
      <c r="Z932" s="71"/>
      <c r="AA932" s="71"/>
      <c r="AB932" s="67" t="str">
        <f t="shared" si="156"/>
        <v/>
      </c>
      <c r="AD932" s="121"/>
      <c r="AE932" s="121"/>
    </row>
    <row r="933" spans="1:31" x14ac:dyDescent="0.25">
      <c r="A933" s="57" t="s">
        <v>1092</v>
      </c>
      <c r="B933" s="65">
        <v>0.33333333333333331</v>
      </c>
      <c r="C933" s="3">
        <f t="shared" si="152"/>
        <v>6.5</v>
      </c>
      <c r="D933" s="10" t="s">
        <v>355</v>
      </c>
      <c r="E933" s="40">
        <v>24</v>
      </c>
      <c r="F933" s="40">
        <v>2.5</v>
      </c>
      <c r="G933" s="40">
        <v>0</v>
      </c>
      <c r="H933" s="3">
        <f t="shared" si="157"/>
        <v>6.5</v>
      </c>
      <c r="I933" s="3">
        <f t="shared" si="158"/>
        <v>0.67708333333333337</v>
      </c>
      <c r="J933" s="3">
        <f t="shared" si="159"/>
        <v>0</v>
      </c>
      <c r="K933" s="3"/>
      <c r="L933" s="60">
        <f t="shared" si="153"/>
        <v>444.32111111111101</v>
      </c>
      <c r="M933" s="40">
        <v>0</v>
      </c>
      <c r="N933" s="40">
        <v>0</v>
      </c>
      <c r="O933" s="40">
        <v>0</v>
      </c>
      <c r="P933" s="40">
        <v>0</v>
      </c>
      <c r="Q933" s="40">
        <v>0</v>
      </c>
      <c r="R933" s="40">
        <v>0</v>
      </c>
      <c r="S933" s="61">
        <f t="shared" si="154"/>
        <v>121.1</v>
      </c>
      <c r="T933" s="40">
        <v>0</v>
      </c>
      <c r="U933" s="40">
        <v>0</v>
      </c>
      <c r="V933" s="40">
        <v>8</v>
      </c>
      <c r="W933" s="40">
        <v>0</v>
      </c>
      <c r="X933" s="67">
        <f t="shared" si="155"/>
        <v>229</v>
      </c>
      <c r="Z933" s="71"/>
      <c r="AA933" s="71"/>
      <c r="AB933" s="67" t="str">
        <f t="shared" si="156"/>
        <v/>
      </c>
      <c r="AD933" s="121"/>
      <c r="AE933" s="121"/>
    </row>
    <row r="934" spans="1:31" x14ac:dyDescent="0.25">
      <c r="A934" s="57" t="s">
        <v>1092</v>
      </c>
      <c r="B934" s="7">
        <v>0.35416666666666669</v>
      </c>
      <c r="C934" s="3">
        <f t="shared" si="152"/>
        <v>0.50000000000000089</v>
      </c>
      <c r="D934" s="10" t="s">
        <v>201</v>
      </c>
      <c r="E934" s="40">
        <v>24</v>
      </c>
      <c r="F934" s="40">
        <v>2.5</v>
      </c>
      <c r="G934" s="40">
        <v>0</v>
      </c>
      <c r="H934" s="3">
        <f t="shared" si="157"/>
        <v>0.50000000000000089</v>
      </c>
      <c r="I934" s="3">
        <f t="shared" si="158"/>
        <v>5.2083333333333426E-2</v>
      </c>
      <c r="J934" s="3">
        <f t="shared" si="159"/>
        <v>0</v>
      </c>
      <c r="K934" s="3"/>
      <c r="L934" s="60">
        <f t="shared" si="153"/>
        <v>443.76902777777769</v>
      </c>
      <c r="M934" s="40">
        <v>0</v>
      </c>
      <c r="N934" s="40">
        <v>0</v>
      </c>
      <c r="O934" s="40">
        <v>0</v>
      </c>
      <c r="P934" s="40">
        <v>0</v>
      </c>
      <c r="Q934" s="40">
        <v>0</v>
      </c>
      <c r="R934" s="40">
        <v>0</v>
      </c>
      <c r="S934" s="61">
        <f t="shared" si="154"/>
        <v>121.1</v>
      </c>
      <c r="T934" s="40">
        <v>0</v>
      </c>
      <c r="U934" s="40">
        <v>0</v>
      </c>
      <c r="V934" s="40">
        <v>0</v>
      </c>
      <c r="W934" s="40">
        <v>0</v>
      </c>
      <c r="X934" s="67">
        <f t="shared" si="155"/>
        <v>229</v>
      </c>
      <c r="Z934" s="71"/>
      <c r="AA934" s="71"/>
      <c r="AB934" s="67" t="str">
        <f t="shared" si="156"/>
        <v/>
      </c>
      <c r="AD934" s="121">
        <v>11.6</v>
      </c>
      <c r="AE934" s="121" t="s">
        <v>1296</v>
      </c>
    </row>
    <row r="935" spans="1:31" x14ac:dyDescent="0.25">
      <c r="A935" s="57" t="s">
        <v>1092</v>
      </c>
      <c r="B935" s="7">
        <v>0.3833333333333333</v>
      </c>
      <c r="C935" s="3">
        <f t="shared" si="152"/>
        <v>0.69999999999999885</v>
      </c>
      <c r="D935" s="10" t="s">
        <v>616</v>
      </c>
      <c r="E935" s="40">
        <v>10</v>
      </c>
      <c r="F935" s="40">
        <v>2.5</v>
      </c>
      <c r="G935" s="40">
        <v>2</v>
      </c>
      <c r="H935" s="3">
        <f t="shared" si="157"/>
        <v>0.29166666666666619</v>
      </c>
      <c r="I935" s="3">
        <f t="shared" si="158"/>
        <v>7.2916666666666546E-2</v>
      </c>
      <c r="J935" s="3">
        <f t="shared" si="159"/>
        <v>5.8333333333333237E-2</v>
      </c>
      <c r="K935" s="3"/>
      <c r="L935" s="60">
        <f t="shared" si="153"/>
        <v>443.34611111111104</v>
      </c>
      <c r="M935" s="40">
        <v>0</v>
      </c>
      <c r="N935" s="40">
        <v>0</v>
      </c>
      <c r="O935" s="40">
        <v>0</v>
      </c>
      <c r="P935" s="40">
        <v>0</v>
      </c>
      <c r="Q935" s="40">
        <v>0</v>
      </c>
      <c r="R935" s="40">
        <v>0</v>
      </c>
      <c r="S935" s="61">
        <f t="shared" si="154"/>
        <v>121.1</v>
      </c>
      <c r="T935" s="40">
        <v>0</v>
      </c>
      <c r="U935" s="40">
        <v>0</v>
      </c>
      <c r="V935" s="40">
        <v>0</v>
      </c>
      <c r="W935" s="40">
        <v>0</v>
      </c>
      <c r="X935" s="67">
        <f t="shared" si="155"/>
        <v>229</v>
      </c>
      <c r="Z935" s="71">
        <v>57</v>
      </c>
      <c r="AA935" s="71">
        <v>14</v>
      </c>
      <c r="AB935" s="67">
        <f t="shared" si="156"/>
        <v>71</v>
      </c>
      <c r="AD935" s="121"/>
      <c r="AE935" s="121"/>
    </row>
    <row r="936" spans="1:31" x14ac:dyDescent="0.25">
      <c r="A936" s="57" t="s">
        <v>1093</v>
      </c>
      <c r="B936" s="65">
        <v>0.33333333333333331</v>
      </c>
      <c r="C936" s="3">
        <f t="shared" si="152"/>
        <v>22.8</v>
      </c>
      <c r="D936" s="10" t="s">
        <v>351</v>
      </c>
      <c r="E936" s="40">
        <v>0</v>
      </c>
      <c r="F936" s="40">
        <v>2.5</v>
      </c>
      <c r="G936" s="40">
        <v>6</v>
      </c>
      <c r="H936" s="3">
        <f t="shared" si="157"/>
        <v>0</v>
      </c>
      <c r="I936" s="3">
        <f t="shared" si="158"/>
        <v>2.375</v>
      </c>
      <c r="J936" s="3">
        <f t="shared" si="159"/>
        <v>5.7</v>
      </c>
      <c r="K936" s="3"/>
      <c r="L936" s="60">
        <f t="shared" si="153"/>
        <v>435.27111111111105</v>
      </c>
      <c r="M936" s="40">
        <v>0</v>
      </c>
      <c r="N936" s="40">
        <v>0</v>
      </c>
      <c r="O936" s="40">
        <v>0</v>
      </c>
      <c r="P936" s="40">
        <v>0</v>
      </c>
      <c r="Q936" s="40">
        <v>0</v>
      </c>
      <c r="R936" s="40">
        <v>0</v>
      </c>
      <c r="S936" s="61">
        <f t="shared" si="154"/>
        <v>121.1</v>
      </c>
      <c r="T936" s="40">
        <v>0</v>
      </c>
      <c r="U936" s="40">
        <v>0</v>
      </c>
      <c r="V936" s="40">
        <v>8</v>
      </c>
      <c r="W936" s="40">
        <v>0</v>
      </c>
      <c r="X936" s="67">
        <f t="shared" si="155"/>
        <v>221</v>
      </c>
      <c r="Z936" s="71"/>
      <c r="AA936" s="71"/>
      <c r="AB936" s="67" t="str">
        <f t="shared" si="156"/>
        <v/>
      </c>
      <c r="AD936" s="121"/>
      <c r="AE936" s="121"/>
    </row>
    <row r="937" spans="1:31" x14ac:dyDescent="0.25">
      <c r="A937" s="57" t="s">
        <v>1093</v>
      </c>
      <c r="B937" s="7">
        <v>0.39583333333333331</v>
      </c>
      <c r="C937" s="3">
        <f t="shared" ref="C937:C1001" si="160">+IF((B937-B936)&lt;0,((B937-B936)*24)+24,(B937-B936)*24)</f>
        <v>1.5</v>
      </c>
      <c r="D937" s="10" t="s">
        <v>1011</v>
      </c>
      <c r="E937" s="40">
        <v>0</v>
      </c>
      <c r="F937" s="40">
        <v>2.5</v>
      </c>
      <c r="G937" s="40">
        <v>6</v>
      </c>
      <c r="H937" s="3">
        <f t="shared" si="157"/>
        <v>0</v>
      </c>
      <c r="I937" s="3">
        <f t="shared" si="158"/>
        <v>0.15625</v>
      </c>
      <c r="J937" s="3">
        <f t="shared" si="159"/>
        <v>0.375</v>
      </c>
      <c r="K937" s="3"/>
      <c r="L937" s="60">
        <f t="shared" ref="L937:L1001" si="161">+IF(C937="","",(L936+K937)-(H937+I937+J937))</f>
        <v>434.73986111111105</v>
      </c>
      <c r="M937" s="40">
        <v>0</v>
      </c>
      <c r="N937" s="40">
        <v>0</v>
      </c>
      <c r="O937" s="40">
        <v>0</v>
      </c>
      <c r="P937" s="40">
        <v>0</v>
      </c>
      <c r="Q937" s="40">
        <v>0</v>
      </c>
      <c r="R937" s="40">
        <v>0</v>
      </c>
      <c r="S937" s="61">
        <f t="shared" ref="S937:S1001" si="162">IF(C937="","",(S936+R937)-(M937+N937+O937+P937+Q937))</f>
        <v>121.1</v>
      </c>
      <c r="T937" s="40">
        <v>0</v>
      </c>
      <c r="U937" s="40">
        <v>0</v>
      </c>
      <c r="V937" s="40">
        <v>0</v>
      </c>
      <c r="W937" s="40">
        <v>0</v>
      </c>
      <c r="X937" s="67">
        <f t="shared" ref="X937:X1001" si="163">IF(V937="","",((X936+T937+U937)-(V937+W937)))</f>
        <v>221</v>
      </c>
      <c r="Z937" s="71"/>
      <c r="AA937" s="71"/>
      <c r="AB937" s="67" t="str">
        <f t="shared" ref="AB937:AB1001" si="164">IF(Z937="","",Z937+AA937)</f>
        <v/>
      </c>
      <c r="AD937" s="121"/>
      <c r="AE937" s="121"/>
    </row>
    <row r="938" spans="1:31" x14ac:dyDescent="0.25">
      <c r="A938" s="57" t="s">
        <v>1093</v>
      </c>
      <c r="B938" s="7">
        <v>0.48749999999999999</v>
      </c>
      <c r="C938" s="3">
        <f t="shared" si="160"/>
        <v>2.2000000000000002</v>
      </c>
      <c r="D938" s="10" t="s">
        <v>616</v>
      </c>
      <c r="E938" s="40">
        <v>10</v>
      </c>
      <c r="F938" s="40">
        <v>2.5</v>
      </c>
      <c r="G938" s="40">
        <v>6</v>
      </c>
      <c r="H938" s="3">
        <f t="shared" si="157"/>
        <v>0.91666666666666674</v>
      </c>
      <c r="I938" s="3">
        <f t="shared" si="158"/>
        <v>0.22916666666666669</v>
      </c>
      <c r="J938" s="3">
        <f t="shared" si="159"/>
        <v>0.55000000000000004</v>
      </c>
      <c r="K938" s="3"/>
      <c r="L938" s="60">
        <f t="shared" si="161"/>
        <v>433.04402777777773</v>
      </c>
      <c r="M938" s="40">
        <v>0</v>
      </c>
      <c r="N938" s="40">
        <v>0</v>
      </c>
      <c r="O938" s="40">
        <v>0</v>
      </c>
      <c r="P938" s="40">
        <v>0</v>
      </c>
      <c r="Q938" s="40">
        <v>0</v>
      </c>
      <c r="R938" s="40">
        <v>0</v>
      </c>
      <c r="S938" s="61">
        <f t="shared" si="162"/>
        <v>121.1</v>
      </c>
      <c r="T938" s="40">
        <v>0</v>
      </c>
      <c r="U938" s="40">
        <v>0</v>
      </c>
      <c r="V938" s="40">
        <v>2</v>
      </c>
      <c r="W938" s="40">
        <v>0</v>
      </c>
      <c r="X938" s="67">
        <f t="shared" si="163"/>
        <v>219</v>
      </c>
      <c r="Z938" s="71"/>
      <c r="AA938" s="71"/>
      <c r="AB938" s="67" t="str">
        <f t="shared" si="164"/>
        <v/>
      </c>
      <c r="AD938" s="121"/>
      <c r="AE938" s="121"/>
    </row>
    <row r="939" spans="1:31" x14ac:dyDescent="0.25">
      <c r="A939" s="57" t="s">
        <v>1093</v>
      </c>
      <c r="B939" s="7">
        <v>0.55833333333333335</v>
      </c>
      <c r="C939" s="3">
        <f t="shared" si="160"/>
        <v>1.7000000000000006</v>
      </c>
      <c r="D939" s="10" t="s">
        <v>1004</v>
      </c>
      <c r="E939" s="40">
        <v>0</v>
      </c>
      <c r="F939" s="40">
        <v>2.5</v>
      </c>
      <c r="G939" s="40">
        <v>4</v>
      </c>
      <c r="H939" s="3">
        <f t="shared" si="157"/>
        <v>0</v>
      </c>
      <c r="I939" s="3">
        <f t="shared" si="158"/>
        <v>0.1770833333333334</v>
      </c>
      <c r="J939" s="3">
        <f t="shared" si="159"/>
        <v>0.28333333333333344</v>
      </c>
      <c r="K939" s="3"/>
      <c r="L939" s="60">
        <f t="shared" si="161"/>
        <v>432.58361111111105</v>
      </c>
      <c r="M939" s="40">
        <v>0</v>
      </c>
      <c r="N939" s="40">
        <v>0</v>
      </c>
      <c r="O939" s="40">
        <v>0</v>
      </c>
      <c r="P939" s="40">
        <v>0</v>
      </c>
      <c r="Q939" s="40">
        <v>0.4</v>
      </c>
      <c r="R939" s="40">
        <v>0</v>
      </c>
      <c r="S939" s="61">
        <f t="shared" si="162"/>
        <v>120.69999999999999</v>
      </c>
      <c r="T939" s="40">
        <v>0</v>
      </c>
      <c r="U939" s="40">
        <v>0</v>
      </c>
      <c r="V939" s="40">
        <v>0</v>
      </c>
      <c r="W939" s="40">
        <v>0</v>
      </c>
      <c r="X939" s="67">
        <f t="shared" si="163"/>
        <v>219</v>
      </c>
      <c r="Z939" s="71"/>
      <c r="AA939" s="71"/>
      <c r="AB939" s="67" t="str">
        <f t="shared" si="164"/>
        <v/>
      </c>
      <c r="AD939" s="121"/>
      <c r="AE939" s="121"/>
    </row>
    <row r="940" spans="1:31" x14ac:dyDescent="0.25">
      <c r="A940" s="57" t="s">
        <v>1094</v>
      </c>
      <c r="B940" s="7">
        <v>0.24166666666666667</v>
      </c>
      <c r="C940" s="3">
        <f t="shared" si="160"/>
        <v>16.399999999999999</v>
      </c>
      <c r="D940" s="10" t="s">
        <v>1095</v>
      </c>
      <c r="E940" s="40">
        <v>0</v>
      </c>
      <c r="F940" s="40">
        <v>2.5</v>
      </c>
      <c r="G940" s="40">
        <v>4</v>
      </c>
      <c r="H940" s="3">
        <f t="shared" si="157"/>
        <v>0</v>
      </c>
      <c r="I940" s="3">
        <f t="shared" si="158"/>
        <v>1.7083333333333333</v>
      </c>
      <c r="J940" s="3">
        <f t="shared" si="159"/>
        <v>2.7333333333333329</v>
      </c>
      <c r="K940" s="3"/>
      <c r="L940" s="60">
        <f t="shared" si="161"/>
        <v>428.14194444444439</v>
      </c>
      <c r="M940" s="40">
        <v>0</v>
      </c>
      <c r="N940" s="40">
        <v>0</v>
      </c>
      <c r="O940" s="40">
        <v>0</v>
      </c>
      <c r="P940" s="40">
        <v>0</v>
      </c>
      <c r="Q940" s="40">
        <v>4.2</v>
      </c>
      <c r="R940" s="40">
        <v>0</v>
      </c>
      <c r="S940" s="61">
        <f t="shared" si="162"/>
        <v>116.49999999999999</v>
      </c>
      <c r="T940" s="40">
        <v>0</v>
      </c>
      <c r="U940" s="40">
        <v>0</v>
      </c>
      <c r="V940" s="40">
        <v>2</v>
      </c>
      <c r="W940" s="40">
        <v>0</v>
      </c>
      <c r="X940" s="67">
        <f t="shared" si="163"/>
        <v>217</v>
      </c>
      <c r="Z940" s="71"/>
      <c r="AA940" s="71"/>
      <c r="AB940" s="67" t="str">
        <f t="shared" si="164"/>
        <v/>
      </c>
      <c r="AD940" s="121"/>
      <c r="AE940" s="121"/>
    </row>
    <row r="941" spans="1:31" x14ac:dyDescent="0.25">
      <c r="A941" s="57" t="s">
        <v>1094</v>
      </c>
      <c r="B941" s="65">
        <v>0.33333333333333331</v>
      </c>
      <c r="C941" s="3">
        <f t="shared" si="160"/>
        <v>2.1999999999999993</v>
      </c>
      <c r="D941" s="10" t="s">
        <v>1066</v>
      </c>
      <c r="E941" s="40">
        <v>0</v>
      </c>
      <c r="F941" s="40">
        <v>2.5</v>
      </c>
      <c r="G941" s="40">
        <v>2</v>
      </c>
      <c r="H941" s="3">
        <f t="shared" si="157"/>
        <v>0</v>
      </c>
      <c r="I941" s="3">
        <f t="shared" si="158"/>
        <v>0.2291666666666666</v>
      </c>
      <c r="J941" s="3">
        <f t="shared" si="159"/>
        <v>0.18333333333333326</v>
      </c>
      <c r="K941" s="3"/>
      <c r="L941" s="60">
        <f t="shared" si="161"/>
        <v>427.72944444444437</v>
      </c>
      <c r="M941" s="40">
        <v>0</v>
      </c>
      <c r="N941" s="40">
        <v>0</v>
      </c>
      <c r="O941" s="40">
        <v>0</v>
      </c>
      <c r="P941" s="40">
        <v>0</v>
      </c>
      <c r="Q941" s="40">
        <v>0</v>
      </c>
      <c r="R941" s="40">
        <v>0</v>
      </c>
      <c r="S941" s="61">
        <f t="shared" si="162"/>
        <v>116.49999999999999</v>
      </c>
      <c r="T941" s="40">
        <v>0</v>
      </c>
      <c r="U941" s="40">
        <v>0</v>
      </c>
      <c r="V941" s="40">
        <v>2</v>
      </c>
      <c r="W941" s="40">
        <v>0</v>
      </c>
      <c r="X941" s="67">
        <f t="shared" si="163"/>
        <v>215</v>
      </c>
      <c r="Z941" s="71"/>
      <c r="AA941" s="71"/>
      <c r="AB941" s="67" t="str">
        <f t="shared" si="164"/>
        <v/>
      </c>
      <c r="AD941" s="121"/>
      <c r="AE941" s="121"/>
    </row>
    <row r="942" spans="1:31" x14ac:dyDescent="0.25">
      <c r="A942" s="57" t="s">
        <v>1094</v>
      </c>
      <c r="B942" s="7">
        <v>0.42499999999999999</v>
      </c>
      <c r="C942" s="3">
        <f t="shared" si="160"/>
        <v>2.2000000000000002</v>
      </c>
      <c r="D942" s="10" t="s">
        <v>1011</v>
      </c>
      <c r="E942" s="40">
        <v>0</v>
      </c>
      <c r="F942" s="40">
        <v>2.5</v>
      </c>
      <c r="G942" s="40">
        <v>2</v>
      </c>
      <c r="H942" s="3">
        <f t="shared" si="157"/>
        <v>0</v>
      </c>
      <c r="I942" s="3">
        <f t="shared" si="158"/>
        <v>0.22916666666666669</v>
      </c>
      <c r="J942" s="3">
        <f t="shared" si="159"/>
        <v>0.18333333333333335</v>
      </c>
      <c r="K942" s="3"/>
      <c r="L942" s="60">
        <f t="shared" si="161"/>
        <v>427.31694444444435</v>
      </c>
      <c r="M942" s="40">
        <v>0</v>
      </c>
      <c r="N942" s="40">
        <v>0</v>
      </c>
      <c r="O942" s="40">
        <v>0</v>
      </c>
      <c r="P942" s="40">
        <v>0</v>
      </c>
      <c r="Q942" s="40">
        <v>0</v>
      </c>
      <c r="R942" s="40">
        <v>0</v>
      </c>
      <c r="S942" s="61">
        <f t="shared" si="162"/>
        <v>116.49999999999999</v>
      </c>
      <c r="T942" s="40">
        <v>0</v>
      </c>
      <c r="U942" s="40">
        <v>0</v>
      </c>
      <c r="V942" s="40">
        <v>0</v>
      </c>
      <c r="W942" s="40">
        <v>0</v>
      </c>
      <c r="X942" s="67">
        <f t="shared" si="163"/>
        <v>215</v>
      </c>
      <c r="Z942" s="71"/>
      <c r="AA942" s="71"/>
      <c r="AB942" s="67" t="str">
        <f t="shared" si="164"/>
        <v/>
      </c>
      <c r="AD942" s="121"/>
      <c r="AE942" s="121"/>
    </row>
    <row r="943" spans="1:31" x14ac:dyDescent="0.25">
      <c r="A943" s="57">
        <v>22.101900000000001</v>
      </c>
      <c r="B943" s="7">
        <v>0.45833333333333331</v>
      </c>
      <c r="C943" s="3">
        <f t="shared" si="160"/>
        <v>0.79999999999999982</v>
      </c>
      <c r="D943" s="10" t="s">
        <v>1026</v>
      </c>
      <c r="E943" s="40">
        <v>10</v>
      </c>
      <c r="F943" s="40">
        <v>2.5</v>
      </c>
      <c r="G943" s="40">
        <v>2</v>
      </c>
      <c r="H943" s="3">
        <f t="shared" si="157"/>
        <v>0.33333333333333326</v>
      </c>
      <c r="I943" s="3">
        <f t="shared" si="158"/>
        <v>8.3333333333333315E-2</v>
      </c>
      <c r="J943" s="3">
        <f t="shared" si="159"/>
        <v>6.6666666666666652E-2</v>
      </c>
      <c r="K943" s="3"/>
      <c r="L943" s="60">
        <f t="shared" si="161"/>
        <v>426.833611111111</v>
      </c>
      <c r="M943" s="40">
        <v>0</v>
      </c>
      <c r="N943" s="40">
        <v>0</v>
      </c>
      <c r="O943" s="40">
        <v>0</v>
      </c>
      <c r="P943" s="40">
        <v>0</v>
      </c>
      <c r="Q943" s="40">
        <v>0</v>
      </c>
      <c r="R943" s="40">
        <v>0</v>
      </c>
      <c r="S943" s="61">
        <f t="shared" si="162"/>
        <v>116.49999999999999</v>
      </c>
      <c r="T943" s="40">
        <v>0</v>
      </c>
      <c r="U943" s="40">
        <v>0</v>
      </c>
      <c r="V943" s="40">
        <v>3</v>
      </c>
      <c r="W943" s="40">
        <v>0</v>
      </c>
      <c r="X943" s="67">
        <f t="shared" si="163"/>
        <v>212</v>
      </c>
      <c r="Z943" s="71"/>
      <c r="AA943" s="71"/>
      <c r="AB943" s="67" t="str">
        <f t="shared" si="164"/>
        <v/>
      </c>
      <c r="AD943" s="121"/>
      <c r="AE943" s="121"/>
    </row>
    <row r="944" spans="1:31" x14ac:dyDescent="0.25">
      <c r="A944" s="57" t="s">
        <v>1096</v>
      </c>
      <c r="B944" s="65">
        <v>0.33333333333333331</v>
      </c>
      <c r="C944" s="3">
        <f t="shared" si="160"/>
        <v>21</v>
      </c>
      <c r="D944" s="10" t="s">
        <v>355</v>
      </c>
      <c r="E944" s="40">
        <v>24</v>
      </c>
      <c r="F944" s="40">
        <v>2.5</v>
      </c>
      <c r="G944" s="40">
        <v>2</v>
      </c>
      <c r="H944" s="3">
        <f t="shared" si="157"/>
        <v>21</v>
      </c>
      <c r="I944" s="3">
        <f t="shared" si="158"/>
        <v>2.1875</v>
      </c>
      <c r="J944" s="3">
        <f t="shared" si="159"/>
        <v>1.75</v>
      </c>
      <c r="K944" s="3"/>
      <c r="L944" s="60">
        <f t="shared" si="161"/>
        <v>401.896111111111</v>
      </c>
      <c r="M944" s="40">
        <v>0</v>
      </c>
      <c r="N944" s="40">
        <v>0</v>
      </c>
      <c r="O944" s="40">
        <v>0</v>
      </c>
      <c r="P944" s="40">
        <v>0</v>
      </c>
      <c r="Q944" s="40">
        <v>0</v>
      </c>
      <c r="R944" s="40">
        <v>0</v>
      </c>
      <c r="S944" s="61">
        <f t="shared" si="162"/>
        <v>116.49999999999999</v>
      </c>
      <c r="T944" s="40">
        <v>0</v>
      </c>
      <c r="U944" s="40">
        <v>0</v>
      </c>
      <c r="V944" s="40">
        <v>3</v>
      </c>
      <c r="W944" s="40">
        <v>0</v>
      </c>
      <c r="X944" s="67">
        <f t="shared" si="163"/>
        <v>209</v>
      </c>
      <c r="Z944" s="71">
        <v>133</v>
      </c>
      <c r="AA944" s="71">
        <v>17</v>
      </c>
      <c r="AB944" s="67">
        <f t="shared" si="164"/>
        <v>150</v>
      </c>
      <c r="AD944" s="121"/>
      <c r="AE944" s="121"/>
    </row>
    <row r="945" spans="1:31" x14ac:dyDescent="0.25">
      <c r="A945" s="57" t="s">
        <v>1097</v>
      </c>
      <c r="B945" s="7">
        <v>0.3666666666666667</v>
      </c>
      <c r="C945" s="3">
        <f t="shared" si="160"/>
        <v>0.80000000000000115</v>
      </c>
      <c r="D945" s="10" t="s">
        <v>201</v>
      </c>
      <c r="E945" s="40">
        <v>24</v>
      </c>
      <c r="F945" s="40">
        <v>2.5</v>
      </c>
      <c r="G945" s="40">
        <v>2</v>
      </c>
      <c r="H945" s="3">
        <f t="shared" si="157"/>
        <v>0.80000000000000115</v>
      </c>
      <c r="I945" s="3">
        <f t="shared" si="158"/>
        <v>8.3333333333333454E-2</v>
      </c>
      <c r="J945" s="3">
        <f t="shared" si="159"/>
        <v>6.6666666666666763E-2</v>
      </c>
      <c r="K945" s="3"/>
      <c r="L945" s="60">
        <f t="shared" si="161"/>
        <v>400.94611111111101</v>
      </c>
      <c r="M945" s="40">
        <v>0</v>
      </c>
      <c r="N945" s="40">
        <v>0</v>
      </c>
      <c r="O945" s="40">
        <v>0</v>
      </c>
      <c r="P945" s="40">
        <v>0</v>
      </c>
      <c r="Q945" s="40">
        <v>0</v>
      </c>
      <c r="R945" s="40">
        <v>0</v>
      </c>
      <c r="S945" s="61">
        <f t="shared" si="162"/>
        <v>116.49999999999999</v>
      </c>
      <c r="T945" s="40">
        <v>0</v>
      </c>
      <c r="U945" s="40">
        <v>0</v>
      </c>
      <c r="V945" s="40">
        <v>0</v>
      </c>
      <c r="W945" s="40">
        <v>0</v>
      </c>
      <c r="X945" s="67">
        <f t="shared" si="163"/>
        <v>209</v>
      </c>
      <c r="Z945" s="71"/>
      <c r="AA945" s="71"/>
      <c r="AB945" s="67" t="str">
        <f t="shared" si="164"/>
        <v/>
      </c>
      <c r="AD945" s="121">
        <v>11.7</v>
      </c>
      <c r="AE945" s="121" t="s">
        <v>1301</v>
      </c>
    </row>
    <row r="946" spans="1:31" x14ac:dyDescent="0.25">
      <c r="A946" s="57" t="s">
        <v>1097</v>
      </c>
      <c r="B946" s="7">
        <v>0.3833333333333333</v>
      </c>
      <c r="C946" s="3">
        <f t="shared" si="160"/>
        <v>0.39999999999999858</v>
      </c>
      <c r="D946" s="10" t="s">
        <v>616</v>
      </c>
      <c r="E946" s="40">
        <v>10</v>
      </c>
      <c r="F946" s="40">
        <v>2.5</v>
      </c>
      <c r="G946" s="40">
        <v>2</v>
      </c>
      <c r="H946" s="3">
        <f t="shared" si="157"/>
        <v>0.16666666666666607</v>
      </c>
      <c r="I946" s="3">
        <f t="shared" si="158"/>
        <v>4.1666666666666519E-2</v>
      </c>
      <c r="J946" s="3">
        <f t="shared" si="159"/>
        <v>3.3333333333333215E-2</v>
      </c>
      <c r="K946" s="3"/>
      <c r="L946" s="60">
        <f t="shared" si="161"/>
        <v>400.70444444444433</v>
      </c>
      <c r="M946" s="40">
        <v>0</v>
      </c>
      <c r="N946" s="40">
        <v>0</v>
      </c>
      <c r="O946" s="40">
        <v>0</v>
      </c>
      <c r="P946" s="40">
        <v>0</v>
      </c>
      <c r="Q946" s="40">
        <v>0</v>
      </c>
      <c r="R946" s="40">
        <v>0</v>
      </c>
      <c r="S946" s="61">
        <f t="shared" si="162"/>
        <v>116.49999999999999</v>
      </c>
      <c r="T946" s="40">
        <v>0</v>
      </c>
      <c r="U946" s="40">
        <v>0</v>
      </c>
      <c r="V946" s="40">
        <v>2</v>
      </c>
      <c r="W946" s="40">
        <v>0</v>
      </c>
      <c r="X946" s="67">
        <f t="shared" si="163"/>
        <v>207</v>
      </c>
      <c r="Z946" s="71"/>
      <c r="AA946" s="71"/>
      <c r="AB946" s="67" t="str">
        <f t="shared" si="164"/>
        <v/>
      </c>
      <c r="AD946" s="121"/>
      <c r="AE946" s="121"/>
    </row>
    <row r="947" spans="1:31" x14ac:dyDescent="0.25">
      <c r="A947" s="57" t="s">
        <v>1097</v>
      </c>
      <c r="B947" s="7">
        <v>0.54166666666666663</v>
      </c>
      <c r="C947" s="3">
        <f t="shared" si="160"/>
        <v>3.8</v>
      </c>
      <c r="D947" s="10" t="s">
        <v>1011</v>
      </c>
      <c r="E947" s="40">
        <v>0</v>
      </c>
      <c r="F947" s="40">
        <v>2.5</v>
      </c>
      <c r="G947" s="40">
        <v>2</v>
      </c>
      <c r="H947" s="3">
        <f t="shared" ref="H947:H1011" si="165">+IF(E947="","",(E947/24)*C947)</f>
        <v>0</v>
      </c>
      <c r="I947" s="3">
        <f t="shared" ref="I947:I1011" si="166">+IF(F947="","",(F947/24)*C947)</f>
        <v>0.39583333333333331</v>
      </c>
      <c r="J947" s="3">
        <f t="shared" ref="J947:J1011" si="167">+IF(G947="","",(G947/24)*C947)</f>
        <v>0.31666666666666665</v>
      </c>
      <c r="K947" s="3"/>
      <c r="L947" s="60">
        <f t="shared" si="161"/>
        <v>399.99194444444436</v>
      </c>
      <c r="M947" s="40">
        <v>0</v>
      </c>
      <c r="N947" s="40">
        <v>0</v>
      </c>
      <c r="O947" s="40">
        <v>0</v>
      </c>
      <c r="P947" s="40">
        <v>0</v>
      </c>
      <c r="Q947" s="40">
        <v>0</v>
      </c>
      <c r="R947" s="40">
        <v>0</v>
      </c>
      <c r="S947" s="61">
        <f t="shared" si="162"/>
        <v>116.49999999999999</v>
      </c>
      <c r="T947" s="40">
        <v>0</v>
      </c>
      <c r="U947" s="40">
        <v>0</v>
      </c>
      <c r="V947" s="40">
        <v>0</v>
      </c>
      <c r="W947" s="40">
        <v>0</v>
      </c>
      <c r="X947" s="67">
        <f t="shared" si="163"/>
        <v>207</v>
      </c>
      <c r="Z947" s="71"/>
      <c r="AA947" s="71"/>
      <c r="AB947" s="67" t="str">
        <f t="shared" si="164"/>
        <v/>
      </c>
      <c r="AD947" s="121"/>
      <c r="AE947" s="121"/>
    </row>
    <row r="948" spans="1:31" x14ac:dyDescent="0.25">
      <c r="A948" s="57" t="s">
        <v>1097</v>
      </c>
      <c r="B948" s="7">
        <v>0.61249999999999993</v>
      </c>
      <c r="C948" s="3">
        <f t="shared" si="160"/>
        <v>1.6999999999999993</v>
      </c>
      <c r="D948" s="10" t="s">
        <v>616</v>
      </c>
      <c r="E948" s="40">
        <v>10</v>
      </c>
      <c r="F948" s="40">
        <v>2.5</v>
      </c>
      <c r="G948" s="40">
        <v>2</v>
      </c>
      <c r="H948" s="3">
        <f t="shared" si="165"/>
        <v>0.70833333333333304</v>
      </c>
      <c r="I948" s="3">
        <f t="shared" si="166"/>
        <v>0.17708333333333326</v>
      </c>
      <c r="J948" s="3">
        <f t="shared" si="167"/>
        <v>0.14166666666666661</v>
      </c>
      <c r="K948" s="3"/>
      <c r="L948" s="60">
        <f t="shared" si="161"/>
        <v>398.96486111111102</v>
      </c>
      <c r="M948" s="40">
        <v>0</v>
      </c>
      <c r="N948" s="40">
        <v>0</v>
      </c>
      <c r="O948" s="40">
        <v>0</v>
      </c>
      <c r="P948" s="40">
        <v>0</v>
      </c>
      <c r="Q948" s="40">
        <v>0</v>
      </c>
      <c r="R948" s="40">
        <v>0</v>
      </c>
      <c r="S948" s="61">
        <f t="shared" si="162"/>
        <v>116.49999999999999</v>
      </c>
      <c r="T948" s="40">
        <v>0</v>
      </c>
      <c r="U948" s="40">
        <v>0</v>
      </c>
      <c r="V948" s="40">
        <v>0</v>
      </c>
      <c r="W948" s="40">
        <v>0</v>
      </c>
      <c r="X948" s="67">
        <f t="shared" si="163"/>
        <v>207</v>
      </c>
      <c r="Z948" s="71"/>
      <c r="AA948" s="71"/>
      <c r="AB948" s="67" t="str">
        <f t="shared" si="164"/>
        <v/>
      </c>
      <c r="AD948" s="121"/>
      <c r="AE948" s="121"/>
    </row>
    <row r="949" spans="1:31" x14ac:dyDescent="0.25">
      <c r="A949" s="57" t="s">
        <v>1097</v>
      </c>
      <c r="B949" s="7">
        <v>0.79999999999999993</v>
      </c>
      <c r="C949" s="3">
        <f t="shared" si="160"/>
        <v>4.5</v>
      </c>
      <c r="D949" s="10" t="s">
        <v>1004</v>
      </c>
      <c r="E949" s="40">
        <v>0</v>
      </c>
      <c r="F949" s="40">
        <v>2.5</v>
      </c>
      <c r="G949" s="40">
        <v>2</v>
      </c>
      <c r="H949" s="3">
        <f t="shared" si="165"/>
        <v>0</v>
      </c>
      <c r="I949" s="3">
        <f t="shared" si="166"/>
        <v>0.46875</v>
      </c>
      <c r="J949" s="3">
        <f t="shared" si="167"/>
        <v>0.375</v>
      </c>
      <c r="K949" s="3"/>
      <c r="L949" s="60">
        <f t="shared" si="161"/>
        <v>398.12111111111102</v>
      </c>
      <c r="M949" s="40">
        <v>0</v>
      </c>
      <c r="N949" s="40">
        <v>0</v>
      </c>
      <c r="O949" s="40">
        <v>0</v>
      </c>
      <c r="P949" s="40">
        <v>0</v>
      </c>
      <c r="Q949" s="40">
        <v>0.5</v>
      </c>
      <c r="R949" s="40">
        <v>0</v>
      </c>
      <c r="S949" s="61">
        <f t="shared" si="162"/>
        <v>115.99999999999999</v>
      </c>
      <c r="T949" s="40">
        <v>0</v>
      </c>
      <c r="U949" s="40">
        <v>0</v>
      </c>
      <c r="V949" s="40">
        <v>2</v>
      </c>
      <c r="W949" s="40">
        <v>0</v>
      </c>
      <c r="X949" s="67">
        <f t="shared" si="163"/>
        <v>205</v>
      </c>
      <c r="Z949" s="71"/>
      <c r="AA949" s="71"/>
      <c r="AB949" s="67" t="str">
        <f t="shared" si="164"/>
        <v/>
      </c>
      <c r="AD949" s="121"/>
      <c r="AE949" s="121"/>
    </row>
    <row r="950" spans="1:31" x14ac:dyDescent="0.25">
      <c r="A950" s="57" t="s">
        <v>1098</v>
      </c>
      <c r="B950" s="65">
        <v>0.33333333333333331</v>
      </c>
      <c r="C950" s="3">
        <f t="shared" si="160"/>
        <v>12.8</v>
      </c>
      <c r="D950" s="10" t="s">
        <v>966</v>
      </c>
      <c r="E950" s="40">
        <v>0</v>
      </c>
      <c r="F950" s="40">
        <v>2.5</v>
      </c>
      <c r="G950" s="40">
        <v>2</v>
      </c>
      <c r="H950" s="3">
        <f t="shared" si="165"/>
        <v>0</v>
      </c>
      <c r="I950" s="3">
        <f t="shared" si="166"/>
        <v>1.3333333333333335</v>
      </c>
      <c r="J950" s="3">
        <f t="shared" si="167"/>
        <v>1.0666666666666667</v>
      </c>
      <c r="K950" s="3"/>
      <c r="L950" s="60">
        <f t="shared" si="161"/>
        <v>395.72111111111104</v>
      </c>
      <c r="M950" s="40">
        <v>0</v>
      </c>
      <c r="N950" s="40">
        <v>0</v>
      </c>
      <c r="O950" s="40">
        <v>0</v>
      </c>
      <c r="P950" s="40">
        <v>0</v>
      </c>
      <c r="Q950" s="40">
        <v>3.2</v>
      </c>
      <c r="R950" s="40">
        <v>0</v>
      </c>
      <c r="S950" s="61">
        <f t="shared" si="162"/>
        <v>112.79999999999998</v>
      </c>
      <c r="T950" s="40">
        <v>0</v>
      </c>
      <c r="U950" s="40">
        <v>0</v>
      </c>
      <c r="V950" s="40">
        <v>2</v>
      </c>
      <c r="W950" s="40">
        <v>0</v>
      </c>
      <c r="X950" s="67">
        <f t="shared" si="163"/>
        <v>203</v>
      </c>
      <c r="Z950" s="71">
        <v>139</v>
      </c>
      <c r="AA950" s="71">
        <v>15</v>
      </c>
      <c r="AB950" s="67">
        <f t="shared" si="164"/>
        <v>154</v>
      </c>
      <c r="AD950" s="121"/>
      <c r="AE950" s="121"/>
    </row>
    <row r="951" spans="1:31" x14ac:dyDescent="0.25">
      <c r="A951" s="57" t="s">
        <v>1098</v>
      </c>
      <c r="B951" s="7">
        <v>0.5</v>
      </c>
      <c r="C951" s="3">
        <f t="shared" si="160"/>
        <v>4</v>
      </c>
      <c r="D951" s="10" t="s">
        <v>1079</v>
      </c>
      <c r="E951" s="40">
        <v>0</v>
      </c>
      <c r="F951" s="40">
        <v>2.5</v>
      </c>
      <c r="G951" s="40">
        <v>2</v>
      </c>
      <c r="H951" s="3">
        <f t="shared" si="165"/>
        <v>0</v>
      </c>
      <c r="I951" s="3">
        <f t="shared" si="166"/>
        <v>0.41666666666666669</v>
      </c>
      <c r="J951" s="3">
        <f t="shared" si="167"/>
        <v>0.33333333333333331</v>
      </c>
      <c r="K951" s="3"/>
      <c r="L951" s="60">
        <f t="shared" si="161"/>
        <v>394.97111111111104</v>
      </c>
      <c r="M951" s="40">
        <v>0</v>
      </c>
      <c r="N951" s="40">
        <v>0</v>
      </c>
      <c r="O951" s="40">
        <v>0</v>
      </c>
      <c r="P951" s="40">
        <v>0</v>
      </c>
      <c r="Q951" s="40">
        <v>1</v>
      </c>
      <c r="R951" s="40">
        <v>0</v>
      </c>
      <c r="S951" s="61">
        <f t="shared" si="162"/>
        <v>111.79999999999998</v>
      </c>
      <c r="T951" s="40">
        <v>0</v>
      </c>
      <c r="U951" s="40">
        <v>0</v>
      </c>
      <c r="V951" s="40">
        <v>1</v>
      </c>
      <c r="W951" s="40">
        <v>0</v>
      </c>
      <c r="X951" s="67">
        <f t="shared" si="163"/>
        <v>202</v>
      </c>
      <c r="Z951" s="71"/>
      <c r="AA951" s="71"/>
      <c r="AB951" s="67" t="str">
        <f t="shared" si="164"/>
        <v/>
      </c>
      <c r="AD951" s="121"/>
      <c r="AE951" s="121"/>
    </row>
    <row r="952" spans="1:31" x14ac:dyDescent="0.25">
      <c r="A952" s="57" t="s">
        <v>1098</v>
      </c>
      <c r="B952" s="7">
        <v>0.625</v>
      </c>
      <c r="C952" s="3">
        <f t="shared" si="160"/>
        <v>3</v>
      </c>
      <c r="D952" s="10" t="s">
        <v>1011</v>
      </c>
      <c r="E952" s="40">
        <v>0</v>
      </c>
      <c r="F952" s="40">
        <v>2.5</v>
      </c>
      <c r="G952" s="40">
        <v>2</v>
      </c>
      <c r="H952" s="3">
        <f t="shared" si="165"/>
        <v>0</v>
      </c>
      <c r="I952" s="3">
        <f t="shared" si="166"/>
        <v>0.3125</v>
      </c>
      <c r="J952" s="3">
        <f t="shared" si="167"/>
        <v>0.25</v>
      </c>
      <c r="K952" s="3"/>
      <c r="L952" s="60">
        <f t="shared" si="161"/>
        <v>394.40861111111104</v>
      </c>
      <c r="M952" s="40">
        <v>0</v>
      </c>
      <c r="N952" s="40">
        <v>0</v>
      </c>
      <c r="O952" s="40">
        <v>0</v>
      </c>
      <c r="P952" s="40">
        <v>0</v>
      </c>
      <c r="Q952" s="40">
        <v>0</v>
      </c>
      <c r="R952" s="40">
        <v>0</v>
      </c>
      <c r="S952" s="61">
        <f t="shared" si="162"/>
        <v>111.79999999999998</v>
      </c>
      <c r="T952" s="40">
        <v>0</v>
      </c>
      <c r="U952" s="40">
        <v>0</v>
      </c>
      <c r="V952" s="40">
        <v>1</v>
      </c>
      <c r="W952" s="40">
        <v>0</v>
      </c>
      <c r="X952" s="67">
        <f t="shared" si="163"/>
        <v>201</v>
      </c>
      <c r="Z952" s="71"/>
      <c r="AA952" s="71"/>
      <c r="AB952" s="67" t="str">
        <f t="shared" si="164"/>
        <v/>
      </c>
      <c r="AD952" s="121"/>
      <c r="AE952" s="121"/>
    </row>
    <row r="953" spans="1:31" x14ac:dyDescent="0.25">
      <c r="A953" s="57" t="s">
        <v>1098</v>
      </c>
      <c r="B953" s="7">
        <v>0.66666666666666663</v>
      </c>
      <c r="C953" s="3">
        <f t="shared" si="160"/>
        <v>0.99999999999999911</v>
      </c>
      <c r="D953" s="10" t="s">
        <v>1026</v>
      </c>
      <c r="E953" s="40">
        <v>5</v>
      </c>
      <c r="F953" s="40">
        <v>2.5</v>
      </c>
      <c r="G953" s="40">
        <v>2</v>
      </c>
      <c r="H953" s="3">
        <f t="shared" si="165"/>
        <v>0.20833333333333315</v>
      </c>
      <c r="I953" s="3">
        <f t="shared" si="166"/>
        <v>0.10416666666666657</v>
      </c>
      <c r="J953" s="3">
        <f t="shared" si="167"/>
        <v>8.3333333333333259E-2</v>
      </c>
      <c r="K953" s="3"/>
      <c r="L953" s="60">
        <f t="shared" si="161"/>
        <v>394.01277777777773</v>
      </c>
      <c r="M953" s="40">
        <v>0</v>
      </c>
      <c r="N953" s="40">
        <v>0</v>
      </c>
      <c r="O953" s="40">
        <v>0</v>
      </c>
      <c r="P953" s="40">
        <v>0</v>
      </c>
      <c r="Q953" s="40">
        <v>0</v>
      </c>
      <c r="R953" s="40">
        <v>0</v>
      </c>
      <c r="S953" s="61">
        <f t="shared" si="162"/>
        <v>111.79999999999998</v>
      </c>
      <c r="T953" s="40">
        <v>0</v>
      </c>
      <c r="U953" s="40">
        <v>0</v>
      </c>
      <c r="V953" s="40">
        <v>1</v>
      </c>
      <c r="W953" s="40">
        <v>0</v>
      </c>
      <c r="X953" s="67">
        <f t="shared" si="163"/>
        <v>200</v>
      </c>
      <c r="Z953" s="71"/>
      <c r="AA953" s="71"/>
      <c r="AB953" s="67" t="str">
        <f t="shared" si="164"/>
        <v/>
      </c>
      <c r="AD953" s="121"/>
      <c r="AE953" s="121"/>
    </row>
    <row r="954" spans="1:31" x14ac:dyDescent="0.25">
      <c r="A954" s="57" t="s">
        <v>1098</v>
      </c>
      <c r="B954" s="7">
        <v>0.9916666666666667</v>
      </c>
      <c r="C954" s="3">
        <f t="shared" si="160"/>
        <v>7.8000000000000016</v>
      </c>
      <c r="D954" s="10" t="s">
        <v>201</v>
      </c>
      <c r="E954" s="40">
        <v>24</v>
      </c>
      <c r="F954" s="40">
        <v>2.5</v>
      </c>
      <c r="G954" s="40">
        <v>6</v>
      </c>
      <c r="H954" s="3">
        <f t="shared" si="165"/>
        <v>7.8000000000000016</v>
      </c>
      <c r="I954" s="3">
        <f t="shared" si="166"/>
        <v>0.81250000000000022</v>
      </c>
      <c r="J954" s="3">
        <f t="shared" si="167"/>
        <v>1.9500000000000004</v>
      </c>
      <c r="K954" s="3"/>
      <c r="L954" s="60">
        <f t="shared" si="161"/>
        <v>383.45027777777773</v>
      </c>
      <c r="M954" s="40">
        <v>0</v>
      </c>
      <c r="N954" s="40">
        <v>0</v>
      </c>
      <c r="O954" s="40">
        <v>0</v>
      </c>
      <c r="P954" s="40">
        <v>0</v>
      </c>
      <c r="Q954" s="40">
        <v>0</v>
      </c>
      <c r="R954" s="40">
        <v>0</v>
      </c>
      <c r="S954" s="61">
        <f t="shared" si="162"/>
        <v>111.79999999999998</v>
      </c>
      <c r="T954" s="40">
        <v>0</v>
      </c>
      <c r="U954" s="40">
        <v>0</v>
      </c>
      <c r="V954" s="40">
        <v>1</v>
      </c>
      <c r="W954" s="40">
        <v>0</v>
      </c>
      <c r="X954" s="67">
        <f t="shared" si="163"/>
        <v>199</v>
      </c>
      <c r="Z954" s="71"/>
      <c r="AA954" s="71"/>
      <c r="AB954" s="67" t="str">
        <f t="shared" si="164"/>
        <v/>
      </c>
      <c r="AD954" s="121">
        <v>11.8</v>
      </c>
      <c r="AE954" s="121" t="s">
        <v>1296</v>
      </c>
    </row>
    <row r="955" spans="1:31" x14ac:dyDescent="0.25">
      <c r="A955" s="57" t="s">
        <v>1099</v>
      </c>
      <c r="B955" s="7">
        <v>0.1125</v>
      </c>
      <c r="C955" s="3">
        <f t="shared" si="160"/>
        <v>2.8999999999999986</v>
      </c>
      <c r="D955" s="10" t="s">
        <v>616</v>
      </c>
      <c r="E955" s="40">
        <v>5</v>
      </c>
      <c r="F955" s="40">
        <v>2.5</v>
      </c>
      <c r="G955" s="40">
        <v>6</v>
      </c>
      <c r="H955" s="3">
        <f t="shared" si="165"/>
        <v>0.60416666666666641</v>
      </c>
      <c r="I955" s="3">
        <f t="shared" si="166"/>
        <v>0.3020833333333332</v>
      </c>
      <c r="J955" s="3">
        <f t="shared" si="167"/>
        <v>0.72499999999999964</v>
      </c>
      <c r="K955" s="3"/>
      <c r="L955" s="60">
        <f t="shared" si="161"/>
        <v>381.81902777777771</v>
      </c>
      <c r="M955" s="40">
        <v>0</v>
      </c>
      <c r="N955" s="40">
        <v>0</v>
      </c>
      <c r="O955" s="40">
        <v>0</v>
      </c>
      <c r="P955" s="40">
        <v>0</v>
      </c>
      <c r="Q955" s="40">
        <v>0</v>
      </c>
      <c r="R955" s="40">
        <v>0</v>
      </c>
      <c r="S955" s="61">
        <f t="shared" si="162"/>
        <v>111.79999999999998</v>
      </c>
      <c r="T955" s="40">
        <v>0</v>
      </c>
      <c r="U955" s="40">
        <v>0</v>
      </c>
      <c r="V955" s="40">
        <v>0</v>
      </c>
      <c r="W955" s="40">
        <v>0</v>
      </c>
      <c r="X955" s="67">
        <f t="shared" si="163"/>
        <v>199</v>
      </c>
      <c r="Z955" s="71"/>
      <c r="AA955" s="71"/>
      <c r="AB955" s="67" t="str">
        <f t="shared" si="164"/>
        <v/>
      </c>
      <c r="AD955" s="121"/>
      <c r="AE955" s="121"/>
    </row>
    <row r="956" spans="1:31" x14ac:dyDescent="0.25">
      <c r="A956" s="57" t="s">
        <v>1099</v>
      </c>
      <c r="B956" s="7">
        <v>0.27499999999999997</v>
      </c>
      <c r="C956" s="3">
        <f t="shared" si="160"/>
        <v>3.8999999999999995</v>
      </c>
      <c r="D956" s="10" t="s">
        <v>1100</v>
      </c>
      <c r="E956" s="40">
        <v>0</v>
      </c>
      <c r="F956" s="40">
        <v>2.5</v>
      </c>
      <c r="G956" s="40">
        <v>6</v>
      </c>
      <c r="H956" s="3">
        <f t="shared" si="165"/>
        <v>0</v>
      </c>
      <c r="I956" s="3">
        <f t="shared" si="166"/>
        <v>0.40624999999999994</v>
      </c>
      <c r="J956" s="3">
        <f t="shared" si="167"/>
        <v>0.97499999999999987</v>
      </c>
      <c r="K956" s="3"/>
      <c r="L956" s="60">
        <f t="shared" si="161"/>
        <v>380.43777777777768</v>
      </c>
      <c r="M956" s="40">
        <v>0</v>
      </c>
      <c r="N956" s="40">
        <v>0</v>
      </c>
      <c r="O956" s="40">
        <v>0</v>
      </c>
      <c r="P956" s="40">
        <v>0</v>
      </c>
      <c r="Q956" s="40">
        <v>0.5</v>
      </c>
      <c r="R956" s="40">
        <v>0</v>
      </c>
      <c r="S956" s="61">
        <f t="shared" si="162"/>
        <v>111.29999999999998</v>
      </c>
      <c r="T956" s="40">
        <v>0</v>
      </c>
      <c r="U956" s="40">
        <v>0</v>
      </c>
      <c r="V956" s="40">
        <v>2</v>
      </c>
      <c r="W956" s="40">
        <v>0</v>
      </c>
      <c r="X956" s="67">
        <f t="shared" si="163"/>
        <v>197</v>
      </c>
      <c r="Z956" s="71"/>
      <c r="AA956" s="71"/>
      <c r="AB956" s="67" t="str">
        <f t="shared" si="164"/>
        <v/>
      </c>
      <c r="AD956" s="121"/>
      <c r="AE956" s="121"/>
    </row>
    <row r="957" spans="1:31" x14ac:dyDescent="0.25">
      <c r="A957" s="57" t="s">
        <v>1099</v>
      </c>
      <c r="B957" s="65">
        <v>0.33333333333333331</v>
      </c>
      <c r="C957" s="3">
        <f t="shared" si="160"/>
        <v>1.4000000000000004</v>
      </c>
      <c r="D957" s="10" t="s">
        <v>966</v>
      </c>
      <c r="E957" s="40">
        <v>0</v>
      </c>
      <c r="F957" s="40">
        <v>2.5</v>
      </c>
      <c r="G957" s="40">
        <v>6</v>
      </c>
      <c r="H957" s="3">
        <f t="shared" si="165"/>
        <v>0</v>
      </c>
      <c r="I957" s="3">
        <f t="shared" si="166"/>
        <v>0.14583333333333337</v>
      </c>
      <c r="J957" s="3">
        <f t="shared" si="167"/>
        <v>0.35000000000000009</v>
      </c>
      <c r="K957" s="3"/>
      <c r="L957" s="60">
        <f t="shared" si="161"/>
        <v>379.94194444444435</v>
      </c>
      <c r="M957" s="40">
        <v>0</v>
      </c>
      <c r="N957" s="40">
        <v>0</v>
      </c>
      <c r="O957" s="40">
        <v>0</v>
      </c>
      <c r="P957" s="40">
        <v>0</v>
      </c>
      <c r="Q957" s="40">
        <v>0.35</v>
      </c>
      <c r="R957" s="40">
        <v>0</v>
      </c>
      <c r="S957" s="61">
        <f t="shared" si="162"/>
        <v>110.94999999999999</v>
      </c>
      <c r="T957" s="40">
        <v>0</v>
      </c>
      <c r="U957" s="40">
        <v>0</v>
      </c>
      <c r="V957" s="40">
        <v>0</v>
      </c>
      <c r="W957" s="40">
        <v>0</v>
      </c>
      <c r="X957" s="67">
        <f t="shared" si="163"/>
        <v>197</v>
      </c>
      <c r="Z957" s="71"/>
      <c r="AA957" s="71"/>
      <c r="AB957" s="67" t="str">
        <f t="shared" si="164"/>
        <v/>
      </c>
      <c r="AD957" s="121"/>
      <c r="AE957" s="121"/>
    </row>
    <row r="958" spans="1:31" x14ac:dyDescent="0.25">
      <c r="A958" s="57" t="s">
        <v>1099</v>
      </c>
      <c r="B958" s="7">
        <v>0.70833333333333337</v>
      </c>
      <c r="C958" s="3">
        <f t="shared" si="160"/>
        <v>9.0000000000000018</v>
      </c>
      <c r="D958" s="10" t="s">
        <v>1079</v>
      </c>
      <c r="E958" s="40">
        <v>0</v>
      </c>
      <c r="F958" s="40">
        <v>2.5</v>
      </c>
      <c r="G958" s="40">
        <v>6</v>
      </c>
      <c r="H958" s="3">
        <f t="shared" si="165"/>
        <v>0</v>
      </c>
      <c r="I958" s="3">
        <f t="shared" si="166"/>
        <v>0.93750000000000022</v>
      </c>
      <c r="J958" s="3">
        <f t="shared" si="167"/>
        <v>2.2500000000000004</v>
      </c>
      <c r="K958" s="3"/>
      <c r="L958" s="60">
        <f t="shared" si="161"/>
        <v>376.75444444444435</v>
      </c>
      <c r="M958" s="40">
        <v>0</v>
      </c>
      <c r="N958" s="40">
        <v>0</v>
      </c>
      <c r="O958" s="40">
        <v>0</v>
      </c>
      <c r="P958" s="40">
        <v>0</v>
      </c>
      <c r="Q958" s="40">
        <v>2.25</v>
      </c>
      <c r="R958" s="40">
        <v>0</v>
      </c>
      <c r="S958" s="61">
        <f t="shared" si="162"/>
        <v>108.69999999999999</v>
      </c>
      <c r="T958" s="40">
        <v>0</v>
      </c>
      <c r="U958" s="40">
        <v>0</v>
      </c>
      <c r="V958" s="40">
        <v>2</v>
      </c>
      <c r="W958" s="40">
        <v>0</v>
      </c>
      <c r="X958" s="67">
        <f t="shared" si="163"/>
        <v>195</v>
      </c>
      <c r="Z958" s="71"/>
      <c r="AA958" s="71"/>
      <c r="AB958" s="67" t="str">
        <f t="shared" si="164"/>
        <v/>
      </c>
      <c r="AD958" s="121"/>
      <c r="AE958" s="121"/>
    </row>
    <row r="959" spans="1:31" x14ac:dyDescent="0.25">
      <c r="A959" s="57" t="s">
        <v>1099</v>
      </c>
      <c r="B959" s="7">
        <v>0.8208333333333333</v>
      </c>
      <c r="C959" s="3">
        <f t="shared" si="160"/>
        <v>2.6999999999999984</v>
      </c>
      <c r="D959" s="10" t="s">
        <v>1011</v>
      </c>
      <c r="E959" s="40">
        <v>0</v>
      </c>
      <c r="F959" s="40">
        <v>2.5</v>
      </c>
      <c r="G959" s="40">
        <v>6</v>
      </c>
      <c r="H959" s="3">
        <f t="shared" si="165"/>
        <v>0</v>
      </c>
      <c r="I959" s="3">
        <f t="shared" si="166"/>
        <v>0.28124999999999983</v>
      </c>
      <c r="J959" s="3">
        <f t="shared" si="167"/>
        <v>0.6749999999999996</v>
      </c>
      <c r="K959" s="3"/>
      <c r="L959" s="60">
        <f t="shared" si="161"/>
        <v>375.79819444444433</v>
      </c>
      <c r="M959" s="40">
        <v>0</v>
      </c>
      <c r="N959" s="40">
        <v>0</v>
      </c>
      <c r="O959" s="40">
        <v>0</v>
      </c>
      <c r="P959" s="40">
        <v>0</v>
      </c>
      <c r="Q959" s="40">
        <v>0</v>
      </c>
      <c r="R959" s="40">
        <v>0</v>
      </c>
      <c r="S959" s="61">
        <f t="shared" si="162"/>
        <v>108.69999999999999</v>
      </c>
      <c r="T959" s="40">
        <v>0</v>
      </c>
      <c r="U959" s="40">
        <v>0</v>
      </c>
      <c r="V959" s="40">
        <v>0</v>
      </c>
      <c r="W959" s="40">
        <v>0</v>
      </c>
      <c r="X959" s="67">
        <f t="shared" si="163"/>
        <v>195</v>
      </c>
      <c r="Z959" s="71"/>
      <c r="AA959" s="71"/>
      <c r="AB959" s="67" t="str">
        <f t="shared" si="164"/>
        <v/>
      </c>
      <c r="AD959" s="121"/>
      <c r="AE959" s="121"/>
    </row>
    <row r="960" spans="1:31" x14ac:dyDescent="0.25">
      <c r="A960" s="57" t="s">
        <v>1099</v>
      </c>
      <c r="B960" s="7">
        <v>0.85416666666666663</v>
      </c>
      <c r="C960" s="3">
        <f t="shared" si="160"/>
        <v>0.79999999999999982</v>
      </c>
      <c r="D960" s="10" t="s">
        <v>1026</v>
      </c>
      <c r="E960" s="40">
        <v>10</v>
      </c>
      <c r="F960" s="40">
        <v>2.5</v>
      </c>
      <c r="G960" s="40">
        <v>6</v>
      </c>
      <c r="H960" s="3">
        <f t="shared" si="165"/>
        <v>0.33333333333333326</v>
      </c>
      <c r="I960" s="3">
        <f t="shared" si="166"/>
        <v>8.3333333333333315E-2</v>
      </c>
      <c r="J960" s="3">
        <f t="shared" si="167"/>
        <v>0.19999999999999996</v>
      </c>
      <c r="K960" s="3"/>
      <c r="L960" s="60">
        <f t="shared" si="161"/>
        <v>375.18152777777766</v>
      </c>
      <c r="M960" s="40">
        <v>0</v>
      </c>
      <c r="N960" s="40">
        <v>0</v>
      </c>
      <c r="O960" s="40">
        <v>0</v>
      </c>
      <c r="P960" s="40">
        <v>0</v>
      </c>
      <c r="Q960" s="40">
        <v>0</v>
      </c>
      <c r="R960" s="40">
        <v>0</v>
      </c>
      <c r="S960" s="61">
        <f t="shared" si="162"/>
        <v>108.69999999999999</v>
      </c>
      <c r="T960" s="40">
        <v>0</v>
      </c>
      <c r="U960" s="40">
        <v>0</v>
      </c>
      <c r="V960" s="40">
        <v>4</v>
      </c>
      <c r="W960" s="40">
        <v>0</v>
      </c>
      <c r="X960" s="67">
        <f t="shared" si="163"/>
        <v>191</v>
      </c>
      <c r="Z960" s="71"/>
      <c r="AA960" s="71"/>
      <c r="AB960" s="67" t="str">
        <f t="shared" si="164"/>
        <v/>
      </c>
      <c r="AD960" s="121"/>
      <c r="AE960" s="121"/>
    </row>
    <row r="961" spans="1:31" x14ac:dyDescent="0.25">
      <c r="A961" s="57" t="s">
        <v>1101</v>
      </c>
      <c r="B961" s="7">
        <v>8.3333333333333329E-2</v>
      </c>
      <c r="C961" s="3">
        <f t="shared" si="160"/>
        <v>5.5</v>
      </c>
      <c r="D961" s="10" t="s">
        <v>201</v>
      </c>
      <c r="E961" s="40">
        <v>24</v>
      </c>
      <c r="F961" s="40">
        <v>2.5</v>
      </c>
      <c r="G961" s="40">
        <v>6</v>
      </c>
      <c r="H961" s="3">
        <f t="shared" si="165"/>
        <v>5.5</v>
      </c>
      <c r="I961" s="3">
        <f t="shared" si="166"/>
        <v>0.57291666666666674</v>
      </c>
      <c r="J961" s="3">
        <f t="shared" si="167"/>
        <v>1.375</v>
      </c>
      <c r="K961" s="3"/>
      <c r="L961" s="60">
        <f t="shared" si="161"/>
        <v>367.73361111111097</v>
      </c>
      <c r="M961" s="40">
        <v>0</v>
      </c>
      <c r="N961" s="40">
        <v>0</v>
      </c>
      <c r="O961" s="40">
        <v>0</v>
      </c>
      <c r="P961" s="40">
        <v>0</v>
      </c>
      <c r="Q961" s="40">
        <v>0</v>
      </c>
      <c r="R961" s="40">
        <v>0</v>
      </c>
      <c r="S961" s="61">
        <f t="shared" si="162"/>
        <v>108.69999999999999</v>
      </c>
      <c r="T961" s="40">
        <v>0</v>
      </c>
      <c r="U961" s="40">
        <v>0</v>
      </c>
      <c r="V961" s="40">
        <v>1</v>
      </c>
      <c r="W961" s="40">
        <v>0</v>
      </c>
      <c r="X961" s="67">
        <f t="shared" si="163"/>
        <v>190</v>
      </c>
      <c r="Z961" s="71"/>
      <c r="AA961" s="71"/>
      <c r="AB961" s="67" t="str">
        <f t="shared" si="164"/>
        <v/>
      </c>
      <c r="AD961" s="121">
        <v>11.5</v>
      </c>
      <c r="AE961" s="121" t="s">
        <v>1296</v>
      </c>
    </row>
    <row r="962" spans="1:31" x14ac:dyDescent="0.25">
      <c r="A962" s="57" t="s">
        <v>1101</v>
      </c>
      <c r="B962" s="7">
        <v>0.10416666666666667</v>
      </c>
      <c r="C962" s="3">
        <f t="shared" si="160"/>
        <v>0.50000000000000022</v>
      </c>
      <c r="D962" s="10" t="s">
        <v>616</v>
      </c>
      <c r="E962" s="40">
        <v>10</v>
      </c>
      <c r="F962" s="40">
        <v>2.5</v>
      </c>
      <c r="G962" s="40">
        <v>6</v>
      </c>
      <c r="H962" s="3">
        <f t="shared" si="165"/>
        <v>0.20833333333333343</v>
      </c>
      <c r="I962" s="3">
        <f t="shared" si="166"/>
        <v>5.2083333333333356E-2</v>
      </c>
      <c r="J962" s="3">
        <f t="shared" si="167"/>
        <v>0.12500000000000006</v>
      </c>
      <c r="K962" s="3"/>
      <c r="L962" s="60">
        <f t="shared" si="161"/>
        <v>367.34819444444429</v>
      </c>
      <c r="M962" s="40">
        <v>0</v>
      </c>
      <c r="N962" s="40">
        <v>0</v>
      </c>
      <c r="O962" s="40">
        <v>0</v>
      </c>
      <c r="P962" s="40">
        <v>0</v>
      </c>
      <c r="Q962" s="40">
        <v>0</v>
      </c>
      <c r="R962" s="40">
        <v>0</v>
      </c>
      <c r="S962" s="61">
        <f t="shared" si="162"/>
        <v>108.69999999999999</v>
      </c>
      <c r="T962" s="40">
        <v>0</v>
      </c>
      <c r="U962" s="40">
        <v>0</v>
      </c>
      <c r="V962" s="40">
        <v>0</v>
      </c>
      <c r="W962" s="40">
        <v>0</v>
      </c>
      <c r="X962" s="67">
        <f t="shared" si="163"/>
        <v>190</v>
      </c>
      <c r="Z962" s="71"/>
      <c r="AA962" s="71"/>
      <c r="AB962" s="67" t="str">
        <f t="shared" si="164"/>
        <v/>
      </c>
      <c r="AD962" s="121"/>
      <c r="AE962" s="121"/>
    </row>
    <row r="963" spans="1:31" x14ac:dyDescent="0.25">
      <c r="A963" s="57" t="s">
        <v>1101</v>
      </c>
      <c r="B963" s="7">
        <v>0.25416666666666665</v>
      </c>
      <c r="C963" s="3">
        <f t="shared" si="160"/>
        <v>3.5999999999999992</v>
      </c>
      <c r="D963" s="10" t="s">
        <v>1011</v>
      </c>
      <c r="E963" s="40">
        <v>0</v>
      </c>
      <c r="F963" s="40">
        <v>2.5</v>
      </c>
      <c r="G963" s="40">
        <v>6</v>
      </c>
      <c r="H963" s="3">
        <f t="shared" si="165"/>
        <v>0</v>
      </c>
      <c r="I963" s="3">
        <f t="shared" si="166"/>
        <v>0.37499999999999994</v>
      </c>
      <c r="J963" s="3">
        <f t="shared" si="167"/>
        <v>0.8999999999999998</v>
      </c>
      <c r="K963" s="3"/>
      <c r="L963" s="60">
        <f t="shared" si="161"/>
        <v>366.07319444444431</v>
      </c>
      <c r="M963" s="40">
        <v>0</v>
      </c>
      <c r="N963" s="40">
        <v>0</v>
      </c>
      <c r="O963" s="40">
        <v>0</v>
      </c>
      <c r="P963" s="40">
        <v>0</v>
      </c>
      <c r="Q963" s="40">
        <v>0</v>
      </c>
      <c r="R963" s="40">
        <v>0</v>
      </c>
      <c r="S963" s="61">
        <f t="shared" si="162"/>
        <v>108.69999999999999</v>
      </c>
      <c r="T963" s="40">
        <v>0</v>
      </c>
      <c r="U963" s="40">
        <v>0</v>
      </c>
      <c r="V963" s="40">
        <v>0</v>
      </c>
      <c r="W963" s="40">
        <v>0</v>
      </c>
      <c r="X963" s="67">
        <f t="shared" si="163"/>
        <v>190</v>
      </c>
      <c r="Z963" s="71"/>
      <c r="AA963" s="71"/>
      <c r="AB963" s="67" t="str">
        <f t="shared" si="164"/>
        <v/>
      </c>
      <c r="AD963" s="121"/>
      <c r="AE963" s="121"/>
    </row>
    <row r="964" spans="1:31" x14ac:dyDescent="0.25">
      <c r="A964" s="57" t="s">
        <v>1101</v>
      </c>
      <c r="B964" s="7">
        <v>0.31666666666666665</v>
      </c>
      <c r="C964" s="3">
        <f t="shared" si="160"/>
        <v>1.5</v>
      </c>
      <c r="D964" s="10" t="s">
        <v>616</v>
      </c>
      <c r="E964" s="40">
        <v>10</v>
      </c>
      <c r="F964" s="40">
        <v>2.5</v>
      </c>
      <c r="G964" s="40">
        <v>6</v>
      </c>
      <c r="H964" s="3">
        <f t="shared" si="165"/>
        <v>0.625</v>
      </c>
      <c r="I964" s="3">
        <f t="shared" si="166"/>
        <v>0.15625</v>
      </c>
      <c r="J964" s="3">
        <f t="shared" si="167"/>
        <v>0.375</v>
      </c>
      <c r="K964" s="3"/>
      <c r="L964" s="60">
        <f t="shared" si="161"/>
        <v>364.91694444444431</v>
      </c>
      <c r="M964" s="40">
        <v>0</v>
      </c>
      <c r="N964" s="40">
        <v>0</v>
      </c>
      <c r="O964" s="40">
        <v>0</v>
      </c>
      <c r="P964" s="40">
        <v>0</v>
      </c>
      <c r="Q964" s="40">
        <v>0</v>
      </c>
      <c r="R964" s="40">
        <v>0</v>
      </c>
      <c r="S964" s="61">
        <f t="shared" si="162"/>
        <v>108.69999999999999</v>
      </c>
      <c r="T964" s="40">
        <v>0</v>
      </c>
      <c r="U964" s="40">
        <v>0</v>
      </c>
      <c r="V964" s="40">
        <v>0</v>
      </c>
      <c r="W964" s="40">
        <v>0</v>
      </c>
      <c r="X964" s="67">
        <f t="shared" si="163"/>
        <v>190</v>
      </c>
      <c r="Z964" s="71"/>
      <c r="AA964" s="71"/>
      <c r="AB964" s="67" t="str">
        <f t="shared" si="164"/>
        <v/>
      </c>
      <c r="AD964" s="121"/>
      <c r="AE964" s="121"/>
    </row>
    <row r="965" spans="1:31" x14ac:dyDescent="0.25">
      <c r="A965" s="57" t="s">
        <v>1101</v>
      </c>
      <c r="B965" s="65">
        <v>0.33333333333333331</v>
      </c>
      <c r="C965" s="3">
        <f t="shared" si="160"/>
        <v>0.39999999999999991</v>
      </c>
      <c r="D965" s="10" t="s">
        <v>1066</v>
      </c>
      <c r="E965" s="40">
        <v>0</v>
      </c>
      <c r="F965" s="40">
        <v>2.5</v>
      </c>
      <c r="G965" s="40">
        <v>6</v>
      </c>
      <c r="H965" s="3">
        <f t="shared" si="165"/>
        <v>0</v>
      </c>
      <c r="I965" s="3">
        <f t="shared" si="166"/>
        <v>4.1666666666666657E-2</v>
      </c>
      <c r="J965" s="3">
        <f t="shared" si="167"/>
        <v>9.9999999999999978E-2</v>
      </c>
      <c r="K965" s="3"/>
      <c r="L965" s="60">
        <f t="shared" si="161"/>
        <v>364.77527777777766</v>
      </c>
      <c r="M965" s="40">
        <v>0</v>
      </c>
      <c r="N965" s="40">
        <v>0</v>
      </c>
      <c r="O965" s="40">
        <v>0</v>
      </c>
      <c r="P965" s="40">
        <v>0</v>
      </c>
      <c r="Q965" s="40">
        <v>0</v>
      </c>
      <c r="R965" s="40">
        <v>0</v>
      </c>
      <c r="S965" s="61">
        <f t="shared" si="162"/>
        <v>108.69999999999999</v>
      </c>
      <c r="T965" s="40">
        <v>0</v>
      </c>
      <c r="U965" s="40">
        <v>0</v>
      </c>
      <c r="V965" s="40">
        <v>2</v>
      </c>
      <c r="W965" s="40">
        <v>0</v>
      </c>
      <c r="X965" s="67">
        <f t="shared" si="163"/>
        <v>188</v>
      </c>
      <c r="Z965" s="71">
        <v>129</v>
      </c>
      <c r="AA965" s="71">
        <v>18</v>
      </c>
      <c r="AB965" s="67">
        <f t="shared" si="164"/>
        <v>147</v>
      </c>
      <c r="AD965" s="121"/>
      <c r="AE965" s="121"/>
    </row>
    <row r="966" spans="1:31" x14ac:dyDescent="0.25">
      <c r="A966" s="57" t="s">
        <v>1101</v>
      </c>
      <c r="B966" s="7">
        <v>0.52083333333333337</v>
      </c>
      <c r="C966" s="3">
        <f t="shared" si="160"/>
        <v>4.5000000000000018</v>
      </c>
      <c r="D966" s="10" t="s">
        <v>1100</v>
      </c>
      <c r="E966" s="40">
        <v>0</v>
      </c>
      <c r="F966" s="40">
        <v>2.5</v>
      </c>
      <c r="G966" s="40">
        <v>2</v>
      </c>
      <c r="H966" s="3">
        <f t="shared" si="165"/>
        <v>0</v>
      </c>
      <c r="I966" s="3">
        <f t="shared" si="166"/>
        <v>0.46875000000000022</v>
      </c>
      <c r="J966" s="3">
        <f t="shared" si="167"/>
        <v>0.37500000000000011</v>
      </c>
      <c r="K966" s="3"/>
      <c r="L966" s="60">
        <f t="shared" si="161"/>
        <v>363.93152777777766</v>
      </c>
      <c r="M966" s="40">
        <v>0</v>
      </c>
      <c r="N966" s="40">
        <v>0</v>
      </c>
      <c r="O966" s="40">
        <v>0</v>
      </c>
      <c r="P966" s="40">
        <v>0</v>
      </c>
      <c r="Q966" s="40">
        <v>0.5</v>
      </c>
      <c r="R966" s="40">
        <v>0</v>
      </c>
      <c r="S966" s="61">
        <f t="shared" si="162"/>
        <v>108.19999999999999</v>
      </c>
      <c r="T966" s="40">
        <v>0</v>
      </c>
      <c r="U966" s="40">
        <v>0</v>
      </c>
      <c r="V966" s="40">
        <v>0</v>
      </c>
      <c r="W966" s="40">
        <v>0</v>
      </c>
      <c r="X966" s="67">
        <f t="shared" si="163"/>
        <v>188</v>
      </c>
      <c r="Z966" s="71"/>
      <c r="AA966" s="71"/>
      <c r="AB966" s="67" t="str">
        <f t="shared" si="164"/>
        <v/>
      </c>
      <c r="AD966" s="121"/>
      <c r="AE966" s="121"/>
    </row>
    <row r="967" spans="1:31" x14ac:dyDescent="0.25">
      <c r="A967" s="57" t="s">
        <v>1101</v>
      </c>
      <c r="B967" s="7">
        <v>0.84166666666666667</v>
      </c>
      <c r="C967" s="3">
        <f t="shared" si="160"/>
        <v>7.6999999999999993</v>
      </c>
      <c r="D967" s="10" t="s">
        <v>1095</v>
      </c>
      <c r="E967" s="40">
        <v>0</v>
      </c>
      <c r="F967" s="40">
        <v>2.5</v>
      </c>
      <c r="G967" s="40">
        <v>2</v>
      </c>
      <c r="H967" s="3">
        <f t="shared" si="165"/>
        <v>0</v>
      </c>
      <c r="I967" s="3">
        <f t="shared" si="166"/>
        <v>0.80208333333333326</v>
      </c>
      <c r="J967" s="3">
        <f t="shared" si="167"/>
        <v>0.64166666666666661</v>
      </c>
      <c r="K967" s="3"/>
      <c r="L967" s="60">
        <f t="shared" si="161"/>
        <v>362.48777777777764</v>
      </c>
      <c r="M967" s="40">
        <v>0</v>
      </c>
      <c r="N967" s="40">
        <v>0</v>
      </c>
      <c r="O967" s="40">
        <v>0</v>
      </c>
      <c r="P967" s="40">
        <v>0</v>
      </c>
      <c r="Q967" s="40">
        <v>1.9</v>
      </c>
      <c r="R967" s="40">
        <v>0</v>
      </c>
      <c r="S967" s="61">
        <f t="shared" si="162"/>
        <v>106.29999999999998</v>
      </c>
      <c r="T967" s="40">
        <v>0</v>
      </c>
      <c r="U967" s="40">
        <v>0</v>
      </c>
      <c r="V967" s="40">
        <v>1</v>
      </c>
      <c r="W967" s="40">
        <v>0</v>
      </c>
      <c r="X967" s="67">
        <f t="shared" si="163"/>
        <v>187</v>
      </c>
      <c r="Z967" s="71"/>
      <c r="AA967" s="71"/>
      <c r="AB967" s="67" t="str">
        <f t="shared" si="164"/>
        <v/>
      </c>
      <c r="AD967" s="121"/>
      <c r="AE967" s="121"/>
    </row>
    <row r="968" spans="1:31" x14ac:dyDescent="0.25">
      <c r="A968" s="57" t="s">
        <v>1101</v>
      </c>
      <c r="B968" s="7">
        <v>0.95000000000000007</v>
      </c>
      <c r="C968" s="3">
        <f t="shared" si="160"/>
        <v>2.6000000000000014</v>
      </c>
      <c r="D968" s="10" t="s">
        <v>1011</v>
      </c>
      <c r="E968" s="40">
        <v>0</v>
      </c>
      <c r="F968" s="40">
        <v>2.5</v>
      </c>
      <c r="G968" s="40">
        <v>2</v>
      </c>
      <c r="H968" s="3">
        <f t="shared" si="165"/>
        <v>0</v>
      </c>
      <c r="I968" s="3">
        <f t="shared" si="166"/>
        <v>0.27083333333333348</v>
      </c>
      <c r="J968" s="3">
        <f t="shared" si="167"/>
        <v>0.21666666666666679</v>
      </c>
      <c r="K968" s="3"/>
      <c r="L968" s="60">
        <f t="shared" si="161"/>
        <v>362.00027777777763</v>
      </c>
      <c r="M968" s="40">
        <v>0</v>
      </c>
      <c r="N968" s="40">
        <v>0</v>
      </c>
      <c r="O968" s="40">
        <v>0</v>
      </c>
      <c r="P968" s="40">
        <v>0</v>
      </c>
      <c r="Q968" s="40">
        <v>0</v>
      </c>
      <c r="R968" s="40">
        <v>0</v>
      </c>
      <c r="S968" s="61">
        <f t="shared" si="162"/>
        <v>106.29999999999998</v>
      </c>
      <c r="T968" s="40">
        <v>0</v>
      </c>
      <c r="U968" s="40">
        <v>0</v>
      </c>
      <c r="V968" s="40">
        <v>0</v>
      </c>
      <c r="W968" s="40">
        <v>0</v>
      </c>
      <c r="X968" s="67">
        <f t="shared" si="163"/>
        <v>187</v>
      </c>
      <c r="Z968" s="71"/>
      <c r="AA968" s="71"/>
      <c r="AB968" s="67" t="str">
        <f t="shared" si="164"/>
        <v/>
      </c>
      <c r="AD968" s="121"/>
      <c r="AE968" s="121"/>
    </row>
    <row r="969" spans="1:31" x14ac:dyDescent="0.25">
      <c r="A969" s="57" t="s">
        <v>1101</v>
      </c>
      <c r="B969" s="7">
        <v>0.97916666666666663</v>
      </c>
      <c r="C969" s="3">
        <f t="shared" si="160"/>
        <v>0.69999999999999751</v>
      </c>
      <c r="D969" s="10" t="s">
        <v>1026</v>
      </c>
      <c r="E969" s="40">
        <v>5</v>
      </c>
      <c r="F969" s="40">
        <v>2.5</v>
      </c>
      <c r="G969" s="40">
        <v>2</v>
      </c>
      <c r="H969" s="3">
        <f t="shared" si="165"/>
        <v>0.14583333333333282</v>
      </c>
      <c r="I969" s="3">
        <f t="shared" si="166"/>
        <v>7.2916666666666408E-2</v>
      </c>
      <c r="J969" s="3">
        <f t="shared" si="167"/>
        <v>5.8333333333333126E-2</v>
      </c>
      <c r="K969" s="3"/>
      <c r="L969" s="60">
        <f t="shared" si="161"/>
        <v>361.72319444444429</v>
      </c>
      <c r="M969" s="40">
        <v>0</v>
      </c>
      <c r="N969" s="40">
        <v>0</v>
      </c>
      <c r="O969" s="40">
        <v>0</v>
      </c>
      <c r="P969" s="40">
        <v>0</v>
      </c>
      <c r="Q969" s="40">
        <v>0</v>
      </c>
      <c r="R969" s="40">
        <v>0</v>
      </c>
      <c r="S969" s="61">
        <f t="shared" si="162"/>
        <v>106.29999999999998</v>
      </c>
      <c r="T969" s="40">
        <v>0</v>
      </c>
      <c r="U969" s="40">
        <v>0</v>
      </c>
      <c r="V969" s="40">
        <v>0</v>
      </c>
      <c r="W969" s="40">
        <v>0</v>
      </c>
      <c r="X969" s="67">
        <f t="shared" si="163"/>
        <v>187</v>
      </c>
      <c r="Z969" s="71"/>
      <c r="AA969" s="71"/>
      <c r="AB969" s="67" t="str">
        <f t="shared" si="164"/>
        <v/>
      </c>
      <c r="AD969" s="121"/>
      <c r="AE969" s="121"/>
    </row>
    <row r="970" spans="1:31" x14ac:dyDescent="0.25">
      <c r="A970" s="57" t="s">
        <v>1102</v>
      </c>
      <c r="B970" s="65">
        <v>0.33333333333333331</v>
      </c>
      <c r="C970" s="3">
        <f t="shared" si="160"/>
        <v>8.5000000000000018</v>
      </c>
      <c r="D970" s="10" t="s">
        <v>355</v>
      </c>
      <c r="E970" s="40">
        <v>22</v>
      </c>
      <c r="F970" s="40">
        <v>2.5</v>
      </c>
      <c r="G970" s="40">
        <v>0</v>
      </c>
      <c r="H970" s="3">
        <f t="shared" si="165"/>
        <v>7.7916666666666679</v>
      </c>
      <c r="I970" s="3">
        <f t="shared" si="166"/>
        <v>0.88541666666666685</v>
      </c>
      <c r="J970" s="3">
        <f t="shared" si="167"/>
        <v>0</v>
      </c>
      <c r="K970" s="3"/>
      <c r="L970" s="60">
        <f t="shared" si="161"/>
        <v>353.04611111111097</v>
      </c>
      <c r="M970" s="40">
        <v>0</v>
      </c>
      <c r="N970" s="40">
        <v>0</v>
      </c>
      <c r="O970" s="40">
        <v>0</v>
      </c>
      <c r="P970" s="40">
        <v>0</v>
      </c>
      <c r="Q970" s="40">
        <v>0</v>
      </c>
      <c r="R970" s="40">
        <v>0</v>
      </c>
      <c r="S970" s="61">
        <f t="shared" si="162"/>
        <v>106.29999999999998</v>
      </c>
      <c r="T970" s="40">
        <v>0</v>
      </c>
      <c r="U970" s="40">
        <v>0</v>
      </c>
      <c r="V970" s="40">
        <v>5</v>
      </c>
      <c r="W970" s="40">
        <v>0</v>
      </c>
      <c r="X970" s="67">
        <f t="shared" si="163"/>
        <v>182</v>
      </c>
      <c r="Z970" s="71"/>
      <c r="AA970" s="71"/>
      <c r="AB970" s="67" t="str">
        <f t="shared" si="164"/>
        <v/>
      </c>
      <c r="AD970" s="121"/>
      <c r="AE970" s="121"/>
    </row>
    <row r="971" spans="1:31" x14ac:dyDescent="0.25">
      <c r="A971" s="57" t="s">
        <v>1102</v>
      </c>
      <c r="B971" s="7">
        <v>0.70000000000000007</v>
      </c>
      <c r="C971" s="3">
        <f t="shared" si="160"/>
        <v>8.8000000000000025</v>
      </c>
      <c r="D971" s="10" t="s">
        <v>201</v>
      </c>
      <c r="E971" s="40">
        <v>22</v>
      </c>
      <c r="F971" s="40">
        <v>2.5</v>
      </c>
      <c r="G971" s="40">
        <v>0</v>
      </c>
      <c r="H971" s="3">
        <f t="shared" si="165"/>
        <v>8.0666666666666682</v>
      </c>
      <c r="I971" s="3">
        <f t="shared" si="166"/>
        <v>0.91666666666666696</v>
      </c>
      <c r="J971" s="3">
        <f t="shared" si="167"/>
        <v>0</v>
      </c>
      <c r="K971" s="3"/>
      <c r="L971" s="60">
        <f t="shared" si="161"/>
        <v>344.06277777777763</v>
      </c>
      <c r="M971" s="40">
        <v>0</v>
      </c>
      <c r="N971" s="40">
        <v>0</v>
      </c>
      <c r="O971" s="40">
        <v>0</v>
      </c>
      <c r="P971" s="40">
        <v>0</v>
      </c>
      <c r="Q971" s="40">
        <v>0</v>
      </c>
      <c r="R971" s="40">
        <v>0</v>
      </c>
      <c r="S971" s="61">
        <f t="shared" si="162"/>
        <v>106.29999999999998</v>
      </c>
      <c r="T971" s="40">
        <v>0</v>
      </c>
      <c r="U971" s="40">
        <v>0</v>
      </c>
      <c r="V971" s="40">
        <v>2</v>
      </c>
      <c r="W971" s="40">
        <v>0</v>
      </c>
      <c r="X971" s="67">
        <f t="shared" si="163"/>
        <v>180</v>
      </c>
      <c r="Z971" s="71"/>
      <c r="AA971" s="71"/>
      <c r="AB971" s="67" t="str">
        <f t="shared" si="164"/>
        <v/>
      </c>
      <c r="AD971" s="121">
        <v>12.3</v>
      </c>
      <c r="AE971" s="121" t="s">
        <v>1296</v>
      </c>
    </row>
    <row r="972" spans="1:31" x14ac:dyDescent="0.25">
      <c r="A972" s="57" t="s">
        <v>1102</v>
      </c>
      <c r="B972" s="7">
        <v>0.72083333333333333</v>
      </c>
      <c r="C972" s="3">
        <f t="shared" si="160"/>
        <v>0.49999999999999822</v>
      </c>
      <c r="D972" s="10" t="s">
        <v>616</v>
      </c>
      <c r="E972" s="40">
        <v>5</v>
      </c>
      <c r="F972" s="40">
        <v>2.5</v>
      </c>
      <c r="G972" s="40">
        <v>2</v>
      </c>
      <c r="H972" s="3">
        <f t="shared" si="165"/>
        <v>0.1041666666666663</v>
      </c>
      <c r="I972" s="3">
        <f t="shared" si="166"/>
        <v>5.2083333333333148E-2</v>
      </c>
      <c r="J972" s="3">
        <f t="shared" si="167"/>
        <v>4.1666666666666519E-2</v>
      </c>
      <c r="K972" s="3"/>
      <c r="L972" s="60">
        <f t="shared" si="161"/>
        <v>343.86486111111094</v>
      </c>
      <c r="M972" s="40">
        <v>0</v>
      </c>
      <c r="N972" s="40">
        <v>0</v>
      </c>
      <c r="O972" s="40">
        <v>0</v>
      </c>
      <c r="P972" s="40">
        <v>0</v>
      </c>
      <c r="Q972" s="40">
        <v>0</v>
      </c>
      <c r="R972" s="40">
        <v>0</v>
      </c>
      <c r="S972" s="61">
        <f t="shared" si="162"/>
        <v>106.29999999999998</v>
      </c>
      <c r="T972" s="40">
        <v>0</v>
      </c>
      <c r="U972" s="40">
        <v>0</v>
      </c>
      <c r="V972" s="40">
        <v>0</v>
      </c>
      <c r="W972" s="40">
        <v>0</v>
      </c>
      <c r="X972" s="67">
        <f t="shared" si="163"/>
        <v>180</v>
      </c>
      <c r="Z972" s="71"/>
      <c r="AA972" s="71"/>
      <c r="AB972" s="67" t="str">
        <f t="shared" si="164"/>
        <v/>
      </c>
      <c r="AD972" s="121"/>
      <c r="AE972" s="121"/>
    </row>
    <row r="973" spans="1:31" x14ac:dyDescent="0.25">
      <c r="A973" s="57" t="s">
        <v>1102</v>
      </c>
      <c r="B973" s="7">
        <v>0.79166666666666663</v>
      </c>
      <c r="C973" s="3">
        <f t="shared" si="160"/>
        <v>1.6999999999999993</v>
      </c>
      <c r="D973" s="10" t="s">
        <v>1011</v>
      </c>
      <c r="E973" s="40">
        <v>0</v>
      </c>
      <c r="F973" s="40">
        <v>2.5</v>
      </c>
      <c r="G973" s="40">
        <v>2</v>
      </c>
      <c r="H973" s="3">
        <f t="shared" si="165"/>
        <v>0</v>
      </c>
      <c r="I973" s="3">
        <f t="shared" si="166"/>
        <v>0.17708333333333326</v>
      </c>
      <c r="J973" s="3">
        <f t="shared" si="167"/>
        <v>0.14166666666666661</v>
      </c>
      <c r="K973" s="3"/>
      <c r="L973" s="60">
        <f t="shared" si="161"/>
        <v>343.54611111111092</v>
      </c>
      <c r="M973" s="40">
        <v>0</v>
      </c>
      <c r="N973" s="40">
        <v>0</v>
      </c>
      <c r="O973" s="40">
        <v>0</v>
      </c>
      <c r="P973" s="40">
        <v>0</v>
      </c>
      <c r="Q973" s="40">
        <v>0</v>
      </c>
      <c r="R973" s="40">
        <v>0</v>
      </c>
      <c r="S973" s="61">
        <f t="shared" si="162"/>
        <v>106.29999999999998</v>
      </c>
      <c r="T973" s="40">
        <v>0</v>
      </c>
      <c r="U973" s="40">
        <v>0</v>
      </c>
      <c r="V973" s="40">
        <v>0</v>
      </c>
      <c r="W973" s="40">
        <v>0</v>
      </c>
      <c r="X973" s="67">
        <f t="shared" si="163"/>
        <v>180</v>
      </c>
      <c r="Z973" s="71"/>
      <c r="AA973" s="71"/>
      <c r="AB973" s="67" t="str">
        <f t="shared" si="164"/>
        <v/>
      </c>
      <c r="AD973" s="121"/>
      <c r="AE973" s="121"/>
    </row>
    <row r="974" spans="1:31" x14ac:dyDescent="0.25">
      <c r="A974" s="57" t="s">
        <v>1102</v>
      </c>
      <c r="B974" s="7">
        <v>0.79999999999999993</v>
      </c>
      <c r="C974" s="3">
        <f t="shared" si="160"/>
        <v>0.19999999999999929</v>
      </c>
      <c r="D974" s="10" t="s">
        <v>1026</v>
      </c>
      <c r="E974" s="40">
        <v>4</v>
      </c>
      <c r="F974" s="40">
        <v>2.5</v>
      </c>
      <c r="G974" s="40">
        <v>2</v>
      </c>
      <c r="H974" s="3">
        <f t="shared" si="165"/>
        <v>3.3333333333333215E-2</v>
      </c>
      <c r="I974" s="3">
        <f t="shared" si="166"/>
        <v>2.0833333333333259E-2</v>
      </c>
      <c r="J974" s="3">
        <f t="shared" si="167"/>
        <v>1.6666666666666607E-2</v>
      </c>
      <c r="K974" s="3"/>
      <c r="L974" s="60">
        <f t="shared" si="161"/>
        <v>343.47527777777759</v>
      </c>
      <c r="M974" s="40">
        <v>0</v>
      </c>
      <c r="N974" s="40">
        <v>0</v>
      </c>
      <c r="O974" s="40">
        <v>0</v>
      </c>
      <c r="P974" s="40">
        <v>0</v>
      </c>
      <c r="Q974" s="40">
        <v>0</v>
      </c>
      <c r="R974" s="40">
        <v>0</v>
      </c>
      <c r="S974" s="61">
        <f t="shared" si="162"/>
        <v>106.29999999999998</v>
      </c>
      <c r="T974" s="40">
        <v>0</v>
      </c>
      <c r="U974" s="40">
        <v>0</v>
      </c>
      <c r="V974" s="40">
        <v>0</v>
      </c>
      <c r="W974" s="40">
        <v>0</v>
      </c>
      <c r="X974" s="67">
        <f t="shared" si="163"/>
        <v>180</v>
      </c>
      <c r="Z974" s="71"/>
      <c r="AA974" s="71"/>
      <c r="AB974" s="67" t="str">
        <f t="shared" si="164"/>
        <v/>
      </c>
      <c r="AD974" s="121"/>
      <c r="AE974" s="121"/>
    </row>
    <row r="975" spans="1:31" x14ac:dyDescent="0.25">
      <c r="A975" s="57" t="s">
        <v>1102</v>
      </c>
      <c r="B975" s="7">
        <v>0.8208333333333333</v>
      </c>
      <c r="C975" s="3">
        <f t="shared" si="160"/>
        <v>0.50000000000000089</v>
      </c>
      <c r="D975" s="10" t="s">
        <v>201</v>
      </c>
      <c r="E975" s="40">
        <v>5</v>
      </c>
      <c r="F975" s="40">
        <v>2.5</v>
      </c>
      <c r="G975" s="40">
        <v>2</v>
      </c>
      <c r="H975" s="3">
        <f t="shared" si="165"/>
        <v>0.10416666666666685</v>
      </c>
      <c r="I975" s="3">
        <f t="shared" si="166"/>
        <v>5.2083333333333426E-2</v>
      </c>
      <c r="J975" s="3">
        <f t="shared" si="167"/>
        <v>4.1666666666666741E-2</v>
      </c>
      <c r="K975" s="3"/>
      <c r="L975" s="60">
        <f t="shared" si="161"/>
        <v>343.27736111111091</v>
      </c>
      <c r="M975" s="40">
        <v>0</v>
      </c>
      <c r="N975" s="40">
        <v>0</v>
      </c>
      <c r="O975" s="40">
        <v>0</v>
      </c>
      <c r="P975" s="40">
        <v>0</v>
      </c>
      <c r="Q975" s="40">
        <v>0</v>
      </c>
      <c r="R975" s="40">
        <v>0</v>
      </c>
      <c r="S975" s="61">
        <f t="shared" si="162"/>
        <v>106.29999999999998</v>
      </c>
      <c r="T975" s="40">
        <v>0</v>
      </c>
      <c r="U975" s="40">
        <v>0</v>
      </c>
      <c r="V975" s="40">
        <v>0</v>
      </c>
      <c r="W975" s="40">
        <v>0</v>
      </c>
      <c r="X975" s="67">
        <f t="shared" si="163"/>
        <v>180</v>
      </c>
      <c r="Z975" s="71"/>
      <c r="AA975" s="71"/>
      <c r="AB975" s="67" t="str">
        <f t="shared" si="164"/>
        <v/>
      </c>
      <c r="AD975" s="121"/>
      <c r="AE975" s="121"/>
    </row>
    <row r="976" spans="1:31" x14ac:dyDescent="0.25">
      <c r="A976" s="57" t="s">
        <v>1102</v>
      </c>
      <c r="B976" s="7">
        <v>0.90833333333333333</v>
      </c>
      <c r="C976" s="3">
        <f t="shared" si="160"/>
        <v>2.1000000000000005</v>
      </c>
      <c r="D976" s="10" t="s">
        <v>616</v>
      </c>
      <c r="E976" s="40">
        <v>2</v>
      </c>
      <c r="F976" s="40">
        <v>2.5</v>
      </c>
      <c r="G976" s="40">
        <v>2</v>
      </c>
      <c r="H976" s="3">
        <f t="shared" si="165"/>
        <v>0.17500000000000004</v>
      </c>
      <c r="I976" s="3">
        <f t="shared" si="166"/>
        <v>0.21875000000000006</v>
      </c>
      <c r="J976" s="3">
        <f t="shared" si="167"/>
        <v>0.17500000000000004</v>
      </c>
      <c r="K976" s="3"/>
      <c r="L976" s="60">
        <f t="shared" si="161"/>
        <v>342.70861111111088</v>
      </c>
      <c r="M976" s="40">
        <v>0</v>
      </c>
      <c r="N976" s="40">
        <v>0</v>
      </c>
      <c r="O976" s="40">
        <v>0</v>
      </c>
      <c r="P976" s="40">
        <v>0</v>
      </c>
      <c r="Q976" s="40">
        <v>0</v>
      </c>
      <c r="R976" s="40">
        <v>0</v>
      </c>
      <c r="S976" s="61">
        <f t="shared" si="162"/>
        <v>106.29999999999998</v>
      </c>
      <c r="T976" s="40">
        <v>0</v>
      </c>
      <c r="U976" s="40">
        <v>0</v>
      </c>
      <c r="V976" s="40">
        <v>0</v>
      </c>
      <c r="W976" s="40">
        <v>0</v>
      </c>
      <c r="X976" s="67">
        <f t="shared" si="163"/>
        <v>180</v>
      </c>
      <c r="Z976" s="71"/>
      <c r="AA976" s="71"/>
      <c r="AB976" s="67" t="str">
        <f t="shared" si="164"/>
        <v/>
      </c>
      <c r="AD976" s="121"/>
      <c r="AE976" s="121"/>
    </row>
    <row r="977" spans="1:31" x14ac:dyDescent="0.25">
      <c r="A977" s="57" t="s">
        <v>1103</v>
      </c>
      <c r="B977" s="7">
        <v>0.12916666666666668</v>
      </c>
      <c r="C977" s="3">
        <f t="shared" si="160"/>
        <v>5.3000000000000007</v>
      </c>
      <c r="D977" s="10" t="s">
        <v>1049</v>
      </c>
      <c r="E977" s="40">
        <v>0</v>
      </c>
      <c r="F977" s="40">
        <v>2.5</v>
      </c>
      <c r="G977" s="40">
        <v>2</v>
      </c>
      <c r="H977" s="3">
        <f t="shared" si="165"/>
        <v>0</v>
      </c>
      <c r="I977" s="3">
        <f t="shared" si="166"/>
        <v>0.55208333333333348</v>
      </c>
      <c r="J977" s="3">
        <f t="shared" si="167"/>
        <v>0.44166666666666671</v>
      </c>
      <c r="K977" s="3"/>
      <c r="L977" s="60">
        <f t="shared" si="161"/>
        <v>341.71486111111091</v>
      </c>
      <c r="M977" s="40">
        <v>0</v>
      </c>
      <c r="N977" s="40">
        <v>0</v>
      </c>
      <c r="O977" s="40">
        <v>0</v>
      </c>
      <c r="P977" s="40">
        <v>0</v>
      </c>
      <c r="Q977" s="40">
        <v>0</v>
      </c>
      <c r="R977" s="40">
        <v>0</v>
      </c>
      <c r="S977" s="61">
        <f t="shared" si="162"/>
        <v>106.29999999999998</v>
      </c>
      <c r="T977" s="40">
        <v>0</v>
      </c>
      <c r="U977" s="40">
        <v>0</v>
      </c>
      <c r="V977" s="40">
        <v>0</v>
      </c>
      <c r="W977" s="40">
        <v>0</v>
      </c>
      <c r="X977" s="67">
        <f t="shared" si="163"/>
        <v>180</v>
      </c>
      <c r="Z977" s="71"/>
      <c r="AA977" s="71"/>
      <c r="AB977" s="67" t="str">
        <f t="shared" si="164"/>
        <v/>
      </c>
      <c r="AD977" s="121"/>
      <c r="AE977" s="121"/>
    </row>
    <row r="978" spans="1:31" x14ac:dyDescent="0.25">
      <c r="A978" s="57" t="s">
        <v>1103</v>
      </c>
      <c r="B978" s="65">
        <v>0.33333333333333331</v>
      </c>
      <c r="C978" s="3">
        <f t="shared" si="160"/>
        <v>4.8999999999999995</v>
      </c>
      <c r="D978" s="10" t="s">
        <v>1051</v>
      </c>
      <c r="E978" s="40">
        <v>0</v>
      </c>
      <c r="F978" s="40">
        <v>2.5</v>
      </c>
      <c r="G978" s="40">
        <v>2</v>
      </c>
      <c r="H978" s="3">
        <f t="shared" si="165"/>
        <v>0</v>
      </c>
      <c r="I978" s="3">
        <f t="shared" si="166"/>
        <v>0.51041666666666663</v>
      </c>
      <c r="J978" s="3">
        <f t="shared" si="167"/>
        <v>0.40833333333333327</v>
      </c>
      <c r="K978" s="3"/>
      <c r="L978" s="60">
        <f t="shared" si="161"/>
        <v>340.79611111111092</v>
      </c>
      <c r="M978" s="40">
        <v>0</v>
      </c>
      <c r="N978" s="40">
        <v>0</v>
      </c>
      <c r="O978" s="40">
        <v>0</v>
      </c>
      <c r="P978" s="40">
        <v>0</v>
      </c>
      <c r="Q978" s="40">
        <v>0</v>
      </c>
      <c r="R978" s="40">
        <v>0</v>
      </c>
      <c r="S978" s="61">
        <f t="shared" si="162"/>
        <v>106.29999999999998</v>
      </c>
      <c r="T978" s="40">
        <v>0</v>
      </c>
      <c r="U978" s="40">
        <v>0</v>
      </c>
      <c r="V978" s="40">
        <v>4</v>
      </c>
      <c r="W978" s="40">
        <v>0</v>
      </c>
      <c r="X978" s="67">
        <f t="shared" si="163"/>
        <v>176</v>
      </c>
      <c r="Z978" s="71"/>
      <c r="AA978" s="71"/>
      <c r="AB978" s="67" t="str">
        <f t="shared" si="164"/>
        <v/>
      </c>
      <c r="AD978" s="121"/>
      <c r="AE978" s="121"/>
    </row>
    <row r="979" spans="1:31" x14ac:dyDescent="0.25">
      <c r="A979" s="57" t="s">
        <v>1103</v>
      </c>
      <c r="B979" s="7">
        <v>0.97083333333333333</v>
      </c>
      <c r="C979" s="3">
        <f t="shared" si="160"/>
        <v>15.299999999999999</v>
      </c>
      <c r="D979" s="10" t="s">
        <v>1090</v>
      </c>
      <c r="E979" s="40">
        <v>0</v>
      </c>
      <c r="F979" s="40">
        <v>2.5</v>
      </c>
      <c r="G979" s="40">
        <v>2</v>
      </c>
      <c r="H979" s="3">
        <f t="shared" si="165"/>
        <v>0</v>
      </c>
      <c r="I979" s="3">
        <f t="shared" si="166"/>
        <v>1.59375</v>
      </c>
      <c r="J979" s="3">
        <f t="shared" si="167"/>
        <v>1.2749999999999999</v>
      </c>
      <c r="K979" s="3"/>
      <c r="L979" s="60">
        <f t="shared" si="161"/>
        <v>337.92736111111094</v>
      </c>
      <c r="M979" s="40">
        <v>0</v>
      </c>
      <c r="N979" s="40">
        <v>0</v>
      </c>
      <c r="O979" s="40">
        <v>0</v>
      </c>
      <c r="P979" s="40">
        <v>0</v>
      </c>
      <c r="Q979" s="40">
        <v>0</v>
      </c>
      <c r="R979" s="40">
        <v>0</v>
      </c>
      <c r="S979" s="61">
        <f t="shared" si="162"/>
        <v>106.29999999999998</v>
      </c>
      <c r="T979" s="40">
        <v>0</v>
      </c>
      <c r="U979" s="40">
        <v>0</v>
      </c>
      <c r="V979" s="40">
        <v>3</v>
      </c>
      <c r="W979" s="40">
        <v>0</v>
      </c>
      <c r="X979" s="67">
        <f t="shared" si="163"/>
        <v>173</v>
      </c>
      <c r="Z979" s="71"/>
      <c r="AA979" s="71"/>
      <c r="AB979" s="67" t="str">
        <f t="shared" si="164"/>
        <v/>
      </c>
      <c r="AD979" s="121"/>
      <c r="AE979" s="121"/>
    </row>
    <row r="980" spans="1:31" x14ac:dyDescent="0.25">
      <c r="A980" s="57" t="s">
        <v>1104</v>
      </c>
      <c r="B980" s="7">
        <v>0.19583333333333333</v>
      </c>
      <c r="C980" s="3">
        <f t="shared" si="160"/>
        <v>5.3999999999999986</v>
      </c>
      <c r="D980" s="10" t="s">
        <v>1011</v>
      </c>
      <c r="E980" s="40">
        <v>0</v>
      </c>
      <c r="F980" s="40">
        <v>2.5</v>
      </c>
      <c r="G980" s="40">
        <v>2</v>
      </c>
      <c r="H980" s="3">
        <f t="shared" si="165"/>
        <v>0</v>
      </c>
      <c r="I980" s="3">
        <f t="shared" si="166"/>
        <v>0.56249999999999989</v>
      </c>
      <c r="J980" s="3">
        <f t="shared" si="167"/>
        <v>0.44999999999999984</v>
      </c>
      <c r="K980" s="3"/>
      <c r="L980" s="60">
        <f t="shared" si="161"/>
        <v>336.91486111111095</v>
      </c>
      <c r="M980" s="40">
        <v>0</v>
      </c>
      <c r="N980" s="40">
        <v>0</v>
      </c>
      <c r="O980" s="40">
        <v>0</v>
      </c>
      <c r="P980" s="40">
        <v>0</v>
      </c>
      <c r="Q980" s="40">
        <v>0</v>
      </c>
      <c r="R980" s="40">
        <v>0</v>
      </c>
      <c r="S980" s="61">
        <f t="shared" si="162"/>
        <v>106.29999999999998</v>
      </c>
      <c r="T980" s="40">
        <v>0</v>
      </c>
      <c r="U980" s="40">
        <v>0</v>
      </c>
      <c r="V980" s="40">
        <v>0</v>
      </c>
      <c r="W980" s="40">
        <v>0</v>
      </c>
      <c r="X980" s="67">
        <f t="shared" si="163"/>
        <v>173</v>
      </c>
      <c r="Z980" s="71"/>
      <c r="AA980" s="71"/>
      <c r="AB980" s="67" t="str">
        <f t="shared" si="164"/>
        <v/>
      </c>
      <c r="AD980" s="121"/>
      <c r="AE980" s="121"/>
    </row>
    <row r="981" spans="1:31" x14ac:dyDescent="0.25">
      <c r="A981" s="57" t="s">
        <v>1104</v>
      </c>
      <c r="B981" s="7">
        <v>0.22916666666666666</v>
      </c>
      <c r="C981" s="3">
        <f t="shared" si="160"/>
        <v>0.79999999999999982</v>
      </c>
      <c r="D981" s="10" t="s">
        <v>1026</v>
      </c>
      <c r="E981" s="40">
        <v>5</v>
      </c>
      <c r="F981" s="40">
        <v>2.5</v>
      </c>
      <c r="G981" s="40">
        <v>2</v>
      </c>
      <c r="H981" s="3">
        <f t="shared" si="165"/>
        <v>0.16666666666666663</v>
      </c>
      <c r="I981" s="3">
        <f t="shared" si="166"/>
        <v>8.3333333333333315E-2</v>
      </c>
      <c r="J981" s="3">
        <f t="shared" si="167"/>
        <v>6.6666666666666652E-2</v>
      </c>
      <c r="K981" s="3"/>
      <c r="L981" s="60">
        <f t="shared" si="161"/>
        <v>336.59819444444429</v>
      </c>
      <c r="M981" s="40">
        <v>0</v>
      </c>
      <c r="N981" s="40">
        <v>0</v>
      </c>
      <c r="O981" s="40">
        <v>0</v>
      </c>
      <c r="P981" s="40">
        <v>0</v>
      </c>
      <c r="Q981" s="40">
        <v>0</v>
      </c>
      <c r="R981" s="40">
        <v>0</v>
      </c>
      <c r="S981" s="61">
        <f t="shared" si="162"/>
        <v>106.29999999999998</v>
      </c>
      <c r="T981" s="40">
        <v>0</v>
      </c>
      <c r="U981" s="40">
        <v>0</v>
      </c>
      <c r="V981" s="40">
        <v>2</v>
      </c>
      <c r="W981" s="40">
        <v>0</v>
      </c>
      <c r="X981" s="67">
        <f t="shared" si="163"/>
        <v>171</v>
      </c>
      <c r="Z981" s="71"/>
      <c r="AA981" s="71"/>
      <c r="AB981" s="67" t="str">
        <f t="shared" si="164"/>
        <v/>
      </c>
      <c r="AD981" s="121"/>
      <c r="AE981" s="121"/>
    </row>
    <row r="982" spans="1:31" x14ac:dyDescent="0.25">
      <c r="A982" s="57" t="s">
        <v>1104</v>
      </c>
      <c r="B982" s="65">
        <v>0.33333333333333331</v>
      </c>
      <c r="C982" s="3">
        <f t="shared" si="160"/>
        <v>2.5</v>
      </c>
      <c r="D982" s="10" t="s">
        <v>355</v>
      </c>
      <c r="E982" s="40">
        <v>22</v>
      </c>
      <c r="F982" s="40">
        <v>2.5</v>
      </c>
      <c r="G982" s="40">
        <v>0</v>
      </c>
      <c r="H982" s="3">
        <f t="shared" si="165"/>
        <v>2.2916666666666665</v>
      </c>
      <c r="I982" s="3">
        <f t="shared" si="166"/>
        <v>0.26041666666666669</v>
      </c>
      <c r="J982" s="3">
        <f t="shared" si="167"/>
        <v>0</v>
      </c>
      <c r="K982" s="3"/>
      <c r="L982" s="60">
        <f t="shared" si="161"/>
        <v>334.04611111111097</v>
      </c>
      <c r="M982" s="40">
        <v>0</v>
      </c>
      <c r="N982" s="40">
        <v>0</v>
      </c>
      <c r="O982" s="40">
        <v>0</v>
      </c>
      <c r="P982" s="40">
        <v>0</v>
      </c>
      <c r="Q982" s="40">
        <v>0</v>
      </c>
      <c r="R982" s="40">
        <v>0</v>
      </c>
      <c r="S982" s="61">
        <f t="shared" si="162"/>
        <v>106.29999999999998</v>
      </c>
      <c r="T982" s="40">
        <v>0</v>
      </c>
      <c r="U982" s="40">
        <v>0</v>
      </c>
      <c r="V982" s="40">
        <v>1</v>
      </c>
      <c r="W982" s="40">
        <v>0</v>
      </c>
      <c r="X982" s="67">
        <f t="shared" si="163"/>
        <v>170</v>
      </c>
      <c r="Z982" s="71">
        <v>113</v>
      </c>
      <c r="AA982" s="71">
        <v>29</v>
      </c>
      <c r="AB982" s="67">
        <f t="shared" si="164"/>
        <v>142</v>
      </c>
      <c r="AD982" s="121"/>
      <c r="AE982" s="121"/>
    </row>
    <row r="983" spans="1:31" x14ac:dyDescent="0.25">
      <c r="A983" s="57" t="s">
        <v>1105</v>
      </c>
      <c r="B983" s="7">
        <v>0.14583333333333334</v>
      </c>
      <c r="C983" s="3">
        <f t="shared" si="160"/>
        <v>19.5</v>
      </c>
      <c r="D983" s="10" t="s">
        <v>201</v>
      </c>
      <c r="E983" s="40">
        <v>22</v>
      </c>
      <c r="F983" s="40">
        <v>2.5</v>
      </c>
      <c r="G983" s="40">
        <v>0</v>
      </c>
      <c r="H983" s="3">
        <f t="shared" si="165"/>
        <v>17.875</v>
      </c>
      <c r="I983" s="3">
        <f t="shared" si="166"/>
        <v>2.03125</v>
      </c>
      <c r="J983" s="3">
        <f t="shared" si="167"/>
        <v>0</v>
      </c>
      <c r="K983" s="3"/>
      <c r="L983" s="60">
        <f t="shared" si="161"/>
        <v>314.13986111111097</v>
      </c>
      <c r="M983" s="40">
        <v>0</v>
      </c>
      <c r="N983" s="40">
        <v>0</v>
      </c>
      <c r="O983" s="40">
        <v>0</v>
      </c>
      <c r="P983" s="40">
        <v>0</v>
      </c>
      <c r="Q983" s="40">
        <v>0</v>
      </c>
      <c r="R983" s="40">
        <v>0</v>
      </c>
      <c r="S983" s="61">
        <f t="shared" si="162"/>
        <v>106.29999999999998</v>
      </c>
      <c r="T983" s="40">
        <v>0</v>
      </c>
      <c r="U983" s="40">
        <v>0</v>
      </c>
      <c r="V983" s="40">
        <v>5</v>
      </c>
      <c r="W983" s="40">
        <v>0</v>
      </c>
      <c r="X983" s="67">
        <f t="shared" si="163"/>
        <v>165</v>
      </c>
      <c r="Z983" s="71"/>
      <c r="AA983" s="71"/>
      <c r="AB983" s="67" t="str">
        <f t="shared" si="164"/>
        <v/>
      </c>
      <c r="AD983" s="121">
        <v>12</v>
      </c>
      <c r="AE983" s="121" t="s">
        <v>1296</v>
      </c>
    </row>
    <row r="984" spans="1:31" x14ac:dyDescent="0.25">
      <c r="A984" s="57" t="s">
        <v>1105</v>
      </c>
      <c r="B984" s="7">
        <v>0.17916666666666667</v>
      </c>
      <c r="C984" s="3">
        <f t="shared" si="160"/>
        <v>0.79999999999999982</v>
      </c>
      <c r="D984" s="10" t="s">
        <v>616</v>
      </c>
      <c r="E984" s="40">
        <v>5</v>
      </c>
      <c r="F984" s="40">
        <v>2.5</v>
      </c>
      <c r="G984" s="40">
        <v>2</v>
      </c>
      <c r="H984" s="3">
        <f t="shared" si="165"/>
        <v>0.16666666666666663</v>
      </c>
      <c r="I984" s="3">
        <f t="shared" si="166"/>
        <v>8.3333333333333315E-2</v>
      </c>
      <c r="J984" s="3">
        <f t="shared" si="167"/>
        <v>6.6666666666666652E-2</v>
      </c>
      <c r="K984" s="3"/>
      <c r="L984" s="60">
        <f t="shared" si="161"/>
        <v>313.82319444444431</v>
      </c>
      <c r="M984" s="40">
        <v>0</v>
      </c>
      <c r="N984" s="40">
        <v>0</v>
      </c>
      <c r="O984" s="40">
        <v>0</v>
      </c>
      <c r="P984" s="40">
        <v>0</v>
      </c>
      <c r="Q984" s="40">
        <v>0</v>
      </c>
      <c r="R984" s="40">
        <v>0</v>
      </c>
      <c r="S984" s="61">
        <f t="shared" si="162"/>
        <v>106.29999999999998</v>
      </c>
      <c r="T984" s="40">
        <v>0</v>
      </c>
      <c r="U984" s="40">
        <v>0</v>
      </c>
      <c r="V984" s="40">
        <v>1</v>
      </c>
      <c r="W984" s="40">
        <v>0</v>
      </c>
      <c r="X984" s="67">
        <f t="shared" si="163"/>
        <v>164</v>
      </c>
      <c r="Z984" s="71"/>
      <c r="AA984" s="71"/>
      <c r="AB984" s="67" t="str">
        <f t="shared" si="164"/>
        <v/>
      </c>
      <c r="AD984" s="121"/>
      <c r="AE984" s="121"/>
    </row>
    <row r="985" spans="1:31" x14ac:dyDescent="0.25">
      <c r="A985" s="57" t="s">
        <v>1105</v>
      </c>
      <c r="B985" s="7">
        <v>0.29583333333333334</v>
      </c>
      <c r="C985" s="3">
        <f t="shared" si="160"/>
        <v>2.8</v>
      </c>
      <c r="D985" s="10" t="s">
        <v>1011</v>
      </c>
      <c r="E985" s="40">
        <v>0</v>
      </c>
      <c r="F985" s="40">
        <v>2.5</v>
      </c>
      <c r="G985" s="40">
        <v>2</v>
      </c>
      <c r="H985" s="3">
        <f t="shared" si="165"/>
        <v>0</v>
      </c>
      <c r="I985" s="3">
        <f t="shared" si="166"/>
        <v>0.29166666666666669</v>
      </c>
      <c r="J985" s="3">
        <f t="shared" si="167"/>
        <v>0.23333333333333331</v>
      </c>
      <c r="K985" s="3"/>
      <c r="L985" s="60">
        <f t="shared" si="161"/>
        <v>313.29819444444433</v>
      </c>
      <c r="M985" s="40">
        <v>0</v>
      </c>
      <c r="N985" s="40">
        <v>0</v>
      </c>
      <c r="O985" s="40">
        <v>0</v>
      </c>
      <c r="P985" s="40">
        <v>0</v>
      </c>
      <c r="Q985" s="40">
        <v>0</v>
      </c>
      <c r="R985" s="40">
        <v>0</v>
      </c>
      <c r="S985" s="61">
        <f t="shared" si="162"/>
        <v>106.29999999999998</v>
      </c>
      <c r="T985" s="40">
        <v>0</v>
      </c>
      <c r="U985" s="40">
        <v>0</v>
      </c>
      <c r="V985" s="40">
        <v>0</v>
      </c>
      <c r="W985" s="40">
        <v>0</v>
      </c>
      <c r="X985" s="67">
        <f t="shared" si="163"/>
        <v>164</v>
      </c>
      <c r="Z985" s="71"/>
      <c r="AA985" s="71"/>
      <c r="AB985" s="67" t="str">
        <f t="shared" si="164"/>
        <v/>
      </c>
      <c r="AD985" s="121"/>
      <c r="AE985" s="121"/>
    </row>
    <row r="986" spans="1:31" x14ac:dyDescent="0.25">
      <c r="A986" s="57" t="s">
        <v>1105</v>
      </c>
      <c r="B986" s="65">
        <v>0.33333333333333331</v>
      </c>
      <c r="C986" s="3">
        <f t="shared" si="160"/>
        <v>0.89999999999999947</v>
      </c>
      <c r="D986" s="10" t="s">
        <v>1106</v>
      </c>
      <c r="E986" s="40">
        <v>4</v>
      </c>
      <c r="F986" s="40">
        <v>2.5</v>
      </c>
      <c r="G986" s="40">
        <v>2</v>
      </c>
      <c r="H986" s="3">
        <f t="shared" si="165"/>
        <v>0.14999999999999991</v>
      </c>
      <c r="I986" s="3">
        <f t="shared" si="166"/>
        <v>9.3749999999999944E-2</v>
      </c>
      <c r="J986" s="3">
        <f t="shared" si="167"/>
        <v>7.4999999999999956E-2</v>
      </c>
      <c r="K986" s="3"/>
      <c r="L986" s="60">
        <f t="shared" si="161"/>
        <v>312.97944444444431</v>
      </c>
      <c r="M986" s="40">
        <v>0</v>
      </c>
      <c r="N986" s="40">
        <v>0</v>
      </c>
      <c r="O986" s="40">
        <v>0</v>
      </c>
      <c r="P986" s="40">
        <v>0</v>
      </c>
      <c r="Q986" s="40">
        <v>0</v>
      </c>
      <c r="R986" s="40">
        <v>0</v>
      </c>
      <c r="S986" s="61">
        <f t="shared" si="162"/>
        <v>106.29999999999998</v>
      </c>
      <c r="T986" s="40">
        <v>0</v>
      </c>
      <c r="U986" s="40">
        <v>0</v>
      </c>
      <c r="V986" s="40">
        <v>0</v>
      </c>
      <c r="W986" s="40">
        <v>0</v>
      </c>
      <c r="X986" s="67">
        <f t="shared" si="163"/>
        <v>164</v>
      </c>
      <c r="Z986" s="71">
        <v>110</v>
      </c>
      <c r="AA986" s="71">
        <v>37</v>
      </c>
      <c r="AB986" s="67">
        <f t="shared" si="164"/>
        <v>147</v>
      </c>
      <c r="AD986" s="121"/>
      <c r="AE986" s="121"/>
    </row>
    <row r="987" spans="1:31" x14ac:dyDescent="0.25">
      <c r="A987" s="57" t="s">
        <v>1105</v>
      </c>
      <c r="B987" s="7">
        <v>0.35833333333333334</v>
      </c>
      <c r="C987" s="3">
        <f t="shared" si="160"/>
        <v>0.60000000000000053</v>
      </c>
      <c r="D987" s="10" t="s">
        <v>616</v>
      </c>
      <c r="E987" s="40">
        <v>4</v>
      </c>
      <c r="F987" s="40">
        <v>2.5</v>
      </c>
      <c r="G987" s="40">
        <v>2</v>
      </c>
      <c r="H987" s="3">
        <f t="shared" si="165"/>
        <v>0.10000000000000009</v>
      </c>
      <c r="I987" s="3">
        <f t="shared" si="166"/>
        <v>6.2500000000000056E-2</v>
      </c>
      <c r="J987" s="3">
        <f t="shared" si="167"/>
        <v>5.0000000000000044E-2</v>
      </c>
      <c r="K987" s="3"/>
      <c r="L987" s="60">
        <f t="shared" si="161"/>
        <v>312.76694444444433</v>
      </c>
      <c r="M987" s="40">
        <v>0</v>
      </c>
      <c r="N987" s="40">
        <v>0</v>
      </c>
      <c r="O987" s="40">
        <v>0</v>
      </c>
      <c r="P987" s="40">
        <v>0</v>
      </c>
      <c r="Q987" s="40">
        <v>0</v>
      </c>
      <c r="R987" s="40">
        <v>0</v>
      </c>
      <c r="S987" s="61">
        <f t="shared" si="162"/>
        <v>106.29999999999998</v>
      </c>
      <c r="T987" s="40">
        <v>0</v>
      </c>
      <c r="U987" s="40">
        <v>0</v>
      </c>
      <c r="V987" s="40">
        <v>0</v>
      </c>
      <c r="W987" s="40">
        <v>0</v>
      </c>
      <c r="X987" s="67">
        <f t="shared" si="163"/>
        <v>164</v>
      </c>
      <c r="Z987" s="71"/>
      <c r="AA987" s="71"/>
      <c r="AB987" s="67" t="str">
        <f t="shared" si="164"/>
        <v/>
      </c>
      <c r="AD987" s="121"/>
      <c r="AE987" s="121"/>
    </row>
    <row r="988" spans="1:31" x14ac:dyDescent="0.25">
      <c r="A988" s="57" t="s">
        <v>1105</v>
      </c>
      <c r="B988" s="7">
        <v>0.43333333333333335</v>
      </c>
      <c r="C988" s="3">
        <f t="shared" si="160"/>
        <v>1.8000000000000003</v>
      </c>
      <c r="D988" s="10" t="s">
        <v>1100</v>
      </c>
      <c r="E988" s="40">
        <v>0</v>
      </c>
      <c r="F988" s="40">
        <v>2.5</v>
      </c>
      <c r="G988" s="40">
        <v>2</v>
      </c>
      <c r="H988" s="3">
        <f t="shared" si="165"/>
        <v>0</v>
      </c>
      <c r="I988" s="3">
        <f t="shared" si="166"/>
        <v>0.18750000000000003</v>
      </c>
      <c r="J988" s="3">
        <f t="shared" si="167"/>
        <v>0.15000000000000002</v>
      </c>
      <c r="K988" s="3"/>
      <c r="L988" s="60">
        <f t="shared" si="161"/>
        <v>312.42944444444436</v>
      </c>
      <c r="M988" s="40">
        <v>0</v>
      </c>
      <c r="N988" s="40">
        <v>0</v>
      </c>
      <c r="O988" s="40">
        <v>0</v>
      </c>
      <c r="P988" s="40">
        <v>0</v>
      </c>
      <c r="Q988" s="40">
        <v>0.5</v>
      </c>
      <c r="R988" s="40">
        <v>0</v>
      </c>
      <c r="S988" s="61">
        <f t="shared" si="162"/>
        <v>105.79999999999998</v>
      </c>
      <c r="T988" s="40">
        <v>0</v>
      </c>
      <c r="U988" s="40">
        <v>0</v>
      </c>
      <c r="V988" s="40">
        <v>0</v>
      </c>
      <c r="W988" s="40">
        <v>0</v>
      </c>
      <c r="X988" s="67">
        <f t="shared" si="163"/>
        <v>164</v>
      </c>
      <c r="Z988" s="71"/>
      <c r="AA988" s="71"/>
      <c r="AB988" s="67" t="str">
        <f t="shared" si="164"/>
        <v/>
      </c>
      <c r="AD988" s="121"/>
      <c r="AE988" s="121"/>
    </row>
    <row r="989" spans="1:31" x14ac:dyDescent="0.25">
      <c r="A989" s="57" t="s">
        <v>1107</v>
      </c>
      <c r="B989" s="65">
        <v>0.33333333333333331</v>
      </c>
      <c r="C989" s="3">
        <f t="shared" si="160"/>
        <v>21.599999999999998</v>
      </c>
      <c r="D989" s="10" t="s">
        <v>966</v>
      </c>
      <c r="E989" s="40">
        <v>0</v>
      </c>
      <c r="F989" s="40">
        <v>2.5</v>
      </c>
      <c r="G989" s="40">
        <v>2</v>
      </c>
      <c r="H989" s="3">
        <f t="shared" si="165"/>
        <v>0</v>
      </c>
      <c r="I989" s="3">
        <f t="shared" si="166"/>
        <v>2.25</v>
      </c>
      <c r="J989" s="3">
        <f t="shared" si="167"/>
        <v>1.7999999999999998</v>
      </c>
      <c r="K989" s="3"/>
      <c r="L989" s="60">
        <f t="shared" si="161"/>
        <v>308.37944444444435</v>
      </c>
      <c r="M989" s="40">
        <v>0</v>
      </c>
      <c r="N989" s="40">
        <v>0</v>
      </c>
      <c r="O989" s="40">
        <v>0</v>
      </c>
      <c r="P989" s="40">
        <v>0</v>
      </c>
      <c r="Q989" s="40">
        <v>5.4</v>
      </c>
      <c r="R989" s="40">
        <v>0</v>
      </c>
      <c r="S989" s="61">
        <f t="shared" si="162"/>
        <v>100.39999999999998</v>
      </c>
      <c r="T989" s="40">
        <v>0</v>
      </c>
      <c r="U989" s="40">
        <v>0</v>
      </c>
      <c r="V989" s="40">
        <v>6</v>
      </c>
      <c r="W989" s="40">
        <v>0</v>
      </c>
      <c r="X989" s="67">
        <f t="shared" si="163"/>
        <v>158</v>
      </c>
      <c r="Z989" s="71">
        <v>103</v>
      </c>
      <c r="AA989" s="71">
        <v>34</v>
      </c>
      <c r="AB989" s="67">
        <f t="shared" si="164"/>
        <v>137</v>
      </c>
      <c r="AD989" s="121"/>
      <c r="AE989" s="121"/>
    </row>
    <row r="990" spans="1:31" x14ac:dyDescent="0.25">
      <c r="A990" s="57" t="s">
        <v>1107</v>
      </c>
      <c r="B990" s="7">
        <v>0.64583333333333337</v>
      </c>
      <c r="C990" s="3">
        <f t="shared" si="160"/>
        <v>7.5000000000000018</v>
      </c>
      <c r="D990" s="10" t="s">
        <v>1079</v>
      </c>
      <c r="E990" s="40">
        <v>0</v>
      </c>
      <c r="F990" s="40">
        <v>2.5</v>
      </c>
      <c r="G990" s="40">
        <v>2</v>
      </c>
      <c r="H990" s="3">
        <f t="shared" si="165"/>
        <v>0</v>
      </c>
      <c r="I990" s="3">
        <f t="shared" si="166"/>
        <v>0.78125000000000022</v>
      </c>
      <c r="J990" s="3">
        <f t="shared" si="167"/>
        <v>0.62500000000000011</v>
      </c>
      <c r="K990" s="3"/>
      <c r="L990" s="60">
        <f t="shared" si="161"/>
        <v>306.97319444444435</v>
      </c>
      <c r="M990" s="40">
        <v>0</v>
      </c>
      <c r="N990" s="40">
        <v>0</v>
      </c>
      <c r="O990" s="40">
        <v>0</v>
      </c>
      <c r="P990" s="40">
        <v>0</v>
      </c>
      <c r="Q990" s="40">
        <v>1.9</v>
      </c>
      <c r="R990" s="40">
        <v>0</v>
      </c>
      <c r="S990" s="61">
        <f t="shared" si="162"/>
        <v>98.499999999999972</v>
      </c>
      <c r="T990" s="40">
        <v>0</v>
      </c>
      <c r="U990" s="40">
        <v>0</v>
      </c>
      <c r="V990" s="40">
        <v>3</v>
      </c>
      <c r="W990" s="40">
        <v>0</v>
      </c>
      <c r="X990" s="67">
        <f t="shared" si="163"/>
        <v>155</v>
      </c>
      <c r="Z990" s="71"/>
      <c r="AA990" s="71"/>
      <c r="AB990" s="67" t="str">
        <f t="shared" si="164"/>
        <v/>
      </c>
      <c r="AD990" s="121"/>
      <c r="AE990" s="121"/>
    </row>
    <row r="991" spans="1:31" x14ac:dyDescent="0.25">
      <c r="A991" s="57" t="s">
        <v>1107</v>
      </c>
      <c r="B991" s="7">
        <v>0.76250000000000007</v>
      </c>
      <c r="C991" s="3">
        <f t="shared" si="160"/>
        <v>2.8000000000000007</v>
      </c>
      <c r="D991" s="10" t="s">
        <v>1011</v>
      </c>
      <c r="E991" s="40">
        <v>0</v>
      </c>
      <c r="F991" s="40">
        <v>2.5</v>
      </c>
      <c r="G991" s="40">
        <v>2</v>
      </c>
      <c r="H991" s="3">
        <f t="shared" si="165"/>
        <v>0</v>
      </c>
      <c r="I991" s="3">
        <f t="shared" si="166"/>
        <v>0.29166666666666674</v>
      </c>
      <c r="J991" s="3">
        <f t="shared" si="167"/>
        <v>0.23333333333333339</v>
      </c>
      <c r="K991" s="3"/>
      <c r="L991" s="60">
        <f t="shared" si="161"/>
        <v>306.44819444444437</v>
      </c>
      <c r="M991" s="40">
        <v>0</v>
      </c>
      <c r="N991" s="40">
        <v>0</v>
      </c>
      <c r="O991" s="40">
        <v>0</v>
      </c>
      <c r="P991" s="40">
        <v>0</v>
      </c>
      <c r="Q991" s="40">
        <v>0.5</v>
      </c>
      <c r="R991" s="40">
        <v>0</v>
      </c>
      <c r="S991" s="61">
        <f t="shared" si="162"/>
        <v>97.999999999999972</v>
      </c>
      <c r="T991" s="40">
        <v>0</v>
      </c>
      <c r="U991" s="40">
        <v>0</v>
      </c>
      <c r="V991" s="40">
        <v>0</v>
      </c>
      <c r="W991" s="40">
        <v>0</v>
      </c>
      <c r="X991" s="67">
        <f t="shared" si="163"/>
        <v>155</v>
      </c>
      <c r="Z991" s="71"/>
      <c r="AA991" s="71"/>
      <c r="AB991" s="67" t="str">
        <f t="shared" si="164"/>
        <v/>
      </c>
      <c r="AD991" s="121"/>
      <c r="AE991" s="121"/>
    </row>
    <row r="992" spans="1:31" x14ac:dyDescent="0.25">
      <c r="A992" s="57" t="s">
        <v>1107</v>
      </c>
      <c r="B992" s="7">
        <v>0.79166666666666663</v>
      </c>
      <c r="C992" s="3">
        <f t="shared" si="160"/>
        <v>0.69999999999999751</v>
      </c>
      <c r="D992" s="10" t="s">
        <v>1026</v>
      </c>
      <c r="E992" s="40">
        <v>5</v>
      </c>
      <c r="F992" s="40">
        <v>2.5</v>
      </c>
      <c r="G992" s="40">
        <v>2</v>
      </c>
      <c r="H992" s="3">
        <f t="shared" si="165"/>
        <v>0.14583333333333282</v>
      </c>
      <c r="I992" s="3">
        <f t="shared" si="166"/>
        <v>7.2916666666666408E-2</v>
      </c>
      <c r="J992" s="3">
        <f t="shared" si="167"/>
        <v>5.8333333333333126E-2</v>
      </c>
      <c r="K992" s="3"/>
      <c r="L992" s="60">
        <f t="shared" si="161"/>
        <v>306.17111111111103</v>
      </c>
      <c r="M992" s="40">
        <v>0</v>
      </c>
      <c r="N992" s="40">
        <v>0</v>
      </c>
      <c r="O992" s="40">
        <v>0</v>
      </c>
      <c r="P992" s="40">
        <v>0</v>
      </c>
      <c r="Q992" s="40">
        <v>0</v>
      </c>
      <c r="R992" s="40">
        <v>0</v>
      </c>
      <c r="S992" s="61">
        <f t="shared" si="162"/>
        <v>97.999999999999972</v>
      </c>
      <c r="T992" s="40">
        <v>0</v>
      </c>
      <c r="U992" s="40">
        <v>0</v>
      </c>
      <c r="V992" s="40">
        <v>0</v>
      </c>
      <c r="W992" s="40">
        <v>0</v>
      </c>
      <c r="X992" s="67">
        <f t="shared" si="163"/>
        <v>155</v>
      </c>
      <c r="Z992" s="71"/>
      <c r="AA992" s="71"/>
      <c r="AB992" s="67" t="str">
        <f t="shared" si="164"/>
        <v/>
      </c>
      <c r="AD992" s="121"/>
      <c r="AE992" s="121"/>
    </row>
    <row r="993" spans="1:31" x14ac:dyDescent="0.25">
      <c r="A993" s="103"/>
      <c r="B993" s="7"/>
      <c r="C993" s="3"/>
      <c r="D993" s="10"/>
      <c r="E993" s="40"/>
      <c r="F993" s="40"/>
      <c r="G993" s="40"/>
      <c r="H993" s="3"/>
      <c r="I993" s="3"/>
      <c r="J993" s="3"/>
      <c r="K993" s="3"/>
      <c r="L993" s="60"/>
      <c r="M993" s="40"/>
      <c r="N993" s="40"/>
      <c r="O993" s="40"/>
      <c r="P993" s="40"/>
      <c r="Q993" s="40"/>
      <c r="R993" s="40"/>
      <c r="S993" s="61"/>
      <c r="T993" s="40"/>
      <c r="U993" s="40"/>
      <c r="V993" s="40"/>
      <c r="W993" s="40"/>
      <c r="X993" s="67"/>
      <c r="Z993" s="71"/>
      <c r="AA993" s="71"/>
      <c r="AB993" s="67"/>
      <c r="AD993" s="121"/>
      <c r="AE993" s="121"/>
    </row>
    <row r="994" spans="1:31" x14ac:dyDescent="0.25">
      <c r="A994" s="9" t="s">
        <v>1108</v>
      </c>
      <c r="B994" s="65">
        <v>0.33333333333333331</v>
      </c>
      <c r="C994" s="3">
        <f>+IF((B994-B992)&lt;0,((B994-B992)*24)+24,(B994-B992)*24)</f>
        <v>13</v>
      </c>
      <c r="D994" s="10" t="s">
        <v>355</v>
      </c>
      <c r="E994" s="40">
        <v>22</v>
      </c>
      <c r="F994" s="40">
        <v>2.5</v>
      </c>
      <c r="G994" s="40">
        <v>0</v>
      </c>
      <c r="H994" s="3">
        <f t="shared" si="165"/>
        <v>11.916666666666666</v>
      </c>
      <c r="I994" s="3">
        <f t="shared" si="166"/>
        <v>1.3541666666666667</v>
      </c>
      <c r="J994" s="3">
        <f t="shared" si="167"/>
        <v>0</v>
      </c>
      <c r="K994" s="3"/>
      <c r="L994" s="60">
        <f>+IF(C994="","",(L992+K994)-(H994+I994+J994))</f>
        <v>292.90027777777772</v>
      </c>
      <c r="M994" s="40">
        <v>0</v>
      </c>
      <c r="N994" s="40">
        <v>0</v>
      </c>
      <c r="O994" s="40">
        <v>0</v>
      </c>
      <c r="P994" s="40">
        <v>0</v>
      </c>
      <c r="Q994" s="40">
        <v>0</v>
      </c>
      <c r="R994" s="40">
        <v>0</v>
      </c>
      <c r="S994" s="61">
        <f>IF(C994="","",(S992+R994)-(M994+N994+O994+P994+Q994))</f>
        <v>97.999999999999972</v>
      </c>
      <c r="T994" s="40">
        <v>0</v>
      </c>
      <c r="U994" s="40">
        <v>0</v>
      </c>
      <c r="V994" s="40">
        <v>3</v>
      </c>
      <c r="W994" s="40">
        <v>0</v>
      </c>
      <c r="X994" s="67">
        <f>IF(V994="","",((X992+T994+U994)-(V994+W994)))</f>
        <v>152</v>
      </c>
      <c r="Z994" s="71">
        <v>99</v>
      </c>
      <c r="AA994" s="71">
        <v>40</v>
      </c>
      <c r="AB994" s="67">
        <f t="shared" si="164"/>
        <v>139</v>
      </c>
      <c r="AD994" s="121"/>
      <c r="AE994" s="121"/>
    </row>
    <row r="995" spans="1:31" x14ac:dyDescent="0.25">
      <c r="A995" s="57" t="s">
        <v>1108</v>
      </c>
      <c r="B995" s="7">
        <v>0.72916666666666663</v>
      </c>
      <c r="C995" s="3">
        <f t="shared" si="160"/>
        <v>9.5</v>
      </c>
      <c r="D995" s="10" t="s">
        <v>201</v>
      </c>
      <c r="E995" s="40">
        <v>24</v>
      </c>
      <c r="F995" s="40">
        <v>2.5</v>
      </c>
      <c r="G995" s="40">
        <v>0</v>
      </c>
      <c r="H995" s="3">
        <f t="shared" si="165"/>
        <v>9.5</v>
      </c>
      <c r="I995" s="3">
        <f t="shared" si="166"/>
        <v>0.98958333333333337</v>
      </c>
      <c r="J995" s="3">
        <f t="shared" si="167"/>
        <v>0</v>
      </c>
      <c r="K995" s="3"/>
      <c r="L995" s="60">
        <f t="shared" si="161"/>
        <v>282.4106944444444</v>
      </c>
      <c r="M995" s="40">
        <v>0</v>
      </c>
      <c r="N995" s="40">
        <v>0</v>
      </c>
      <c r="O995" s="40">
        <v>0</v>
      </c>
      <c r="P995" s="40">
        <v>0</v>
      </c>
      <c r="Q995" s="40">
        <v>2.5</v>
      </c>
      <c r="R995" s="40">
        <v>0</v>
      </c>
      <c r="S995" s="61">
        <f t="shared" si="162"/>
        <v>95.499999999999972</v>
      </c>
      <c r="T995" s="40">
        <v>0</v>
      </c>
      <c r="U995" s="40">
        <v>0</v>
      </c>
      <c r="V995" s="40">
        <v>3</v>
      </c>
      <c r="W995" s="40">
        <v>0</v>
      </c>
      <c r="X995" s="67">
        <f t="shared" si="163"/>
        <v>149</v>
      </c>
      <c r="Z995" s="71"/>
      <c r="AA995" s="71"/>
      <c r="AB995" s="67" t="str">
        <f t="shared" si="164"/>
        <v/>
      </c>
      <c r="AD995" s="121">
        <v>12.7</v>
      </c>
      <c r="AE995" s="121" t="s">
        <v>1296</v>
      </c>
    </row>
    <row r="996" spans="1:31" x14ac:dyDescent="0.25">
      <c r="A996" s="57" t="s">
        <v>1108</v>
      </c>
      <c r="B996" s="7">
        <v>0.84166666666666667</v>
      </c>
      <c r="C996" s="3">
        <f t="shared" si="160"/>
        <v>2.7000000000000011</v>
      </c>
      <c r="D996" s="10" t="s">
        <v>616</v>
      </c>
      <c r="E996" s="40">
        <v>5</v>
      </c>
      <c r="F996" s="40">
        <v>2.5</v>
      </c>
      <c r="G996" s="40">
        <v>2</v>
      </c>
      <c r="H996" s="3">
        <f t="shared" si="165"/>
        <v>0.56250000000000022</v>
      </c>
      <c r="I996" s="3">
        <f t="shared" si="166"/>
        <v>0.28125000000000011</v>
      </c>
      <c r="J996" s="3">
        <f t="shared" si="167"/>
        <v>0.22500000000000009</v>
      </c>
      <c r="K996" s="3"/>
      <c r="L996" s="60">
        <f t="shared" si="161"/>
        <v>281.34194444444438</v>
      </c>
      <c r="M996" s="40">
        <v>0</v>
      </c>
      <c r="N996" s="40">
        <v>0</v>
      </c>
      <c r="O996" s="40">
        <v>0</v>
      </c>
      <c r="P996" s="40">
        <v>0</v>
      </c>
      <c r="Q996" s="40">
        <v>0.5</v>
      </c>
      <c r="R996" s="40">
        <v>0</v>
      </c>
      <c r="S996" s="61">
        <f t="shared" si="162"/>
        <v>94.999999999999972</v>
      </c>
      <c r="T996" s="40">
        <v>0</v>
      </c>
      <c r="U996" s="40">
        <v>0</v>
      </c>
      <c r="V996" s="40">
        <v>0</v>
      </c>
      <c r="W996" s="40">
        <v>0</v>
      </c>
      <c r="X996" s="67">
        <f t="shared" si="163"/>
        <v>149</v>
      </c>
      <c r="Z996" s="71"/>
      <c r="AA996" s="71"/>
      <c r="AB996" s="67" t="str">
        <f t="shared" si="164"/>
        <v/>
      </c>
      <c r="AD996" s="121"/>
      <c r="AE996" s="121"/>
    </row>
    <row r="997" spans="1:31" x14ac:dyDescent="0.25">
      <c r="A997" s="57" t="s">
        <v>1108</v>
      </c>
      <c r="B997" s="7">
        <v>0.9375</v>
      </c>
      <c r="C997" s="3">
        <f t="shared" si="160"/>
        <v>2.2999999999999998</v>
      </c>
      <c r="D997" s="10" t="s">
        <v>1049</v>
      </c>
      <c r="E997" s="40">
        <v>0</v>
      </c>
      <c r="F997" s="40">
        <v>2.5</v>
      </c>
      <c r="G997" s="40">
        <v>2</v>
      </c>
      <c r="H997" s="3">
        <f t="shared" si="165"/>
        <v>0</v>
      </c>
      <c r="I997" s="3">
        <f t="shared" si="166"/>
        <v>0.23958333333333331</v>
      </c>
      <c r="J997" s="3">
        <f t="shared" si="167"/>
        <v>0.19166666666666665</v>
      </c>
      <c r="K997" s="3"/>
      <c r="L997" s="60">
        <f t="shared" si="161"/>
        <v>280.9106944444444</v>
      </c>
      <c r="M997" s="40">
        <v>0</v>
      </c>
      <c r="N997" s="40">
        <v>0</v>
      </c>
      <c r="O997" s="40">
        <v>0</v>
      </c>
      <c r="P997" s="40">
        <v>0</v>
      </c>
      <c r="Q997" s="40">
        <v>0</v>
      </c>
      <c r="R997" s="40">
        <v>0</v>
      </c>
      <c r="S997" s="61">
        <f t="shared" si="162"/>
        <v>94.999999999999972</v>
      </c>
      <c r="T997" s="40">
        <v>0</v>
      </c>
      <c r="U997" s="40">
        <v>0</v>
      </c>
      <c r="V997" s="40">
        <v>3</v>
      </c>
      <c r="W997" s="40">
        <v>0</v>
      </c>
      <c r="X997" s="67">
        <f t="shared" si="163"/>
        <v>146</v>
      </c>
      <c r="Z997" s="71"/>
      <c r="AA997" s="71"/>
      <c r="AB997" s="67" t="str">
        <f t="shared" si="164"/>
        <v/>
      </c>
      <c r="AD997" s="121"/>
      <c r="AE997" s="121"/>
    </row>
    <row r="998" spans="1:31" x14ac:dyDescent="0.25">
      <c r="A998" s="57" t="s">
        <v>1109</v>
      </c>
      <c r="B998" s="65">
        <v>0.33333333333333331</v>
      </c>
      <c r="C998" s="3">
        <f t="shared" si="160"/>
        <v>9.4999999999999982</v>
      </c>
      <c r="D998" s="10" t="s">
        <v>1051</v>
      </c>
      <c r="E998" s="40">
        <v>0</v>
      </c>
      <c r="F998" s="40">
        <v>2.5</v>
      </c>
      <c r="G998" s="40">
        <v>2</v>
      </c>
      <c r="H998" s="3">
        <f t="shared" si="165"/>
        <v>0</v>
      </c>
      <c r="I998" s="3">
        <f t="shared" si="166"/>
        <v>0.98958333333333315</v>
      </c>
      <c r="J998" s="3">
        <f t="shared" si="167"/>
        <v>0.79166666666666652</v>
      </c>
      <c r="K998" s="3"/>
      <c r="L998" s="60">
        <f t="shared" si="161"/>
        <v>279.1294444444444</v>
      </c>
      <c r="M998" s="40">
        <v>0</v>
      </c>
      <c r="N998" s="40">
        <v>0</v>
      </c>
      <c r="O998" s="40">
        <v>0</v>
      </c>
      <c r="P998" s="40">
        <v>0</v>
      </c>
      <c r="Q998" s="40">
        <v>0</v>
      </c>
      <c r="R998" s="40">
        <v>0</v>
      </c>
      <c r="S998" s="61">
        <f t="shared" si="162"/>
        <v>94.999999999999972</v>
      </c>
      <c r="T998" s="40">
        <v>0</v>
      </c>
      <c r="U998" s="40">
        <v>0</v>
      </c>
      <c r="V998" s="40">
        <v>0</v>
      </c>
      <c r="W998" s="40">
        <v>0</v>
      </c>
      <c r="X998" s="67">
        <f t="shared" si="163"/>
        <v>146</v>
      </c>
      <c r="Z998" s="71">
        <v>95</v>
      </c>
      <c r="AA998" s="71">
        <v>40</v>
      </c>
      <c r="AB998" s="67">
        <f t="shared" si="164"/>
        <v>135</v>
      </c>
      <c r="AD998" s="121"/>
      <c r="AE998" s="121"/>
    </row>
    <row r="999" spans="1:31" x14ac:dyDescent="0.25">
      <c r="A999" s="57" t="s">
        <v>1110</v>
      </c>
      <c r="B999" s="7">
        <v>0.22500000000000001</v>
      </c>
      <c r="C999" s="3">
        <f t="shared" si="160"/>
        <v>21.4</v>
      </c>
      <c r="D999" s="10" t="s">
        <v>1090</v>
      </c>
      <c r="E999" s="40">
        <v>0</v>
      </c>
      <c r="F999" s="40">
        <v>2.5</v>
      </c>
      <c r="G999" s="40">
        <v>2</v>
      </c>
      <c r="H999" s="3">
        <f t="shared" si="165"/>
        <v>0</v>
      </c>
      <c r="I999" s="3">
        <f t="shared" si="166"/>
        <v>2.2291666666666665</v>
      </c>
      <c r="J999" s="3">
        <f t="shared" si="167"/>
        <v>1.7833333333333332</v>
      </c>
      <c r="K999" s="3"/>
      <c r="L999" s="60">
        <f t="shared" si="161"/>
        <v>275.11694444444441</v>
      </c>
      <c r="M999" s="40">
        <v>0</v>
      </c>
      <c r="N999" s="40">
        <v>0</v>
      </c>
      <c r="O999" s="40">
        <v>0</v>
      </c>
      <c r="P999" s="40">
        <v>0</v>
      </c>
      <c r="Q999" s="40">
        <v>0</v>
      </c>
      <c r="R999" s="40">
        <v>0</v>
      </c>
      <c r="S999" s="61">
        <f t="shared" si="162"/>
        <v>94.999999999999972</v>
      </c>
      <c r="T999" s="40">
        <v>0</v>
      </c>
      <c r="U999" s="40">
        <v>0</v>
      </c>
      <c r="V999" s="40">
        <v>0</v>
      </c>
      <c r="W999" s="40">
        <v>0</v>
      </c>
      <c r="X999" s="67">
        <f t="shared" si="163"/>
        <v>146</v>
      </c>
      <c r="Z999" s="71"/>
      <c r="AA999" s="71"/>
      <c r="AB999" s="67" t="str">
        <f t="shared" si="164"/>
        <v/>
      </c>
      <c r="AD999" s="121"/>
      <c r="AE999" s="121"/>
    </row>
    <row r="1000" spans="1:31" x14ac:dyDescent="0.25">
      <c r="A1000" s="57" t="s">
        <v>1110</v>
      </c>
      <c r="B1000" s="65">
        <v>0.33333333333333331</v>
      </c>
      <c r="C1000" s="3">
        <f t="shared" si="160"/>
        <v>2.5999999999999996</v>
      </c>
      <c r="D1000" s="10" t="s">
        <v>1111</v>
      </c>
      <c r="E1000" s="40">
        <v>0</v>
      </c>
      <c r="F1000" s="40">
        <v>2.5</v>
      </c>
      <c r="G1000" s="40">
        <v>2</v>
      </c>
      <c r="H1000" s="3">
        <f t="shared" si="165"/>
        <v>0</v>
      </c>
      <c r="I1000" s="3">
        <f t="shared" si="166"/>
        <v>0.27083333333333331</v>
      </c>
      <c r="J1000" s="3">
        <f t="shared" si="167"/>
        <v>0.21666666666666662</v>
      </c>
      <c r="K1000" s="3"/>
      <c r="L1000" s="60">
        <f t="shared" si="161"/>
        <v>274.6294444444444</v>
      </c>
      <c r="M1000" s="40">
        <v>0</v>
      </c>
      <c r="N1000" s="40">
        <v>0</v>
      </c>
      <c r="O1000" s="40">
        <v>0</v>
      </c>
      <c r="P1000" s="40">
        <v>0</v>
      </c>
      <c r="Q1000" s="40">
        <v>0</v>
      </c>
      <c r="R1000" s="40">
        <v>0</v>
      </c>
      <c r="S1000" s="61">
        <f t="shared" si="162"/>
        <v>94.999999999999972</v>
      </c>
      <c r="T1000" s="40">
        <v>0</v>
      </c>
      <c r="U1000" s="40">
        <v>0</v>
      </c>
      <c r="V1000" s="40">
        <v>6</v>
      </c>
      <c r="W1000" s="40">
        <v>0</v>
      </c>
      <c r="X1000" s="67">
        <f t="shared" si="163"/>
        <v>140</v>
      </c>
      <c r="Z1000" s="71">
        <v>91</v>
      </c>
      <c r="AA1000" s="71">
        <v>42</v>
      </c>
      <c r="AB1000" s="67">
        <f t="shared" si="164"/>
        <v>133</v>
      </c>
      <c r="AD1000" s="121"/>
      <c r="AE1000" s="121"/>
    </row>
    <row r="1001" spans="1:31" x14ac:dyDescent="0.25">
      <c r="A1001" s="57" t="s">
        <v>1110</v>
      </c>
      <c r="B1001" s="7">
        <v>0.45416666666666666</v>
      </c>
      <c r="C1001" s="3">
        <f t="shared" si="160"/>
        <v>2.9000000000000004</v>
      </c>
      <c r="D1001" s="10" t="s">
        <v>1011</v>
      </c>
      <c r="E1001" s="40">
        <v>0</v>
      </c>
      <c r="F1001" s="40">
        <v>2.5</v>
      </c>
      <c r="G1001" s="40">
        <v>2</v>
      </c>
      <c r="H1001" s="3">
        <f t="shared" si="165"/>
        <v>0</v>
      </c>
      <c r="I1001" s="3">
        <f t="shared" si="166"/>
        <v>0.30208333333333337</v>
      </c>
      <c r="J1001" s="3">
        <f t="shared" si="167"/>
        <v>0.2416666666666667</v>
      </c>
      <c r="K1001" s="3"/>
      <c r="L1001" s="60">
        <f t="shared" si="161"/>
        <v>274.08569444444441</v>
      </c>
      <c r="M1001" s="40">
        <v>0</v>
      </c>
      <c r="N1001" s="40">
        <v>0</v>
      </c>
      <c r="O1001" s="40">
        <v>0</v>
      </c>
      <c r="P1001" s="40">
        <v>0</v>
      </c>
      <c r="Q1001" s="40">
        <v>0</v>
      </c>
      <c r="R1001" s="40">
        <v>0</v>
      </c>
      <c r="S1001" s="61">
        <f t="shared" si="162"/>
        <v>94.999999999999972</v>
      </c>
      <c r="T1001" s="40">
        <v>0</v>
      </c>
      <c r="U1001" s="40">
        <v>0</v>
      </c>
      <c r="V1001" s="40">
        <v>0</v>
      </c>
      <c r="W1001" s="40">
        <v>0</v>
      </c>
      <c r="X1001" s="67">
        <f t="shared" si="163"/>
        <v>140</v>
      </c>
      <c r="Z1001" s="71"/>
      <c r="AA1001" s="71"/>
      <c r="AB1001" s="67" t="str">
        <f t="shared" si="164"/>
        <v/>
      </c>
      <c r="AD1001" s="121"/>
      <c r="AE1001" s="121"/>
    </row>
    <row r="1002" spans="1:31" x14ac:dyDescent="0.25">
      <c r="A1002" s="57" t="s">
        <v>1110</v>
      </c>
      <c r="B1002" s="7">
        <v>0.4916666666666667</v>
      </c>
      <c r="C1002" s="3">
        <f t="shared" ref="C1002:C1018" si="168">+IF((B1002-B1001)&lt;0,((B1002-B1001)*24)+24,(B1002-B1001)*24)</f>
        <v>0.9000000000000008</v>
      </c>
      <c r="D1002" s="10" t="s">
        <v>1026</v>
      </c>
      <c r="E1002" s="40">
        <v>10</v>
      </c>
      <c r="F1002" s="40">
        <v>2.5</v>
      </c>
      <c r="G1002" s="40">
        <v>2</v>
      </c>
      <c r="H1002" s="3">
        <f t="shared" si="165"/>
        <v>0.37500000000000033</v>
      </c>
      <c r="I1002" s="3">
        <f t="shared" si="166"/>
        <v>9.3750000000000083E-2</v>
      </c>
      <c r="J1002" s="3">
        <f t="shared" si="167"/>
        <v>7.5000000000000067E-2</v>
      </c>
      <c r="K1002" s="3"/>
      <c r="L1002" s="60">
        <f t="shared" ref="L1002:L1020" si="169">+IF(C1002="","",(L1001+K1002)-(H1002+I1002+J1002))</f>
        <v>273.54194444444443</v>
      </c>
      <c r="M1002" s="40">
        <v>0</v>
      </c>
      <c r="N1002" s="40">
        <v>0</v>
      </c>
      <c r="O1002" s="40">
        <v>0</v>
      </c>
      <c r="P1002" s="40">
        <v>0</v>
      </c>
      <c r="Q1002" s="40">
        <v>0</v>
      </c>
      <c r="R1002" s="40">
        <v>0</v>
      </c>
      <c r="S1002" s="61">
        <f t="shared" ref="S1002:S1020" si="170">IF(C1002="","",(S1001+R1002)-(M1002+N1002+O1002+P1002+Q1002))</f>
        <v>94.999999999999972</v>
      </c>
      <c r="T1002" s="40">
        <v>0</v>
      </c>
      <c r="U1002" s="40">
        <v>0</v>
      </c>
      <c r="V1002" s="40">
        <v>0</v>
      </c>
      <c r="W1002" s="40">
        <v>0</v>
      </c>
      <c r="X1002" s="67">
        <f t="shared" ref="X1002:X1020" si="171">IF(V1002="","",((X1001+T1002+U1002)-(V1002+W1002)))</f>
        <v>140</v>
      </c>
      <c r="Z1002" s="71"/>
      <c r="AA1002" s="71"/>
      <c r="AB1002" s="67" t="str">
        <f t="shared" ref="AB1002:AB1020" si="172">IF(Z1002="","",Z1002+AA1002)</f>
        <v/>
      </c>
      <c r="AD1002" s="121"/>
      <c r="AE1002" s="121"/>
    </row>
    <row r="1003" spans="1:31" x14ac:dyDescent="0.25">
      <c r="A1003" s="57" t="s">
        <v>1112</v>
      </c>
      <c r="B1003" s="65">
        <v>0.33333333333333331</v>
      </c>
      <c r="C1003" s="3">
        <f t="shared" si="168"/>
        <v>20.2</v>
      </c>
      <c r="D1003" s="10" t="s">
        <v>355</v>
      </c>
      <c r="E1003" s="40">
        <v>25</v>
      </c>
      <c r="F1003" s="40">
        <v>2.5</v>
      </c>
      <c r="G1003" s="40">
        <v>0</v>
      </c>
      <c r="H1003" s="3">
        <f t="shared" si="165"/>
        <v>21.041666666666668</v>
      </c>
      <c r="I1003" s="3">
        <f t="shared" si="166"/>
        <v>2.1041666666666665</v>
      </c>
      <c r="J1003" s="3">
        <f t="shared" si="167"/>
        <v>0</v>
      </c>
      <c r="K1003" s="3"/>
      <c r="L1003" s="60">
        <f t="shared" si="169"/>
        <v>250.39611111111108</v>
      </c>
      <c r="M1003" s="40">
        <v>0</v>
      </c>
      <c r="N1003" s="40">
        <v>0</v>
      </c>
      <c r="O1003" s="40">
        <v>0</v>
      </c>
      <c r="P1003" s="40">
        <v>0</v>
      </c>
      <c r="Q1003" s="40">
        <v>0</v>
      </c>
      <c r="R1003" s="40">
        <v>0</v>
      </c>
      <c r="S1003" s="61">
        <f t="shared" si="170"/>
        <v>94.999999999999972</v>
      </c>
      <c r="T1003" s="40">
        <v>6</v>
      </c>
      <c r="U1003" s="40">
        <v>0</v>
      </c>
      <c r="V1003" s="40">
        <v>6</v>
      </c>
      <c r="W1003" s="40">
        <v>0</v>
      </c>
      <c r="X1003" s="67">
        <f t="shared" si="171"/>
        <v>140</v>
      </c>
      <c r="Z1003" s="71">
        <v>85</v>
      </c>
      <c r="AA1003" s="71">
        <v>44</v>
      </c>
      <c r="AB1003" s="67">
        <f t="shared" si="172"/>
        <v>129</v>
      </c>
      <c r="AD1003" s="121"/>
      <c r="AE1003" s="121"/>
    </row>
    <row r="1004" spans="1:31" x14ac:dyDescent="0.25">
      <c r="A1004" s="57" t="s">
        <v>1113</v>
      </c>
      <c r="B1004" s="65">
        <v>0.33333333333333331</v>
      </c>
      <c r="C1004" s="3">
        <v>24</v>
      </c>
      <c r="D1004" s="10" t="s">
        <v>355</v>
      </c>
      <c r="E1004" s="40">
        <v>25</v>
      </c>
      <c r="F1004" s="40">
        <v>2.5</v>
      </c>
      <c r="G1004" s="40">
        <v>0</v>
      </c>
      <c r="H1004" s="3">
        <f t="shared" si="165"/>
        <v>25</v>
      </c>
      <c r="I1004" s="3">
        <f t="shared" si="166"/>
        <v>2.5</v>
      </c>
      <c r="J1004" s="3">
        <f t="shared" si="167"/>
        <v>0</v>
      </c>
      <c r="K1004" s="3"/>
      <c r="L1004" s="60">
        <f t="shared" si="169"/>
        <v>222.89611111111108</v>
      </c>
      <c r="M1004" s="40">
        <v>0</v>
      </c>
      <c r="N1004" s="40">
        <v>0</v>
      </c>
      <c r="O1004" s="40">
        <v>0</v>
      </c>
      <c r="P1004" s="40">
        <v>0</v>
      </c>
      <c r="Q1004" s="40">
        <v>0</v>
      </c>
      <c r="R1004" s="40">
        <v>0</v>
      </c>
      <c r="S1004" s="61">
        <f t="shared" si="170"/>
        <v>94.999999999999972</v>
      </c>
      <c r="T1004" s="40">
        <v>10</v>
      </c>
      <c r="U1004" s="40">
        <v>0</v>
      </c>
      <c r="V1004" s="40">
        <v>6</v>
      </c>
      <c r="W1004" s="40">
        <v>0</v>
      </c>
      <c r="X1004" s="67">
        <f t="shared" si="171"/>
        <v>144</v>
      </c>
      <c r="Z1004" s="71"/>
      <c r="AA1004" s="71"/>
      <c r="AB1004" s="67" t="str">
        <f t="shared" si="172"/>
        <v/>
      </c>
      <c r="AD1004" s="121"/>
      <c r="AE1004" s="121"/>
    </row>
    <row r="1005" spans="1:31" x14ac:dyDescent="0.25">
      <c r="A1005" s="57" t="s">
        <v>1113</v>
      </c>
      <c r="B1005" s="7">
        <v>0.57500000000000007</v>
      </c>
      <c r="C1005" s="3">
        <f t="shared" si="168"/>
        <v>5.8000000000000025</v>
      </c>
      <c r="D1005" s="10" t="s">
        <v>201</v>
      </c>
      <c r="E1005" s="40">
        <v>25</v>
      </c>
      <c r="F1005" s="40">
        <v>2.5</v>
      </c>
      <c r="G1005" s="40">
        <v>0</v>
      </c>
      <c r="H1005" s="3">
        <f t="shared" si="165"/>
        <v>6.0416666666666696</v>
      </c>
      <c r="I1005" s="3">
        <f t="shared" si="166"/>
        <v>0.60416666666666696</v>
      </c>
      <c r="J1005" s="3">
        <f t="shared" si="167"/>
        <v>0</v>
      </c>
      <c r="K1005" s="3"/>
      <c r="L1005" s="60">
        <f t="shared" si="169"/>
        <v>216.25027777777774</v>
      </c>
      <c r="M1005" s="40">
        <v>0</v>
      </c>
      <c r="N1005" s="40">
        <v>0</v>
      </c>
      <c r="O1005" s="40">
        <v>0</v>
      </c>
      <c r="P1005" s="40">
        <v>0</v>
      </c>
      <c r="Q1005" s="40">
        <v>0</v>
      </c>
      <c r="R1005" s="40">
        <v>0</v>
      </c>
      <c r="S1005" s="61">
        <f t="shared" si="170"/>
        <v>94.999999999999972</v>
      </c>
      <c r="T1005" s="40">
        <v>3</v>
      </c>
      <c r="U1005" s="40">
        <v>0</v>
      </c>
      <c r="V1005" s="40">
        <v>3</v>
      </c>
      <c r="W1005" s="40">
        <v>0</v>
      </c>
      <c r="X1005" s="67">
        <f t="shared" si="171"/>
        <v>144</v>
      </c>
      <c r="Z1005" s="71"/>
      <c r="AA1005" s="71"/>
      <c r="AB1005" s="67" t="str">
        <f t="shared" si="172"/>
        <v/>
      </c>
      <c r="AD1005" s="121">
        <v>10.6</v>
      </c>
      <c r="AE1005" s="121" t="s">
        <v>1298</v>
      </c>
    </row>
    <row r="1006" spans="1:31" x14ac:dyDescent="0.25">
      <c r="A1006" s="57" t="s">
        <v>1113</v>
      </c>
      <c r="B1006" s="7">
        <v>0.6</v>
      </c>
      <c r="C1006" s="3">
        <f t="shared" si="168"/>
        <v>0.59999999999999787</v>
      </c>
      <c r="D1006" s="10" t="s">
        <v>616</v>
      </c>
      <c r="E1006" s="40">
        <v>10</v>
      </c>
      <c r="F1006" s="40">
        <v>2.5</v>
      </c>
      <c r="G1006" s="40">
        <v>2</v>
      </c>
      <c r="H1006" s="3">
        <f t="shared" si="165"/>
        <v>0.24999999999999911</v>
      </c>
      <c r="I1006" s="3">
        <f t="shared" si="166"/>
        <v>6.2499999999999778E-2</v>
      </c>
      <c r="J1006" s="3">
        <f t="shared" si="167"/>
        <v>4.9999999999999822E-2</v>
      </c>
      <c r="K1006" s="3"/>
      <c r="L1006" s="60">
        <f t="shared" si="169"/>
        <v>215.88777777777773</v>
      </c>
      <c r="M1006" s="40">
        <v>0</v>
      </c>
      <c r="N1006" s="40">
        <v>0</v>
      </c>
      <c r="O1006" s="40">
        <v>0</v>
      </c>
      <c r="P1006" s="40">
        <v>0</v>
      </c>
      <c r="Q1006" s="40">
        <v>0</v>
      </c>
      <c r="R1006" s="40">
        <v>0</v>
      </c>
      <c r="S1006" s="61">
        <f t="shared" si="170"/>
        <v>94.999999999999972</v>
      </c>
      <c r="T1006" s="40">
        <v>0</v>
      </c>
      <c r="U1006" s="40">
        <v>0</v>
      </c>
      <c r="V1006" s="40">
        <v>0</v>
      </c>
      <c r="W1006" s="40">
        <v>0</v>
      </c>
      <c r="X1006" s="67">
        <f t="shared" si="171"/>
        <v>144</v>
      </c>
      <c r="Z1006" s="71"/>
      <c r="AA1006" s="71"/>
      <c r="AB1006" s="67" t="str">
        <f t="shared" si="172"/>
        <v/>
      </c>
      <c r="AD1006" s="121"/>
      <c r="AE1006" s="121"/>
    </row>
    <row r="1007" spans="1:31" x14ac:dyDescent="0.25">
      <c r="A1007" s="57" t="s">
        <v>1114</v>
      </c>
      <c r="B1007" s="65">
        <v>0.33333333333333331</v>
      </c>
      <c r="C1007" s="3">
        <f t="shared" si="168"/>
        <v>17.600000000000001</v>
      </c>
      <c r="D1007" s="10" t="s">
        <v>351</v>
      </c>
      <c r="E1007" s="40">
        <v>0</v>
      </c>
      <c r="F1007" s="40">
        <v>2.5</v>
      </c>
      <c r="G1007" s="40">
        <v>2</v>
      </c>
      <c r="H1007" s="3">
        <f t="shared" si="165"/>
        <v>0</v>
      </c>
      <c r="I1007" s="3">
        <f t="shared" si="166"/>
        <v>1.8333333333333335</v>
      </c>
      <c r="J1007" s="3">
        <f t="shared" si="167"/>
        <v>1.4666666666666668</v>
      </c>
      <c r="K1007" s="3"/>
      <c r="L1007" s="60">
        <f t="shared" si="169"/>
        <v>212.58777777777772</v>
      </c>
      <c r="M1007" s="40">
        <v>0</v>
      </c>
      <c r="N1007" s="40">
        <v>0</v>
      </c>
      <c r="O1007" s="40">
        <v>0</v>
      </c>
      <c r="P1007" s="40">
        <v>0</v>
      </c>
      <c r="Q1007" s="40">
        <v>0</v>
      </c>
      <c r="R1007" s="40">
        <v>0</v>
      </c>
      <c r="S1007" s="61">
        <f t="shared" si="170"/>
        <v>94.999999999999972</v>
      </c>
      <c r="T1007" s="40">
        <v>0</v>
      </c>
      <c r="U1007" s="40">
        <v>0</v>
      </c>
      <c r="V1007" s="40">
        <v>3</v>
      </c>
      <c r="W1007" s="40">
        <v>0</v>
      </c>
      <c r="X1007" s="67">
        <f t="shared" si="171"/>
        <v>141</v>
      </c>
      <c r="Z1007" s="71">
        <v>76</v>
      </c>
      <c r="AA1007" s="71">
        <v>48</v>
      </c>
      <c r="AB1007" s="67">
        <f t="shared" si="172"/>
        <v>124</v>
      </c>
      <c r="AD1007" s="121"/>
      <c r="AE1007" s="121"/>
    </row>
    <row r="1008" spans="1:31" x14ac:dyDescent="0.25">
      <c r="A1008" s="57" t="s">
        <v>1114</v>
      </c>
      <c r="B1008" s="7">
        <v>0.37916666666666665</v>
      </c>
      <c r="C1008" s="3">
        <f t="shared" si="168"/>
        <v>1.1000000000000001</v>
      </c>
      <c r="D1008" s="10" t="s">
        <v>1011</v>
      </c>
      <c r="E1008" s="40">
        <v>0</v>
      </c>
      <c r="F1008" s="40">
        <v>2.5</v>
      </c>
      <c r="G1008" s="40">
        <v>2</v>
      </c>
      <c r="H1008" s="3">
        <f t="shared" si="165"/>
        <v>0</v>
      </c>
      <c r="I1008" s="3">
        <f t="shared" si="166"/>
        <v>0.11458333333333334</v>
      </c>
      <c r="J1008" s="3">
        <f t="shared" si="167"/>
        <v>9.1666666666666674E-2</v>
      </c>
      <c r="K1008" s="3"/>
      <c r="L1008" s="60">
        <f t="shared" si="169"/>
        <v>212.38152777777771</v>
      </c>
      <c r="M1008" s="40">
        <v>0</v>
      </c>
      <c r="N1008" s="40">
        <v>0</v>
      </c>
      <c r="O1008" s="40">
        <v>0</v>
      </c>
      <c r="P1008" s="40">
        <v>0</v>
      </c>
      <c r="Q1008" s="40">
        <v>0</v>
      </c>
      <c r="R1008" s="40">
        <v>0</v>
      </c>
      <c r="S1008" s="61">
        <f t="shared" si="170"/>
        <v>94.999999999999972</v>
      </c>
      <c r="T1008" s="40">
        <v>0</v>
      </c>
      <c r="U1008" s="40">
        <v>0</v>
      </c>
      <c r="V1008" s="40">
        <v>0</v>
      </c>
      <c r="W1008" s="40">
        <v>0</v>
      </c>
      <c r="X1008" s="67">
        <f t="shared" si="171"/>
        <v>141</v>
      </c>
      <c r="Z1008" s="71"/>
      <c r="AA1008" s="71"/>
      <c r="AB1008" s="67" t="str">
        <f t="shared" si="172"/>
        <v/>
      </c>
      <c r="AD1008" s="121"/>
      <c r="AE1008" s="121"/>
    </row>
    <row r="1009" spans="1:31" x14ac:dyDescent="0.25">
      <c r="A1009" s="57" t="s">
        <v>1114</v>
      </c>
      <c r="B1009" s="7">
        <v>0.38750000000000001</v>
      </c>
      <c r="C1009" s="3">
        <f t="shared" si="168"/>
        <v>0.20000000000000062</v>
      </c>
      <c r="D1009" s="10" t="s">
        <v>1115</v>
      </c>
      <c r="E1009" s="40">
        <v>5</v>
      </c>
      <c r="F1009" s="40">
        <v>2.5</v>
      </c>
      <c r="G1009" s="40">
        <v>2</v>
      </c>
      <c r="H1009" s="3">
        <f t="shared" si="165"/>
        <v>4.1666666666666796E-2</v>
      </c>
      <c r="I1009" s="3">
        <f t="shared" si="166"/>
        <v>2.0833333333333398E-2</v>
      </c>
      <c r="J1009" s="3">
        <f t="shared" si="167"/>
        <v>1.6666666666666718E-2</v>
      </c>
      <c r="K1009" s="3"/>
      <c r="L1009" s="60">
        <f t="shared" si="169"/>
        <v>212.30236111111103</v>
      </c>
      <c r="M1009" s="40">
        <v>0</v>
      </c>
      <c r="N1009" s="40">
        <v>0</v>
      </c>
      <c r="O1009" s="40">
        <v>0</v>
      </c>
      <c r="P1009" s="40">
        <v>0</v>
      </c>
      <c r="Q1009" s="40">
        <v>0</v>
      </c>
      <c r="R1009" s="40">
        <v>0</v>
      </c>
      <c r="S1009" s="61">
        <f t="shared" si="170"/>
        <v>94.999999999999972</v>
      </c>
      <c r="T1009" s="40">
        <v>0</v>
      </c>
      <c r="U1009" s="40">
        <v>0</v>
      </c>
      <c r="V1009" s="40">
        <v>0</v>
      </c>
      <c r="W1009" s="40">
        <v>0</v>
      </c>
      <c r="X1009" s="67">
        <f t="shared" si="171"/>
        <v>141</v>
      </c>
      <c r="Z1009" s="71"/>
      <c r="AA1009" s="71"/>
      <c r="AB1009" s="67" t="str">
        <f t="shared" si="172"/>
        <v/>
      </c>
      <c r="AD1009" s="121"/>
      <c r="AE1009" s="121"/>
    </row>
    <row r="1010" spans="1:31" x14ac:dyDescent="0.25">
      <c r="A1010" s="57" t="s">
        <v>1114</v>
      </c>
      <c r="B1010" s="7">
        <v>0.40833333333333338</v>
      </c>
      <c r="C1010" s="3">
        <f t="shared" si="168"/>
        <v>0.50000000000000089</v>
      </c>
      <c r="D1010" s="10" t="s">
        <v>201</v>
      </c>
      <c r="E1010" s="40">
        <v>10</v>
      </c>
      <c r="F1010" s="40">
        <v>2.5</v>
      </c>
      <c r="G1010" s="40">
        <v>2</v>
      </c>
      <c r="H1010" s="3">
        <f t="shared" si="165"/>
        <v>0.2083333333333337</v>
      </c>
      <c r="I1010" s="3">
        <f t="shared" si="166"/>
        <v>5.2083333333333426E-2</v>
      </c>
      <c r="J1010" s="3">
        <f t="shared" si="167"/>
        <v>4.1666666666666741E-2</v>
      </c>
      <c r="K1010" s="3"/>
      <c r="L1010" s="60">
        <f t="shared" si="169"/>
        <v>212.00027777777768</v>
      </c>
      <c r="M1010" s="40">
        <v>0</v>
      </c>
      <c r="N1010" s="40">
        <v>0</v>
      </c>
      <c r="O1010" s="40">
        <v>0</v>
      </c>
      <c r="P1010" s="40">
        <v>0</v>
      </c>
      <c r="Q1010" s="40">
        <v>0</v>
      </c>
      <c r="R1010" s="40">
        <v>0</v>
      </c>
      <c r="S1010" s="61">
        <f t="shared" si="170"/>
        <v>94.999999999999972</v>
      </c>
      <c r="T1010" s="40">
        <v>0</v>
      </c>
      <c r="U1010" s="40">
        <v>0</v>
      </c>
      <c r="V1010" s="40">
        <v>0</v>
      </c>
      <c r="W1010" s="40">
        <v>0</v>
      </c>
      <c r="X1010" s="67">
        <f t="shared" si="171"/>
        <v>141</v>
      </c>
      <c r="Z1010" s="71"/>
      <c r="AA1010" s="71"/>
      <c r="AB1010" s="67" t="str">
        <f t="shared" si="172"/>
        <v/>
      </c>
      <c r="AD1010" s="121"/>
      <c r="AE1010" s="121"/>
    </row>
    <row r="1011" spans="1:31" x14ac:dyDescent="0.25">
      <c r="A1011" s="57" t="s">
        <v>1114</v>
      </c>
      <c r="B1011" s="7">
        <v>0.49583333333333335</v>
      </c>
      <c r="C1011" s="3">
        <f t="shared" si="168"/>
        <v>2.0999999999999992</v>
      </c>
      <c r="D1011" s="10" t="s">
        <v>616</v>
      </c>
      <c r="E1011" s="40">
        <v>5</v>
      </c>
      <c r="F1011" s="40">
        <v>2.5</v>
      </c>
      <c r="G1011" s="40">
        <v>2</v>
      </c>
      <c r="H1011" s="3">
        <f t="shared" si="165"/>
        <v>0.43749999999999983</v>
      </c>
      <c r="I1011" s="3">
        <f t="shared" si="166"/>
        <v>0.21874999999999992</v>
      </c>
      <c r="J1011" s="3">
        <f t="shared" si="167"/>
        <v>0.17499999999999993</v>
      </c>
      <c r="K1011" s="3"/>
      <c r="L1011" s="60">
        <f t="shared" si="169"/>
        <v>211.16902777777767</v>
      </c>
      <c r="M1011" s="40">
        <v>0</v>
      </c>
      <c r="N1011" s="40">
        <v>0</v>
      </c>
      <c r="O1011" s="40">
        <v>0</v>
      </c>
      <c r="P1011" s="40">
        <v>0</v>
      </c>
      <c r="Q1011" s="40">
        <v>0</v>
      </c>
      <c r="R1011" s="40">
        <v>0</v>
      </c>
      <c r="S1011" s="61">
        <f t="shared" si="170"/>
        <v>94.999999999999972</v>
      </c>
      <c r="T1011" s="40">
        <v>0</v>
      </c>
      <c r="U1011" s="40">
        <v>0</v>
      </c>
      <c r="V1011" s="40">
        <v>0</v>
      </c>
      <c r="W1011" s="40">
        <v>0</v>
      </c>
      <c r="X1011" s="67">
        <f t="shared" si="171"/>
        <v>141</v>
      </c>
      <c r="Z1011" s="71"/>
      <c r="AA1011" s="71"/>
      <c r="AB1011" s="67" t="str">
        <f t="shared" si="172"/>
        <v/>
      </c>
      <c r="AD1011" s="121"/>
      <c r="AE1011" s="121"/>
    </row>
    <row r="1012" spans="1:31" x14ac:dyDescent="0.25">
      <c r="A1012" s="57" t="s">
        <v>1114</v>
      </c>
      <c r="B1012" s="7">
        <v>0.70416666666666661</v>
      </c>
      <c r="C1012" s="3">
        <f t="shared" si="168"/>
        <v>4.9999999999999982</v>
      </c>
      <c r="D1012" s="10" t="s">
        <v>1116</v>
      </c>
      <c r="E1012" s="40">
        <v>0</v>
      </c>
      <c r="F1012" s="40">
        <v>2.5</v>
      </c>
      <c r="G1012" s="40">
        <v>2</v>
      </c>
      <c r="H1012" s="3">
        <f t="shared" ref="H1012:H1020" si="173">+IF(E1012="","",(E1012/24)*C1012)</f>
        <v>0</v>
      </c>
      <c r="I1012" s="3">
        <f t="shared" ref="I1012:I1020" si="174">+IF(F1012="","",(F1012/24)*C1012)</f>
        <v>0.52083333333333315</v>
      </c>
      <c r="J1012" s="3">
        <f t="shared" ref="J1012:J1020" si="175">+IF(G1012="","",(G1012/24)*C1012)</f>
        <v>0.41666666666666652</v>
      </c>
      <c r="K1012" s="3"/>
      <c r="L1012" s="60">
        <f t="shared" si="169"/>
        <v>210.23152777777767</v>
      </c>
      <c r="M1012" s="40">
        <v>0</v>
      </c>
      <c r="N1012" s="40">
        <v>0</v>
      </c>
      <c r="O1012" s="40">
        <v>0</v>
      </c>
      <c r="P1012" s="40">
        <v>0</v>
      </c>
      <c r="Q1012" s="40">
        <v>0.5</v>
      </c>
      <c r="R1012" s="40">
        <v>0</v>
      </c>
      <c r="S1012" s="61">
        <f t="shared" si="170"/>
        <v>94.499999999999972</v>
      </c>
      <c r="T1012" s="40">
        <v>0</v>
      </c>
      <c r="U1012" s="40">
        <v>0</v>
      </c>
      <c r="V1012" s="40">
        <v>0</v>
      </c>
      <c r="W1012" s="40">
        <v>0</v>
      </c>
      <c r="X1012" s="67">
        <f t="shared" si="171"/>
        <v>141</v>
      </c>
      <c r="Z1012" s="71"/>
      <c r="AA1012" s="71"/>
      <c r="AB1012" s="67" t="str">
        <f t="shared" si="172"/>
        <v/>
      </c>
      <c r="AD1012" s="121"/>
      <c r="AE1012" s="121"/>
    </row>
    <row r="1013" spans="1:31" x14ac:dyDescent="0.25">
      <c r="A1013" s="57" t="s">
        <v>1117</v>
      </c>
      <c r="B1013" s="65">
        <v>0.33333333333333331</v>
      </c>
      <c r="C1013" s="3">
        <f t="shared" si="168"/>
        <v>15.100000000000001</v>
      </c>
      <c r="D1013" s="10" t="s">
        <v>966</v>
      </c>
      <c r="E1013" s="40">
        <v>0</v>
      </c>
      <c r="F1013" s="40">
        <v>2.5</v>
      </c>
      <c r="G1013" s="40">
        <v>2</v>
      </c>
      <c r="H1013" s="3">
        <f t="shared" si="173"/>
        <v>0</v>
      </c>
      <c r="I1013" s="3">
        <f t="shared" si="174"/>
        <v>1.572916666666667</v>
      </c>
      <c r="J1013" s="3">
        <f t="shared" si="175"/>
        <v>1.2583333333333333</v>
      </c>
      <c r="K1013" s="3"/>
      <c r="L1013" s="60">
        <f t="shared" si="169"/>
        <v>207.40027777777766</v>
      </c>
      <c r="M1013" s="40">
        <v>0</v>
      </c>
      <c r="N1013" s="40">
        <v>0</v>
      </c>
      <c r="O1013" s="40">
        <v>0</v>
      </c>
      <c r="P1013" s="40">
        <v>0</v>
      </c>
      <c r="Q1013" s="40">
        <v>3.7</v>
      </c>
      <c r="R1013" s="40">
        <v>0</v>
      </c>
      <c r="S1013" s="61">
        <f t="shared" si="170"/>
        <v>90.799999999999969</v>
      </c>
      <c r="T1013" s="40">
        <v>0</v>
      </c>
      <c r="U1013" s="40">
        <v>0</v>
      </c>
      <c r="V1013" s="40">
        <v>7</v>
      </c>
      <c r="W1013" s="40">
        <v>0</v>
      </c>
      <c r="X1013" s="67">
        <f t="shared" si="171"/>
        <v>134</v>
      </c>
      <c r="Z1013" s="71"/>
      <c r="AA1013" s="71"/>
      <c r="AB1013" s="67" t="str">
        <f t="shared" si="172"/>
        <v/>
      </c>
      <c r="AD1013" s="121"/>
      <c r="AE1013" s="121"/>
    </row>
    <row r="1014" spans="1:31" x14ac:dyDescent="0.25">
      <c r="A1014" s="57" t="s">
        <v>1118</v>
      </c>
      <c r="B1014" s="7">
        <v>0.21249999999999999</v>
      </c>
      <c r="C1014" s="3">
        <f t="shared" si="168"/>
        <v>21.1</v>
      </c>
      <c r="D1014" s="10" t="s">
        <v>1079</v>
      </c>
      <c r="E1014" s="40">
        <v>0</v>
      </c>
      <c r="F1014" s="40">
        <v>2.5</v>
      </c>
      <c r="G1014" s="40">
        <v>2</v>
      </c>
      <c r="H1014" s="3">
        <f t="shared" si="173"/>
        <v>0</v>
      </c>
      <c r="I1014" s="3">
        <f t="shared" si="174"/>
        <v>2.197916666666667</v>
      </c>
      <c r="J1014" s="3">
        <f t="shared" si="175"/>
        <v>1.7583333333333333</v>
      </c>
      <c r="K1014" s="3"/>
      <c r="L1014" s="60">
        <f t="shared" si="169"/>
        <v>203.44402777777765</v>
      </c>
      <c r="M1014" s="40">
        <v>0</v>
      </c>
      <c r="N1014" s="40">
        <v>0</v>
      </c>
      <c r="O1014" s="40">
        <v>0</v>
      </c>
      <c r="P1014" s="40">
        <v>0</v>
      </c>
      <c r="Q1014" s="40">
        <v>5.2</v>
      </c>
      <c r="R1014" s="40">
        <v>0</v>
      </c>
      <c r="S1014" s="61">
        <f t="shared" si="170"/>
        <v>85.599999999999966</v>
      </c>
      <c r="T1014" s="40">
        <v>0</v>
      </c>
      <c r="U1014" s="40">
        <v>0</v>
      </c>
      <c r="V1014" s="40">
        <v>5</v>
      </c>
      <c r="W1014" s="40">
        <v>0</v>
      </c>
      <c r="X1014" s="67">
        <f t="shared" si="171"/>
        <v>129</v>
      </c>
      <c r="Z1014" s="71"/>
      <c r="AA1014" s="71"/>
      <c r="AB1014" s="67" t="str">
        <f t="shared" si="172"/>
        <v/>
      </c>
      <c r="AD1014" s="121"/>
      <c r="AE1014" s="121"/>
    </row>
    <row r="1015" spans="1:31" x14ac:dyDescent="0.25">
      <c r="A1015" s="57" t="s">
        <v>1118</v>
      </c>
      <c r="B1015" s="65">
        <v>0.33333333333333331</v>
      </c>
      <c r="C1015" s="3">
        <f t="shared" si="168"/>
        <v>2.8999999999999995</v>
      </c>
      <c r="D1015" s="10" t="s">
        <v>1111</v>
      </c>
      <c r="E1015" s="40">
        <v>0</v>
      </c>
      <c r="F1015" s="40">
        <v>2.5</v>
      </c>
      <c r="G1015" s="40">
        <v>2</v>
      </c>
      <c r="H1015" s="3">
        <f t="shared" si="173"/>
        <v>0</v>
      </c>
      <c r="I1015" s="3">
        <f t="shared" si="174"/>
        <v>0.30208333333333331</v>
      </c>
      <c r="J1015" s="3">
        <f t="shared" si="175"/>
        <v>0.24166666666666661</v>
      </c>
      <c r="K1015" s="3"/>
      <c r="L1015" s="60">
        <f t="shared" si="169"/>
        <v>202.90027777777766</v>
      </c>
      <c r="M1015" s="40">
        <v>0</v>
      </c>
      <c r="N1015" s="40">
        <v>0</v>
      </c>
      <c r="O1015" s="40">
        <v>0</v>
      </c>
      <c r="P1015" s="40">
        <v>0</v>
      </c>
      <c r="Q1015" s="40">
        <v>0</v>
      </c>
      <c r="R1015" s="40">
        <v>0</v>
      </c>
      <c r="S1015" s="61">
        <f t="shared" si="170"/>
        <v>85.599999999999966</v>
      </c>
      <c r="T1015" s="40">
        <v>0</v>
      </c>
      <c r="U1015" s="40">
        <v>0</v>
      </c>
      <c r="V1015" s="40">
        <v>1</v>
      </c>
      <c r="W1015" s="40">
        <v>0</v>
      </c>
      <c r="X1015" s="67">
        <f t="shared" si="171"/>
        <v>128</v>
      </c>
      <c r="Z1015" s="71"/>
      <c r="AA1015" s="71"/>
      <c r="AB1015" s="67" t="str">
        <f t="shared" si="172"/>
        <v/>
      </c>
      <c r="AD1015" s="121"/>
      <c r="AE1015" s="121"/>
    </row>
    <row r="1016" spans="1:31" x14ac:dyDescent="0.25">
      <c r="A1016" s="57" t="s">
        <v>1118</v>
      </c>
      <c r="B1016" s="7">
        <v>0.36249999999999999</v>
      </c>
      <c r="C1016" s="3">
        <f t="shared" si="168"/>
        <v>0.70000000000000018</v>
      </c>
      <c r="D1016" s="10" t="s">
        <v>1119</v>
      </c>
      <c r="E1016" s="40">
        <v>0</v>
      </c>
      <c r="F1016" s="40">
        <v>2.5</v>
      </c>
      <c r="G1016" s="40">
        <v>6</v>
      </c>
      <c r="H1016" s="3">
        <f t="shared" si="173"/>
        <v>0</v>
      </c>
      <c r="I1016" s="3">
        <f t="shared" si="174"/>
        <v>7.2916666666666685E-2</v>
      </c>
      <c r="J1016" s="3">
        <f t="shared" si="175"/>
        <v>0.17500000000000004</v>
      </c>
      <c r="K1016" s="3"/>
      <c r="L1016" s="60">
        <f t="shared" si="169"/>
        <v>202.65236111111099</v>
      </c>
      <c r="M1016" s="40">
        <v>0</v>
      </c>
      <c r="N1016" s="40">
        <v>0</v>
      </c>
      <c r="O1016" s="40">
        <v>0</v>
      </c>
      <c r="P1016" s="40">
        <v>0</v>
      </c>
      <c r="Q1016" s="40">
        <v>0</v>
      </c>
      <c r="R1016" s="40">
        <v>0</v>
      </c>
      <c r="S1016" s="61">
        <f t="shared" si="170"/>
        <v>85.599999999999966</v>
      </c>
      <c r="T1016" s="40">
        <v>0</v>
      </c>
      <c r="U1016" s="40">
        <v>0</v>
      </c>
      <c r="V1016" s="40">
        <v>0</v>
      </c>
      <c r="W1016" s="40">
        <v>0</v>
      </c>
      <c r="X1016" s="67">
        <f t="shared" si="171"/>
        <v>128</v>
      </c>
      <c r="Z1016" s="71"/>
      <c r="AA1016" s="71"/>
      <c r="AB1016" s="67" t="str">
        <f t="shared" si="172"/>
        <v/>
      </c>
      <c r="AD1016" s="121"/>
      <c r="AE1016" s="121"/>
    </row>
    <row r="1017" spans="1:31" x14ac:dyDescent="0.25">
      <c r="A1017" s="57" t="s">
        <v>1118</v>
      </c>
      <c r="B1017" s="7">
        <v>0.375</v>
      </c>
      <c r="C1017" s="3">
        <f t="shared" si="168"/>
        <v>0.30000000000000027</v>
      </c>
      <c r="D1017" s="10" t="s">
        <v>616</v>
      </c>
      <c r="E1017" s="40">
        <v>10</v>
      </c>
      <c r="F1017" s="40">
        <v>2.5</v>
      </c>
      <c r="G1017" s="40">
        <v>6</v>
      </c>
      <c r="H1017" s="3">
        <f t="shared" si="173"/>
        <v>0.12500000000000011</v>
      </c>
      <c r="I1017" s="3">
        <f t="shared" si="174"/>
        <v>3.1250000000000028E-2</v>
      </c>
      <c r="J1017" s="3">
        <f t="shared" si="175"/>
        <v>7.5000000000000067E-2</v>
      </c>
      <c r="K1017" s="3"/>
      <c r="L1017" s="60">
        <f t="shared" si="169"/>
        <v>202.421111111111</v>
      </c>
      <c r="M1017" s="40">
        <v>0</v>
      </c>
      <c r="N1017" s="40">
        <v>0</v>
      </c>
      <c r="O1017" s="40">
        <v>0</v>
      </c>
      <c r="P1017" s="40">
        <v>0</v>
      </c>
      <c r="Q1017" s="40">
        <v>0</v>
      </c>
      <c r="R1017" s="40">
        <v>0</v>
      </c>
      <c r="S1017" s="61">
        <f t="shared" si="170"/>
        <v>85.599999999999966</v>
      </c>
      <c r="T1017" s="40">
        <v>0</v>
      </c>
      <c r="U1017" s="40">
        <v>0</v>
      </c>
      <c r="V1017" s="40">
        <v>0</v>
      </c>
      <c r="W1017" s="40">
        <v>0</v>
      </c>
      <c r="X1017" s="67">
        <f t="shared" si="171"/>
        <v>128</v>
      </c>
      <c r="Z1017" s="71"/>
      <c r="AA1017" s="71"/>
      <c r="AB1017" s="67" t="str">
        <f t="shared" si="172"/>
        <v/>
      </c>
      <c r="AD1017" s="121"/>
      <c r="AE1017" s="121"/>
    </row>
    <row r="1018" spans="1:31" x14ac:dyDescent="0.25">
      <c r="A1018" s="57" t="s">
        <v>1120</v>
      </c>
      <c r="B1018" s="65">
        <v>0.33333333333333331</v>
      </c>
      <c r="C1018" s="3">
        <f t="shared" si="168"/>
        <v>23</v>
      </c>
      <c r="D1018" s="10" t="s">
        <v>351</v>
      </c>
      <c r="E1018" s="40">
        <v>0</v>
      </c>
      <c r="F1018" s="40">
        <v>2.5</v>
      </c>
      <c r="G1018" s="40">
        <v>6</v>
      </c>
      <c r="H1018" s="3">
        <f t="shared" si="173"/>
        <v>0</v>
      </c>
      <c r="I1018" s="3">
        <f t="shared" si="174"/>
        <v>2.3958333333333335</v>
      </c>
      <c r="J1018" s="3">
        <f t="shared" si="175"/>
        <v>5.75</v>
      </c>
      <c r="K1018" s="3"/>
      <c r="L1018" s="60">
        <f t="shared" si="169"/>
        <v>194.27527777777766</v>
      </c>
      <c r="M1018" s="40">
        <v>0</v>
      </c>
      <c r="N1018" s="40">
        <v>0</v>
      </c>
      <c r="O1018" s="40">
        <v>0</v>
      </c>
      <c r="P1018" s="40">
        <v>0</v>
      </c>
      <c r="Q1018" s="40">
        <v>0</v>
      </c>
      <c r="R1018" s="40">
        <v>0</v>
      </c>
      <c r="S1018" s="61">
        <f t="shared" si="170"/>
        <v>85.599999999999966</v>
      </c>
      <c r="T1018" s="40">
        <v>0</v>
      </c>
      <c r="U1018" s="40">
        <v>200</v>
      </c>
      <c r="V1018" s="40">
        <v>6</v>
      </c>
      <c r="W1018" s="40">
        <v>0</v>
      </c>
      <c r="X1018" s="67">
        <f t="shared" si="171"/>
        <v>322</v>
      </c>
      <c r="Z1018" s="71">
        <v>148</v>
      </c>
      <c r="AA1018" s="71">
        <v>47</v>
      </c>
      <c r="AB1018" s="67">
        <f t="shared" si="172"/>
        <v>195</v>
      </c>
      <c r="AD1018" s="121"/>
      <c r="AE1018" s="121"/>
    </row>
    <row r="1019" spans="1:31" x14ac:dyDescent="0.25">
      <c r="A1019" s="57" t="s">
        <v>1121</v>
      </c>
      <c r="B1019" s="65">
        <v>0.33333333333333331</v>
      </c>
      <c r="C1019" s="3">
        <v>24</v>
      </c>
      <c r="D1019" s="10" t="s">
        <v>351</v>
      </c>
      <c r="E1019" s="40">
        <v>0</v>
      </c>
      <c r="F1019" s="40">
        <v>2.5</v>
      </c>
      <c r="G1019" s="40">
        <v>2</v>
      </c>
      <c r="H1019" s="3">
        <f t="shared" si="173"/>
        <v>0</v>
      </c>
      <c r="I1019" s="3">
        <f t="shared" si="174"/>
        <v>2.5</v>
      </c>
      <c r="J1019" s="3">
        <f t="shared" si="175"/>
        <v>2</v>
      </c>
      <c r="K1019" s="3"/>
      <c r="L1019" s="60">
        <f t="shared" si="169"/>
        <v>189.77527777777766</v>
      </c>
      <c r="M1019" s="40">
        <v>0</v>
      </c>
      <c r="N1019" s="40">
        <v>0</v>
      </c>
      <c r="O1019" s="40">
        <v>0</v>
      </c>
      <c r="P1019" s="40">
        <v>0</v>
      </c>
      <c r="Q1019" s="40">
        <v>6</v>
      </c>
      <c r="R1019" s="40">
        <v>0</v>
      </c>
      <c r="S1019" s="61">
        <f t="shared" si="170"/>
        <v>79.599999999999966</v>
      </c>
      <c r="T1019" s="40">
        <v>0</v>
      </c>
      <c r="U1019" s="40">
        <v>0</v>
      </c>
      <c r="V1019" s="40">
        <v>6</v>
      </c>
      <c r="W1019" s="40">
        <v>0</v>
      </c>
      <c r="X1019" s="67">
        <f t="shared" si="171"/>
        <v>316</v>
      </c>
      <c r="Z1019" s="71"/>
      <c r="AA1019" s="71"/>
      <c r="AB1019" s="67" t="str">
        <f t="shared" si="172"/>
        <v/>
      </c>
      <c r="AD1019" s="121"/>
      <c r="AE1019" s="121"/>
    </row>
    <row r="1020" spans="1:31" x14ac:dyDescent="0.25">
      <c r="A1020" s="57" t="s">
        <v>1122</v>
      </c>
      <c r="B1020" s="65">
        <v>0.33333333333333331</v>
      </c>
      <c r="C1020" s="3">
        <v>24</v>
      </c>
      <c r="D1020" s="10" t="s">
        <v>351</v>
      </c>
      <c r="E1020" s="40">
        <v>0</v>
      </c>
      <c r="F1020" s="40">
        <v>2.5</v>
      </c>
      <c r="G1020" s="40">
        <v>2</v>
      </c>
      <c r="H1020" s="3">
        <f t="shared" si="173"/>
        <v>0</v>
      </c>
      <c r="I1020" s="3">
        <f t="shared" si="174"/>
        <v>2.5</v>
      </c>
      <c r="J1020" s="3">
        <f t="shared" si="175"/>
        <v>2</v>
      </c>
      <c r="K1020" s="3"/>
      <c r="L1020" s="60">
        <f t="shared" si="169"/>
        <v>185.27527777777766</v>
      </c>
      <c r="M1020" s="40">
        <v>0</v>
      </c>
      <c r="N1020" s="40">
        <v>0</v>
      </c>
      <c r="O1020" s="40">
        <v>0</v>
      </c>
      <c r="P1020" s="40">
        <v>0</v>
      </c>
      <c r="Q1020" s="40">
        <v>6</v>
      </c>
      <c r="R1020" s="40">
        <v>0</v>
      </c>
      <c r="S1020" s="61">
        <f t="shared" si="170"/>
        <v>73.599999999999966</v>
      </c>
      <c r="T1020" s="40">
        <v>0</v>
      </c>
      <c r="U1020" s="40">
        <v>0</v>
      </c>
      <c r="V1020" s="40">
        <v>6</v>
      </c>
      <c r="W1020" s="40">
        <v>0</v>
      </c>
      <c r="X1020" s="67">
        <f t="shared" si="171"/>
        <v>310</v>
      </c>
      <c r="Z1020" s="71">
        <v>146</v>
      </c>
      <c r="AA1020" s="71">
        <v>47</v>
      </c>
      <c r="AB1020" s="67">
        <f t="shared" si="172"/>
        <v>193</v>
      </c>
      <c r="AD1020" s="121"/>
      <c r="AE1020" s="121"/>
    </row>
    <row r="1021" spans="1:31" x14ac:dyDescent="0.25">
      <c r="A1021" s="104" t="s">
        <v>1122</v>
      </c>
      <c r="B1021" s="7">
        <v>0.46666666666666662</v>
      </c>
      <c r="C1021" s="3">
        <f t="shared" ref="C1021:C1072" si="176">+IF((B1021-B1020)&lt;0,((B1021-B1020)*24)+24,(B1021-B1020)*24)</f>
        <v>3.1999999999999993</v>
      </c>
      <c r="D1021" s="10" t="s">
        <v>1011</v>
      </c>
      <c r="E1021" s="40">
        <v>0</v>
      </c>
      <c r="F1021" s="40">
        <v>2.5</v>
      </c>
      <c r="G1021" s="40">
        <v>2</v>
      </c>
      <c r="H1021" s="3">
        <f t="shared" ref="H1021:H1072" si="177">+IF(E1021="","",(E1021/24)*C1021)</f>
        <v>0</v>
      </c>
      <c r="I1021" s="3">
        <f t="shared" ref="I1021:I1072" si="178">+IF(F1021="","",(F1021/24)*C1021)</f>
        <v>0.33333333333333326</v>
      </c>
      <c r="J1021" s="3">
        <f t="shared" ref="J1021:J1072" si="179">+IF(G1021="","",(G1021/24)*C1021)</f>
        <v>0.26666666666666661</v>
      </c>
      <c r="K1021" s="3"/>
      <c r="L1021" s="60">
        <f t="shared" ref="L1021:L1072" si="180">+IF(C1021="","",(L1020+K1021)-(H1021+I1021+J1021))</f>
        <v>184.67527777777767</v>
      </c>
      <c r="M1021" s="40">
        <v>0</v>
      </c>
      <c r="N1021" s="40">
        <v>0</v>
      </c>
      <c r="O1021" s="40">
        <v>0</v>
      </c>
      <c r="P1021" s="40">
        <v>0</v>
      </c>
      <c r="Q1021" s="40">
        <v>0</v>
      </c>
      <c r="R1021" s="40">
        <v>0</v>
      </c>
      <c r="S1021" s="61">
        <f t="shared" ref="S1021:S1072" si="181">IF(C1021="","",(S1020+R1021)-(M1021+N1021+O1021+P1021+Q1021))</f>
        <v>73.599999999999966</v>
      </c>
      <c r="T1021" s="40">
        <v>0</v>
      </c>
      <c r="U1021" s="40">
        <v>0</v>
      </c>
      <c r="V1021" s="40">
        <v>0</v>
      </c>
      <c r="W1021" s="40">
        <v>0</v>
      </c>
      <c r="X1021" s="67">
        <f t="shared" ref="X1021:X1072" si="182">IF(V1021="","",((X1020+T1021+U1021)-(V1021+W1021)))</f>
        <v>310</v>
      </c>
      <c r="Z1021" s="71"/>
      <c r="AA1021" s="71"/>
      <c r="AB1021" s="67" t="str">
        <f t="shared" ref="AB1021:AB1072" si="183">IF(Z1021="","",Z1021+AA1021)</f>
        <v/>
      </c>
      <c r="AD1021" s="121"/>
      <c r="AE1021" s="121"/>
    </row>
    <row r="1022" spans="1:31" x14ac:dyDescent="0.25">
      <c r="A1022" s="104" t="s">
        <v>1122</v>
      </c>
      <c r="B1022" s="7">
        <v>0.59583333333333333</v>
      </c>
      <c r="C1022" s="3">
        <f t="shared" si="176"/>
        <v>3.100000000000001</v>
      </c>
      <c r="D1022" s="10" t="s">
        <v>616</v>
      </c>
      <c r="E1022" s="40">
        <v>10</v>
      </c>
      <c r="F1022" s="40">
        <v>2.5</v>
      </c>
      <c r="G1022" s="40">
        <v>2</v>
      </c>
      <c r="H1022" s="3">
        <f t="shared" si="177"/>
        <v>1.2916666666666672</v>
      </c>
      <c r="I1022" s="3">
        <f t="shared" si="178"/>
        <v>0.3229166666666668</v>
      </c>
      <c r="J1022" s="3">
        <f t="shared" si="179"/>
        <v>0.25833333333333341</v>
      </c>
      <c r="K1022" s="3"/>
      <c r="L1022" s="60">
        <f t="shared" si="180"/>
        <v>182.802361111111</v>
      </c>
      <c r="M1022" s="40">
        <v>0</v>
      </c>
      <c r="N1022" s="40">
        <v>0</v>
      </c>
      <c r="O1022" s="40">
        <v>0</v>
      </c>
      <c r="P1022" s="40">
        <v>0</v>
      </c>
      <c r="Q1022" s="40">
        <v>0</v>
      </c>
      <c r="R1022" s="40">
        <v>0</v>
      </c>
      <c r="S1022" s="61">
        <f t="shared" si="181"/>
        <v>73.599999999999966</v>
      </c>
      <c r="T1022" s="40">
        <v>0</v>
      </c>
      <c r="U1022" s="40">
        <v>0</v>
      </c>
      <c r="V1022" s="40">
        <v>2</v>
      </c>
      <c r="W1022" s="40">
        <v>0</v>
      </c>
      <c r="X1022" s="67">
        <f t="shared" si="182"/>
        <v>308</v>
      </c>
      <c r="Z1022" s="71"/>
      <c r="AA1022" s="71"/>
      <c r="AB1022" s="67" t="str">
        <f t="shared" si="183"/>
        <v/>
      </c>
      <c r="AD1022" s="121"/>
      <c r="AE1022" s="121"/>
    </row>
    <row r="1023" spans="1:31" x14ac:dyDescent="0.25">
      <c r="A1023" s="104" t="s">
        <v>1122</v>
      </c>
      <c r="B1023" s="7">
        <v>0.87916666666666676</v>
      </c>
      <c r="C1023" s="3">
        <f t="shared" si="176"/>
        <v>6.8000000000000025</v>
      </c>
      <c r="D1023" s="10" t="s">
        <v>1049</v>
      </c>
      <c r="E1023" s="40">
        <v>0</v>
      </c>
      <c r="F1023" s="40">
        <v>2.5</v>
      </c>
      <c r="G1023" s="40">
        <v>2</v>
      </c>
      <c r="H1023" s="3">
        <f t="shared" si="177"/>
        <v>0</v>
      </c>
      <c r="I1023" s="3">
        <f t="shared" si="178"/>
        <v>0.70833333333333359</v>
      </c>
      <c r="J1023" s="3">
        <f t="shared" si="179"/>
        <v>0.56666666666666687</v>
      </c>
      <c r="K1023" s="3"/>
      <c r="L1023" s="60">
        <f t="shared" si="180"/>
        <v>181.52736111111099</v>
      </c>
      <c r="M1023" s="40">
        <v>0</v>
      </c>
      <c r="N1023" s="40">
        <v>0</v>
      </c>
      <c r="O1023" s="40">
        <v>0</v>
      </c>
      <c r="P1023" s="40">
        <v>0</v>
      </c>
      <c r="Q1023" s="40">
        <v>0</v>
      </c>
      <c r="R1023" s="40">
        <v>0</v>
      </c>
      <c r="S1023" s="61">
        <f t="shared" si="181"/>
        <v>73.599999999999966</v>
      </c>
      <c r="T1023" s="40">
        <v>0</v>
      </c>
      <c r="U1023" s="40">
        <v>0</v>
      </c>
      <c r="V1023" s="40">
        <v>0</v>
      </c>
      <c r="W1023" s="40">
        <v>0</v>
      </c>
      <c r="X1023" s="67">
        <f t="shared" si="182"/>
        <v>308</v>
      </c>
      <c r="Z1023" s="71"/>
      <c r="AA1023" s="71"/>
      <c r="AB1023" s="67" t="str">
        <f t="shared" si="183"/>
        <v/>
      </c>
      <c r="AD1023" s="121"/>
      <c r="AE1023" s="121"/>
    </row>
    <row r="1024" spans="1:31" x14ac:dyDescent="0.25">
      <c r="A1024" s="104" t="s">
        <v>1123</v>
      </c>
      <c r="B1024" s="65">
        <v>0.33333333333333331</v>
      </c>
      <c r="C1024" s="3">
        <f t="shared" si="176"/>
        <v>10.899999999999999</v>
      </c>
      <c r="D1024" s="10" t="s">
        <v>1051</v>
      </c>
      <c r="E1024" s="40">
        <v>0</v>
      </c>
      <c r="F1024" s="40">
        <v>2.5</v>
      </c>
      <c r="G1024" s="40">
        <v>2</v>
      </c>
      <c r="H1024" s="3">
        <f t="shared" si="177"/>
        <v>0</v>
      </c>
      <c r="I1024" s="3">
        <f t="shared" si="178"/>
        <v>1.1354166666666665</v>
      </c>
      <c r="J1024" s="3">
        <f t="shared" si="179"/>
        <v>0.90833333333333321</v>
      </c>
      <c r="K1024" s="3"/>
      <c r="L1024" s="60">
        <f t="shared" si="180"/>
        <v>179.483611111111</v>
      </c>
      <c r="M1024" s="40">
        <v>0</v>
      </c>
      <c r="N1024" s="40">
        <v>0</v>
      </c>
      <c r="O1024" s="40">
        <v>0</v>
      </c>
      <c r="P1024" s="40">
        <v>0</v>
      </c>
      <c r="Q1024" s="40">
        <v>0</v>
      </c>
      <c r="R1024" s="40">
        <v>0</v>
      </c>
      <c r="S1024" s="61">
        <f t="shared" si="181"/>
        <v>73.599999999999966</v>
      </c>
      <c r="T1024" s="40">
        <v>0</v>
      </c>
      <c r="U1024" s="40">
        <v>0</v>
      </c>
      <c r="V1024" s="40">
        <v>4</v>
      </c>
      <c r="W1024" s="40">
        <v>0</v>
      </c>
      <c r="X1024" s="67">
        <f t="shared" si="182"/>
        <v>304</v>
      </c>
      <c r="Z1024" s="71">
        <v>140</v>
      </c>
      <c r="AA1024" s="71">
        <v>47</v>
      </c>
      <c r="AB1024" s="67">
        <f t="shared" si="183"/>
        <v>187</v>
      </c>
      <c r="AD1024" s="121"/>
      <c r="AE1024" s="121"/>
    </row>
    <row r="1025" spans="1:31" x14ac:dyDescent="0.25">
      <c r="A1025" s="104" t="s">
        <v>1123</v>
      </c>
      <c r="B1025" s="7">
        <v>0.80833333333333324</v>
      </c>
      <c r="C1025" s="3">
        <f t="shared" si="176"/>
        <v>11.399999999999999</v>
      </c>
      <c r="D1025" s="10" t="s">
        <v>1090</v>
      </c>
      <c r="E1025" s="40">
        <v>0</v>
      </c>
      <c r="F1025" s="40">
        <v>2.5</v>
      </c>
      <c r="G1025" s="40">
        <v>2</v>
      </c>
      <c r="H1025" s="3">
        <f t="shared" si="177"/>
        <v>0</v>
      </c>
      <c r="I1025" s="3">
        <f t="shared" si="178"/>
        <v>1.1875</v>
      </c>
      <c r="J1025" s="3">
        <f t="shared" si="179"/>
        <v>0.94999999999999984</v>
      </c>
      <c r="K1025" s="3"/>
      <c r="L1025" s="60">
        <f t="shared" si="180"/>
        <v>177.34611111111101</v>
      </c>
      <c r="M1025" s="40">
        <v>0</v>
      </c>
      <c r="N1025" s="40">
        <v>0</v>
      </c>
      <c r="O1025" s="40">
        <v>0</v>
      </c>
      <c r="P1025" s="40">
        <v>0</v>
      </c>
      <c r="Q1025" s="40">
        <v>0</v>
      </c>
      <c r="R1025" s="40">
        <v>0</v>
      </c>
      <c r="S1025" s="61">
        <f t="shared" si="181"/>
        <v>73.599999999999966</v>
      </c>
      <c r="T1025" s="40">
        <v>0</v>
      </c>
      <c r="U1025" s="40">
        <v>0</v>
      </c>
      <c r="V1025" s="40">
        <v>3</v>
      </c>
      <c r="W1025" s="40">
        <v>0</v>
      </c>
      <c r="X1025" s="67">
        <f t="shared" si="182"/>
        <v>301</v>
      </c>
      <c r="Z1025" s="71"/>
      <c r="AA1025" s="71"/>
      <c r="AB1025" s="67" t="str">
        <f t="shared" si="183"/>
        <v/>
      </c>
      <c r="AD1025" s="121"/>
      <c r="AE1025" s="121"/>
    </row>
    <row r="1026" spans="1:31" x14ac:dyDescent="0.25">
      <c r="A1026" s="104" t="s">
        <v>1123</v>
      </c>
      <c r="B1026" s="7">
        <v>0.96250000000000002</v>
      </c>
      <c r="C1026" s="3">
        <f t="shared" si="176"/>
        <v>3.7000000000000028</v>
      </c>
      <c r="D1026" s="10" t="s">
        <v>1011</v>
      </c>
      <c r="E1026" s="40">
        <v>0</v>
      </c>
      <c r="F1026" s="40">
        <v>2.5</v>
      </c>
      <c r="G1026" s="40">
        <v>2</v>
      </c>
      <c r="H1026" s="3">
        <f t="shared" si="177"/>
        <v>0</v>
      </c>
      <c r="I1026" s="3">
        <f t="shared" si="178"/>
        <v>0.38541666666666696</v>
      </c>
      <c r="J1026" s="3">
        <f t="shared" si="179"/>
        <v>0.30833333333333357</v>
      </c>
      <c r="K1026" s="3"/>
      <c r="L1026" s="60">
        <f t="shared" si="180"/>
        <v>176.65236111111102</v>
      </c>
      <c r="M1026" s="40">
        <v>0</v>
      </c>
      <c r="N1026" s="40">
        <v>0</v>
      </c>
      <c r="O1026" s="40">
        <v>0</v>
      </c>
      <c r="P1026" s="40">
        <v>0</v>
      </c>
      <c r="Q1026" s="40">
        <v>0</v>
      </c>
      <c r="R1026" s="40">
        <v>0</v>
      </c>
      <c r="S1026" s="61">
        <f t="shared" si="181"/>
        <v>73.599999999999966</v>
      </c>
      <c r="T1026" s="40">
        <v>0</v>
      </c>
      <c r="U1026" s="40">
        <v>0</v>
      </c>
      <c r="V1026" s="40">
        <v>0</v>
      </c>
      <c r="W1026" s="40">
        <v>0</v>
      </c>
      <c r="X1026" s="67">
        <f t="shared" si="182"/>
        <v>301</v>
      </c>
      <c r="Z1026" s="71"/>
      <c r="AA1026" s="71"/>
      <c r="AB1026" s="67" t="str">
        <f t="shared" si="183"/>
        <v/>
      </c>
      <c r="AD1026" s="121"/>
      <c r="AE1026" s="121"/>
    </row>
    <row r="1027" spans="1:31" x14ac:dyDescent="0.25">
      <c r="A1027" s="104" t="s">
        <v>1123</v>
      </c>
      <c r="B1027" s="7">
        <v>0.98749999999999993</v>
      </c>
      <c r="C1027" s="3">
        <f t="shared" si="176"/>
        <v>0.59999999999999787</v>
      </c>
      <c r="D1027" s="10" t="s">
        <v>1026</v>
      </c>
      <c r="E1027" s="40">
        <v>10</v>
      </c>
      <c r="F1027" s="40">
        <v>2.5</v>
      </c>
      <c r="G1027" s="40">
        <v>2</v>
      </c>
      <c r="H1027" s="3">
        <f t="shared" si="177"/>
        <v>0.24999999999999911</v>
      </c>
      <c r="I1027" s="3">
        <f t="shared" si="178"/>
        <v>6.2499999999999778E-2</v>
      </c>
      <c r="J1027" s="3">
        <f t="shared" si="179"/>
        <v>4.9999999999999822E-2</v>
      </c>
      <c r="K1027" s="3"/>
      <c r="L1027" s="60">
        <f t="shared" si="180"/>
        <v>176.28986111111101</v>
      </c>
      <c r="M1027" s="40">
        <v>0</v>
      </c>
      <c r="N1027" s="40">
        <v>0</v>
      </c>
      <c r="O1027" s="40">
        <v>0</v>
      </c>
      <c r="P1027" s="40">
        <v>0</v>
      </c>
      <c r="Q1027" s="40">
        <v>0</v>
      </c>
      <c r="R1027" s="40">
        <v>0</v>
      </c>
      <c r="S1027" s="61">
        <f t="shared" si="181"/>
        <v>73.599999999999966</v>
      </c>
      <c r="T1027" s="40">
        <v>0</v>
      </c>
      <c r="U1027" s="40">
        <v>0</v>
      </c>
      <c r="V1027" s="40">
        <v>0</v>
      </c>
      <c r="W1027" s="40">
        <v>0</v>
      </c>
      <c r="X1027" s="67">
        <f t="shared" si="182"/>
        <v>301</v>
      </c>
      <c r="Z1027" s="71"/>
      <c r="AA1027" s="71"/>
      <c r="AB1027" s="67" t="str">
        <f t="shared" si="183"/>
        <v/>
      </c>
      <c r="AD1027" s="121"/>
      <c r="AE1027" s="121"/>
    </row>
    <row r="1028" spans="1:31" x14ac:dyDescent="0.25">
      <c r="A1028" s="104" t="s">
        <v>1124</v>
      </c>
      <c r="B1028" s="65">
        <v>0.33333333333333331</v>
      </c>
      <c r="C1028" s="3">
        <f t="shared" si="176"/>
        <v>8.3000000000000025</v>
      </c>
      <c r="D1028" s="10" t="s">
        <v>355</v>
      </c>
      <c r="E1028" s="40">
        <v>24</v>
      </c>
      <c r="F1028" s="40">
        <v>2.5</v>
      </c>
      <c r="G1028" s="40">
        <v>6</v>
      </c>
      <c r="H1028" s="3">
        <f t="shared" si="177"/>
        <v>8.3000000000000025</v>
      </c>
      <c r="I1028" s="3">
        <f t="shared" si="178"/>
        <v>0.86458333333333359</v>
      </c>
      <c r="J1028" s="3">
        <f t="shared" si="179"/>
        <v>2.0750000000000006</v>
      </c>
      <c r="K1028" s="3"/>
      <c r="L1028" s="60">
        <f t="shared" si="180"/>
        <v>165.05027777777767</v>
      </c>
      <c r="M1028" s="40">
        <v>0</v>
      </c>
      <c r="N1028" s="40">
        <v>0</v>
      </c>
      <c r="O1028" s="40">
        <v>0</v>
      </c>
      <c r="P1028" s="40">
        <v>0</v>
      </c>
      <c r="Q1028" s="40">
        <v>0</v>
      </c>
      <c r="R1028" s="40">
        <v>0</v>
      </c>
      <c r="S1028" s="61">
        <f t="shared" si="181"/>
        <v>73.599999999999966</v>
      </c>
      <c r="T1028" s="40">
        <v>2</v>
      </c>
      <c r="U1028" s="40">
        <v>0</v>
      </c>
      <c r="V1028" s="40">
        <v>3</v>
      </c>
      <c r="W1028" s="40">
        <v>0</v>
      </c>
      <c r="X1028" s="67">
        <f t="shared" si="182"/>
        <v>300</v>
      </c>
      <c r="Z1028" s="71">
        <v>136</v>
      </c>
      <c r="AA1028" s="71">
        <v>48</v>
      </c>
      <c r="AB1028" s="67">
        <f t="shared" si="183"/>
        <v>184</v>
      </c>
      <c r="AD1028" s="121"/>
      <c r="AE1028" s="121"/>
    </row>
    <row r="1029" spans="1:31" x14ac:dyDescent="0.25">
      <c r="A1029" s="104" t="s">
        <v>1124</v>
      </c>
      <c r="B1029" s="7">
        <v>0.63750000000000007</v>
      </c>
      <c r="C1029" s="3">
        <f t="shared" si="176"/>
        <v>7.3000000000000025</v>
      </c>
      <c r="D1029" s="10" t="s">
        <v>201</v>
      </c>
      <c r="E1029" s="40">
        <v>24</v>
      </c>
      <c r="F1029" s="40">
        <v>2.5</v>
      </c>
      <c r="G1029" s="40">
        <v>6</v>
      </c>
      <c r="H1029" s="3">
        <f t="shared" si="177"/>
        <v>7.3000000000000025</v>
      </c>
      <c r="I1029" s="3">
        <f t="shared" si="178"/>
        <v>0.76041666666666696</v>
      </c>
      <c r="J1029" s="3">
        <f t="shared" si="179"/>
        <v>1.8250000000000006</v>
      </c>
      <c r="K1029" s="3"/>
      <c r="L1029" s="60">
        <f t="shared" si="180"/>
        <v>155.16486111111101</v>
      </c>
      <c r="M1029" s="40">
        <v>0</v>
      </c>
      <c r="N1029" s="40">
        <v>0</v>
      </c>
      <c r="O1029" s="40">
        <v>0</v>
      </c>
      <c r="P1029" s="40">
        <v>0</v>
      </c>
      <c r="Q1029" s="40">
        <v>0</v>
      </c>
      <c r="R1029" s="40">
        <v>0</v>
      </c>
      <c r="S1029" s="61">
        <f t="shared" si="181"/>
        <v>73.599999999999966</v>
      </c>
      <c r="T1029" s="40">
        <v>2</v>
      </c>
      <c r="U1029" s="40">
        <v>0</v>
      </c>
      <c r="V1029" s="40">
        <v>3</v>
      </c>
      <c r="W1029" s="40">
        <v>0</v>
      </c>
      <c r="X1029" s="67">
        <f t="shared" si="182"/>
        <v>299</v>
      </c>
      <c r="Z1029" s="71"/>
      <c r="AA1029" s="71"/>
      <c r="AB1029" s="67" t="str">
        <f t="shared" si="183"/>
        <v/>
      </c>
      <c r="AD1029" s="121">
        <v>12.5</v>
      </c>
      <c r="AE1029" s="121" t="s">
        <v>1296</v>
      </c>
    </row>
    <row r="1030" spans="1:31" x14ac:dyDescent="0.25">
      <c r="A1030" s="104" t="s">
        <v>1124</v>
      </c>
      <c r="B1030" s="7">
        <v>0.66666666666666663</v>
      </c>
      <c r="C1030" s="3">
        <f t="shared" si="176"/>
        <v>0.69999999999999751</v>
      </c>
      <c r="D1030" s="10" t="s">
        <v>616</v>
      </c>
      <c r="E1030" s="40">
        <v>10</v>
      </c>
      <c r="F1030" s="40">
        <v>2.5</v>
      </c>
      <c r="G1030" s="40">
        <v>6</v>
      </c>
      <c r="H1030" s="3">
        <f t="shared" si="177"/>
        <v>0.29166666666666563</v>
      </c>
      <c r="I1030" s="3">
        <f t="shared" si="178"/>
        <v>7.2916666666666408E-2</v>
      </c>
      <c r="J1030" s="3">
        <f t="shared" si="179"/>
        <v>0.17499999999999938</v>
      </c>
      <c r="K1030" s="3"/>
      <c r="L1030" s="60">
        <f t="shared" si="180"/>
        <v>154.62527777777768</v>
      </c>
      <c r="M1030" s="40">
        <v>0</v>
      </c>
      <c r="N1030" s="40">
        <v>0</v>
      </c>
      <c r="O1030" s="40">
        <v>0</v>
      </c>
      <c r="P1030" s="40">
        <v>0</v>
      </c>
      <c r="Q1030" s="40">
        <v>0</v>
      </c>
      <c r="R1030" s="40">
        <v>0</v>
      </c>
      <c r="S1030" s="61">
        <f t="shared" si="181"/>
        <v>73.599999999999966</v>
      </c>
      <c r="T1030" s="40">
        <v>0</v>
      </c>
      <c r="U1030" s="40">
        <v>0</v>
      </c>
      <c r="V1030" s="40">
        <v>0</v>
      </c>
      <c r="W1030" s="40">
        <v>0</v>
      </c>
      <c r="X1030" s="67">
        <f t="shared" si="182"/>
        <v>299</v>
      </c>
      <c r="Z1030" s="71"/>
      <c r="AA1030" s="71"/>
      <c r="AB1030" s="67" t="str">
        <f t="shared" si="183"/>
        <v/>
      </c>
      <c r="AD1030" s="121"/>
      <c r="AE1030" s="121"/>
    </row>
    <row r="1031" spans="1:31" x14ac:dyDescent="0.25">
      <c r="A1031" s="104" t="s">
        <v>1124</v>
      </c>
      <c r="B1031" s="7">
        <v>0.7583333333333333</v>
      </c>
      <c r="C1031" s="3">
        <f t="shared" si="176"/>
        <v>2.2000000000000002</v>
      </c>
      <c r="D1031" s="10" t="s">
        <v>1011</v>
      </c>
      <c r="E1031" s="40">
        <v>0</v>
      </c>
      <c r="F1031" s="40">
        <v>2.5</v>
      </c>
      <c r="G1031" s="40">
        <v>6</v>
      </c>
      <c r="H1031" s="3">
        <f t="shared" si="177"/>
        <v>0</v>
      </c>
      <c r="I1031" s="3">
        <f t="shared" si="178"/>
        <v>0.22916666666666669</v>
      </c>
      <c r="J1031" s="3">
        <f t="shared" si="179"/>
        <v>0.55000000000000004</v>
      </c>
      <c r="K1031" s="3"/>
      <c r="L1031" s="60">
        <f t="shared" si="180"/>
        <v>153.84611111111101</v>
      </c>
      <c r="M1031" s="40">
        <v>0</v>
      </c>
      <c r="N1031" s="40">
        <v>0</v>
      </c>
      <c r="O1031" s="40">
        <v>0</v>
      </c>
      <c r="P1031" s="40">
        <v>0</v>
      </c>
      <c r="Q1031" s="40">
        <v>0</v>
      </c>
      <c r="R1031" s="40">
        <v>0</v>
      </c>
      <c r="S1031" s="61">
        <f t="shared" si="181"/>
        <v>73.599999999999966</v>
      </c>
      <c r="T1031" s="40">
        <v>0</v>
      </c>
      <c r="U1031" s="40">
        <v>0</v>
      </c>
      <c r="V1031" s="40">
        <v>0</v>
      </c>
      <c r="W1031" s="40">
        <v>0</v>
      </c>
      <c r="X1031" s="67">
        <f t="shared" si="182"/>
        <v>299</v>
      </c>
      <c r="Z1031" s="71"/>
      <c r="AA1031" s="71"/>
      <c r="AB1031" s="67" t="str">
        <f t="shared" si="183"/>
        <v/>
      </c>
      <c r="AD1031" s="121"/>
      <c r="AE1031" s="121"/>
    </row>
    <row r="1032" spans="1:31" x14ac:dyDescent="0.25">
      <c r="A1032" s="104" t="s">
        <v>1124</v>
      </c>
      <c r="B1032" s="7">
        <v>0.83333333333333337</v>
      </c>
      <c r="C1032" s="3">
        <f t="shared" si="176"/>
        <v>1.8000000000000016</v>
      </c>
      <c r="D1032" s="10" t="s">
        <v>616</v>
      </c>
      <c r="E1032" s="40">
        <v>10</v>
      </c>
      <c r="F1032" s="40">
        <v>2.5</v>
      </c>
      <c r="G1032" s="40">
        <v>6</v>
      </c>
      <c r="H1032" s="3">
        <f t="shared" si="177"/>
        <v>0.75000000000000067</v>
      </c>
      <c r="I1032" s="3">
        <f t="shared" si="178"/>
        <v>0.18750000000000017</v>
      </c>
      <c r="J1032" s="3">
        <f t="shared" si="179"/>
        <v>0.4500000000000004</v>
      </c>
      <c r="K1032" s="3"/>
      <c r="L1032" s="60">
        <f t="shared" si="180"/>
        <v>152.45861111111103</v>
      </c>
      <c r="M1032" s="40">
        <v>0</v>
      </c>
      <c r="N1032" s="40">
        <v>0</v>
      </c>
      <c r="O1032" s="40">
        <v>0</v>
      </c>
      <c r="P1032" s="40">
        <v>0</v>
      </c>
      <c r="Q1032" s="40">
        <v>0</v>
      </c>
      <c r="R1032" s="40">
        <v>0</v>
      </c>
      <c r="S1032" s="61">
        <f t="shared" si="181"/>
        <v>73.599999999999966</v>
      </c>
      <c r="T1032" s="40">
        <v>0</v>
      </c>
      <c r="U1032" s="40">
        <v>0</v>
      </c>
      <c r="V1032" s="40">
        <v>0</v>
      </c>
      <c r="W1032" s="40">
        <v>0</v>
      </c>
      <c r="X1032" s="67">
        <f t="shared" si="182"/>
        <v>299</v>
      </c>
      <c r="Z1032" s="71"/>
      <c r="AA1032" s="71"/>
      <c r="AB1032" s="67" t="str">
        <f t="shared" si="183"/>
        <v/>
      </c>
      <c r="AD1032" s="121"/>
      <c r="AE1032" s="121"/>
    </row>
    <row r="1033" spans="1:31" x14ac:dyDescent="0.25">
      <c r="A1033" s="104" t="s">
        <v>1124</v>
      </c>
      <c r="B1033" s="7">
        <v>0.9916666666666667</v>
      </c>
      <c r="C1033" s="3">
        <f t="shared" si="176"/>
        <v>3.8</v>
      </c>
      <c r="D1033" s="10" t="s">
        <v>1004</v>
      </c>
      <c r="E1033" s="40">
        <v>0</v>
      </c>
      <c r="F1033" s="40">
        <v>2.5</v>
      </c>
      <c r="G1033" s="40">
        <v>6</v>
      </c>
      <c r="H1033" s="3">
        <f t="shared" si="177"/>
        <v>0</v>
      </c>
      <c r="I1033" s="3">
        <f t="shared" si="178"/>
        <v>0.39583333333333331</v>
      </c>
      <c r="J1033" s="3">
        <f t="shared" si="179"/>
        <v>0.95</v>
      </c>
      <c r="K1033" s="3"/>
      <c r="L1033" s="60">
        <f t="shared" si="180"/>
        <v>151.11277777777769</v>
      </c>
      <c r="M1033" s="40">
        <v>0</v>
      </c>
      <c r="N1033" s="40">
        <v>0</v>
      </c>
      <c r="O1033" s="40">
        <v>0</v>
      </c>
      <c r="P1033" s="40">
        <v>0</v>
      </c>
      <c r="Q1033" s="40">
        <v>0</v>
      </c>
      <c r="R1033" s="40">
        <v>0</v>
      </c>
      <c r="S1033" s="61">
        <f t="shared" si="181"/>
        <v>73.599999999999966</v>
      </c>
      <c r="T1033" s="40">
        <v>0</v>
      </c>
      <c r="U1033" s="40">
        <v>0</v>
      </c>
      <c r="V1033" s="40">
        <v>0</v>
      </c>
      <c r="W1033" s="40">
        <v>0</v>
      </c>
      <c r="X1033" s="67">
        <f t="shared" si="182"/>
        <v>299</v>
      </c>
      <c r="Z1033" s="71"/>
      <c r="AA1033" s="71"/>
      <c r="AB1033" s="67" t="str">
        <f t="shared" si="183"/>
        <v/>
      </c>
      <c r="AD1033" s="121"/>
      <c r="AE1033" s="121"/>
    </row>
    <row r="1034" spans="1:31" x14ac:dyDescent="0.25">
      <c r="A1034" s="104" t="s">
        <v>1125</v>
      </c>
      <c r="B1034" s="65">
        <v>0.33333333333333331</v>
      </c>
      <c r="C1034" s="3">
        <f t="shared" si="176"/>
        <v>8.1999999999999975</v>
      </c>
      <c r="D1034" s="10" t="s">
        <v>966</v>
      </c>
      <c r="E1034" s="40">
        <v>0</v>
      </c>
      <c r="F1034" s="40">
        <v>2.5</v>
      </c>
      <c r="G1034" s="40">
        <v>6</v>
      </c>
      <c r="H1034" s="3">
        <f t="shared" si="177"/>
        <v>0</v>
      </c>
      <c r="I1034" s="3">
        <f t="shared" si="178"/>
        <v>0.85416666666666641</v>
      </c>
      <c r="J1034" s="3">
        <f t="shared" si="179"/>
        <v>2.0499999999999994</v>
      </c>
      <c r="K1034" s="3"/>
      <c r="L1034" s="60">
        <f t="shared" si="180"/>
        <v>148.20861111111103</v>
      </c>
      <c r="M1034" s="40">
        <v>0</v>
      </c>
      <c r="N1034" s="40">
        <v>0</v>
      </c>
      <c r="O1034" s="40">
        <v>0</v>
      </c>
      <c r="P1034" s="40">
        <v>0</v>
      </c>
      <c r="Q1034" s="40">
        <v>2</v>
      </c>
      <c r="R1034" s="40">
        <v>0</v>
      </c>
      <c r="S1034" s="61">
        <f t="shared" si="181"/>
        <v>71.599999999999966</v>
      </c>
      <c r="T1034" s="40">
        <v>0</v>
      </c>
      <c r="U1034" s="40">
        <v>0</v>
      </c>
      <c r="V1034" s="40">
        <v>3</v>
      </c>
      <c r="W1034" s="40">
        <v>0</v>
      </c>
      <c r="X1034" s="67">
        <f t="shared" si="182"/>
        <v>296</v>
      </c>
      <c r="Z1034" s="71">
        <v>132</v>
      </c>
      <c r="AA1034" s="71">
        <v>52</v>
      </c>
      <c r="AB1034" s="67">
        <f t="shared" si="183"/>
        <v>184</v>
      </c>
      <c r="AD1034" s="121"/>
      <c r="AE1034" s="121"/>
    </row>
    <row r="1035" spans="1:31" x14ac:dyDescent="0.25">
      <c r="A1035" s="104" t="s">
        <v>1125</v>
      </c>
      <c r="B1035" s="7">
        <v>0.45833333333333331</v>
      </c>
      <c r="C1035" s="3">
        <f t="shared" si="176"/>
        <v>3</v>
      </c>
      <c r="D1035" s="10" t="s">
        <v>1079</v>
      </c>
      <c r="E1035" s="40">
        <v>0</v>
      </c>
      <c r="F1035" s="40">
        <v>2.5</v>
      </c>
      <c r="G1035" s="40">
        <v>2</v>
      </c>
      <c r="H1035" s="3">
        <f t="shared" si="177"/>
        <v>0</v>
      </c>
      <c r="I1035" s="3">
        <f t="shared" si="178"/>
        <v>0.3125</v>
      </c>
      <c r="J1035" s="3">
        <f t="shared" si="179"/>
        <v>0.25</v>
      </c>
      <c r="K1035" s="3"/>
      <c r="L1035" s="60">
        <f t="shared" si="180"/>
        <v>147.64611111111103</v>
      </c>
      <c r="M1035" s="40">
        <v>0</v>
      </c>
      <c r="N1035" s="40">
        <v>0</v>
      </c>
      <c r="O1035" s="40">
        <v>0</v>
      </c>
      <c r="P1035" s="40">
        <v>0</v>
      </c>
      <c r="Q1035" s="40">
        <v>1.5</v>
      </c>
      <c r="R1035" s="40">
        <v>0</v>
      </c>
      <c r="S1035" s="61">
        <f t="shared" si="181"/>
        <v>70.099999999999966</v>
      </c>
      <c r="T1035" s="40">
        <v>0</v>
      </c>
      <c r="U1035" s="40">
        <v>0</v>
      </c>
      <c r="V1035" s="40">
        <v>0</v>
      </c>
      <c r="W1035" s="40">
        <v>0</v>
      </c>
      <c r="X1035" s="67">
        <f t="shared" si="182"/>
        <v>296</v>
      </c>
      <c r="Z1035" s="71"/>
      <c r="AA1035" s="71"/>
      <c r="AB1035" s="67" t="str">
        <f t="shared" si="183"/>
        <v/>
      </c>
      <c r="AD1035" s="121"/>
      <c r="AE1035" s="121"/>
    </row>
    <row r="1036" spans="1:31" x14ac:dyDescent="0.25">
      <c r="A1036" s="104" t="s">
        <v>1125</v>
      </c>
      <c r="B1036" s="7">
        <v>0.60416666666666663</v>
      </c>
      <c r="C1036" s="3">
        <f t="shared" si="176"/>
        <v>3.4999999999999996</v>
      </c>
      <c r="D1036" s="10" t="s">
        <v>1011</v>
      </c>
      <c r="E1036" s="40">
        <v>0</v>
      </c>
      <c r="F1036" s="40">
        <v>2.5</v>
      </c>
      <c r="G1036" s="40">
        <v>2</v>
      </c>
      <c r="H1036" s="3">
        <f t="shared" si="177"/>
        <v>0</v>
      </c>
      <c r="I1036" s="3">
        <f t="shared" si="178"/>
        <v>0.36458333333333331</v>
      </c>
      <c r="J1036" s="3">
        <f t="shared" si="179"/>
        <v>0.29166666666666663</v>
      </c>
      <c r="K1036" s="3"/>
      <c r="L1036" s="60">
        <f t="shared" si="180"/>
        <v>146.98986111111103</v>
      </c>
      <c r="M1036" s="40">
        <v>0</v>
      </c>
      <c r="N1036" s="40">
        <v>0</v>
      </c>
      <c r="O1036" s="40">
        <v>0</v>
      </c>
      <c r="P1036" s="40">
        <v>0</v>
      </c>
      <c r="Q1036" s="40">
        <v>0</v>
      </c>
      <c r="R1036" s="40">
        <v>0</v>
      </c>
      <c r="S1036" s="61">
        <f t="shared" si="181"/>
        <v>70.099999999999966</v>
      </c>
      <c r="T1036" s="40">
        <v>0</v>
      </c>
      <c r="U1036" s="40">
        <v>0</v>
      </c>
      <c r="V1036" s="40">
        <v>0</v>
      </c>
      <c r="W1036" s="40">
        <v>0</v>
      </c>
      <c r="X1036" s="67">
        <f t="shared" si="182"/>
        <v>296</v>
      </c>
      <c r="Z1036" s="71"/>
      <c r="AA1036" s="71"/>
      <c r="AB1036" s="67" t="str">
        <f t="shared" si="183"/>
        <v/>
      </c>
      <c r="AD1036" s="121"/>
      <c r="AE1036" s="121"/>
    </row>
    <row r="1037" spans="1:31" x14ac:dyDescent="0.25">
      <c r="A1037" s="104" t="s">
        <v>1125</v>
      </c>
      <c r="B1037" s="7">
        <v>0.64583333333333337</v>
      </c>
      <c r="C1037" s="3">
        <f t="shared" si="176"/>
        <v>1.0000000000000018</v>
      </c>
      <c r="D1037" s="10" t="s">
        <v>1026</v>
      </c>
      <c r="E1037" s="40">
        <v>10</v>
      </c>
      <c r="F1037" s="40">
        <v>2.5</v>
      </c>
      <c r="G1037" s="40">
        <v>2</v>
      </c>
      <c r="H1037" s="3">
        <f t="shared" si="177"/>
        <v>0.41666666666666741</v>
      </c>
      <c r="I1037" s="3">
        <f t="shared" si="178"/>
        <v>0.10416666666666685</v>
      </c>
      <c r="J1037" s="3">
        <f t="shared" si="179"/>
        <v>8.3333333333333481E-2</v>
      </c>
      <c r="K1037" s="3"/>
      <c r="L1037" s="60">
        <f t="shared" si="180"/>
        <v>146.38569444444437</v>
      </c>
      <c r="M1037" s="40">
        <v>0</v>
      </c>
      <c r="N1037" s="40">
        <v>0</v>
      </c>
      <c r="O1037" s="40">
        <v>0</v>
      </c>
      <c r="P1037" s="40">
        <v>0</v>
      </c>
      <c r="Q1037" s="40">
        <v>0</v>
      </c>
      <c r="R1037" s="40">
        <v>0</v>
      </c>
      <c r="S1037" s="61">
        <f t="shared" si="181"/>
        <v>70.099999999999966</v>
      </c>
      <c r="T1037" s="40">
        <v>0</v>
      </c>
      <c r="U1037" s="40">
        <v>0</v>
      </c>
      <c r="V1037" s="40">
        <v>0</v>
      </c>
      <c r="W1037" s="40">
        <v>0</v>
      </c>
      <c r="X1037" s="67">
        <f t="shared" si="182"/>
        <v>296</v>
      </c>
      <c r="Z1037" s="71"/>
      <c r="AA1037" s="71"/>
      <c r="AB1037" s="67" t="str">
        <f t="shared" si="183"/>
        <v/>
      </c>
      <c r="AD1037" s="121"/>
      <c r="AE1037" s="121"/>
    </row>
    <row r="1038" spans="1:31" x14ac:dyDescent="0.25">
      <c r="A1038" s="104" t="s">
        <v>1126</v>
      </c>
      <c r="B1038" s="65">
        <v>0.33333333333333331</v>
      </c>
      <c r="C1038" s="3">
        <f t="shared" si="176"/>
        <v>16.5</v>
      </c>
      <c r="D1038" s="10" t="s">
        <v>355</v>
      </c>
      <c r="E1038" s="40">
        <v>25</v>
      </c>
      <c r="F1038" s="40">
        <v>2.5</v>
      </c>
      <c r="G1038" s="40">
        <v>0</v>
      </c>
      <c r="H1038" s="3">
        <f t="shared" si="177"/>
        <v>17.1875</v>
      </c>
      <c r="I1038" s="3">
        <f t="shared" si="178"/>
        <v>1.71875</v>
      </c>
      <c r="J1038" s="3">
        <f t="shared" si="179"/>
        <v>0</v>
      </c>
      <c r="K1038" s="3"/>
      <c r="L1038" s="60">
        <f t="shared" si="180"/>
        <v>127.47944444444437</v>
      </c>
      <c r="M1038" s="40">
        <v>0</v>
      </c>
      <c r="N1038" s="40">
        <v>0</v>
      </c>
      <c r="O1038" s="40">
        <v>0</v>
      </c>
      <c r="P1038" s="40">
        <v>0</v>
      </c>
      <c r="Q1038" s="40">
        <v>0</v>
      </c>
      <c r="R1038" s="40">
        <v>0</v>
      </c>
      <c r="S1038" s="61">
        <f t="shared" si="181"/>
        <v>70.099999999999966</v>
      </c>
      <c r="T1038" s="40">
        <v>2</v>
      </c>
      <c r="U1038" s="40">
        <v>0</v>
      </c>
      <c r="V1038" s="40">
        <v>6</v>
      </c>
      <c r="W1038" s="40">
        <v>0</v>
      </c>
      <c r="X1038" s="67">
        <f t="shared" si="182"/>
        <v>292</v>
      </c>
      <c r="Z1038" s="71">
        <v>128</v>
      </c>
      <c r="AA1038" s="71">
        <v>58</v>
      </c>
      <c r="AB1038" s="67">
        <f t="shared" si="183"/>
        <v>186</v>
      </c>
      <c r="AD1038" s="121"/>
      <c r="AE1038" s="121"/>
    </row>
    <row r="1039" spans="1:31" x14ac:dyDescent="0.25">
      <c r="A1039" s="104" t="s">
        <v>1126</v>
      </c>
      <c r="B1039" s="7">
        <v>0.34166666666666662</v>
      </c>
      <c r="C1039" s="3">
        <f t="shared" si="176"/>
        <v>0.19999999999999929</v>
      </c>
      <c r="D1039" s="10" t="s">
        <v>201</v>
      </c>
      <c r="E1039" s="40">
        <v>25</v>
      </c>
      <c r="F1039" s="40">
        <v>2.5</v>
      </c>
      <c r="G1039" s="40">
        <v>0</v>
      </c>
      <c r="H1039" s="3">
        <f t="shared" si="177"/>
        <v>0.20833333333333262</v>
      </c>
      <c r="I1039" s="3">
        <f t="shared" si="178"/>
        <v>2.0833333333333259E-2</v>
      </c>
      <c r="J1039" s="3">
        <f t="shared" si="179"/>
        <v>0</v>
      </c>
      <c r="K1039" s="3"/>
      <c r="L1039" s="60">
        <f t="shared" si="180"/>
        <v>127.2502777777777</v>
      </c>
      <c r="M1039" s="40">
        <v>0</v>
      </c>
      <c r="N1039" s="40">
        <v>0</v>
      </c>
      <c r="O1039" s="40">
        <v>0</v>
      </c>
      <c r="P1039" s="40">
        <v>0</v>
      </c>
      <c r="Q1039" s="40">
        <v>0</v>
      </c>
      <c r="R1039" s="40">
        <v>0</v>
      </c>
      <c r="S1039" s="61">
        <f t="shared" si="181"/>
        <v>70.099999999999966</v>
      </c>
      <c r="T1039" s="40">
        <v>0</v>
      </c>
      <c r="U1039" s="40">
        <v>0</v>
      </c>
      <c r="V1039" s="40">
        <v>0</v>
      </c>
      <c r="W1039" s="40">
        <v>0</v>
      </c>
      <c r="X1039" s="67">
        <f t="shared" si="182"/>
        <v>292</v>
      </c>
      <c r="Z1039" s="71"/>
      <c r="AA1039" s="71"/>
      <c r="AB1039" s="67" t="str">
        <f t="shared" si="183"/>
        <v/>
      </c>
      <c r="AD1039" s="121">
        <v>12.1</v>
      </c>
      <c r="AE1039" s="121" t="s">
        <v>1296</v>
      </c>
    </row>
    <row r="1040" spans="1:31" x14ac:dyDescent="0.25">
      <c r="A1040" s="104" t="s">
        <v>1126</v>
      </c>
      <c r="B1040" s="7">
        <v>0.3666666666666667</v>
      </c>
      <c r="C1040" s="3">
        <f t="shared" si="176"/>
        <v>0.60000000000000187</v>
      </c>
      <c r="D1040" s="10" t="s">
        <v>616</v>
      </c>
      <c r="E1040" s="40">
        <v>10</v>
      </c>
      <c r="F1040" s="40">
        <v>2.5</v>
      </c>
      <c r="G1040" s="40">
        <v>2</v>
      </c>
      <c r="H1040" s="3">
        <f t="shared" si="177"/>
        <v>0.25000000000000078</v>
      </c>
      <c r="I1040" s="3">
        <f t="shared" si="178"/>
        <v>6.2500000000000194E-2</v>
      </c>
      <c r="J1040" s="3">
        <f t="shared" si="179"/>
        <v>5.0000000000000155E-2</v>
      </c>
      <c r="K1040" s="3"/>
      <c r="L1040" s="60">
        <f t="shared" si="180"/>
        <v>126.8877777777777</v>
      </c>
      <c r="M1040" s="40">
        <v>0</v>
      </c>
      <c r="N1040" s="40">
        <v>0</v>
      </c>
      <c r="O1040" s="40">
        <v>0</v>
      </c>
      <c r="P1040" s="40">
        <v>0</v>
      </c>
      <c r="Q1040" s="40">
        <v>0</v>
      </c>
      <c r="R1040" s="40">
        <v>0</v>
      </c>
      <c r="S1040" s="61">
        <f t="shared" si="181"/>
        <v>70.099999999999966</v>
      </c>
      <c r="T1040" s="40">
        <v>0</v>
      </c>
      <c r="U1040" s="40">
        <v>0</v>
      </c>
      <c r="V1040" s="40">
        <v>0</v>
      </c>
      <c r="W1040" s="40">
        <v>0</v>
      </c>
      <c r="X1040" s="67">
        <f t="shared" si="182"/>
        <v>292</v>
      </c>
      <c r="Z1040" s="71"/>
      <c r="AA1040" s="71"/>
      <c r="AB1040" s="67" t="str">
        <f t="shared" si="183"/>
        <v/>
      </c>
      <c r="AD1040" s="121"/>
      <c r="AE1040" s="121"/>
    </row>
    <row r="1041" spans="1:31" x14ac:dyDescent="0.25">
      <c r="A1041" s="104" t="s">
        <v>1126</v>
      </c>
      <c r="B1041" s="7">
        <v>0.5083333333333333</v>
      </c>
      <c r="C1041" s="3">
        <f t="shared" si="176"/>
        <v>3.3999999999999986</v>
      </c>
      <c r="D1041" s="10" t="s">
        <v>1127</v>
      </c>
      <c r="E1041" s="40">
        <v>0</v>
      </c>
      <c r="F1041" s="40">
        <v>2.5</v>
      </c>
      <c r="G1041" s="40">
        <v>2</v>
      </c>
      <c r="H1041" s="3">
        <f t="shared" si="177"/>
        <v>0</v>
      </c>
      <c r="I1041" s="3">
        <f t="shared" si="178"/>
        <v>0.35416666666666652</v>
      </c>
      <c r="J1041" s="3">
        <f t="shared" si="179"/>
        <v>0.28333333333333321</v>
      </c>
      <c r="K1041" s="3">
        <v>150</v>
      </c>
      <c r="L1041" s="60">
        <f t="shared" si="180"/>
        <v>276.25027777777774</v>
      </c>
      <c r="M1041" s="40">
        <v>0</v>
      </c>
      <c r="N1041" s="40">
        <v>0</v>
      </c>
      <c r="O1041" s="40">
        <v>0</v>
      </c>
      <c r="P1041" s="40">
        <v>0</v>
      </c>
      <c r="Q1041" s="40">
        <v>0</v>
      </c>
      <c r="R1041" s="40">
        <v>0</v>
      </c>
      <c r="S1041" s="61">
        <f t="shared" si="181"/>
        <v>70.099999999999966</v>
      </c>
      <c r="T1041" s="40">
        <v>0</v>
      </c>
      <c r="U1041" s="40">
        <v>0</v>
      </c>
      <c r="V1041" s="40">
        <v>0</v>
      </c>
      <c r="W1041" s="40">
        <v>0</v>
      </c>
      <c r="X1041" s="67">
        <f t="shared" si="182"/>
        <v>292</v>
      </c>
      <c r="Z1041" s="71"/>
      <c r="AA1041" s="71"/>
      <c r="AB1041" s="67" t="str">
        <f t="shared" si="183"/>
        <v/>
      </c>
      <c r="AD1041" s="121"/>
      <c r="AE1041" s="121"/>
    </row>
    <row r="1042" spans="1:31" x14ac:dyDescent="0.25">
      <c r="A1042" s="104" t="s">
        <v>1126</v>
      </c>
      <c r="B1042" s="7">
        <v>0.67083333333333339</v>
      </c>
      <c r="C1042" s="3">
        <f t="shared" si="176"/>
        <v>3.9000000000000021</v>
      </c>
      <c r="D1042" s="10" t="s">
        <v>1011</v>
      </c>
      <c r="E1042" s="40">
        <v>0</v>
      </c>
      <c r="F1042" s="40">
        <v>2.5</v>
      </c>
      <c r="G1042" s="40">
        <v>2</v>
      </c>
      <c r="H1042" s="3">
        <f t="shared" si="177"/>
        <v>0</v>
      </c>
      <c r="I1042" s="3">
        <f t="shared" si="178"/>
        <v>0.40625000000000022</v>
      </c>
      <c r="J1042" s="3">
        <f t="shared" si="179"/>
        <v>0.32500000000000018</v>
      </c>
      <c r="K1042" s="3"/>
      <c r="L1042" s="60">
        <f t="shared" si="180"/>
        <v>275.51902777777775</v>
      </c>
      <c r="M1042" s="40">
        <v>0</v>
      </c>
      <c r="N1042" s="40">
        <v>0</v>
      </c>
      <c r="O1042" s="40">
        <v>0</v>
      </c>
      <c r="P1042" s="40">
        <v>0</v>
      </c>
      <c r="Q1042" s="40">
        <v>0</v>
      </c>
      <c r="R1042" s="40">
        <v>0</v>
      </c>
      <c r="S1042" s="61">
        <f t="shared" si="181"/>
        <v>70.099999999999966</v>
      </c>
      <c r="T1042" s="40">
        <v>0</v>
      </c>
      <c r="U1042" s="40">
        <v>0</v>
      </c>
      <c r="V1042" s="40">
        <v>0</v>
      </c>
      <c r="W1042" s="40">
        <v>0</v>
      </c>
      <c r="X1042" s="67">
        <f t="shared" si="182"/>
        <v>292</v>
      </c>
      <c r="Z1042" s="71"/>
      <c r="AA1042" s="71"/>
      <c r="AB1042" s="67" t="str">
        <f t="shared" si="183"/>
        <v/>
      </c>
      <c r="AD1042" s="121"/>
      <c r="AE1042" s="121"/>
    </row>
    <row r="1043" spans="1:31" x14ac:dyDescent="0.25">
      <c r="A1043" s="104" t="s">
        <v>1126</v>
      </c>
      <c r="B1043" s="7">
        <v>0.6875</v>
      </c>
      <c r="C1043" s="3">
        <f t="shared" si="176"/>
        <v>0.39999999999999858</v>
      </c>
      <c r="D1043" s="10" t="s">
        <v>988</v>
      </c>
      <c r="E1043" s="40">
        <v>10</v>
      </c>
      <c r="F1043" s="40">
        <v>2.5</v>
      </c>
      <c r="G1043" s="40">
        <v>2</v>
      </c>
      <c r="H1043" s="3">
        <f t="shared" si="177"/>
        <v>0.16666666666666607</v>
      </c>
      <c r="I1043" s="3">
        <f t="shared" si="178"/>
        <v>4.1666666666666519E-2</v>
      </c>
      <c r="J1043" s="3">
        <f t="shared" si="179"/>
        <v>3.3333333333333215E-2</v>
      </c>
      <c r="K1043" s="3"/>
      <c r="L1043" s="60">
        <f t="shared" si="180"/>
        <v>275.27736111111108</v>
      </c>
      <c r="M1043" s="40">
        <v>0</v>
      </c>
      <c r="N1043" s="40">
        <v>0</v>
      </c>
      <c r="O1043" s="40">
        <v>0</v>
      </c>
      <c r="P1043" s="40">
        <v>0</v>
      </c>
      <c r="Q1043" s="40">
        <v>0</v>
      </c>
      <c r="R1043" s="40">
        <v>0</v>
      </c>
      <c r="S1043" s="61">
        <f t="shared" si="181"/>
        <v>70.099999999999966</v>
      </c>
      <c r="T1043" s="40">
        <v>0</v>
      </c>
      <c r="U1043" s="40">
        <v>0</v>
      </c>
      <c r="V1043" s="40">
        <v>0</v>
      </c>
      <c r="W1043" s="40">
        <v>0</v>
      </c>
      <c r="X1043" s="67">
        <f t="shared" si="182"/>
        <v>292</v>
      </c>
      <c r="Z1043" s="71"/>
      <c r="AA1043" s="71"/>
      <c r="AB1043" s="67" t="str">
        <f t="shared" si="183"/>
        <v/>
      </c>
      <c r="AD1043" s="121"/>
      <c r="AE1043" s="121"/>
    </row>
    <row r="1044" spans="1:31" x14ac:dyDescent="0.25">
      <c r="A1044" s="104" t="s">
        <v>1126</v>
      </c>
      <c r="B1044" s="7">
        <v>0.70833333333333337</v>
      </c>
      <c r="C1044" s="3">
        <f t="shared" si="176"/>
        <v>0.50000000000000089</v>
      </c>
      <c r="D1044" s="10" t="s">
        <v>1048</v>
      </c>
      <c r="E1044" s="40">
        <v>24</v>
      </c>
      <c r="F1044" s="40">
        <v>2.5</v>
      </c>
      <c r="G1044" s="40">
        <v>2</v>
      </c>
      <c r="H1044" s="3">
        <f t="shared" si="177"/>
        <v>0.50000000000000089</v>
      </c>
      <c r="I1044" s="3">
        <f t="shared" si="178"/>
        <v>5.2083333333333426E-2</v>
      </c>
      <c r="J1044" s="3">
        <f t="shared" si="179"/>
        <v>4.1666666666666741E-2</v>
      </c>
      <c r="K1044" s="3"/>
      <c r="L1044" s="60">
        <f t="shared" si="180"/>
        <v>274.68361111111108</v>
      </c>
      <c r="M1044" s="40">
        <v>0</v>
      </c>
      <c r="N1044" s="40">
        <v>0</v>
      </c>
      <c r="O1044" s="40">
        <v>0</v>
      </c>
      <c r="P1044" s="40">
        <v>0</v>
      </c>
      <c r="Q1044" s="40">
        <v>0</v>
      </c>
      <c r="R1044" s="40">
        <v>0</v>
      </c>
      <c r="S1044" s="61">
        <f t="shared" si="181"/>
        <v>70.099999999999966</v>
      </c>
      <c r="T1044" s="40">
        <v>0</v>
      </c>
      <c r="U1044" s="40">
        <v>0</v>
      </c>
      <c r="V1044" s="40">
        <v>0</v>
      </c>
      <c r="W1044" s="40">
        <v>0</v>
      </c>
      <c r="X1044" s="67">
        <f t="shared" si="182"/>
        <v>292</v>
      </c>
      <c r="Z1044" s="71"/>
      <c r="AA1044" s="71"/>
      <c r="AB1044" s="67" t="str">
        <f t="shared" si="183"/>
        <v/>
      </c>
      <c r="AD1044" s="121"/>
      <c r="AE1044" s="121"/>
    </row>
    <row r="1045" spans="1:31" x14ac:dyDescent="0.25">
      <c r="A1045" s="104" t="s">
        <v>1126</v>
      </c>
      <c r="B1045" s="7">
        <v>0.77916666666666667</v>
      </c>
      <c r="C1045" s="3">
        <f t="shared" si="176"/>
        <v>1.6999999999999993</v>
      </c>
      <c r="D1045" s="10" t="s">
        <v>616</v>
      </c>
      <c r="E1045" s="40">
        <v>8</v>
      </c>
      <c r="F1045" s="40">
        <v>2.5</v>
      </c>
      <c r="G1045" s="40">
        <v>2</v>
      </c>
      <c r="H1045" s="3">
        <f t="shared" si="177"/>
        <v>0.56666666666666643</v>
      </c>
      <c r="I1045" s="3">
        <f t="shared" si="178"/>
        <v>0.17708333333333326</v>
      </c>
      <c r="J1045" s="3">
        <f t="shared" si="179"/>
        <v>0.14166666666666661</v>
      </c>
      <c r="K1045" s="3"/>
      <c r="L1045" s="60">
        <f t="shared" si="180"/>
        <v>273.79819444444439</v>
      </c>
      <c r="M1045" s="40">
        <v>0</v>
      </c>
      <c r="N1045" s="40">
        <v>0</v>
      </c>
      <c r="O1045" s="40">
        <v>0</v>
      </c>
      <c r="P1045" s="40">
        <v>0</v>
      </c>
      <c r="Q1045" s="40">
        <v>0</v>
      </c>
      <c r="R1045" s="40">
        <v>0</v>
      </c>
      <c r="S1045" s="61">
        <f t="shared" si="181"/>
        <v>70.099999999999966</v>
      </c>
      <c r="T1045" s="40">
        <v>0</v>
      </c>
      <c r="U1045" s="40">
        <v>0</v>
      </c>
      <c r="V1045" s="40">
        <v>3</v>
      </c>
      <c r="W1045" s="40">
        <v>0</v>
      </c>
      <c r="X1045" s="67">
        <f t="shared" si="182"/>
        <v>289</v>
      </c>
      <c r="Z1045" s="71"/>
      <c r="AA1045" s="71"/>
      <c r="AB1045" s="67" t="str">
        <f t="shared" si="183"/>
        <v/>
      </c>
      <c r="AD1045" s="121"/>
      <c r="AE1045" s="121"/>
    </row>
    <row r="1046" spans="1:31" x14ac:dyDescent="0.25">
      <c r="A1046" s="104" t="s">
        <v>1128</v>
      </c>
      <c r="B1046" s="7">
        <v>0.25</v>
      </c>
      <c r="C1046" s="3">
        <f t="shared" si="176"/>
        <v>11.3</v>
      </c>
      <c r="D1046" s="10" t="s">
        <v>1049</v>
      </c>
      <c r="E1046" s="40">
        <v>0</v>
      </c>
      <c r="F1046" s="40">
        <v>2.5</v>
      </c>
      <c r="G1046" s="40">
        <v>2</v>
      </c>
      <c r="H1046" s="3">
        <f t="shared" si="177"/>
        <v>0</v>
      </c>
      <c r="I1046" s="3">
        <f t="shared" si="178"/>
        <v>1.1770833333333335</v>
      </c>
      <c r="J1046" s="3">
        <f t="shared" si="179"/>
        <v>0.94166666666666665</v>
      </c>
      <c r="K1046" s="3"/>
      <c r="L1046" s="60">
        <f t="shared" si="180"/>
        <v>271.67944444444441</v>
      </c>
      <c r="M1046" s="40">
        <v>0</v>
      </c>
      <c r="N1046" s="40">
        <v>0</v>
      </c>
      <c r="O1046" s="40">
        <v>0</v>
      </c>
      <c r="P1046" s="40">
        <v>0</v>
      </c>
      <c r="Q1046" s="40">
        <v>0</v>
      </c>
      <c r="R1046" s="40">
        <v>0</v>
      </c>
      <c r="S1046" s="61">
        <f t="shared" si="181"/>
        <v>70.099999999999966</v>
      </c>
      <c r="T1046" s="40">
        <v>0</v>
      </c>
      <c r="U1046" s="40">
        <v>0</v>
      </c>
      <c r="V1046" s="40">
        <v>0</v>
      </c>
      <c r="W1046" s="40">
        <v>0</v>
      </c>
      <c r="X1046" s="67">
        <f t="shared" si="182"/>
        <v>289</v>
      </c>
      <c r="Z1046" s="71"/>
      <c r="AA1046" s="71"/>
      <c r="AB1046" s="67" t="str">
        <f t="shared" si="183"/>
        <v/>
      </c>
      <c r="AD1046" s="121"/>
      <c r="AE1046" s="121"/>
    </row>
    <row r="1047" spans="1:31" x14ac:dyDescent="0.25">
      <c r="A1047" s="104" t="s">
        <v>1128</v>
      </c>
      <c r="B1047" s="65">
        <v>0.33333333333333331</v>
      </c>
      <c r="C1047" s="3">
        <f t="shared" si="176"/>
        <v>1.9999999999999996</v>
      </c>
      <c r="D1047" s="10" t="s">
        <v>1051</v>
      </c>
      <c r="E1047" s="40">
        <v>0</v>
      </c>
      <c r="F1047" s="40">
        <v>2.5</v>
      </c>
      <c r="G1047" s="40">
        <v>2</v>
      </c>
      <c r="H1047" s="3">
        <f t="shared" si="177"/>
        <v>0</v>
      </c>
      <c r="I1047" s="3">
        <f t="shared" si="178"/>
        <v>0.20833333333333329</v>
      </c>
      <c r="J1047" s="3">
        <f t="shared" si="179"/>
        <v>0.16666666666666663</v>
      </c>
      <c r="K1047" s="3"/>
      <c r="L1047" s="60">
        <f t="shared" si="180"/>
        <v>271.30444444444441</v>
      </c>
      <c r="M1047" s="40">
        <v>0</v>
      </c>
      <c r="N1047" s="40">
        <v>0</v>
      </c>
      <c r="O1047" s="40">
        <v>0</v>
      </c>
      <c r="P1047" s="40">
        <v>0</v>
      </c>
      <c r="Q1047" s="40">
        <v>0</v>
      </c>
      <c r="R1047" s="40">
        <v>0</v>
      </c>
      <c r="S1047" s="61">
        <f t="shared" si="181"/>
        <v>70.099999999999966</v>
      </c>
      <c r="T1047" s="40">
        <v>0</v>
      </c>
      <c r="U1047" s="40">
        <v>0</v>
      </c>
      <c r="V1047" s="40">
        <v>3</v>
      </c>
      <c r="W1047" s="40">
        <v>0</v>
      </c>
      <c r="X1047" s="67">
        <f t="shared" si="182"/>
        <v>286</v>
      </c>
      <c r="Z1047" s="71"/>
      <c r="AA1047" s="71"/>
      <c r="AB1047" s="67" t="str">
        <f t="shared" si="183"/>
        <v/>
      </c>
      <c r="AD1047" s="121"/>
      <c r="AE1047" s="121"/>
    </row>
    <row r="1048" spans="1:31" x14ac:dyDescent="0.25">
      <c r="A1048" s="104" t="s">
        <v>1129</v>
      </c>
      <c r="B1048" s="65">
        <v>0.33333333333333331</v>
      </c>
      <c r="C1048" s="3">
        <v>24</v>
      </c>
      <c r="D1048" s="10" t="s">
        <v>1051</v>
      </c>
      <c r="E1048" s="40">
        <v>0</v>
      </c>
      <c r="F1048" s="40">
        <v>2.5</v>
      </c>
      <c r="G1048" s="40">
        <v>2</v>
      </c>
      <c r="H1048" s="3">
        <f t="shared" si="177"/>
        <v>0</v>
      </c>
      <c r="I1048" s="3">
        <f t="shared" si="178"/>
        <v>2.5</v>
      </c>
      <c r="J1048" s="3">
        <f t="shared" si="179"/>
        <v>2</v>
      </c>
      <c r="K1048" s="3"/>
      <c r="L1048" s="60">
        <f t="shared" si="180"/>
        <v>266.80444444444441</v>
      </c>
      <c r="M1048" s="40">
        <v>0</v>
      </c>
      <c r="N1048" s="40">
        <v>0</v>
      </c>
      <c r="O1048" s="40">
        <v>0</v>
      </c>
      <c r="P1048" s="40">
        <v>0</v>
      </c>
      <c r="Q1048" s="40">
        <v>0</v>
      </c>
      <c r="R1048" s="40">
        <v>0</v>
      </c>
      <c r="S1048" s="61">
        <f t="shared" si="181"/>
        <v>70.099999999999966</v>
      </c>
      <c r="T1048" s="40">
        <v>0</v>
      </c>
      <c r="U1048" s="40">
        <v>0</v>
      </c>
      <c r="V1048" s="40">
        <v>6</v>
      </c>
      <c r="W1048" s="40">
        <v>0</v>
      </c>
      <c r="X1048" s="67">
        <f t="shared" si="182"/>
        <v>280</v>
      </c>
      <c r="Z1048" s="71"/>
      <c r="AA1048" s="71"/>
      <c r="AB1048" s="67" t="str">
        <f t="shared" si="183"/>
        <v/>
      </c>
      <c r="AD1048" s="121"/>
      <c r="AE1048" s="121"/>
    </row>
    <row r="1049" spans="1:31" x14ac:dyDescent="0.25">
      <c r="A1049" s="104" t="s">
        <v>1130</v>
      </c>
      <c r="B1049" s="7">
        <v>0.17916666666666667</v>
      </c>
      <c r="C1049" s="3">
        <f t="shared" si="176"/>
        <v>20.3</v>
      </c>
      <c r="D1049" s="10" t="s">
        <v>1090</v>
      </c>
      <c r="E1049" s="40">
        <v>0</v>
      </c>
      <c r="F1049" s="40">
        <v>2.5</v>
      </c>
      <c r="G1049" s="40">
        <v>2</v>
      </c>
      <c r="H1049" s="3">
        <f t="shared" si="177"/>
        <v>0</v>
      </c>
      <c r="I1049" s="3">
        <f t="shared" si="178"/>
        <v>2.1145833333333335</v>
      </c>
      <c r="J1049" s="3">
        <f t="shared" si="179"/>
        <v>1.6916666666666667</v>
      </c>
      <c r="K1049" s="3"/>
      <c r="L1049" s="60">
        <f t="shared" si="180"/>
        <v>262.99819444444444</v>
      </c>
      <c r="M1049" s="40">
        <v>0</v>
      </c>
      <c r="N1049" s="40">
        <v>0</v>
      </c>
      <c r="O1049" s="40">
        <v>0</v>
      </c>
      <c r="P1049" s="40">
        <v>0</v>
      </c>
      <c r="Q1049" s="40">
        <v>0</v>
      </c>
      <c r="R1049" s="40">
        <v>0</v>
      </c>
      <c r="S1049" s="61">
        <f t="shared" si="181"/>
        <v>70.099999999999966</v>
      </c>
      <c r="T1049" s="40">
        <v>0</v>
      </c>
      <c r="U1049" s="40">
        <v>0</v>
      </c>
      <c r="V1049" s="40">
        <v>3</v>
      </c>
      <c r="W1049" s="40">
        <v>0</v>
      </c>
      <c r="X1049" s="67">
        <f t="shared" si="182"/>
        <v>277</v>
      </c>
      <c r="Z1049" s="71"/>
      <c r="AA1049" s="71"/>
      <c r="AB1049" s="67" t="str">
        <f t="shared" si="183"/>
        <v/>
      </c>
      <c r="AD1049" s="121"/>
      <c r="AE1049" s="121"/>
    </row>
    <row r="1050" spans="1:31" x14ac:dyDescent="0.25">
      <c r="A1050" s="104" t="s">
        <v>1130</v>
      </c>
      <c r="B1050" s="65">
        <v>0.33333333333333331</v>
      </c>
      <c r="C1050" s="3">
        <f t="shared" si="176"/>
        <v>3.6999999999999993</v>
      </c>
      <c r="D1050" s="10" t="s">
        <v>1066</v>
      </c>
      <c r="E1050" s="40">
        <v>0</v>
      </c>
      <c r="F1050" s="40">
        <v>2.5</v>
      </c>
      <c r="G1050" s="40">
        <v>2</v>
      </c>
      <c r="H1050" s="3">
        <f t="shared" si="177"/>
        <v>0</v>
      </c>
      <c r="I1050" s="3">
        <f t="shared" si="178"/>
        <v>0.38541666666666663</v>
      </c>
      <c r="J1050" s="3">
        <f t="shared" si="179"/>
        <v>0.30833333333333324</v>
      </c>
      <c r="K1050" s="3"/>
      <c r="L1050" s="60">
        <f t="shared" si="180"/>
        <v>262.30444444444441</v>
      </c>
      <c r="M1050" s="40">
        <v>0</v>
      </c>
      <c r="N1050" s="40">
        <v>0</v>
      </c>
      <c r="O1050" s="40">
        <v>0</v>
      </c>
      <c r="P1050" s="40">
        <v>0</v>
      </c>
      <c r="Q1050" s="40">
        <v>0</v>
      </c>
      <c r="R1050" s="40">
        <v>0</v>
      </c>
      <c r="S1050" s="61">
        <f t="shared" si="181"/>
        <v>70.099999999999966</v>
      </c>
      <c r="T1050" s="40">
        <v>0</v>
      </c>
      <c r="U1050" s="40">
        <v>0</v>
      </c>
      <c r="V1050" s="40">
        <v>3</v>
      </c>
      <c r="W1050" s="40">
        <v>0</v>
      </c>
      <c r="X1050" s="67">
        <f t="shared" si="182"/>
        <v>274</v>
      </c>
      <c r="Z1050" s="71">
        <v>122</v>
      </c>
      <c r="AA1050" s="71">
        <v>57</v>
      </c>
      <c r="AB1050" s="67">
        <f t="shared" si="183"/>
        <v>179</v>
      </c>
      <c r="AD1050" s="121"/>
      <c r="AE1050" s="121"/>
    </row>
    <row r="1051" spans="1:31" x14ac:dyDescent="0.25">
      <c r="A1051" s="104" t="s">
        <v>1130</v>
      </c>
      <c r="B1051" s="7">
        <v>0.45</v>
      </c>
      <c r="C1051" s="3">
        <f t="shared" si="176"/>
        <v>2.8000000000000007</v>
      </c>
      <c r="D1051" s="10" t="s">
        <v>1011</v>
      </c>
      <c r="E1051" s="40">
        <v>0</v>
      </c>
      <c r="F1051" s="40">
        <v>2.5</v>
      </c>
      <c r="G1051" s="40">
        <v>2</v>
      </c>
      <c r="H1051" s="3">
        <f t="shared" si="177"/>
        <v>0</v>
      </c>
      <c r="I1051" s="3">
        <f t="shared" si="178"/>
        <v>0.29166666666666674</v>
      </c>
      <c r="J1051" s="3">
        <f t="shared" si="179"/>
        <v>0.23333333333333339</v>
      </c>
      <c r="K1051" s="3"/>
      <c r="L1051" s="60">
        <f t="shared" si="180"/>
        <v>261.77944444444444</v>
      </c>
      <c r="M1051" s="40">
        <v>0</v>
      </c>
      <c r="N1051" s="40">
        <v>0</v>
      </c>
      <c r="O1051" s="40">
        <v>0</v>
      </c>
      <c r="P1051" s="40">
        <v>0</v>
      </c>
      <c r="Q1051" s="40">
        <v>0</v>
      </c>
      <c r="R1051" s="40">
        <v>0</v>
      </c>
      <c r="S1051" s="61">
        <f t="shared" si="181"/>
        <v>70.099999999999966</v>
      </c>
      <c r="T1051" s="40">
        <v>0</v>
      </c>
      <c r="U1051" s="40">
        <v>0</v>
      </c>
      <c r="V1051" s="40">
        <v>0</v>
      </c>
      <c r="W1051" s="40">
        <v>0</v>
      </c>
      <c r="X1051" s="67">
        <f t="shared" si="182"/>
        <v>274</v>
      </c>
      <c r="Z1051" s="71"/>
      <c r="AA1051" s="71"/>
      <c r="AB1051" s="67" t="str">
        <f t="shared" si="183"/>
        <v/>
      </c>
      <c r="AD1051" s="121"/>
      <c r="AE1051" s="121"/>
    </row>
    <row r="1052" spans="1:31" x14ac:dyDescent="0.25">
      <c r="A1052" s="104" t="s">
        <v>1130</v>
      </c>
      <c r="B1052" s="7">
        <v>0.5083333333333333</v>
      </c>
      <c r="C1052" s="3">
        <f t="shared" si="176"/>
        <v>1.399999999999999</v>
      </c>
      <c r="D1052" s="10" t="s">
        <v>616</v>
      </c>
      <c r="E1052" s="40">
        <v>10</v>
      </c>
      <c r="F1052" s="40">
        <v>2.5</v>
      </c>
      <c r="G1052" s="40">
        <v>2</v>
      </c>
      <c r="H1052" s="3">
        <f t="shared" si="177"/>
        <v>0.58333333333333293</v>
      </c>
      <c r="I1052" s="3">
        <f t="shared" si="178"/>
        <v>0.14583333333333323</v>
      </c>
      <c r="J1052" s="3">
        <f t="shared" si="179"/>
        <v>0.11666666666666659</v>
      </c>
      <c r="K1052" s="3"/>
      <c r="L1052" s="60">
        <f t="shared" si="180"/>
        <v>260.93361111111108</v>
      </c>
      <c r="M1052" s="40">
        <v>0</v>
      </c>
      <c r="N1052" s="40">
        <v>0</v>
      </c>
      <c r="O1052" s="40">
        <v>0</v>
      </c>
      <c r="P1052" s="40">
        <v>0</v>
      </c>
      <c r="Q1052" s="40">
        <v>0</v>
      </c>
      <c r="R1052" s="40">
        <v>0</v>
      </c>
      <c r="S1052" s="61">
        <f t="shared" si="181"/>
        <v>70.099999999999966</v>
      </c>
      <c r="T1052" s="40">
        <v>0</v>
      </c>
      <c r="U1052" s="40">
        <v>0</v>
      </c>
      <c r="V1052" s="40">
        <v>0</v>
      </c>
      <c r="W1052" s="40">
        <v>0</v>
      </c>
      <c r="X1052" s="67">
        <f t="shared" si="182"/>
        <v>274</v>
      </c>
      <c r="Z1052" s="71"/>
      <c r="AA1052" s="71"/>
      <c r="AB1052" s="67" t="str">
        <f t="shared" si="183"/>
        <v/>
      </c>
      <c r="AD1052" s="121"/>
      <c r="AE1052" s="121"/>
    </row>
    <row r="1053" spans="1:31" x14ac:dyDescent="0.25">
      <c r="A1053" s="104" t="s">
        <v>1130</v>
      </c>
      <c r="B1053" s="7">
        <v>0.65416666666666667</v>
      </c>
      <c r="C1053" s="3">
        <f t="shared" si="176"/>
        <v>3.5000000000000009</v>
      </c>
      <c r="D1053" s="10" t="s">
        <v>1011</v>
      </c>
      <c r="E1053" s="40">
        <v>0</v>
      </c>
      <c r="F1053" s="40">
        <v>2.5</v>
      </c>
      <c r="G1053" s="40">
        <v>2</v>
      </c>
      <c r="H1053" s="3">
        <f t="shared" si="177"/>
        <v>0</v>
      </c>
      <c r="I1053" s="3">
        <f t="shared" si="178"/>
        <v>0.36458333333333343</v>
      </c>
      <c r="J1053" s="3">
        <f t="shared" si="179"/>
        <v>0.29166666666666674</v>
      </c>
      <c r="K1053" s="3"/>
      <c r="L1053" s="60">
        <f t="shared" si="180"/>
        <v>260.27736111111108</v>
      </c>
      <c r="M1053" s="40">
        <v>0</v>
      </c>
      <c r="N1053" s="40">
        <v>0</v>
      </c>
      <c r="O1053" s="40">
        <v>0</v>
      </c>
      <c r="P1053" s="40">
        <v>0</v>
      </c>
      <c r="Q1053" s="40">
        <v>0</v>
      </c>
      <c r="R1053" s="40">
        <v>0</v>
      </c>
      <c r="S1053" s="61">
        <f t="shared" si="181"/>
        <v>70.099999999999966</v>
      </c>
      <c r="T1053" s="40">
        <v>0</v>
      </c>
      <c r="U1053" s="40">
        <v>0</v>
      </c>
      <c r="V1053" s="40">
        <v>0</v>
      </c>
      <c r="W1053" s="40">
        <v>0</v>
      </c>
      <c r="X1053" s="67">
        <f t="shared" si="182"/>
        <v>274</v>
      </c>
      <c r="Z1053" s="71"/>
      <c r="AA1053" s="71"/>
      <c r="AB1053" s="67" t="str">
        <f t="shared" si="183"/>
        <v/>
      </c>
      <c r="AD1053" s="121"/>
      <c r="AE1053" s="121"/>
    </row>
    <row r="1054" spans="1:31" x14ac:dyDescent="0.25">
      <c r="A1054" s="104" t="s">
        <v>1130</v>
      </c>
      <c r="B1054" s="7">
        <v>0.6875</v>
      </c>
      <c r="C1054" s="3">
        <f t="shared" si="176"/>
        <v>0.79999999999999982</v>
      </c>
      <c r="D1054" s="10" t="s">
        <v>1026</v>
      </c>
      <c r="E1054" s="40">
        <v>10</v>
      </c>
      <c r="F1054" s="40">
        <v>2.5</v>
      </c>
      <c r="G1054" s="40">
        <v>2</v>
      </c>
      <c r="H1054" s="3">
        <f t="shared" si="177"/>
        <v>0.33333333333333326</v>
      </c>
      <c r="I1054" s="3">
        <f t="shared" si="178"/>
        <v>8.3333333333333315E-2</v>
      </c>
      <c r="J1054" s="3">
        <f t="shared" si="179"/>
        <v>6.6666666666666652E-2</v>
      </c>
      <c r="K1054" s="3"/>
      <c r="L1054" s="60">
        <f t="shared" si="180"/>
        <v>259.79402777777773</v>
      </c>
      <c r="M1054" s="40">
        <v>0</v>
      </c>
      <c r="N1054" s="40">
        <v>0</v>
      </c>
      <c r="O1054" s="40">
        <v>0</v>
      </c>
      <c r="P1054" s="40">
        <v>0</v>
      </c>
      <c r="Q1054" s="40">
        <v>0</v>
      </c>
      <c r="R1054" s="40">
        <v>0</v>
      </c>
      <c r="S1054" s="61">
        <f t="shared" si="181"/>
        <v>70.099999999999966</v>
      </c>
      <c r="T1054" s="40">
        <v>0</v>
      </c>
      <c r="U1054" s="40">
        <v>0</v>
      </c>
      <c r="V1054" s="40">
        <v>3</v>
      </c>
      <c r="W1054" s="40">
        <v>0</v>
      </c>
      <c r="X1054" s="67">
        <f t="shared" si="182"/>
        <v>271</v>
      </c>
      <c r="Z1054" s="71"/>
      <c r="AA1054" s="71"/>
      <c r="AB1054" s="67" t="str">
        <f t="shared" si="183"/>
        <v/>
      </c>
      <c r="AD1054" s="121"/>
      <c r="AE1054" s="121"/>
    </row>
    <row r="1055" spans="1:31" x14ac:dyDescent="0.25">
      <c r="A1055" s="104" t="s">
        <v>1131</v>
      </c>
      <c r="B1055" s="65">
        <v>0.33333333333333331</v>
      </c>
      <c r="C1055" s="3">
        <f t="shared" si="176"/>
        <v>15.5</v>
      </c>
      <c r="D1055" s="10" t="s">
        <v>355</v>
      </c>
      <c r="E1055" s="40">
        <v>22</v>
      </c>
      <c r="F1055" s="40">
        <v>2.5</v>
      </c>
      <c r="G1055" s="40">
        <v>0</v>
      </c>
      <c r="H1055" s="3">
        <f t="shared" si="177"/>
        <v>14.208333333333332</v>
      </c>
      <c r="I1055" s="3">
        <f t="shared" si="178"/>
        <v>1.6145833333333335</v>
      </c>
      <c r="J1055" s="3">
        <f t="shared" si="179"/>
        <v>0</v>
      </c>
      <c r="K1055" s="3"/>
      <c r="L1055" s="60">
        <f t="shared" si="180"/>
        <v>243.97111111111107</v>
      </c>
      <c r="M1055" s="40">
        <v>0</v>
      </c>
      <c r="N1055" s="40">
        <v>0</v>
      </c>
      <c r="O1055" s="40">
        <v>0</v>
      </c>
      <c r="P1055" s="40">
        <v>0</v>
      </c>
      <c r="Q1055" s="40">
        <v>0</v>
      </c>
      <c r="R1055" s="40">
        <v>0</v>
      </c>
      <c r="S1055" s="61">
        <f t="shared" si="181"/>
        <v>70.099999999999966</v>
      </c>
      <c r="T1055" s="40">
        <v>3</v>
      </c>
      <c r="U1055" s="40">
        <v>0</v>
      </c>
      <c r="V1055" s="40">
        <v>3</v>
      </c>
      <c r="W1055" s="40">
        <v>0</v>
      </c>
      <c r="X1055" s="67">
        <f t="shared" si="182"/>
        <v>271</v>
      </c>
      <c r="Z1055" s="71">
        <v>118</v>
      </c>
      <c r="AA1055" s="71">
        <v>61</v>
      </c>
      <c r="AB1055" s="67">
        <f t="shared" si="183"/>
        <v>179</v>
      </c>
      <c r="AD1055" s="121"/>
      <c r="AE1055" s="121"/>
    </row>
    <row r="1056" spans="1:31" x14ac:dyDescent="0.25">
      <c r="A1056" s="104" t="s">
        <v>1132</v>
      </c>
      <c r="B1056" s="65">
        <v>0.33333333333333331</v>
      </c>
      <c r="C1056" s="3">
        <v>24</v>
      </c>
      <c r="D1056" s="10" t="s">
        <v>355</v>
      </c>
      <c r="E1056" s="40">
        <v>25</v>
      </c>
      <c r="F1056" s="40">
        <v>2.5</v>
      </c>
      <c r="G1056" s="40">
        <v>0</v>
      </c>
      <c r="H1056" s="3">
        <f t="shared" si="177"/>
        <v>25</v>
      </c>
      <c r="I1056" s="3">
        <f t="shared" si="178"/>
        <v>2.5</v>
      </c>
      <c r="J1056" s="3">
        <f t="shared" si="179"/>
        <v>0</v>
      </c>
      <c r="K1056" s="3"/>
      <c r="L1056" s="60">
        <f t="shared" si="180"/>
        <v>216.47111111111107</v>
      </c>
      <c r="M1056" s="40">
        <v>0</v>
      </c>
      <c r="N1056" s="40">
        <v>0</v>
      </c>
      <c r="O1056" s="40">
        <v>0</v>
      </c>
      <c r="P1056" s="40">
        <v>0</v>
      </c>
      <c r="Q1056" s="40">
        <v>0</v>
      </c>
      <c r="R1056" s="40">
        <v>0</v>
      </c>
      <c r="S1056" s="61">
        <f t="shared" si="181"/>
        <v>70.099999999999966</v>
      </c>
      <c r="T1056" s="40">
        <v>6</v>
      </c>
      <c r="U1056" s="40">
        <v>0</v>
      </c>
      <c r="V1056" s="40">
        <v>6</v>
      </c>
      <c r="W1056" s="40">
        <v>0</v>
      </c>
      <c r="X1056" s="67">
        <f t="shared" si="182"/>
        <v>271</v>
      </c>
      <c r="Z1056" s="71"/>
      <c r="AA1056" s="71"/>
      <c r="AB1056" s="67" t="str">
        <f t="shared" si="183"/>
        <v/>
      </c>
      <c r="AD1056" s="121"/>
      <c r="AE1056" s="121"/>
    </row>
    <row r="1057" spans="1:31" x14ac:dyDescent="0.25">
      <c r="A1057" s="104" t="s">
        <v>1132</v>
      </c>
      <c r="B1057" s="7">
        <v>0.4375</v>
      </c>
      <c r="C1057" s="3">
        <f t="shared" si="176"/>
        <v>2.5000000000000004</v>
      </c>
      <c r="D1057" s="10" t="s">
        <v>201</v>
      </c>
      <c r="E1057" s="40">
        <v>25</v>
      </c>
      <c r="F1057" s="40">
        <v>2.5</v>
      </c>
      <c r="G1057" s="40">
        <v>0</v>
      </c>
      <c r="H1057" s="3">
        <f t="shared" si="177"/>
        <v>2.6041666666666674</v>
      </c>
      <c r="I1057" s="3">
        <f t="shared" si="178"/>
        <v>0.26041666666666674</v>
      </c>
      <c r="J1057" s="3">
        <f t="shared" si="179"/>
        <v>0</v>
      </c>
      <c r="K1057" s="3"/>
      <c r="L1057" s="60">
        <f t="shared" si="180"/>
        <v>213.60652777777773</v>
      </c>
      <c r="M1057" s="40">
        <v>0</v>
      </c>
      <c r="N1057" s="40">
        <v>0</v>
      </c>
      <c r="O1057" s="40">
        <v>0</v>
      </c>
      <c r="P1057" s="40">
        <v>0</v>
      </c>
      <c r="Q1057" s="40">
        <v>0</v>
      </c>
      <c r="R1057" s="40">
        <v>0</v>
      </c>
      <c r="S1057" s="61">
        <f t="shared" si="181"/>
        <v>70.099999999999966</v>
      </c>
      <c r="T1057" s="40">
        <v>0</v>
      </c>
      <c r="U1057" s="40">
        <v>0</v>
      </c>
      <c r="V1057" s="40">
        <v>0</v>
      </c>
      <c r="W1057" s="40">
        <v>0</v>
      </c>
      <c r="X1057" s="67">
        <f t="shared" si="182"/>
        <v>271</v>
      </c>
      <c r="Z1057" s="71">
        <v>114</v>
      </c>
      <c r="AA1057" s="71">
        <v>67</v>
      </c>
      <c r="AB1057" s="67">
        <f t="shared" si="183"/>
        <v>181</v>
      </c>
      <c r="AD1057" s="121">
        <v>10.6</v>
      </c>
      <c r="AE1057" s="121" t="s">
        <v>1302</v>
      </c>
    </row>
    <row r="1058" spans="1:31" x14ac:dyDescent="0.25">
      <c r="A1058" s="104" t="s">
        <v>1132</v>
      </c>
      <c r="B1058" s="7">
        <v>0.45833333333333331</v>
      </c>
      <c r="C1058" s="3">
        <f t="shared" si="176"/>
        <v>0.49999999999999956</v>
      </c>
      <c r="D1058" s="10" t="s">
        <v>616</v>
      </c>
      <c r="E1058" s="40">
        <v>10</v>
      </c>
      <c r="F1058" s="40">
        <v>2.5</v>
      </c>
      <c r="G1058" s="40">
        <v>2</v>
      </c>
      <c r="H1058" s="3">
        <f t="shared" si="177"/>
        <v>0.20833333333333315</v>
      </c>
      <c r="I1058" s="3">
        <f t="shared" si="178"/>
        <v>5.2083333333333287E-2</v>
      </c>
      <c r="J1058" s="3">
        <f t="shared" si="179"/>
        <v>4.166666666666663E-2</v>
      </c>
      <c r="K1058" s="3"/>
      <c r="L1058" s="60">
        <f t="shared" si="180"/>
        <v>213.30444444444439</v>
      </c>
      <c r="M1058" s="40">
        <v>0</v>
      </c>
      <c r="N1058" s="40">
        <v>0</v>
      </c>
      <c r="O1058" s="40">
        <v>0</v>
      </c>
      <c r="P1058" s="40">
        <v>0</v>
      </c>
      <c r="Q1058" s="40">
        <v>0</v>
      </c>
      <c r="R1058" s="40">
        <v>0</v>
      </c>
      <c r="S1058" s="61">
        <f t="shared" si="181"/>
        <v>70.099999999999966</v>
      </c>
      <c r="T1058" s="40">
        <v>0</v>
      </c>
      <c r="U1058" s="40">
        <v>0</v>
      </c>
      <c r="V1058" s="40">
        <v>0</v>
      </c>
      <c r="W1058" s="40">
        <v>0</v>
      </c>
      <c r="X1058" s="67">
        <f t="shared" si="182"/>
        <v>271</v>
      </c>
      <c r="Z1058" s="71"/>
      <c r="AA1058" s="71"/>
      <c r="AB1058" s="67" t="str">
        <f t="shared" si="183"/>
        <v/>
      </c>
      <c r="AD1058" s="121"/>
      <c r="AE1058" s="121"/>
    </row>
    <row r="1059" spans="1:31" x14ac:dyDescent="0.25">
      <c r="A1059" s="104" t="s">
        <v>1132</v>
      </c>
      <c r="B1059" s="7">
        <v>0.64166666666666672</v>
      </c>
      <c r="C1059" s="3">
        <f t="shared" si="176"/>
        <v>4.4000000000000021</v>
      </c>
      <c r="D1059" s="10" t="s">
        <v>1011</v>
      </c>
      <c r="E1059" s="40">
        <v>0</v>
      </c>
      <c r="F1059" s="40">
        <v>2.5</v>
      </c>
      <c r="G1059" s="40">
        <v>2</v>
      </c>
      <c r="H1059" s="3">
        <f t="shared" si="177"/>
        <v>0</v>
      </c>
      <c r="I1059" s="3">
        <f t="shared" si="178"/>
        <v>0.45833333333333359</v>
      </c>
      <c r="J1059" s="3">
        <f t="shared" si="179"/>
        <v>0.36666666666666681</v>
      </c>
      <c r="K1059" s="3"/>
      <c r="L1059" s="60">
        <f t="shared" si="180"/>
        <v>212.4794444444444</v>
      </c>
      <c r="M1059" s="40">
        <v>0</v>
      </c>
      <c r="N1059" s="40">
        <v>0</v>
      </c>
      <c r="O1059" s="40">
        <v>0</v>
      </c>
      <c r="P1059" s="40">
        <v>0</v>
      </c>
      <c r="Q1059" s="40">
        <v>0</v>
      </c>
      <c r="R1059" s="40">
        <v>0</v>
      </c>
      <c r="S1059" s="61">
        <f t="shared" si="181"/>
        <v>70.099999999999966</v>
      </c>
      <c r="T1059" s="40">
        <v>0</v>
      </c>
      <c r="U1059" s="40">
        <v>0</v>
      </c>
      <c r="V1059" s="40">
        <v>0</v>
      </c>
      <c r="W1059" s="40">
        <v>0</v>
      </c>
      <c r="X1059" s="67">
        <f t="shared" si="182"/>
        <v>271</v>
      </c>
      <c r="Z1059" s="71"/>
      <c r="AA1059" s="71"/>
      <c r="AB1059" s="67" t="str">
        <f t="shared" si="183"/>
        <v/>
      </c>
      <c r="AD1059" s="121"/>
      <c r="AE1059" s="121"/>
    </row>
    <row r="1060" spans="1:31" x14ac:dyDescent="0.25">
      <c r="A1060" s="104" t="s">
        <v>1132</v>
      </c>
      <c r="B1060" s="7">
        <v>0.65</v>
      </c>
      <c r="C1060" s="3">
        <f t="shared" si="176"/>
        <v>0.19999999999999929</v>
      </c>
      <c r="D1060" s="10" t="s">
        <v>988</v>
      </c>
      <c r="E1060" s="40">
        <v>10</v>
      </c>
      <c r="F1060" s="40">
        <v>2.5</v>
      </c>
      <c r="G1060" s="40">
        <v>2</v>
      </c>
      <c r="H1060" s="3">
        <f t="shared" si="177"/>
        <v>8.3333333333333037E-2</v>
      </c>
      <c r="I1060" s="3">
        <f t="shared" si="178"/>
        <v>2.0833333333333259E-2</v>
      </c>
      <c r="J1060" s="3">
        <f t="shared" si="179"/>
        <v>1.6666666666666607E-2</v>
      </c>
      <c r="K1060" s="3"/>
      <c r="L1060" s="60">
        <f t="shared" si="180"/>
        <v>212.35861111111106</v>
      </c>
      <c r="M1060" s="40">
        <v>0</v>
      </c>
      <c r="N1060" s="40">
        <v>0</v>
      </c>
      <c r="O1060" s="40">
        <v>0</v>
      </c>
      <c r="P1060" s="40">
        <v>0</v>
      </c>
      <c r="Q1060" s="40">
        <v>0</v>
      </c>
      <c r="R1060" s="40">
        <v>0</v>
      </c>
      <c r="S1060" s="61">
        <f t="shared" si="181"/>
        <v>70.099999999999966</v>
      </c>
      <c r="T1060" s="40">
        <v>0</v>
      </c>
      <c r="U1060" s="40">
        <v>0</v>
      </c>
      <c r="V1060" s="40">
        <v>0</v>
      </c>
      <c r="W1060" s="40">
        <v>0</v>
      </c>
      <c r="X1060" s="67">
        <f t="shared" si="182"/>
        <v>271</v>
      </c>
      <c r="Z1060" s="71"/>
      <c r="AA1060" s="71"/>
      <c r="AB1060" s="67" t="str">
        <f t="shared" si="183"/>
        <v/>
      </c>
      <c r="AD1060" s="121"/>
      <c r="AE1060" s="121"/>
    </row>
    <row r="1061" spans="1:31" x14ac:dyDescent="0.25">
      <c r="A1061" s="104" t="s">
        <v>1132</v>
      </c>
      <c r="B1061" s="7">
        <v>0.6875</v>
      </c>
      <c r="C1061" s="3">
        <f t="shared" si="176"/>
        <v>0.89999999999999947</v>
      </c>
      <c r="D1061" s="10" t="s">
        <v>1048</v>
      </c>
      <c r="E1061" s="40">
        <v>15</v>
      </c>
      <c r="F1061" s="40">
        <v>2.5</v>
      </c>
      <c r="G1061" s="40">
        <v>2</v>
      </c>
      <c r="H1061" s="3">
        <f t="shared" si="177"/>
        <v>0.56249999999999967</v>
      </c>
      <c r="I1061" s="3">
        <f t="shared" si="178"/>
        <v>9.3749999999999944E-2</v>
      </c>
      <c r="J1061" s="3">
        <f t="shared" si="179"/>
        <v>7.4999999999999956E-2</v>
      </c>
      <c r="K1061" s="3"/>
      <c r="L1061" s="60">
        <f t="shared" si="180"/>
        <v>211.62736111111107</v>
      </c>
      <c r="M1061" s="40">
        <v>0</v>
      </c>
      <c r="N1061" s="40">
        <v>0</v>
      </c>
      <c r="O1061" s="40">
        <v>0</v>
      </c>
      <c r="P1061" s="40">
        <v>0</v>
      </c>
      <c r="Q1061" s="40">
        <v>0</v>
      </c>
      <c r="R1061" s="40">
        <v>0</v>
      </c>
      <c r="S1061" s="61">
        <f t="shared" si="181"/>
        <v>70.099999999999966</v>
      </c>
      <c r="T1061" s="40">
        <v>0</v>
      </c>
      <c r="U1061" s="40">
        <v>0</v>
      </c>
      <c r="V1061" s="40">
        <v>0</v>
      </c>
      <c r="W1061" s="40">
        <v>0</v>
      </c>
      <c r="X1061" s="67">
        <f t="shared" si="182"/>
        <v>271</v>
      </c>
      <c r="Z1061" s="71"/>
      <c r="AA1061" s="71"/>
      <c r="AB1061" s="67" t="str">
        <f t="shared" si="183"/>
        <v/>
      </c>
      <c r="AD1061" s="121"/>
      <c r="AE1061" s="121"/>
    </row>
    <row r="1062" spans="1:31" x14ac:dyDescent="0.25">
      <c r="A1062" s="104" t="s">
        <v>1132</v>
      </c>
      <c r="B1062" s="7">
        <v>0.75416666666666676</v>
      </c>
      <c r="C1062" s="3">
        <f t="shared" si="176"/>
        <v>1.6000000000000023</v>
      </c>
      <c r="D1062" s="10" t="s">
        <v>616</v>
      </c>
      <c r="E1062" s="40">
        <v>5</v>
      </c>
      <c r="F1062" s="40">
        <v>2.5</v>
      </c>
      <c r="G1062" s="40">
        <v>2</v>
      </c>
      <c r="H1062" s="3">
        <f t="shared" si="177"/>
        <v>0.33333333333333381</v>
      </c>
      <c r="I1062" s="3">
        <f t="shared" si="178"/>
        <v>0.16666666666666691</v>
      </c>
      <c r="J1062" s="3">
        <f t="shared" si="179"/>
        <v>0.13333333333333353</v>
      </c>
      <c r="K1062" s="3"/>
      <c r="L1062" s="60">
        <f t="shared" si="180"/>
        <v>210.99402777777775</v>
      </c>
      <c r="M1062" s="40">
        <v>0</v>
      </c>
      <c r="N1062" s="40">
        <v>0</v>
      </c>
      <c r="O1062" s="40">
        <v>0</v>
      </c>
      <c r="P1062" s="40">
        <v>0</v>
      </c>
      <c r="Q1062" s="40">
        <v>0</v>
      </c>
      <c r="R1062" s="40">
        <v>0</v>
      </c>
      <c r="S1062" s="61">
        <f t="shared" si="181"/>
        <v>70.099999999999966</v>
      </c>
      <c r="T1062" s="40">
        <v>0</v>
      </c>
      <c r="U1062" s="40">
        <v>0</v>
      </c>
      <c r="V1062" s="40">
        <v>3</v>
      </c>
      <c r="W1062" s="40">
        <v>0</v>
      </c>
      <c r="X1062" s="67">
        <f t="shared" si="182"/>
        <v>268</v>
      </c>
      <c r="Z1062" s="71"/>
      <c r="AA1062" s="71"/>
      <c r="AB1062" s="67" t="str">
        <f t="shared" si="183"/>
        <v/>
      </c>
      <c r="AD1062" s="121"/>
      <c r="AE1062" s="121"/>
    </row>
    <row r="1063" spans="1:31" x14ac:dyDescent="0.25">
      <c r="A1063" s="104" t="s">
        <v>1132</v>
      </c>
      <c r="B1063" s="7">
        <v>0.87916666666666676</v>
      </c>
      <c r="C1063" s="3">
        <f t="shared" si="176"/>
        <v>3</v>
      </c>
      <c r="D1063" s="10" t="s">
        <v>1004</v>
      </c>
      <c r="E1063" s="40">
        <v>0</v>
      </c>
      <c r="F1063" s="40">
        <v>2.5</v>
      </c>
      <c r="G1063" s="40">
        <v>2</v>
      </c>
      <c r="H1063" s="3">
        <f t="shared" si="177"/>
        <v>0</v>
      </c>
      <c r="I1063" s="3">
        <f t="shared" si="178"/>
        <v>0.3125</v>
      </c>
      <c r="J1063" s="3">
        <f t="shared" si="179"/>
        <v>0.25</v>
      </c>
      <c r="K1063" s="3"/>
      <c r="L1063" s="60">
        <f t="shared" si="180"/>
        <v>210.43152777777775</v>
      </c>
      <c r="M1063" s="40">
        <v>0</v>
      </c>
      <c r="N1063" s="40">
        <v>0</v>
      </c>
      <c r="O1063" s="40">
        <v>0</v>
      </c>
      <c r="P1063" s="40">
        <v>0</v>
      </c>
      <c r="Q1063" s="40">
        <v>0</v>
      </c>
      <c r="R1063" s="40">
        <v>0</v>
      </c>
      <c r="S1063" s="61">
        <f t="shared" si="181"/>
        <v>70.099999999999966</v>
      </c>
      <c r="T1063" s="40">
        <v>0</v>
      </c>
      <c r="U1063" s="40">
        <v>0</v>
      </c>
      <c r="V1063" s="40">
        <v>0</v>
      </c>
      <c r="W1063" s="40">
        <v>0</v>
      </c>
      <c r="X1063" s="67">
        <f t="shared" si="182"/>
        <v>268</v>
      </c>
      <c r="Z1063" s="71"/>
      <c r="AA1063" s="71"/>
      <c r="AB1063" s="67" t="str">
        <f t="shared" si="183"/>
        <v/>
      </c>
      <c r="AD1063" s="121"/>
      <c r="AE1063" s="121"/>
    </row>
    <row r="1064" spans="1:31" x14ac:dyDescent="0.25">
      <c r="A1064" s="104" t="s">
        <v>1133</v>
      </c>
      <c r="B1064" s="65">
        <v>0.33333333333333331</v>
      </c>
      <c r="C1064" s="3">
        <f t="shared" si="176"/>
        <v>10.899999999999999</v>
      </c>
      <c r="D1064" s="10" t="s">
        <v>966</v>
      </c>
      <c r="E1064" s="40">
        <v>0</v>
      </c>
      <c r="F1064" s="40">
        <v>2.5</v>
      </c>
      <c r="G1064" s="40">
        <v>2</v>
      </c>
      <c r="H1064" s="3">
        <f t="shared" si="177"/>
        <v>0</v>
      </c>
      <c r="I1064" s="3">
        <f t="shared" si="178"/>
        <v>1.1354166666666665</v>
      </c>
      <c r="J1064" s="3">
        <f t="shared" si="179"/>
        <v>0.90833333333333321</v>
      </c>
      <c r="K1064" s="3"/>
      <c r="L1064" s="60">
        <f t="shared" si="180"/>
        <v>208.38777777777776</v>
      </c>
      <c r="M1064" s="40">
        <v>0</v>
      </c>
      <c r="N1064" s="40">
        <v>0</v>
      </c>
      <c r="O1064" s="40">
        <v>0</v>
      </c>
      <c r="P1064" s="40">
        <v>0</v>
      </c>
      <c r="Q1064" s="40">
        <v>2.7</v>
      </c>
      <c r="R1064" s="40">
        <v>0</v>
      </c>
      <c r="S1064" s="61">
        <f t="shared" si="181"/>
        <v>67.399999999999963</v>
      </c>
      <c r="T1064" s="40">
        <v>0</v>
      </c>
      <c r="U1064" s="40">
        <v>0</v>
      </c>
      <c r="V1064" s="40">
        <v>3</v>
      </c>
      <c r="W1064" s="40">
        <v>0</v>
      </c>
      <c r="X1064" s="67">
        <f t="shared" si="182"/>
        <v>265</v>
      </c>
      <c r="Z1064" s="71"/>
      <c r="AA1064" s="71"/>
      <c r="AB1064" s="67" t="str">
        <f t="shared" si="183"/>
        <v/>
      </c>
      <c r="AD1064" s="121"/>
      <c r="AE1064" s="121"/>
    </row>
    <row r="1065" spans="1:31" x14ac:dyDescent="0.25">
      <c r="A1065" s="104" t="s">
        <v>1134</v>
      </c>
      <c r="B1065" s="7">
        <v>8.3333333333333329E-2</v>
      </c>
      <c r="C1065" s="3">
        <f t="shared" si="176"/>
        <v>18</v>
      </c>
      <c r="D1065" s="10" t="s">
        <v>1079</v>
      </c>
      <c r="E1065" s="40">
        <v>0</v>
      </c>
      <c r="F1065" s="40">
        <v>2.5</v>
      </c>
      <c r="G1065" s="40">
        <v>2</v>
      </c>
      <c r="H1065" s="3">
        <f t="shared" si="177"/>
        <v>0</v>
      </c>
      <c r="I1065" s="3">
        <f t="shared" si="178"/>
        <v>1.875</v>
      </c>
      <c r="J1065" s="3">
        <f t="shared" si="179"/>
        <v>1.5</v>
      </c>
      <c r="K1065" s="3"/>
      <c r="L1065" s="60">
        <f t="shared" si="180"/>
        <v>205.01277777777776</v>
      </c>
      <c r="M1065" s="40">
        <v>0</v>
      </c>
      <c r="N1065" s="40">
        <v>0</v>
      </c>
      <c r="O1065" s="40">
        <v>0</v>
      </c>
      <c r="P1065" s="40">
        <v>0</v>
      </c>
      <c r="Q1065" s="40">
        <v>4.5</v>
      </c>
      <c r="R1065" s="40">
        <v>0</v>
      </c>
      <c r="S1065" s="61">
        <f t="shared" si="181"/>
        <v>62.899999999999963</v>
      </c>
      <c r="T1065" s="40">
        <v>0</v>
      </c>
      <c r="U1065" s="40">
        <v>0</v>
      </c>
      <c r="V1065" s="40">
        <v>0</v>
      </c>
      <c r="W1065" s="40">
        <v>0</v>
      </c>
      <c r="X1065" s="67">
        <f t="shared" si="182"/>
        <v>265</v>
      </c>
      <c r="Z1065" s="71"/>
      <c r="AA1065" s="71"/>
      <c r="AB1065" s="67" t="str">
        <f t="shared" si="183"/>
        <v/>
      </c>
      <c r="AD1065" s="121"/>
      <c r="AE1065" s="121"/>
    </row>
    <row r="1066" spans="1:31" x14ac:dyDescent="0.25">
      <c r="A1066" s="104" t="s">
        <v>1134</v>
      </c>
      <c r="B1066" s="7">
        <v>0.23333333333333331</v>
      </c>
      <c r="C1066" s="3">
        <f t="shared" si="176"/>
        <v>3.5999999999999992</v>
      </c>
      <c r="D1066" s="10" t="s">
        <v>1011</v>
      </c>
      <c r="E1066" s="40">
        <v>0</v>
      </c>
      <c r="F1066" s="40">
        <v>2.5</v>
      </c>
      <c r="G1066" s="40">
        <v>2</v>
      </c>
      <c r="H1066" s="3">
        <f t="shared" si="177"/>
        <v>0</v>
      </c>
      <c r="I1066" s="3">
        <f t="shared" si="178"/>
        <v>0.37499999999999994</v>
      </c>
      <c r="J1066" s="3">
        <f t="shared" si="179"/>
        <v>0.29999999999999993</v>
      </c>
      <c r="K1066" s="3"/>
      <c r="L1066" s="60">
        <f t="shared" si="180"/>
        <v>204.33777777777775</v>
      </c>
      <c r="M1066" s="40">
        <v>0</v>
      </c>
      <c r="N1066" s="40">
        <v>0</v>
      </c>
      <c r="O1066" s="40">
        <v>0</v>
      </c>
      <c r="P1066" s="40">
        <v>0</v>
      </c>
      <c r="Q1066" s="40">
        <v>0</v>
      </c>
      <c r="R1066" s="40">
        <v>0</v>
      </c>
      <c r="S1066" s="61">
        <f t="shared" si="181"/>
        <v>62.899999999999963</v>
      </c>
      <c r="T1066" s="40">
        <v>0</v>
      </c>
      <c r="U1066" s="40">
        <v>0</v>
      </c>
      <c r="V1066" s="40">
        <v>0</v>
      </c>
      <c r="W1066" s="40">
        <v>0</v>
      </c>
      <c r="X1066" s="67">
        <f t="shared" si="182"/>
        <v>265</v>
      </c>
      <c r="Z1066" s="71"/>
      <c r="AA1066" s="71"/>
      <c r="AB1066" s="67" t="str">
        <f t="shared" si="183"/>
        <v/>
      </c>
      <c r="AD1066" s="121"/>
      <c r="AE1066" s="121"/>
    </row>
    <row r="1067" spans="1:31" x14ac:dyDescent="0.25">
      <c r="A1067" s="104" t="s">
        <v>1134</v>
      </c>
      <c r="B1067" s="7">
        <v>0.25</v>
      </c>
      <c r="C1067" s="3">
        <f t="shared" si="176"/>
        <v>0.40000000000000058</v>
      </c>
      <c r="D1067" s="10" t="s">
        <v>1135</v>
      </c>
      <c r="E1067" s="40">
        <v>5</v>
      </c>
      <c r="F1067" s="40">
        <v>2.5</v>
      </c>
      <c r="G1067" s="40">
        <v>2</v>
      </c>
      <c r="H1067" s="3">
        <f t="shared" si="177"/>
        <v>8.3333333333333454E-2</v>
      </c>
      <c r="I1067" s="3">
        <f t="shared" si="178"/>
        <v>4.1666666666666727E-2</v>
      </c>
      <c r="J1067" s="3">
        <f t="shared" si="179"/>
        <v>3.3333333333333381E-2</v>
      </c>
      <c r="K1067" s="3"/>
      <c r="L1067" s="60">
        <f t="shared" si="180"/>
        <v>204.17944444444441</v>
      </c>
      <c r="M1067" s="40">
        <v>0</v>
      </c>
      <c r="N1067" s="40">
        <v>0</v>
      </c>
      <c r="O1067" s="40">
        <v>0</v>
      </c>
      <c r="P1067" s="40">
        <v>0</v>
      </c>
      <c r="Q1067" s="40">
        <v>0</v>
      </c>
      <c r="R1067" s="40">
        <v>0</v>
      </c>
      <c r="S1067" s="61">
        <f t="shared" si="181"/>
        <v>62.899999999999963</v>
      </c>
      <c r="T1067" s="40">
        <v>0</v>
      </c>
      <c r="U1067" s="40">
        <v>0</v>
      </c>
      <c r="V1067" s="40">
        <v>3</v>
      </c>
      <c r="W1067" s="40">
        <v>0</v>
      </c>
      <c r="X1067" s="67">
        <f t="shared" si="182"/>
        <v>262</v>
      </c>
      <c r="Z1067" s="71"/>
      <c r="AA1067" s="71"/>
      <c r="AB1067" s="67" t="str">
        <f t="shared" si="183"/>
        <v/>
      </c>
      <c r="AD1067" s="121"/>
      <c r="AE1067" s="121"/>
    </row>
    <row r="1068" spans="1:31" x14ac:dyDescent="0.25">
      <c r="A1068" s="104" t="s">
        <v>1134</v>
      </c>
      <c r="B1068" s="65">
        <v>0.33333333333333331</v>
      </c>
      <c r="C1068" s="3">
        <f t="shared" si="176"/>
        <v>1.9999999999999996</v>
      </c>
      <c r="D1068" s="10" t="s">
        <v>355</v>
      </c>
      <c r="E1068" s="40">
        <v>24</v>
      </c>
      <c r="F1068" s="40">
        <v>2.5</v>
      </c>
      <c r="G1068" s="40">
        <v>0</v>
      </c>
      <c r="H1068" s="3">
        <f t="shared" si="177"/>
        <v>1.9999999999999996</v>
      </c>
      <c r="I1068" s="3">
        <f t="shared" si="178"/>
        <v>0.20833333333333329</v>
      </c>
      <c r="J1068" s="3">
        <f t="shared" si="179"/>
        <v>0</v>
      </c>
      <c r="K1068" s="3"/>
      <c r="L1068" s="60">
        <f t="shared" si="180"/>
        <v>201.97111111111107</v>
      </c>
      <c r="M1068" s="40">
        <v>0</v>
      </c>
      <c r="N1068" s="40">
        <v>0</v>
      </c>
      <c r="O1068" s="40">
        <v>0</v>
      </c>
      <c r="P1068" s="40">
        <v>0</v>
      </c>
      <c r="Q1068" s="40">
        <v>0</v>
      </c>
      <c r="R1068" s="40">
        <v>0</v>
      </c>
      <c r="S1068" s="61">
        <f t="shared" si="181"/>
        <v>62.899999999999963</v>
      </c>
      <c r="T1068" s="40">
        <v>0</v>
      </c>
      <c r="U1068" s="40">
        <v>0</v>
      </c>
      <c r="V1068" s="40">
        <v>3</v>
      </c>
      <c r="W1068" s="40">
        <v>0</v>
      </c>
      <c r="X1068" s="67">
        <f t="shared" si="182"/>
        <v>259</v>
      </c>
      <c r="Z1068" s="71"/>
      <c r="AA1068" s="71"/>
      <c r="AB1068" s="67" t="str">
        <f t="shared" si="183"/>
        <v/>
      </c>
      <c r="AD1068" s="121"/>
      <c r="AE1068" s="121"/>
    </row>
    <row r="1069" spans="1:31" x14ac:dyDescent="0.25">
      <c r="A1069" s="104" t="s">
        <v>1134</v>
      </c>
      <c r="B1069" s="7">
        <v>0.42499999999999999</v>
      </c>
      <c r="C1069" s="3">
        <f t="shared" si="176"/>
        <v>2.2000000000000002</v>
      </c>
      <c r="D1069" s="10" t="s">
        <v>201</v>
      </c>
      <c r="E1069" s="40">
        <v>24</v>
      </c>
      <c r="F1069" s="40">
        <v>2.5</v>
      </c>
      <c r="G1069" s="40">
        <v>6</v>
      </c>
      <c r="H1069" s="3">
        <f t="shared" si="177"/>
        <v>2.2000000000000002</v>
      </c>
      <c r="I1069" s="3">
        <f t="shared" si="178"/>
        <v>0.22916666666666669</v>
      </c>
      <c r="J1069" s="3">
        <f t="shared" si="179"/>
        <v>0.55000000000000004</v>
      </c>
      <c r="K1069" s="3"/>
      <c r="L1069" s="60">
        <f t="shared" si="180"/>
        <v>198.99194444444441</v>
      </c>
      <c r="M1069" s="40">
        <v>0</v>
      </c>
      <c r="N1069" s="40">
        <v>0</v>
      </c>
      <c r="O1069" s="40">
        <v>0</v>
      </c>
      <c r="P1069" s="40">
        <v>0</v>
      </c>
      <c r="Q1069" s="40">
        <v>0</v>
      </c>
      <c r="R1069" s="40">
        <v>0</v>
      </c>
      <c r="S1069" s="61">
        <f t="shared" si="181"/>
        <v>62.899999999999963</v>
      </c>
      <c r="T1069" s="40">
        <v>0</v>
      </c>
      <c r="U1069" s="40">
        <v>0</v>
      </c>
      <c r="V1069" s="40">
        <v>0</v>
      </c>
      <c r="W1069" s="40">
        <v>0</v>
      </c>
      <c r="X1069" s="67">
        <f t="shared" si="182"/>
        <v>259</v>
      </c>
      <c r="Z1069" s="71"/>
      <c r="AA1069" s="71"/>
      <c r="AB1069" s="67" t="str">
        <f t="shared" si="183"/>
        <v/>
      </c>
      <c r="AD1069" s="121">
        <v>12.1</v>
      </c>
      <c r="AE1069" s="121" t="s">
        <v>1296</v>
      </c>
    </row>
    <row r="1070" spans="1:31" x14ac:dyDescent="0.25">
      <c r="A1070" s="104" t="s">
        <v>1134</v>
      </c>
      <c r="B1070" s="7">
        <v>0.4458333333333333</v>
      </c>
      <c r="C1070" s="3">
        <f t="shared" si="176"/>
        <v>0.49999999999999956</v>
      </c>
      <c r="D1070" s="10" t="s">
        <v>616</v>
      </c>
      <c r="E1070" s="40">
        <v>10</v>
      </c>
      <c r="F1070" s="40">
        <v>2.5</v>
      </c>
      <c r="G1070" s="40">
        <v>6</v>
      </c>
      <c r="H1070" s="3">
        <f t="shared" si="177"/>
        <v>0.20833333333333315</v>
      </c>
      <c r="I1070" s="3">
        <f t="shared" si="178"/>
        <v>5.2083333333333287E-2</v>
      </c>
      <c r="J1070" s="3">
        <f t="shared" si="179"/>
        <v>0.12499999999999989</v>
      </c>
      <c r="K1070" s="3"/>
      <c r="L1070" s="60">
        <f t="shared" si="180"/>
        <v>198.60652777777776</v>
      </c>
      <c r="M1070" s="40">
        <v>0</v>
      </c>
      <c r="N1070" s="40">
        <v>0</v>
      </c>
      <c r="O1070" s="40">
        <v>0</v>
      </c>
      <c r="P1070" s="40">
        <v>0</v>
      </c>
      <c r="Q1070" s="40">
        <v>0</v>
      </c>
      <c r="R1070" s="40">
        <v>0</v>
      </c>
      <c r="S1070" s="61">
        <f t="shared" si="181"/>
        <v>62.899999999999963</v>
      </c>
      <c r="T1070" s="40">
        <v>0</v>
      </c>
      <c r="U1070" s="40">
        <v>0</v>
      </c>
      <c r="V1070" s="40">
        <v>0</v>
      </c>
      <c r="W1070" s="40">
        <v>0</v>
      </c>
      <c r="X1070" s="67">
        <f t="shared" si="182"/>
        <v>259</v>
      </c>
      <c r="Z1070" s="71"/>
      <c r="AA1070" s="71"/>
      <c r="AB1070" s="67" t="str">
        <f t="shared" si="183"/>
        <v/>
      </c>
      <c r="AD1070" s="121"/>
      <c r="AE1070" s="121"/>
    </row>
    <row r="1071" spans="1:31" x14ac:dyDescent="0.25">
      <c r="A1071" s="104" t="s">
        <v>1134</v>
      </c>
      <c r="B1071" s="7">
        <v>0.6</v>
      </c>
      <c r="C1071" s="3">
        <f t="shared" si="176"/>
        <v>3.7</v>
      </c>
      <c r="D1071" s="10" t="s">
        <v>1011</v>
      </c>
      <c r="E1071" s="40">
        <v>0</v>
      </c>
      <c r="F1071" s="40">
        <v>2.5</v>
      </c>
      <c r="G1071" s="40">
        <v>6</v>
      </c>
      <c r="H1071" s="3">
        <f t="shared" si="177"/>
        <v>0</v>
      </c>
      <c r="I1071" s="3">
        <f t="shared" si="178"/>
        <v>0.38541666666666669</v>
      </c>
      <c r="J1071" s="3">
        <f t="shared" si="179"/>
        <v>0.92500000000000004</v>
      </c>
      <c r="K1071" s="3"/>
      <c r="L1071" s="60">
        <f t="shared" si="180"/>
        <v>197.29611111111109</v>
      </c>
      <c r="M1071" s="40">
        <v>0</v>
      </c>
      <c r="N1071" s="40">
        <v>0</v>
      </c>
      <c r="O1071" s="40">
        <v>0</v>
      </c>
      <c r="P1071" s="40">
        <v>0</v>
      </c>
      <c r="Q1071" s="40">
        <v>0</v>
      </c>
      <c r="R1071" s="40">
        <v>0</v>
      </c>
      <c r="S1071" s="61">
        <f t="shared" si="181"/>
        <v>62.899999999999963</v>
      </c>
      <c r="T1071" s="40">
        <v>0</v>
      </c>
      <c r="U1071" s="40">
        <v>0</v>
      </c>
      <c r="V1071" s="40">
        <v>0</v>
      </c>
      <c r="W1071" s="40">
        <v>0</v>
      </c>
      <c r="X1071" s="67">
        <f t="shared" si="182"/>
        <v>259</v>
      </c>
      <c r="Z1071" s="71"/>
      <c r="AA1071" s="71"/>
      <c r="AB1071" s="67" t="str">
        <f t="shared" si="183"/>
        <v/>
      </c>
      <c r="AD1071" s="121"/>
      <c r="AE1071" s="121"/>
    </row>
    <row r="1072" spans="1:31" x14ac:dyDescent="0.25">
      <c r="A1072" s="104" t="s">
        <v>1134</v>
      </c>
      <c r="B1072" s="7">
        <v>0.65833333333333333</v>
      </c>
      <c r="C1072" s="3">
        <f t="shared" si="176"/>
        <v>1.4000000000000004</v>
      </c>
      <c r="D1072" s="10" t="s">
        <v>616</v>
      </c>
      <c r="E1072" s="40">
        <v>10</v>
      </c>
      <c r="F1072" s="40">
        <v>2.5</v>
      </c>
      <c r="G1072" s="40">
        <v>6</v>
      </c>
      <c r="H1072" s="3">
        <f t="shared" si="177"/>
        <v>0.58333333333333348</v>
      </c>
      <c r="I1072" s="3">
        <f t="shared" si="178"/>
        <v>0.14583333333333337</v>
      </c>
      <c r="J1072" s="3">
        <f t="shared" si="179"/>
        <v>0.35000000000000009</v>
      </c>
      <c r="K1072" s="3"/>
      <c r="L1072" s="60">
        <f t="shared" si="180"/>
        <v>196.21694444444441</v>
      </c>
      <c r="M1072" s="40">
        <v>0</v>
      </c>
      <c r="N1072" s="40">
        <v>0</v>
      </c>
      <c r="O1072" s="40">
        <v>0</v>
      </c>
      <c r="P1072" s="40">
        <v>0</v>
      </c>
      <c r="Q1072" s="40">
        <v>0</v>
      </c>
      <c r="R1072" s="40">
        <v>0</v>
      </c>
      <c r="S1072" s="61">
        <f t="shared" si="181"/>
        <v>62.899999999999963</v>
      </c>
      <c r="T1072" s="40">
        <v>0</v>
      </c>
      <c r="U1072" s="40">
        <v>0</v>
      </c>
      <c r="V1072" s="40">
        <v>0</v>
      </c>
      <c r="W1072" s="40">
        <v>0</v>
      </c>
      <c r="X1072" s="67">
        <f t="shared" si="182"/>
        <v>259</v>
      </c>
      <c r="Z1072" s="71"/>
      <c r="AA1072" s="71"/>
      <c r="AB1072" s="67" t="str">
        <f t="shared" si="183"/>
        <v/>
      </c>
      <c r="AD1072" s="121"/>
      <c r="AE1072" s="121"/>
    </row>
    <row r="1073" spans="1:31" x14ac:dyDescent="0.25">
      <c r="A1073" s="105" t="s">
        <v>1134</v>
      </c>
      <c r="B1073" s="7">
        <v>0.73749999999999993</v>
      </c>
      <c r="C1073" s="3">
        <f t="shared" ref="C1073:C1137" si="184">+IF((B1073-B1072)&lt;0,((B1073-B1072)*24)+24,(B1073-B1072)*24)</f>
        <v>1.8999999999999986</v>
      </c>
      <c r="D1073" s="10" t="s">
        <v>1004</v>
      </c>
      <c r="E1073" s="40">
        <v>0</v>
      </c>
      <c r="F1073" s="40">
        <v>2.5</v>
      </c>
      <c r="G1073" s="40">
        <v>6</v>
      </c>
      <c r="H1073" s="3">
        <f t="shared" ref="H1073:H1137" si="185">+IF(E1073="","",(E1073/24)*C1073)</f>
        <v>0</v>
      </c>
      <c r="I1073" s="3">
        <f t="shared" ref="I1073:I1137" si="186">+IF(F1073="","",(F1073/24)*C1073)</f>
        <v>0.19791666666666652</v>
      </c>
      <c r="J1073" s="3">
        <f t="shared" ref="J1073:J1137" si="187">+IF(G1073="","",(G1073/24)*C1073)</f>
        <v>0.47499999999999964</v>
      </c>
      <c r="K1073" s="3"/>
      <c r="L1073" s="60">
        <f t="shared" ref="L1073:L1137" si="188">+IF(C1073="","",(L1072+K1073)-(H1073+I1073+J1073))</f>
        <v>195.54402777777773</v>
      </c>
      <c r="M1073" s="40">
        <v>0</v>
      </c>
      <c r="N1073" s="40">
        <v>0</v>
      </c>
      <c r="O1073" s="40">
        <v>0</v>
      </c>
      <c r="P1073" s="40">
        <v>0</v>
      </c>
      <c r="Q1073" s="40">
        <v>0</v>
      </c>
      <c r="R1073" s="40">
        <v>0</v>
      </c>
      <c r="S1073" s="61">
        <f t="shared" ref="S1073:S1137" si="189">IF(C1073="","",(S1072+R1073)-(M1073+N1073+O1073+P1073+Q1073))</f>
        <v>62.899999999999963</v>
      </c>
      <c r="T1073" s="40">
        <v>0</v>
      </c>
      <c r="U1073" s="40">
        <v>0</v>
      </c>
      <c r="V1073" s="40">
        <v>0</v>
      </c>
      <c r="W1073" s="40">
        <v>0</v>
      </c>
      <c r="X1073" s="67">
        <f t="shared" ref="X1073:X1137" si="190">IF(V1073="","",((X1072+T1073+U1073)-(V1073+W1073)))</f>
        <v>259</v>
      </c>
      <c r="Z1073" s="71"/>
      <c r="AA1073" s="71"/>
      <c r="AB1073" s="67" t="str">
        <f t="shared" ref="AB1073:AB1137" si="191">IF(Z1073="","",Z1073+AA1073)</f>
        <v/>
      </c>
      <c r="AD1073" s="121"/>
      <c r="AE1073" s="121"/>
    </row>
    <row r="1074" spans="1:31" x14ac:dyDescent="0.25">
      <c r="A1074" s="105" t="s">
        <v>1134</v>
      </c>
      <c r="B1074" s="7">
        <v>0.98333333333333339</v>
      </c>
      <c r="C1074" s="3">
        <f t="shared" si="184"/>
        <v>5.900000000000003</v>
      </c>
      <c r="D1074" s="10" t="s">
        <v>265</v>
      </c>
      <c r="E1074" s="40">
        <v>0</v>
      </c>
      <c r="F1074" s="40">
        <v>2.5</v>
      </c>
      <c r="G1074" s="40">
        <v>6</v>
      </c>
      <c r="H1074" s="3">
        <f t="shared" si="185"/>
        <v>0</v>
      </c>
      <c r="I1074" s="3">
        <f t="shared" si="186"/>
        <v>0.6145833333333337</v>
      </c>
      <c r="J1074" s="3">
        <f t="shared" si="187"/>
        <v>1.4750000000000008</v>
      </c>
      <c r="K1074" s="3"/>
      <c r="L1074" s="60">
        <f t="shared" si="188"/>
        <v>193.45444444444439</v>
      </c>
      <c r="M1074" s="40">
        <v>0</v>
      </c>
      <c r="N1074" s="40">
        <v>0</v>
      </c>
      <c r="O1074" s="40">
        <v>0</v>
      </c>
      <c r="P1074" s="40">
        <v>0</v>
      </c>
      <c r="Q1074" s="40">
        <v>1.6</v>
      </c>
      <c r="R1074" s="40">
        <v>0</v>
      </c>
      <c r="S1074" s="61">
        <f t="shared" si="189"/>
        <v>61.299999999999962</v>
      </c>
      <c r="T1074" s="40">
        <v>0</v>
      </c>
      <c r="U1074" s="40">
        <v>0</v>
      </c>
      <c r="V1074" s="40">
        <v>3</v>
      </c>
      <c r="W1074" s="40">
        <v>0</v>
      </c>
      <c r="X1074" s="67">
        <f t="shared" si="190"/>
        <v>256</v>
      </c>
      <c r="Z1074" s="71"/>
      <c r="AA1074" s="71"/>
      <c r="AB1074" s="67" t="str">
        <f t="shared" si="191"/>
        <v/>
      </c>
      <c r="AD1074" s="121"/>
      <c r="AE1074" s="121"/>
    </row>
    <row r="1075" spans="1:31" x14ac:dyDescent="0.25">
      <c r="A1075" s="105" t="s">
        <v>1136</v>
      </c>
      <c r="B1075" s="7">
        <v>0.12083333333333333</v>
      </c>
      <c r="C1075" s="3">
        <f t="shared" si="184"/>
        <v>3.2999999999999972</v>
      </c>
      <c r="D1075" s="10" t="s">
        <v>1011</v>
      </c>
      <c r="E1075" s="40">
        <v>0</v>
      </c>
      <c r="F1075" s="40">
        <v>2.5</v>
      </c>
      <c r="G1075" s="40">
        <v>6</v>
      </c>
      <c r="H1075" s="3">
        <f t="shared" si="185"/>
        <v>0</v>
      </c>
      <c r="I1075" s="3">
        <f t="shared" si="186"/>
        <v>0.34374999999999972</v>
      </c>
      <c r="J1075" s="3">
        <f t="shared" si="187"/>
        <v>0.82499999999999929</v>
      </c>
      <c r="K1075" s="3"/>
      <c r="L1075" s="60">
        <f t="shared" si="188"/>
        <v>192.2856944444444</v>
      </c>
      <c r="M1075" s="40">
        <v>0</v>
      </c>
      <c r="N1075" s="40">
        <v>0</v>
      </c>
      <c r="O1075" s="40">
        <v>0</v>
      </c>
      <c r="P1075" s="40">
        <v>0</v>
      </c>
      <c r="Q1075" s="40">
        <v>0</v>
      </c>
      <c r="R1075" s="40">
        <v>0</v>
      </c>
      <c r="S1075" s="61">
        <f t="shared" si="189"/>
        <v>61.299999999999962</v>
      </c>
      <c r="T1075" s="40">
        <v>0</v>
      </c>
      <c r="U1075" s="40">
        <v>0</v>
      </c>
      <c r="V1075" s="40">
        <v>0</v>
      </c>
      <c r="W1075" s="40">
        <v>0</v>
      </c>
      <c r="X1075" s="67">
        <f t="shared" si="190"/>
        <v>256</v>
      </c>
      <c r="Z1075" s="71"/>
      <c r="AA1075" s="71"/>
      <c r="AB1075" s="67" t="str">
        <f t="shared" si="191"/>
        <v/>
      </c>
      <c r="AD1075" s="121"/>
      <c r="AE1075" s="121"/>
    </row>
    <row r="1076" spans="1:31" x14ac:dyDescent="0.25">
      <c r="A1076" s="105" t="s">
        <v>1136</v>
      </c>
      <c r="B1076" s="7">
        <v>0.14583333333333334</v>
      </c>
      <c r="C1076" s="3">
        <f t="shared" si="184"/>
        <v>0.6000000000000002</v>
      </c>
      <c r="D1076" s="10" t="s">
        <v>1137</v>
      </c>
      <c r="E1076" s="40">
        <v>10</v>
      </c>
      <c r="F1076" s="40">
        <v>2.5</v>
      </c>
      <c r="G1076" s="40">
        <v>6</v>
      </c>
      <c r="H1076" s="3">
        <f t="shared" si="185"/>
        <v>0.25000000000000011</v>
      </c>
      <c r="I1076" s="3">
        <f t="shared" si="186"/>
        <v>6.2500000000000028E-2</v>
      </c>
      <c r="J1076" s="3">
        <f t="shared" si="187"/>
        <v>0.15000000000000005</v>
      </c>
      <c r="K1076" s="3"/>
      <c r="L1076" s="60">
        <f t="shared" si="188"/>
        <v>191.8231944444444</v>
      </c>
      <c r="M1076" s="40">
        <v>0</v>
      </c>
      <c r="N1076" s="40">
        <v>0</v>
      </c>
      <c r="O1076" s="40">
        <v>0</v>
      </c>
      <c r="P1076" s="40">
        <v>0</v>
      </c>
      <c r="Q1076" s="40">
        <v>0</v>
      </c>
      <c r="R1076" s="40">
        <v>0</v>
      </c>
      <c r="S1076" s="61">
        <f t="shared" si="189"/>
        <v>61.299999999999962</v>
      </c>
      <c r="T1076" s="40">
        <v>0</v>
      </c>
      <c r="U1076" s="40">
        <v>0</v>
      </c>
      <c r="V1076" s="40">
        <v>0</v>
      </c>
      <c r="W1076" s="40">
        <v>0</v>
      </c>
      <c r="X1076" s="67">
        <f t="shared" si="190"/>
        <v>256</v>
      </c>
      <c r="Z1076" s="71"/>
      <c r="AA1076" s="71"/>
      <c r="AB1076" s="67" t="str">
        <f t="shared" si="191"/>
        <v/>
      </c>
      <c r="AD1076" s="121"/>
      <c r="AE1076" s="121"/>
    </row>
    <row r="1077" spans="1:31" x14ac:dyDescent="0.25">
      <c r="A1077" s="105" t="s">
        <v>1136</v>
      </c>
      <c r="B1077" s="65">
        <v>0.33333333333333331</v>
      </c>
      <c r="C1077" s="3">
        <f t="shared" si="184"/>
        <v>4.4999999999999991</v>
      </c>
      <c r="D1077" s="10" t="s">
        <v>355</v>
      </c>
      <c r="E1077" s="40">
        <v>25</v>
      </c>
      <c r="F1077" s="40">
        <v>2.5</v>
      </c>
      <c r="G1077" s="40">
        <v>6</v>
      </c>
      <c r="H1077" s="3">
        <f t="shared" si="185"/>
        <v>4.6874999999999991</v>
      </c>
      <c r="I1077" s="3">
        <f t="shared" si="186"/>
        <v>0.46874999999999994</v>
      </c>
      <c r="J1077" s="3">
        <f t="shared" si="187"/>
        <v>1.1249999999999998</v>
      </c>
      <c r="K1077" s="3"/>
      <c r="L1077" s="60">
        <f t="shared" si="188"/>
        <v>185.5419444444444</v>
      </c>
      <c r="M1077" s="40">
        <v>0</v>
      </c>
      <c r="N1077" s="40">
        <v>0</v>
      </c>
      <c r="O1077" s="40">
        <v>0</v>
      </c>
      <c r="P1077" s="40">
        <v>0</v>
      </c>
      <c r="Q1077" s="40">
        <v>0</v>
      </c>
      <c r="R1077" s="40">
        <v>0</v>
      </c>
      <c r="S1077" s="61">
        <f t="shared" si="189"/>
        <v>61.299999999999962</v>
      </c>
      <c r="T1077" s="40">
        <v>0</v>
      </c>
      <c r="U1077" s="40">
        <v>0</v>
      </c>
      <c r="V1077" s="40">
        <v>3</v>
      </c>
      <c r="W1077" s="40">
        <v>0</v>
      </c>
      <c r="X1077" s="67">
        <f t="shared" si="190"/>
        <v>253</v>
      </c>
      <c r="Z1077" s="71"/>
      <c r="AA1077" s="71"/>
      <c r="AB1077" s="67" t="str">
        <f t="shared" si="191"/>
        <v/>
      </c>
      <c r="AD1077" s="121"/>
      <c r="AE1077" s="121"/>
    </row>
    <row r="1078" spans="1:31" x14ac:dyDescent="0.25">
      <c r="A1078" s="105" t="s">
        <v>1138</v>
      </c>
      <c r="B1078" s="65">
        <v>0.33333333333333331</v>
      </c>
      <c r="C1078" s="3">
        <v>24</v>
      </c>
      <c r="D1078" s="10" t="s">
        <v>355</v>
      </c>
      <c r="E1078" s="40">
        <v>25</v>
      </c>
      <c r="F1078" s="40">
        <v>2.5</v>
      </c>
      <c r="G1078" s="40">
        <v>6</v>
      </c>
      <c r="H1078" s="3">
        <f t="shared" si="185"/>
        <v>25</v>
      </c>
      <c r="I1078" s="3">
        <f t="shared" si="186"/>
        <v>2.5</v>
      </c>
      <c r="J1078" s="3">
        <f t="shared" si="187"/>
        <v>6</v>
      </c>
      <c r="K1078" s="3"/>
      <c r="L1078" s="60">
        <f t="shared" si="188"/>
        <v>152.0419444444444</v>
      </c>
      <c r="M1078" s="40">
        <v>0</v>
      </c>
      <c r="N1078" s="40">
        <v>0</v>
      </c>
      <c r="O1078" s="40">
        <v>0</v>
      </c>
      <c r="P1078" s="40">
        <v>0</v>
      </c>
      <c r="Q1078" s="40">
        <v>0</v>
      </c>
      <c r="R1078" s="40">
        <v>0</v>
      </c>
      <c r="S1078" s="61">
        <f t="shared" si="189"/>
        <v>61.299999999999962</v>
      </c>
      <c r="T1078" s="40">
        <v>0</v>
      </c>
      <c r="U1078" s="40">
        <v>0</v>
      </c>
      <c r="V1078" s="40">
        <v>6</v>
      </c>
      <c r="W1078" s="40">
        <v>0</v>
      </c>
      <c r="X1078" s="67">
        <f t="shared" si="190"/>
        <v>247</v>
      </c>
      <c r="Z1078" s="71">
        <v>91</v>
      </c>
      <c r="AA1078" s="71">
        <v>73</v>
      </c>
      <c r="AB1078" s="67">
        <f t="shared" si="191"/>
        <v>164</v>
      </c>
      <c r="AD1078" s="121"/>
      <c r="AE1078" s="121"/>
    </row>
    <row r="1079" spans="1:31" x14ac:dyDescent="0.25">
      <c r="A1079" s="105" t="s">
        <v>1139</v>
      </c>
      <c r="B1079" s="65">
        <v>0.33333333333333331</v>
      </c>
      <c r="C1079" s="3">
        <v>24</v>
      </c>
      <c r="D1079" s="10" t="s">
        <v>355</v>
      </c>
      <c r="E1079" s="40">
        <v>25</v>
      </c>
      <c r="F1079" s="40">
        <v>2.5</v>
      </c>
      <c r="G1079" s="40">
        <v>2</v>
      </c>
      <c r="H1079" s="3">
        <f t="shared" si="185"/>
        <v>25</v>
      </c>
      <c r="I1079" s="3">
        <f t="shared" si="186"/>
        <v>2.5</v>
      </c>
      <c r="J1079" s="3">
        <f t="shared" si="187"/>
        <v>2</v>
      </c>
      <c r="K1079" s="3"/>
      <c r="L1079" s="60">
        <f t="shared" si="188"/>
        <v>122.5419444444444</v>
      </c>
      <c r="M1079" s="40">
        <v>0</v>
      </c>
      <c r="N1079" s="40">
        <v>0</v>
      </c>
      <c r="O1079" s="40">
        <v>0</v>
      </c>
      <c r="P1079" s="40">
        <v>0</v>
      </c>
      <c r="Q1079" s="40">
        <v>0</v>
      </c>
      <c r="R1079" s="40">
        <v>0</v>
      </c>
      <c r="S1079" s="61">
        <f t="shared" si="189"/>
        <v>61.299999999999962</v>
      </c>
      <c r="T1079" s="40">
        <v>8</v>
      </c>
      <c r="U1079" s="40">
        <v>0</v>
      </c>
      <c r="V1079" s="40">
        <v>6</v>
      </c>
      <c r="W1079" s="40">
        <v>0</v>
      </c>
      <c r="X1079" s="67">
        <f t="shared" si="190"/>
        <v>249</v>
      </c>
      <c r="Z1079" s="71"/>
      <c r="AA1079" s="71"/>
      <c r="AB1079" s="67" t="str">
        <f t="shared" si="191"/>
        <v/>
      </c>
      <c r="AD1079" s="121"/>
      <c r="AE1079" s="121"/>
    </row>
    <row r="1080" spans="1:31" x14ac:dyDescent="0.25">
      <c r="A1080" s="105" t="s">
        <v>1140</v>
      </c>
      <c r="B1080" s="7">
        <v>6.25E-2</v>
      </c>
      <c r="C1080" s="3">
        <f t="shared" si="184"/>
        <v>17.5</v>
      </c>
      <c r="D1080" s="10" t="s">
        <v>201</v>
      </c>
      <c r="E1080" s="40">
        <v>24</v>
      </c>
      <c r="F1080" s="40">
        <v>2.5</v>
      </c>
      <c r="G1080" s="40">
        <v>0</v>
      </c>
      <c r="H1080" s="3">
        <f t="shared" si="185"/>
        <v>17.5</v>
      </c>
      <c r="I1080" s="3">
        <f t="shared" si="186"/>
        <v>1.8229166666666667</v>
      </c>
      <c r="J1080" s="3">
        <f t="shared" si="187"/>
        <v>0</v>
      </c>
      <c r="K1080" s="3"/>
      <c r="L1080" s="60">
        <f t="shared" si="188"/>
        <v>103.21902777777773</v>
      </c>
      <c r="M1080" s="40">
        <v>0</v>
      </c>
      <c r="N1080" s="40">
        <v>0</v>
      </c>
      <c r="O1080" s="40">
        <v>0</v>
      </c>
      <c r="P1080" s="40">
        <v>0</v>
      </c>
      <c r="Q1080" s="40">
        <v>0</v>
      </c>
      <c r="R1080" s="40">
        <v>0</v>
      </c>
      <c r="S1080" s="61">
        <f t="shared" si="189"/>
        <v>61.299999999999962</v>
      </c>
      <c r="T1080" s="40">
        <v>4</v>
      </c>
      <c r="U1080" s="40">
        <v>0</v>
      </c>
      <c r="V1080" s="40">
        <v>3</v>
      </c>
      <c r="W1080" s="40">
        <v>0</v>
      </c>
      <c r="X1080" s="67">
        <f t="shared" si="190"/>
        <v>250</v>
      </c>
      <c r="Z1080" s="71"/>
      <c r="AA1080" s="71"/>
      <c r="AB1080" s="67" t="str">
        <f t="shared" si="191"/>
        <v/>
      </c>
      <c r="AD1080" s="121">
        <v>12</v>
      </c>
      <c r="AE1080" s="121" t="s">
        <v>1296</v>
      </c>
    </row>
    <row r="1081" spans="1:31" x14ac:dyDescent="0.25">
      <c r="A1081" s="105" t="s">
        <v>1140</v>
      </c>
      <c r="B1081" s="7">
        <v>7.4999999999999997E-2</v>
      </c>
      <c r="C1081" s="3">
        <f t="shared" si="184"/>
        <v>0.29999999999999993</v>
      </c>
      <c r="D1081" s="10" t="s">
        <v>616</v>
      </c>
      <c r="E1081" s="40">
        <v>10</v>
      </c>
      <c r="F1081" s="40">
        <v>2.5</v>
      </c>
      <c r="G1081" s="40">
        <v>2</v>
      </c>
      <c r="H1081" s="3">
        <f t="shared" si="185"/>
        <v>0.12499999999999997</v>
      </c>
      <c r="I1081" s="3">
        <f t="shared" si="186"/>
        <v>3.1249999999999993E-2</v>
      </c>
      <c r="J1081" s="3">
        <f t="shared" si="187"/>
        <v>2.4999999999999994E-2</v>
      </c>
      <c r="K1081" s="3"/>
      <c r="L1081" s="60">
        <f t="shared" si="188"/>
        <v>103.03777777777772</v>
      </c>
      <c r="M1081" s="40">
        <v>0</v>
      </c>
      <c r="N1081" s="40">
        <v>0</v>
      </c>
      <c r="O1081" s="40">
        <v>0</v>
      </c>
      <c r="P1081" s="40">
        <v>0</v>
      </c>
      <c r="Q1081" s="40">
        <v>0</v>
      </c>
      <c r="R1081" s="40">
        <v>0</v>
      </c>
      <c r="S1081" s="61">
        <f t="shared" si="189"/>
        <v>61.299999999999962</v>
      </c>
      <c r="T1081" s="40">
        <v>0</v>
      </c>
      <c r="U1081" s="40">
        <v>0</v>
      </c>
      <c r="V1081" s="40">
        <v>0</v>
      </c>
      <c r="W1081" s="40">
        <v>0</v>
      </c>
      <c r="X1081" s="67">
        <f t="shared" si="190"/>
        <v>250</v>
      </c>
      <c r="Z1081" s="71"/>
      <c r="AA1081" s="71"/>
      <c r="AB1081" s="67" t="str">
        <f t="shared" si="191"/>
        <v/>
      </c>
      <c r="AD1081" s="121"/>
      <c r="AE1081" s="121"/>
    </row>
    <row r="1082" spans="1:31" x14ac:dyDescent="0.25">
      <c r="A1082" s="105" t="s">
        <v>1140</v>
      </c>
      <c r="B1082" s="65">
        <v>0.33333333333333331</v>
      </c>
      <c r="C1082" s="3">
        <f t="shared" si="184"/>
        <v>6.1999999999999993</v>
      </c>
      <c r="D1082" s="10" t="s">
        <v>351</v>
      </c>
      <c r="E1082" s="40">
        <v>0</v>
      </c>
      <c r="F1082" s="40">
        <v>2.5</v>
      </c>
      <c r="G1082" s="40">
        <v>2</v>
      </c>
      <c r="H1082" s="3">
        <f t="shared" si="185"/>
        <v>0</v>
      </c>
      <c r="I1082" s="3">
        <f t="shared" si="186"/>
        <v>0.64583333333333326</v>
      </c>
      <c r="J1082" s="3">
        <f t="shared" si="187"/>
        <v>0.51666666666666661</v>
      </c>
      <c r="K1082" s="3"/>
      <c r="L1082" s="60">
        <f t="shared" si="188"/>
        <v>101.87527777777773</v>
      </c>
      <c r="M1082" s="40">
        <v>0</v>
      </c>
      <c r="N1082" s="40">
        <v>0</v>
      </c>
      <c r="O1082" s="40">
        <v>0</v>
      </c>
      <c r="P1082" s="40">
        <v>0</v>
      </c>
      <c r="Q1082" s="40">
        <v>0</v>
      </c>
      <c r="R1082" s="40">
        <v>0</v>
      </c>
      <c r="S1082" s="61">
        <f t="shared" si="189"/>
        <v>61.299999999999962</v>
      </c>
      <c r="T1082" s="40">
        <v>0</v>
      </c>
      <c r="U1082" s="40">
        <v>0</v>
      </c>
      <c r="V1082" s="40">
        <v>3</v>
      </c>
      <c r="W1082" s="40">
        <v>0</v>
      </c>
      <c r="X1082" s="67">
        <f t="shared" si="190"/>
        <v>247</v>
      </c>
      <c r="Z1082" s="71">
        <v>83</v>
      </c>
      <c r="AA1082" s="71">
        <v>80</v>
      </c>
      <c r="AB1082" s="67">
        <f t="shared" si="191"/>
        <v>163</v>
      </c>
      <c r="AD1082" s="121"/>
      <c r="AE1082" s="121"/>
    </row>
    <row r="1083" spans="1:31" x14ac:dyDescent="0.25">
      <c r="A1083" s="105" t="s">
        <v>1140</v>
      </c>
      <c r="B1083" s="7">
        <v>0.53333333333333333</v>
      </c>
      <c r="C1083" s="3">
        <f t="shared" si="184"/>
        <v>4.8000000000000007</v>
      </c>
      <c r="D1083" s="10" t="s">
        <v>1011</v>
      </c>
      <c r="E1083" s="40">
        <v>0</v>
      </c>
      <c r="F1083" s="40">
        <v>2.5</v>
      </c>
      <c r="G1083" s="40">
        <v>2</v>
      </c>
      <c r="H1083" s="3">
        <f t="shared" si="185"/>
        <v>0</v>
      </c>
      <c r="I1083" s="3">
        <f t="shared" si="186"/>
        <v>0.50000000000000011</v>
      </c>
      <c r="J1083" s="3">
        <f t="shared" si="187"/>
        <v>0.4</v>
      </c>
      <c r="K1083" s="3"/>
      <c r="L1083" s="60">
        <f t="shared" si="188"/>
        <v>100.97527777777772</v>
      </c>
      <c r="M1083" s="40">
        <v>0</v>
      </c>
      <c r="N1083" s="40">
        <v>0</v>
      </c>
      <c r="O1083" s="40">
        <v>0</v>
      </c>
      <c r="P1083" s="40">
        <v>0</v>
      </c>
      <c r="Q1083" s="40">
        <v>0</v>
      </c>
      <c r="R1083" s="40">
        <v>0</v>
      </c>
      <c r="S1083" s="61">
        <f t="shared" si="189"/>
        <v>61.299999999999962</v>
      </c>
      <c r="T1083" s="40">
        <v>0</v>
      </c>
      <c r="U1083" s="40">
        <v>0</v>
      </c>
      <c r="V1083" s="40">
        <v>0</v>
      </c>
      <c r="W1083" s="40">
        <v>0</v>
      </c>
      <c r="X1083" s="67">
        <f t="shared" si="190"/>
        <v>247</v>
      </c>
      <c r="Z1083" s="71"/>
      <c r="AA1083" s="71"/>
      <c r="AB1083" s="67" t="str">
        <f t="shared" si="191"/>
        <v/>
      </c>
      <c r="AD1083" s="121"/>
      <c r="AE1083" s="121"/>
    </row>
    <row r="1084" spans="1:31" x14ac:dyDescent="0.25">
      <c r="A1084" s="105" t="s">
        <v>1140</v>
      </c>
      <c r="B1084" s="7">
        <v>0.59583333333333333</v>
      </c>
      <c r="C1084" s="3">
        <f t="shared" si="184"/>
        <v>1.5</v>
      </c>
      <c r="D1084" s="10" t="s">
        <v>616</v>
      </c>
      <c r="E1084" s="40">
        <v>10</v>
      </c>
      <c r="F1084" s="40">
        <v>2.5</v>
      </c>
      <c r="G1084" s="40">
        <v>2</v>
      </c>
      <c r="H1084" s="3">
        <f t="shared" si="185"/>
        <v>0.625</v>
      </c>
      <c r="I1084" s="3">
        <f t="shared" si="186"/>
        <v>0.15625</v>
      </c>
      <c r="J1084" s="3">
        <f t="shared" si="187"/>
        <v>0.125</v>
      </c>
      <c r="K1084" s="3"/>
      <c r="L1084" s="60">
        <f t="shared" si="188"/>
        <v>100.06902777777772</v>
      </c>
      <c r="M1084" s="40">
        <v>0</v>
      </c>
      <c r="N1084" s="40">
        <v>0</v>
      </c>
      <c r="O1084" s="40">
        <v>0</v>
      </c>
      <c r="P1084" s="40">
        <v>0</v>
      </c>
      <c r="Q1084" s="40">
        <v>0</v>
      </c>
      <c r="R1084" s="40">
        <v>0</v>
      </c>
      <c r="S1084" s="61">
        <f t="shared" si="189"/>
        <v>61.299999999999962</v>
      </c>
      <c r="T1084" s="40">
        <v>0</v>
      </c>
      <c r="U1084" s="40">
        <v>0</v>
      </c>
      <c r="V1084" s="40">
        <v>3</v>
      </c>
      <c r="W1084" s="40">
        <v>0</v>
      </c>
      <c r="X1084" s="67">
        <f t="shared" si="190"/>
        <v>244</v>
      </c>
      <c r="Z1084" s="71"/>
      <c r="AA1084" s="71"/>
      <c r="AB1084" s="67" t="str">
        <f t="shared" si="191"/>
        <v/>
      </c>
      <c r="AD1084" s="121"/>
      <c r="AE1084" s="121"/>
    </row>
    <row r="1085" spans="1:31" x14ac:dyDescent="0.25">
      <c r="A1085" s="105" t="s">
        <v>1140</v>
      </c>
      <c r="B1085" s="7">
        <v>0.79999999999999993</v>
      </c>
      <c r="C1085" s="3">
        <f t="shared" si="184"/>
        <v>4.8999999999999986</v>
      </c>
      <c r="D1085" s="10" t="s">
        <v>1004</v>
      </c>
      <c r="E1085" s="40">
        <v>0</v>
      </c>
      <c r="F1085" s="40">
        <v>2.5</v>
      </c>
      <c r="G1085" s="40">
        <v>2</v>
      </c>
      <c r="H1085" s="3">
        <f t="shared" si="185"/>
        <v>0</v>
      </c>
      <c r="I1085" s="3">
        <f t="shared" si="186"/>
        <v>0.51041666666666652</v>
      </c>
      <c r="J1085" s="3">
        <f t="shared" si="187"/>
        <v>0.40833333333333321</v>
      </c>
      <c r="K1085" s="3"/>
      <c r="L1085" s="60">
        <f t="shared" si="188"/>
        <v>99.150277777777717</v>
      </c>
      <c r="M1085" s="40">
        <v>0</v>
      </c>
      <c r="N1085" s="40">
        <v>0</v>
      </c>
      <c r="O1085" s="40">
        <v>0</v>
      </c>
      <c r="P1085" s="40">
        <v>0</v>
      </c>
      <c r="Q1085" s="40">
        <v>0</v>
      </c>
      <c r="R1085" s="40">
        <v>0</v>
      </c>
      <c r="S1085" s="61">
        <f t="shared" si="189"/>
        <v>61.299999999999962</v>
      </c>
      <c r="T1085" s="40">
        <v>0</v>
      </c>
      <c r="U1085" s="40">
        <v>0</v>
      </c>
      <c r="V1085" s="40">
        <v>0</v>
      </c>
      <c r="W1085" s="40">
        <v>0</v>
      </c>
      <c r="X1085" s="67">
        <f t="shared" si="190"/>
        <v>244</v>
      </c>
      <c r="Z1085" s="71"/>
      <c r="AA1085" s="71"/>
      <c r="AB1085" s="67" t="str">
        <f t="shared" si="191"/>
        <v/>
      </c>
      <c r="AD1085" s="121"/>
      <c r="AE1085" s="121"/>
    </row>
    <row r="1086" spans="1:31" x14ac:dyDescent="0.25">
      <c r="A1086" s="105" t="s">
        <v>1141</v>
      </c>
      <c r="B1086" s="7">
        <v>0.27916666666666667</v>
      </c>
      <c r="C1086" s="3">
        <f t="shared" si="184"/>
        <v>11.500000000000002</v>
      </c>
      <c r="D1086" s="10" t="s">
        <v>1142</v>
      </c>
      <c r="E1086" s="40">
        <v>0</v>
      </c>
      <c r="F1086" s="40">
        <v>2.5</v>
      </c>
      <c r="G1086" s="40">
        <v>2</v>
      </c>
      <c r="H1086" s="3">
        <f t="shared" si="185"/>
        <v>0</v>
      </c>
      <c r="I1086" s="3">
        <f t="shared" si="186"/>
        <v>1.197916666666667</v>
      </c>
      <c r="J1086" s="3">
        <f t="shared" si="187"/>
        <v>0.95833333333333348</v>
      </c>
      <c r="K1086" s="3"/>
      <c r="L1086" s="60">
        <f t="shared" si="188"/>
        <v>96.994027777777717</v>
      </c>
      <c r="M1086" s="40">
        <v>0</v>
      </c>
      <c r="N1086" s="40">
        <v>0</v>
      </c>
      <c r="O1086" s="40">
        <v>0</v>
      </c>
      <c r="P1086" s="40">
        <v>0</v>
      </c>
      <c r="Q1086" s="40">
        <v>2.9</v>
      </c>
      <c r="R1086" s="40">
        <v>0</v>
      </c>
      <c r="S1086" s="61">
        <f t="shared" si="189"/>
        <v>58.399999999999963</v>
      </c>
      <c r="T1086" s="40">
        <v>0</v>
      </c>
      <c r="U1086" s="40">
        <v>0</v>
      </c>
      <c r="V1086" s="40">
        <v>3</v>
      </c>
      <c r="W1086" s="40">
        <v>0</v>
      </c>
      <c r="X1086" s="67">
        <f t="shared" si="190"/>
        <v>241</v>
      </c>
      <c r="Z1086" s="71"/>
      <c r="AA1086" s="71"/>
      <c r="AB1086" s="67" t="str">
        <f t="shared" si="191"/>
        <v/>
      </c>
      <c r="AD1086" s="121"/>
      <c r="AE1086" s="121"/>
    </row>
    <row r="1087" spans="1:31" x14ac:dyDescent="0.25">
      <c r="A1087" s="105" t="s">
        <v>1141</v>
      </c>
      <c r="B1087" s="65">
        <v>0.33333333333333331</v>
      </c>
      <c r="C1087" s="3">
        <f t="shared" si="184"/>
        <v>1.2999999999999994</v>
      </c>
      <c r="D1087" s="10" t="s">
        <v>1111</v>
      </c>
      <c r="E1087" s="40">
        <v>0</v>
      </c>
      <c r="F1087" s="40">
        <v>2.5</v>
      </c>
      <c r="G1087" s="40">
        <v>2</v>
      </c>
      <c r="H1087" s="3">
        <f t="shared" si="185"/>
        <v>0</v>
      </c>
      <c r="I1087" s="3">
        <f t="shared" si="186"/>
        <v>0.1354166666666666</v>
      </c>
      <c r="J1087" s="3">
        <f t="shared" si="187"/>
        <v>0.10833333333333328</v>
      </c>
      <c r="K1087" s="3"/>
      <c r="L1087" s="60">
        <f t="shared" si="188"/>
        <v>96.750277777777711</v>
      </c>
      <c r="M1087" s="40">
        <v>0</v>
      </c>
      <c r="N1087" s="40">
        <v>0</v>
      </c>
      <c r="O1087" s="40">
        <v>0</v>
      </c>
      <c r="P1087" s="40">
        <v>0</v>
      </c>
      <c r="Q1087" s="40">
        <v>0</v>
      </c>
      <c r="R1087" s="40">
        <v>0</v>
      </c>
      <c r="S1087" s="61">
        <f t="shared" si="189"/>
        <v>58.399999999999963</v>
      </c>
      <c r="T1087" s="40">
        <v>0</v>
      </c>
      <c r="U1087" s="40">
        <v>0</v>
      </c>
      <c r="V1087" s="40">
        <v>0</v>
      </c>
      <c r="W1087" s="40">
        <v>0</v>
      </c>
      <c r="X1087" s="67">
        <f t="shared" si="190"/>
        <v>241</v>
      </c>
      <c r="Z1087" s="71">
        <v>78</v>
      </c>
      <c r="AA1087" s="71">
        <v>72</v>
      </c>
      <c r="AB1087" s="67">
        <f t="shared" si="191"/>
        <v>150</v>
      </c>
      <c r="AD1087" s="121"/>
      <c r="AE1087" s="121"/>
    </row>
    <row r="1088" spans="1:31" x14ac:dyDescent="0.25">
      <c r="A1088" s="105" t="s">
        <v>1141</v>
      </c>
      <c r="B1088" s="7">
        <v>0.47500000000000003</v>
      </c>
      <c r="C1088" s="3">
        <f t="shared" si="184"/>
        <v>3.4000000000000012</v>
      </c>
      <c r="D1088" s="10" t="s">
        <v>1011</v>
      </c>
      <c r="E1088" s="40">
        <v>0</v>
      </c>
      <c r="F1088" s="40">
        <v>2.5</v>
      </c>
      <c r="G1088" s="40">
        <v>6</v>
      </c>
      <c r="H1088" s="3">
        <f t="shared" si="185"/>
        <v>0</v>
      </c>
      <c r="I1088" s="3">
        <f t="shared" si="186"/>
        <v>0.3541666666666668</v>
      </c>
      <c r="J1088" s="3">
        <f t="shared" si="187"/>
        <v>0.85000000000000031</v>
      </c>
      <c r="K1088" s="3"/>
      <c r="L1088" s="60">
        <f t="shared" si="188"/>
        <v>95.546111111111045</v>
      </c>
      <c r="M1088" s="40">
        <v>0</v>
      </c>
      <c r="N1088" s="40">
        <v>0</v>
      </c>
      <c r="O1088" s="40">
        <v>0</v>
      </c>
      <c r="P1088" s="40">
        <v>0</v>
      </c>
      <c r="Q1088" s="40">
        <v>0</v>
      </c>
      <c r="R1088" s="40">
        <v>0</v>
      </c>
      <c r="S1088" s="61">
        <f t="shared" si="189"/>
        <v>58.399999999999963</v>
      </c>
      <c r="T1088" s="40">
        <v>0</v>
      </c>
      <c r="U1088" s="40">
        <v>0</v>
      </c>
      <c r="V1088" s="40">
        <v>0</v>
      </c>
      <c r="W1088" s="40">
        <v>0</v>
      </c>
      <c r="X1088" s="67">
        <f t="shared" si="190"/>
        <v>241</v>
      </c>
      <c r="Z1088" s="71"/>
      <c r="AA1088" s="71"/>
      <c r="AB1088" s="67" t="str">
        <f t="shared" si="191"/>
        <v/>
      </c>
      <c r="AD1088" s="121"/>
      <c r="AE1088" s="121"/>
    </row>
    <row r="1089" spans="1:31" x14ac:dyDescent="0.25">
      <c r="A1089" s="105" t="s">
        <v>1141</v>
      </c>
      <c r="B1089" s="7">
        <v>0.4916666666666667</v>
      </c>
      <c r="C1089" s="3">
        <f t="shared" si="184"/>
        <v>0.39999999999999991</v>
      </c>
      <c r="D1089" s="10" t="s">
        <v>1026</v>
      </c>
      <c r="E1089" s="40">
        <v>10</v>
      </c>
      <c r="F1089" s="40">
        <v>2.5</v>
      </c>
      <c r="G1089" s="40">
        <v>6</v>
      </c>
      <c r="H1089" s="3">
        <f t="shared" si="185"/>
        <v>0.16666666666666663</v>
      </c>
      <c r="I1089" s="3">
        <f t="shared" si="186"/>
        <v>4.1666666666666657E-2</v>
      </c>
      <c r="J1089" s="3">
        <f t="shared" si="187"/>
        <v>9.9999999999999978E-2</v>
      </c>
      <c r="K1089" s="3"/>
      <c r="L1089" s="60">
        <f t="shared" si="188"/>
        <v>95.237777777777708</v>
      </c>
      <c r="M1089" s="40">
        <v>0</v>
      </c>
      <c r="N1089" s="40">
        <v>0</v>
      </c>
      <c r="O1089" s="40">
        <v>0</v>
      </c>
      <c r="P1089" s="40">
        <v>0</v>
      </c>
      <c r="Q1089" s="40">
        <v>0</v>
      </c>
      <c r="R1089" s="40">
        <v>0</v>
      </c>
      <c r="S1089" s="61">
        <f t="shared" si="189"/>
        <v>58.399999999999963</v>
      </c>
      <c r="T1089" s="40">
        <v>0</v>
      </c>
      <c r="U1089" s="40">
        <v>0</v>
      </c>
      <c r="V1089" s="40">
        <v>2</v>
      </c>
      <c r="W1089" s="40">
        <v>0</v>
      </c>
      <c r="X1089" s="67">
        <f t="shared" si="190"/>
        <v>239</v>
      </c>
      <c r="Z1089" s="71"/>
      <c r="AA1089" s="71"/>
      <c r="AB1089" s="67" t="str">
        <f t="shared" si="191"/>
        <v/>
      </c>
      <c r="AD1089" s="121"/>
      <c r="AE1089" s="121"/>
    </row>
    <row r="1090" spans="1:31" x14ac:dyDescent="0.25">
      <c r="A1090" s="105" t="s">
        <v>1143</v>
      </c>
      <c r="B1090" s="7">
        <v>9.1666666666666674E-2</v>
      </c>
      <c r="C1090" s="3">
        <f t="shared" si="184"/>
        <v>14.399999999999999</v>
      </c>
      <c r="D1090" s="10" t="s">
        <v>201</v>
      </c>
      <c r="E1090" s="40">
        <v>25</v>
      </c>
      <c r="F1090" s="40">
        <v>2.5</v>
      </c>
      <c r="G1090" s="40">
        <v>6</v>
      </c>
      <c r="H1090" s="3">
        <f t="shared" si="185"/>
        <v>15</v>
      </c>
      <c r="I1090" s="3">
        <f t="shared" si="186"/>
        <v>1.5</v>
      </c>
      <c r="J1090" s="3">
        <f t="shared" si="187"/>
        <v>3.5999999999999996</v>
      </c>
      <c r="K1090" s="3"/>
      <c r="L1090" s="60">
        <f t="shared" si="188"/>
        <v>75.1377777777777</v>
      </c>
      <c r="M1090" s="40">
        <v>0</v>
      </c>
      <c r="N1090" s="40">
        <v>0</v>
      </c>
      <c r="O1090" s="40">
        <v>0</v>
      </c>
      <c r="P1090" s="40">
        <v>0</v>
      </c>
      <c r="Q1090" s="40">
        <v>0</v>
      </c>
      <c r="R1090" s="40">
        <v>0</v>
      </c>
      <c r="S1090" s="61">
        <f t="shared" si="189"/>
        <v>58.399999999999963</v>
      </c>
      <c r="T1090" s="40">
        <v>0</v>
      </c>
      <c r="U1090" s="40">
        <v>0</v>
      </c>
      <c r="V1090" s="40">
        <v>0</v>
      </c>
      <c r="W1090" s="40">
        <v>0</v>
      </c>
      <c r="X1090" s="67">
        <f t="shared" si="190"/>
        <v>239</v>
      </c>
      <c r="Z1090" s="71"/>
      <c r="AA1090" s="71"/>
      <c r="AB1090" s="67" t="str">
        <f t="shared" si="191"/>
        <v/>
      </c>
      <c r="AD1090" s="121">
        <v>10.7</v>
      </c>
      <c r="AE1090" s="121" t="s">
        <v>1296</v>
      </c>
    </row>
    <row r="1091" spans="1:31" x14ac:dyDescent="0.25">
      <c r="A1091" s="105" t="s">
        <v>1143</v>
      </c>
      <c r="B1091" s="7">
        <v>0.125</v>
      </c>
      <c r="C1091" s="3">
        <f t="shared" si="184"/>
        <v>0.79999999999999982</v>
      </c>
      <c r="D1091" s="10" t="s">
        <v>616</v>
      </c>
      <c r="E1091" s="40">
        <v>10</v>
      </c>
      <c r="F1091" s="40">
        <v>2.5</v>
      </c>
      <c r="G1091" s="40">
        <v>6</v>
      </c>
      <c r="H1091" s="3">
        <f t="shared" si="185"/>
        <v>0.33333333333333326</v>
      </c>
      <c r="I1091" s="3">
        <f t="shared" si="186"/>
        <v>8.3333333333333315E-2</v>
      </c>
      <c r="J1091" s="3">
        <f t="shared" si="187"/>
        <v>0.19999999999999996</v>
      </c>
      <c r="K1091" s="3"/>
      <c r="L1091" s="60">
        <f t="shared" si="188"/>
        <v>74.52111111111104</v>
      </c>
      <c r="M1091" s="40">
        <v>0</v>
      </c>
      <c r="N1091" s="40">
        <v>0</v>
      </c>
      <c r="O1091" s="40">
        <v>0</v>
      </c>
      <c r="P1091" s="40">
        <v>0</v>
      </c>
      <c r="Q1091" s="40">
        <v>0</v>
      </c>
      <c r="R1091" s="40">
        <v>0</v>
      </c>
      <c r="S1091" s="61">
        <f t="shared" si="189"/>
        <v>58.399999999999963</v>
      </c>
      <c r="T1091" s="40">
        <v>0</v>
      </c>
      <c r="U1091" s="40">
        <v>0</v>
      </c>
      <c r="V1091" s="40">
        <v>0</v>
      </c>
      <c r="W1091" s="40">
        <v>0</v>
      </c>
      <c r="X1091" s="67">
        <f t="shared" si="190"/>
        <v>239</v>
      </c>
      <c r="Z1091" s="71"/>
      <c r="AA1091" s="71"/>
      <c r="AB1091" s="67" t="str">
        <f t="shared" si="191"/>
        <v/>
      </c>
      <c r="AD1091" s="121"/>
      <c r="AE1091" s="121"/>
    </row>
    <row r="1092" spans="1:31" x14ac:dyDescent="0.25">
      <c r="A1092" s="105" t="s">
        <v>1143</v>
      </c>
      <c r="B1092" s="7">
        <v>0.25</v>
      </c>
      <c r="C1092" s="3">
        <f t="shared" si="184"/>
        <v>3</v>
      </c>
      <c r="D1092" s="10" t="s">
        <v>1011</v>
      </c>
      <c r="E1092" s="40">
        <v>0</v>
      </c>
      <c r="F1092" s="40">
        <v>2.5</v>
      </c>
      <c r="G1092" s="40">
        <v>6</v>
      </c>
      <c r="H1092" s="3">
        <f t="shared" si="185"/>
        <v>0</v>
      </c>
      <c r="I1092" s="3">
        <f t="shared" si="186"/>
        <v>0.3125</v>
      </c>
      <c r="J1092" s="3">
        <f t="shared" si="187"/>
        <v>0.75</v>
      </c>
      <c r="K1092" s="3"/>
      <c r="L1092" s="60">
        <f t="shared" si="188"/>
        <v>73.45861111111104</v>
      </c>
      <c r="M1092" s="40">
        <v>0</v>
      </c>
      <c r="N1092" s="40">
        <v>0</v>
      </c>
      <c r="O1092" s="40">
        <v>0</v>
      </c>
      <c r="P1092" s="40">
        <v>0</v>
      </c>
      <c r="Q1092" s="40">
        <v>0</v>
      </c>
      <c r="R1092" s="40">
        <v>0</v>
      </c>
      <c r="S1092" s="61">
        <f t="shared" si="189"/>
        <v>58.399999999999963</v>
      </c>
      <c r="T1092" s="40">
        <v>0</v>
      </c>
      <c r="U1092" s="40">
        <v>0</v>
      </c>
      <c r="V1092" s="40">
        <v>0</v>
      </c>
      <c r="W1092" s="40">
        <v>0</v>
      </c>
      <c r="X1092" s="67">
        <f t="shared" si="190"/>
        <v>239</v>
      </c>
      <c r="Z1092" s="71"/>
      <c r="AA1092" s="71"/>
      <c r="AB1092" s="67" t="str">
        <f t="shared" si="191"/>
        <v/>
      </c>
      <c r="AD1092" s="121"/>
      <c r="AE1092" s="121"/>
    </row>
    <row r="1093" spans="1:31" x14ac:dyDescent="0.25">
      <c r="A1093" s="105" t="s">
        <v>1143</v>
      </c>
      <c r="B1093" s="65">
        <v>0.33333333333333331</v>
      </c>
      <c r="C1093" s="3">
        <f t="shared" si="184"/>
        <v>1.9999999999999996</v>
      </c>
      <c r="D1093" s="10" t="s">
        <v>1106</v>
      </c>
      <c r="E1093" s="40">
        <v>3</v>
      </c>
      <c r="F1093" s="40">
        <v>2.5</v>
      </c>
      <c r="G1093" s="40">
        <v>6</v>
      </c>
      <c r="H1093" s="3">
        <f t="shared" si="185"/>
        <v>0.24999999999999994</v>
      </c>
      <c r="I1093" s="3">
        <f t="shared" si="186"/>
        <v>0.20833333333333329</v>
      </c>
      <c r="J1093" s="3">
        <f t="shared" si="187"/>
        <v>0.49999999999999989</v>
      </c>
      <c r="K1093" s="3"/>
      <c r="L1093" s="60">
        <f t="shared" si="188"/>
        <v>72.500277777777711</v>
      </c>
      <c r="M1093" s="40">
        <v>0</v>
      </c>
      <c r="N1093" s="40">
        <v>0</v>
      </c>
      <c r="O1093" s="40">
        <v>0</v>
      </c>
      <c r="P1093" s="40">
        <v>0</v>
      </c>
      <c r="Q1093" s="40">
        <v>0</v>
      </c>
      <c r="R1093" s="40">
        <v>0</v>
      </c>
      <c r="S1093" s="61">
        <f t="shared" si="189"/>
        <v>58.399999999999963</v>
      </c>
      <c r="T1093" s="40">
        <v>0</v>
      </c>
      <c r="U1093" s="40">
        <v>0</v>
      </c>
      <c r="V1093" s="40">
        <v>4</v>
      </c>
      <c r="W1093" s="40">
        <v>0</v>
      </c>
      <c r="X1093" s="67">
        <f t="shared" si="190"/>
        <v>235</v>
      </c>
      <c r="Z1093" s="71"/>
      <c r="AA1093" s="71"/>
      <c r="AB1093" s="67" t="str">
        <f t="shared" si="191"/>
        <v/>
      </c>
      <c r="AD1093" s="121"/>
      <c r="AE1093" s="121"/>
    </row>
    <row r="1094" spans="1:31" x14ac:dyDescent="0.25">
      <c r="A1094" s="105" t="s">
        <v>1143</v>
      </c>
      <c r="B1094" s="7">
        <v>0.33749999999999997</v>
      </c>
      <c r="C1094" s="3">
        <f t="shared" si="184"/>
        <v>9.9999999999999645E-2</v>
      </c>
      <c r="D1094" s="10" t="s">
        <v>616</v>
      </c>
      <c r="E1094" s="40">
        <v>3</v>
      </c>
      <c r="F1094" s="40">
        <v>2.5</v>
      </c>
      <c r="G1094" s="40">
        <v>2</v>
      </c>
      <c r="H1094" s="3">
        <f t="shared" si="185"/>
        <v>1.2499999999999956E-2</v>
      </c>
      <c r="I1094" s="3">
        <f t="shared" si="186"/>
        <v>1.041666666666663E-2</v>
      </c>
      <c r="J1094" s="3">
        <f t="shared" si="187"/>
        <v>8.3333333333333037E-3</v>
      </c>
      <c r="K1094" s="3"/>
      <c r="L1094" s="60">
        <f t="shared" si="188"/>
        <v>72.469027777777711</v>
      </c>
      <c r="M1094" s="40">
        <v>0</v>
      </c>
      <c r="N1094" s="40">
        <v>0</v>
      </c>
      <c r="O1094" s="40">
        <v>0</v>
      </c>
      <c r="P1094" s="40">
        <v>0</v>
      </c>
      <c r="Q1094" s="40">
        <v>0</v>
      </c>
      <c r="R1094" s="40">
        <v>0</v>
      </c>
      <c r="S1094" s="61">
        <f t="shared" si="189"/>
        <v>58.399999999999963</v>
      </c>
      <c r="T1094" s="40">
        <v>0</v>
      </c>
      <c r="U1094" s="40">
        <v>0</v>
      </c>
      <c r="V1094" s="40">
        <v>0</v>
      </c>
      <c r="W1094" s="40">
        <v>0</v>
      </c>
      <c r="X1094" s="67">
        <f t="shared" si="190"/>
        <v>235</v>
      </c>
      <c r="Z1094" s="71"/>
      <c r="AA1094" s="71"/>
      <c r="AB1094" s="67" t="str">
        <f t="shared" si="191"/>
        <v/>
      </c>
      <c r="AD1094" s="121"/>
      <c r="AE1094" s="121"/>
    </row>
    <row r="1095" spans="1:31" x14ac:dyDescent="0.25">
      <c r="A1095" s="105" t="s">
        <v>1143</v>
      </c>
      <c r="B1095" s="7">
        <v>0.45416666666666666</v>
      </c>
      <c r="C1095" s="3">
        <f t="shared" si="184"/>
        <v>2.8000000000000007</v>
      </c>
      <c r="D1095" s="10" t="s">
        <v>1004</v>
      </c>
      <c r="E1095" s="40">
        <v>0</v>
      </c>
      <c r="F1095" s="40">
        <v>2.5</v>
      </c>
      <c r="G1095" s="40">
        <v>2</v>
      </c>
      <c r="H1095" s="3">
        <f t="shared" si="185"/>
        <v>0</v>
      </c>
      <c r="I1095" s="3">
        <f t="shared" si="186"/>
        <v>0.29166666666666674</v>
      </c>
      <c r="J1095" s="3">
        <f t="shared" si="187"/>
        <v>0.23333333333333339</v>
      </c>
      <c r="K1095" s="3"/>
      <c r="L1095" s="60">
        <f t="shared" si="188"/>
        <v>71.944027777777706</v>
      </c>
      <c r="M1095" s="40">
        <v>0</v>
      </c>
      <c r="N1095" s="40">
        <v>0</v>
      </c>
      <c r="O1095" s="40">
        <v>0</v>
      </c>
      <c r="P1095" s="40">
        <v>0</v>
      </c>
      <c r="Q1095" s="40">
        <v>0</v>
      </c>
      <c r="R1095" s="40">
        <v>0</v>
      </c>
      <c r="S1095" s="61">
        <f t="shared" si="189"/>
        <v>58.399999999999963</v>
      </c>
      <c r="T1095" s="40">
        <v>0</v>
      </c>
      <c r="U1095" s="40">
        <v>0</v>
      </c>
      <c r="V1095" s="40">
        <v>0</v>
      </c>
      <c r="W1095" s="40">
        <v>0</v>
      </c>
      <c r="X1095" s="67">
        <f t="shared" si="190"/>
        <v>235</v>
      </c>
      <c r="Z1095" s="71"/>
      <c r="AA1095" s="71"/>
      <c r="AB1095" s="67" t="str">
        <f t="shared" si="191"/>
        <v/>
      </c>
      <c r="AD1095" s="121"/>
      <c r="AE1095" s="121"/>
    </row>
    <row r="1096" spans="1:31" x14ac:dyDescent="0.25">
      <c r="A1096" s="105" t="s">
        <v>1144</v>
      </c>
      <c r="B1096" s="7">
        <v>9.1666666666666674E-2</v>
      </c>
      <c r="C1096" s="3">
        <f t="shared" si="184"/>
        <v>15.3</v>
      </c>
      <c r="D1096" s="10" t="s">
        <v>1142</v>
      </c>
      <c r="E1096" s="40">
        <v>0</v>
      </c>
      <c r="F1096" s="40">
        <v>2.5</v>
      </c>
      <c r="G1096" s="40">
        <v>2</v>
      </c>
      <c r="H1096" s="3">
        <f t="shared" si="185"/>
        <v>0</v>
      </c>
      <c r="I1096" s="3">
        <f t="shared" si="186"/>
        <v>1.5937500000000002</v>
      </c>
      <c r="J1096" s="3">
        <f t="shared" si="187"/>
        <v>1.2749999999999999</v>
      </c>
      <c r="K1096" s="3"/>
      <c r="L1096" s="60">
        <f t="shared" si="188"/>
        <v>69.0752777777777</v>
      </c>
      <c r="M1096" s="40">
        <v>0</v>
      </c>
      <c r="N1096" s="40">
        <v>0</v>
      </c>
      <c r="O1096" s="40">
        <v>0</v>
      </c>
      <c r="P1096" s="40">
        <v>0</v>
      </c>
      <c r="Q1096" s="40">
        <v>3.8</v>
      </c>
      <c r="R1096" s="40">
        <v>0</v>
      </c>
      <c r="S1096" s="61">
        <f t="shared" si="189"/>
        <v>54.599999999999966</v>
      </c>
      <c r="T1096" s="40">
        <v>0</v>
      </c>
      <c r="U1096" s="40">
        <v>0</v>
      </c>
      <c r="V1096" s="40">
        <v>5</v>
      </c>
      <c r="W1096" s="40">
        <v>0</v>
      </c>
      <c r="X1096" s="67">
        <f t="shared" si="190"/>
        <v>230</v>
      </c>
      <c r="Z1096" s="71"/>
      <c r="AA1096" s="71"/>
      <c r="AB1096" s="67" t="str">
        <f t="shared" si="191"/>
        <v/>
      </c>
      <c r="AD1096" s="121"/>
      <c r="AE1096" s="121"/>
    </row>
    <row r="1097" spans="1:31" x14ac:dyDescent="0.25">
      <c r="A1097" s="105" t="s">
        <v>1144</v>
      </c>
      <c r="B1097" s="7">
        <v>0.22500000000000001</v>
      </c>
      <c r="C1097" s="3">
        <f t="shared" si="184"/>
        <v>3.2</v>
      </c>
      <c r="D1097" s="10" t="s">
        <v>1011</v>
      </c>
      <c r="E1097" s="40">
        <v>0</v>
      </c>
      <c r="F1097" s="40">
        <v>2.5</v>
      </c>
      <c r="G1097" s="40">
        <v>2</v>
      </c>
      <c r="H1097" s="3">
        <f t="shared" si="185"/>
        <v>0</v>
      </c>
      <c r="I1097" s="3">
        <f t="shared" si="186"/>
        <v>0.33333333333333337</v>
      </c>
      <c r="J1097" s="3">
        <f t="shared" si="187"/>
        <v>0.26666666666666666</v>
      </c>
      <c r="K1097" s="3"/>
      <c r="L1097" s="60">
        <f t="shared" si="188"/>
        <v>68.475277777777706</v>
      </c>
      <c r="M1097" s="40">
        <v>0</v>
      </c>
      <c r="N1097" s="40">
        <v>0</v>
      </c>
      <c r="O1097" s="40">
        <v>0</v>
      </c>
      <c r="P1097" s="40">
        <v>0</v>
      </c>
      <c r="Q1097" s="40">
        <v>0</v>
      </c>
      <c r="R1097" s="40">
        <v>0</v>
      </c>
      <c r="S1097" s="61">
        <f t="shared" si="189"/>
        <v>54.599999999999966</v>
      </c>
      <c r="T1097" s="40">
        <v>0</v>
      </c>
      <c r="U1097" s="40">
        <v>0</v>
      </c>
      <c r="V1097" s="40">
        <v>0</v>
      </c>
      <c r="W1097" s="40">
        <v>0</v>
      </c>
      <c r="X1097" s="67">
        <f t="shared" si="190"/>
        <v>230</v>
      </c>
      <c r="Z1097" s="71"/>
      <c r="AA1097" s="71"/>
      <c r="AB1097" s="67" t="str">
        <f t="shared" si="191"/>
        <v/>
      </c>
      <c r="AD1097" s="121"/>
      <c r="AE1097" s="121"/>
    </row>
    <row r="1098" spans="1:31" x14ac:dyDescent="0.25">
      <c r="A1098" s="105" t="s">
        <v>1144</v>
      </c>
      <c r="B1098" s="7">
        <v>0.25833333333333336</v>
      </c>
      <c r="C1098" s="3">
        <f t="shared" si="184"/>
        <v>0.80000000000000049</v>
      </c>
      <c r="D1098" s="10" t="s">
        <v>1026</v>
      </c>
      <c r="E1098" s="40">
        <v>5</v>
      </c>
      <c r="F1098" s="40">
        <v>2.5</v>
      </c>
      <c r="G1098" s="40">
        <v>2</v>
      </c>
      <c r="H1098" s="3">
        <f t="shared" si="185"/>
        <v>0.16666666666666677</v>
      </c>
      <c r="I1098" s="3">
        <f t="shared" si="186"/>
        <v>8.3333333333333384E-2</v>
      </c>
      <c r="J1098" s="3">
        <f t="shared" si="187"/>
        <v>6.6666666666666707E-2</v>
      </c>
      <c r="K1098" s="3"/>
      <c r="L1098" s="60">
        <f t="shared" si="188"/>
        <v>68.158611111111043</v>
      </c>
      <c r="M1098" s="40">
        <v>0</v>
      </c>
      <c r="N1098" s="40">
        <v>0</v>
      </c>
      <c r="O1098" s="40">
        <v>0</v>
      </c>
      <c r="P1098" s="40">
        <v>0</v>
      </c>
      <c r="Q1098" s="40">
        <v>0</v>
      </c>
      <c r="R1098" s="40">
        <v>0</v>
      </c>
      <c r="S1098" s="61">
        <f t="shared" si="189"/>
        <v>54.599999999999966</v>
      </c>
      <c r="T1098" s="40">
        <v>0</v>
      </c>
      <c r="U1098" s="40">
        <v>0</v>
      </c>
      <c r="V1098" s="40">
        <v>1</v>
      </c>
      <c r="W1098" s="40">
        <v>0</v>
      </c>
      <c r="X1098" s="67">
        <f t="shared" si="190"/>
        <v>229</v>
      </c>
      <c r="Z1098" s="71"/>
      <c r="AA1098" s="71"/>
      <c r="AB1098" s="67" t="str">
        <f t="shared" si="191"/>
        <v/>
      </c>
      <c r="AD1098" s="121"/>
      <c r="AE1098" s="121"/>
    </row>
    <row r="1099" spans="1:31" x14ac:dyDescent="0.25">
      <c r="A1099" s="105" t="s">
        <v>1144</v>
      </c>
      <c r="B1099" s="65">
        <v>0.33333333333333331</v>
      </c>
      <c r="C1099" s="3">
        <f t="shared" si="184"/>
        <v>1.7999999999999989</v>
      </c>
      <c r="D1099" s="10" t="s">
        <v>355</v>
      </c>
      <c r="E1099" s="40">
        <v>24</v>
      </c>
      <c r="F1099" s="40">
        <v>2.5</v>
      </c>
      <c r="G1099" s="40">
        <v>0</v>
      </c>
      <c r="H1099" s="3">
        <f t="shared" si="185"/>
        <v>1.7999999999999989</v>
      </c>
      <c r="I1099" s="3">
        <f t="shared" si="186"/>
        <v>0.18749999999999989</v>
      </c>
      <c r="J1099" s="3">
        <f t="shared" si="187"/>
        <v>0</v>
      </c>
      <c r="K1099" s="3"/>
      <c r="L1099" s="60">
        <f t="shared" si="188"/>
        <v>66.171111111111045</v>
      </c>
      <c r="M1099" s="40">
        <v>0</v>
      </c>
      <c r="N1099" s="40">
        <v>0</v>
      </c>
      <c r="O1099" s="40">
        <v>0</v>
      </c>
      <c r="P1099" s="40">
        <v>0</v>
      </c>
      <c r="Q1099" s="40">
        <v>0</v>
      </c>
      <c r="R1099" s="40">
        <v>0</v>
      </c>
      <c r="S1099" s="61">
        <f t="shared" si="189"/>
        <v>54.599999999999966</v>
      </c>
      <c r="T1099" s="40">
        <v>0</v>
      </c>
      <c r="U1099" s="40">
        <v>0</v>
      </c>
      <c r="V1099" s="40">
        <v>0</v>
      </c>
      <c r="W1099" s="40">
        <v>0</v>
      </c>
      <c r="X1099" s="67">
        <f t="shared" si="190"/>
        <v>229</v>
      </c>
      <c r="Z1099" s="71">
        <v>68</v>
      </c>
      <c r="AA1099" s="71">
        <v>75</v>
      </c>
      <c r="AB1099" s="67">
        <f t="shared" si="191"/>
        <v>143</v>
      </c>
      <c r="AD1099" s="121"/>
      <c r="AE1099" s="121"/>
    </row>
    <row r="1100" spans="1:31" x14ac:dyDescent="0.25">
      <c r="A1100" s="105" t="s">
        <v>1145</v>
      </c>
      <c r="B1100" s="7">
        <v>1</v>
      </c>
      <c r="C1100" s="3">
        <f>+IF((B1100-B1099)&lt;0,((B1100-B1099)*24)+24,(B1100-B1099)*24)</f>
        <v>16</v>
      </c>
      <c r="D1100" s="10" t="s">
        <v>201</v>
      </c>
      <c r="E1100" s="40">
        <v>24</v>
      </c>
      <c r="F1100" s="40">
        <v>2.5</v>
      </c>
      <c r="G1100" s="40">
        <v>0</v>
      </c>
      <c r="H1100" s="3">
        <f t="shared" si="185"/>
        <v>16</v>
      </c>
      <c r="I1100" s="3">
        <f t="shared" si="186"/>
        <v>1.6666666666666667</v>
      </c>
      <c r="J1100" s="3">
        <f t="shared" si="187"/>
        <v>0</v>
      </c>
      <c r="K1100" s="3"/>
      <c r="L1100" s="60">
        <f t="shared" si="188"/>
        <v>48.504444444444374</v>
      </c>
      <c r="M1100" s="40">
        <v>0</v>
      </c>
      <c r="N1100" s="40">
        <v>0</v>
      </c>
      <c r="O1100" s="40">
        <v>0</v>
      </c>
      <c r="P1100" s="40">
        <v>0</v>
      </c>
      <c r="Q1100" s="40">
        <v>0</v>
      </c>
      <c r="R1100" s="40">
        <v>0</v>
      </c>
      <c r="S1100" s="61">
        <f t="shared" si="189"/>
        <v>54.599999999999966</v>
      </c>
      <c r="T1100" s="40">
        <v>0</v>
      </c>
      <c r="U1100" s="40">
        <v>0</v>
      </c>
      <c r="V1100" s="40">
        <v>0</v>
      </c>
      <c r="W1100" s="40">
        <v>0</v>
      </c>
      <c r="X1100" s="67">
        <f t="shared" si="190"/>
        <v>229</v>
      </c>
      <c r="Z1100" s="71"/>
      <c r="AA1100" s="71"/>
      <c r="AB1100" s="67" t="str">
        <f t="shared" si="191"/>
        <v/>
      </c>
      <c r="AD1100" s="121">
        <v>10.7</v>
      </c>
      <c r="AE1100" s="121" t="s">
        <v>1296</v>
      </c>
    </row>
    <row r="1101" spans="1:31" x14ac:dyDescent="0.25">
      <c r="A1101" s="105" t="s">
        <v>1145</v>
      </c>
      <c r="B1101" s="7">
        <v>2.0833333333333332E-2</v>
      </c>
      <c r="C1101" s="3">
        <f t="shared" si="184"/>
        <v>0.5</v>
      </c>
      <c r="D1101" s="10" t="s">
        <v>616</v>
      </c>
      <c r="E1101" s="40">
        <v>10</v>
      </c>
      <c r="F1101" s="40">
        <v>2.5</v>
      </c>
      <c r="G1101" s="40">
        <v>2</v>
      </c>
      <c r="H1101" s="3">
        <f t="shared" si="185"/>
        <v>0.20833333333333334</v>
      </c>
      <c r="I1101" s="3">
        <f t="shared" si="186"/>
        <v>5.2083333333333336E-2</v>
      </c>
      <c r="J1101" s="3">
        <f t="shared" si="187"/>
        <v>4.1666666666666664E-2</v>
      </c>
      <c r="K1101" s="3"/>
      <c r="L1101" s="60">
        <f t="shared" si="188"/>
        <v>48.202361111111038</v>
      </c>
      <c r="M1101" s="40">
        <v>0</v>
      </c>
      <c r="N1101" s="40">
        <v>0</v>
      </c>
      <c r="O1101" s="40">
        <v>0</v>
      </c>
      <c r="P1101" s="40">
        <v>0</v>
      </c>
      <c r="Q1101" s="40">
        <v>2.4</v>
      </c>
      <c r="R1101" s="40">
        <v>0</v>
      </c>
      <c r="S1101" s="61">
        <f t="shared" si="189"/>
        <v>52.199999999999967</v>
      </c>
      <c r="T1101" s="40">
        <v>0</v>
      </c>
      <c r="U1101" s="40">
        <v>0</v>
      </c>
      <c r="V1101" s="40">
        <v>3</v>
      </c>
      <c r="W1101" s="40">
        <v>0</v>
      </c>
      <c r="X1101" s="67">
        <f t="shared" si="190"/>
        <v>226</v>
      </c>
      <c r="Z1101" s="71"/>
      <c r="AA1101" s="71"/>
      <c r="AB1101" s="67" t="str">
        <f t="shared" si="191"/>
        <v/>
      </c>
      <c r="AD1101" s="121"/>
      <c r="AE1101" s="121"/>
    </row>
    <row r="1102" spans="1:31" x14ac:dyDescent="0.25">
      <c r="A1102" s="105" t="s">
        <v>1145</v>
      </c>
      <c r="B1102" s="7">
        <v>0.27499999999999997</v>
      </c>
      <c r="C1102" s="3">
        <f t="shared" si="184"/>
        <v>6.1</v>
      </c>
      <c r="D1102" s="10" t="s">
        <v>1011</v>
      </c>
      <c r="E1102" s="40">
        <v>0</v>
      </c>
      <c r="F1102" s="40">
        <v>2.5</v>
      </c>
      <c r="G1102" s="40">
        <v>2</v>
      </c>
      <c r="H1102" s="3">
        <f t="shared" si="185"/>
        <v>0</v>
      </c>
      <c r="I1102" s="3">
        <f t="shared" si="186"/>
        <v>0.63541666666666663</v>
      </c>
      <c r="J1102" s="3">
        <f t="shared" si="187"/>
        <v>0.5083333333333333</v>
      </c>
      <c r="K1102" s="3"/>
      <c r="L1102" s="60">
        <f t="shared" si="188"/>
        <v>47.058611111111041</v>
      </c>
      <c r="M1102" s="40">
        <v>0</v>
      </c>
      <c r="N1102" s="40">
        <v>0</v>
      </c>
      <c r="O1102" s="40">
        <v>0</v>
      </c>
      <c r="P1102" s="40">
        <v>0</v>
      </c>
      <c r="Q1102" s="40">
        <v>0</v>
      </c>
      <c r="R1102" s="40">
        <v>0</v>
      </c>
      <c r="S1102" s="61">
        <f t="shared" si="189"/>
        <v>52.199999999999967</v>
      </c>
      <c r="T1102" s="40">
        <v>0</v>
      </c>
      <c r="U1102" s="40">
        <v>0</v>
      </c>
      <c r="V1102" s="40">
        <v>0</v>
      </c>
      <c r="W1102" s="40">
        <v>0</v>
      </c>
      <c r="X1102" s="67">
        <f t="shared" si="190"/>
        <v>226</v>
      </c>
      <c r="Z1102" s="71"/>
      <c r="AA1102" s="71"/>
      <c r="AB1102" s="67" t="str">
        <f t="shared" si="191"/>
        <v/>
      </c>
      <c r="AD1102" s="121"/>
      <c r="AE1102" s="121"/>
    </row>
    <row r="1103" spans="1:31" x14ac:dyDescent="0.25">
      <c r="A1103" s="105" t="s">
        <v>1145</v>
      </c>
      <c r="B1103" s="7">
        <v>0.28333333333333333</v>
      </c>
      <c r="C1103" s="3">
        <f t="shared" si="184"/>
        <v>0.20000000000000062</v>
      </c>
      <c r="D1103" s="10" t="s">
        <v>1026</v>
      </c>
      <c r="E1103" s="40">
        <v>5</v>
      </c>
      <c r="F1103" s="40">
        <v>2.5</v>
      </c>
      <c r="G1103" s="40">
        <v>2</v>
      </c>
      <c r="H1103" s="3">
        <f t="shared" si="185"/>
        <v>4.1666666666666796E-2</v>
      </c>
      <c r="I1103" s="3">
        <f t="shared" si="186"/>
        <v>2.0833333333333398E-2</v>
      </c>
      <c r="J1103" s="3">
        <f t="shared" si="187"/>
        <v>1.6666666666666718E-2</v>
      </c>
      <c r="K1103" s="3"/>
      <c r="L1103" s="60">
        <f t="shared" si="188"/>
        <v>46.979444444444376</v>
      </c>
      <c r="M1103" s="40">
        <v>0</v>
      </c>
      <c r="N1103" s="40">
        <v>0</v>
      </c>
      <c r="O1103" s="40">
        <v>0</v>
      </c>
      <c r="P1103" s="40">
        <v>0</v>
      </c>
      <c r="Q1103" s="40">
        <v>0</v>
      </c>
      <c r="R1103" s="40">
        <v>0</v>
      </c>
      <c r="S1103" s="61">
        <f t="shared" si="189"/>
        <v>52.199999999999967</v>
      </c>
      <c r="T1103" s="40">
        <v>0</v>
      </c>
      <c r="U1103" s="40">
        <v>0</v>
      </c>
      <c r="V1103" s="40">
        <v>0</v>
      </c>
      <c r="W1103" s="40">
        <v>0</v>
      </c>
      <c r="X1103" s="67">
        <f t="shared" si="190"/>
        <v>226</v>
      </c>
      <c r="Z1103" s="71"/>
      <c r="AA1103" s="71"/>
      <c r="AB1103" s="67" t="str">
        <f t="shared" si="191"/>
        <v/>
      </c>
      <c r="AD1103" s="121"/>
      <c r="AE1103" s="121"/>
    </row>
    <row r="1104" spans="1:31" x14ac:dyDescent="0.25">
      <c r="A1104" s="105" t="s">
        <v>1145</v>
      </c>
      <c r="B1104" s="7">
        <v>0.30833333333333335</v>
      </c>
      <c r="C1104" s="3">
        <f t="shared" si="184"/>
        <v>0.60000000000000053</v>
      </c>
      <c r="D1104" s="10" t="s">
        <v>201</v>
      </c>
      <c r="E1104" s="40">
        <v>10</v>
      </c>
      <c r="F1104" s="40">
        <v>2.5</v>
      </c>
      <c r="G1104" s="40">
        <v>2</v>
      </c>
      <c r="H1104" s="3">
        <f t="shared" si="185"/>
        <v>0.25000000000000022</v>
      </c>
      <c r="I1104" s="3">
        <f t="shared" si="186"/>
        <v>6.2500000000000056E-2</v>
      </c>
      <c r="J1104" s="3">
        <f t="shared" si="187"/>
        <v>5.0000000000000044E-2</v>
      </c>
      <c r="K1104" s="3"/>
      <c r="L1104" s="60">
        <f t="shared" si="188"/>
        <v>46.616944444444378</v>
      </c>
      <c r="M1104" s="40">
        <v>0</v>
      </c>
      <c r="N1104" s="40">
        <v>0</v>
      </c>
      <c r="O1104" s="40">
        <v>0</v>
      </c>
      <c r="P1104" s="40">
        <v>0</v>
      </c>
      <c r="Q1104" s="40">
        <v>0</v>
      </c>
      <c r="R1104" s="40">
        <v>0</v>
      </c>
      <c r="S1104" s="61">
        <f t="shared" si="189"/>
        <v>52.199999999999967</v>
      </c>
      <c r="T1104" s="40">
        <v>0</v>
      </c>
      <c r="U1104" s="40">
        <v>0</v>
      </c>
      <c r="V1104" s="40">
        <v>0</v>
      </c>
      <c r="W1104" s="40">
        <v>0</v>
      </c>
      <c r="X1104" s="67">
        <f t="shared" si="190"/>
        <v>226</v>
      </c>
      <c r="Z1104" s="71"/>
      <c r="AA1104" s="71"/>
      <c r="AB1104" s="67" t="str">
        <f t="shared" si="191"/>
        <v/>
      </c>
      <c r="AD1104" s="121"/>
      <c r="AE1104" s="121"/>
    </row>
    <row r="1105" spans="1:31" x14ac:dyDescent="0.25">
      <c r="A1105" s="105" t="s">
        <v>1145</v>
      </c>
      <c r="B1105" s="65">
        <v>0.33333333333333331</v>
      </c>
      <c r="C1105" s="3">
        <f t="shared" si="184"/>
        <v>0.5999999999999992</v>
      </c>
      <c r="D1105" s="10" t="s">
        <v>1106</v>
      </c>
      <c r="E1105" s="40">
        <v>5</v>
      </c>
      <c r="F1105" s="40">
        <v>2.5</v>
      </c>
      <c r="G1105" s="40">
        <v>2</v>
      </c>
      <c r="H1105" s="3">
        <f t="shared" si="185"/>
        <v>0.12499999999999983</v>
      </c>
      <c r="I1105" s="3">
        <f t="shared" si="186"/>
        <v>6.2499999999999917E-2</v>
      </c>
      <c r="J1105" s="3">
        <f t="shared" si="187"/>
        <v>4.9999999999999933E-2</v>
      </c>
      <c r="K1105" s="3"/>
      <c r="L1105" s="60">
        <f t="shared" si="188"/>
        <v>46.379444444444381</v>
      </c>
      <c r="M1105" s="40">
        <v>0</v>
      </c>
      <c r="N1105" s="40">
        <v>0</v>
      </c>
      <c r="O1105" s="40">
        <v>0</v>
      </c>
      <c r="P1105" s="40">
        <v>0</v>
      </c>
      <c r="Q1105" s="40">
        <v>0</v>
      </c>
      <c r="R1105" s="40">
        <v>0</v>
      </c>
      <c r="S1105" s="61">
        <f t="shared" si="189"/>
        <v>52.199999999999967</v>
      </c>
      <c r="T1105" s="40">
        <v>0</v>
      </c>
      <c r="U1105" s="40">
        <v>0</v>
      </c>
      <c r="V1105" s="40">
        <v>3</v>
      </c>
      <c r="W1105" s="40">
        <v>0</v>
      </c>
      <c r="X1105" s="67">
        <f t="shared" si="190"/>
        <v>223</v>
      </c>
      <c r="Z1105" s="71"/>
      <c r="AA1105" s="71"/>
      <c r="AB1105" s="67" t="str">
        <f t="shared" si="191"/>
        <v/>
      </c>
      <c r="AD1105" s="121"/>
      <c r="AE1105" s="121"/>
    </row>
    <row r="1106" spans="1:31" x14ac:dyDescent="0.25">
      <c r="A1106" s="105" t="s">
        <v>1145</v>
      </c>
      <c r="B1106" s="7">
        <v>0.375</v>
      </c>
      <c r="C1106" s="3">
        <f t="shared" si="184"/>
        <v>1.0000000000000004</v>
      </c>
      <c r="D1106" s="10" t="s">
        <v>616</v>
      </c>
      <c r="E1106" s="40">
        <v>5</v>
      </c>
      <c r="F1106" s="40">
        <v>2.5</v>
      </c>
      <c r="G1106" s="40">
        <v>2</v>
      </c>
      <c r="H1106" s="3">
        <f t="shared" si="185"/>
        <v>0.20833333333333343</v>
      </c>
      <c r="I1106" s="3">
        <f t="shared" si="186"/>
        <v>0.10416666666666671</v>
      </c>
      <c r="J1106" s="3">
        <f t="shared" si="187"/>
        <v>8.333333333333337E-2</v>
      </c>
      <c r="K1106" s="3"/>
      <c r="L1106" s="60">
        <f t="shared" si="188"/>
        <v>45.983611111111045</v>
      </c>
      <c r="M1106" s="40">
        <v>0</v>
      </c>
      <c r="N1106" s="40">
        <v>0</v>
      </c>
      <c r="O1106" s="40">
        <v>0</v>
      </c>
      <c r="P1106" s="40">
        <v>0</v>
      </c>
      <c r="Q1106" s="40">
        <v>0</v>
      </c>
      <c r="R1106" s="40">
        <v>0</v>
      </c>
      <c r="S1106" s="61">
        <f t="shared" si="189"/>
        <v>52.199999999999967</v>
      </c>
      <c r="T1106" s="40">
        <v>0</v>
      </c>
      <c r="U1106" s="40">
        <v>0</v>
      </c>
      <c r="V1106" s="40">
        <v>0</v>
      </c>
      <c r="W1106" s="40">
        <v>0</v>
      </c>
      <c r="X1106" s="67">
        <f t="shared" si="190"/>
        <v>223</v>
      </c>
      <c r="Z1106" s="71"/>
      <c r="AA1106" s="71"/>
      <c r="AB1106" s="67" t="str">
        <f t="shared" si="191"/>
        <v/>
      </c>
      <c r="AD1106" s="121"/>
      <c r="AE1106" s="121"/>
    </row>
    <row r="1107" spans="1:31" x14ac:dyDescent="0.25">
      <c r="A1107" s="105" t="s">
        <v>1145</v>
      </c>
      <c r="B1107" s="7">
        <v>0.85</v>
      </c>
      <c r="C1107" s="3">
        <f t="shared" si="184"/>
        <v>11.399999999999999</v>
      </c>
      <c r="D1107" s="10" t="s">
        <v>1049</v>
      </c>
      <c r="E1107" s="40">
        <v>0</v>
      </c>
      <c r="F1107" s="40">
        <v>2.5</v>
      </c>
      <c r="G1107" s="40">
        <v>2</v>
      </c>
      <c r="H1107" s="3">
        <f t="shared" si="185"/>
        <v>0</v>
      </c>
      <c r="I1107" s="3">
        <f t="shared" si="186"/>
        <v>1.1875</v>
      </c>
      <c r="J1107" s="3">
        <f t="shared" si="187"/>
        <v>0.94999999999999984</v>
      </c>
      <c r="K1107" s="3"/>
      <c r="L1107" s="60">
        <f t="shared" si="188"/>
        <v>43.846111111111043</v>
      </c>
      <c r="M1107" s="40">
        <v>0</v>
      </c>
      <c r="N1107" s="40">
        <v>0</v>
      </c>
      <c r="O1107" s="40">
        <v>0</v>
      </c>
      <c r="P1107" s="40">
        <v>0</v>
      </c>
      <c r="Q1107" s="40">
        <v>0</v>
      </c>
      <c r="R1107" s="40">
        <v>0</v>
      </c>
      <c r="S1107" s="61">
        <f t="shared" si="189"/>
        <v>52.199999999999967</v>
      </c>
      <c r="T1107" s="40">
        <v>0</v>
      </c>
      <c r="U1107" s="40">
        <v>0</v>
      </c>
      <c r="V1107" s="40">
        <v>0</v>
      </c>
      <c r="W1107" s="40">
        <v>0</v>
      </c>
      <c r="X1107" s="67">
        <f t="shared" si="190"/>
        <v>223</v>
      </c>
      <c r="Z1107" s="71"/>
      <c r="AA1107" s="71"/>
      <c r="AB1107" s="67" t="str">
        <f t="shared" si="191"/>
        <v/>
      </c>
      <c r="AD1107" s="121"/>
      <c r="AE1107" s="121"/>
    </row>
    <row r="1108" spans="1:31" x14ac:dyDescent="0.25">
      <c r="A1108" s="106"/>
      <c r="B1108" s="7"/>
      <c r="C1108" s="3"/>
      <c r="D1108" s="10"/>
      <c r="E1108" s="40"/>
      <c r="F1108" s="40"/>
      <c r="G1108" s="40"/>
      <c r="H1108" s="3"/>
      <c r="I1108" s="3"/>
      <c r="J1108" s="3"/>
      <c r="K1108" s="3"/>
      <c r="L1108" s="60"/>
      <c r="M1108" s="40"/>
      <c r="N1108" s="40"/>
      <c r="O1108" s="40"/>
      <c r="P1108" s="40"/>
      <c r="Q1108" s="40"/>
      <c r="R1108" s="40"/>
      <c r="S1108" s="61"/>
      <c r="T1108" s="40"/>
      <c r="U1108" s="40"/>
      <c r="V1108" s="40"/>
      <c r="W1108" s="40"/>
      <c r="X1108" s="67"/>
      <c r="Z1108" s="71"/>
      <c r="AA1108" s="71"/>
      <c r="AB1108" s="67"/>
      <c r="AD1108" s="121"/>
      <c r="AE1108" s="121"/>
    </row>
    <row r="1109" spans="1:31" x14ac:dyDescent="0.25">
      <c r="A1109" s="9" t="s">
        <v>1146</v>
      </c>
      <c r="B1109" s="65">
        <v>0.33333333333333331</v>
      </c>
      <c r="C1109" s="3">
        <f>+IF((B1109-B1107)&lt;0,((B1109-B1107)*24)+24,(B1109-B1107)*24)</f>
        <v>11.600000000000001</v>
      </c>
      <c r="D1109" s="10" t="s">
        <v>1051</v>
      </c>
      <c r="E1109" s="40">
        <v>0</v>
      </c>
      <c r="F1109" s="40">
        <v>2.5</v>
      </c>
      <c r="G1109" s="40">
        <v>2.2000000000000002</v>
      </c>
      <c r="H1109" s="3">
        <f t="shared" si="185"/>
        <v>0</v>
      </c>
      <c r="I1109" s="3">
        <f t="shared" si="186"/>
        <v>1.2083333333333335</v>
      </c>
      <c r="J1109" s="3">
        <f t="shared" si="187"/>
        <v>1.0633333333333335</v>
      </c>
      <c r="K1109" s="3"/>
      <c r="L1109" s="60">
        <f>+IF(C1109="","",(L1107+K1109)-(H1109+I1109+J1109))</f>
        <v>41.574444444444374</v>
      </c>
      <c r="M1109" s="40">
        <v>0</v>
      </c>
      <c r="N1109" s="40">
        <v>0</v>
      </c>
      <c r="O1109" s="40">
        <v>0</v>
      </c>
      <c r="P1109" s="40">
        <v>0</v>
      </c>
      <c r="Q1109" s="40">
        <v>0</v>
      </c>
      <c r="R1109" s="40">
        <v>0</v>
      </c>
      <c r="S1109" s="61">
        <f>IF(C1109="","",(S1107+R1109)-(M1109+N1109+O1109+P1109+Q1109))</f>
        <v>52.199999999999967</v>
      </c>
      <c r="T1109" s="40">
        <v>0</v>
      </c>
      <c r="U1109" s="40">
        <v>0</v>
      </c>
      <c r="V1109" s="40">
        <v>6</v>
      </c>
      <c r="W1109" s="40">
        <v>0</v>
      </c>
      <c r="X1109" s="67">
        <f>IF(V1109="","",((X1107+T1109+U1109)-(V1109+W1109)))</f>
        <v>217</v>
      </c>
      <c r="Z1109" s="71">
        <v>57</v>
      </c>
      <c r="AA1109" s="71">
        <v>77</v>
      </c>
      <c r="AB1109" s="67">
        <f t="shared" si="191"/>
        <v>134</v>
      </c>
      <c r="AD1109" s="121"/>
      <c r="AE1109" s="121"/>
    </row>
    <row r="1110" spans="1:31" x14ac:dyDescent="0.25">
      <c r="A1110" s="105" t="s">
        <v>1146</v>
      </c>
      <c r="B1110" s="7">
        <v>0.4291666666666667</v>
      </c>
      <c r="C1110" s="3">
        <f t="shared" si="184"/>
        <v>2.3000000000000012</v>
      </c>
      <c r="D1110" s="10" t="s">
        <v>1090</v>
      </c>
      <c r="E1110" s="40">
        <v>0</v>
      </c>
      <c r="F1110" s="40">
        <v>2.5</v>
      </c>
      <c r="G1110" s="40">
        <v>2.2000000000000002</v>
      </c>
      <c r="H1110" s="3">
        <f t="shared" si="185"/>
        <v>0</v>
      </c>
      <c r="I1110" s="3">
        <f t="shared" si="186"/>
        <v>0.23958333333333345</v>
      </c>
      <c r="J1110" s="3">
        <f t="shared" si="187"/>
        <v>0.21083333333333346</v>
      </c>
      <c r="K1110" s="3"/>
      <c r="L1110" s="60">
        <f t="shared" si="188"/>
        <v>41.124027777777705</v>
      </c>
      <c r="M1110" s="40">
        <v>0</v>
      </c>
      <c r="N1110" s="40">
        <v>0</v>
      </c>
      <c r="O1110" s="40">
        <v>0</v>
      </c>
      <c r="P1110" s="40">
        <v>0</v>
      </c>
      <c r="Q1110" s="40">
        <v>0</v>
      </c>
      <c r="R1110" s="40">
        <v>0</v>
      </c>
      <c r="S1110" s="61">
        <f t="shared" si="189"/>
        <v>52.199999999999967</v>
      </c>
      <c r="T1110" s="40">
        <v>0</v>
      </c>
      <c r="U1110" s="40">
        <v>0</v>
      </c>
      <c r="V1110" s="40">
        <v>0</v>
      </c>
      <c r="W1110" s="40">
        <v>0</v>
      </c>
      <c r="X1110" s="67">
        <f t="shared" si="190"/>
        <v>217</v>
      </c>
      <c r="Z1110" s="71"/>
      <c r="AA1110" s="71"/>
      <c r="AB1110" s="67" t="str">
        <f t="shared" si="191"/>
        <v/>
      </c>
      <c r="AD1110" s="121"/>
      <c r="AE1110" s="121"/>
    </row>
    <row r="1111" spans="1:31" x14ac:dyDescent="0.25">
      <c r="A1111" s="105" t="s">
        <v>1146</v>
      </c>
      <c r="B1111" s="7">
        <v>0.64583333333333337</v>
      </c>
      <c r="C1111" s="3">
        <f t="shared" si="184"/>
        <v>5.2</v>
      </c>
      <c r="D1111" s="10" t="s">
        <v>1011</v>
      </c>
      <c r="E1111" s="40">
        <v>0</v>
      </c>
      <c r="F1111" s="40">
        <v>2.5</v>
      </c>
      <c r="G1111" s="40">
        <v>2.5</v>
      </c>
      <c r="H1111" s="3">
        <f t="shared" si="185"/>
        <v>0</v>
      </c>
      <c r="I1111" s="3">
        <f t="shared" si="186"/>
        <v>0.54166666666666674</v>
      </c>
      <c r="J1111" s="3">
        <f t="shared" si="187"/>
        <v>0.54166666666666674</v>
      </c>
      <c r="K1111" s="3"/>
      <c r="L1111" s="60">
        <f t="shared" si="188"/>
        <v>40.04069444444437</v>
      </c>
      <c r="M1111" s="40">
        <v>0</v>
      </c>
      <c r="N1111" s="40">
        <v>0</v>
      </c>
      <c r="O1111" s="40">
        <v>0</v>
      </c>
      <c r="P1111" s="40">
        <v>0</v>
      </c>
      <c r="Q1111" s="40">
        <v>0</v>
      </c>
      <c r="R1111" s="40">
        <v>0</v>
      </c>
      <c r="S1111" s="61">
        <f t="shared" si="189"/>
        <v>52.199999999999967</v>
      </c>
      <c r="T1111" s="40">
        <v>0</v>
      </c>
      <c r="U1111" s="40">
        <v>0</v>
      </c>
      <c r="V1111" s="40">
        <v>0</v>
      </c>
      <c r="W1111" s="40">
        <v>0</v>
      </c>
      <c r="X1111" s="67">
        <f t="shared" si="190"/>
        <v>217</v>
      </c>
      <c r="Z1111" s="71"/>
      <c r="AA1111" s="71"/>
      <c r="AB1111" s="67" t="str">
        <f t="shared" si="191"/>
        <v/>
      </c>
      <c r="AD1111" s="121"/>
      <c r="AE1111" s="121"/>
    </row>
    <row r="1112" spans="1:31" x14ac:dyDescent="0.25">
      <c r="A1112" s="105" t="s">
        <v>1146</v>
      </c>
      <c r="B1112" s="7">
        <v>0.66666666666666663</v>
      </c>
      <c r="C1112" s="3">
        <f t="shared" si="184"/>
        <v>0.49999999999999822</v>
      </c>
      <c r="D1112" s="10" t="s">
        <v>1026</v>
      </c>
      <c r="E1112" s="40">
        <v>3</v>
      </c>
      <c r="F1112" s="40">
        <v>2.5</v>
      </c>
      <c r="G1112" s="40">
        <v>2.5</v>
      </c>
      <c r="H1112" s="3">
        <f t="shared" si="185"/>
        <v>6.2499999999999778E-2</v>
      </c>
      <c r="I1112" s="3">
        <f t="shared" si="186"/>
        <v>5.2083333333333148E-2</v>
      </c>
      <c r="J1112" s="3">
        <f t="shared" si="187"/>
        <v>5.2083333333333148E-2</v>
      </c>
      <c r="K1112" s="3"/>
      <c r="L1112" s="60">
        <f t="shared" si="188"/>
        <v>39.874027777777705</v>
      </c>
      <c r="M1112" s="40">
        <v>0</v>
      </c>
      <c r="N1112" s="40">
        <v>0</v>
      </c>
      <c r="O1112" s="40">
        <v>0</v>
      </c>
      <c r="P1112" s="40">
        <v>0</v>
      </c>
      <c r="Q1112" s="40">
        <v>0</v>
      </c>
      <c r="R1112" s="40">
        <v>0</v>
      </c>
      <c r="S1112" s="61">
        <f t="shared" si="189"/>
        <v>52.199999999999967</v>
      </c>
      <c r="T1112" s="40">
        <v>0</v>
      </c>
      <c r="U1112" s="40">
        <v>0</v>
      </c>
      <c r="V1112" s="40">
        <v>0</v>
      </c>
      <c r="W1112" s="40">
        <v>0</v>
      </c>
      <c r="X1112" s="67">
        <f t="shared" si="190"/>
        <v>217</v>
      </c>
      <c r="Z1112" s="71"/>
      <c r="AA1112" s="71"/>
      <c r="AB1112" s="67" t="str">
        <f t="shared" si="191"/>
        <v/>
      </c>
      <c r="AD1112" s="121"/>
      <c r="AE1112" s="121"/>
    </row>
    <row r="1113" spans="1:31" x14ac:dyDescent="0.25">
      <c r="A1113" s="105" t="s">
        <v>1146</v>
      </c>
      <c r="B1113" s="7">
        <v>0.69166666666666676</v>
      </c>
      <c r="C1113" s="3">
        <f t="shared" si="184"/>
        <v>0.6000000000000032</v>
      </c>
      <c r="D1113" s="10" t="s">
        <v>201</v>
      </c>
      <c r="E1113" s="40">
        <v>5</v>
      </c>
      <c r="F1113" s="40">
        <v>2.5</v>
      </c>
      <c r="G1113" s="40">
        <v>2.5</v>
      </c>
      <c r="H1113" s="3">
        <f t="shared" si="185"/>
        <v>0.12500000000000067</v>
      </c>
      <c r="I1113" s="3">
        <f t="shared" si="186"/>
        <v>6.2500000000000333E-2</v>
      </c>
      <c r="J1113" s="3">
        <f t="shared" si="187"/>
        <v>6.2500000000000333E-2</v>
      </c>
      <c r="K1113" s="3"/>
      <c r="L1113" s="60">
        <f t="shared" si="188"/>
        <v>39.624027777777705</v>
      </c>
      <c r="M1113" s="40">
        <v>0</v>
      </c>
      <c r="N1113" s="40">
        <v>0</v>
      </c>
      <c r="O1113" s="40">
        <v>0</v>
      </c>
      <c r="P1113" s="40">
        <v>0</v>
      </c>
      <c r="Q1113" s="40">
        <v>0</v>
      </c>
      <c r="R1113" s="40">
        <v>0</v>
      </c>
      <c r="S1113" s="61">
        <f t="shared" si="189"/>
        <v>52.199999999999967</v>
      </c>
      <c r="T1113" s="40">
        <v>0</v>
      </c>
      <c r="U1113" s="40">
        <v>0</v>
      </c>
      <c r="V1113" s="40">
        <v>0</v>
      </c>
      <c r="W1113" s="40">
        <v>0</v>
      </c>
      <c r="X1113" s="67">
        <f t="shared" si="190"/>
        <v>217</v>
      </c>
      <c r="Z1113" s="71"/>
      <c r="AA1113" s="71"/>
      <c r="AB1113" s="67" t="str">
        <f t="shared" si="191"/>
        <v/>
      </c>
      <c r="AD1113" s="121"/>
      <c r="AE1113" s="121"/>
    </row>
    <row r="1114" spans="1:31" x14ac:dyDescent="0.25">
      <c r="A1114" s="105" t="s">
        <v>1146</v>
      </c>
      <c r="B1114" s="7">
        <v>0.70000000000000007</v>
      </c>
      <c r="C1114" s="3">
        <f t="shared" si="184"/>
        <v>0.19999999999999929</v>
      </c>
      <c r="D1114" s="10" t="s">
        <v>616</v>
      </c>
      <c r="E1114" s="40">
        <v>3</v>
      </c>
      <c r="F1114" s="40">
        <v>2.5</v>
      </c>
      <c r="G1114" s="40">
        <v>2.5</v>
      </c>
      <c r="H1114" s="3">
        <f t="shared" si="185"/>
        <v>2.4999999999999911E-2</v>
      </c>
      <c r="I1114" s="3">
        <f t="shared" si="186"/>
        <v>2.0833333333333259E-2</v>
      </c>
      <c r="J1114" s="3">
        <f t="shared" si="187"/>
        <v>2.0833333333333259E-2</v>
      </c>
      <c r="K1114" s="3"/>
      <c r="L1114" s="60">
        <f t="shared" si="188"/>
        <v>39.557361111111035</v>
      </c>
      <c r="M1114" s="40">
        <v>0</v>
      </c>
      <c r="N1114" s="40">
        <v>0</v>
      </c>
      <c r="O1114" s="40">
        <v>0</v>
      </c>
      <c r="P1114" s="40">
        <v>0</v>
      </c>
      <c r="Q1114" s="40">
        <v>0</v>
      </c>
      <c r="R1114" s="40">
        <v>0</v>
      </c>
      <c r="S1114" s="61">
        <f t="shared" si="189"/>
        <v>52.199999999999967</v>
      </c>
      <c r="T1114" s="40">
        <v>0</v>
      </c>
      <c r="U1114" s="40">
        <v>0</v>
      </c>
      <c r="V1114" s="40">
        <v>0</v>
      </c>
      <c r="W1114" s="40">
        <v>0</v>
      </c>
      <c r="X1114" s="67">
        <f t="shared" si="190"/>
        <v>217</v>
      </c>
      <c r="Z1114" s="71"/>
      <c r="AA1114" s="71"/>
      <c r="AB1114" s="67" t="str">
        <f t="shared" si="191"/>
        <v/>
      </c>
      <c r="AD1114" s="121"/>
      <c r="AE1114" s="121"/>
    </row>
    <row r="1115" spans="1:31" x14ac:dyDescent="0.25">
      <c r="A1115" s="105" t="s">
        <v>1147</v>
      </c>
      <c r="B1115" s="65">
        <v>0.33333333333333331</v>
      </c>
      <c r="C1115" s="3">
        <f t="shared" si="184"/>
        <v>15.199999999999998</v>
      </c>
      <c r="D1115" s="10" t="s">
        <v>351</v>
      </c>
      <c r="E1115" s="40">
        <v>0</v>
      </c>
      <c r="F1115" s="40">
        <v>2.8</v>
      </c>
      <c r="G1115" s="40">
        <v>2.5</v>
      </c>
      <c r="H1115" s="3">
        <f t="shared" si="185"/>
        <v>0</v>
      </c>
      <c r="I1115" s="3">
        <f t="shared" si="186"/>
        <v>1.7733333333333328</v>
      </c>
      <c r="J1115" s="3">
        <f t="shared" si="187"/>
        <v>1.583333333333333</v>
      </c>
      <c r="K1115" s="3"/>
      <c r="L1115" s="60">
        <f t="shared" si="188"/>
        <v>36.200694444444366</v>
      </c>
      <c r="M1115" s="40">
        <v>0</v>
      </c>
      <c r="N1115" s="40">
        <v>0</v>
      </c>
      <c r="O1115" s="40">
        <v>0</v>
      </c>
      <c r="P1115" s="40">
        <v>0</v>
      </c>
      <c r="Q1115" s="40">
        <v>0</v>
      </c>
      <c r="R1115" s="40">
        <v>0</v>
      </c>
      <c r="S1115" s="61">
        <f t="shared" si="189"/>
        <v>52.199999999999967</v>
      </c>
      <c r="T1115" s="40">
        <v>0</v>
      </c>
      <c r="U1115" s="40">
        <v>0</v>
      </c>
      <c r="V1115" s="40">
        <v>6</v>
      </c>
      <c r="W1115" s="40">
        <v>0</v>
      </c>
      <c r="X1115" s="67">
        <f t="shared" si="190"/>
        <v>211</v>
      </c>
      <c r="Z1115" s="71">
        <v>75</v>
      </c>
      <c r="AA1115" s="71">
        <v>77</v>
      </c>
      <c r="AB1115" s="67">
        <f t="shared" si="191"/>
        <v>152</v>
      </c>
      <c r="AD1115" s="121"/>
      <c r="AE1115" s="121"/>
    </row>
    <row r="1116" spans="1:31" x14ac:dyDescent="0.25">
      <c r="A1116" s="105" t="s">
        <v>1147</v>
      </c>
      <c r="B1116" s="7">
        <v>0.46666666666666662</v>
      </c>
      <c r="C1116" s="3">
        <f t="shared" si="184"/>
        <v>3.1999999999999993</v>
      </c>
      <c r="D1116" s="10" t="s">
        <v>1011</v>
      </c>
      <c r="E1116" s="40">
        <v>0</v>
      </c>
      <c r="F1116" s="40">
        <v>2.9</v>
      </c>
      <c r="G1116" s="40">
        <v>2.5</v>
      </c>
      <c r="H1116" s="3">
        <f t="shared" si="185"/>
        <v>0</v>
      </c>
      <c r="I1116" s="3">
        <f t="shared" si="186"/>
        <v>0.3866666666666666</v>
      </c>
      <c r="J1116" s="3">
        <f t="shared" si="187"/>
        <v>0.33333333333333326</v>
      </c>
      <c r="K1116" s="3"/>
      <c r="L1116" s="60">
        <f t="shared" si="188"/>
        <v>35.480694444444367</v>
      </c>
      <c r="M1116" s="40">
        <v>0</v>
      </c>
      <c r="N1116" s="40">
        <v>0</v>
      </c>
      <c r="O1116" s="40">
        <v>0</v>
      </c>
      <c r="P1116" s="40">
        <v>0</v>
      </c>
      <c r="Q1116" s="40">
        <v>0</v>
      </c>
      <c r="R1116" s="40">
        <v>0</v>
      </c>
      <c r="S1116" s="61">
        <f t="shared" si="189"/>
        <v>52.199999999999967</v>
      </c>
      <c r="T1116" s="40">
        <v>0</v>
      </c>
      <c r="U1116" s="40">
        <v>0</v>
      </c>
      <c r="V1116" s="40">
        <v>0</v>
      </c>
      <c r="W1116" s="40">
        <v>0</v>
      </c>
      <c r="X1116" s="67">
        <f t="shared" si="190"/>
        <v>211</v>
      </c>
      <c r="Z1116" s="71"/>
      <c r="AA1116" s="71"/>
      <c r="AB1116" s="67" t="str">
        <f t="shared" si="191"/>
        <v/>
      </c>
      <c r="AD1116" s="121"/>
      <c r="AE1116" s="121"/>
    </row>
    <row r="1117" spans="1:31" x14ac:dyDescent="0.25">
      <c r="A1117" s="105" t="s">
        <v>1147</v>
      </c>
      <c r="B1117" s="7">
        <v>0.54999999999999993</v>
      </c>
      <c r="C1117" s="3">
        <f t="shared" si="184"/>
        <v>1.9999999999999996</v>
      </c>
      <c r="D1117" s="10" t="s">
        <v>616</v>
      </c>
      <c r="E1117" s="40">
        <v>5</v>
      </c>
      <c r="F1117" s="40">
        <v>2.8</v>
      </c>
      <c r="G1117" s="40">
        <v>2.5</v>
      </c>
      <c r="H1117" s="3">
        <f t="shared" si="185"/>
        <v>0.41666666666666657</v>
      </c>
      <c r="I1117" s="3">
        <f t="shared" si="186"/>
        <v>0.23333333333333325</v>
      </c>
      <c r="J1117" s="3">
        <f t="shared" si="187"/>
        <v>0.20833333333333329</v>
      </c>
      <c r="K1117" s="3"/>
      <c r="L1117" s="60">
        <f t="shared" si="188"/>
        <v>34.622361111111033</v>
      </c>
      <c r="M1117" s="40">
        <v>0</v>
      </c>
      <c r="N1117" s="40">
        <v>0</v>
      </c>
      <c r="O1117" s="40">
        <v>0</v>
      </c>
      <c r="P1117" s="40">
        <v>0</v>
      </c>
      <c r="Q1117" s="40">
        <v>0</v>
      </c>
      <c r="R1117" s="40">
        <v>0</v>
      </c>
      <c r="S1117" s="61">
        <f t="shared" si="189"/>
        <v>52.199999999999967</v>
      </c>
      <c r="T1117" s="40">
        <v>0</v>
      </c>
      <c r="U1117" s="40">
        <v>0</v>
      </c>
      <c r="V1117" s="40">
        <v>0</v>
      </c>
      <c r="W1117" s="40">
        <v>0</v>
      </c>
      <c r="X1117" s="67">
        <f t="shared" si="190"/>
        <v>211</v>
      </c>
      <c r="Z1117" s="71"/>
      <c r="AA1117" s="71"/>
      <c r="AB1117" s="67" t="str">
        <f t="shared" si="191"/>
        <v/>
      </c>
      <c r="AD1117" s="121"/>
      <c r="AE1117" s="121"/>
    </row>
    <row r="1118" spans="1:31" x14ac:dyDescent="0.25">
      <c r="A1118" s="105" t="s">
        <v>1147</v>
      </c>
      <c r="B1118" s="7">
        <v>0.66666666666666663</v>
      </c>
      <c r="C1118" s="3">
        <f t="shared" si="184"/>
        <v>2.8000000000000007</v>
      </c>
      <c r="D1118" s="10" t="s">
        <v>1100</v>
      </c>
      <c r="E1118" s="40">
        <v>0</v>
      </c>
      <c r="F1118" s="40">
        <v>2.8</v>
      </c>
      <c r="G1118" s="40">
        <v>2.5</v>
      </c>
      <c r="H1118" s="3">
        <f t="shared" si="185"/>
        <v>0</v>
      </c>
      <c r="I1118" s="3">
        <f t="shared" si="186"/>
        <v>0.32666666666666672</v>
      </c>
      <c r="J1118" s="3">
        <f t="shared" si="187"/>
        <v>0.29166666666666674</v>
      </c>
      <c r="K1118" s="3"/>
      <c r="L1118" s="60">
        <f t="shared" si="188"/>
        <v>34.004027777777701</v>
      </c>
      <c r="M1118" s="40">
        <v>0</v>
      </c>
      <c r="N1118" s="40">
        <v>0</v>
      </c>
      <c r="O1118" s="40">
        <v>0</v>
      </c>
      <c r="P1118" s="40">
        <v>0</v>
      </c>
      <c r="Q1118" s="40">
        <v>0</v>
      </c>
      <c r="R1118" s="40">
        <v>0</v>
      </c>
      <c r="S1118" s="61">
        <f t="shared" si="189"/>
        <v>52.199999999999967</v>
      </c>
      <c r="T1118" s="40">
        <v>0</v>
      </c>
      <c r="U1118" s="40">
        <v>0</v>
      </c>
      <c r="V1118" s="40">
        <v>0</v>
      </c>
      <c r="W1118" s="40">
        <v>0</v>
      </c>
      <c r="X1118" s="67">
        <f t="shared" si="190"/>
        <v>211</v>
      </c>
      <c r="Z1118" s="71"/>
      <c r="AA1118" s="71"/>
      <c r="AB1118" s="67" t="str">
        <f t="shared" si="191"/>
        <v/>
      </c>
      <c r="AD1118" s="121"/>
      <c r="AE1118" s="121"/>
    </row>
    <row r="1119" spans="1:31" x14ac:dyDescent="0.25">
      <c r="A1119" s="105" t="s">
        <v>1148</v>
      </c>
      <c r="B1119" s="65">
        <v>0.33333333333333331</v>
      </c>
      <c r="C1119" s="3">
        <f t="shared" si="184"/>
        <v>16</v>
      </c>
      <c r="D1119" s="10" t="s">
        <v>966</v>
      </c>
      <c r="E1119" s="40">
        <v>0</v>
      </c>
      <c r="F1119" s="40">
        <v>2.8</v>
      </c>
      <c r="G1119" s="40">
        <v>2.5</v>
      </c>
      <c r="H1119" s="3">
        <f t="shared" si="185"/>
        <v>0</v>
      </c>
      <c r="I1119" s="3">
        <f t="shared" si="186"/>
        <v>1.8666666666666665</v>
      </c>
      <c r="J1119" s="3">
        <f t="shared" si="187"/>
        <v>1.6666666666666667</v>
      </c>
      <c r="K1119" s="3"/>
      <c r="L1119" s="60">
        <f t="shared" si="188"/>
        <v>30.470694444444369</v>
      </c>
      <c r="M1119" s="40">
        <v>0</v>
      </c>
      <c r="N1119" s="40">
        <v>0</v>
      </c>
      <c r="O1119" s="40">
        <v>0</v>
      </c>
      <c r="P1119" s="40">
        <v>0</v>
      </c>
      <c r="Q1119" s="40">
        <v>4</v>
      </c>
      <c r="R1119" s="40">
        <v>0</v>
      </c>
      <c r="S1119" s="61">
        <f t="shared" si="189"/>
        <v>48.199999999999967</v>
      </c>
      <c r="T1119" s="40">
        <v>0</v>
      </c>
      <c r="U1119" s="40">
        <v>0</v>
      </c>
      <c r="V1119" s="40">
        <v>56</v>
      </c>
      <c r="W1119" s="40">
        <v>0</v>
      </c>
      <c r="X1119" s="67">
        <f t="shared" si="190"/>
        <v>155</v>
      </c>
      <c r="Z1119" s="71"/>
      <c r="AA1119" s="71"/>
      <c r="AB1119" s="67" t="str">
        <f t="shared" si="191"/>
        <v/>
      </c>
      <c r="AD1119" s="121"/>
      <c r="AE1119" s="121"/>
    </row>
    <row r="1120" spans="1:31" x14ac:dyDescent="0.25">
      <c r="A1120" s="105" t="s">
        <v>1148</v>
      </c>
      <c r="B1120" s="7">
        <v>0.375</v>
      </c>
      <c r="C1120" s="3">
        <f t="shared" si="184"/>
        <v>1.0000000000000004</v>
      </c>
      <c r="D1120" s="10" t="s">
        <v>1079</v>
      </c>
      <c r="E1120" s="40">
        <v>0</v>
      </c>
      <c r="F1120" s="40">
        <v>2.8</v>
      </c>
      <c r="G1120" s="40">
        <v>2.5</v>
      </c>
      <c r="H1120" s="3">
        <f t="shared" si="185"/>
        <v>0</v>
      </c>
      <c r="I1120" s="3">
        <f t="shared" si="186"/>
        <v>0.11666666666666671</v>
      </c>
      <c r="J1120" s="3">
        <f t="shared" si="187"/>
        <v>0.10416666666666671</v>
      </c>
      <c r="K1120" s="3"/>
      <c r="L1120" s="60">
        <f t="shared" si="188"/>
        <v>30.249861111111034</v>
      </c>
      <c r="M1120" s="40">
        <v>0</v>
      </c>
      <c r="N1120" s="40">
        <v>0</v>
      </c>
      <c r="O1120" s="40">
        <v>0</v>
      </c>
      <c r="P1120" s="40">
        <v>0</v>
      </c>
      <c r="Q1120" s="40">
        <v>0.3</v>
      </c>
      <c r="R1120" s="40">
        <v>0</v>
      </c>
      <c r="S1120" s="61">
        <f t="shared" si="189"/>
        <v>47.89999999999997</v>
      </c>
      <c r="T1120" s="40">
        <v>0</v>
      </c>
      <c r="U1120" s="40">
        <v>0</v>
      </c>
      <c r="V1120" s="40">
        <v>0</v>
      </c>
      <c r="W1120" s="40">
        <v>0</v>
      </c>
      <c r="X1120" s="67">
        <f t="shared" si="190"/>
        <v>155</v>
      </c>
      <c r="Z1120" s="71">
        <v>107</v>
      </c>
      <c r="AA1120" s="71">
        <v>79</v>
      </c>
      <c r="AB1120" s="67">
        <f t="shared" si="191"/>
        <v>186</v>
      </c>
      <c r="AD1120" s="121"/>
      <c r="AE1120" s="121"/>
    </row>
    <row r="1121" spans="1:31" x14ac:dyDescent="0.25">
      <c r="A1121" s="105" t="s">
        <v>1148</v>
      </c>
      <c r="B1121" s="7">
        <v>0.58333333333333337</v>
      </c>
      <c r="C1121" s="3">
        <f t="shared" si="184"/>
        <v>5.0000000000000009</v>
      </c>
      <c r="D1121" s="10" t="s">
        <v>1011</v>
      </c>
      <c r="E1121" s="40">
        <v>0</v>
      </c>
      <c r="F1121" s="40">
        <v>2.8</v>
      </c>
      <c r="G1121" s="40">
        <v>2.5</v>
      </c>
      <c r="H1121" s="3">
        <f t="shared" si="185"/>
        <v>0</v>
      </c>
      <c r="I1121" s="3">
        <f t="shared" si="186"/>
        <v>0.58333333333333337</v>
      </c>
      <c r="J1121" s="3">
        <f t="shared" si="187"/>
        <v>0.52083333333333348</v>
      </c>
      <c r="K1121" s="3"/>
      <c r="L1121" s="60">
        <f t="shared" si="188"/>
        <v>29.145694444444366</v>
      </c>
      <c r="M1121" s="40">
        <v>0</v>
      </c>
      <c r="N1121" s="40">
        <v>0</v>
      </c>
      <c r="O1121" s="40">
        <v>0</v>
      </c>
      <c r="P1121" s="40">
        <v>0</v>
      </c>
      <c r="Q1121" s="40">
        <v>0</v>
      </c>
      <c r="R1121" s="40">
        <v>0</v>
      </c>
      <c r="S1121" s="61">
        <f t="shared" si="189"/>
        <v>47.89999999999997</v>
      </c>
      <c r="T1121" s="40">
        <v>0</v>
      </c>
      <c r="U1121" s="40">
        <v>0</v>
      </c>
      <c r="V1121" s="40">
        <v>0</v>
      </c>
      <c r="W1121" s="40">
        <v>0</v>
      </c>
      <c r="X1121" s="67">
        <f t="shared" si="190"/>
        <v>155</v>
      </c>
      <c r="Z1121" s="71"/>
      <c r="AA1121" s="71"/>
      <c r="AB1121" s="67" t="str">
        <f t="shared" si="191"/>
        <v/>
      </c>
      <c r="AD1121" s="121"/>
      <c r="AE1121" s="121"/>
    </row>
    <row r="1122" spans="1:31" x14ac:dyDescent="0.25">
      <c r="A1122" s="105" t="s">
        <v>1148</v>
      </c>
      <c r="B1122" s="7">
        <v>0.62916666666666665</v>
      </c>
      <c r="C1122" s="3">
        <f t="shared" si="184"/>
        <v>1.0999999999999988</v>
      </c>
      <c r="D1122" s="10" t="s">
        <v>616</v>
      </c>
      <c r="E1122" s="40">
        <v>5</v>
      </c>
      <c r="F1122" s="40">
        <v>2.8</v>
      </c>
      <c r="G1122" s="40">
        <v>2.5</v>
      </c>
      <c r="H1122" s="3">
        <f t="shared" si="185"/>
        <v>0.22916666666666641</v>
      </c>
      <c r="I1122" s="3">
        <f t="shared" si="186"/>
        <v>0.12833333333333319</v>
      </c>
      <c r="J1122" s="3">
        <f t="shared" si="187"/>
        <v>0.1145833333333332</v>
      </c>
      <c r="K1122" s="3"/>
      <c r="L1122" s="60">
        <f t="shared" si="188"/>
        <v>28.673611111111033</v>
      </c>
      <c r="M1122" s="40">
        <v>0</v>
      </c>
      <c r="N1122" s="40">
        <v>0</v>
      </c>
      <c r="O1122" s="40">
        <v>0</v>
      </c>
      <c r="P1122" s="40">
        <v>0</v>
      </c>
      <c r="Q1122" s="40">
        <v>0</v>
      </c>
      <c r="R1122" s="40">
        <v>0</v>
      </c>
      <c r="S1122" s="61">
        <f t="shared" si="189"/>
        <v>47.89999999999997</v>
      </c>
      <c r="T1122" s="40">
        <v>0</v>
      </c>
      <c r="U1122" s="40">
        <v>0</v>
      </c>
      <c r="V1122" s="40">
        <v>0</v>
      </c>
      <c r="W1122" s="40">
        <v>0</v>
      </c>
      <c r="X1122" s="67">
        <f t="shared" si="190"/>
        <v>155</v>
      </c>
      <c r="Z1122" s="71"/>
      <c r="AA1122" s="71"/>
      <c r="AB1122" s="67" t="str">
        <f t="shared" si="191"/>
        <v/>
      </c>
      <c r="AD1122" s="121"/>
      <c r="AE1122" s="121"/>
    </row>
    <row r="1123" spans="1:31" x14ac:dyDescent="0.25">
      <c r="A1123" s="105" t="s">
        <v>1148</v>
      </c>
      <c r="B1123" s="7">
        <v>0.72499999999999998</v>
      </c>
      <c r="C1123" s="3">
        <f t="shared" si="184"/>
        <v>2.2999999999999998</v>
      </c>
      <c r="D1123" s="10" t="s">
        <v>1127</v>
      </c>
      <c r="E1123" s="40">
        <v>0</v>
      </c>
      <c r="F1123" s="40">
        <v>2.8</v>
      </c>
      <c r="G1123" s="40">
        <v>2.5</v>
      </c>
      <c r="H1123" s="3">
        <f t="shared" si="185"/>
        <v>0</v>
      </c>
      <c r="I1123" s="3">
        <f t="shared" si="186"/>
        <v>0.26833333333333331</v>
      </c>
      <c r="J1123" s="3">
        <f t="shared" si="187"/>
        <v>0.23958333333333331</v>
      </c>
      <c r="K1123" s="3">
        <v>250</v>
      </c>
      <c r="L1123" s="60">
        <f t="shared" si="188"/>
        <v>278.16569444444434</v>
      </c>
      <c r="M1123" s="40">
        <v>0</v>
      </c>
      <c r="N1123" s="40">
        <v>0</v>
      </c>
      <c r="O1123" s="40">
        <v>0</v>
      </c>
      <c r="P1123" s="40">
        <v>0</v>
      </c>
      <c r="Q1123" s="40">
        <v>0</v>
      </c>
      <c r="R1123" s="40">
        <v>0</v>
      </c>
      <c r="S1123" s="61">
        <f t="shared" si="189"/>
        <v>47.89999999999997</v>
      </c>
      <c r="T1123" s="40">
        <v>0</v>
      </c>
      <c r="U1123" s="40">
        <v>0</v>
      </c>
      <c r="V1123" s="40">
        <v>0</v>
      </c>
      <c r="W1123" s="40">
        <v>0</v>
      </c>
      <c r="X1123" s="67">
        <f t="shared" si="190"/>
        <v>155</v>
      </c>
      <c r="Z1123" s="71"/>
      <c r="AA1123" s="71"/>
      <c r="AB1123" s="67" t="str">
        <f t="shared" si="191"/>
        <v/>
      </c>
      <c r="AD1123" s="121"/>
      <c r="AE1123" s="121"/>
    </row>
    <row r="1124" spans="1:31" x14ac:dyDescent="0.25">
      <c r="A1124" s="105" t="s">
        <v>1149</v>
      </c>
      <c r="B1124" s="7">
        <v>2.9166666666666664E-2</v>
      </c>
      <c r="C1124" s="3">
        <f t="shared" si="184"/>
        <v>7.3000000000000007</v>
      </c>
      <c r="D1124" s="10" t="s">
        <v>1011</v>
      </c>
      <c r="E1124" s="40">
        <v>0</v>
      </c>
      <c r="F1124" s="40">
        <v>2.8</v>
      </c>
      <c r="G1124" s="40">
        <v>2.5</v>
      </c>
      <c r="H1124" s="3">
        <f t="shared" si="185"/>
        <v>0</v>
      </c>
      <c r="I1124" s="3">
        <f t="shared" si="186"/>
        <v>0.85166666666666668</v>
      </c>
      <c r="J1124" s="3">
        <f t="shared" si="187"/>
        <v>0.76041666666666674</v>
      </c>
      <c r="K1124" s="3"/>
      <c r="L1124" s="60">
        <f t="shared" si="188"/>
        <v>276.55361111111102</v>
      </c>
      <c r="M1124" s="40">
        <v>0</v>
      </c>
      <c r="N1124" s="40">
        <v>0</v>
      </c>
      <c r="O1124" s="40">
        <v>0</v>
      </c>
      <c r="P1124" s="40">
        <v>0</v>
      </c>
      <c r="Q1124" s="40">
        <v>1.8</v>
      </c>
      <c r="R1124" s="40">
        <v>0</v>
      </c>
      <c r="S1124" s="61">
        <f t="shared" si="189"/>
        <v>46.099999999999973</v>
      </c>
      <c r="T1124" s="40">
        <v>0</v>
      </c>
      <c r="U1124" s="40">
        <v>0</v>
      </c>
      <c r="V1124" s="40">
        <v>0</v>
      </c>
      <c r="W1124" s="40">
        <v>0</v>
      </c>
      <c r="X1124" s="67">
        <f t="shared" si="190"/>
        <v>155</v>
      </c>
      <c r="Z1124" s="71"/>
      <c r="AA1124" s="71"/>
      <c r="AB1124" s="67" t="str">
        <f t="shared" si="191"/>
        <v/>
      </c>
      <c r="AD1124" s="121"/>
      <c r="AE1124" s="121"/>
    </row>
    <row r="1125" spans="1:31" x14ac:dyDescent="0.25">
      <c r="A1125" s="105" t="s">
        <v>1112</v>
      </c>
      <c r="B1125" s="7">
        <v>4.5833333333333337E-2</v>
      </c>
      <c r="C1125" s="3">
        <f t="shared" si="184"/>
        <v>0.40000000000000013</v>
      </c>
      <c r="D1125" s="10" t="s">
        <v>1026</v>
      </c>
      <c r="E1125" s="40">
        <v>10</v>
      </c>
      <c r="F1125" s="40">
        <v>2.8</v>
      </c>
      <c r="G1125" s="40">
        <v>2.5</v>
      </c>
      <c r="H1125" s="3">
        <f t="shared" si="185"/>
        <v>0.16666666666666674</v>
      </c>
      <c r="I1125" s="3">
        <f t="shared" si="186"/>
        <v>4.6666666666666676E-2</v>
      </c>
      <c r="J1125" s="3">
        <f t="shared" si="187"/>
        <v>4.1666666666666685E-2</v>
      </c>
      <c r="K1125" s="3"/>
      <c r="L1125" s="60">
        <f t="shared" si="188"/>
        <v>276.29861111111103</v>
      </c>
      <c r="M1125" s="40">
        <v>0</v>
      </c>
      <c r="N1125" s="40">
        <v>0</v>
      </c>
      <c r="O1125" s="40">
        <v>0</v>
      </c>
      <c r="P1125" s="40">
        <v>0</v>
      </c>
      <c r="Q1125" s="40">
        <v>0</v>
      </c>
      <c r="R1125" s="40">
        <v>0</v>
      </c>
      <c r="S1125" s="61">
        <f t="shared" si="189"/>
        <v>46.099999999999973</v>
      </c>
      <c r="T1125" s="40">
        <v>0</v>
      </c>
      <c r="U1125" s="40">
        <v>0</v>
      </c>
      <c r="V1125" s="40">
        <v>4</v>
      </c>
      <c r="W1125" s="40">
        <v>0</v>
      </c>
      <c r="X1125" s="67">
        <f t="shared" si="190"/>
        <v>151</v>
      </c>
      <c r="Z1125" s="71"/>
      <c r="AA1125" s="71"/>
      <c r="AB1125" s="67" t="str">
        <f t="shared" si="191"/>
        <v/>
      </c>
      <c r="AD1125" s="121"/>
      <c r="AE1125" s="121"/>
    </row>
    <row r="1126" spans="1:31" x14ac:dyDescent="0.25">
      <c r="A1126" s="105" t="s">
        <v>1112</v>
      </c>
      <c r="B1126" s="7">
        <v>6.25E-2</v>
      </c>
      <c r="C1126" s="3">
        <f t="shared" si="184"/>
        <v>0.39999999999999991</v>
      </c>
      <c r="D1126" s="10" t="s">
        <v>201</v>
      </c>
      <c r="E1126" s="40">
        <v>25</v>
      </c>
      <c r="F1126" s="40">
        <v>2.8</v>
      </c>
      <c r="G1126" s="40">
        <v>2.5</v>
      </c>
      <c r="H1126" s="3">
        <f t="shared" si="185"/>
        <v>0.41666666666666663</v>
      </c>
      <c r="I1126" s="3">
        <f t="shared" si="186"/>
        <v>4.6666666666666655E-2</v>
      </c>
      <c r="J1126" s="3">
        <f t="shared" si="187"/>
        <v>4.1666666666666657E-2</v>
      </c>
      <c r="K1126" s="3"/>
      <c r="L1126" s="60">
        <f t="shared" si="188"/>
        <v>275.79361111111103</v>
      </c>
      <c r="M1126" s="40">
        <v>0</v>
      </c>
      <c r="N1126" s="40">
        <v>0</v>
      </c>
      <c r="O1126" s="40">
        <v>0</v>
      </c>
      <c r="P1126" s="40">
        <v>0</v>
      </c>
      <c r="Q1126" s="40">
        <v>0</v>
      </c>
      <c r="R1126" s="40">
        <v>0</v>
      </c>
      <c r="S1126" s="61">
        <f t="shared" si="189"/>
        <v>46.099999999999973</v>
      </c>
      <c r="T1126" s="40">
        <v>0</v>
      </c>
      <c r="U1126" s="40">
        <v>0</v>
      </c>
      <c r="V1126" s="40">
        <v>0</v>
      </c>
      <c r="W1126" s="40">
        <v>0</v>
      </c>
      <c r="X1126" s="67">
        <f t="shared" si="190"/>
        <v>151</v>
      </c>
      <c r="Z1126" s="71"/>
      <c r="AA1126" s="71"/>
      <c r="AB1126" s="67" t="str">
        <f t="shared" si="191"/>
        <v/>
      </c>
      <c r="AD1126" s="121"/>
      <c r="AE1126" s="121"/>
    </row>
    <row r="1127" spans="1:31" x14ac:dyDescent="0.25">
      <c r="A1127" s="105" t="s">
        <v>1149</v>
      </c>
      <c r="B1127" s="7">
        <v>0.16250000000000001</v>
      </c>
      <c r="C1127" s="3">
        <f t="shared" si="184"/>
        <v>2.4000000000000004</v>
      </c>
      <c r="D1127" s="10" t="s">
        <v>616</v>
      </c>
      <c r="E1127" s="40">
        <v>3</v>
      </c>
      <c r="F1127" s="40">
        <v>2.8</v>
      </c>
      <c r="G1127" s="40">
        <v>2.5</v>
      </c>
      <c r="H1127" s="3">
        <f t="shared" si="185"/>
        <v>0.30000000000000004</v>
      </c>
      <c r="I1127" s="3">
        <f t="shared" si="186"/>
        <v>0.28000000000000003</v>
      </c>
      <c r="J1127" s="3">
        <f t="shared" si="187"/>
        <v>0.25000000000000006</v>
      </c>
      <c r="K1127" s="3"/>
      <c r="L1127" s="60">
        <f t="shared" si="188"/>
        <v>274.96361111111105</v>
      </c>
      <c r="M1127" s="40">
        <v>0</v>
      </c>
      <c r="N1127" s="40">
        <v>0</v>
      </c>
      <c r="O1127" s="40">
        <v>0</v>
      </c>
      <c r="P1127" s="40">
        <v>0</v>
      </c>
      <c r="Q1127" s="40">
        <v>0</v>
      </c>
      <c r="R1127" s="40">
        <v>0</v>
      </c>
      <c r="S1127" s="61">
        <f t="shared" si="189"/>
        <v>46.099999999999973</v>
      </c>
      <c r="T1127" s="40">
        <v>0</v>
      </c>
      <c r="U1127" s="40">
        <v>0</v>
      </c>
      <c r="V1127" s="40">
        <v>0</v>
      </c>
      <c r="W1127" s="40">
        <v>0</v>
      </c>
      <c r="X1127" s="67">
        <f t="shared" si="190"/>
        <v>151</v>
      </c>
      <c r="Z1127" s="71"/>
      <c r="AA1127" s="71"/>
      <c r="AB1127" s="67" t="str">
        <f t="shared" si="191"/>
        <v/>
      </c>
      <c r="AD1127" s="121"/>
      <c r="AE1127" s="121"/>
    </row>
    <row r="1128" spans="1:31" x14ac:dyDescent="0.25">
      <c r="A1128" s="105" t="s">
        <v>1149</v>
      </c>
      <c r="B1128" s="65">
        <v>0.33333333333333331</v>
      </c>
      <c r="C1128" s="3">
        <f t="shared" si="184"/>
        <v>4.0999999999999996</v>
      </c>
      <c r="D1128" s="10" t="s">
        <v>1066</v>
      </c>
      <c r="E1128" s="40">
        <v>0</v>
      </c>
      <c r="F1128" s="40">
        <v>2.8</v>
      </c>
      <c r="G1128" s="40">
        <v>2.5</v>
      </c>
      <c r="H1128" s="3">
        <f t="shared" si="185"/>
        <v>0</v>
      </c>
      <c r="I1128" s="3">
        <f t="shared" si="186"/>
        <v>0.47833333333333322</v>
      </c>
      <c r="J1128" s="3">
        <f t="shared" si="187"/>
        <v>0.42708333333333331</v>
      </c>
      <c r="K1128" s="3"/>
      <c r="L1128" s="60">
        <f t="shared" si="188"/>
        <v>274.05819444444438</v>
      </c>
      <c r="M1128" s="40">
        <v>0</v>
      </c>
      <c r="N1128" s="40">
        <v>0</v>
      </c>
      <c r="O1128" s="40">
        <v>0</v>
      </c>
      <c r="P1128" s="40">
        <v>0</v>
      </c>
      <c r="Q1128" s="40">
        <v>0</v>
      </c>
      <c r="R1128" s="40">
        <v>0</v>
      </c>
      <c r="S1128" s="61">
        <f t="shared" si="189"/>
        <v>46.099999999999973</v>
      </c>
      <c r="T1128" s="40">
        <v>0</v>
      </c>
      <c r="U1128" s="40">
        <v>0</v>
      </c>
      <c r="V1128" s="40">
        <v>2</v>
      </c>
      <c r="W1128" s="40">
        <v>0</v>
      </c>
      <c r="X1128" s="67">
        <f t="shared" si="190"/>
        <v>149</v>
      </c>
      <c r="Z1128" s="71">
        <v>155</v>
      </c>
      <c r="AA1128" s="71">
        <v>77</v>
      </c>
      <c r="AB1128" s="67">
        <f t="shared" si="191"/>
        <v>232</v>
      </c>
      <c r="AD1128" s="121"/>
      <c r="AE1128" s="121"/>
    </row>
    <row r="1129" spans="1:31" x14ac:dyDescent="0.25">
      <c r="A1129" s="105" t="s">
        <v>1149</v>
      </c>
      <c r="B1129" s="7">
        <v>0.60833333333333328</v>
      </c>
      <c r="C1129" s="3">
        <f t="shared" si="184"/>
        <v>6.6</v>
      </c>
      <c r="D1129" s="10" t="s">
        <v>1049</v>
      </c>
      <c r="E1129" s="40">
        <v>0</v>
      </c>
      <c r="F1129" s="40">
        <v>2.8</v>
      </c>
      <c r="G1129" s="40">
        <v>3</v>
      </c>
      <c r="H1129" s="3">
        <f t="shared" si="185"/>
        <v>0</v>
      </c>
      <c r="I1129" s="3">
        <f t="shared" si="186"/>
        <v>0.76999999999999991</v>
      </c>
      <c r="J1129" s="3">
        <f t="shared" si="187"/>
        <v>0.82499999999999996</v>
      </c>
      <c r="K1129" s="3"/>
      <c r="L1129" s="60">
        <f t="shared" si="188"/>
        <v>272.46319444444435</v>
      </c>
      <c r="M1129" s="40">
        <v>0</v>
      </c>
      <c r="N1129" s="40">
        <v>0</v>
      </c>
      <c r="O1129" s="40">
        <v>0</v>
      </c>
      <c r="P1129" s="40">
        <v>0</v>
      </c>
      <c r="Q1129" s="40">
        <v>0</v>
      </c>
      <c r="R1129" s="40">
        <v>0</v>
      </c>
      <c r="S1129" s="61">
        <f t="shared" si="189"/>
        <v>46.099999999999973</v>
      </c>
      <c r="T1129" s="40">
        <v>0</v>
      </c>
      <c r="U1129" s="40">
        <v>0</v>
      </c>
      <c r="V1129" s="40">
        <v>0</v>
      </c>
      <c r="W1129" s="40">
        <v>0</v>
      </c>
      <c r="X1129" s="67">
        <f t="shared" si="190"/>
        <v>149</v>
      </c>
      <c r="Z1129" s="71"/>
      <c r="AA1129" s="71"/>
      <c r="AB1129" s="67" t="str">
        <f t="shared" si="191"/>
        <v/>
      </c>
      <c r="AD1129" s="121"/>
      <c r="AE1129" s="121"/>
    </row>
    <row r="1130" spans="1:31" x14ac:dyDescent="0.25">
      <c r="A1130" s="105" t="s">
        <v>1150</v>
      </c>
      <c r="B1130" s="65">
        <v>0.33333333333333331</v>
      </c>
      <c r="C1130" s="3">
        <f t="shared" si="184"/>
        <v>17.399999999999999</v>
      </c>
      <c r="D1130" s="10" t="s">
        <v>1051</v>
      </c>
      <c r="E1130" s="40">
        <v>0</v>
      </c>
      <c r="F1130" s="40">
        <v>2.8</v>
      </c>
      <c r="G1130" s="40">
        <v>2.5</v>
      </c>
      <c r="H1130" s="3">
        <f t="shared" si="185"/>
        <v>0</v>
      </c>
      <c r="I1130" s="3">
        <f t="shared" si="186"/>
        <v>2.0299999999999998</v>
      </c>
      <c r="J1130" s="3">
        <f t="shared" si="187"/>
        <v>1.8125</v>
      </c>
      <c r="K1130" s="3"/>
      <c r="L1130" s="60">
        <f t="shared" si="188"/>
        <v>268.62069444444438</v>
      </c>
      <c r="M1130" s="40">
        <v>0</v>
      </c>
      <c r="N1130" s="40">
        <v>0</v>
      </c>
      <c r="O1130" s="40">
        <v>0</v>
      </c>
      <c r="P1130" s="40">
        <v>0</v>
      </c>
      <c r="Q1130" s="40">
        <v>0</v>
      </c>
      <c r="R1130" s="40">
        <v>0</v>
      </c>
      <c r="S1130" s="61">
        <f t="shared" si="189"/>
        <v>46.099999999999973</v>
      </c>
      <c r="T1130" s="40">
        <v>0</v>
      </c>
      <c r="U1130" s="40">
        <v>0</v>
      </c>
      <c r="V1130" s="40">
        <v>6</v>
      </c>
      <c r="W1130" s="40">
        <v>0</v>
      </c>
      <c r="X1130" s="67">
        <f t="shared" si="190"/>
        <v>143</v>
      </c>
      <c r="Z1130" s="71">
        <v>152</v>
      </c>
      <c r="AA1130" s="71">
        <v>75</v>
      </c>
      <c r="AB1130" s="67">
        <f t="shared" si="191"/>
        <v>227</v>
      </c>
      <c r="AD1130" s="121"/>
      <c r="AE1130" s="121"/>
    </row>
    <row r="1131" spans="1:31" x14ac:dyDescent="0.25">
      <c r="A1131" s="105" t="s">
        <v>1151</v>
      </c>
      <c r="B1131" s="65">
        <v>0.33333333333333331</v>
      </c>
      <c r="C1131" s="3">
        <v>24</v>
      </c>
      <c r="D1131" s="10" t="s">
        <v>1051</v>
      </c>
      <c r="E1131" s="40">
        <v>0</v>
      </c>
      <c r="F1131" s="40">
        <v>2.8</v>
      </c>
      <c r="G1131" s="40">
        <v>2.5</v>
      </c>
      <c r="H1131" s="3">
        <f t="shared" si="185"/>
        <v>0</v>
      </c>
      <c r="I1131" s="3">
        <f t="shared" si="186"/>
        <v>2.8</v>
      </c>
      <c r="J1131" s="3">
        <f t="shared" si="187"/>
        <v>2.5</v>
      </c>
      <c r="K1131" s="3"/>
      <c r="L1131" s="60">
        <f t="shared" si="188"/>
        <v>263.32069444444437</v>
      </c>
      <c r="M1131" s="40">
        <v>0</v>
      </c>
      <c r="N1131" s="40">
        <v>0</v>
      </c>
      <c r="O1131" s="40">
        <v>0</v>
      </c>
      <c r="P1131" s="40">
        <v>0</v>
      </c>
      <c r="Q1131" s="40">
        <v>1</v>
      </c>
      <c r="R1131" s="40">
        <v>0</v>
      </c>
      <c r="S1131" s="61">
        <f t="shared" si="189"/>
        <v>45.099999999999973</v>
      </c>
      <c r="T1131" s="40">
        <v>0</v>
      </c>
      <c r="U1131" s="40">
        <v>0</v>
      </c>
      <c r="V1131" s="40">
        <v>5</v>
      </c>
      <c r="W1131" s="40">
        <v>0</v>
      </c>
      <c r="X1131" s="67">
        <f t="shared" si="190"/>
        <v>138</v>
      </c>
      <c r="Z1131" s="71">
        <v>151</v>
      </c>
      <c r="AA1131" s="71">
        <v>73</v>
      </c>
      <c r="AB1131" s="67">
        <f t="shared" si="191"/>
        <v>224</v>
      </c>
      <c r="AD1131" s="121"/>
      <c r="AE1131" s="121"/>
    </row>
    <row r="1132" spans="1:31" x14ac:dyDescent="0.25">
      <c r="A1132" s="107" t="s">
        <v>1152</v>
      </c>
      <c r="B1132" s="65">
        <v>0.33333333333333331</v>
      </c>
      <c r="C1132" s="3">
        <v>24</v>
      </c>
      <c r="D1132" s="10" t="s">
        <v>1051</v>
      </c>
      <c r="E1132" s="40">
        <v>0</v>
      </c>
      <c r="F1132" s="40">
        <v>2.8</v>
      </c>
      <c r="G1132" s="40">
        <v>2.5</v>
      </c>
      <c r="H1132" s="3">
        <f t="shared" si="185"/>
        <v>0</v>
      </c>
      <c r="I1132" s="3">
        <f t="shared" si="186"/>
        <v>2.8</v>
      </c>
      <c r="J1132" s="3">
        <f t="shared" si="187"/>
        <v>2.5</v>
      </c>
      <c r="K1132" s="3"/>
      <c r="L1132" s="60">
        <f t="shared" si="188"/>
        <v>258.02069444444436</v>
      </c>
      <c r="M1132" s="40">
        <v>0</v>
      </c>
      <c r="N1132" s="40">
        <v>0</v>
      </c>
      <c r="O1132" s="40">
        <v>0</v>
      </c>
      <c r="P1132" s="40">
        <v>0</v>
      </c>
      <c r="Q1132" s="40">
        <v>0</v>
      </c>
      <c r="R1132" s="40">
        <v>0</v>
      </c>
      <c r="S1132" s="61">
        <f t="shared" si="189"/>
        <v>45.099999999999973</v>
      </c>
      <c r="T1132" s="40">
        <v>0</v>
      </c>
      <c r="U1132" s="40">
        <v>0</v>
      </c>
      <c r="V1132" s="40">
        <v>6</v>
      </c>
      <c r="W1132" s="40">
        <v>0</v>
      </c>
      <c r="X1132" s="67">
        <f t="shared" si="190"/>
        <v>132</v>
      </c>
      <c r="Z1132" s="71">
        <v>145</v>
      </c>
      <c r="AA1132" s="71">
        <v>73</v>
      </c>
      <c r="AB1132" s="67">
        <f t="shared" si="191"/>
        <v>218</v>
      </c>
      <c r="AD1132" s="121"/>
      <c r="AE1132" s="121"/>
    </row>
    <row r="1133" spans="1:31" x14ac:dyDescent="0.25">
      <c r="A1133" s="105" t="s">
        <v>1152</v>
      </c>
      <c r="B1133" s="7">
        <v>0.4291666666666667</v>
      </c>
      <c r="C1133" s="3">
        <f t="shared" si="184"/>
        <v>2.3000000000000012</v>
      </c>
      <c r="D1133" s="10" t="s">
        <v>1090</v>
      </c>
      <c r="E1133" s="40">
        <v>0</v>
      </c>
      <c r="F1133" s="40">
        <v>2.8</v>
      </c>
      <c r="G1133" s="40">
        <v>2.5</v>
      </c>
      <c r="H1133" s="3">
        <f t="shared" si="185"/>
        <v>0</v>
      </c>
      <c r="I1133" s="3">
        <f t="shared" si="186"/>
        <v>0.26833333333333342</v>
      </c>
      <c r="J1133" s="3">
        <f t="shared" si="187"/>
        <v>0.23958333333333345</v>
      </c>
      <c r="K1133" s="3"/>
      <c r="L1133" s="60">
        <f t="shared" si="188"/>
        <v>257.51277777777767</v>
      </c>
      <c r="M1133" s="40">
        <v>0</v>
      </c>
      <c r="N1133" s="40">
        <v>0</v>
      </c>
      <c r="O1133" s="40">
        <v>0</v>
      </c>
      <c r="P1133" s="40">
        <v>0</v>
      </c>
      <c r="Q1133" s="40">
        <v>0</v>
      </c>
      <c r="R1133" s="40">
        <v>0</v>
      </c>
      <c r="S1133" s="61">
        <f t="shared" si="189"/>
        <v>45.099999999999973</v>
      </c>
      <c r="T1133" s="40">
        <v>0</v>
      </c>
      <c r="U1133" s="40">
        <v>0</v>
      </c>
      <c r="V1133" s="40">
        <v>0</v>
      </c>
      <c r="W1133" s="40">
        <v>0</v>
      </c>
      <c r="X1133" s="67">
        <f t="shared" si="190"/>
        <v>132</v>
      </c>
      <c r="Z1133" s="71"/>
      <c r="AA1133" s="71"/>
      <c r="AB1133" s="67" t="str">
        <f t="shared" si="191"/>
        <v/>
      </c>
      <c r="AD1133" s="121"/>
      <c r="AE1133" s="121"/>
    </row>
    <row r="1134" spans="1:31" x14ac:dyDescent="0.25">
      <c r="A1134" s="105" t="s">
        <v>1152</v>
      </c>
      <c r="B1134" s="7">
        <v>0.71250000000000002</v>
      </c>
      <c r="C1134" s="3">
        <f t="shared" si="184"/>
        <v>6.8</v>
      </c>
      <c r="D1134" s="10" t="s">
        <v>1011</v>
      </c>
      <c r="E1134" s="40">
        <v>0</v>
      </c>
      <c r="F1134" s="40">
        <v>2.8</v>
      </c>
      <c r="G1134" s="40">
        <v>2.5</v>
      </c>
      <c r="H1134" s="3">
        <f t="shared" si="185"/>
        <v>0</v>
      </c>
      <c r="I1134" s="3">
        <f t="shared" si="186"/>
        <v>0.79333333333333322</v>
      </c>
      <c r="J1134" s="3">
        <f t="shared" si="187"/>
        <v>0.70833333333333337</v>
      </c>
      <c r="K1134" s="3"/>
      <c r="L1134" s="60">
        <f t="shared" si="188"/>
        <v>256.01111111111101</v>
      </c>
      <c r="M1134" s="40">
        <v>0</v>
      </c>
      <c r="N1134" s="40">
        <v>0</v>
      </c>
      <c r="O1134" s="40">
        <v>0</v>
      </c>
      <c r="P1134" s="40">
        <v>0</v>
      </c>
      <c r="Q1134" s="40">
        <v>0</v>
      </c>
      <c r="R1134" s="40">
        <v>0</v>
      </c>
      <c r="S1134" s="61">
        <f t="shared" si="189"/>
        <v>45.099999999999973</v>
      </c>
      <c r="T1134" s="40">
        <v>0</v>
      </c>
      <c r="U1134" s="40">
        <v>0</v>
      </c>
      <c r="V1134" s="40">
        <v>0</v>
      </c>
      <c r="W1134" s="40">
        <v>0</v>
      </c>
      <c r="X1134" s="67">
        <f t="shared" si="190"/>
        <v>132</v>
      </c>
      <c r="Z1134" s="71"/>
      <c r="AA1134" s="71"/>
      <c r="AB1134" s="67" t="str">
        <f t="shared" si="191"/>
        <v/>
      </c>
      <c r="AD1134" s="121"/>
      <c r="AE1134" s="121"/>
    </row>
    <row r="1135" spans="1:31" x14ac:dyDescent="0.25">
      <c r="A1135" s="105" t="s">
        <v>1152</v>
      </c>
      <c r="B1135" s="7">
        <v>0.7416666666666667</v>
      </c>
      <c r="C1135" s="3">
        <f t="shared" si="184"/>
        <v>0.70000000000000018</v>
      </c>
      <c r="D1135" s="10" t="s">
        <v>1026</v>
      </c>
      <c r="E1135" s="40">
        <v>15</v>
      </c>
      <c r="F1135" s="40">
        <v>2.8</v>
      </c>
      <c r="G1135" s="40">
        <v>2.5</v>
      </c>
      <c r="H1135" s="3">
        <f t="shared" si="185"/>
        <v>0.43750000000000011</v>
      </c>
      <c r="I1135" s="3">
        <f t="shared" si="186"/>
        <v>8.1666666666666679E-2</v>
      </c>
      <c r="J1135" s="3">
        <f t="shared" si="187"/>
        <v>7.2916666666666685E-2</v>
      </c>
      <c r="K1135" s="3"/>
      <c r="L1135" s="60">
        <f t="shared" si="188"/>
        <v>255.41902777777767</v>
      </c>
      <c r="M1135" s="40">
        <v>0</v>
      </c>
      <c r="N1135" s="40">
        <v>0</v>
      </c>
      <c r="O1135" s="40">
        <v>0</v>
      </c>
      <c r="P1135" s="40">
        <v>0</v>
      </c>
      <c r="Q1135" s="40">
        <v>0</v>
      </c>
      <c r="R1135" s="40">
        <v>0</v>
      </c>
      <c r="S1135" s="61">
        <f t="shared" si="189"/>
        <v>45.099999999999973</v>
      </c>
      <c r="T1135" s="40">
        <v>0</v>
      </c>
      <c r="U1135" s="40">
        <v>0</v>
      </c>
      <c r="V1135" s="40">
        <v>0</v>
      </c>
      <c r="W1135" s="40">
        <v>0</v>
      </c>
      <c r="X1135" s="67">
        <f t="shared" si="190"/>
        <v>132</v>
      </c>
      <c r="Z1135" s="71"/>
      <c r="AA1135" s="71"/>
      <c r="AB1135" s="67" t="str">
        <f t="shared" si="191"/>
        <v/>
      </c>
      <c r="AD1135" s="121"/>
      <c r="AE1135" s="121"/>
    </row>
    <row r="1136" spans="1:31" x14ac:dyDescent="0.25">
      <c r="A1136" s="105" t="s">
        <v>1153</v>
      </c>
      <c r="B1136" s="65">
        <v>0.33333333333333331</v>
      </c>
      <c r="C1136" s="3">
        <f t="shared" si="184"/>
        <v>14.2</v>
      </c>
      <c r="D1136" s="10" t="s">
        <v>355</v>
      </c>
      <c r="E1136" s="40">
        <v>25</v>
      </c>
      <c r="F1136" s="40">
        <v>2.8</v>
      </c>
      <c r="G1136" s="40">
        <v>2.5</v>
      </c>
      <c r="H1136" s="3">
        <f t="shared" si="185"/>
        <v>14.791666666666668</v>
      </c>
      <c r="I1136" s="3">
        <f t="shared" si="186"/>
        <v>1.6566666666666665</v>
      </c>
      <c r="J1136" s="3">
        <f t="shared" si="187"/>
        <v>1.4791666666666667</v>
      </c>
      <c r="K1136" s="3"/>
      <c r="L1136" s="60">
        <f t="shared" si="188"/>
        <v>237.49152777777766</v>
      </c>
      <c r="M1136" s="40">
        <v>0</v>
      </c>
      <c r="N1136" s="40">
        <v>0</v>
      </c>
      <c r="O1136" s="40">
        <v>0</v>
      </c>
      <c r="P1136" s="40">
        <v>0</v>
      </c>
      <c r="Q1136" s="40">
        <v>0</v>
      </c>
      <c r="R1136" s="40">
        <v>0</v>
      </c>
      <c r="S1136" s="61">
        <f t="shared" si="189"/>
        <v>45.099999999999973</v>
      </c>
      <c r="T1136" s="40">
        <v>5</v>
      </c>
      <c r="U1136" s="40">
        <v>0</v>
      </c>
      <c r="V1136" s="40">
        <v>5</v>
      </c>
      <c r="W1136" s="40">
        <v>0</v>
      </c>
      <c r="X1136" s="67">
        <f t="shared" si="190"/>
        <v>132</v>
      </c>
      <c r="Z1136" s="71">
        <v>143</v>
      </c>
      <c r="AA1136" s="71">
        <v>73</v>
      </c>
      <c r="AB1136" s="67">
        <f t="shared" si="191"/>
        <v>216</v>
      </c>
      <c r="AD1136" s="121"/>
      <c r="AE1136" s="121"/>
    </row>
    <row r="1137" spans="1:31" x14ac:dyDescent="0.25">
      <c r="A1137" s="105" t="s">
        <v>1154</v>
      </c>
      <c r="B1137" s="7">
        <v>1</v>
      </c>
      <c r="C1137" s="3">
        <f t="shared" si="184"/>
        <v>16</v>
      </c>
      <c r="D1137" s="10" t="s">
        <v>201</v>
      </c>
      <c r="E1137" s="40">
        <v>25</v>
      </c>
      <c r="F1137" s="40">
        <v>2.8</v>
      </c>
      <c r="G1137" s="40">
        <v>2.5</v>
      </c>
      <c r="H1137" s="3">
        <f t="shared" si="185"/>
        <v>16.666666666666668</v>
      </c>
      <c r="I1137" s="3">
        <f t="shared" si="186"/>
        <v>1.8666666666666665</v>
      </c>
      <c r="J1137" s="3">
        <f t="shared" si="187"/>
        <v>1.6666666666666667</v>
      </c>
      <c r="K1137" s="3"/>
      <c r="L1137" s="60">
        <f t="shared" si="188"/>
        <v>217.29152777777767</v>
      </c>
      <c r="M1137" s="40">
        <v>0</v>
      </c>
      <c r="N1137" s="40">
        <v>0</v>
      </c>
      <c r="O1137" s="40">
        <v>0</v>
      </c>
      <c r="P1137" s="40">
        <v>0</v>
      </c>
      <c r="Q1137" s="40">
        <v>0</v>
      </c>
      <c r="R1137" s="40">
        <v>0</v>
      </c>
      <c r="S1137" s="61">
        <f t="shared" si="189"/>
        <v>45.099999999999973</v>
      </c>
      <c r="T1137" s="40">
        <v>3</v>
      </c>
      <c r="U1137" s="40">
        <v>0</v>
      </c>
      <c r="V1137" s="40">
        <v>3</v>
      </c>
      <c r="W1137" s="40">
        <v>0</v>
      </c>
      <c r="X1137" s="67">
        <f t="shared" si="190"/>
        <v>132</v>
      </c>
      <c r="Z1137" s="71"/>
      <c r="AA1137" s="71"/>
      <c r="AB1137" s="67" t="str">
        <f t="shared" si="191"/>
        <v/>
      </c>
      <c r="AD1137" s="121">
        <v>11.3</v>
      </c>
      <c r="AE1137" s="121" t="s">
        <v>1296</v>
      </c>
    </row>
    <row r="1138" spans="1:31" x14ac:dyDescent="0.25">
      <c r="A1138" s="105" t="s">
        <v>1154</v>
      </c>
      <c r="B1138" s="7">
        <v>4.1666666666666664E-2</v>
      </c>
      <c r="C1138" s="3">
        <f t="shared" ref="C1138:C1201" si="192">+IF((B1138-B1137)&lt;0,((B1138-B1137)*24)+24,(B1138-B1137)*24)</f>
        <v>1</v>
      </c>
      <c r="D1138" s="10" t="s">
        <v>616</v>
      </c>
      <c r="E1138" s="40">
        <v>8</v>
      </c>
      <c r="F1138" s="40">
        <v>2.8</v>
      </c>
      <c r="G1138" s="40">
        <v>3</v>
      </c>
      <c r="H1138" s="3">
        <f t="shared" ref="H1138:H1201" si="193">+IF(E1138="","",(E1138/24)*C1138)</f>
        <v>0.33333333333333331</v>
      </c>
      <c r="I1138" s="3">
        <f t="shared" ref="I1138:I1201" si="194">+IF(F1138="","",(F1138/24)*C1138)</f>
        <v>0.11666666666666665</v>
      </c>
      <c r="J1138" s="3">
        <f t="shared" ref="J1138:J1201" si="195">+IF(G1138="","",(G1138/24)*C1138)</f>
        <v>0.125</v>
      </c>
      <c r="K1138" s="3"/>
      <c r="L1138" s="60">
        <f t="shared" ref="L1138:L1201" si="196">+IF(C1138="","",(L1137+K1138)-(H1138+I1138+J1138))</f>
        <v>216.71652777777769</v>
      </c>
      <c r="M1138" s="40">
        <v>0</v>
      </c>
      <c r="N1138" s="40">
        <v>0</v>
      </c>
      <c r="O1138" s="40">
        <v>0</v>
      </c>
      <c r="P1138" s="40">
        <v>0</v>
      </c>
      <c r="Q1138" s="40">
        <v>0</v>
      </c>
      <c r="R1138" s="40">
        <v>0</v>
      </c>
      <c r="S1138" s="61">
        <f t="shared" ref="S1138:S1201" si="197">IF(C1138="","",(S1137+R1138)-(M1138+N1138+O1138+P1138+Q1138))</f>
        <v>45.099999999999973</v>
      </c>
      <c r="T1138" s="40">
        <v>0</v>
      </c>
      <c r="U1138" s="40">
        <v>0</v>
      </c>
      <c r="V1138" s="40">
        <v>0</v>
      </c>
      <c r="W1138" s="40">
        <v>0</v>
      </c>
      <c r="X1138" s="67">
        <f t="shared" ref="X1138:X1201" si="198">IF(V1138="","",((X1137+T1138+U1138)-(V1138+W1138)))</f>
        <v>132</v>
      </c>
      <c r="Z1138" s="71"/>
      <c r="AA1138" s="71"/>
      <c r="AB1138" s="67" t="str">
        <f t="shared" ref="AB1138:AB1201" si="199">IF(Z1138="","",Z1138+AA1138)</f>
        <v/>
      </c>
      <c r="AD1138" s="121"/>
      <c r="AE1138" s="121"/>
    </row>
    <row r="1139" spans="1:31" x14ac:dyDescent="0.25">
      <c r="A1139" s="105" t="s">
        <v>1154</v>
      </c>
      <c r="B1139" s="65">
        <v>0.33333333333333331</v>
      </c>
      <c r="C1139" s="3">
        <f t="shared" si="192"/>
        <v>6.9999999999999991</v>
      </c>
      <c r="D1139" s="10" t="s">
        <v>351</v>
      </c>
      <c r="E1139" s="40">
        <v>0</v>
      </c>
      <c r="F1139" s="40">
        <v>2.8</v>
      </c>
      <c r="G1139" s="40">
        <v>2.5</v>
      </c>
      <c r="H1139" s="3">
        <f t="shared" si="193"/>
        <v>0</v>
      </c>
      <c r="I1139" s="3">
        <f t="shared" si="194"/>
        <v>0.81666666666666643</v>
      </c>
      <c r="J1139" s="3">
        <f t="shared" si="195"/>
        <v>0.72916666666666663</v>
      </c>
      <c r="K1139" s="3"/>
      <c r="L1139" s="60">
        <f t="shared" si="196"/>
        <v>215.17069444444436</v>
      </c>
      <c r="M1139" s="40">
        <v>0</v>
      </c>
      <c r="N1139" s="40">
        <v>0</v>
      </c>
      <c r="O1139" s="40">
        <v>0</v>
      </c>
      <c r="P1139" s="40">
        <v>0</v>
      </c>
      <c r="Q1139" s="40">
        <v>0</v>
      </c>
      <c r="R1139" s="40">
        <v>0</v>
      </c>
      <c r="S1139" s="61">
        <f t="shared" si="197"/>
        <v>45.099999999999973</v>
      </c>
      <c r="T1139" s="40">
        <v>0</v>
      </c>
      <c r="U1139" s="40">
        <v>0</v>
      </c>
      <c r="V1139" s="40">
        <v>3</v>
      </c>
      <c r="W1139" s="40">
        <v>0</v>
      </c>
      <c r="X1139" s="67">
        <f t="shared" si="198"/>
        <v>129</v>
      </c>
      <c r="Z1139" s="71"/>
      <c r="AA1139" s="71"/>
      <c r="AB1139" s="67" t="str">
        <f t="shared" si="199"/>
        <v/>
      </c>
      <c r="AD1139" s="121"/>
      <c r="AE1139" s="121"/>
    </row>
    <row r="1140" spans="1:31" x14ac:dyDescent="0.25">
      <c r="A1140" s="105" t="s">
        <v>1154</v>
      </c>
      <c r="B1140" s="7">
        <v>0.54999999999999993</v>
      </c>
      <c r="C1140" s="3">
        <f t="shared" si="192"/>
        <v>5.1999999999999993</v>
      </c>
      <c r="D1140" s="10" t="s">
        <v>1011</v>
      </c>
      <c r="E1140" s="40">
        <v>0</v>
      </c>
      <c r="F1140" s="40">
        <v>2.5</v>
      </c>
      <c r="G1140" s="40">
        <v>6</v>
      </c>
      <c r="H1140" s="3">
        <f t="shared" si="193"/>
        <v>0</v>
      </c>
      <c r="I1140" s="3">
        <f t="shared" si="194"/>
        <v>0.54166666666666663</v>
      </c>
      <c r="J1140" s="3">
        <f t="shared" si="195"/>
        <v>1.2999999999999998</v>
      </c>
      <c r="K1140" s="3"/>
      <c r="L1140" s="60">
        <f t="shared" si="196"/>
        <v>213.3290277777777</v>
      </c>
      <c r="M1140" s="40">
        <v>0</v>
      </c>
      <c r="N1140" s="40">
        <v>0</v>
      </c>
      <c r="O1140" s="40">
        <v>0</v>
      </c>
      <c r="P1140" s="40">
        <v>0</v>
      </c>
      <c r="Q1140" s="40">
        <v>0</v>
      </c>
      <c r="R1140" s="40">
        <v>0</v>
      </c>
      <c r="S1140" s="61">
        <f t="shared" si="197"/>
        <v>45.099999999999973</v>
      </c>
      <c r="T1140" s="40">
        <v>0</v>
      </c>
      <c r="U1140" s="40">
        <v>0</v>
      </c>
      <c r="V1140" s="40">
        <v>0</v>
      </c>
      <c r="W1140" s="40">
        <v>0</v>
      </c>
      <c r="X1140" s="67">
        <f t="shared" si="198"/>
        <v>129</v>
      </c>
      <c r="Z1140" s="71"/>
      <c r="AA1140" s="71"/>
      <c r="AB1140" s="67" t="str">
        <f t="shared" si="199"/>
        <v/>
      </c>
      <c r="AD1140" s="121"/>
      <c r="AE1140" s="121"/>
    </row>
    <row r="1141" spans="1:31" x14ac:dyDescent="0.25">
      <c r="A1141" s="105" t="s">
        <v>1154</v>
      </c>
      <c r="B1141" s="7">
        <v>0.62083333333333335</v>
      </c>
      <c r="C1141" s="3">
        <f t="shared" si="192"/>
        <v>1.700000000000002</v>
      </c>
      <c r="D1141" s="10" t="s">
        <v>616</v>
      </c>
      <c r="E1141" s="40">
        <v>5</v>
      </c>
      <c r="F1141" s="40">
        <v>2.5</v>
      </c>
      <c r="G1141" s="40">
        <v>6</v>
      </c>
      <c r="H1141" s="3">
        <f t="shared" si="193"/>
        <v>0.35416666666666707</v>
      </c>
      <c r="I1141" s="3">
        <f t="shared" si="194"/>
        <v>0.17708333333333354</v>
      </c>
      <c r="J1141" s="3">
        <f t="shared" si="195"/>
        <v>0.42500000000000049</v>
      </c>
      <c r="K1141" s="3"/>
      <c r="L1141" s="60">
        <f t="shared" si="196"/>
        <v>212.37277777777769</v>
      </c>
      <c r="M1141" s="40">
        <v>0</v>
      </c>
      <c r="N1141" s="40">
        <v>0</v>
      </c>
      <c r="O1141" s="40">
        <v>0</v>
      </c>
      <c r="P1141" s="40">
        <v>0</v>
      </c>
      <c r="Q1141" s="40">
        <v>0</v>
      </c>
      <c r="R1141" s="40">
        <v>0</v>
      </c>
      <c r="S1141" s="61">
        <f t="shared" si="197"/>
        <v>45.099999999999973</v>
      </c>
      <c r="T1141" s="40">
        <v>0</v>
      </c>
      <c r="U1141" s="40">
        <v>0</v>
      </c>
      <c r="V1141" s="40">
        <v>0</v>
      </c>
      <c r="W1141" s="40">
        <v>0</v>
      </c>
      <c r="X1141" s="67">
        <f t="shared" si="198"/>
        <v>129</v>
      </c>
      <c r="Z1141" s="71"/>
      <c r="AA1141" s="71"/>
      <c r="AB1141" s="67" t="str">
        <f t="shared" si="199"/>
        <v/>
      </c>
      <c r="AD1141" s="121"/>
      <c r="AE1141" s="121"/>
    </row>
    <row r="1142" spans="1:31" x14ac:dyDescent="0.25">
      <c r="A1142" s="105" t="s">
        <v>1154</v>
      </c>
      <c r="B1142" s="7">
        <v>0.83750000000000002</v>
      </c>
      <c r="C1142" s="3">
        <f t="shared" si="192"/>
        <v>5.2</v>
      </c>
      <c r="D1142" s="10" t="s">
        <v>1004</v>
      </c>
      <c r="E1142" s="40">
        <v>0</v>
      </c>
      <c r="F1142" s="40">
        <v>2.5</v>
      </c>
      <c r="G1142" s="40">
        <v>6</v>
      </c>
      <c r="H1142" s="3">
        <f t="shared" si="193"/>
        <v>0</v>
      </c>
      <c r="I1142" s="3">
        <f t="shared" si="194"/>
        <v>0.54166666666666674</v>
      </c>
      <c r="J1142" s="3">
        <f t="shared" si="195"/>
        <v>1.3</v>
      </c>
      <c r="K1142" s="3"/>
      <c r="L1142" s="60">
        <f t="shared" si="196"/>
        <v>210.53111111111102</v>
      </c>
      <c r="M1142" s="40">
        <v>0</v>
      </c>
      <c r="N1142" s="40">
        <v>0</v>
      </c>
      <c r="O1142" s="40">
        <v>0</v>
      </c>
      <c r="P1142" s="40">
        <v>0</v>
      </c>
      <c r="Q1142" s="40">
        <v>0</v>
      </c>
      <c r="R1142" s="40">
        <v>0</v>
      </c>
      <c r="S1142" s="61">
        <f t="shared" si="197"/>
        <v>45.099999999999973</v>
      </c>
      <c r="T1142" s="40">
        <v>0</v>
      </c>
      <c r="U1142" s="40">
        <v>0</v>
      </c>
      <c r="V1142" s="40">
        <v>0</v>
      </c>
      <c r="W1142" s="40">
        <v>0</v>
      </c>
      <c r="X1142" s="67">
        <f t="shared" si="198"/>
        <v>129</v>
      </c>
      <c r="Z1142" s="71"/>
      <c r="AA1142" s="71"/>
      <c r="AB1142" s="67" t="str">
        <f t="shared" si="199"/>
        <v/>
      </c>
      <c r="AD1142" s="121"/>
      <c r="AE1142" s="121"/>
    </row>
    <row r="1143" spans="1:31" x14ac:dyDescent="0.25">
      <c r="A1143" s="105" t="s">
        <v>1155</v>
      </c>
      <c r="B1143" s="65">
        <v>0.33333333333333331</v>
      </c>
      <c r="C1143" s="3">
        <f t="shared" si="192"/>
        <v>11.9</v>
      </c>
      <c r="D1143" s="10" t="s">
        <v>966</v>
      </c>
      <c r="E1143" s="40">
        <v>0</v>
      </c>
      <c r="F1143" s="40">
        <v>2.5</v>
      </c>
      <c r="G1143" s="40">
        <v>6</v>
      </c>
      <c r="H1143" s="3">
        <f t="shared" si="193"/>
        <v>0</v>
      </c>
      <c r="I1143" s="3">
        <f t="shared" si="194"/>
        <v>1.2395833333333335</v>
      </c>
      <c r="J1143" s="3">
        <f t="shared" si="195"/>
        <v>2.9750000000000001</v>
      </c>
      <c r="K1143" s="3"/>
      <c r="L1143" s="60">
        <f t="shared" si="196"/>
        <v>206.31652777777768</v>
      </c>
      <c r="M1143" s="40">
        <v>0</v>
      </c>
      <c r="N1143" s="40">
        <v>0</v>
      </c>
      <c r="O1143" s="40">
        <v>0</v>
      </c>
      <c r="P1143" s="40">
        <v>0</v>
      </c>
      <c r="Q1143" s="40">
        <v>3</v>
      </c>
      <c r="R1143" s="40">
        <v>0</v>
      </c>
      <c r="S1143" s="61">
        <f t="shared" si="197"/>
        <v>42.099999999999973</v>
      </c>
      <c r="T1143" s="40">
        <v>0</v>
      </c>
      <c r="U1143" s="40">
        <v>0</v>
      </c>
      <c r="V1143" s="40">
        <v>6</v>
      </c>
      <c r="W1143" s="40">
        <v>0</v>
      </c>
      <c r="X1143" s="67">
        <f t="shared" si="198"/>
        <v>123</v>
      </c>
      <c r="Z1143" s="71"/>
      <c r="AA1143" s="71"/>
      <c r="AB1143" s="67" t="str">
        <f t="shared" si="199"/>
        <v/>
      </c>
      <c r="AD1143" s="121"/>
      <c r="AE1143" s="121"/>
    </row>
    <row r="1144" spans="1:31" x14ac:dyDescent="0.25">
      <c r="A1144" s="105" t="s">
        <v>1155</v>
      </c>
      <c r="B1144" s="7">
        <v>0.95833333333333337</v>
      </c>
      <c r="C1144" s="3">
        <f t="shared" si="192"/>
        <v>15</v>
      </c>
      <c r="D1144" s="10" t="s">
        <v>1142</v>
      </c>
      <c r="E1144" s="40">
        <v>0</v>
      </c>
      <c r="F1144" s="40">
        <v>2.5</v>
      </c>
      <c r="G1144" s="40">
        <v>6</v>
      </c>
      <c r="H1144" s="3">
        <f t="shared" si="193"/>
        <v>0</v>
      </c>
      <c r="I1144" s="3">
        <f t="shared" si="194"/>
        <v>1.5625</v>
      </c>
      <c r="J1144" s="3">
        <f t="shared" si="195"/>
        <v>3.75</v>
      </c>
      <c r="K1144" s="3"/>
      <c r="L1144" s="60">
        <f t="shared" si="196"/>
        <v>201.00402777777768</v>
      </c>
      <c r="M1144" s="40">
        <v>0</v>
      </c>
      <c r="N1144" s="40">
        <v>0</v>
      </c>
      <c r="O1144" s="40">
        <v>0</v>
      </c>
      <c r="P1144" s="40">
        <v>0</v>
      </c>
      <c r="Q1144" s="40">
        <v>3.7</v>
      </c>
      <c r="R1144" s="40">
        <v>0</v>
      </c>
      <c r="S1144" s="61">
        <f t="shared" si="197"/>
        <v>38.39999999999997</v>
      </c>
      <c r="T1144" s="40">
        <v>0</v>
      </c>
      <c r="U1144" s="40">
        <v>0</v>
      </c>
      <c r="V1144" s="40">
        <v>0</v>
      </c>
      <c r="W1144" s="40">
        <v>0</v>
      </c>
      <c r="X1144" s="67">
        <f t="shared" si="198"/>
        <v>123</v>
      </c>
      <c r="Z1144" s="71"/>
      <c r="AA1144" s="71"/>
      <c r="AB1144" s="67" t="str">
        <f t="shared" si="199"/>
        <v/>
      </c>
      <c r="AD1144" s="121"/>
      <c r="AE1144" s="121"/>
    </row>
    <row r="1145" spans="1:31" x14ac:dyDescent="0.25">
      <c r="A1145" s="105" t="s">
        <v>1156</v>
      </c>
      <c r="B1145" s="7">
        <v>0.12916666666666668</v>
      </c>
      <c r="C1145" s="3">
        <f t="shared" si="192"/>
        <v>4.0999999999999979</v>
      </c>
      <c r="D1145" s="10" t="s">
        <v>1011</v>
      </c>
      <c r="E1145" s="40">
        <v>0</v>
      </c>
      <c r="F1145" s="40">
        <v>2.5</v>
      </c>
      <c r="G1145" s="40">
        <v>6</v>
      </c>
      <c r="H1145" s="3">
        <f t="shared" si="193"/>
        <v>0</v>
      </c>
      <c r="I1145" s="3">
        <f t="shared" si="194"/>
        <v>0.42708333333333315</v>
      </c>
      <c r="J1145" s="3">
        <f t="shared" si="195"/>
        <v>1.0249999999999995</v>
      </c>
      <c r="K1145" s="3"/>
      <c r="L1145" s="60">
        <f t="shared" si="196"/>
        <v>199.55194444444436</v>
      </c>
      <c r="M1145" s="40">
        <v>0</v>
      </c>
      <c r="N1145" s="40">
        <v>0</v>
      </c>
      <c r="O1145" s="40">
        <v>0</v>
      </c>
      <c r="P1145" s="40">
        <v>0</v>
      </c>
      <c r="Q1145" s="40">
        <v>0</v>
      </c>
      <c r="R1145" s="40">
        <v>0</v>
      </c>
      <c r="S1145" s="61">
        <f t="shared" si="197"/>
        <v>38.39999999999997</v>
      </c>
      <c r="T1145" s="40">
        <v>0</v>
      </c>
      <c r="U1145" s="40">
        <v>0</v>
      </c>
      <c r="V1145" s="40">
        <v>0</v>
      </c>
      <c r="W1145" s="40">
        <v>0</v>
      </c>
      <c r="X1145" s="67">
        <f t="shared" si="198"/>
        <v>123</v>
      </c>
      <c r="Z1145" s="71"/>
      <c r="AA1145" s="71"/>
      <c r="AB1145" s="67" t="str">
        <f t="shared" si="199"/>
        <v/>
      </c>
      <c r="AD1145" s="121"/>
      <c r="AE1145" s="121"/>
    </row>
    <row r="1146" spans="1:31" ht="15.75" customHeight="1" x14ac:dyDescent="0.25">
      <c r="A1146" s="105" t="s">
        <v>1156</v>
      </c>
      <c r="B1146" s="7">
        <v>0.16666666666666666</v>
      </c>
      <c r="C1146" s="3">
        <f t="shared" si="192"/>
        <v>0.89999999999999947</v>
      </c>
      <c r="D1146" s="10" t="s">
        <v>1026</v>
      </c>
      <c r="E1146" s="40">
        <v>5</v>
      </c>
      <c r="F1146" s="40">
        <v>2.5</v>
      </c>
      <c r="G1146" s="40">
        <v>6</v>
      </c>
      <c r="H1146" s="3">
        <f t="shared" si="193"/>
        <v>0.18749999999999989</v>
      </c>
      <c r="I1146" s="3">
        <f t="shared" si="194"/>
        <v>9.3749999999999944E-2</v>
      </c>
      <c r="J1146" s="3">
        <f t="shared" si="195"/>
        <v>0.22499999999999987</v>
      </c>
      <c r="K1146" s="3"/>
      <c r="L1146" s="60">
        <f t="shared" si="196"/>
        <v>199.04569444444436</v>
      </c>
      <c r="M1146" s="40">
        <v>0</v>
      </c>
      <c r="N1146" s="40">
        <v>0</v>
      </c>
      <c r="O1146" s="40">
        <v>0</v>
      </c>
      <c r="P1146" s="40">
        <v>0</v>
      </c>
      <c r="Q1146" s="40">
        <v>0</v>
      </c>
      <c r="R1146" s="40">
        <v>0</v>
      </c>
      <c r="S1146" s="61">
        <f t="shared" si="197"/>
        <v>38.39999999999997</v>
      </c>
      <c r="T1146" s="40">
        <v>0</v>
      </c>
      <c r="U1146" s="40">
        <v>0</v>
      </c>
      <c r="V1146" s="40">
        <v>4</v>
      </c>
      <c r="W1146" s="40">
        <v>0</v>
      </c>
      <c r="X1146" s="67">
        <f t="shared" si="198"/>
        <v>119</v>
      </c>
      <c r="Z1146" s="71"/>
      <c r="AA1146" s="71"/>
      <c r="AB1146" s="67" t="str">
        <f t="shared" si="199"/>
        <v/>
      </c>
      <c r="AD1146" s="121"/>
      <c r="AE1146" s="121"/>
    </row>
    <row r="1147" spans="1:31" x14ac:dyDescent="0.25">
      <c r="A1147" s="105" t="s">
        <v>1156</v>
      </c>
      <c r="B1147" s="65">
        <v>0.33333333333333331</v>
      </c>
      <c r="C1147" s="3">
        <f t="shared" si="192"/>
        <v>4</v>
      </c>
      <c r="D1147" s="10" t="s">
        <v>355</v>
      </c>
      <c r="E1147" s="40">
        <v>24</v>
      </c>
      <c r="F1147" s="40">
        <v>2.5</v>
      </c>
      <c r="G1147" s="40">
        <v>6</v>
      </c>
      <c r="H1147" s="3">
        <f t="shared" si="193"/>
        <v>4</v>
      </c>
      <c r="I1147" s="3">
        <f t="shared" si="194"/>
        <v>0.41666666666666669</v>
      </c>
      <c r="J1147" s="3">
        <f t="shared" si="195"/>
        <v>1</v>
      </c>
      <c r="K1147" s="3"/>
      <c r="L1147" s="60">
        <f t="shared" si="196"/>
        <v>193.62902777777771</v>
      </c>
      <c r="M1147" s="40">
        <v>0</v>
      </c>
      <c r="N1147" s="40">
        <v>0</v>
      </c>
      <c r="O1147" s="40">
        <v>0</v>
      </c>
      <c r="P1147" s="40">
        <v>0</v>
      </c>
      <c r="Q1147" s="40">
        <v>0</v>
      </c>
      <c r="R1147" s="40">
        <v>0</v>
      </c>
      <c r="S1147" s="61">
        <f t="shared" si="197"/>
        <v>38.39999999999997</v>
      </c>
      <c r="T1147" s="40">
        <v>0</v>
      </c>
      <c r="U1147" s="40">
        <v>0</v>
      </c>
      <c r="V1147" s="40">
        <v>2</v>
      </c>
      <c r="W1147" s="40">
        <v>0</v>
      </c>
      <c r="X1147" s="67">
        <f t="shared" si="198"/>
        <v>117</v>
      </c>
      <c r="Z1147" s="71"/>
      <c r="AA1147" s="71"/>
      <c r="AB1147" s="67" t="str">
        <f t="shared" si="199"/>
        <v/>
      </c>
      <c r="AD1147" s="121"/>
      <c r="AE1147" s="121"/>
    </row>
    <row r="1148" spans="1:31" x14ac:dyDescent="0.25">
      <c r="A1148" s="105" t="s">
        <v>1156</v>
      </c>
      <c r="B1148" s="7">
        <v>0.47083333333333338</v>
      </c>
      <c r="C1148" s="3">
        <f t="shared" si="192"/>
        <v>3.3000000000000016</v>
      </c>
      <c r="D1148" s="10" t="s">
        <v>201</v>
      </c>
      <c r="E1148" s="40">
        <v>24</v>
      </c>
      <c r="F1148" s="40">
        <v>2.5</v>
      </c>
      <c r="G1148" s="40">
        <v>6</v>
      </c>
      <c r="H1148" s="3">
        <f t="shared" si="193"/>
        <v>3.3000000000000016</v>
      </c>
      <c r="I1148" s="3">
        <f t="shared" si="194"/>
        <v>0.34375000000000017</v>
      </c>
      <c r="J1148" s="3">
        <f t="shared" si="195"/>
        <v>0.8250000000000004</v>
      </c>
      <c r="K1148" s="3"/>
      <c r="L1148" s="60">
        <f t="shared" si="196"/>
        <v>189.16027777777771</v>
      </c>
      <c r="M1148" s="40">
        <v>0</v>
      </c>
      <c r="N1148" s="40">
        <v>0</v>
      </c>
      <c r="O1148" s="40">
        <v>0</v>
      </c>
      <c r="P1148" s="40">
        <v>0</v>
      </c>
      <c r="Q1148" s="40">
        <v>0</v>
      </c>
      <c r="R1148" s="40">
        <v>0</v>
      </c>
      <c r="S1148" s="61">
        <f t="shared" si="197"/>
        <v>38.39999999999997</v>
      </c>
      <c r="T1148" s="40">
        <v>0</v>
      </c>
      <c r="U1148" s="40">
        <v>0</v>
      </c>
      <c r="V1148" s="40">
        <v>0</v>
      </c>
      <c r="W1148" s="40">
        <v>0</v>
      </c>
      <c r="X1148" s="67">
        <f t="shared" si="198"/>
        <v>117</v>
      </c>
      <c r="Z1148" s="71"/>
      <c r="AA1148" s="71"/>
      <c r="AB1148" s="67" t="str">
        <f t="shared" si="199"/>
        <v/>
      </c>
      <c r="AD1148" s="121">
        <v>12.5</v>
      </c>
      <c r="AE1148" s="121" t="s">
        <v>1303</v>
      </c>
    </row>
    <row r="1149" spans="1:31" x14ac:dyDescent="0.25">
      <c r="A1149" s="105" t="s">
        <v>1156</v>
      </c>
      <c r="B1149" s="7">
        <v>0.5708333333333333</v>
      </c>
      <c r="C1149" s="3">
        <f t="shared" si="192"/>
        <v>2.3999999999999981</v>
      </c>
      <c r="D1149" s="10" t="s">
        <v>616</v>
      </c>
      <c r="E1149" s="40">
        <v>5</v>
      </c>
      <c r="F1149" s="40">
        <v>2.5</v>
      </c>
      <c r="G1149" s="40">
        <v>2.5</v>
      </c>
      <c r="H1149" s="3">
        <f t="shared" si="193"/>
        <v>0.49999999999999961</v>
      </c>
      <c r="I1149" s="3">
        <f t="shared" si="194"/>
        <v>0.24999999999999981</v>
      </c>
      <c r="J1149" s="3">
        <f t="shared" si="195"/>
        <v>0.24999999999999981</v>
      </c>
      <c r="K1149" s="3"/>
      <c r="L1149" s="60">
        <f t="shared" si="196"/>
        <v>188.16027777777771</v>
      </c>
      <c r="M1149" s="40">
        <v>0</v>
      </c>
      <c r="N1149" s="40">
        <v>0</v>
      </c>
      <c r="O1149" s="40">
        <v>0</v>
      </c>
      <c r="P1149" s="40">
        <v>0</v>
      </c>
      <c r="Q1149" s="40">
        <v>0</v>
      </c>
      <c r="R1149" s="40">
        <v>0</v>
      </c>
      <c r="S1149" s="61">
        <f t="shared" si="197"/>
        <v>38.39999999999997</v>
      </c>
      <c r="T1149" s="40">
        <v>0</v>
      </c>
      <c r="U1149" s="40">
        <v>0</v>
      </c>
      <c r="V1149" s="40">
        <v>3</v>
      </c>
      <c r="W1149" s="40">
        <v>0</v>
      </c>
      <c r="X1149" s="67">
        <f t="shared" si="198"/>
        <v>114</v>
      </c>
      <c r="Z1149" s="71"/>
      <c r="AA1149" s="71"/>
      <c r="AB1149" s="67" t="str">
        <f t="shared" si="199"/>
        <v/>
      </c>
      <c r="AD1149" s="121"/>
      <c r="AE1149" s="121"/>
    </row>
    <row r="1150" spans="1:31" x14ac:dyDescent="0.25">
      <c r="A1150" s="105" t="s">
        <v>1156</v>
      </c>
      <c r="B1150" s="7">
        <v>0.74583333333333324</v>
      </c>
      <c r="C1150" s="3">
        <f t="shared" si="192"/>
        <v>4.1999999999999984</v>
      </c>
      <c r="D1150" s="10" t="s">
        <v>1004</v>
      </c>
      <c r="E1150" s="40">
        <v>0</v>
      </c>
      <c r="F1150" s="40">
        <v>2.5</v>
      </c>
      <c r="G1150" s="40">
        <v>2.5</v>
      </c>
      <c r="H1150" s="3">
        <f t="shared" si="193"/>
        <v>0</v>
      </c>
      <c r="I1150" s="3">
        <f t="shared" si="194"/>
        <v>0.43749999999999983</v>
      </c>
      <c r="J1150" s="3">
        <f t="shared" si="195"/>
        <v>0.43749999999999983</v>
      </c>
      <c r="K1150" s="3"/>
      <c r="L1150" s="60">
        <f t="shared" si="196"/>
        <v>187.28527777777771</v>
      </c>
      <c r="M1150" s="40">
        <v>0</v>
      </c>
      <c r="N1150" s="40">
        <v>0</v>
      </c>
      <c r="O1150" s="40">
        <v>0</v>
      </c>
      <c r="P1150" s="40">
        <v>0</v>
      </c>
      <c r="Q1150" s="40">
        <v>0</v>
      </c>
      <c r="R1150" s="40">
        <v>0</v>
      </c>
      <c r="S1150" s="61">
        <f t="shared" si="197"/>
        <v>38.39999999999997</v>
      </c>
      <c r="T1150" s="40">
        <v>0</v>
      </c>
      <c r="U1150" s="40">
        <v>0</v>
      </c>
      <c r="V1150" s="40">
        <v>0</v>
      </c>
      <c r="W1150" s="40">
        <v>0</v>
      </c>
      <c r="X1150" s="67">
        <f t="shared" si="198"/>
        <v>114</v>
      </c>
      <c r="Z1150" s="71"/>
      <c r="AA1150" s="71"/>
      <c r="AB1150" s="67" t="str">
        <f t="shared" si="199"/>
        <v/>
      </c>
      <c r="AD1150" s="121"/>
      <c r="AE1150" s="121"/>
    </row>
    <row r="1151" spans="1:31" x14ac:dyDescent="0.25">
      <c r="A1151" s="105" t="s">
        <v>1157</v>
      </c>
      <c r="B1151" s="65">
        <v>0.33333333333333331</v>
      </c>
      <c r="C1151" s="3">
        <f t="shared" si="192"/>
        <v>14.100000000000001</v>
      </c>
      <c r="D1151" s="10" t="s">
        <v>966</v>
      </c>
      <c r="E1151" s="40">
        <v>0</v>
      </c>
      <c r="F1151" s="40">
        <v>2.5</v>
      </c>
      <c r="G1151" s="40">
        <v>2.5</v>
      </c>
      <c r="H1151" s="3">
        <f t="shared" si="193"/>
        <v>0</v>
      </c>
      <c r="I1151" s="3">
        <f t="shared" si="194"/>
        <v>1.4687500000000002</v>
      </c>
      <c r="J1151" s="3">
        <f t="shared" si="195"/>
        <v>1.4687500000000002</v>
      </c>
      <c r="K1151" s="3"/>
      <c r="L1151" s="60">
        <f t="shared" si="196"/>
        <v>184.34777777777771</v>
      </c>
      <c r="M1151" s="40">
        <v>0</v>
      </c>
      <c r="N1151" s="40">
        <v>0</v>
      </c>
      <c r="O1151" s="40">
        <v>0</v>
      </c>
      <c r="P1151" s="40">
        <v>0</v>
      </c>
      <c r="Q1151" s="40">
        <v>3.5</v>
      </c>
      <c r="R1151" s="40">
        <v>0</v>
      </c>
      <c r="S1151" s="61">
        <f t="shared" si="197"/>
        <v>34.89999999999997</v>
      </c>
      <c r="T1151" s="40">
        <v>0</v>
      </c>
      <c r="U1151" s="40">
        <v>0</v>
      </c>
      <c r="V1151" s="40">
        <v>3</v>
      </c>
      <c r="W1151" s="40">
        <v>0</v>
      </c>
      <c r="X1151" s="67">
        <f t="shared" si="198"/>
        <v>111</v>
      </c>
      <c r="Z1151" s="71">
        <v>123</v>
      </c>
      <c r="AA1151" s="71">
        <v>67</v>
      </c>
      <c r="AB1151" s="67">
        <f t="shared" si="199"/>
        <v>190</v>
      </c>
      <c r="AD1151" s="121"/>
      <c r="AE1151" s="121"/>
    </row>
    <row r="1152" spans="1:31" x14ac:dyDescent="0.25">
      <c r="A1152" s="105" t="s">
        <v>1157</v>
      </c>
      <c r="B1152" s="7">
        <v>0.64583333333333337</v>
      </c>
      <c r="C1152" s="3">
        <f t="shared" si="192"/>
        <v>7.5000000000000018</v>
      </c>
      <c r="D1152" s="10" t="s">
        <v>1079</v>
      </c>
      <c r="E1152" s="40">
        <v>0</v>
      </c>
      <c r="F1152" s="40">
        <v>2.5</v>
      </c>
      <c r="G1152" s="40">
        <v>2.5</v>
      </c>
      <c r="H1152" s="3">
        <f t="shared" si="193"/>
        <v>0</v>
      </c>
      <c r="I1152" s="3">
        <f t="shared" si="194"/>
        <v>0.78125000000000022</v>
      </c>
      <c r="J1152" s="3">
        <f t="shared" si="195"/>
        <v>0.78125000000000022</v>
      </c>
      <c r="K1152" s="3"/>
      <c r="L1152" s="60">
        <f t="shared" si="196"/>
        <v>182.78527777777771</v>
      </c>
      <c r="M1152" s="40">
        <v>0</v>
      </c>
      <c r="N1152" s="40">
        <v>0</v>
      </c>
      <c r="O1152" s="40">
        <v>0</v>
      </c>
      <c r="P1152" s="40">
        <v>0</v>
      </c>
      <c r="Q1152" s="40">
        <v>1.8</v>
      </c>
      <c r="R1152" s="40">
        <v>0</v>
      </c>
      <c r="S1152" s="61">
        <f t="shared" si="197"/>
        <v>33.099999999999973</v>
      </c>
      <c r="T1152" s="40">
        <v>0</v>
      </c>
      <c r="U1152" s="40">
        <v>0</v>
      </c>
      <c r="V1152" s="40">
        <v>0</v>
      </c>
      <c r="W1152" s="40">
        <v>0</v>
      </c>
      <c r="X1152" s="67">
        <f t="shared" si="198"/>
        <v>111</v>
      </c>
      <c r="Z1152" s="71"/>
      <c r="AA1152" s="71"/>
      <c r="AB1152" s="67" t="str">
        <f t="shared" si="199"/>
        <v/>
      </c>
      <c r="AD1152" s="121"/>
      <c r="AE1152" s="121"/>
    </row>
    <row r="1153" spans="1:31" x14ac:dyDescent="0.25">
      <c r="A1153" s="105" t="s">
        <v>1157</v>
      </c>
      <c r="B1153" s="7">
        <v>0.78749999999999998</v>
      </c>
      <c r="C1153" s="3">
        <f t="shared" si="192"/>
        <v>3.3999999999999986</v>
      </c>
      <c r="D1153" s="10" t="s">
        <v>1011</v>
      </c>
      <c r="E1153" s="40">
        <v>0</v>
      </c>
      <c r="F1153" s="40">
        <v>2.5</v>
      </c>
      <c r="G1153" s="40">
        <v>2.5</v>
      </c>
      <c r="H1153" s="3">
        <f t="shared" si="193"/>
        <v>0</v>
      </c>
      <c r="I1153" s="3">
        <f t="shared" si="194"/>
        <v>0.35416666666666652</v>
      </c>
      <c r="J1153" s="3">
        <f t="shared" si="195"/>
        <v>0.35416666666666652</v>
      </c>
      <c r="K1153" s="3"/>
      <c r="L1153" s="60">
        <f t="shared" si="196"/>
        <v>182.07694444444436</v>
      </c>
      <c r="M1153" s="40">
        <v>0</v>
      </c>
      <c r="N1153" s="40">
        <v>0</v>
      </c>
      <c r="O1153" s="40">
        <v>0</v>
      </c>
      <c r="P1153" s="40">
        <v>0</v>
      </c>
      <c r="Q1153" s="40">
        <v>0</v>
      </c>
      <c r="R1153" s="40">
        <v>0</v>
      </c>
      <c r="S1153" s="61">
        <f t="shared" si="197"/>
        <v>33.099999999999973</v>
      </c>
      <c r="T1153" s="40">
        <v>0</v>
      </c>
      <c r="U1153" s="40">
        <v>0</v>
      </c>
      <c r="V1153" s="40">
        <v>0</v>
      </c>
      <c r="W1153" s="40">
        <v>0</v>
      </c>
      <c r="X1153" s="67">
        <f t="shared" si="198"/>
        <v>111</v>
      </c>
      <c r="Z1153" s="71"/>
      <c r="AA1153" s="71"/>
      <c r="AB1153" s="67" t="str">
        <f t="shared" si="199"/>
        <v/>
      </c>
      <c r="AD1153" s="121"/>
      <c r="AE1153" s="121"/>
    </row>
    <row r="1154" spans="1:31" x14ac:dyDescent="0.25">
      <c r="A1154" s="105" t="s">
        <v>1157</v>
      </c>
      <c r="B1154" s="7">
        <v>0.82500000000000007</v>
      </c>
      <c r="C1154" s="3">
        <f t="shared" si="192"/>
        <v>0.90000000000000213</v>
      </c>
      <c r="D1154" s="10" t="s">
        <v>1026</v>
      </c>
      <c r="E1154" s="40">
        <v>10</v>
      </c>
      <c r="F1154" s="40">
        <v>2.5</v>
      </c>
      <c r="G1154" s="40">
        <v>2.5</v>
      </c>
      <c r="H1154" s="3">
        <f t="shared" si="193"/>
        <v>0.37500000000000089</v>
      </c>
      <c r="I1154" s="3">
        <f t="shared" si="194"/>
        <v>9.3750000000000222E-2</v>
      </c>
      <c r="J1154" s="3">
        <f t="shared" si="195"/>
        <v>9.3750000000000222E-2</v>
      </c>
      <c r="K1154" s="3"/>
      <c r="L1154" s="60">
        <f t="shared" si="196"/>
        <v>181.51444444444436</v>
      </c>
      <c r="M1154" s="40">
        <v>0</v>
      </c>
      <c r="N1154" s="40">
        <v>0</v>
      </c>
      <c r="O1154" s="40">
        <v>0</v>
      </c>
      <c r="P1154" s="40">
        <v>0</v>
      </c>
      <c r="Q1154" s="40">
        <v>0</v>
      </c>
      <c r="R1154" s="40">
        <v>0</v>
      </c>
      <c r="S1154" s="61">
        <f t="shared" si="197"/>
        <v>33.099999999999973</v>
      </c>
      <c r="T1154" s="40">
        <v>0</v>
      </c>
      <c r="U1154" s="40">
        <v>0</v>
      </c>
      <c r="V1154" s="40">
        <v>0</v>
      </c>
      <c r="W1154" s="40">
        <v>0</v>
      </c>
      <c r="X1154" s="67">
        <f t="shared" si="198"/>
        <v>111</v>
      </c>
      <c r="Z1154" s="71"/>
      <c r="AA1154" s="71"/>
      <c r="AB1154" s="67" t="str">
        <f t="shared" si="199"/>
        <v/>
      </c>
      <c r="AD1154" s="121"/>
      <c r="AE1154" s="121"/>
    </row>
    <row r="1155" spans="1:31" x14ac:dyDescent="0.25">
      <c r="A1155" s="105" t="s">
        <v>1158</v>
      </c>
      <c r="B1155" s="65">
        <v>0.33333333333333331</v>
      </c>
      <c r="C1155" s="3">
        <f t="shared" si="192"/>
        <v>12.199999999999998</v>
      </c>
      <c r="D1155" s="10" t="s">
        <v>355</v>
      </c>
      <c r="E1155" s="40">
        <v>25</v>
      </c>
      <c r="F1155" s="40">
        <v>2.5</v>
      </c>
      <c r="G1155" s="40">
        <v>2.5</v>
      </c>
      <c r="H1155" s="3">
        <f t="shared" si="193"/>
        <v>12.708333333333332</v>
      </c>
      <c r="I1155" s="3">
        <f t="shared" si="194"/>
        <v>1.270833333333333</v>
      </c>
      <c r="J1155" s="3">
        <f t="shared" si="195"/>
        <v>1.270833333333333</v>
      </c>
      <c r="K1155" s="3"/>
      <c r="L1155" s="60">
        <f t="shared" si="196"/>
        <v>166.26444444444436</v>
      </c>
      <c r="M1155" s="40">
        <v>0</v>
      </c>
      <c r="N1155" s="40">
        <v>0</v>
      </c>
      <c r="O1155" s="40">
        <v>0</v>
      </c>
      <c r="P1155" s="40">
        <v>0</v>
      </c>
      <c r="Q1155" s="40">
        <v>0</v>
      </c>
      <c r="R1155" s="40">
        <v>0</v>
      </c>
      <c r="S1155" s="61">
        <f t="shared" si="197"/>
        <v>33.099999999999973</v>
      </c>
      <c r="T1155" s="40">
        <v>2</v>
      </c>
      <c r="U1155" s="40">
        <v>0</v>
      </c>
      <c r="V1155" s="40">
        <v>6</v>
      </c>
      <c r="W1155" s="40">
        <v>0</v>
      </c>
      <c r="X1155" s="67">
        <f t="shared" si="198"/>
        <v>107</v>
      </c>
      <c r="Z1155" s="71"/>
      <c r="AA1155" s="71"/>
      <c r="AB1155" s="67" t="str">
        <f t="shared" si="199"/>
        <v/>
      </c>
      <c r="AD1155" s="121"/>
      <c r="AE1155" s="121"/>
    </row>
    <row r="1156" spans="1:31" x14ac:dyDescent="0.25">
      <c r="A1156" s="105" t="s">
        <v>1158</v>
      </c>
      <c r="B1156" s="7">
        <v>0.71666666666666667</v>
      </c>
      <c r="C1156" s="3">
        <f t="shared" si="192"/>
        <v>9.2000000000000011</v>
      </c>
      <c r="D1156" s="10" t="s">
        <v>201</v>
      </c>
      <c r="E1156" s="40">
        <v>25</v>
      </c>
      <c r="F1156" s="40">
        <v>2.5</v>
      </c>
      <c r="G1156" s="40">
        <v>2.5</v>
      </c>
      <c r="H1156" s="3">
        <f t="shared" si="193"/>
        <v>9.5833333333333357</v>
      </c>
      <c r="I1156" s="3">
        <f t="shared" si="194"/>
        <v>0.95833333333333348</v>
      </c>
      <c r="J1156" s="3">
        <f t="shared" si="195"/>
        <v>0.95833333333333348</v>
      </c>
      <c r="K1156" s="3"/>
      <c r="L1156" s="60">
        <f t="shared" si="196"/>
        <v>154.76444444444436</v>
      </c>
      <c r="M1156" s="40">
        <v>0</v>
      </c>
      <c r="N1156" s="40">
        <v>0</v>
      </c>
      <c r="O1156" s="40">
        <v>0</v>
      </c>
      <c r="P1156" s="40">
        <v>0</v>
      </c>
      <c r="Q1156" s="40">
        <v>0</v>
      </c>
      <c r="R1156" s="40">
        <v>0</v>
      </c>
      <c r="S1156" s="61">
        <f t="shared" si="197"/>
        <v>33.099999999999973</v>
      </c>
      <c r="T1156" s="40">
        <v>0</v>
      </c>
      <c r="U1156" s="40">
        <v>0</v>
      </c>
      <c r="V1156" s="40">
        <v>3</v>
      </c>
      <c r="W1156" s="40">
        <v>0</v>
      </c>
      <c r="X1156" s="67">
        <f t="shared" si="198"/>
        <v>104</v>
      </c>
      <c r="Z1156" s="71"/>
      <c r="AA1156" s="71"/>
      <c r="AB1156" s="67" t="str">
        <f t="shared" si="199"/>
        <v/>
      </c>
      <c r="AD1156" s="121">
        <v>12.1</v>
      </c>
      <c r="AE1156" s="121" t="s">
        <v>1303</v>
      </c>
    </row>
    <row r="1157" spans="1:31" x14ac:dyDescent="0.25">
      <c r="A1157" s="105" t="s">
        <v>1158</v>
      </c>
      <c r="B1157" s="7">
        <v>0.82500000000000007</v>
      </c>
      <c r="C1157" s="3">
        <f t="shared" si="192"/>
        <v>2.6000000000000014</v>
      </c>
      <c r="D1157" s="10" t="s">
        <v>616</v>
      </c>
      <c r="E1157" s="40">
        <v>8</v>
      </c>
      <c r="F1157" s="40">
        <v>2.5</v>
      </c>
      <c r="G1157" s="40">
        <v>2.5</v>
      </c>
      <c r="H1157" s="3">
        <f t="shared" si="193"/>
        <v>0.86666666666666714</v>
      </c>
      <c r="I1157" s="3">
        <f t="shared" si="194"/>
        <v>0.27083333333333348</v>
      </c>
      <c r="J1157" s="3">
        <f t="shared" si="195"/>
        <v>0.27083333333333348</v>
      </c>
      <c r="K1157" s="3"/>
      <c r="L1157" s="60">
        <f t="shared" si="196"/>
        <v>153.35611111111103</v>
      </c>
      <c r="M1157" s="40">
        <v>0</v>
      </c>
      <c r="N1157" s="40">
        <v>0</v>
      </c>
      <c r="O1157" s="40">
        <v>0</v>
      </c>
      <c r="P1157" s="40">
        <v>0</v>
      </c>
      <c r="Q1157" s="40">
        <v>0</v>
      </c>
      <c r="R1157" s="40">
        <v>0</v>
      </c>
      <c r="S1157" s="61">
        <f t="shared" si="197"/>
        <v>33.099999999999973</v>
      </c>
      <c r="T1157" s="40">
        <v>0</v>
      </c>
      <c r="U1157" s="40">
        <v>0</v>
      </c>
      <c r="V1157" s="40">
        <v>0</v>
      </c>
      <c r="W1157" s="40">
        <v>0</v>
      </c>
      <c r="X1157" s="67">
        <f t="shared" si="198"/>
        <v>104</v>
      </c>
      <c r="Z1157" s="71"/>
      <c r="AA1157" s="71"/>
      <c r="AB1157" s="67" t="str">
        <f t="shared" si="199"/>
        <v/>
      </c>
      <c r="AD1157" s="121"/>
      <c r="AE1157" s="121"/>
    </row>
    <row r="1158" spans="1:31" x14ac:dyDescent="0.25">
      <c r="A1158" s="105" t="s">
        <v>1158</v>
      </c>
      <c r="B1158" s="7">
        <v>0.8666666666666667</v>
      </c>
      <c r="C1158" s="3">
        <f t="shared" si="192"/>
        <v>0.99999999999999911</v>
      </c>
      <c r="D1158" s="10" t="s">
        <v>1127</v>
      </c>
      <c r="E1158" s="40">
        <v>0</v>
      </c>
      <c r="F1158" s="40">
        <v>2.5</v>
      </c>
      <c r="G1158" s="40">
        <v>2.5</v>
      </c>
      <c r="H1158" s="3">
        <f t="shared" si="193"/>
        <v>0</v>
      </c>
      <c r="I1158" s="3">
        <f t="shared" si="194"/>
        <v>0.10416666666666657</v>
      </c>
      <c r="J1158" s="3">
        <f t="shared" si="195"/>
        <v>0.10416666666666657</v>
      </c>
      <c r="K1158" s="3">
        <v>50</v>
      </c>
      <c r="L1158" s="60">
        <f t="shared" si="196"/>
        <v>203.14777777777769</v>
      </c>
      <c r="M1158" s="40">
        <v>0</v>
      </c>
      <c r="N1158" s="40">
        <v>0</v>
      </c>
      <c r="O1158" s="40">
        <v>0</v>
      </c>
      <c r="P1158" s="40">
        <v>0</v>
      </c>
      <c r="Q1158" s="40">
        <v>0</v>
      </c>
      <c r="R1158" s="40">
        <v>0</v>
      </c>
      <c r="S1158" s="61">
        <f t="shared" si="197"/>
        <v>33.099999999999973</v>
      </c>
      <c r="T1158" s="40">
        <v>0</v>
      </c>
      <c r="U1158" s="40">
        <v>100</v>
      </c>
      <c r="V1158" s="40">
        <v>0</v>
      </c>
      <c r="W1158" s="40">
        <v>0</v>
      </c>
      <c r="X1158" s="67">
        <f t="shared" si="198"/>
        <v>204</v>
      </c>
      <c r="Z1158" s="71"/>
      <c r="AA1158" s="71"/>
      <c r="AB1158" s="67" t="str">
        <f t="shared" si="199"/>
        <v/>
      </c>
      <c r="AD1158" s="121"/>
      <c r="AE1158" s="121"/>
    </row>
    <row r="1159" spans="1:31" x14ac:dyDescent="0.25">
      <c r="A1159" s="105" t="s">
        <v>1159</v>
      </c>
      <c r="B1159" s="7">
        <v>3.3333333333333333E-2</v>
      </c>
      <c r="C1159" s="3">
        <f t="shared" si="192"/>
        <v>4</v>
      </c>
      <c r="D1159" s="10" t="s">
        <v>1011</v>
      </c>
      <c r="E1159" s="40">
        <v>0</v>
      </c>
      <c r="F1159" s="40">
        <v>2.5</v>
      </c>
      <c r="G1159" s="40">
        <v>2.5</v>
      </c>
      <c r="H1159" s="3">
        <f t="shared" si="193"/>
        <v>0</v>
      </c>
      <c r="I1159" s="3">
        <f t="shared" si="194"/>
        <v>0.41666666666666669</v>
      </c>
      <c r="J1159" s="3">
        <f t="shared" si="195"/>
        <v>0.41666666666666669</v>
      </c>
      <c r="K1159" s="3"/>
      <c r="L1159" s="60">
        <f t="shared" si="196"/>
        <v>202.31444444444435</v>
      </c>
      <c r="M1159" s="40">
        <v>0</v>
      </c>
      <c r="N1159" s="40">
        <v>0</v>
      </c>
      <c r="O1159" s="40">
        <v>0</v>
      </c>
      <c r="P1159" s="40">
        <v>0</v>
      </c>
      <c r="Q1159" s="40">
        <v>0</v>
      </c>
      <c r="R1159" s="40">
        <v>0</v>
      </c>
      <c r="S1159" s="61">
        <f t="shared" si="197"/>
        <v>33.099999999999973</v>
      </c>
      <c r="T1159" s="40">
        <v>0</v>
      </c>
      <c r="U1159" s="40">
        <v>0</v>
      </c>
      <c r="V1159" s="40">
        <v>0</v>
      </c>
      <c r="W1159" s="40">
        <v>0</v>
      </c>
      <c r="X1159" s="67">
        <f t="shared" si="198"/>
        <v>204</v>
      </c>
      <c r="Z1159" s="71"/>
      <c r="AA1159" s="71"/>
      <c r="AB1159" s="67" t="str">
        <f t="shared" si="199"/>
        <v/>
      </c>
      <c r="AD1159" s="121"/>
      <c r="AE1159" s="121"/>
    </row>
    <row r="1160" spans="1:31" x14ac:dyDescent="0.25">
      <c r="A1160" s="105" t="s">
        <v>1159</v>
      </c>
      <c r="B1160" s="7">
        <v>4.5833333333333337E-2</v>
      </c>
      <c r="C1160" s="3">
        <f t="shared" si="192"/>
        <v>0.3000000000000001</v>
      </c>
      <c r="D1160" s="10" t="s">
        <v>1026</v>
      </c>
      <c r="E1160" s="40">
        <v>10</v>
      </c>
      <c r="F1160" s="40">
        <v>2.5</v>
      </c>
      <c r="G1160" s="40">
        <v>2.5</v>
      </c>
      <c r="H1160" s="3">
        <f t="shared" si="193"/>
        <v>0.12500000000000006</v>
      </c>
      <c r="I1160" s="3">
        <f t="shared" si="194"/>
        <v>3.1250000000000014E-2</v>
      </c>
      <c r="J1160" s="3">
        <f t="shared" si="195"/>
        <v>3.1250000000000014E-2</v>
      </c>
      <c r="K1160" s="3"/>
      <c r="L1160" s="60">
        <f t="shared" si="196"/>
        <v>202.12694444444435</v>
      </c>
      <c r="M1160" s="40">
        <v>0</v>
      </c>
      <c r="N1160" s="40">
        <v>0</v>
      </c>
      <c r="O1160" s="40">
        <v>0</v>
      </c>
      <c r="P1160" s="40">
        <v>0</v>
      </c>
      <c r="Q1160" s="40">
        <v>0</v>
      </c>
      <c r="R1160" s="40">
        <v>0</v>
      </c>
      <c r="S1160" s="61">
        <f t="shared" si="197"/>
        <v>33.099999999999973</v>
      </c>
      <c r="T1160" s="40">
        <v>0</v>
      </c>
      <c r="U1160" s="40">
        <v>0</v>
      </c>
      <c r="V1160" s="40">
        <v>0</v>
      </c>
      <c r="W1160" s="40">
        <v>0</v>
      </c>
      <c r="X1160" s="67">
        <f t="shared" si="198"/>
        <v>204</v>
      </c>
      <c r="Z1160" s="71"/>
      <c r="AA1160" s="71"/>
      <c r="AB1160" s="67" t="str">
        <f t="shared" si="199"/>
        <v/>
      </c>
      <c r="AD1160" s="121"/>
      <c r="AE1160" s="121"/>
    </row>
    <row r="1161" spans="1:31" x14ac:dyDescent="0.25">
      <c r="A1161" s="105" t="s">
        <v>1159</v>
      </c>
      <c r="B1161" s="7">
        <v>6.25E-2</v>
      </c>
      <c r="C1161" s="3">
        <f t="shared" si="192"/>
        <v>0.39999999999999991</v>
      </c>
      <c r="D1161" s="10" t="s">
        <v>201</v>
      </c>
      <c r="E1161" s="40">
        <v>20</v>
      </c>
      <c r="F1161" s="40">
        <v>2.5</v>
      </c>
      <c r="G1161" s="40">
        <v>2.5</v>
      </c>
      <c r="H1161" s="3">
        <f t="shared" si="193"/>
        <v>0.33333333333333326</v>
      </c>
      <c r="I1161" s="3">
        <f t="shared" si="194"/>
        <v>4.1666666666666657E-2</v>
      </c>
      <c r="J1161" s="3">
        <f t="shared" si="195"/>
        <v>4.1666666666666657E-2</v>
      </c>
      <c r="K1161" s="3"/>
      <c r="L1161" s="60">
        <f t="shared" si="196"/>
        <v>201.71027777777769</v>
      </c>
      <c r="M1161" s="40">
        <v>0</v>
      </c>
      <c r="N1161" s="40">
        <v>0</v>
      </c>
      <c r="O1161" s="40">
        <v>0</v>
      </c>
      <c r="P1161" s="40">
        <v>0</v>
      </c>
      <c r="Q1161" s="40">
        <v>0</v>
      </c>
      <c r="R1161" s="40">
        <v>0</v>
      </c>
      <c r="S1161" s="61">
        <f t="shared" si="197"/>
        <v>33.099999999999973</v>
      </c>
      <c r="T1161" s="40">
        <v>0</v>
      </c>
      <c r="U1161" s="40">
        <v>0</v>
      </c>
      <c r="V1161" s="40">
        <v>0</v>
      </c>
      <c r="W1161" s="40">
        <v>0</v>
      </c>
      <c r="X1161" s="67">
        <f t="shared" si="198"/>
        <v>204</v>
      </c>
      <c r="Z1161" s="71"/>
      <c r="AA1161" s="71"/>
      <c r="AB1161" s="67" t="str">
        <f t="shared" si="199"/>
        <v/>
      </c>
      <c r="AD1161" s="121"/>
      <c r="AE1161" s="121"/>
    </row>
    <row r="1162" spans="1:31" x14ac:dyDescent="0.25">
      <c r="A1162" s="105" t="s">
        <v>1159</v>
      </c>
      <c r="B1162" s="7">
        <v>0.13749999999999998</v>
      </c>
      <c r="C1162" s="3">
        <f t="shared" si="192"/>
        <v>1.7999999999999996</v>
      </c>
      <c r="D1162" s="10" t="s">
        <v>616</v>
      </c>
      <c r="E1162" s="40">
        <v>5</v>
      </c>
      <c r="F1162" s="40">
        <v>2.5</v>
      </c>
      <c r="G1162" s="40">
        <v>2.5</v>
      </c>
      <c r="H1162" s="3">
        <f t="shared" si="193"/>
        <v>0.37499999999999994</v>
      </c>
      <c r="I1162" s="3">
        <f t="shared" si="194"/>
        <v>0.18749999999999997</v>
      </c>
      <c r="J1162" s="3">
        <f t="shared" si="195"/>
        <v>0.18749999999999997</v>
      </c>
      <c r="K1162" s="3"/>
      <c r="L1162" s="60">
        <f t="shared" si="196"/>
        <v>200.96027777777769</v>
      </c>
      <c r="M1162" s="40">
        <v>0</v>
      </c>
      <c r="N1162" s="40">
        <v>0</v>
      </c>
      <c r="O1162" s="40">
        <v>0</v>
      </c>
      <c r="P1162" s="40">
        <v>0</v>
      </c>
      <c r="Q1162" s="40">
        <v>0</v>
      </c>
      <c r="R1162" s="40">
        <v>0</v>
      </c>
      <c r="S1162" s="61">
        <f t="shared" si="197"/>
        <v>33.099999999999973</v>
      </c>
      <c r="T1162" s="40">
        <v>0</v>
      </c>
      <c r="U1162" s="40">
        <v>0</v>
      </c>
      <c r="V1162" s="40">
        <v>0</v>
      </c>
      <c r="W1162" s="40">
        <v>0</v>
      </c>
      <c r="X1162" s="67">
        <f t="shared" si="198"/>
        <v>204</v>
      </c>
      <c r="Z1162" s="71"/>
      <c r="AA1162" s="71"/>
      <c r="AB1162" s="67" t="str">
        <f t="shared" si="199"/>
        <v/>
      </c>
      <c r="AD1162" s="121"/>
      <c r="AE1162" s="121"/>
    </row>
    <row r="1163" spans="1:31" x14ac:dyDescent="0.25">
      <c r="A1163" s="105" t="s">
        <v>1159</v>
      </c>
      <c r="B1163" s="65">
        <v>0.33333333333333331</v>
      </c>
      <c r="C1163" s="3">
        <f t="shared" si="192"/>
        <v>4.7</v>
      </c>
      <c r="D1163" s="10" t="s">
        <v>1066</v>
      </c>
      <c r="E1163" s="40">
        <v>0</v>
      </c>
      <c r="F1163" s="40">
        <v>2.5</v>
      </c>
      <c r="G1163" s="40">
        <v>2.5</v>
      </c>
      <c r="H1163" s="3">
        <f t="shared" si="193"/>
        <v>0</v>
      </c>
      <c r="I1163" s="3">
        <f t="shared" si="194"/>
        <v>0.48958333333333337</v>
      </c>
      <c r="J1163" s="3">
        <f t="shared" si="195"/>
        <v>0.48958333333333337</v>
      </c>
      <c r="K1163" s="3"/>
      <c r="L1163" s="60">
        <f t="shared" si="196"/>
        <v>199.98111111111103</v>
      </c>
      <c r="M1163" s="40">
        <v>0</v>
      </c>
      <c r="N1163" s="40">
        <v>0</v>
      </c>
      <c r="O1163" s="40">
        <v>0</v>
      </c>
      <c r="P1163" s="40">
        <v>0</v>
      </c>
      <c r="Q1163" s="40">
        <v>0</v>
      </c>
      <c r="R1163" s="40">
        <v>0</v>
      </c>
      <c r="S1163" s="61">
        <f t="shared" si="197"/>
        <v>33.099999999999973</v>
      </c>
      <c r="T1163" s="40">
        <v>0</v>
      </c>
      <c r="U1163" s="40">
        <v>0</v>
      </c>
      <c r="V1163" s="40">
        <v>3</v>
      </c>
      <c r="W1163" s="40">
        <v>0</v>
      </c>
      <c r="X1163" s="67">
        <f t="shared" si="198"/>
        <v>201</v>
      </c>
      <c r="Z1163" s="71">
        <v>114</v>
      </c>
      <c r="AA1163" s="71">
        <v>60</v>
      </c>
      <c r="AB1163" s="67">
        <f t="shared" si="199"/>
        <v>174</v>
      </c>
      <c r="AD1163" s="121"/>
      <c r="AE1163" s="121"/>
    </row>
    <row r="1164" spans="1:31" x14ac:dyDescent="0.25">
      <c r="A1164" s="105" t="s">
        <v>1159</v>
      </c>
      <c r="B1164" s="7">
        <v>0.5</v>
      </c>
      <c r="C1164" s="3">
        <f t="shared" si="192"/>
        <v>4</v>
      </c>
      <c r="D1164" s="10" t="s">
        <v>1049</v>
      </c>
      <c r="E1164" s="40">
        <v>0</v>
      </c>
      <c r="F1164" s="40">
        <v>2.5</v>
      </c>
      <c r="G1164" s="40">
        <v>2.5</v>
      </c>
      <c r="H1164" s="3">
        <f t="shared" si="193"/>
        <v>0</v>
      </c>
      <c r="I1164" s="3">
        <f t="shared" si="194"/>
        <v>0.41666666666666669</v>
      </c>
      <c r="J1164" s="3">
        <f t="shared" si="195"/>
        <v>0.41666666666666669</v>
      </c>
      <c r="K1164" s="3"/>
      <c r="L1164" s="60">
        <f t="shared" si="196"/>
        <v>199.14777777777769</v>
      </c>
      <c r="M1164" s="40">
        <v>0</v>
      </c>
      <c r="N1164" s="40">
        <v>0</v>
      </c>
      <c r="O1164" s="40">
        <v>0</v>
      </c>
      <c r="P1164" s="40">
        <v>0</v>
      </c>
      <c r="Q1164" s="40">
        <v>0</v>
      </c>
      <c r="R1164" s="40">
        <v>0</v>
      </c>
      <c r="S1164" s="61">
        <f t="shared" si="197"/>
        <v>33.099999999999973</v>
      </c>
      <c r="T1164" s="40">
        <v>0</v>
      </c>
      <c r="U1164" s="40">
        <v>0</v>
      </c>
      <c r="V1164" s="40">
        <v>0</v>
      </c>
      <c r="W1164" s="40">
        <v>0</v>
      </c>
      <c r="X1164" s="67">
        <f t="shared" si="198"/>
        <v>201</v>
      </c>
      <c r="Z1164" s="71"/>
      <c r="AA1164" s="71"/>
      <c r="AB1164" s="67" t="str">
        <f t="shared" si="199"/>
        <v/>
      </c>
      <c r="AD1164" s="121"/>
      <c r="AE1164" s="121"/>
    </row>
    <row r="1165" spans="1:31" x14ac:dyDescent="0.25">
      <c r="A1165" s="107" t="s">
        <v>1160</v>
      </c>
      <c r="B1165" s="65">
        <v>0.33333333333333331</v>
      </c>
      <c r="C1165" s="3">
        <f t="shared" si="192"/>
        <v>20</v>
      </c>
      <c r="D1165" s="10" t="s">
        <v>1051</v>
      </c>
      <c r="E1165" s="40">
        <v>0</v>
      </c>
      <c r="F1165" s="40">
        <v>2.5</v>
      </c>
      <c r="G1165" s="40">
        <v>2.5</v>
      </c>
      <c r="H1165" s="3">
        <f t="shared" si="193"/>
        <v>0</v>
      </c>
      <c r="I1165" s="3">
        <f t="shared" si="194"/>
        <v>2.0833333333333335</v>
      </c>
      <c r="J1165" s="3">
        <f t="shared" si="195"/>
        <v>2.0833333333333335</v>
      </c>
      <c r="K1165" s="3"/>
      <c r="L1165" s="60">
        <f t="shared" si="196"/>
        <v>194.98111111111103</v>
      </c>
      <c r="M1165" s="40">
        <v>0</v>
      </c>
      <c r="N1165" s="40">
        <v>0</v>
      </c>
      <c r="O1165" s="40">
        <v>0</v>
      </c>
      <c r="P1165" s="40">
        <v>0</v>
      </c>
      <c r="Q1165" s="40">
        <v>0</v>
      </c>
      <c r="R1165" s="40">
        <v>0</v>
      </c>
      <c r="S1165" s="61">
        <f t="shared" si="197"/>
        <v>33.099999999999973</v>
      </c>
      <c r="T1165" s="40">
        <v>0</v>
      </c>
      <c r="U1165" s="40">
        <v>0</v>
      </c>
      <c r="V1165" s="40">
        <v>6</v>
      </c>
      <c r="W1165" s="40">
        <v>0</v>
      </c>
      <c r="X1165" s="67">
        <f t="shared" si="198"/>
        <v>195</v>
      </c>
      <c r="Z1165" s="71"/>
      <c r="AA1165" s="71"/>
      <c r="AB1165" s="67" t="str">
        <f t="shared" si="199"/>
        <v/>
      </c>
      <c r="AD1165" s="121"/>
      <c r="AE1165" s="121"/>
    </row>
    <row r="1166" spans="1:31" x14ac:dyDescent="0.25">
      <c r="A1166" s="105" t="s">
        <v>1161</v>
      </c>
      <c r="B1166" s="7">
        <v>0.13333333333333333</v>
      </c>
      <c r="C1166" s="3">
        <f t="shared" si="192"/>
        <v>19.2</v>
      </c>
      <c r="D1166" s="10" t="s">
        <v>120</v>
      </c>
      <c r="E1166" s="40">
        <v>0</v>
      </c>
      <c r="F1166" s="40">
        <v>2.5</v>
      </c>
      <c r="G1166" s="40">
        <v>2.5</v>
      </c>
      <c r="H1166" s="3">
        <f t="shared" si="193"/>
        <v>0</v>
      </c>
      <c r="I1166" s="3">
        <f t="shared" si="194"/>
        <v>2</v>
      </c>
      <c r="J1166" s="3">
        <f t="shared" si="195"/>
        <v>2</v>
      </c>
      <c r="K1166" s="3"/>
      <c r="L1166" s="60">
        <f t="shared" si="196"/>
        <v>190.98111111111103</v>
      </c>
      <c r="M1166" s="40">
        <v>0</v>
      </c>
      <c r="N1166" s="40">
        <v>0</v>
      </c>
      <c r="O1166" s="40">
        <v>0</v>
      </c>
      <c r="P1166" s="40">
        <v>0</v>
      </c>
      <c r="Q1166" s="40">
        <v>0</v>
      </c>
      <c r="R1166" s="40">
        <v>0</v>
      </c>
      <c r="S1166" s="61">
        <f t="shared" si="197"/>
        <v>33.099999999999973</v>
      </c>
      <c r="T1166" s="40">
        <v>0</v>
      </c>
      <c r="U1166" s="40">
        <v>0</v>
      </c>
      <c r="V1166" s="40">
        <v>5</v>
      </c>
      <c r="W1166" s="40">
        <v>0</v>
      </c>
      <c r="X1166" s="67">
        <f t="shared" si="198"/>
        <v>190</v>
      </c>
      <c r="Z1166" s="71"/>
      <c r="AA1166" s="71"/>
      <c r="AB1166" s="67" t="str">
        <f t="shared" si="199"/>
        <v/>
      </c>
      <c r="AD1166" s="121"/>
      <c r="AE1166" s="121"/>
    </row>
    <row r="1167" spans="1:31" x14ac:dyDescent="0.25">
      <c r="A1167" s="105" t="s">
        <v>1161</v>
      </c>
      <c r="B1167" s="65">
        <v>0.33333333333333331</v>
      </c>
      <c r="C1167" s="3">
        <f t="shared" si="192"/>
        <v>4.8</v>
      </c>
      <c r="D1167" s="10" t="s">
        <v>179</v>
      </c>
      <c r="E1167" s="40">
        <v>0</v>
      </c>
      <c r="F1167" s="40">
        <v>2.5</v>
      </c>
      <c r="G1167" s="40">
        <v>2.5</v>
      </c>
      <c r="H1167" s="3">
        <f t="shared" si="193"/>
        <v>0</v>
      </c>
      <c r="I1167" s="3">
        <f t="shared" si="194"/>
        <v>0.5</v>
      </c>
      <c r="J1167" s="3">
        <f t="shared" si="195"/>
        <v>0.5</v>
      </c>
      <c r="K1167" s="3"/>
      <c r="L1167" s="60">
        <f t="shared" si="196"/>
        <v>189.98111111111103</v>
      </c>
      <c r="M1167" s="40">
        <v>0</v>
      </c>
      <c r="N1167" s="40">
        <v>0.1</v>
      </c>
      <c r="O1167" s="40">
        <v>0</v>
      </c>
      <c r="P1167" s="40">
        <v>0</v>
      </c>
      <c r="Q1167" s="40">
        <v>0</v>
      </c>
      <c r="R1167" s="40">
        <v>0</v>
      </c>
      <c r="S1167" s="61">
        <f t="shared" si="197"/>
        <v>32.999999999999972</v>
      </c>
      <c r="T1167" s="40">
        <v>0</v>
      </c>
      <c r="U1167" s="40">
        <v>0</v>
      </c>
      <c r="V1167" s="40">
        <v>1</v>
      </c>
      <c r="W1167" s="40">
        <v>0</v>
      </c>
      <c r="X1167" s="67">
        <f t="shared" si="198"/>
        <v>189</v>
      </c>
      <c r="Z1167" s="71"/>
      <c r="AA1167" s="71"/>
      <c r="AB1167" s="67" t="str">
        <f t="shared" si="199"/>
        <v/>
      </c>
      <c r="AD1167" s="121"/>
      <c r="AE1167" s="121"/>
    </row>
    <row r="1168" spans="1:31" x14ac:dyDescent="0.25">
      <c r="A1168" s="105" t="s">
        <v>1161</v>
      </c>
      <c r="B1168" s="7">
        <v>0.41666666666666669</v>
      </c>
      <c r="C1168" s="3">
        <f t="shared" si="192"/>
        <v>2.0000000000000009</v>
      </c>
      <c r="D1168" s="10" t="s">
        <v>1011</v>
      </c>
      <c r="E1168" s="40">
        <v>0</v>
      </c>
      <c r="F1168" s="40">
        <v>2.5</v>
      </c>
      <c r="G1168" s="40">
        <v>2.5</v>
      </c>
      <c r="H1168" s="3">
        <f t="shared" si="193"/>
        <v>0</v>
      </c>
      <c r="I1168" s="3">
        <f t="shared" si="194"/>
        <v>0.20833333333333343</v>
      </c>
      <c r="J1168" s="3">
        <f t="shared" si="195"/>
        <v>0.20833333333333343</v>
      </c>
      <c r="K1168" s="3"/>
      <c r="L1168" s="60">
        <f t="shared" si="196"/>
        <v>189.56444444444438</v>
      </c>
      <c r="M1168" s="40">
        <v>0</v>
      </c>
      <c r="N1168" s="40">
        <v>0</v>
      </c>
      <c r="O1168" s="40">
        <v>0</v>
      </c>
      <c r="P1168" s="40">
        <v>0</v>
      </c>
      <c r="Q1168" s="40">
        <v>0</v>
      </c>
      <c r="R1168" s="40">
        <v>0</v>
      </c>
      <c r="S1168" s="61">
        <f t="shared" si="197"/>
        <v>32.999999999999972</v>
      </c>
      <c r="T1168" s="40">
        <v>0</v>
      </c>
      <c r="U1168" s="40">
        <v>0</v>
      </c>
      <c r="V1168" s="40">
        <v>0</v>
      </c>
      <c r="W1168" s="40">
        <v>0</v>
      </c>
      <c r="X1168" s="67">
        <f t="shared" si="198"/>
        <v>189</v>
      </c>
      <c r="Z1168" s="71"/>
      <c r="AA1168" s="71"/>
      <c r="AB1168" s="67" t="str">
        <f t="shared" si="199"/>
        <v/>
      </c>
      <c r="AD1168" s="121"/>
      <c r="AE1168" s="121"/>
    </row>
    <row r="1169" spans="1:31" x14ac:dyDescent="0.25">
      <c r="A1169" s="105" t="s">
        <v>1161</v>
      </c>
      <c r="B1169" s="7">
        <v>0.45833333333333331</v>
      </c>
      <c r="C1169" s="3">
        <f t="shared" si="192"/>
        <v>0.99999999999999911</v>
      </c>
      <c r="D1169" s="10" t="s">
        <v>988</v>
      </c>
      <c r="E1169" s="40">
        <v>10</v>
      </c>
      <c r="F1169" s="40">
        <v>2.5</v>
      </c>
      <c r="G1169" s="40">
        <v>2.5</v>
      </c>
      <c r="H1169" s="3">
        <f t="shared" si="193"/>
        <v>0.4166666666666663</v>
      </c>
      <c r="I1169" s="3">
        <f t="shared" si="194"/>
        <v>0.10416666666666657</v>
      </c>
      <c r="J1169" s="3">
        <f t="shared" si="195"/>
        <v>0.10416666666666657</v>
      </c>
      <c r="K1169" s="3"/>
      <c r="L1169" s="60">
        <f t="shared" si="196"/>
        <v>188.93944444444438</v>
      </c>
      <c r="M1169" s="40">
        <v>0</v>
      </c>
      <c r="N1169" s="40">
        <v>0</v>
      </c>
      <c r="O1169" s="40">
        <v>0</v>
      </c>
      <c r="P1169" s="40">
        <v>0</v>
      </c>
      <c r="Q1169" s="40">
        <v>0</v>
      </c>
      <c r="R1169" s="40">
        <v>0</v>
      </c>
      <c r="S1169" s="61">
        <f t="shared" si="197"/>
        <v>32.999999999999972</v>
      </c>
      <c r="T1169" s="40">
        <v>0</v>
      </c>
      <c r="U1169" s="40">
        <v>0</v>
      </c>
      <c r="V1169" s="40">
        <v>0</v>
      </c>
      <c r="W1169" s="40">
        <v>0</v>
      </c>
      <c r="X1169" s="67">
        <f t="shared" si="198"/>
        <v>189</v>
      </c>
      <c r="Z1169" s="71"/>
      <c r="AA1169" s="71"/>
      <c r="AB1169" s="67" t="str">
        <f t="shared" si="199"/>
        <v/>
      </c>
      <c r="AD1169" s="121"/>
      <c r="AE1169" s="121"/>
    </row>
    <row r="1170" spans="1:31" x14ac:dyDescent="0.25">
      <c r="A1170" s="105" t="s">
        <v>1161</v>
      </c>
      <c r="B1170" s="7">
        <v>0.77500000000000002</v>
      </c>
      <c r="C1170" s="3">
        <f t="shared" si="192"/>
        <v>7.6000000000000014</v>
      </c>
      <c r="D1170" s="10" t="s">
        <v>1162</v>
      </c>
      <c r="E1170" s="40">
        <v>25</v>
      </c>
      <c r="F1170" s="40">
        <v>2.5</v>
      </c>
      <c r="G1170" s="40">
        <v>2.5</v>
      </c>
      <c r="H1170" s="3">
        <f t="shared" si="193"/>
        <v>7.9166666666666687</v>
      </c>
      <c r="I1170" s="3">
        <f t="shared" si="194"/>
        <v>0.79166666666666685</v>
      </c>
      <c r="J1170" s="3">
        <f t="shared" si="195"/>
        <v>0.79166666666666685</v>
      </c>
      <c r="K1170" s="3"/>
      <c r="L1170" s="60">
        <f t="shared" si="196"/>
        <v>179.43944444444438</v>
      </c>
      <c r="M1170" s="40">
        <v>0</v>
      </c>
      <c r="N1170" s="40">
        <v>0</v>
      </c>
      <c r="O1170" s="40">
        <v>0</v>
      </c>
      <c r="P1170" s="40">
        <v>0</v>
      </c>
      <c r="Q1170" s="40">
        <v>0</v>
      </c>
      <c r="R1170" s="40">
        <v>0</v>
      </c>
      <c r="S1170" s="61">
        <f t="shared" si="197"/>
        <v>32.999999999999972</v>
      </c>
      <c r="T1170" s="40">
        <v>0</v>
      </c>
      <c r="U1170" s="40">
        <v>0</v>
      </c>
      <c r="V1170" s="40">
        <v>2</v>
      </c>
      <c r="W1170" s="40">
        <v>0</v>
      </c>
      <c r="X1170" s="67">
        <f t="shared" si="198"/>
        <v>187</v>
      </c>
      <c r="Z1170" s="71"/>
      <c r="AA1170" s="71"/>
      <c r="AB1170" s="67" t="str">
        <f t="shared" si="199"/>
        <v/>
      </c>
      <c r="AD1170" s="121">
        <v>10.7</v>
      </c>
      <c r="AE1170" s="121" t="s">
        <v>1296</v>
      </c>
    </row>
    <row r="1171" spans="1:31" x14ac:dyDescent="0.25">
      <c r="A1171" s="108" t="s">
        <v>1161</v>
      </c>
      <c r="B1171" s="7">
        <v>0.79166666666666663</v>
      </c>
      <c r="C1171" s="3">
        <f t="shared" si="192"/>
        <v>0.39999999999999858</v>
      </c>
      <c r="D1171" s="10" t="s">
        <v>1163</v>
      </c>
      <c r="E1171" s="40">
        <v>10</v>
      </c>
      <c r="F1171" s="40">
        <v>2.5</v>
      </c>
      <c r="G1171" s="40">
        <v>2.5</v>
      </c>
      <c r="H1171" s="3">
        <f t="shared" si="193"/>
        <v>0.16666666666666607</v>
      </c>
      <c r="I1171" s="3">
        <f t="shared" si="194"/>
        <v>4.1666666666666519E-2</v>
      </c>
      <c r="J1171" s="3">
        <f t="shared" si="195"/>
        <v>4.1666666666666519E-2</v>
      </c>
      <c r="K1171" s="3"/>
      <c r="L1171" s="60">
        <f t="shared" si="196"/>
        <v>179.18944444444438</v>
      </c>
      <c r="M1171" s="40">
        <v>0</v>
      </c>
      <c r="N1171" s="40">
        <v>0</v>
      </c>
      <c r="O1171" s="40">
        <v>0</v>
      </c>
      <c r="P1171" s="40">
        <v>0</v>
      </c>
      <c r="Q1171" s="40">
        <v>0</v>
      </c>
      <c r="R1171" s="40">
        <v>0</v>
      </c>
      <c r="S1171" s="61">
        <f t="shared" si="197"/>
        <v>32.999999999999972</v>
      </c>
      <c r="T1171" s="40">
        <v>0</v>
      </c>
      <c r="U1171" s="40">
        <v>0</v>
      </c>
      <c r="V1171" s="40">
        <v>0</v>
      </c>
      <c r="W1171" s="40">
        <v>0</v>
      </c>
      <c r="X1171" s="67">
        <f t="shared" si="198"/>
        <v>187</v>
      </c>
      <c r="Z1171" s="71"/>
      <c r="AA1171" s="71"/>
      <c r="AB1171" s="67" t="str">
        <f t="shared" si="199"/>
        <v/>
      </c>
      <c r="AD1171" s="121"/>
      <c r="AE1171" s="121"/>
    </row>
    <row r="1172" spans="1:31" x14ac:dyDescent="0.25">
      <c r="A1172" s="108" t="s">
        <v>1161</v>
      </c>
      <c r="B1172" s="7">
        <v>0.90833333333333333</v>
      </c>
      <c r="C1172" s="3">
        <f t="shared" si="192"/>
        <v>2.8000000000000007</v>
      </c>
      <c r="D1172" s="10" t="s">
        <v>1011</v>
      </c>
      <c r="E1172" s="40">
        <v>0</v>
      </c>
      <c r="F1172" s="40">
        <v>2.5</v>
      </c>
      <c r="G1172" s="40">
        <v>2.5</v>
      </c>
      <c r="H1172" s="3">
        <f t="shared" si="193"/>
        <v>0</v>
      </c>
      <c r="I1172" s="3">
        <f t="shared" si="194"/>
        <v>0.29166666666666674</v>
      </c>
      <c r="J1172" s="3">
        <f t="shared" si="195"/>
        <v>0.29166666666666674</v>
      </c>
      <c r="K1172" s="3"/>
      <c r="L1172" s="60">
        <f t="shared" si="196"/>
        <v>178.60611111111103</v>
      </c>
      <c r="M1172" s="40">
        <v>0</v>
      </c>
      <c r="N1172" s="40">
        <v>0</v>
      </c>
      <c r="O1172" s="40">
        <v>0</v>
      </c>
      <c r="P1172" s="40">
        <v>0</v>
      </c>
      <c r="Q1172" s="40">
        <v>0</v>
      </c>
      <c r="R1172" s="40">
        <v>0</v>
      </c>
      <c r="S1172" s="61">
        <f t="shared" si="197"/>
        <v>32.999999999999972</v>
      </c>
      <c r="T1172" s="40">
        <v>0</v>
      </c>
      <c r="U1172" s="40">
        <v>0</v>
      </c>
      <c r="V1172" s="40">
        <v>0</v>
      </c>
      <c r="W1172" s="40">
        <v>0</v>
      </c>
      <c r="X1172" s="67">
        <f t="shared" si="198"/>
        <v>187</v>
      </c>
      <c r="Z1172" s="71"/>
      <c r="AA1172" s="71"/>
      <c r="AB1172" s="67" t="str">
        <f t="shared" si="199"/>
        <v/>
      </c>
      <c r="AD1172" s="121"/>
      <c r="AE1172" s="121"/>
    </row>
    <row r="1173" spans="1:31" x14ac:dyDescent="0.25">
      <c r="A1173" s="108" t="s">
        <v>1161</v>
      </c>
      <c r="B1173" s="7">
        <v>0.93333333333333324</v>
      </c>
      <c r="C1173" s="3">
        <f t="shared" si="192"/>
        <v>0.59999999999999787</v>
      </c>
      <c r="D1173" s="10" t="s">
        <v>190</v>
      </c>
      <c r="E1173" s="40">
        <v>0</v>
      </c>
      <c r="F1173" s="40">
        <v>2.5</v>
      </c>
      <c r="G1173" s="40">
        <v>2.5</v>
      </c>
      <c r="H1173" s="3">
        <f t="shared" si="193"/>
        <v>0</v>
      </c>
      <c r="I1173" s="3">
        <f t="shared" si="194"/>
        <v>6.2499999999999778E-2</v>
      </c>
      <c r="J1173" s="3">
        <f t="shared" si="195"/>
        <v>6.2499999999999778E-2</v>
      </c>
      <c r="K1173" s="3"/>
      <c r="L1173" s="60">
        <f t="shared" si="196"/>
        <v>178.48111111111103</v>
      </c>
      <c r="M1173" s="40">
        <v>0</v>
      </c>
      <c r="N1173" s="40">
        <v>0</v>
      </c>
      <c r="O1173" s="40">
        <v>0</v>
      </c>
      <c r="P1173" s="40">
        <v>0</v>
      </c>
      <c r="Q1173" s="40">
        <v>0</v>
      </c>
      <c r="R1173" s="40">
        <v>0</v>
      </c>
      <c r="S1173" s="61">
        <f t="shared" si="197"/>
        <v>32.999999999999972</v>
      </c>
      <c r="T1173" s="40">
        <v>0</v>
      </c>
      <c r="U1173" s="40">
        <v>0</v>
      </c>
      <c r="V1173" s="40">
        <v>0</v>
      </c>
      <c r="W1173" s="40">
        <v>0</v>
      </c>
      <c r="X1173" s="67">
        <f t="shared" si="198"/>
        <v>187</v>
      </c>
      <c r="Z1173" s="71"/>
      <c r="AA1173" s="71"/>
      <c r="AB1173" s="67" t="str">
        <f t="shared" si="199"/>
        <v/>
      </c>
      <c r="AD1173" s="121"/>
      <c r="AE1173" s="121"/>
    </row>
    <row r="1174" spans="1:31" x14ac:dyDescent="0.25">
      <c r="A1174" s="108" t="s">
        <v>1161</v>
      </c>
      <c r="B1174" s="7">
        <v>0.98333333333333339</v>
      </c>
      <c r="C1174" s="3">
        <f t="shared" si="192"/>
        <v>1.2000000000000037</v>
      </c>
      <c r="D1174" s="10" t="s">
        <v>616</v>
      </c>
      <c r="E1174" s="40">
        <v>10</v>
      </c>
      <c r="F1174" s="40">
        <v>2.5</v>
      </c>
      <c r="G1174" s="40">
        <v>2.5</v>
      </c>
      <c r="H1174" s="3">
        <f t="shared" si="193"/>
        <v>0.50000000000000155</v>
      </c>
      <c r="I1174" s="3">
        <f t="shared" si="194"/>
        <v>0.12500000000000039</v>
      </c>
      <c r="J1174" s="3">
        <f t="shared" si="195"/>
        <v>0.12500000000000039</v>
      </c>
      <c r="K1174" s="3"/>
      <c r="L1174" s="60">
        <f t="shared" si="196"/>
        <v>177.73111111111103</v>
      </c>
      <c r="M1174" s="40">
        <v>0</v>
      </c>
      <c r="N1174" s="40">
        <v>0</v>
      </c>
      <c r="O1174" s="40">
        <v>0</v>
      </c>
      <c r="P1174" s="40">
        <v>0</v>
      </c>
      <c r="Q1174" s="40">
        <v>0</v>
      </c>
      <c r="R1174" s="40">
        <v>0</v>
      </c>
      <c r="S1174" s="61">
        <f t="shared" si="197"/>
        <v>32.999999999999972</v>
      </c>
      <c r="T1174" s="40">
        <v>0</v>
      </c>
      <c r="U1174" s="40">
        <v>0</v>
      </c>
      <c r="V1174" s="40">
        <v>1</v>
      </c>
      <c r="W1174" s="40">
        <v>0</v>
      </c>
      <c r="X1174" s="67">
        <f t="shared" si="198"/>
        <v>186</v>
      </c>
      <c r="Z1174" s="71"/>
      <c r="AA1174" s="71"/>
      <c r="AB1174" s="67" t="str">
        <f t="shared" si="199"/>
        <v/>
      </c>
      <c r="AD1174" s="121"/>
      <c r="AE1174" s="121"/>
    </row>
    <row r="1175" spans="1:31" x14ac:dyDescent="0.25">
      <c r="A1175" s="105" t="s">
        <v>1164</v>
      </c>
      <c r="B1175" s="7">
        <v>2.9166666666666664E-2</v>
      </c>
      <c r="C1175" s="3">
        <f t="shared" si="192"/>
        <v>1.0999999999999979</v>
      </c>
      <c r="D1175" s="10" t="s">
        <v>1004</v>
      </c>
      <c r="E1175" s="40">
        <v>0</v>
      </c>
      <c r="F1175" s="40">
        <v>2.5</v>
      </c>
      <c r="G1175" s="40">
        <v>2.5</v>
      </c>
      <c r="H1175" s="3">
        <f t="shared" si="193"/>
        <v>0</v>
      </c>
      <c r="I1175" s="3">
        <f t="shared" si="194"/>
        <v>0.11458333333333312</v>
      </c>
      <c r="J1175" s="3">
        <f t="shared" si="195"/>
        <v>0.11458333333333312</v>
      </c>
      <c r="K1175" s="3"/>
      <c r="L1175" s="60">
        <f t="shared" si="196"/>
        <v>177.50194444444438</v>
      </c>
      <c r="M1175" s="40">
        <v>0</v>
      </c>
      <c r="N1175" s="40">
        <v>0</v>
      </c>
      <c r="O1175" s="40">
        <v>0</v>
      </c>
      <c r="P1175" s="40">
        <v>0</v>
      </c>
      <c r="Q1175" s="40">
        <v>0</v>
      </c>
      <c r="R1175" s="40">
        <v>0</v>
      </c>
      <c r="S1175" s="61">
        <f t="shared" si="197"/>
        <v>32.999999999999972</v>
      </c>
      <c r="T1175" s="40">
        <v>0</v>
      </c>
      <c r="U1175" s="40">
        <v>0</v>
      </c>
      <c r="V1175" s="40">
        <v>0</v>
      </c>
      <c r="W1175" s="40">
        <v>0</v>
      </c>
      <c r="X1175" s="67">
        <f t="shared" si="198"/>
        <v>186</v>
      </c>
      <c r="Z1175" s="71"/>
      <c r="AA1175" s="71"/>
      <c r="AB1175" s="67" t="str">
        <f t="shared" si="199"/>
        <v/>
      </c>
      <c r="AD1175" s="121"/>
      <c r="AE1175" s="121"/>
    </row>
    <row r="1176" spans="1:31" x14ac:dyDescent="0.25">
      <c r="A1176" s="105" t="s">
        <v>1164</v>
      </c>
      <c r="B1176" s="65">
        <v>0.33333333333333331</v>
      </c>
      <c r="C1176" s="3">
        <f t="shared" si="192"/>
        <v>7.2999999999999989</v>
      </c>
      <c r="D1176" s="10" t="s">
        <v>1165</v>
      </c>
      <c r="E1176" s="40">
        <v>0</v>
      </c>
      <c r="F1176" s="40">
        <v>2.5</v>
      </c>
      <c r="G1176" s="40">
        <v>2.5</v>
      </c>
      <c r="H1176" s="3">
        <f t="shared" si="193"/>
        <v>0</v>
      </c>
      <c r="I1176" s="3">
        <f t="shared" si="194"/>
        <v>0.76041666666666663</v>
      </c>
      <c r="J1176" s="3">
        <f t="shared" si="195"/>
        <v>0.76041666666666663</v>
      </c>
      <c r="K1176" s="3"/>
      <c r="L1176" s="60">
        <f t="shared" si="196"/>
        <v>175.98111111111103</v>
      </c>
      <c r="M1176" s="40">
        <v>0</v>
      </c>
      <c r="N1176" s="40">
        <v>0</v>
      </c>
      <c r="O1176" s="40">
        <v>0</v>
      </c>
      <c r="P1176" s="40">
        <v>0</v>
      </c>
      <c r="Q1176" s="40">
        <v>1.9</v>
      </c>
      <c r="R1176" s="40">
        <v>0</v>
      </c>
      <c r="S1176" s="61">
        <f t="shared" si="197"/>
        <v>31.099999999999973</v>
      </c>
      <c r="T1176" s="40">
        <v>0</v>
      </c>
      <c r="U1176" s="40">
        <v>0</v>
      </c>
      <c r="V1176" s="40">
        <v>2</v>
      </c>
      <c r="W1176" s="40">
        <v>0</v>
      </c>
      <c r="X1176" s="67">
        <f t="shared" si="198"/>
        <v>184</v>
      </c>
      <c r="Z1176" s="71"/>
      <c r="AA1176" s="71"/>
      <c r="AB1176" s="67" t="str">
        <f t="shared" si="199"/>
        <v/>
      </c>
      <c r="AD1176" s="121"/>
      <c r="AE1176" s="121"/>
    </row>
    <row r="1177" spans="1:31" x14ac:dyDescent="0.25">
      <c r="A1177" s="105" t="s">
        <v>1164</v>
      </c>
      <c r="B1177" s="7">
        <v>0.45833333333333331</v>
      </c>
      <c r="C1177" s="3">
        <f t="shared" si="192"/>
        <v>3</v>
      </c>
      <c r="D1177" s="10" t="s">
        <v>265</v>
      </c>
      <c r="E1177" s="40">
        <v>0</v>
      </c>
      <c r="F1177" s="40">
        <v>2.5</v>
      </c>
      <c r="G1177" s="40">
        <v>6</v>
      </c>
      <c r="H1177" s="3">
        <f t="shared" si="193"/>
        <v>0</v>
      </c>
      <c r="I1177" s="3">
        <f t="shared" si="194"/>
        <v>0.3125</v>
      </c>
      <c r="J1177" s="3">
        <f t="shared" si="195"/>
        <v>0.75</v>
      </c>
      <c r="K1177" s="3"/>
      <c r="L1177" s="60">
        <f t="shared" si="196"/>
        <v>174.91861111111103</v>
      </c>
      <c r="M1177" s="40">
        <v>0</v>
      </c>
      <c r="N1177" s="40">
        <v>0</v>
      </c>
      <c r="O1177" s="40">
        <v>0</v>
      </c>
      <c r="P1177" s="40">
        <v>0</v>
      </c>
      <c r="Q1177" s="40">
        <v>0.8</v>
      </c>
      <c r="R1177" s="40">
        <v>0</v>
      </c>
      <c r="S1177" s="61">
        <f t="shared" si="197"/>
        <v>30.299999999999972</v>
      </c>
      <c r="T1177" s="40">
        <v>0</v>
      </c>
      <c r="U1177" s="40">
        <v>0</v>
      </c>
      <c r="V1177" s="40">
        <v>2</v>
      </c>
      <c r="W1177" s="40">
        <v>0</v>
      </c>
      <c r="X1177" s="67">
        <f t="shared" si="198"/>
        <v>182</v>
      </c>
      <c r="Z1177" s="71"/>
      <c r="AA1177" s="71"/>
      <c r="AB1177" s="67" t="str">
        <f t="shared" si="199"/>
        <v/>
      </c>
      <c r="AD1177" s="121"/>
      <c r="AE1177" s="121"/>
    </row>
    <row r="1178" spans="1:31" x14ac:dyDescent="0.25">
      <c r="A1178" s="105" t="s">
        <v>1164</v>
      </c>
      <c r="B1178" s="7">
        <v>0.57916666666666672</v>
      </c>
      <c r="C1178" s="3">
        <f t="shared" si="192"/>
        <v>2.9000000000000017</v>
      </c>
      <c r="D1178" s="10" t="s">
        <v>190</v>
      </c>
      <c r="E1178" s="40">
        <v>0</v>
      </c>
      <c r="F1178" s="40">
        <v>2.5</v>
      </c>
      <c r="G1178" s="40">
        <v>6</v>
      </c>
      <c r="H1178" s="3">
        <f t="shared" si="193"/>
        <v>0</v>
      </c>
      <c r="I1178" s="3">
        <f t="shared" si="194"/>
        <v>0.30208333333333354</v>
      </c>
      <c r="J1178" s="3">
        <f t="shared" si="195"/>
        <v>0.72500000000000042</v>
      </c>
      <c r="K1178" s="3"/>
      <c r="L1178" s="60">
        <f t="shared" si="196"/>
        <v>173.8915277777777</v>
      </c>
      <c r="M1178" s="40">
        <v>0</v>
      </c>
      <c r="N1178" s="40">
        <v>0</v>
      </c>
      <c r="O1178" s="40">
        <v>0</v>
      </c>
      <c r="P1178" s="40">
        <v>0</v>
      </c>
      <c r="Q1178" s="40">
        <v>0</v>
      </c>
      <c r="R1178" s="40">
        <v>0</v>
      </c>
      <c r="S1178" s="61">
        <f t="shared" si="197"/>
        <v>30.299999999999972</v>
      </c>
      <c r="T1178" s="40">
        <v>0</v>
      </c>
      <c r="U1178" s="40">
        <v>0</v>
      </c>
      <c r="V1178" s="40">
        <v>0</v>
      </c>
      <c r="W1178" s="40">
        <v>0</v>
      </c>
      <c r="X1178" s="67">
        <f t="shared" si="198"/>
        <v>182</v>
      </c>
      <c r="Z1178" s="71"/>
      <c r="AA1178" s="71"/>
      <c r="AB1178" s="67" t="str">
        <f t="shared" si="199"/>
        <v/>
      </c>
      <c r="AD1178" s="121"/>
      <c r="AE1178" s="121"/>
    </row>
    <row r="1179" spans="1:31" x14ac:dyDescent="0.25">
      <c r="A1179" s="105" t="s">
        <v>1164</v>
      </c>
      <c r="B1179" s="7">
        <v>0.60833333333333328</v>
      </c>
      <c r="C1179" s="3">
        <f t="shared" si="192"/>
        <v>0.69999999999999751</v>
      </c>
      <c r="D1179" s="10" t="s">
        <v>1011</v>
      </c>
      <c r="E1179" s="40">
        <v>0</v>
      </c>
      <c r="F1179" s="40">
        <v>2.5</v>
      </c>
      <c r="G1179" s="40">
        <v>6</v>
      </c>
      <c r="H1179" s="3">
        <f t="shared" si="193"/>
        <v>0</v>
      </c>
      <c r="I1179" s="3">
        <f t="shared" si="194"/>
        <v>7.2916666666666408E-2</v>
      </c>
      <c r="J1179" s="3">
        <f t="shared" si="195"/>
        <v>0.17499999999999938</v>
      </c>
      <c r="K1179" s="3"/>
      <c r="L1179" s="60">
        <f t="shared" si="196"/>
        <v>173.64361111111103</v>
      </c>
      <c r="M1179" s="40">
        <v>0</v>
      </c>
      <c r="N1179" s="40">
        <v>0</v>
      </c>
      <c r="O1179" s="40">
        <v>0</v>
      </c>
      <c r="P1179" s="40">
        <v>0</v>
      </c>
      <c r="Q1179" s="40">
        <v>0</v>
      </c>
      <c r="R1179" s="40">
        <v>0</v>
      </c>
      <c r="S1179" s="61">
        <f t="shared" si="197"/>
        <v>30.299999999999972</v>
      </c>
      <c r="T1179" s="40">
        <v>0</v>
      </c>
      <c r="U1179" s="40">
        <v>0</v>
      </c>
      <c r="V1179" s="40">
        <v>0</v>
      </c>
      <c r="W1179" s="40">
        <v>0</v>
      </c>
      <c r="X1179" s="67">
        <f t="shared" si="198"/>
        <v>182</v>
      </c>
      <c r="Z1179" s="71"/>
      <c r="AA1179" s="71"/>
      <c r="AB1179" s="67" t="str">
        <f t="shared" si="199"/>
        <v/>
      </c>
      <c r="AD1179" s="121"/>
      <c r="AE1179" s="121"/>
    </row>
    <row r="1180" spans="1:31" x14ac:dyDescent="0.25">
      <c r="A1180" s="105" t="s">
        <v>1164</v>
      </c>
      <c r="B1180" s="7">
        <v>0.6333333333333333</v>
      </c>
      <c r="C1180" s="3">
        <f t="shared" si="192"/>
        <v>0.60000000000000053</v>
      </c>
      <c r="D1180" s="10" t="s">
        <v>988</v>
      </c>
      <c r="E1180" s="40">
        <v>10</v>
      </c>
      <c r="F1180" s="40">
        <v>2.5</v>
      </c>
      <c r="G1180" s="40">
        <v>6</v>
      </c>
      <c r="H1180" s="3">
        <f t="shared" si="193"/>
        <v>0.25000000000000022</v>
      </c>
      <c r="I1180" s="3">
        <f t="shared" si="194"/>
        <v>6.2500000000000056E-2</v>
      </c>
      <c r="J1180" s="3">
        <f t="shared" si="195"/>
        <v>0.15000000000000013</v>
      </c>
      <c r="K1180" s="3"/>
      <c r="L1180" s="60">
        <f t="shared" si="196"/>
        <v>173.18111111111102</v>
      </c>
      <c r="M1180" s="40">
        <v>0</v>
      </c>
      <c r="N1180" s="40">
        <v>0</v>
      </c>
      <c r="O1180" s="40">
        <v>0</v>
      </c>
      <c r="P1180" s="40">
        <v>0</v>
      </c>
      <c r="Q1180" s="40">
        <v>0</v>
      </c>
      <c r="R1180" s="40">
        <v>0</v>
      </c>
      <c r="S1180" s="61">
        <f t="shared" si="197"/>
        <v>30.299999999999972</v>
      </c>
      <c r="T1180" s="40">
        <v>0</v>
      </c>
      <c r="U1180" s="40">
        <v>0</v>
      </c>
      <c r="V1180" s="40">
        <v>0</v>
      </c>
      <c r="W1180" s="40">
        <v>0</v>
      </c>
      <c r="X1180" s="67">
        <f t="shared" si="198"/>
        <v>182</v>
      </c>
      <c r="Z1180" s="71"/>
      <c r="AA1180" s="71"/>
      <c r="AB1180" s="67" t="str">
        <f t="shared" si="199"/>
        <v/>
      </c>
      <c r="AD1180" s="121"/>
      <c r="AE1180" s="121"/>
    </row>
    <row r="1181" spans="1:31" x14ac:dyDescent="0.25">
      <c r="A1181" s="105" t="s">
        <v>1166</v>
      </c>
      <c r="B1181" s="65">
        <v>0.33333333333333331</v>
      </c>
      <c r="C1181" s="3">
        <f t="shared" si="192"/>
        <v>16.8</v>
      </c>
      <c r="D1181" s="10" t="s">
        <v>355</v>
      </c>
      <c r="E1181" s="40">
        <v>25</v>
      </c>
      <c r="F1181" s="40">
        <v>2.5</v>
      </c>
      <c r="G1181" s="40">
        <v>6</v>
      </c>
      <c r="H1181" s="3">
        <f t="shared" si="193"/>
        <v>17.500000000000004</v>
      </c>
      <c r="I1181" s="3">
        <f t="shared" si="194"/>
        <v>1.7500000000000002</v>
      </c>
      <c r="J1181" s="3">
        <f t="shared" si="195"/>
        <v>4.2</v>
      </c>
      <c r="K1181" s="3"/>
      <c r="L1181" s="60">
        <f t="shared" si="196"/>
        <v>149.73111111111103</v>
      </c>
      <c r="M1181" s="40">
        <v>0</v>
      </c>
      <c r="N1181" s="40">
        <v>0.1</v>
      </c>
      <c r="O1181" s="40">
        <v>0</v>
      </c>
      <c r="P1181" s="40">
        <v>0</v>
      </c>
      <c r="Q1181" s="40">
        <v>0</v>
      </c>
      <c r="R1181" s="40">
        <v>0</v>
      </c>
      <c r="S1181" s="61">
        <f t="shared" si="197"/>
        <v>30.199999999999971</v>
      </c>
      <c r="T1181" s="40">
        <v>0</v>
      </c>
      <c r="U1181" s="40">
        <v>0</v>
      </c>
      <c r="V1181" s="40">
        <v>4</v>
      </c>
      <c r="W1181" s="40">
        <v>0</v>
      </c>
      <c r="X1181" s="67">
        <f t="shared" si="198"/>
        <v>178</v>
      </c>
      <c r="Z1181" s="71"/>
      <c r="AA1181" s="71"/>
      <c r="AB1181" s="67" t="str">
        <f t="shared" si="199"/>
        <v/>
      </c>
      <c r="AD1181" s="121"/>
      <c r="AE1181" s="121"/>
    </row>
    <row r="1182" spans="1:31" x14ac:dyDescent="0.25">
      <c r="A1182" s="105" t="s">
        <v>1166</v>
      </c>
      <c r="B1182" s="7">
        <v>0.58333333333333337</v>
      </c>
      <c r="C1182" s="3">
        <f t="shared" si="192"/>
        <v>6.0000000000000018</v>
      </c>
      <c r="D1182" s="10" t="s">
        <v>152</v>
      </c>
      <c r="E1182" s="40">
        <v>25</v>
      </c>
      <c r="F1182" s="40">
        <v>2.5</v>
      </c>
      <c r="G1182" s="40">
        <v>6</v>
      </c>
      <c r="H1182" s="3">
        <f t="shared" si="193"/>
        <v>6.2500000000000027</v>
      </c>
      <c r="I1182" s="3">
        <f t="shared" si="194"/>
        <v>0.62500000000000022</v>
      </c>
      <c r="J1182" s="3">
        <f t="shared" si="195"/>
        <v>1.5000000000000004</v>
      </c>
      <c r="K1182" s="3"/>
      <c r="L1182" s="60">
        <f t="shared" si="196"/>
        <v>141.35611111111103</v>
      </c>
      <c r="M1182" s="40">
        <v>0</v>
      </c>
      <c r="N1182" s="40">
        <v>0.1</v>
      </c>
      <c r="O1182" s="40">
        <v>0</v>
      </c>
      <c r="P1182" s="40">
        <v>0</v>
      </c>
      <c r="Q1182" s="40">
        <v>0</v>
      </c>
      <c r="R1182" s="40">
        <v>0</v>
      </c>
      <c r="S1182" s="61">
        <f t="shared" si="197"/>
        <v>30.099999999999969</v>
      </c>
      <c r="T1182" s="40">
        <v>0</v>
      </c>
      <c r="U1182" s="40">
        <v>0</v>
      </c>
      <c r="V1182" s="40">
        <v>2</v>
      </c>
      <c r="W1182" s="40">
        <v>0</v>
      </c>
      <c r="X1182" s="67">
        <f t="shared" si="198"/>
        <v>176</v>
      </c>
      <c r="Z1182" s="71"/>
      <c r="AA1182" s="71"/>
      <c r="AB1182" s="67" t="str">
        <f t="shared" si="199"/>
        <v/>
      </c>
      <c r="AD1182" s="121">
        <v>11.2</v>
      </c>
      <c r="AE1182" s="121" t="s">
        <v>1296</v>
      </c>
    </row>
    <row r="1183" spans="1:31" x14ac:dyDescent="0.25">
      <c r="A1183" s="105" t="s">
        <v>1166</v>
      </c>
      <c r="B1183" s="7">
        <v>0.63750000000000007</v>
      </c>
      <c r="C1183" s="3">
        <f t="shared" si="192"/>
        <v>1.3000000000000007</v>
      </c>
      <c r="D1183" s="10" t="s">
        <v>190</v>
      </c>
      <c r="E1183" s="40">
        <v>0</v>
      </c>
      <c r="F1183" s="40">
        <v>2.5</v>
      </c>
      <c r="G1183" s="40">
        <v>2.5</v>
      </c>
      <c r="H1183" s="3">
        <f t="shared" si="193"/>
        <v>0</v>
      </c>
      <c r="I1183" s="3">
        <f t="shared" si="194"/>
        <v>0.13541666666666674</v>
      </c>
      <c r="J1183" s="3">
        <f t="shared" si="195"/>
        <v>0.13541666666666674</v>
      </c>
      <c r="K1183" s="3"/>
      <c r="L1183" s="60">
        <f t="shared" si="196"/>
        <v>141.08527777777769</v>
      </c>
      <c r="M1183" s="40">
        <v>0</v>
      </c>
      <c r="N1183" s="40">
        <v>0</v>
      </c>
      <c r="O1183" s="40">
        <v>0</v>
      </c>
      <c r="P1183" s="40">
        <v>0</v>
      </c>
      <c r="Q1183" s="40">
        <v>0</v>
      </c>
      <c r="R1183" s="40">
        <v>0</v>
      </c>
      <c r="S1183" s="61">
        <f t="shared" si="197"/>
        <v>30.099999999999969</v>
      </c>
      <c r="T1183" s="40">
        <v>0</v>
      </c>
      <c r="U1183" s="40">
        <v>0</v>
      </c>
      <c r="V1183" s="40">
        <v>0</v>
      </c>
      <c r="W1183" s="40">
        <v>0</v>
      </c>
      <c r="X1183" s="67">
        <f t="shared" si="198"/>
        <v>176</v>
      </c>
      <c r="Z1183" s="71"/>
      <c r="AA1183" s="71"/>
      <c r="AB1183" s="67" t="str">
        <f t="shared" si="199"/>
        <v/>
      </c>
      <c r="AD1183" s="121"/>
      <c r="AE1183" s="121"/>
    </row>
    <row r="1184" spans="1:31" x14ac:dyDescent="0.25">
      <c r="A1184" s="105" t="s">
        <v>1166</v>
      </c>
      <c r="B1184" s="7">
        <v>0.66249999999999998</v>
      </c>
      <c r="C1184" s="3">
        <f t="shared" si="192"/>
        <v>0.59999999999999787</v>
      </c>
      <c r="D1184" s="10" t="s">
        <v>1167</v>
      </c>
      <c r="E1184" s="40">
        <v>10</v>
      </c>
      <c r="F1184" s="40">
        <v>2.5</v>
      </c>
      <c r="G1184" s="40">
        <v>2.5</v>
      </c>
      <c r="H1184" s="3">
        <f t="shared" si="193"/>
        <v>0.24999999999999911</v>
      </c>
      <c r="I1184" s="3">
        <f t="shared" si="194"/>
        <v>6.2499999999999778E-2</v>
      </c>
      <c r="J1184" s="3">
        <f t="shared" si="195"/>
        <v>6.2499999999999778E-2</v>
      </c>
      <c r="K1184" s="3"/>
      <c r="L1184" s="60">
        <f t="shared" si="196"/>
        <v>140.71027777777769</v>
      </c>
      <c r="M1184" s="40">
        <v>0</v>
      </c>
      <c r="N1184" s="40">
        <v>0</v>
      </c>
      <c r="O1184" s="40">
        <v>0</v>
      </c>
      <c r="P1184" s="40">
        <v>0</v>
      </c>
      <c r="Q1184" s="40">
        <v>0</v>
      </c>
      <c r="R1184" s="40">
        <v>0</v>
      </c>
      <c r="S1184" s="61">
        <f t="shared" si="197"/>
        <v>30.099999999999969</v>
      </c>
      <c r="T1184" s="40">
        <v>0</v>
      </c>
      <c r="U1184" s="40">
        <v>0</v>
      </c>
      <c r="V1184" s="40">
        <v>0</v>
      </c>
      <c r="W1184" s="40">
        <v>0</v>
      </c>
      <c r="X1184" s="67">
        <f t="shared" si="198"/>
        <v>176</v>
      </c>
      <c r="Z1184" s="71"/>
      <c r="AA1184" s="71"/>
      <c r="AB1184" s="67" t="str">
        <f t="shared" si="199"/>
        <v/>
      </c>
      <c r="AD1184" s="121"/>
      <c r="AE1184" s="121"/>
    </row>
    <row r="1185" spans="1:31" x14ac:dyDescent="0.25">
      <c r="A1185" s="105" t="s">
        <v>1166</v>
      </c>
      <c r="B1185" s="7">
        <v>0.8125</v>
      </c>
      <c r="C1185" s="3">
        <f t="shared" si="192"/>
        <v>3.6000000000000005</v>
      </c>
      <c r="D1185" s="10" t="s">
        <v>1004</v>
      </c>
      <c r="E1185" s="40">
        <v>0</v>
      </c>
      <c r="F1185" s="40">
        <v>2.5</v>
      </c>
      <c r="G1185" s="40">
        <v>2.5</v>
      </c>
      <c r="H1185" s="3">
        <f t="shared" si="193"/>
        <v>0</v>
      </c>
      <c r="I1185" s="3">
        <f t="shared" si="194"/>
        <v>0.37500000000000006</v>
      </c>
      <c r="J1185" s="3">
        <f t="shared" si="195"/>
        <v>0.37500000000000006</v>
      </c>
      <c r="K1185" s="3"/>
      <c r="L1185" s="60">
        <f t="shared" si="196"/>
        <v>139.96027777777769</v>
      </c>
      <c r="M1185" s="40">
        <v>0</v>
      </c>
      <c r="N1185" s="40">
        <v>0</v>
      </c>
      <c r="O1185" s="40">
        <v>0</v>
      </c>
      <c r="P1185" s="40">
        <v>0</v>
      </c>
      <c r="Q1185" s="40">
        <v>0</v>
      </c>
      <c r="R1185" s="40">
        <v>0</v>
      </c>
      <c r="S1185" s="61">
        <f t="shared" si="197"/>
        <v>30.099999999999969</v>
      </c>
      <c r="T1185" s="40">
        <v>0</v>
      </c>
      <c r="U1185" s="40">
        <v>0</v>
      </c>
      <c r="V1185" s="40">
        <v>0</v>
      </c>
      <c r="W1185" s="40">
        <v>0</v>
      </c>
      <c r="X1185" s="67">
        <f t="shared" si="198"/>
        <v>176</v>
      </c>
      <c r="Z1185" s="71"/>
      <c r="AA1185" s="71"/>
      <c r="AB1185" s="67" t="str">
        <f t="shared" si="199"/>
        <v/>
      </c>
      <c r="AD1185" s="121"/>
      <c r="AE1185" s="121"/>
    </row>
    <row r="1186" spans="1:31" x14ac:dyDescent="0.25">
      <c r="A1186" s="105" t="s">
        <v>1168</v>
      </c>
      <c r="B1186" s="65">
        <v>0.33333333333333331</v>
      </c>
      <c r="C1186" s="3">
        <f t="shared" si="192"/>
        <v>12.5</v>
      </c>
      <c r="D1186" s="10" t="s">
        <v>966</v>
      </c>
      <c r="E1186" s="40">
        <v>0</v>
      </c>
      <c r="F1186" s="40">
        <v>2.5</v>
      </c>
      <c r="G1186" s="40">
        <v>2.5</v>
      </c>
      <c r="H1186" s="3">
        <f t="shared" si="193"/>
        <v>0</v>
      </c>
      <c r="I1186" s="3">
        <f t="shared" si="194"/>
        <v>1.3020833333333335</v>
      </c>
      <c r="J1186" s="3">
        <f t="shared" si="195"/>
        <v>1.3020833333333335</v>
      </c>
      <c r="K1186" s="3"/>
      <c r="L1186" s="60">
        <f t="shared" si="196"/>
        <v>137.35611111111103</v>
      </c>
      <c r="M1186" s="40">
        <v>0</v>
      </c>
      <c r="N1186" s="40">
        <v>0</v>
      </c>
      <c r="O1186" s="40">
        <v>0</v>
      </c>
      <c r="P1186" s="40">
        <v>0</v>
      </c>
      <c r="Q1186" s="40">
        <v>3.3</v>
      </c>
      <c r="R1186" s="40">
        <v>0</v>
      </c>
      <c r="S1186" s="61">
        <f t="shared" si="197"/>
        <v>26.799999999999969</v>
      </c>
      <c r="T1186" s="40">
        <v>0</v>
      </c>
      <c r="U1186" s="40">
        <v>0</v>
      </c>
      <c r="V1186" s="40">
        <v>4</v>
      </c>
      <c r="W1186" s="40">
        <v>0</v>
      </c>
      <c r="X1186" s="67">
        <f t="shared" si="198"/>
        <v>172</v>
      </c>
      <c r="Z1186" s="71"/>
      <c r="AA1186" s="71"/>
      <c r="AB1186" s="67" t="str">
        <f t="shared" si="199"/>
        <v/>
      </c>
      <c r="AD1186" s="121"/>
      <c r="AE1186" s="121"/>
    </row>
    <row r="1187" spans="1:31" x14ac:dyDescent="0.25">
      <c r="A1187" s="105" t="s">
        <v>1168</v>
      </c>
      <c r="B1187" s="7">
        <v>0.4916666666666667</v>
      </c>
      <c r="C1187" s="3">
        <f t="shared" si="192"/>
        <v>3.8000000000000012</v>
      </c>
      <c r="D1187" s="10" t="s">
        <v>265</v>
      </c>
      <c r="E1187" s="40">
        <v>0</v>
      </c>
      <c r="F1187" s="40">
        <v>2.5</v>
      </c>
      <c r="G1187" s="40">
        <v>2.5</v>
      </c>
      <c r="H1187" s="3">
        <f t="shared" si="193"/>
        <v>0</v>
      </c>
      <c r="I1187" s="3">
        <f t="shared" si="194"/>
        <v>0.39583333333333348</v>
      </c>
      <c r="J1187" s="3">
        <f t="shared" si="195"/>
        <v>0.39583333333333348</v>
      </c>
      <c r="K1187" s="3"/>
      <c r="L1187" s="60">
        <f t="shared" si="196"/>
        <v>136.56444444444438</v>
      </c>
      <c r="M1187" s="40">
        <v>0</v>
      </c>
      <c r="N1187" s="40">
        <v>0</v>
      </c>
      <c r="O1187" s="40">
        <v>0</v>
      </c>
      <c r="P1187" s="40">
        <v>0</v>
      </c>
      <c r="Q1187" s="40">
        <v>1</v>
      </c>
      <c r="R1187" s="40">
        <v>0</v>
      </c>
      <c r="S1187" s="61">
        <f t="shared" si="197"/>
        <v>25.799999999999969</v>
      </c>
      <c r="T1187" s="40">
        <v>0</v>
      </c>
      <c r="U1187" s="40">
        <v>0</v>
      </c>
      <c r="V1187" s="40">
        <v>2</v>
      </c>
      <c r="W1187" s="40">
        <v>0</v>
      </c>
      <c r="X1187" s="67">
        <f t="shared" si="198"/>
        <v>170</v>
      </c>
      <c r="Z1187" s="71"/>
      <c r="AA1187" s="71"/>
      <c r="AB1187" s="67" t="str">
        <f t="shared" si="199"/>
        <v/>
      </c>
      <c r="AD1187" s="121"/>
      <c r="AE1187" s="121"/>
    </row>
    <row r="1188" spans="1:31" x14ac:dyDescent="0.25">
      <c r="A1188" s="105" t="s">
        <v>1168</v>
      </c>
      <c r="B1188" s="7">
        <v>0.59166666666666667</v>
      </c>
      <c r="C1188" s="3">
        <f t="shared" si="192"/>
        <v>2.3999999999999995</v>
      </c>
      <c r="D1188" s="10" t="s">
        <v>190</v>
      </c>
      <c r="E1188" s="40">
        <v>0</v>
      </c>
      <c r="F1188" s="40">
        <v>2.5</v>
      </c>
      <c r="G1188" s="40">
        <v>2.5</v>
      </c>
      <c r="H1188" s="3">
        <f t="shared" si="193"/>
        <v>0</v>
      </c>
      <c r="I1188" s="3">
        <f t="shared" si="194"/>
        <v>0.24999999999999994</v>
      </c>
      <c r="J1188" s="3">
        <f t="shared" si="195"/>
        <v>0.24999999999999994</v>
      </c>
      <c r="K1188" s="3"/>
      <c r="L1188" s="60">
        <f t="shared" si="196"/>
        <v>136.06444444444438</v>
      </c>
      <c r="M1188" s="40">
        <v>0</v>
      </c>
      <c r="N1188" s="40">
        <v>0</v>
      </c>
      <c r="O1188" s="40">
        <v>0</v>
      </c>
      <c r="P1188" s="40">
        <v>0</v>
      </c>
      <c r="Q1188" s="40">
        <v>0</v>
      </c>
      <c r="R1188" s="40">
        <v>0</v>
      </c>
      <c r="S1188" s="61">
        <f t="shared" si="197"/>
        <v>25.799999999999969</v>
      </c>
      <c r="T1188" s="40">
        <v>0</v>
      </c>
      <c r="U1188" s="40">
        <v>0</v>
      </c>
      <c r="V1188" s="40">
        <v>1</v>
      </c>
      <c r="W1188" s="40">
        <v>0</v>
      </c>
      <c r="X1188" s="67">
        <f t="shared" si="198"/>
        <v>169</v>
      </c>
      <c r="Z1188" s="71"/>
      <c r="AA1188" s="71"/>
      <c r="AB1188" s="67" t="str">
        <f t="shared" si="199"/>
        <v/>
      </c>
      <c r="AD1188" s="121"/>
      <c r="AE1188" s="121"/>
    </row>
    <row r="1189" spans="1:31" x14ac:dyDescent="0.25">
      <c r="A1189" s="105" t="s">
        <v>1168</v>
      </c>
      <c r="B1189" s="7">
        <v>0.62916666666666665</v>
      </c>
      <c r="C1189" s="3">
        <f t="shared" si="192"/>
        <v>0.89999999999999947</v>
      </c>
      <c r="D1189" s="10" t="s">
        <v>988</v>
      </c>
      <c r="E1189" s="40">
        <v>10</v>
      </c>
      <c r="F1189" s="40">
        <v>2.5</v>
      </c>
      <c r="G1189" s="40">
        <v>2.5</v>
      </c>
      <c r="H1189" s="3">
        <f t="shared" si="193"/>
        <v>0.37499999999999978</v>
      </c>
      <c r="I1189" s="3">
        <f t="shared" si="194"/>
        <v>9.3749999999999944E-2</v>
      </c>
      <c r="J1189" s="3">
        <f t="shared" si="195"/>
        <v>9.3749999999999944E-2</v>
      </c>
      <c r="K1189" s="3"/>
      <c r="L1189" s="60">
        <f t="shared" si="196"/>
        <v>135.50194444444438</v>
      </c>
      <c r="M1189" s="40">
        <v>0</v>
      </c>
      <c r="N1189" s="40">
        <v>0</v>
      </c>
      <c r="O1189" s="40">
        <v>0</v>
      </c>
      <c r="P1189" s="40">
        <v>0</v>
      </c>
      <c r="Q1189" s="40">
        <v>0</v>
      </c>
      <c r="R1189" s="40">
        <v>0</v>
      </c>
      <c r="S1189" s="61">
        <f t="shared" si="197"/>
        <v>25.799999999999969</v>
      </c>
      <c r="T1189" s="40">
        <v>0</v>
      </c>
      <c r="U1189" s="40">
        <v>0</v>
      </c>
      <c r="V1189" s="40">
        <v>0</v>
      </c>
      <c r="W1189" s="40">
        <v>0</v>
      </c>
      <c r="X1189" s="67">
        <f t="shared" si="198"/>
        <v>169</v>
      </c>
      <c r="Z1189" s="71"/>
      <c r="AA1189" s="71"/>
      <c r="AB1189" s="67" t="str">
        <f t="shared" si="199"/>
        <v/>
      </c>
      <c r="AD1189" s="121"/>
      <c r="AE1189" s="121"/>
    </row>
    <row r="1190" spans="1:31" x14ac:dyDescent="0.25">
      <c r="A1190" s="105" t="s">
        <v>1169</v>
      </c>
      <c r="B1190" s="7">
        <v>0</v>
      </c>
      <c r="C1190" s="3">
        <f t="shared" si="192"/>
        <v>8.9</v>
      </c>
      <c r="D1190" s="10" t="s">
        <v>1003</v>
      </c>
      <c r="E1190" s="40">
        <v>25</v>
      </c>
      <c r="F1190" s="40">
        <v>2.5</v>
      </c>
      <c r="G1190" s="40">
        <v>2.5</v>
      </c>
      <c r="H1190" s="3">
        <f t="shared" si="193"/>
        <v>9.2708333333333339</v>
      </c>
      <c r="I1190" s="3">
        <f t="shared" si="194"/>
        <v>0.92708333333333337</v>
      </c>
      <c r="J1190" s="3">
        <f t="shared" si="195"/>
        <v>0.92708333333333337</v>
      </c>
      <c r="K1190" s="3"/>
      <c r="L1190" s="60">
        <f t="shared" si="196"/>
        <v>124.37694444444438</v>
      </c>
      <c r="M1190" s="40">
        <v>0</v>
      </c>
      <c r="N1190" s="40">
        <v>0</v>
      </c>
      <c r="O1190" s="40">
        <v>0</v>
      </c>
      <c r="P1190" s="40">
        <v>0</v>
      </c>
      <c r="Q1190" s="40">
        <v>0</v>
      </c>
      <c r="R1190" s="40">
        <v>0</v>
      </c>
      <c r="S1190" s="61">
        <f t="shared" si="197"/>
        <v>25.799999999999969</v>
      </c>
      <c r="T1190" s="40">
        <v>0</v>
      </c>
      <c r="U1190" s="40">
        <v>0</v>
      </c>
      <c r="V1190" s="40">
        <v>2</v>
      </c>
      <c r="W1190" s="40">
        <v>0</v>
      </c>
      <c r="X1190" s="67">
        <f t="shared" si="198"/>
        <v>167</v>
      </c>
      <c r="Z1190" s="71"/>
      <c r="AA1190" s="71"/>
      <c r="AB1190" s="67" t="str">
        <f t="shared" si="199"/>
        <v/>
      </c>
      <c r="AD1190" s="121">
        <v>10.8</v>
      </c>
      <c r="AE1190" s="121" t="s">
        <v>1296</v>
      </c>
    </row>
    <row r="1191" spans="1:31" x14ac:dyDescent="0.25">
      <c r="A1191" s="105" t="s">
        <v>1169</v>
      </c>
      <c r="B1191" s="7">
        <v>6.25E-2</v>
      </c>
      <c r="C1191" s="3">
        <f t="shared" si="192"/>
        <v>1.5</v>
      </c>
      <c r="D1191" s="10" t="s">
        <v>190</v>
      </c>
      <c r="E1191" s="40">
        <v>0</v>
      </c>
      <c r="F1191" s="40">
        <v>2.5</v>
      </c>
      <c r="G1191" s="40">
        <v>6</v>
      </c>
      <c r="H1191" s="3">
        <f t="shared" si="193"/>
        <v>0</v>
      </c>
      <c r="I1191" s="3">
        <f t="shared" si="194"/>
        <v>0.15625</v>
      </c>
      <c r="J1191" s="3">
        <f t="shared" si="195"/>
        <v>0.375</v>
      </c>
      <c r="K1191" s="3"/>
      <c r="L1191" s="60">
        <f t="shared" si="196"/>
        <v>123.84569444444438</v>
      </c>
      <c r="M1191" s="40">
        <v>0</v>
      </c>
      <c r="N1191" s="40">
        <v>0</v>
      </c>
      <c r="O1191" s="40">
        <v>0</v>
      </c>
      <c r="P1191" s="40">
        <v>0</v>
      </c>
      <c r="Q1191" s="40">
        <v>0</v>
      </c>
      <c r="R1191" s="40">
        <v>0</v>
      </c>
      <c r="S1191" s="61">
        <f t="shared" si="197"/>
        <v>25.799999999999969</v>
      </c>
      <c r="T1191" s="40">
        <v>0</v>
      </c>
      <c r="U1191" s="40">
        <v>0</v>
      </c>
      <c r="V1191" s="40">
        <v>0</v>
      </c>
      <c r="W1191" s="40">
        <v>0</v>
      </c>
      <c r="X1191" s="67">
        <f t="shared" si="198"/>
        <v>167</v>
      </c>
      <c r="Z1191" s="71"/>
      <c r="AA1191" s="71"/>
      <c r="AB1191" s="67" t="str">
        <f t="shared" si="199"/>
        <v/>
      </c>
      <c r="AD1191" s="121"/>
      <c r="AE1191" s="121"/>
    </row>
    <row r="1192" spans="1:31" x14ac:dyDescent="0.25">
      <c r="A1192" s="105">
        <v>20.1219</v>
      </c>
      <c r="B1192" s="7">
        <v>9.9999999999999992E-2</v>
      </c>
      <c r="C1192" s="3">
        <f t="shared" si="192"/>
        <v>0.8999999999999998</v>
      </c>
      <c r="D1192" s="10" t="s">
        <v>616</v>
      </c>
      <c r="E1192" s="40">
        <v>10</v>
      </c>
      <c r="F1192" s="40">
        <v>2.5</v>
      </c>
      <c r="G1192" s="40">
        <v>6</v>
      </c>
      <c r="H1192" s="3">
        <f t="shared" si="193"/>
        <v>0.37499999999999994</v>
      </c>
      <c r="I1192" s="3">
        <f t="shared" si="194"/>
        <v>9.3749999999999986E-2</v>
      </c>
      <c r="J1192" s="3">
        <f t="shared" si="195"/>
        <v>0.22499999999999995</v>
      </c>
      <c r="K1192" s="3"/>
      <c r="L1192" s="60">
        <f t="shared" si="196"/>
        <v>123.15194444444438</v>
      </c>
      <c r="M1192" s="40">
        <v>0</v>
      </c>
      <c r="N1192" s="40">
        <v>0</v>
      </c>
      <c r="O1192" s="40">
        <v>0</v>
      </c>
      <c r="P1192" s="40">
        <v>0</v>
      </c>
      <c r="Q1192" s="40">
        <v>0</v>
      </c>
      <c r="R1192" s="40">
        <v>0</v>
      </c>
      <c r="S1192" s="61">
        <f t="shared" si="197"/>
        <v>25.799999999999969</v>
      </c>
      <c r="T1192" s="40">
        <v>0</v>
      </c>
      <c r="U1192" s="40">
        <v>0</v>
      </c>
      <c r="V1192" s="40">
        <v>0</v>
      </c>
      <c r="W1192" s="40">
        <v>0</v>
      </c>
      <c r="X1192" s="67">
        <f t="shared" si="198"/>
        <v>167</v>
      </c>
      <c r="Z1192" s="71"/>
      <c r="AA1192" s="71"/>
      <c r="AB1192" s="67" t="str">
        <f t="shared" si="199"/>
        <v/>
      </c>
      <c r="AD1192" s="121"/>
      <c r="AE1192" s="121"/>
    </row>
    <row r="1193" spans="1:31" x14ac:dyDescent="0.25">
      <c r="A1193" s="105" t="s">
        <v>1169</v>
      </c>
      <c r="B1193" s="7">
        <v>0.27083333333333331</v>
      </c>
      <c r="C1193" s="3">
        <f t="shared" si="192"/>
        <v>4.0999999999999996</v>
      </c>
      <c r="D1193" s="10" t="s">
        <v>1004</v>
      </c>
      <c r="E1193" s="40">
        <v>0</v>
      </c>
      <c r="F1193" s="40">
        <v>2.5</v>
      </c>
      <c r="G1193" s="40">
        <v>6</v>
      </c>
      <c r="H1193" s="3">
        <f t="shared" si="193"/>
        <v>0</v>
      </c>
      <c r="I1193" s="3">
        <f t="shared" si="194"/>
        <v>0.42708333333333331</v>
      </c>
      <c r="J1193" s="3">
        <f t="shared" si="195"/>
        <v>1.0249999999999999</v>
      </c>
      <c r="K1193" s="3"/>
      <c r="L1193" s="60">
        <f t="shared" si="196"/>
        <v>121.69986111111105</v>
      </c>
      <c r="M1193" s="40">
        <v>0</v>
      </c>
      <c r="N1193" s="40">
        <v>0</v>
      </c>
      <c r="O1193" s="40">
        <v>0</v>
      </c>
      <c r="P1193" s="40">
        <v>0</v>
      </c>
      <c r="Q1193" s="40">
        <v>0</v>
      </c>
      <c r="R1193" s="40">
        <v>0</v>
      </c>
      <c r="S1193" s="61">
        <f t="shared" si="197"/>
        <v>25.799999999999969</v>
      </c>
      <c r="T1193" s="40">
        <v>0</v>
      </c>
      <c r="U1193" s="40">
        <v>0</v>
      </c>
      <c r="V1193" s="40">
        <v>0</v>
      </c>
      <c r="W1193" s="40">
        <v>0</v>
      </c>
      <c r="X1193" s="67">
        <f t="shared" si="198"/>
        <v>167</v>
      </c>
      <c r="Z1193" s="71"/>
      <c r="AA1193" s="71"/>
      <c r="AB1193" s="67" t="str">
        <f t="shared" si="199"/>
        <v/>
      </c>
      <c r="AD1193" s="121"/>
      <c r="AE1193" s="121"/>
    </row>
    <row r="1194" spans="1:31" x14ac:dyDescent="0.25">
      <c r="A1194" s="105" t="s">
        <v>1169</v>
      </c>
      <c r="B1194" s="65">
        <v>0.33333333333333331</v>
      </c>
      <c r="C1194" s="3">
        <f t="shared" si="192"/>
        <v>1.5</v>
      </c>
      <c r="D1194" s="10" t="s">
        <v>1170</v>
      </c>
      <c r="E1194" s="40">
        <v>0</v>
      </c>
      <c r="F1194" s="40">
        <v>2.2000000000000002</v>
      </c>
      <c r="G1194" s="40">
        <v>6</v>
      </c>
      <c r="H1194" s="3">
        <f t="shared" si="193"/>
        <v>0</v>
      </c>
      <c r="I1194" s="3">
        <f t="shared" si="194"/>
        <v>0.13750000000000001</v>
      </c>
      <c r="J1194" s="3">
        <f t="shared" si="195"/>
        <v>0.375</v>
      </c>
      <c r="K1194" s="3"/>
      <c r="L1194" s="60">
        <f t="shared" si="196"/>
        <v>121.18736111111104</v>
      </c>
      <c r="M1194" s="40">
        <v>0</v>
      </c>
      <c r="N1194" s="40">
        <v>0</v>
      </c>
      <c r="O1194" s="40">
        <v>0</v>
      </c>
      <c r="P1194" s="40">
        <v>0</v>
      </c>
      <c r="Q1194" s="40">
        <v>0.4</v>
      </c>
      <c r="R1194" s="40">
        <v>0</v>
      </c>
      <c r="S1194" s="61">
        <f t="shared" si="197"/>
        <v>25.39999999999997</v>
      </c>
      <c r="T1194" s="40">
        <v>0</v>
      </c>
      <c r="U1194" s="40">
        <v>0</v>
      </c>
      <c r="V1194" s="40">
        <v>1</v>
      </c>
      <c r="W1194" s="40">
        <v>0</v>
      </c>
      <c r="X1194" s="67">
        <f t="shared" si="198"/>
        <v>166</v>
      </c>
      <c r="Z1194" s="71"/>
      <c r="AA1194" s="71"/>
      <c r="AB1194" s="67" t="str">
        <f t="shared" si="199"/>
        <v/>
      </c>
      <c r="AD1194" s="121"/>
      <c r="AE1194" s="121"/>
    </row>
    <row r="1195" spans="1:31" x14ac:dyDescent="0.25">
      <c r="A1195" s="105" t="s">
        <v>1169</v>
      </c>
      <c r="B1195" s="7">
        <v>0.65833333333333333</v>
      </c>
      <c r="C1195" s="3">
        <f t="shared" si="192"/>
        <v>7.8000000000000007</v>
      </c>
      <c r="D1195" s="10" t="s">
        <v>265</v>
      </c>
      <c r="E1195" s="40">
        <v>0</v>
      </c>
      <c r="F1195" s="40">
        <v>2.5</v>
      </c>
      <c r="G1195" s="40">
        <v>6</v>
      </c>
      <c r="H1195" s="3">
        <f t="shared" si="193"/>
        <v>0</v>
      </c>
      <c r="I1195" s="3">
        <f t="shared" si="194"/>
        <v>0.81250000000000011</v>
      </c>
      <c r="J1195" s="3">
        <f t="shared" si="195"/>
        <v>1.9500000000000002</v>
      </c>
      <c r="K1195" s="3"/>
      <c r="L1195" s="60">
        <f t="shared" si="196"/>
        <v>118.42486111111104</v>
      </c>
      <c r="M1195" s="40">
        <v>0</v>
      </c>
      <c r="N1195" s="40">
        <v>0</v>
      </c>
      <c r="O1195" s="40">
        <v>0</v>
      </c>
      <c r="P1195" s="40">
        <v>0</v>
      </c>
      <c r="Q1195" s="40">
        <v>2</v>
      </c>
      <c r="R1195" s="40">
        <v>0</v>
      </c>
      <c r="S1195" s="61">
        <f t="shared" si="197"/>
        <v>23.39999999999997</v>
      </c>
      <c r="T1195" s="40">
        <v>0</v>
      </c>
      <c r="U1195" s="40">
        <v>0</v>
      </c>
      <c r="V1195" s="40">
        <v>3</v>
      </c>
      <c r="W1195" s="40">
        <v>0</v>
      </c>
      <c r="X1195" s="67">
        <f t="shared" si="198"/>
        <v>163</v>
      </c>
      <c r="Z1195" s="71"/>
      <c r="AA1195" s="71"/>
      <c r="AB1195" s="67" t="str">
        <f t="shared" si="199"/>
        <v/>
      </c>
      <c r="AD1195" s="121"/>
      <c r="AE1195" s="121"/>
    </row>
    <row r="1196" spans="1:31" x14ac:dyDescent="0.25">
      <c r="A1196" s="105" t="s">
        <v>1169</v>
      </c>
      <c r="B1196" s="7">
        <v>0.77500000000000002</v>
      </c>
      <c r="C1196" s="3">
        <f t="shared" si="192"/>
        <v>2.8000000000000007</v>
      </c>
      <c r="D1196" s="10" t="s">
        <v>190</v>
      </c>
      <c r="E1196" s="40">
        <v>0</v>
      </c>
      <c r="F1196" s="40">
        <v>2.5</v>
      </c>
      <c r="G1196" s="40">
        <v>2.5</v>
      </c>
      <c r="H1196" s="3">
        <f t="shared" si="193"/>
        <v>0</v>
      </c>
      <c r="I1196" s="3">
        <f t="shared" si="194"/>
        <v>0.29166666666666674</v>
      </c>
      <c r="J1196" s="3">
        <f t="shared" si="195"/>
        <v>0.29166666666666674</v>
      </c>
      <c r="K1196" s="3"/>
      <c r="L1196" s="60">
        <f t="shared" si="196"/>
        <v>117.84152777777771</v>
      </c>
      <c r="M1196" s="40">
        <v>0</v>
      </c>
      <c r="N1196" s="40">
        <v>0</v>
      </c>
      <c r="O1196" s="40">
        <v>0</v>
      </c>
      <c r="P1196" s="40">
        <v>0</v>
      </c>
      <c r="Q1196" s="40">
        <v>0</v>
      </c>
      <c r="R1196" s="40">
        <v>0</v>
      </c>
      <c r="S1196" s="61">
        <f t="shared" si="197"/>
        <v>23.39999999999997</v>
      </c>
      <c r="T1196" s="40">
        <v>0</v>
      </c>
      <c r="U1196" s="40">
        <v>0</v>
      </c>
      <c r="V1196" s="40">
        <v>2</v>
      </c>
      <c r="W1196" s="40">
        <v>0</v>
      </c>
      <c r="X1196" s="67">
        <f t="shared" si="198"/>
        <v>161</v>
      </c>
      <c r="Z1196" s="71"/>
      <c r="AA1196" s="71"/>
      <c r="AB1196" s="67" t="str">
        <f t="shared" si="199"/>
        <v/>
      </c>
      <c r="AD1196" s="121"/>
      <c r="AE1196" s="121"/>
    </row>
    <row r="1197" spans="1:31" x14ac:dyDescent="0.25">
      <c r="A1197" s="105" t="s">
        <v>1169</v>
      </c>
      <c r="B1197" s="7">
        <v>0.84166666666666667</v>
      </c>
      <c r="C1197" s="3">
        <f t="shared" si="192"/>
        <v>1.5999999999999996</v>
      </c>
      <c r="D1197" s="10" t="s">
        <v>988</v>
      </c>
      <c r="E1197" s="40">
        <v>10</v>
      </c>
      <c r="F1197" s="40">
        <v>2.5</v>
      </c>
      <c r="G1197" s="40">
        <v>2.5</v>
      </c>
      <c r="H1197" s="3">
        <f t="shared" si="193"/>
        <v>0.66666666666666652</v>
      </c>
      <c r="I1197" s="3">
        <f t="shared" si="194"/>
        <v>0.16666666666666663</v>
      </c>
      <c r="J1197" s="3">
        <f t="shared" si="195"/>
        <v>0.16666666666666663</v>
      </c>
      <c r="K1197" s="3"/>
      <c r="L1197" s="60">
        <f t="shared" si="196"/>
        <v>116.84152777777771</v>
      </c>
      <c r="M1197" s="40">
        <v>0</v>
      </c>
      <c r="N1197" s="40">
        <v>0</v>
      </c>
      <c r="O1197" s="40">
        <v>0</v>
      </c>
      <c r="P1197" s="40">
        <v>0</v>
      </c>
      <c r="Q1197" s="40">
        <v>0</v>
      </c>
      <c r="R1197" s="40">
        <v>0</v>
      </c>
      <c r="S1197" s="61">
        <f t="shared" si="197"/>
        <v>23.39999999999997</v>
      </c>
      <c r="T1197" s="40">
        <v>0</v>
      </c>
      <c r="U1197" s="40">
        <v>0</v>
      </c>
      <c r="V1197" s="40">
        <v>0</v>
      </c>
      <c r="W1197" s="40">
        <v>0</v>
      </c>
      <c r="X1197" s="67">
        <f t="shared" si="198"/>
        <v>161</v>
      </c>
      <c r="Z1197" s="71"/>
      <c r="AA1197" s="71"/>
      <c r="AB1197" s="67" t="str">
        <f t="shared" si="199"/>
        <v/>
      </c>
      <c r="AD1197" s="121"/>
      <c r="AE1197" s="121"/>
    </row>
    <row r="1198" spans="1:31" x14ac:dyDescent="0.25">
      <c r="A1198" s="105" t="s">
        <v>1173</v>
      </c>
      <c r="B1198" s="7">
        <v>7.0833333333333331E-2</v>
      </c>
      <c r="C1198" s="3">
        <f t="shared" si="192"/>
        <v>5.5</v>
      </c>
      <c r="D1198" s="10" t="s">
        <v>1171</v>
      </c>
      <c r="E1198" s="40">
        <v>25</v>
      </c>
      <c r="F1198" s="40">
        <v>2.5</v>
      </c>
      <c r="G1198" s="40">
        <v>2.5</v>
      </c>
      <c r="H1198" s="3">
        <f t="shared" si="193"/>
        <v>5.729166666666667</v>
      </c>
      <c r="I1198" s="3">
        <f t="shared" si="194"/>
        <v>0.57291666666666674</v>
      </c>
      <c r="J1198" s="3">
        <f t="shared" si="195"/>
        <v>0.57291666666666674</v>
      </c>
      <c r="K1198" s="3"/>
      <c r="L1198" s="60">
        <f t="shared" si="196"/>
        <v>109.96652777777771</v>
      </c>
      <c r="M1198" s="40">
        <v>0</v>
      </c>
      <c r="N1198" s="40">
        <v>0</v>
      </c>
      <c r="O1198" s="40">
        <v>0</v>
      </c>
      <c r="P1198" s="40">
        <v>0</v>
      </c>
      <c r="Q1198" s="40">
        <v>0</v>
      </c>
      <c r="R1198" s="40">
        <v>0</v>
      </c>
      <c r="S1198" s="61">
        <f t="shared" si="197"/>
        <v>23.39999999999997</v>
      </c>
      <c r="T1198" s="40">
        <v>0</v>
      </c>
      <c r="U1198" s="40">
        <v>0</v>
      </c>
      <c r="V1198" s="40">
        <v>2</v>
      </c>
      <c r="W1198" s="40">
        <v>0</v>
      </c>
      <c r="X1198" s="67">
        <f t="shared" si="198"/>
        <v>159</v>
      </c>
      <c r="Z1198" s="71"/>
      <c r="AA1198" s="71"/>
      <c r="AB1198" s="67" t="str">
        <f t="shared" si="199"/>
        <v/>
      </c>
      <c r="AD1198" s="121">
        <v>11.5</v>
      </c>
      <c r="AE1198" s="121" t="s">
        <v>1296</v>
      </c>
    </row>
    <row r="1199" spans="1:31" x14ac:dyDescent="0.25">
      <c r="A1199" s="105" t="s">
        <v>1173</v>
      </c>
      <c r="B1199" s="7">
        <v>9.9999999999999992E-2</v>
      </c>
      <c r="C1199" s="3">
        <f t="shared" si="192"/>
        <v>0.69999999999999984</v>
      </c>
      <c r="D1199" s="10" t="s">
        <v>1172</v>
      </c>
      <c r="E1199" s="40">
        <v>15</v>
      </c>
      <c r="F1199" s="40">
        <v>2.5</v>
      </c>
      <c r="G1199" s="40">
        <v>2.5</v>
      </c>
      <c r="H1199" s="3">
        <f t="shared" si="193"/>
        <v>0.43749999999999989</v>
      </c>
      <c r="I1199" s="3">
        <f t="shared" si="194"/>
        <v>7.2916666666666657E-2</v>
      </c>
      <c r="J1199" s="3">
        <f t="shared" si="195"/>
        <v>7.2916666666666657E-2</v>
      </c>
      <c r="K1199" s="3"/>
      <c r="L1199" s="60">
        <f t="shared" si="196"/>
        <v>109.38319444444438</v>
      </c>
      <c r="M1199" s="40">
        <v>0</v>
      </c>
      <c r="N1199" s="40">
        <v>0</v>
      </c>
      <c r="O1199" s="40">
        <v>0</v>
      </c>
      <c r="P1199" s="40">
        <v>0</v>
      </c>
      <c r="Q1199" s="40">
        <v>0</v>
      </c>
      <c r="R1199" s="40">
        <v>0</v>
      </c>
      <c r="S1199" s="61">
        <f t="shared" si="197"/>
        <v>23.39999999999997</v>
      </c>
      <c r="T1199" s="40">
        <v>0</v>
      </c>
      <c r="U1199" s="40">
        <v>0</v>
      </c>
      <c r="V1199" s="40">
        <v>0</v>
      </c>
      <c r="W1199" s="40">
        <v>0</v>
      </c>
      <c r="X1199" s="67">
        <f t="shared" si="198"/>
        <v>159</v>
      </c>
      <c r="Z1199" s="71"/>
      <c r="AA1199" s="71"/>
      <c r="AB1199" s="67" t="str">
        <f t="shared" si="199"/>
        <v/>
      </c>
      <c r="AD1199" s="121"/>
      <c r="AE1199" s="121"/>
    </row>
    <row r="1200" spans="1:31" x14ac:dyDescent="0.25">
      <c r="A1200" s="109" t="s">
        <v>1173</v>
      </c>
      <c r="B1200" s="7">
        <v>0.20416666666666669</v>
      </c>
      <c r="C1200" s="3">
        <f t="shared" si="192"/>
        <v>2.5000000000000009</v>
      </c>
      <c r="D1200" s="10" t="s">
        <v>1011</v>
      </c>
      <c r="E1200" s="40">
        <v>0</v>
      </c>
      <c r="F1200" s="40">
        <v>2.5</v>
      </c>
      <c r="G1200" s="40">
        <v>2.5</v>
      </c>
      <c r="H1200" s="3">
        <f t="shared" si="193"/>
        <v>0</v>
      </c>
      <c r="I1200" s="3">
        <f t="shared" si="194"/>
        <v>0.2604166666666668</v>
      </c>
      <c r="J1200" s="3">
        <f t="shared" si="195"/>
        <v>0.2604166666666668</v>
      </c>
      <c r="K1200" s="3"/>
      <c r="L1200" s="60">
        <f t="shared" si="196"/>
        <v>108.86236111111106</v>
      </c>
      <c r="M1200" s="40">
        <v>0</v>
      </c>
      <c r="N1200" s="40">
        <v>0</v>
      </c>
      <c r="O1200" s="40">
        <v>0</v>
      </c>
      <c r="P1200" s="40">
        <v>0</v>
      </c>
      <c r="Q1200" s="40">
        <v>0</v>
      </c>
      <c r="R1200" s="40">
        <v>0</v>
      </c>
      <c r="S1200" s="61">
        <f t="shared" si="197"/>
        <v>23.39999999999997</v>
      </c>
      <c r="T1200" s="40">
        <v>0</v>
      </c>
      <c r="U1200" s="40">
        <v>0</v>
      </c>
      <c r="V1200" s="40">
        <v>0</v>
      </c>
      <c r="W1200" s="40">
        <v>0</v>
      </c>
      <c r="X1200" s="67">
        <f t="shared" si="198"/>
        <v>159</v>
      </c>
      <c r="Z1200" s="71"/>
      <c r="AA1200" s="71"/>
      <c r="AB1200" s="67" t="str">
        <f t="shared" si="199"/>
        <v/>
      </c>
      <c r="AD1200" s="121"/>
      <c r="AE1200" s="121"/>
    </row>
    <row r="1201" spans="1:31" x14ac:dyDescent="0.25">
      <c r="A1201" s="109" t="s">
        <v>1173</v>
      </c>
      <c r="B1201" s="7">
        <v>0.26666666666666666</v>
      </c>
      <c r="C1201" s="3">
        <f t="shared" si="192"/>
        <v>1.4999999999999993</v>
      </c>
      <c r="D1201" s="10" t="s">
        <v>1174</v>
      </c>
      <c r="E1201" s="40">
        <v>10</v>
      </c>
      <c r="F1201" s="40">
        <v>2.5</v>
      </c>
      <c r="G1201" s="40">
        <v>2.5</v>
      </c>
      <c r="H1201" s="3">
        <f t="shared" si="193"/>
        <v>0.62499999999999978</v>
      </c>
      <c r="I1201" s="3">
        <f t="shared" si="194"/>
        <v>0.15624999999999994</v>
      </c>
      <c r="J1201" s="3">
        <f t="shared" si="195"/>
        <v>0.15624999999999994</v>
      </c>
      <c r="K1201" s="3"/>
      <c r="L1201" s="60">
        <f t="shared" si="196"/>
        <v>107.92486111111106</v>
      </c>
      <c r="M1201" s="40">
        <v>0</v>
      </c>
      <c r="N1201" s="40">
        <v>0</v>
      </c>
      <c r="O1201" s="40">
        <v>0</v>
      </c>
      <c r="P1201" s="40">
        <v>0</v>
      </c>
      <c r="Q1201" s="40">
        <v>0</v>
      </c>
      <c r="R1201" s="40">
        <v>0</v>
      </c>
      <c r="S1201" s="61">
        <f t="shared" si="197"/>
        <v>23.39999999999997</v>
      </c>
      <c r="T1201" s="40">
        <v>0</v>
      </c>
      <c r="U1201" s="40">
        <v>0</v>
      </c>
      <c r="V1201" s="40">
        <v>0</v>
      </c>
      <c r="W1201" s="40">
        <v>0</v>
      </c>
      <c r="X1201" s="67">
        <f t="shared" si="198"/>
        <v>159</v>
      </c>
      <c r="Z1201" s="71"/>
      <c r="AA1201" s="71"/>
      <c r="AB1201" s="67" t="str">
        <f t="shared" si="199"/>
        <v/>
      </c>
      <c r="AD1201" s="121"/>
      <c r="AE1201" s="121"/>
    </row>
    <row r="1202" spans="1:31" x14ac:dyDescent="0.25">
      <c r="A1202" s="109" t="s">
        <v>1173</v>
      </c>
      <c r="B1202" s="65">
        <v>0.33333333333333331</v>
      </c>
      <c r="C1202" s="3">
        <f t="shared" ref="C1202:C1211" si="200">+IF((B1202-B1201)&lt;0,((B1202-B1201)*24)+24,(B1202-B1201)*24)</f>
        <v>1.5999999999999996</v>
      </c>
      <c r="D1202" s="10" t="s">
        <v>1175</v>
      </c>
      <c r="E1202" s="40">
        <v>0</v>
      </c>
      <c r="F1202" s="40">
        <v>2.5</v>
      </c>
      <c r="G1202" s="40">
        <v>2.5</v>
      </c>
      <c r="H1202" s="3">
        <f t="shared" ref="H1202:H1211" si="201">+IF(E1202="","",(E1202/24)*C1202)</f>
        <v>0</v>
      </c>
      <c r="I1202" s="3">
        <f t="shared" ref="I1202:I1211" si="202">+IF(F1202="","",(F1202/24)*C1202)</f>
        <v>0.16666666666666663</v>
      </c>
      <c r="J1202" s="3">
        <f t="shared" ref="J1202:J1211" si="203">+IF(G1202="","",(G1202/24)*C1202)</f>
        <v>0.16666666666666663</v>
      </c>
      <c r="K1202" s="3"/>
      <c r="L1202" s="60">
        <f t="shared" ref="L1202:L1211" si="204">+IF(C1202="","",(L1201+K1202)-(H1202+I1202+J1202))</f>
        <v>107.59152777777773</v>
      </c>
      <c r="M1202" s="40">
        <v>0</v>
      </c>
      <c r="N1202" s="40">
        <v>0</v>
      </c>
      <c r="O1202" s="40">
        <v>0</v>
      </c>
      <c r="P1202" s="40">
        <v>0</v>
      </c>
      <c r="Q1202" s="40">
        <v>0</v>
      </c>
      <c r="R1202" s="40">
        <v>0</v>
      </c>
      <c r="S1202" s="61">
        <f t="shared" ref="S1202:S1211" si="205">IF(C1202="","",(S1201+R1202)-(M1202+N1202+O1202+P1202+Q1202))</f>
        <v>23.39999999999997</v>
      </c>
      <c r="T1202" s="40">
        <v>0</v>
      </c>
      <c r="U1202" s="40">
        <v>0</v>
      </c>
      <c r="V1202" s="40">
        <v>0</v>
      </c>
      <c r="W1202" s="40">
        <v>0</v>
      </c>
      <c r="X1202" s="67">
        <f t="shared" ref="X1202:X1211" si="206">IF(V1202="","",((X1201+T1202+U1202)-(V1202+W1202)))</f>
        <v>159</v>
      </c>
      <c r="Z1202" s="71"/>
      <c r="AA1202" s="71"/>
      <c r="AB1202" s="67" t="str">
        <f t="shared" ref="AB1202:AB1211" si="207">IF(Z1202="","",Z1202+AA1202)</f>
        <v/>
      </c>
      <c r="AD1202" s="121"/>
      <c r="AE1202" s="121"/>
    </row>
    <row r="1203" spans="1:31" x14ac:dyDescent="0.25">
      <c r="A1203" s="109" t="s">
        <v>1173</v>
      </c>
      <c r="B1203" s="7">
        <v>0.40833333333333338</v>
      </c>
      <c r="C1203" s="3">
        <f t="shared" si="200"/>
        <v>1.8000000000000016</v>
      </c>
      <c r="D1203" s="10" t="s">
        <v>1004</v>
      </c>
      <c r="E1203" s="40">
        <v>0</v>
      </c>
      <c r="F1203" s="40">
        <v>2.5</v>
      </c>
      <c r="G1203" s="40">
        <v>2.5</v>
      </c>
      <c r="H1203" s="3">
        <f t="shared" si="201"/>
        <v>0</v>
      </c>
      <c r="I1203" s="3">
        <f t="shared" si="202"/>
        <v>0.18750000000000017</v>
      </c>
      <c r="J1203" s="3">
        <f t="shared" si="203"/>
        <v>0.18750000000000017</v>
      </c>
      <c r="K1203" s="3"/>
      <c r="L1203" s="60">
        <f t="shared" si="204"/>
        <v>107.21652777777773</v>
      </c>
      <c r="M1203" s="40">
        <v>0</v>
      </c>
      <c r="N1203" s="40">
        <v>0</v>
      </c>
      <c r="O1203" s="40">
        <v>0</v>
      </c>
      <c r="P1203" s="40">
        <v>0</v>
      </c>
      <c r="Q1203" s="40">
        <v>0</v>
      </c>
      <c r="R1203" s="40">
        <v>0</v>
      </c>
      <c r="S1203" s="61">
        <f t="shared" si="205"/>
        <v>23.39999999999997</v>
      </c>
      <c r="T1203" s="40">
        <v>0</v>
      </c>
      <c r="U1203" s="40">
        <v>0</v>
      </c>
      <c r="V1203" s="40">
        <v>0</v>
      </c>
      <c r="W1203" s="40">
        <v>0</v>
      </c>
      <c r="X1203" s="67">
        <f t="shared" si="206"/>
        <v>159</v>
      </c>
      <c r="Z1203" s="71"/>
      <c r="AA1203" s="71"/>
      <c r="AB1203" s="67" t="str">
        <f t="shared" si="207"/>
        <v/>
      </c>
      <c r="AD1203" s="121"/>
      <c r="AE1203" s="121"/>
    </row>
    <row r="1204" spans="1:31" x14ac:dyDescent="0.25">
      <c r="A1204" s="105" t="s">
        <v>1173</v>
      </c>
      <c r="B1204" s="7">
        <v>0.81666666666666676</v>
      </c>
      <c r="C1204" s="3">
        <f t="shared" si="200"/>
        <v>9.8000000000000007</v>
      </c>
      <c r="D1204" s="10" t="s">
        <v>265</v>
      </c>
      <c r="E1204" s="40">
        <v>0</v>
      </c>
      <c r="F1204" s="40">
        <v>2.5</v>
      </c>
      <c r="G1204" s="40">
        <v>2.5</v>
      </c>
      <c r="H1204" s="3">
        <f t="shared" si="201"/>
        <v>0</v>
      </c>
      <c r="I1204" s="3">
        <f t="shared" si="202"/>
        <v>1.0208333333333335</v>
      </c>
      <c r="J1204" s="3">
        <f t="shared" si="203"/>
        <v>1.0208333333333335</v>
      </c>
      <c r="K1204" s="3"/>
      <c r="L1204" s="60">
        <f t="shared" si="204"/>
        <v>105.17486111111106</v>
      </c>
      <c r="M1204" s="40">
        <v>0</v>
      </c>
      <c r="N1204" s="40">
        <v>0</v>
      </c>
      <c r="O1204" s="40">
        <v>0</v>
      </c>
      <c r="P1204" s="40">
        <v>0</v>
      </c>
      <c r="Q1204" s="40">
        <v>2.5</v>
      </c>
      <c r="R1204" s="40">
        <v>0</v>
      </c>
      <c r="S1204" s="61">
        <f t="shared" si="205"/>
        <v>20.89999999999997</v>
      </c>
      <c r="T1204" s="40">
        <v>0</v>
      </c>
      <c r="U1204" s="40">
        <v>0</v>
      </c>
      <c r="V1204" s="40">
        <v>3</v>
      </c>
      <c r="W1204" s="40">
        <v>0</v>
      </c>
      <c r="X1204" s="67">
        <f t="shared" si="206"/>
        <v>156</v>
      </c>
      <c r="Z1204" s="71"/>
      <c r="AA1204" s="71"/>
      <c r="AB1204" s="67" t="str">
        <f t="shared" si="207"/>
        <v/>
      </c>
      <c r="AD1204" s="121"/>
      <c r="AE1204" s="121"/>
    </row>
    <row r="1205" spans="1:31" x14ac:dyDescent="0.25">
      <c r="A1205" s="105" t="s">
        <v>1173</v>
      </c>
      <c r="B1205" s="7">
        <v>0.9291666666666667</v>
      </c>
      <c r="C1205" s="3">
        <f t="shared" si="200"/>
        <v>2.6999999999999984</v>
      </c>
      <c r="D1205" s="10" t="s">
        <v>1011</v>
      </c>
      <c r="E1205" s="40">
        <v>0</v>
      </c>
      <c r="F1205" s="40">
        <v>2.5</v>
      </c>
      <c r="G1205" s="40">
        <v>2.5</v>
      </c>
      <c r="H1205" s="3">
        <f t="shared" si="201"/>
        <v>0</v>
      </c>
      <c r="I1205" s="3">
        <f t="shared" si="202"/>
        <v>0.28124999999999983</v>
      </c>
      <c r="J1205" s="3">
        <f t="shared" si="203"/>
        <v>0.28124999999999983</v>
      </c>
      <c r="K1205" s="3"/>
      <c r="L1205" s="60">
        <f t="shared" si="204"/>
        <v>104.61236111111106</v>
      </c>
      <c r="M1205" s="40">
        <v>0</v>
      </c>
      <c r="N1205" s="40">
        <v>0</v>
      </c>
      <c r="O1205" s="40">
        <v>0</v>
      </c>
      <c r="P1205" s="40">
        <v>0</v>
      </c>
      <c r="Q1205" s="40">
        <v>0</v>
      </c>
      <c r="R1205" s="40">
        <v>0</v>
      </c>
      <c r="S1205" s="61">
        <f t="shared" si="205"/>
        <v>20.89999999999997</v>
      </c>
      <c r="T1205" s="40">
        <v>0</v>
      </c>
      <c r="U1205" s="40">
        <v>0</v>
      </c>
      <c r="V1205" s="40">
        <v>1</v>
      </c>
      <c r="W1205" s="40">
        <v>0</v>
      </c>
      <c r="X1205" s="67">
        <f t="shared" si="206"/>
        <v>155</v>
      </c>
      <c r="Z1205" s="71"/>
      <c r="AA1205" s="71"/>
      <c r="AB1205" s="67" t="str">
        <f t="shared" si="207"/>
        <v/>
      </c>
      <c r="AD1205" s="121"/>
      <c r="AE1205" s="121"/>
    </row>
    <row r="1206" spans="1:31" x14ac:dyDescent="0.25">
      <c r="A1206" s="105" t="s">
        <v>1173</v>
      </c>
      <c r="B1206" s="7">
        <v>0.96666666666666667</v>
      </c>
      <c r="C1206" s="3">
        <f t="shared" si="200"/>
        <v>0.89999999999999947</v>
      </c>
      <c r="D1206" s="10" t="s">
        <v>988</v>
      </c>
      <c r="E1206" s="40">
        <v>10</v>
      </c>
      <c r="F1206" s="40">
        <v>2.5</v>
      </c>
      <c r="G1206" s="40">
        <v>2.5</v>
      </c>
      <c r="H1206" s="3">
        <f t="shared" si="201"/>
        <v>0.37499999999999978</v>
      </c>
      <c r="I1206" s="3">
        <f t="shared" si="202"/>
        <v>9.3749999999999944E-2</v>
      </c>
      <c r="J1206" s="3">
        <f t="shared" si="203"/>
        <v>9.3749999999999944E-2</v>
      </c>
      <c r="K1206" s="3"/>
      <c r="L1206" s="60">
        <f t="shared" si="204"/>
        <v>104.04986111111106</v>
      </c>
      <c r="M1206" s="40">
        <v>0</v>
      </c>
      <c r="N1206" s="40">
        <v>0</v>
      </c>
      <c r="O1206" s="40">
        <v>0</v>
      </c>
      <c r="P1206" s="40">
        <v>0</v>
      </c>
      <c r="Q1206" s="40">
        <v>0</v>
      </c>
      <c r="R1206" s="40">
        <v>0</v>
      </c>
      <c r="S1206" s="61">
        <f t="shared" si="205"/>
        <v>20.89999999999997</v>
      </c>
      <c r="T1206" s="40">
        <v>0</v>
      </c>
      <c r="U1206" s="40">
        <v>0</v>
      </c>
      <c r="V1206" s="40">
        <v>0</v>
      </c>
      <c r="W1206" s="40">
        <v>0</v>
      </c>
      <c r="X1206" s="67">
        <f t="shared" si="206"/>
        <v>155</v>
      </c>
      <c r="Z1206" s="71"/>
      <c r="AA1206" s="71"/>
      <c r="AB1206" s="67" t="str">
        <f t="shared" si="207"/>
        <v/>
      </c>
      <c r="AD1206" s="121"/>
      <c r="AE1206" s="121"/>
    </row>
    <row r="1207" spans="1:31" x14ac:dyDescent="0.25">
      <c r="A1207" s="105" t="s">
        <v>1176</v>
      </c>
      <c r="B1207" s="65">
        <v>0.33333333333333331</v>
      </c>
      <c r="C1207" s="3">
        <f t="shared" si="200"/>
        <v>8.8000000000000007</v>
      </c>
      <c r="D1207" s="10" t="s">
        <v>355</v>
      </c>
      <c r="E1207" s="40">
        <v>25</v>
      </c>
      <c r="F1207" s="40">
        <v>2.5</v>
      </c>
      <c r="G1207" s="40">
        <v>2.5</v>
      </c>
      <c r="H1207" s="3">
        <f t="shared" si="201"/>
        <v>9.1666666666666679</v>
      </c>
      <c r="I1207" s="3">
        <f t="shared" si="202"/>
        <v>0.91666666666666674</v>
      </c>
      <c r="J1207" s="3">
        <f t="shared" si="203"/>
        <v>0.91666666666666674</v>
      </c>
      <c r="K1207" s="3"/>
      <c r="L1207" s="60">
        <f t="shared" si="204"/>
        <v>93.049861111111056</v>
      </c>
      <c r="M1207" s="40">
        <v>0</v>
      </c>
      <c r="N1207" s="40">
        <v>0</v>
      </c>
      <c r="O1207" s="40">
        <v>0</v>
      </c>
      <c r="P1207" s="40">
        <v>0</v>
      </c>
      <c r="Q1207" s="40">
        <v>0</v>
      </c>
      <c r="R1207" s="40">
        <v>0</v>
      </c>
      <c r="S1207" s="61">
        <f t="shared" si="205"/>
        <v>20.89999999999997</v>
      </c>
      <c r="T1207" s="40">
        <v>0</v>
      </c>
      <c r="U1207" s="40">
        <v>0</v>
      </c>
      <c r="V1207" s="40">
        <v>2</v>
      </c>
      <c r="W1207" s="40">
        <v>0</v>
      </c>
      <c r="X1207" s="67">
        <f t="shared" si="206"/>
        <v>153</v>
      </c>
      <c r="Z1207" s="71"/>
      <c r="AA1207" s="71"/>
      <c r="AB1207" s="67" t="str">
        <f t="shared" si="207"/>
        <v/>
      </c>
      <c r="AD1207" s="121"/>
      <c r="AE1207" s="121"/>
    </row>
    <row r="1208" spans="1:31" x14ac:dyDescent="0.25">
      <c r="A1208" s="105" t="s">
        <v>1176</v>
      </c>
      <c r="B1208" s="7">
        <v>0.66666666666666663</v>
      </c>
      <c r="C1208" s="3">
        <f t="shared" si="200"/>
        <v>8</v>
      </c>
      <c r="D1208" s="10" t="s">
        <v>956</v>
      </c>
      <c r="E1208" s="40">
        <v>25</v>
      </c>
      <c r="F1208" s="40">
        <v>2.5</v>
      </c>
      <c r="G1208" s="40">
        <v>2.5</v>
      </c>
      <c r="H1208" s="3">
        <f t="shared" si="201"/>
        <v>8.3333333333333339</v>
      </c>
      <c r="I1208" s="3">
        <f t="shared" si="202"/>
        <v>0.83333333333333337</v>
      </c>
      <c r="J1208" s="3">
        <f t="shared" si="203"/>
        <v>0.83333333333333337</v>
      </c>
      <c r="K1208" s="3"/>
      <c r="L1208" s="60">
        <f t="shared" si="204"/>
        <v>83.049861111111056</v>
      </c>
      <c r="M1208" s="40">
        <v>0</v>
      </c>
      <c r="N1208" s="40">
        <v>0</v>
      </c>
      <c r="O1208" s="40">
        <v>0</v>
      </c>
      <c r="P1208" s="40">
        <v>0</v>
      </c>
      <c r="Q1208" s="40">
        <v>0</v>
      </c>
      <c r="R1208" s="40">
        <v>0</v>
      </c>
      <c r="S1208" s="61">
        <f t="shared" si="205"/>
        <v>20.89999999999997</v>
      </c>
      <c r="T1208" s="40">
        <v>0</v>
      </c>
      <c r="U1208" s="40">
        <v>0</v>
      </c>
      <c r="V1208" s="40">
        <v>2</v>
      </c>
      <c r="W1208" s="40">
        <v>0</v>
      </c>
      <c r="X1208" s="67">
        <f t="shared" si="206"/>
        <v>151</v>
      </c>
      <c r="Z1208" s="71"/>
      <c r="AA1208" s="71"/>
      <c r="AB1208" s="67" t="str">
        <f t="shared" si="207"/>
        <v/>
      </c>
      <c r="AD1208" s="121">
        <v>11.3</v>
      </c>
      <c r="AE1208" s="121" t="s">
        <v>1303</v>
      </c>
    </row>
    <row r="1209" spans="1:31" x14ac:dyDescent="0.25">
      <c r="A1209" s="105" t="s">
        <v>1176</v>
      </c>
      <c r="B1209" s="7">
        <v>0.6875</v>
      </c>
      <c r="C1209" s="3">
        <f t="shared" si="200"/>
        <v>0.50000000000000089</v>
      </c>
      <c r="D1209" s="10" t="s">
        <v>97</v>
      </c>
      <c r="E1209" s="40">
        <v>10</v>
      </c>
      <c r="F1209" s="40">
        <v>2.5</v>
      </c>
      <c r="G1209" s="40">
        <v>2.5</v>
      </c>
      <c r="H1209" s="3">
        <f t="shared" si="201"/>
        <v>0.2083333333333337</v>
      </c>
      <c r="I1209" s="3">
        <f t="shared" si="202"/>
        <v>5.2083333333333426E-2</v>
      </c>
      <c r="J1209" s="3">
        <f t="shared" si="203"/>
        <v>5.2083333333333426E-2</v>
      </c>
      <c r="K1209" s="3"/>
      <c r="L1209" s="60">
        <f t="shared" si="204"/>
        <v>82.737361111111056</v>
      </c>
      <c r="M1209" s="40">
        <v>0</v>
      </c>
      <c r="N1209" s="40">
        <v>0</v>
      </c>
      <c r="O1209" s="40">
        <v>0</v>
      </c>
      <c r="P1209" s="40">
        <v>0</v>
      </c>
      <c r="Q1209" s="40">
        <v>0</v>
      </c>
      <c r="R1209" s="40">
        <v>0</v>
      </c>
      <c r="S1209" s="61">
        <f t="shared" si="205"/>
        <v>20.89999999999997</v>
      </c>
      <c r="T1209" s="40">
        <v>0</v>
      </c>
      <c r="U1209" s="40">
        <v>0</v>
      </c>
      <c r="V1209" s="40">
        <v>1</v>
      </c>
      <c r="W1209" s="40">
        <v>0</v>
      </c>
      <c r="X1209" s="67">
        <f t="shared" si="206"/>
        <v>150</v>
      </c>
      <c r="Z1209" s="71"/>
      <c r="AA1209" s="71"/>
      <c r="AB1209" s="67" t="str">
        <f t="shared" si="207"/>
        <v/>
      </c>
      <c r="AD1209" s="121"/>
      <c r="AE1209" s="121"/>
    </row>
    <row r="1210" spans="1:31" x14ac:dyDescent="0.25">
      <c r="A1210" s="105" t="s">
        <v>1177</v>
      </c>
      <c r="B1210" s="65">
        <v>0.33333333333333331</v>
      </c>
      <c r="C1210" s="3">
        <f t="shared" si="200"/>
        <v>15.5</v>
      </c>
      <c r="D1210" s="10" t="s">
        <v>351</v>
      </c>
      <c r="E1210" s="40">
        <v>0</v>
      </c>
      <c r="F1210" s="40">
        <v>2.5</v>
      </c>
      <c r="G1210" s="40">
        <v>2.5</v>
      </c>
      <c r="H1210" s="3">
        <f t="shared" si="201"/>
        <v>0</v>
      </c>
      <c r="I1210" s="3">
        <f t="shared" si="202"/>
        <v>1.6145833333333335</v>
      </c>
      <c r="J1210" s="3">
        <f t="shared" si="203"/>
        <v>1.6145833333333335</v>
      </c>
      <c r="K1210" s="3"/>
      <c r="L1210" s="60">
        <f t="shared" si="204"/>
        <v>79.508194444444385</v>
      </c>
      <c r="M1210" s="40">
        <v>0</v>
      </c>
      <c r="N1210" s="40">
        <v>0</v>
      </c>
      <c r="O1210" s="40">
        <v>0</v>
      </c>
      <c r="P1210" s="40">
        <v>0</v>
      </c>
      <c r="Q1210" s="40">
        <v>0</v>
      </c>
      <c r="R1210" s="40">
        <v>0</v>
      </c>
      <c r="S1210" s="61">
        <f t="shared" si="205"/>
        <v>20.89999999999997</v>
      </c>
      <c r="T1210" s="40">
        <v>0</v>
      </c>
      <c r="U1210" s="40">
        <v>0</v>
      </c>
      <c r="V1210" s="40">
        <v>0</v>
      </c>
      <c r="W1210" s="40">
        <v>0</v>
      </c>
      <c r="X1210" s="67">
        <f t="shared" si="206"/>
        <v>150</v>
      </c>
      <c r="Z1210" s="71"/>
      <c r="AA1210" s="71"/>
      <c r="AB1210" s="67" t="str">
        <f t="shared" si="207"/>
        <v/>
      </c>
      <c r="AD1210" s="121"/>
      <c r="AE1210" s="121"/>
    </row>
    <row r="1211" spans="1:31" x14ac:dyDescent="0.25">
      <c r="A1211" s="105" t="s">
        <v>1177</v>
      </c>
      <c r="B1211" s="7">
        <v>0.4291666666666667</v>
      </c>
      <c r="C1211" s="3">
        <f t="shared" si="200"/>
        <v>2.3000000000000012</v>
      </c>
      <c r="D1211" s="10" t="s">
        <v>1011</v>
      </c>
      <c r="E1211" s="40">
        <v>0</v>
      </c>
      <c r="F1211" s="40">
        <v>2.5</v>
      </c>
      <c r="G1211" s="40">
        <v>2.5</v>
      </c>
      <c r="H1211" s="3">
        <f t="shared" si="201"/>
        <v>0</v>
      </c>
      <c r="I1211" s="3">
        <f t="shared" si="202"/>
        <v>0.23958333333333345</v>
      </c>
      <c r="J1211" s="3">
        <f t="shared" si="203"/>
        <v>0.23958333333333345</v>
      </c>
      <c r="K1211" s="3"/>
      <c r="L1211" s="60">
        <f t="shared" si="204"/>
        <v>79.029027777777713</v>
      </c>
      <c r="M1211" s="40">
        <v>0</v>
      </c>
      <c r="N1211" s="40">
        <v>0</v>
      </c>
      <c r="O1211" s="40">
        <v>0</v>
      </c>
      <c r="P1211" s="40">
        <v>0</v>
      </c>
      <c r="Q1211" s="40">
        <v>0</v>
      </c>
      <c r="R1211" s="40">
        <v>0</v>
      </c>
      <c r="S1211" s="61">
        <f t="shared" si="205"/>
        <v>20.89999999999997</v>
      </c>
      <c r="T1211" s="40">
        <v>0</v>
      </c>
      <c r="U1211" s="40">
        <v>0</v>
      </c>
      <c r="V1211" s="40">
        <v>1</v>
      </c>
      <c r="W1211" s="40">
        <v>0</v>
      </c>
      <c r="X1211" s="67">
        <f t="shared" si="206"/>
        <v>149</v>
      </c>
      <c r="Z1211" s="71"/>
      <c r="AA1211" s="71"/>
      <c r="AB1211" s="67" t="str">
        <f t="shared" si="207"/>
        <v/>
      </c>
      <c r="AD1211" s="121"/>
      <c r="AE1211" s="121"/>
    </row>
    <row r="1212" spans="1:31" x14ac:dyDescent="0.25">
      <c r="A1212" s="110" t="s">
        <v>1177</v>
      </c>
      <c r="B1212" s="7">
        <v>0.4916666666666667</v>
      </c>
      <c r="C1212" s="3">
        <f t="shared" ref="C1212:C1216" si="208">+IF((B1212-B1211)&lt;0,((B1212-B1211)*24)+24,(B1212-B1211)*24)</f>
        <v>1.5</v>
      </c>
      <c r="D1212" s="10" t="s">
        <v>190</v>
      </c>
      <c r="E1212" s="40">
        <v>0</v>
      </c>
      <c r="F1212" s="40">
        <v>2.5</v>
      </c>
      <c r="G1212" s="40">
        <v>2.5</v>
      </c>
      <c r="H1212" s="3">
        <f t="shared" ref="H1212:H1216" si="209">+IF(E1212="","",(E1212/24)*C1212)</f>
        <v>0</v>
      </c>
      <c r="I1212" s="3">
        <f t="shared" ref="I1212:I1216" si="210">+IF(F1212="","",(F1212/24)*C1212)</f>
        <v>0.15625</v>
      </c>
      <c r="J1212" s="3">
        <f t="shared" ref="J1212:J1216" si="211">+IF(G1212="","",(G1212/24)*C1212)</f>
        <v>0.15625</v>
      </c>
      <c r="K1212" s="3"/>
      <c r="L1212" s="60">
        <f t="shared" ref="L1212:L1216" si="212">+IF(C1212="","",(L1211+K1212)-(H1212+I1212+J1212))</f>
        <v>78.716527777777713</v>
      </c>
      <c r="M1212" s="40">
        <v>0</v>
      </c>
      <c r="N1212" s="40">
        <v>0</v>
      </c>
      <c r="O1212" s="40">
        <v>0</v>
      </c>
      <c r="P1212" s="40">
        <v>0</v>
      </c>
      <c r="Q1212" s="40">
        <v>0</v>
      </c>
      <c r="R1212" s="40">
        <v>0</v>
      </c>
      <c r="S1212" s="61">
        <f t="shared" ref="S1212:S1216" si="213">IF(C1212="","",(S1211+R1212)-(M1212+N1212+O1212+P1212+Q1212))</f>
        <v>20.89999999999997</v>
      </c>
      <c r="T1212" s="40">
        <v>0</v>
      </c>
      <c r="U1212" s="40">
        <v>0</v>
      </c>
      <c r="V1212" s="40">
        <v>0</v>
      </c>
      <c r="W1212" s="40">
        <v>0</v>
      </c>
      <c r="X1212" s="67">
        <f t="shared" ref="X1212:X1216" si="214">IF(V1212="","",((X1211+T1212+U1212)-(V1212+W1212)))</f>
        <v>149</v>
      </c>
      <c r="Z1212" s="71"/>
      <c r="AA1212" s="71"/>
      <c r="AB1212" s="67" t="str">
        <f t="shared" ref="AB1212:AB1216" si="215">IF(Z1212="","",Z1212+AA1212)</f>
        <v/>
      </c>
      <c r="AD1212" s="121"/>
      <c r="AE1212" s="121"/>
    </row>
    <row r="1213" spans="1:31" x14ac:dyDescent="0.25">
      <c r="A1213" s="110" t="s">
        <v>1177</v>
      </c>
      <c r="B1213" s="7">
        <v>0.52500000000000002</v>
      </c>
      <c r="C1213" s="3">
        <f t="shared" si="208"/>
        <v>0.79999999999999982</v>
      </c>
      <c r="D1213" s="10" t="s">
        <v>616</v>
      </c>
      <c r="E1213" s="40">
        <v>10</v>
      </c>
      <c r="F1213" s="40">
        <v>2.5</v>
      </c>
      <c r="G1213" s="40">
        <v>2.5</v>
      </c>
      <c r="H1213" s="3">
        <f t="shared" si="209"/>
        <v>0.33333333333333326</v>
      </c>
      <c r="I1213" s="3">
        <f t="shared" si="210"/>
        <v>8.3333333333333315E-2</v>
      </c>
      <c r="J1213" s="3">
        <f t="shared" si="211"/>
        <v>8.3333333333333315E-2</v>
      </c>
      <c r="K1213" s="3"/>
      <c r="L1213" s="60">
        <f t="shared" si="212"/>
        <v>78.216527777777713</v>
      </c>
      <c r="M1213" s="40">
        <v>0</v>
      </c>
      <c r="N1213" s="40">
        <v>0</v>
      </c>
      <c r="O1213" s="40">
        <v>0</v>
      </c>
      <c r="P1213" s="40">
        <v>0</v>
      </c>
      <c r="Q1213" s="40">
        <v>0</v>
      </c>
      <c r="R1213" s="40">
        <v>0</v>
      </c>
      <c r="S1213" s="61">
        <f t="shared" si="213"/>
        <v>20.89999999999997</v>
      </c>
      <c r="T1213" s="40">
        <v>0</v>
      </c>
      <c r="U1213" s="40">
        <v>0</v>
      </c>
      <c r="V1213" s="40">
        <v>1</v>
      </c>
      <c r="W1213" s="40">
        <v>0</v>
      </c>
      <c r="X1213" s="67">
        <f t="shared" si="214"/>
        <v>148</v>
      </c>
      <c r="Z1213" s="71"/>
      <c r="AA1213" s="71"/>
      <c r="AB1213" s="67" t="str">
        <f t="shared" si="215"/>
        <v/>
      </c>
      <c r="AD1213" s="121"/>
      <c r="AE1213" s="121"/>
    </row>
    <row r="1214" spans="1:31" x14ac:dyDescent="0.25">
      <c r="A1214" s="110" t="s">
        <v>1178</v>
      </c>
      <c r="B1214" s="65">
        <v>0.33333333333333331</v>
      </c>
      <c r="C1214" s="3">
        <f t="shared" si="208"/>
        <v>19.399999999999999</v>
      </c>
      <c r="D1214" s="10" t="s">
        <v>1051</v>
      </c>
      <c r="E1214" s="40">
        <v>0</v>
      </c>
      <c r="F1214" s="40">
        <v>2.5</v>
      </c>
      <c r="G1214" s="40">
        <v>2.5</v>
      </c>
      <c r="H1214" s="3">
        <f t="shared" si="209"/>
        <v>0</v>
      </c>
      <c r="I1214" s="3">
        <f t="shared" si="210"/>
        <v>2.0208333333333335</v>
      </c>
      <c r="J1214" s="3">
        <f t="shared" si="211"/>
        <v>2.0208333333333335</v>
      </c>
      <c r="K1214" s="3"/>
      <c r="L1214" s="60">
        <f t="shared" si="212"/>
        <v>74.174861111111042</v>
      </c>
      <c r="M1214" s="40">
        <v>0</v>
      </c>
      <c r="N1214" s="40">
        <v>0.1</v>
      </c>
      <c r="O1214" s="40">
        <v>0</v>
      </c>
      <c r="P1214" s="40">
        <v>0</v>
      </c>
      <c r="Q1214" s="40">
        <v>0</v>
      </c>
      <c r="R1214" s="40">
        <v>0</v>
      </c>
      <c r="S1214" s="61">
        <f t="shared" si="213"/>
        <v>20.799999999999969</v>
      </c>
      <c r="T1214" s="40">
        <v>0</v>
      </c>
      <c r="U1214" s="40">
        <v>0</v>
      </c>
      <c r="V1214" s="40">
        <v>5</v>
      </c>
      <c r="W1214" s="40">
        <v>0</v>
      </c>
      <c r="X1214" s="67">
        <f t="shared" si="214"/>
        <v>143</v>
      </c>
      <c r="Z1214" s="71"/>
      <c r="AA1214" s="71"/>
      <c r="AB1214" s="67" t="str">
        <f t="shared" si="215"/>
        <v/>
      </c>
      <c r="AD1214" s="121"/>
      <c r="AE1214" s="121"/>
    </row>
    <row r="1215" spans="1:31" x14ac:dyDescent="0.25">
      <c r="A1215" s="110" t="s">
        <v>1179</v>
      </c>
      <c r="B1215" s="7">
        <v>0.125</v>
      </c>
      <c r="C1215" s="3">
        <f t="shared" si="208"/>
        <v>19</v>
      </c>
      <c r="D1215" s="10" t="s">
        <v>120</v>
      </c>
      <c r="E1215" s="40">
        <v>0</v>
      </c>
      <c r="F1215" s="40">
        <v>2.5</v>
      </c>
      <c r="G1215" s="40">
        <v>2.5</v>
      </c>
      <c r="H1215" s="3">
        <f t="shared" si="209"/>
        <v>0</v>
      </c>
      <c r="I1215" s="3">
        <f t="shared" si="210"/>
        <v>1.9791666666666667</v>
      </c>
      <c r="J1215" s="3">
        <f t="shared" si="211"/>
        <v>1.9791666666666667</v>
      </c>
      <c r="K1215" s="3"/>
      <c r="L1215" s="60">
        <f t="shared" si="212"/>
        <v>70.216527777777713</v>
      </c>
      <c r="M1215" s="40">
        <v>0</v>
      </c>
      <c r="N1215" s="40">
        <v>0</v>
      </c>
      <c r="O1215" s="40">
        <v>0</v>
      </c>
      <c r="P1215" s="40">
        <v>0</v>
      </c>
      <c r="Q1215" s="40">
        <v>0</v>
      </c>
      <c r="R1215" s="40">
        <v>0</v>
      </c>
      <c r="S1215" s="61">
        <f t="shared" si="213"/>
        <v>20.799999999999969</v>
      </c>
      <c r="T1215" s="40">
        <v>0</v>
      </c>
      <c r="U1215" s="40">
        <v>0</v>
      </c>
      <c r="V1215" s="40">
        <v>6</v>
      </c>
      <c r="W1215" s="40">
        <v>0</v>
      </c>
      <c r="X1215" s="67">
        <f t="shared" si="214"/>
        <v>137</v>
      </c>
      <c r="Z1215" s="71"/>
      <c r="AA1215" s="71"/>
      <c r="AB1215" s="67" t="str">
        <f t="shared" si="215"/>
        <v/>
      </c>
      <c r="AD1215" s="121"/>
      <c r="AE1215" s="121"/>
    </row>
    <row r="1216" spans="1:31" x14ac:dyDescent="0.25">
      <c r="A1216" s="110" t="s">
        <v>1179</v>
      </c>
      <c r="B1216" s="7">
        <v>0.28333333333333333</v>
      </c>
      <c r="C1216" s="3">
        <f t="shared" si="208"/>
        <v>3.8</v>
      </c>
      <c r="D1216" s="10" t="s">
        <v>190</v>
      </c>
      <c r="E1216" s="40">
        <v>0</v>
      </c>
      <c r="F1216" s="40">
        <v>2.5</v>
      </c>
      <c r="G1216" s="40">
        <v>2.5</v>
      </c>
      <c r="H1216" s="3">
        <f t="shared" si="209"/>
        <v>0</v>
      </c>
      <c r="I1216" s="3">
        <f t="shared" si="210"/>
        <v>0.39583333333333331</v>
      </c>
      <c r="J1216" s="3">
        <f t="shared" si="211"/>
        <v>0.39583333333333331</v>
      </c>
      <c r="K1216" s="3"/>
      <c r="L1216" s="60">
        <f t="shared" si="212"/>
        <v>69.424861111111042</v>
      </c>
      <c r="M1216" s="40">
        <v>0</v>
      </c>
      <c r="N1216" s="40">
        <v>0</v>
      </c>
      <c r="O1216" s="40">
        <v>0</v>
      </c>
      <c r="P1216" s="40">
        <v>0</v>
      </c>
      <c r="Q1216" s="40">
        <v>0</v>
      </c>
      <c r="R1216" s="40">
        <v>0</v>
      </c>
      <c r="S1216" s="61">
        <f t="shared" si="213"/>
        <v>20.799999999999969</v>
      </c>
      <c r="T1216" s="40">
        <v>0</v>
      </c>
      <c r="U1216" s="40">
        <v>0</v>
      </c>
      <c r="V1216" s="40">
        <v>0</v>
      </c>
      <c r="W1216" s="40">
        <v>0</v>
      </c>
      <c r="X1216" s="67">
        <f t="shared" si="214"/>
        <v>137</v>
      </c>
      <c r="Z1216" s="71"/>
      <c r="AA1216" s="71"/>
      <c r="AB1216" s="67" t="str">
        <f t="shared" si="215"/>
        <v/>
      </c>
      <c r="AD1216" s="121"/>
      <c r="AE1216" s="121"/>
    </row>
    <row r="1217" spans="1:31" x14ac:dyDescent="0.25">
      <c r="A1217" s="110" t="s">
        <v>1179</v>
      </c>
      <c r="B1217" s="7">
        <v>0.30416666666666664</v>
      </c>
      <c r="C1217" s="3">
        <f t="shared" ref="C1217:C1234" si="216">+IF((B1217-B1216)&lt;0,((B1217-B1216)*24)+24,(B1217-B1216)*24)</f>
        <v>0.49999999999999956</v>
      </c>
      <c r="D1217" s="10" t="s">
        <v>616</v>
      </c>
      <c r="E1217" s="40">
        <v>10</v>
      </c>
      <c r="F1217" s="40">
        <v>2.5</v>
      </c>
      <c r="G1217" s="40">
        <v>2.5</v>
      </c>
      <c r="H1217" s="3">
        <f t="shared" ref="H1217:H1234" si="217">+IF(E1217="","",(E1217/24)*C1217)</f>
        <v>0.20833333333333315</v>
      </c>
      <c r="I1217" s="3">
        <f t="shared" ref="I1217:I1234" si="218">+IF(F1217="","",(F1217/24)*C1217)</f>
        <v>5.2083333333333287E-2</v>
      </c>
      <c r="J1217" s="3">
        <f t="shared" ref="J1217:J1234" si="219">+IF(G1217="","",(G1217/24)*C1217)</f>
        <v>5.2083333333333287E-2</v>
      </c>
      <c r="K1217" s="3"/>
      <c r="L1217" s="60">
        <f t="shared" ref="L1217:L1234" si="220">+IF(C1217="","",(L1216+K1217)-(H1217+I1217+J1217))</f>
        <v>69.112361111111042</v>
      </c>
      <c r="M1217" s="40">
        <v>0</v>
      </c>
      <c r="N1217" s="40">
        <v>0</v>
      </c>
      <c r="O1217" s="40">
        <v>0</v>
      </c>
      <c r="P1217" s="40">
        <v>0</v>
      </c>
      <c r="Q1217" s="40">
        <v>0</v>
      </c>
      <c r="R1217" s="40">
        <v>0</v>
      </c>
      <c r="S1217" s="61">
        <f t="shared" ref="S1217:S1234" si="221">IF(C1217="","",(S1216+R1217)-(M1217+N1217+O1217+P1217+Q1217))</f>
        <v>20.799999999999969</v>
      </c>
      <c r="T1217" s="40">
        <v>0</v>
      </c>
      <c r="U1217" s="40">
        <v>0</v>
      </c>
      <c r="V1217" s="40">
        <v>0</v>
      </c>
      <c r="W1217" s="40">
        <v>0</v>
      </c>
      <c r="X1217" s="67">
        <f t="shared" ref="X1217:X1234" si="222">IF(V1217="","",((X1216+T1217+U1217)-(V1217+W1217)))</f>
        <v>137</v>
      </c>
      <c r="Z1217" s="71"/>
      <c r="AA1217" s="71"/>
      <c r="AB1217" s="67" t="str">
        <f t="shared" ref="AB1217:AB1234" si="223">IF(Z1217="","",Z1217+AA1217)</f>
        <v/>
      </c>
      <c r="AD1217" s="121"/>
      <c r="AE1217" s="121"/>
    </row>
    <row r="1218" spans="1:31" x14ac:dyDescent="0.25">
      <c r="A1218" s="110" t="s">
        <v>1179</v>
      </c>
      <c r="B1218" s="65">
        <v>0.33333333333333331</v>
      </c>
      <c r="C1218" s="3">
        <f t="shared" si="216"/>
        <v>0.70000000000000018</v>
      </c>
      <c r="D1218" s="10" t="s">
        <v>1180</v>
      </c>
      <c r="E1218" s="40">
        <v>25</v>
      </c>
      <c r="F1218" s="40">
        <v>2.5</v>
      </c>
      <c r="G1218" s="40">
        <v>2.5</v>
      </c>
      <c r="H1218" s="3">
        <f t="shared" si="217"/>
        <v>0.72916666666666685</v>
      </c>
      <c r="I1218" s="3">
        <f t="shared" si="218"/>
        <v>7.2916666666666685E-2</v>
      </c>
      <c r="J1218" s="3">
        <f t="shared" si="219"/>
        <v>7.2916666666666685E-2</v>
      </c>
      <c r="K1218" s="3"/>
      <c r="L1218" s="60">
        <f t="shared" si="220"/>
        <v>68.237361111111042</v>
      </c>
      <c r="M1218" s="40">
        <v>0</v>
      </c>
      <c r="N1218" s="40">
        <v>0</v>
      </c>
      <c r="O1218" s="40">
        <v>0</v>
      </c>
      <c r="P1218" s="40">
        <v>0</v>
      </c>
      <c r="Q1218" s="40">
        <v>0</v>
      </c>
      <c r="R1218" s="40">
        <v>0</v>
      </c>
      <c r="S1218" s="61">
        <f t="shared" si="221"/>
        <v>20.799999999999969</v>
      </c>
      <c r="T1218" s="40">
        <v>0</v>
      </c>
      <c r="U1218" s="40">
        <v>0</v>
      </c>
      <c r="V1218" s="40">
        <v>0</v>
      </c>
      <c r="W1218" s="40">
        <v>0</v>
      </c>
      <c r="X1218" s="67">
        <f t="shared" si="222"/>
        <v>137</v>
      </c>
      <c r="Z1218" s="71"/>
      <c r="AA1218" s="71"/>
      <c r="AB1218" s="67" t="str">
        <f t="shared" si="223"/>
        <v/>
      </c>
      <c r="AD1218" s="121"/>
      <c r="AE1218" s="121"/>
    </row>
    <row r="1219" spans="1:31" x14ac:dyDescent="0.25">
      <c r="A1219" s="110" t="s">
        <v>1179</v>
      </c>
      <c r="B1219" s="7">
        <v>0.77916666666666667</v>
      </c>
      <c r="C1219" s="3">
        <f t="shared" si="216"/>
        <v>10.700000000000001</v>
      </c>
      <c r="D1219" s="10" t="s">
        <v>63</v>
      </c>
      <c r="E1219" s="40">
        <v>25</v>
      </c>
      <c r="F1219" s="40">
        <v>2.5</v>
      </c>
      <c r="G1219" s="40">
        <v>2.5</v>
      </c>
      <c r="H1219" s="3">
        <f t="shared" si="217"/>
        <v>11.145833333333336</v>
      </c>
      <c r="I1219" s="3">
        <f t="shared" si="218"/>
        <v>1.1145833333333335</v>
      </c>
      <c r="J1219" s="3">
        <f t="shared" si="219"/>
        <v>1.1145833333333335</v>
      </c>
      <c r="K1219" s="3"/>
      <c r="L1219" s="60">
        <f t="shared" si="220"/>
        <v>54.862361111111042</v>
      </c>
      <c r="M1219" s="40">
        <v>0</v>
      </c>
      <c r="N1219" s="40">
        <v>0</v>
      </c>
      <c r="O1219" s="40">
        <v>0</v>
      </c>
      <c r="P1219" s="40">
        <v>0</v>
      </c>
      <c r="Q1219" s="40">
        <v>0</v>
      </c>
      <c r="R1219" s="40">
        <v>0</v>
      </c>
      <c r="S1219" s="61">
        <f t="shared" si="221"/>
        <v>20.799999999999969</v>
      </c>
      <c r="T1219" s="40">
        <v>0</v>
      </c>
      <c r="U1219" s="40">
        <v>0</v>
      </c>
      <c r="V1219" s="40">
        <v>5</v>
      </c>
      <c r="W1219" s="40">
        <v>0</v>
      </c>
      <c r="X1219" s="67">
        <f t="shared" si="222"/>
        <v>132</v>
      </c>
      <c r="Z1219" s="71"/>
      <c r="AA1219" s="71"/>
      <c r="AB1219" s="67" t="str">
        <f t="shared" si="223"/>
        <v/>
      </c>
      <c r="AD1219" s="121">
        <v>10.9</v>
      </c>
      <c r="AE1219" s="121" t="s">
        <v>1303</v>
      </c>
    </row>
    <row r="1220" spans="1:31" x14ac:dyDescent="0.25">
      <c r="A1220" s="110" t="s">
        <v>1179</v>
      </c>
      <c r="B1220" s="7">
        <v>0.8208333333333333</v>
      </c>
      <c r="C1220" s="3">
        <f t="shared" si="216"/>
        <v>0.99999999999999911</v>
      </c>
      <c r="D1220" s="10" t="s">
        <v>187</v>
      </c>
      <c r="E1220" s="40">
        <v>10</v>
      </c>
      <c r="F1220" s="40">
        <v>2.5</v>
      </c>
      <c r="G1220" s="40">
        <v>2.5</v>
      </c>
      <c r="H1220" s="3">
        <f t="shared" si="217"/>
        <v>0.4166666666666663</v>
      </c>
      <c r="I1220" s="3">
        <f t="shared" si="218"/>
        <v>0.10416666666666657</v>
      </c>
      <c r="J1220" s="3">
        <f t="shared" si="219"/>
        <v>0.10416666666666657</v>
      </c>
      <c r="K1220" s="3"/>
      <c r="L1220" s="60">
        <f t="shared" si="220"/>
        <v>54.237361111111042</v>
      </c>
      <c r="M1220" s="40">
        <v>0</v>
      </c>
      <c r="N1220" s="40">
        <v>0.1</v>
      </c>
      <c r="O1220" s="40">
        <v>0</v>
      </c>
      <c r="P1220" s="40">
        <v>0</v>
      </c>
      <c r="Q1220" s="40">
        <v>0</v>
      </c>
      <c r="R1220" s="40">
        <v>0</v>
      </c>
      <c r="S1220" s="61">
        <f t="shared" si="221"/>
        <v>20.699999999999967</v>
      </c>
      <c r="T1220" s="40">
        <v>0</v>
      </c>
      <c r="U1220" s="40">
        <v>0</v>
      </c>
      <c r="V1220" s="40">
        <v>0</v>
      </c>
      <c r="W1220" s="40">
        <v>0</v>
      </c>
      <c r="X1220" s="67">
        <f t="shared" si="222"/>
        <v>132</v>
      </c>
      <c r="Z1220" s="71"/>
      <c r="AA1220" s="71"/>
      <c r="AB1220" s="67" t="str">
        <f t="shared" si="223"/>
        <v/>
      </c>
      <c r="AD1220" s="121"/>
      <c r="AE1220" s="121"/>
    </row>
    <row r="1221" spans="1:31" x14ac:dyDescent="0.25">
      <c r="A1221" s="110" t="s">
        <v>1181</v>
      </c>
      <c r="B1221" s="65">
        <v>0.33333333333333331</v>
      </c>
      <c r="C1221" s="3">
        <f t="shared" si="216"/>
        <v>12.3</v>
      </c>
      <c r="D1221" s="10" t="s">
        <v>351</v>
      </c>
      <c r="E1221" s="40">
        <v>0</v>
      </c>
      <c r="F1221" s="40">
        <v>2.5</v>
      </c>
      <c r="G1221" s="40">
        <v>2.5</v>
      </c>
      <c r="H1221" s="3">
        <f t="shared" si="217"/>
        <v>0</v>
      </c>
      <c r="I1221" s="3">
        <f t="shared" si="218"/>
        <v>1.2812500000000002</v>
      </c>
      <c r="J1221" s="3">
        <f t="shared" si="219"/>
        <v>1.2812500000000002</v>
      </c>
      <c r="K1221" s="3"/>
      <c r="L1221" s="60">
        <f t="shared" si="220"/>
        <v>51.674861111111042</v>
      </c>
      <c r="M1221" s="40">
        <v>0</v>
      </c>
      <c r="N1221" s="40">
        <v>0</v>
      </c>
      <c r="O1221" s="40">
        <v>0</v>
      </c>
      <c r="P1221" s="40">
        <v>0</v>
      </c>
      <c r="Q1221" s="40">
        <v>0</v>
      </c>
      <c r="R1221" s="40">
        <v>0</v>
      </c>
      <c r="S1221" s="61">
        <f t="shared" si="221"/>
        <v>20.699999999999967</v>
      </c>
      <c r="T1221" s="40">
        <v>0</v>
      </c>
      <c r="U1221" s="40">
        <v>0</v>
      </c>
      <c r="V1221" s="40">
        <v>1</v>
      </c>
      <c r="W1221" s="40">
        <v>0</v>
      </c>
      <c r="X1221" s="67">
        <f t="shared" si="222"/>
        <v>131</v>
      </c>
      <c r="Z1221" s="71"/>
      <c r="AA1221" s="71"/>
      <c r="AB1221" s="67" t="str">
        <f t="shared" si="223"/>
        <v/>
      </c>
      <c r="AD1221" s="121"/>
      <c r="AE1221" s="121"/>
    </row>
    <row r="1222" spans="1:31" x14ac:dyDescent="0.25">
      <c r="A1222" s="110" t="s">
        <v>1182</v>
      </c>
      <c r="B1222" s="65">
        <v>0.33333333333333331</v>
      </c>
      <c r="C1222" s="3">
        <v>24</v>
      </c>
      <c r="D1222" s="10" t="s">
        <v>351</v>
      </c>
      <c r="E1222" s="40">
        <v>0</v>
      </c>
      <c r="F1222" s="40">
        <v>2.5</v>
      </c>
      <c r="G1222" s="40">
        <v>2.5</v>
      </c>
      <c r="H1222" s="3">
        <f t="shared" si="217"/>
        <v>0</v>
      </c>
      <c r="I1222" s="3">
        <f t="shared" si="218"/>
        <v>2.5</v>
      </c>
      <c r="J1222" s="3">
        <f t="shared" si="219"/>
        <v>2.5</v>
      </c>
      <c r="K1222" s="3"/>
      <c r="L1222" s="60">
        <f t="shared" si="220"/>
        <v>46.674861111111042</v>
      </c>
      <c r="M1222" s="40">
        <v>0</v>
      </c>
      <c r="N1222" s="40">
        <v>0</v>
      </c>
      <c r="O1222" s="40">
        <v>0</v>
      </c>
      <c r="P1222" s="40">
        <v>0</v>
      </c>
      <c r="Q1222" s="40">
        <v>0</v>
      </c>
      <c r="R1222" s="40">
        <v>0</v>
      </c>
      <c r="S1222" s="61">
        <f t="shared" si="221"/>
        <v>20.699999999999967</v>
      </c>
      <c r="T1222" s="40">
        <v>0</v>
      </c>
      <c r="U1222" s="40">
        <v>0</v>
      </c>
      <c r="V1222" s="40">
        <v>6</v>
      </c>
      <c r="W1222" s="40">
        <v>0</v>
      </c>
      <c r="X1222" s="67">
        <f t="shared" si="222"/>
        <v>125</v>
      </c>
      <c r="Z1222" s="71"/>
      <c r="AA1222" s="71"/>
      <c r="AB1222" s="67" t="str">
        <f t="shared" si="223"/>
        <v/>
      </c>
      <c r="AD1222" s="121"/>
      <c r="AE1222" s="121"/>
    </row>
    <row r="1223" spans="1:31" x14ac:dyDescent="0.25">
      <c r="A1223" s="110" t="s">
        <v>1182</v>
      </c>
      <c r="B1223" s="7">
        <v>0.58333333333333337</v>
      </c>
      <c r="C1223" s="3">
        <f t="shared" si="216"/>
        <v>6.0000000000000018</v>
      </c>
      <c r="D1223" s="10" t="s">
        <v>190</v>
      </c>
      <c r="E1223" s="40">
        <v>0</v>
      </c>
      <c r="F1223" s="40">
        <v>2.5</v>
      </c>
      <c r="G1223" s="40">
        <v>2.5</v>
      </c>
      <c r="H1223" s="3">
        <f t="shared" si="217"/>
        <v>0</v>
      </c>
      <c r="I1223" s="3">
        <f t="shared" si="218"/>
        <v>0.62500000000000022</v>
      </c>
      <c r="J1223" s="3">
        <f t="shared" si="219"/>
        <v>0.62500000000000022</v>
      </c>
      <c r="K1223" s="3"/>
      <c r="L1223" s="60">
        <f t="shared" si="220"/>
        <v>45.424861111111042</v>
      </c>
      <c r="M1223" s="40">
        <v>0</v>
      </c>
      <c r="N1223" s="40">
        <v>0</v>
      </c>
      <c r="O1223" s="40">
        <v>0</v>
      </c>
      <c r="P1223" s="40">
        <v>0</v>
      </c>
      <c r="Q1223" s="40">
        <v>0</v>
      </c>
      <c r="R1223" s="40">
        <v>0</v>
      </c>
      <c r="S1223" s="61">
        <f t="shared" si="221"/>
        <v>20.699999999999967</v>
      </c>
      <c r="T1223" s="40">
        <v>0</v>
      </c>
      <c r="U1223" s="40">
        <v>0</v>
      </c>
      <c r="V1223" s="40">
        <v>2</v>
      </c>
      <c r="W1223" s="40">
        <v>0</v>
      </c>
      <c r="X1223" s="67">
        <f t="shared" si="222"/>
        <v>123</v>
      </c>
      <c r="Z1223" s="71"/>
      <c r="AA1223" s="71"/>
      <c r="AB1223" s="67" t="str">
        <f t="shared" si="223"/>
        <v/>
      </c>
      <c r="AD1223" s="121"/>
      <c r="AE1223" s="121"/>
    </row>
    <row r="1224" spans="1:31" x14ac:dyDescent="0.25">
      <c r="A1224" s="110" t="s">
        <v>1182</v>
      </c>
      <c r="B1224" s="7">
        <v>0.62083333333333335</v>
      </c>
      <c r="C1224" s="3">
        <f t="shared" si="216"/>
        <v>0.89999999999999947</v>
      </c>
      <c r="D1224" s="10" t="s">
        <v>1183</v>
      </c>
      <c r="E1224" s="40">
        <v>15</v>
      </c>
      <c r="F1224" s="40">
        <v>2.5</v>
      </c>
      <c r="G1224" s="40">
        <v>2.5</v>
      </c>
      <c r="H1224" s="3">
        <f t="shared" si="217"/>
        <v>0.56249999999999967</v>
      </c>
      <c r="I1224" s="3">
        <f t="shared" si="218"/>
        <v>9.3749999999999944E-2</v>
      </c>
      <c r="J1224" s="3">
        <f t="shared" si="219"/>
        <v>9.3749999999999944E-2</v>
      </c>
      <c r="K1224" s="3"/>
      <c r="L1224" s="60">
        <f t="shared" si="220"/>
        <v>44.674861111111042</v>
      </c>
      <c r="M1224" s="40">
        <v>0</v>
      </c>
      <c r="N1224" s="40">
        <v>0</v>
      </c>
      <c r="O1224" s="40">
        <v>0</v>
      </c>
      <c r="P1224" s="40">
        <v>0</v>
      </c>
      <c r="Q1224" s="40">
        <v>0</v>
      </c>
      <c r="R1224" s="40">
        <v>0</v>
      </c>
      <c r="S1224" s="61">
        <f t="shared" si="221"/>
        <v>20.699999999999967</v>
      </c>
      <c r="T1224" s="40">
        <v>0</v>
      </c>
      <c r="U1224" s="40">
        <v>0</v>
      </c>
      <c r="V1224" s="40">
        <v>0</v>
      </c>
      <c r="W1224" s="40">
        <v>0</v>
      </c>
      <c r="X1224" s="67">
        <f t="shared" si="222"/>
        <v>123</v>
      </c>
      <c r="Z1224" s="71"/>
      <c r="AA1224" s="71"/>
      <c r="AB1224" s="67" t="str">
        <f t="shared" si="223"/>
        <v/>
      </c>
      <c r="AD1224" s="121"/>
      <c r="AE1224" s="121"/>
    </row>
    <row r="1225" spans="1:31" x14ac:dyDescent="0.25">
      <c r="A1225" s="110" t="s">
        <v>1184</v>
      </c>
      <c r="B1225" s="65">
        <v>0.33333333333333331</v>
      </c>
      <c r="C1225" s="3">
        <f t="shared" si="216"/>
        <v>17.100000000000001</v>
      </c>
      <c r="D1225" s="10" t="s">
        <v>1051</v>
      </c>
      <c r="E1225" s="40">
        <v>0</v>
      </c>
      <c r="F1225" s="40">
        <v>3</v>
      </c>
      <c r="G1225" s="40">
        <v>5.8</v>
      </c>
      <c r="H1225" s="3">
        <f t="shared" si="217"/>
        <v>0</v>
      </c>
      <c r="I1225" s="3">
        <f t="shared" si="218"/>
        <v>2.1375000000000002</v>
      </c>
      <c r="J1225" s="3">
        <f t="shared" si="219"/>
        <v>4.1325000000000003</v>
      </c>
      <c r="K1225" s="3"/>
      <c r="L1225" s="60">
        <f t="shared" si="220"/>
        <v>38.404861111111039</v>
      </c>
      <c r="M1225" s="40">
        <v>0</v>
      </c>
      <c r="N1225" s="40">
        <v>0.1</v>
      </c>
      <c r="O1225" s="40">
        <v>0</v>
      </c>
      <c r="P1225" s="40">
        <v>0</v>
      </c>
      <c r="Q1225" s="40">
        <v>0</v>
      </c>
      <c r="R1225" s="40">
        <v>0</v>
      </c>
      <c r="S1225" s="61">
        <f t="shared" si="221"/>
        <v>20.599999999999966</v>
      </c>
      <c r="T1225" s="40">
        <v>0</v>
      </c>
      <c r="U1225" s="40">
        <v>0</v>
      </c>
      <c r="V1225" s="40">
        <v>4</v>
      </c>
      <c r="W1225" s="40">
        <v>0</v>
      </c>
      <c r="X1225" s="67">
        <f t="shared" si="222"/>
        <v>119</v>
      </c>
      <c r="Z1225" s="71"/>
      <c r="AA1225" s="71"/>
      <c r="AB1225" s="67" t="str">
        <f t="shared" si="223"/>
        <v/>
      </c>
      <c r="AD1225" s="121"/>
      <c r="AE1225" s="121"/>
    </row>
    <row r="1226" spans="1:31" x14ac:dyDescent="0.25">
      <c r="A1226" s="110" t="s">
        <v>1184</v>
      </c>
      <c r="B1226" s="7">
        <v>0.39999999999999997</v>
      </c>
      <c r="C1226" s="3">
        <f t="shared" si="216"/>
        <v>1.5999999999999996</v>
      </c>
      <c r="D1226" s="10" t="s">
        <v>120</v>
      </c>
      <c r="E1226" s="40">
        <v>0</v>
      </c>
      <c r="F1226" s="40">
        <v>2.5</v>
      </c>
      <c r="G1226" s="40">
        <v>2.5</v>
      </c>
      <c r="H1226" s="3">
        <f t="shared" si="217"/>
        <v>0</v>
      </c>
      <c r="I1226" s="3">
        <f t="shared" si="218"/>
        <v>0.16666666666666663</v>
      </c>
      <c r="J1226" s="3">
        <f t="shared" si="219"/>
        <v>0.16666666666666663</v>
      </c>
      <c r="K1226" s="3"/>
      <c r="L1226" s="60">
        <f t="shared" si="220"/>
        <v>38.071527777777703</v>
      </c>
      <c r="M1226" s="40">
        <v>0</v>
      </c>
      <c r="N1226" s="40">
        <v>0</v>
      </c>
      <c r="O1226" s="40">
        <v>0</v>
      </c>
      <c r="P1226" s="40">
        <v>0</v>
      </c>
      <c r="Q1226" s="40">
        <v>0</v>
      </c>
      <c r="R1226" s="40">
        <v>0</v>
      </c>
      <c r="S1226" s="61">
        <f t="shared" si="221"/>
        <v>20.599999999999966</v>
      </c>
      <c r="T1226" s="40">
        <v>0</v>
      </c>
      <c r="U1226" s="40">
        <v>0</v>
      </c>
      <c r="V1226" s="40">
        <v>1</v>
      </c>
      <c r="W1226" s="40">
        <v>0</v>
      </c>
      <c r="X1226" s="67">
        <f t="shared" si="222"/>
        <v>118</v>
      </c>
      <c r="Z1226" s="71"/>
      <c r="AA1226" s="71"/>
      <c r="AB1226" s="67" t="str">
        <f t="shared" si="223"/>
        <v/>
      </c>
      <c r="AD1226" s="121"/>
      <c r="AE1226" s="121"/>
    </row>
    <row r="1227" spans="1:31" x14ac:dyDescent="0.25">
      <c r="A1227" s="110" t="s">
        <v>1184</v>
      </c>
      <c r="B1227" s="7">
        <v>0.5625</v>
      </c>
      <c r="C1227" s="3">
        <f t="shared" si="216"/>
        <v>3.9000000000000008</v>
      </c>
      <c r="D1227" s="10" t="s">
        <v>190</v>
      </c>
      <c r="E1227" s="40">
        <v>0</v>
      </c>
      <c r="F1227" s="40">
        <v>2.5</v>
      </c>
      <c r="G1227" s="40">
        <v>2.5</v>
      </c>
      <c r="H1227" s="3">
        <f t="shared" si="217"/>
        <v>0</v>
      </c>
      <c r="I1227" s="3">
        <f t="shared" si="218"/>
        <v>0.40625000000000011</v>
      </c>
      <c r="J1227" s="3">
        <f t="shared" si="219"/>
        <v>0.40625000000000011</v>
      </c>
      <c r="K1227" s="3"/>
      <c r="L1227" s="60">
        <f t="shared" si="220"/>
        <v>37.259027777777703</v>
      </c>
      <c r="M1227" s="40">
        <v>0</v>
      </c>
      <c r="N1227" s="40">
        <v>0</v>
      </c>
      <c r="O1227" s="40">
        <v>0</v>
      </c>
      <c r="P1227" s="40">
        <v>0</v>
      </c>
      <c r="Q1227" s="40">
        <v>0</v>
      </c>
      <c r="R1227" s="40">
        <v>0</v>
      </c>
      <c r="S1227" s="61">
        <f t="shared" si="221"/>
        <v>20.599999999999966</v>
      </c>
      <c r="T1227" s="40">
        <v>0</v>
      </c>
      <c r="U1227" s="40">
        <v>0</v>
      </c>
      <c r="V1227" s="40">
        <v>1</v>
      </c>
      <c r="W1227" s="40">
        <v>0</v>
      </c>
      <c r="X1227" s="67">
        <f t="shared" si="222"/>
        <v>117</v>
      </c>
      <c r="Z1227" s="71"/>
      <c r="AA1227" s="71"/>
      <c r="AB1227" s="67" t="str">
        <f t="shared" si="223"/>
        <v/>
      </c>
      <c r="AD1227" s="121"/>
      <c r="AE1227" s="121"/>
    </row>
    <row r="1228" spans="1:31" x14ac:dyDescent="0.25">
      <c r="A1228" s="110" t="s">
        <v>1184</v>
      </c>
      <c r="B1228" s="7">
        <v>0.6166666666666667</v>
      </c>
      <c r="C1228" s="3">
        <f t="shared" si="216"/>
        <v>1.3000000000000007</v>
      </c>
      <c r="D1228" s="10" t="s">
        <v>1185</v>
      </c>
      <c r="E1228" s="40">
        <v>15</v>
      </c>
      <c r="F1228" s="40">
        <v>3</v>
      </c>
      <c r="G1228" s="40">
        <v>6</v>
      </c>
      <c r="H1228" s="3">
        <f t="shared" si="217"/>
        <v>0.81250000000000044</v>
      </c>
      <c r="I1228" s="3">
        <f t="shared" si="218"/>
        <v>0.16250000000000009</v>
      </c>
      <c r="J1228" s="3">
        <f t="shared" si="219"/>
        <v>0.32500000000000018</v>
      </c>
      <c r="K1228" s="3"/>
      <c r="L1228" s="60">
        <f t="shared" si="220"/>
        <v>35.959027777777706</v>
      </c>
      <c r="M1228" s="40">
        <v>0</v>
      </c>
      <c r="N1228" s="40">
        <v>0</v>
      </c>
      <c r="O1228" s="40">
        <v>0</v>
      </c>
      <c r="P1228" s="40">
        <v>0</v>
      </c>
      <c r="Q1228" s="40">
        <v>0</v>
      </c>
      <c r="R1228" s="40">
        <v>0</v>
      </c>
      <c r="S1228" s="61">
        <f t="shared" si="221"/>
        <v>20.599999999999966</v>
      </c>
      <c r="T1228" s="40">
        <v>0</v>
      </c>
      <c r="U1228" s="40">
        <v>0</v>
      </c>
      <c r="V1228" s="40">
        <v>0</v>
      </c>
      <c r="W1228" s="40">
        <v>0</v>
      </c>
      <c r="X1228" s="67">
        <f t="shared" si="222"/>
        <v>117</v>
      </c>
      <c r="Z1228" s="71"/>
      <c r="AA1228" s="71"/>
      <c r="AB1228" s="67" t="str">
        <f t="shared" si="223"/>
        <v/>
      </c>
      <c r="AD1228" s="121"/>
      <c r="AE1228" s="121"/>
    </row>
    <row r="1229" spans="1:31" x14ac:dyDescent="0.25">
      <c r="A1229" s="110" t="s">
        <v>1186</v>
      </c>
      <c r="B1229" s="7">
        <v>7.4999999999999997E-2</v>
      </c>
      <c r="C1229" s="3">
        <f t="shared" si="216"/>
        <v>10.999999999999998</v>
      </c>
      <c r="D1229" s="10" t="s">
        <v>956</v>
      </c>
      <c r="E1229" s="40">
        <v>25</v>
      </c>
      <c r="F1229" s="40">
        <v>3</v>
      </c>
      <c r="G1229" s="40">
        <v>6</v>
      </c>
      <c r="H1229" s="3">
        <f t="shared" si="217"/>
        <v>11.458333333333332</v>
      </c>
      <c r="I1229" s="3">
        <f t="shared" si="218"/>
        <v>1.3749999999999998</v>
      </c>
      <c r="J1229" s="3">
        <f t="shared" si="219"/>
        <v>2.7499999999999996</v>
      </c>
      <c r="K1229" s="3"/>
      <c r="L1229" s="60">
        <f t="shared" si="220"/>
        <v>20.375694444444374</v>
      </c>
      <c r="M1229" s="40">
        <v>0</v>
      </c>
      <c r="N1229" s="40">
        <v>0</v>
      </c>
      <c r="O1229" s="40">
        <v>0</v>
      </c>
      <c r="P1229" s="40">
        <v>0</v>
      </c>
      <c r="Q1229" s="40">
        <v>0</v>
      </c>
      <c r="R1229" s="40">
        <v>0</v>
      </c>
      <c r="S1229" s="61">
        <f t="shared" si="221"/>
        <v>20.599999999999966</v>
      </c>
      <c r="T1229" s="40">
        <v>0</v>
      </c>
      <c r="U1229" s="40">
        <v>0</v>
      </c>
      <c r="V1229" s="40">
        <v>2</v>
      </c>
      <c r="W1229" s="40">
        <v>0</v>
      </c>
      <c r="X1229" s="67">
        <f t="shared" si="222"/>
        <v>115</v>
      </c>
      <c r="Z1229" s="71"/>
      <c r="AA1229" s="71"/>
      <c r="AB1229" s="67" t="str">
        <f t="shared" si="223"/>
        <v/>
      </c>
      <c r="AD1229" s="121">
        <v>10.3</v>
      </c>
      <c r="AE1229" s="121" t="s">
        <v>1296</v>
      </c>
    </row>
    <row r="1230" spans="1:31" x14ac:dyDescent="0.25">
      <c r="A1230" s="110" t="s">
        <v>1186</v>
      </c>
      <c r="B1230" s="7">
        <v>0.10833333333333334</v>
      </c>
      <c r="C1230" s="3">
        <f t="shared" si="216"/>
        <v>0.80000000000000016</v>
      </c>
      <c r="D1230" s="10" t="s">
        <v>1163</v>
      </c>
      <c r="E1230" s="40">
        <v>15</v>
      </c>
      <c r="F1230" s="40">
        <v>2.5</v>
      </c>
      <c r="G1230" s="40">
        <v>6</v>
      </c>
      <c r="H1230" s="3">
        <f t="shared" si="217"/>
        <v>0.50000000000000011</v>
      </c>
      <c r="I1230" s="3">
        <f t="shared" si="218"/>
        <v>8.3333333333333356E-2</v>
      </c>
      <c r="J1230" s="3">
        <f t="shared" si="219"/>
        <v>0.20000000000000004</v>
      </c>
      <c r="K1230" s="3"/>
      <c r="L1230" s="60">
        <f t="shared" si="220"/>
        <v>19.592361111111039</v>
      </c>
      <c r="M1230" s="40">
        <v>0</v>
      </c>
      <c r="N1230" s="40">
        <v>0</v>
      </c>
      <c r="O1230" s="40">
        <v>0</v>
      </c>
      <c r="P1230" s="40">
        <v>0</v>
      </c>
      <c r="Q1230" s="40">
        <v>0</v>
      </c>
      <c r="R1230" s="40">
        <v>0</v>
      </c>
      <c r="S1230" s="61">
        <f t="shared" si="221"/>
        <v>20.599999999999966</v>
      </c>
      <c r="T1230" s="40">
        <v>0</v>
      </c>
      <c r="U1230" s="40">
        <v>0</v>
      </c>
      <c r="V1230" s="40">
        <v>0</v>
      </c>
      <c r="W1230" s="40">
        <v>0</v>
      </c>
      <c r="X1230" s="67">
        <f t="shared" si="222"/>
        <v>115</v>
      </c>
      <c r="Z1230" s="71"/>
      <c r="AA1230" s="71"/>
      <c r="AB1230" s="67" t="str">
        <f t="shared" si="223"/>
        <v/>
      </c>
      <c r="AD1230" s="121"/>
      <c r="AE1230" s="121"/>
    </row>
    <row r="1231" spans="1:31" x14ac:dyDescent="0.25">
      <c r="A1231" s="110" t="s">
        <v>1186</v>
      </c>
      <c r="B1231" s="7">
        <v>0.17916666666666667</v>
      </c>
      <c r="C1231" s="3">
        <f t="shared" si="216"/>
        <v>1.7</v>
      </c>
      <c r="D1231" s="10" t="s">
        <v>1011</v>
      </c>
      <c r="E1231" s="40">
        <v>0</v>
      </c>
      <c r="F1231" s="40">
        <v>2.5</v>
      </c>
      <c r="G1231" s="40">
        <v>6</v>
      </c>
      <c r="H1231" s="3">
        <f t="shared" si="217"/>
        <v>0</v>
      </c>
      <c r="I1231" s="3">
        <f t="shared" si="218"/>
        <v>0.17708333333333334</v>
      </c>
      <c r="J1231" s="3">
        <f t="shared" si="219"/>
        <v>0.42499999999999999</v>
      </c>
      <c r="K1231" s="3"/>
      <c r="L1231" s="60">
        <f t="shared" si="220"/>
        <v>18.990277777777706</v>
      </c>
      <c r="M1231" s="40">
        <v>0</v>
      </c>
      <c r="N1231" s="40">
        <v>0</v>
      </c>
      <c r="O1231" s="40">
        <v>0</v>
      </c>
      <c r="P1231" s="40">
        <v>0</v>
      </c>
      <c r="Q1231" s="40">
        <v>0</v>
      </c>
      <c r="R1231" s="40">
        <v>0</v>
      </c>
      <c r="S1231" s="61">
        <f t="shared" si="221"/>
        <v>20.599999999999966</v>
      </c>
      <c r="T1231" s="40">
        <v>0</v>
      </c>
      <c r="U1231" s="40">
        <v>0</v>
      </c>
      <c r="V1231" s="40">
        <v>0</v>
      </c>
      <c r="W1231" s="40">
        <v>0</v>
      </c>
      <c r="X1231" s="67">
        <f t="shared" si="222"/>
        <v>115</v>
      </c>
      <c r="Z1231" s="71"/>
      <c r="AA1231" s="71"/>
      <c r="AB1231" s="67" t="str">
        <f t="shared" si="223"/>
        <v/>
      </c>
      <c r="AD1231" s="121"/>
      <c r="AE1231" s="121"/>
    </row>
    <row r="1232" spans="1:31" x14ac:dyDescent="0.25">
      <c r="A1232" s="110" t="s">
        <v>1187</v>
      </c>
      <c r="B1232" s="7">
        <v>0.19583333333333333</v>
      </c>
      <c r="C1232" s="3">
        <f t="shared" si="216"/>
        <v>0.39999999999999991</v>
      </c>
      <c r="D1232" s="10" t="s">
        <v>1188</v>
      </c>
      <c r="E1232" s="40">
        <v>15</v>
      </c>
      <c r="F1232" s="40">
        <v>4</v>
      </c>
      <c r="G1232" s="40">
        <v>6</v>
      </c>
      <c r="H1232" s="3">
        <f t="shared" si="217"/>
        <v>0.24999999999999994</v>
      </c>
      <c r="I1232" s="3">
        <f t="shared" si="218"/>
        <v>6.6666666666666652E-2</v>
      </c>
      <c r="J1232" s="3">
        <f t="shared" si="219"/>
        <v>9.9999999999999978E-2</v>
      </c>
      <c r="K1232" s="3"/>
      <c r="L1232" s="60">
        <f t="shared" si="220"/>
        <v>18.573611111111038</v>
      </c>
      <c r="M1232" s="40">
        <v>0</v>
      </c>
      <c r="N1232" s="40">
        <v>0</v>
      </c>
      <c r="O1232" s="40">
        <v>0</v>
      </c>
      <c r="P1232" s="40">
        <v>0</v>
      </c>
      <c r="Q1232" s="40">
        <v>0</v>
      </c>
      <c r="R1232" s="40">
        <v>0</v>
      </c>
      <c r="S1232" s="61">
        <f t="shared" si="221"/>
        <v>20.599999999999966</v>
      </c>
      <c r="T1232" s="40">
        <v>0</v>
      </c>
      <c r="U1232" s="40">
        <v>0</v>
      </c>
      <c r="V1232" s="40">
        <v>0</v>
      </c>
      <c r="W1232" s="40">
        <v>0</v>
      </c>
      <c r="X1232" s="67">
        <f t="shared" si="222"/>
        <v>115</v>
      </c>
      <c r="Z1232" s="71"/>
      <c r="AA1232" s="71"/>
      <c r="AB1232" s="67" t="str">
        <f t="shared" si="223"/>
        <v/>
      </c>
      <c r="AD1232" s="121"/>
      <c r="AE1232" s="121"/>
    </row>
    <row r="1233" spans="1:31" x14ac:dyDescent="0.25">
      <c r="A1233" s="110" t="s">
        <v>1186</v>
      </c>
      <c r="B1233" s="7">
        <v>0.21666666666666667</v>
      </c>
      <c r="C1233" s="3">
        <f t="shared" si="216"/>
        <v>0.50000000000000022</v>
      </c>
      <c r="D1233" s="10" t="s">
        <v>1015</v>
      </c>
      <c r="E1233" s="40">
        <v>25</v>
      </c>
      <c r="F1233" s="40">
        <v>3</v>
      </c>
      <c r="G1233" s="40">
        <v>6</v>
      </c>
      <c r="H1233" s="3">
        <f t="shared" si="217"/>
        <v>0.52083333333333359</v>
      </c>
      <c r="I1233" s="3">
        <f t="shared" si="218"/>
        <v>6.2500000000000028E-2</v>
      </c>
      <c r="J1233" s="3">
        <f t="shared" si="219"/>
        <v>0.12500000000000006</v>
      </c>
      <c r="K1233" s="3"/>
      <c r="L1233" s="60">
        <f t="shared" si="220"/>
        <v>17.865277777777706</v>
      </c>
      <c r="M1233" s="40">
        <v>0</v>
      </c>
      <c r="N1233" s="40">
        <v>0</v>
      </c>
      <c r="O1233" s="40">
        <v>0</v>
      </c>
      <c r="P1233" s="40">
        <v>0</v>
      </c>
      <c r="Q1233" s="40">
        <v>0</v>
      </c>
      <c r="R1233" s="40">
        <v>0</v>
      </c>
      <c r="S1233" s="61">
        <f t="shared" si="221"/>
        <v>20.599999999999966</v>
      </c>
      <c r="T1233" s="40">
        <v>0</v>
      </c>
      <c r="U1233" s="40">
        <v>0</v>
      </c>
      <c r="V1233" s="40">
        <v>1</v>
      </c>
      <c r="W1233" s="40">
        <v>0</v>
      </c>
      <c r="X1233" s="67">
        <f t="shared" si="222"/>
        <v>114</v>
      </c>
      <c r="Z1233" s="71"/>
      <c r="AA1233" s="71"/>
      <c r="AB1233" s="67" t="str">
        <f t="shared" si="223"/>
        <v/>
      </c>
      <c r="AD1233" s="121"/>
      <c r="AE1233" s="121"/>
    </row>
    <row r="1234" spans="1:31" x14ac:dyDescent="0.25">
      <c r="A1234" s="111" t="s">
        <v>1186</v>
      </c>
      <c r="B1234" s="7">
        <v>0.24166666666666667</v>
      </c>
      <c r="C1234" s="3">
        <f t="shared" si="216"/>
        <v>0.59999999999999987</v>
      </c>
      <c r="D1234" s="10" t="s">
        <v>190</v>
      </c>
      <c r="E1234" s="40">
        <v>0</v>
      </c>
      <c r="F1234" s="40">
        <v>3</v>
      </c>
      <c r="G1234" s="40">
        <v>6</v>
      </c>
      <c r="H1234" s="3">
        <f t="shared" si="217"/>
        <v>0</v>
      </c>
      <c r="I1234" s="3">
        <f t="shared" si="218"/>
        <v>7.4999999999999983E-2</v>
      </c>
      <c r="J1234" s="3">
        <f t="shared" si="219"/>
        <v>0.14999999999999997</v>
      </c>
      <c r="K1234" s="3"/>
      <c r="L1234" s="60">
        <f t="shared" si="220"/>
        <v>17.640277777777705</v>
      </c>
      <c r="M1234" s="40">
        <v>0</v>
      </c>
      <c r="N1234" s="40">
        <v>0</v>
      </c>
      <c r="O1234" s="40">
        <v>0</v>
      </c>
      <c r="P1234" s="40">
        <v>0</v>
      </c>
      <c r="Q1234" s="40">
        <v>0</v>
      </c>
      <c r="R1234" s="40">
        <v>0</v>
      </c>
      <c r="S1234" s="61">
        <f t="shared" si="221"/>
        <v>20.599999999999966</v>
      </c>
      <c r="T1234" s="40">
        <v>0</v>
      </c>
      <c r="U1234" s="40">
        <v>0</v>
      </c>
      <c r="V1234" s="40">
        <v>1</v>
      </c>
      <c r="W1234" s="40">
        <v>0</v>
      </c>
      <c r="X1234" s="67">
        <f t="shared" si="222"/>
        <v>113</v>
      </c>
      <c r="Z1234" s="71"/>
      <c r="AA1234" s="71"/>
      <c r="AB1234" s="67" t="str">
        <f t="shared" si="223"/>
        <v/>
      </c>
      <c r="AD1234" s="121"/>
      <c r="AE1234" s="121"/>
    </row>
    <row r="1235" spans="1:31" x14ac:dyDescent="0.25">
      <c r="A1235" s="111" t="s">
        <v>1186</v>
      </c>
      <c r="B1235" s="7">
        <v>0.29166666666666669</v>
      </c>
      <c r="C1235" s="3">
        <f t="shared" ref="C1235:C1247" si="224">+IF((B1235-B1234)&lt;0,((B1235-B1234)*24)+24,(B1235-B1234)*24)</f>
        <v>1.2000000000000004</v>
      </c>
      <c r="D1235" s="10" t="s">
        <v>616</v>
      </c>
      <c r="E1235" s="40">
        <v>10</v>
      </c>
      <c r="F1235" s="40">
        <v>3</v>
      </c>
      <c r="G1235" s="40">
        <v>4</v>
      </c>
      <c r="H1235" s="3">
        <f t="shared" ref="H1235:H1242" si="225">+IF(E1235="","",(E1235/24)*C1235)</f>
        <v>0.50000000000000022</v>
      </c>
      <c r="I1235" s="3">
        <f t="shared" ref="I1235:I1247" si="226">+IF(F1235="","",(F1235/24)*C1235)</f>
        <v>0.15000000000000005</v>
      </c>
      <c r="J1235" s="3">
        <f t="shared" ref="J1235:J1247" si="227">+IF(G1235="","",(G1235/24)*C1235)</f>
        <v>0.20000000000000007</v>
      </c>
      <c r="K1235" s="3"/>
      <c r="L1235" s="60">
        <f t="shared" ref="L1235:L1246" si="228">+IF(C1235="","",(L1234+K1235)-(H1235+I1235+J1235))</f>
        <v>16.790277777777703</v>
      </c>
      <c r="M1235" s="40">
        <v>0</v>
      </c>
      <c r="N1235" s="40">
        <v>0</v>
      </c>
      <c r="O1235" s="40">
        <v>0</v>
      </c>
      <c r="P1235" s="40">
        <v>0</v>
      </c>
      <c r="Q1235" s="40">
        <v>0</v>
      </c>
      <c r="R1235" s="40">
        <v>0</v>
      </c>
      <c r="S1235" s="61">
        <f t="shared" ref="S1235:S1247" si="229">IF(C1235="","",(S1234+R1235)-(M1235+N1235+O1235+P1235+Q1235))</f>
        <v>20.599999999999966</v>
      </c>
      <c r="T1235" s="40">
        <v>0</v>
      </c>
      <c r="U1235" s="40">
        <v>0</v>
      </c>
      <c r="V1235" s="40">
        <v>0</v>
      </c>
      <c r="W1235" s="40">
        <v>0</v>
      </c>
      <c r="X1235" s="67">
        <f t="shared" ref="X1235:X1247" si="230">IF(V1235="","",((X1234+T1235+U1235)-(V1235+W1235)))</f>
        <v>113</v>
      </c>
      <c r="Z1235" s="71"/>
      <c r="AA1235" s="71"/>
      <c r="AB1235" s="67" t="str">
        <f t="shared" ref="AB1235:AB1247" si="231">IF(Z1235="","",Z1235+AA1235)</f>
        <v/>
      </c>
      <c r="AD1235" s="121"/>
      <c r="AE1235" s="121"/>
    </row>
    <row r="1236" spans="1:31" x14ac:dyDescent="0.25">
      <c r="A1236" s="111" t="s">
        <v>1186</v>
      </c>
      <c r="B1236" s="65">
        <v>0.33333333333333331</v>
      </c>
      <c r="C1236" s="3">
        <f t="shared" si="224"/>
        <v>0.99999999999999911</v>
      </c>
      <c r="D1236" s="10" t="s">
        <v>179</v>
      </c>
      <c r="E1236" s="40">
        <v>0</v>
      </c>
      <c r="F1236" s="40">
        <v>2.5</v>
      </c>
      <c r="G1236" s="40">
        <v>3</v>
      </c>
      <c r="H1236" s="3">
        <f t="shared" si="225"/>
        <v>0</v>
      </c>
      <c r="I1236" s="3">
        <f t="shared" si="226"/>
        <v>0.10416666666666657</v>
      </c>
      <c r="J1236" s="3">
        <f t="shared" si="227"/>
        <v>0.12499999999999989</v>
      </c>
      <c r="K1236" s="3"/>
      <c r="L1236" s="60">
        <f t="shared" si="228"/>
        <v>16.561111111111035</v>
      </c>
      <c r="M1236" s="40">
        <v>0</v>
      </c>
      <c r="N1236" s="40">
        <v>0</v>
      </c>
      <c r="O1236" s="40">
        <v>0</v>
      </c>
      <c r="P1236" s="40">
        <v>0</v>
      </c>
      <c r="Q1236" s="40">
        <v>0</v>
      </c>
      <c r="R1236" s="40">
        <v>0</v>
      </c>
      <c r="S1236" s="61">
        <f t="shared" si="229"/>
        <v>20.599999999999966</v>
      </c>
      <c r="T1236" s="40">
        <v>0</v>
      </c>
      <c r="U1236" s="40">
        <v>0</v>
      </c>
      <c r="V1236" s="40">
        <v>0</v>
      </c>
      <c r="W1236" s="40">
        <v>0</v>
      </c>
      <c r="X1236" s="67">
        <f t="shared" si="230"/>
        <v>113</v>
      </c>
      <c r="Z1236" s="71"/>
      <c r="AA1236" s="71"/>
      <c r="AB1236" s="67" t="str">
        <f t="shared" si="231"/>
        <v/>
      </c>
      <c r="AD1236" s="121"/>
      <c r="AE1236" s="121"/>
    </row>
    <row r="1237" spans="1:31" x14ac:dyDescent="0.25">
      <c r="A1237" s="111" t="s">
        <v>1186</v>
      </c>
      <c r="B1237" s="7">
        <v>0.55833333333333335</v>
      </c>
      <c r="C1237" s="3">
        <f t="shared" si="224"/>
        <v>5.4</v>
      </c>
      <c r="D1237" s="10" t="s">
        <v>1004</v>
      </c>
      <c r="E1237" s="40">
        <v>0</v>
      </c>
      <c r="F1237" s="40">
        <v>2.5</v>
      </c>
      <c r="G1237" s="40">
        <v>4</v>
      </c>
      <c r="H1237" s="3">
        <f t="shared" si="225"/>
        <v>0</v>
      </c>
      <c r="I1237" s="3">
        <f t="shared" si="226"/>
        <v>0.56250000000000011</v>
      </c>
      <c r="J1237" s="3">
        <f t="shared" si="227"/>
        <v>0.9</v>
      </c>
      <c r="K1237" s="3"/>
      <c r="L1237" s="60">
        <f t="shared" si="228"/>
        <v>15.098611111111035</v>
      </c>
      <c r="M1237" s="40">
        <v>0</v>
      </c>
      <c r="N1237" s="40">
        <v>0</v>
      </c>
      <c r="O1237" s="40">
        <v>0</v>
      </c>
      <c r="P1237" s="40">
        <v>0</v>
      </c>
      <c r="Q1237" s="40">
        <v>0</v>
      </c>
      <c r="R1237" s="40">
        <v>0</v>
      </c>
      <c r="S1237" s="61">
        <f t="shared" si="229"/>
        <v>20.599999999999966</v>
      </c>
      <c r="T1237" s="40">
        <v>0</v>
      </c>
      <c r="U1237" s="40">
        <v>0</v>
      </c>
      <c r="V1237" s="40">
        <v>0</v>
      </c>
      <c r="W1237" s="40">
        <v>0</v>
      </c>
      <c r="X1237" s="67">
        <f t="shared" si="230"/>
        <v>113</v>
      </c>
      <c r="Z1237" s="71"/>
      <c r="AA1237" s="71"/>
      <c r="AB1237" s="67" t="str">
        <f t="shared" si="231"/>
        <v/>
      </c>
      <c r="AD1237" s="121"/>
      <c r="AE1237" s="121"/>
    </row>
    <row r="1238" spans="1:31" x14ac:dyDescent="0.25">
      <c r="A1238" s="111" t="s">
        <v>1186</v>
      </c>
      <c r="B1238" s="7">
        <v>0.90833333333333333</v>
      </c>
      <c r="C1238" s="3">
        <f t="shared" si="224"/>
        <v>8.3999999999999986</v>
      </c>
      <c r="D1238" s="10" t="s">
        <v>265</v>
      </c>
      <c r="E1238" s="40">
        <v>0</v>
      </c>
      <c r="F1238" s="40">
        <v>2.5</v>
      </c>
      <c r="G1238" s="40">
        <v>6</v>
      </c>
      <c r="H1238" s="3">
        <f t="shared" si="225"/>
        <v>0</v>
      </c>
      <c r="I1238" s="3">
        <f t="shared" si="226"/>
        <v>0.87499999999999989</v>
      </c>
      <c r="J1238" s="3">
        <f t="shared" si="227"/>
        <v>2.0999999999999996</v>
      </c>
      <c r="K1238" s="3"/>
      <c r="L1238" s="60">
        <f t="shared" si="228"/>
        <v>12.123611111111035</v>
      </c>
      <c r="M1238" s="40">
        <v>0</v>
      </c>
      <c r="N1238" s="40">
        <v>0</v>
      </c>
      <c r="O1238" s="40">
        <v>0</v>
      </c>
      <c r="P1238" s="40">
        <v>0</v>
      </c>
      <c r="Q1238" s="40">
        <v>2.2000000000000002</v>
      </c>
      <c r="R1238" s="40">
        <v>0</v>
      </c>
      <c r="S1238" s="61">
        <f t="shared" si="229"/>
        <v>18.399999999999967</v>
      </c>
      <c r="T1238" s="40">
        <v>0</v>
      </c>
      <c r="U1238" s="40">
        <v>0</v>
      </c>
      <c r="V1238" s="40">
        <v>2</v>
      </c>
      <c r="W1238" s="40">
        <v>0</v>
      </c>
      <c r="X1238" s="67">
        <f t="shared" si="230"/>
        <v>111</v>
      </c>
      <c r="Z1238" s="71"/>
      <c r="AA1238" s="71"/>
      <c r="AB1238" s="67" t="str">
        <f t="shared" si="231"/>
        <v/>
      </c>
      <c r="AD1238" s="121"/>
      <c r="AE1238" s="121"/>
    </row>
    <row r="1239" spans="1:31" x14ac:dyDescent="0.25">
      <c r="A1239" s="111" t="s">
        <v>1189</v>
      </c>
      <c r="B1239" s="65">
        <v>0.33333333333333331</v>
      </c>
      <c r="C1239" s="3">
        <f t="shared" si="224"/>
        <v>10.200000000000001</v>
      </c>
      <c r="D1239" s="10" t="s">
        <v>179</v>
      </c>
      <c r="E1239" s="40">
        <v>0</v>
      </c>
      <c r="F1239" s="40">
        <v>2.5</v>
      </c>
      <c r="G1239" s="40">
        <v>6</v>
      </c>
      <c r="H1239" s="3">
        <f t="shared" si="225"/>
        <v>0</v>
      </c>
      <c r="I1239" s="3">
        <f t="shared" si="226"/>
        <v>1.0625000000000002</v>
      </c>
      <c r="J1239" s="3">
        <f t="shared" si="227"/>
        <v>2.5500000000000003</v>
      </c>
      <c r="K1239" s="3"/>
      <c r="L1239" s="60">
        <f t="shared" si="228"/>
        <v>8.5111111111110347</v>
      </c>
      <c r="M1239" s="40">
        <v>0</v>
      </c>
      <c r="N1239" s="40">
        <v>0</v>
      </c>
      <c r="O1239" s="40">
        <v>0</v>
      </c>
      <c r="P1239" s="40">
        <v>0</v>
      </c>
      <c r="Q1239" s="40">
        <v>0</v>
      </c>
      <c r="R1239" s="40">
        <v>0</v>
      </c>
      <c r="S1239" s="61">
        <f t="shared" si="229"/>
        <v>18.399999999999967</v>
      </c>
      <c r="T1239" s="40">
        <v>0</v>
      </c>
      <c r="U1239" s="40">
        <v>0</v>
      </c>
      <c r="V1239" s="40">
        <v>4</v>
      </c>
      <c r="W1239" s="40">
        <v>0</v>
      </c>
      <c r="X1239" s="67">
        <f t="shared" si="230"/>
        <v>107</v>
      </c>
      <c r="Z1239" s="71"/>
      <c r="AA1239" s="71"/>
      <c r="AB1239" s="67" t="str">
        <f t="shared" si="231"/>
        <v/>
      </c>
      <c r="AD1239" s="121"/>
      <c r="AE1239" s="121"/>
    </row>
    <row r="1240" spans="1:31" x14ac:dyDescent="0.25">
      <c r="A1240" s="111" t="s">
        <v>1190</v>
      </c>
      <c r="B1240" s="65">
        <v>0.33333333333333331</v>
      </c>
      <c r="C1240" s="3">
        <v>24</v>
      </c>
      <c r="D1240" s="10" t="s">
        <v>179</v>
      </c>
      <c r="E1240" s="40">
        <v>0</v>
      </c>
      <c r="F1240" s="40">
        <v>2.5</v>
      </c>
      <c r="G1240" s="40">
        <v>6</v>
      </c>
      <c r="H1240" s="3">
        <f t="shared" si="225"/>
        <v>0</v>
      </c>
      <c r="I1240" s="3">
        <f t="shared" si="226"/>
        <v>2.5</v>
      </c>
      <c r="J1240" s="3">
        <f t="shared" si="227"/>
        <v>6</v>
      </c>
      <c r="K1240" s="3"/>
      <c r="L1240" s="60">
        <f t="shared" si="228"/>
        <v>1.1111111111034688E-2</v>
      </c>
      <c r="M1240" s="40">
        <v>0</v>
      </c>
      <c r="N1240" s="40">
        <v>0</v>
      </c>
      <c r="O1240" s="40">
        <v>0</v>
      </c>
      <c r="P1240" s="40">
        <v>0</v>
      </c>
      <c r="Q1240" s="40">
        <v>0</v>
      </c>
      <c r="R1240" s="40">
        <v>0</v>
      </c>
      <c r="S1240" s="61">
        <f t="shared" si="229"/>
        <v>18.399999999999967</v>
      </c>
      <c r="T1240" s="40">
        <v>0</v>
      </c>
      <c r="U1240" s="40">
        <v>0</v>
      </c>
      <c r="V1240" s="40">
        <v>6</v>
      </c>
      <c r="W1240" s="40">
        <v>0</v>
      </c>
      <c r="X1240" s="67">
        <f t="shared" si="230"/>
        <v>101</v>
      </c>
      <c r="Z1240" s="71"/>
      <c r="AA1240" s="71"/>
      <c r="AB1240" s="67" t="str">
        <f t="shared" si="231"/>
        <v/>
      </c>
      <c r="AD1240" s="121"/>
      <c r="AE1240" s="121"/>
    </row>
    <row r="1241" spans="1:31" x14ac:dyDescent="0.25">
      <c r="A1241" s="111" t="s">
        <v>1190</v>
      </c>
      <c r="B1241" s="7">
        <v>0.375</v>
      </c>
      <c r="C1241" s="3">
        <f t="shared" si="224"/>
        <v>1.0000000000000004</v>
      </c>
      <c r="D1241" s="10" t="s">
        <v>120</v>
      </c>
      <c r="E1241" s="40">
        <v>0</v>
      </c>
      <c r="F1241" s="40">
        <v>0</v>
      </c>
      <c r="G1241" s="40">
        <v>0</v>
      </c>
      <c r="H1241" s="3">
        <f t="shared" si="225"/>
        <v>0</v>
      </c>
      <c r="I1241" s="3">
        <f t="shared" si="226"/>
        <v>0</v>
      </c>
      <c r="J1241" s="3">
        <f t="shared" si="227"/>
        <v>0</v>
      </c>
      <c r="K1241" s="3"/>
      <c r="L1241" s="60">
        <f t="shared" si="228"/>
        <v>1.1111111111034688E-2</v>
      </c>
      <c r="M1241" s="40">
        <v>0</v>
      </c>
      <c r="N1241" s="40">
        <v>0.1</v>
      </c>
      <c r="O1241" s="40">
        <v>0.1</v>
      </c>
      <c r="P1241" s="40">
        <v>0</v>
      </c>
      <c r="Q1241" s="40">
        <v>0</v>
      </c>
      <c r="R1241" s="40">
        <v>0</v>
      </c>
      <c r="S1241" s="61">
        <f t="shared" si="229"/>
        <v>18.199999999999967</v>
      </c>
      <c r="T1241" s="40">
        <v>0</v>
      </c>
      <c r="U1241" s="40">
        <v>0</v>
      </c>
      <c r="V1241" s="40">
        <v>0</v>
      </c>
      <c r="W1241" s="40">
        <v>0</v>
      </c>
      <c r="X1241" s="67">
        <f t="shared" si="230"/>
        <v>101</v>
      </c>
      <c r="Z1241" s="71"/>
      <c r="AA1241" s="71"/>
      <c r="AB1241" s="67" t="str">
        <f t="shared" si="231"/>
        <v/>
      </c>
      <c r="AD1241" s="121"/>
      <c r="AE1241" s="121"/>
    </row>
    <row r="1242" spans="1:31" x14ac:dyDescent="0.25">
      <c r="A1242" s="111" t="s">
        <v>1190</v>
      </c>
      <c r="B1242" s="7">
        <v>0.51250000000000007</v>
      </c>
      <c r="C1242" s="3">
        <f t="shared" si="224"/>
        <v>3.3000000000000016</v>
      </c>
      <c r="D1242" s="10" t="s">
        <v>190</v>
      </c>
      <c r="E1242" s="40">
        <v>0</v>
      </c>
      <c r="F1242" s="40">
        <v>0</v>
      </c>
      <c r="G1242" s="40">
        <v>0</v>
      </c>
      <c r="H1242" s="3">
        <f t="shared" si="225"/>
        <v>0</v>
      </c>
      <c r="I1242" s="3">
        <f t="shared" si="226"/>
        <v>0</v>
      </c>
      <c r="J1242" s="3">
        <f t="shared" si="227"/>
        <v>0</v>
      </c>
      <c r="K1242" s="3"/>
      <c r="L1242" s="60">
        <f t="shared" si="228"/>
        <v>1.1111111111034688E-2</v>
      </c>
      <c r="M1242" s="40">
        <v>0</v>
      </c>
      <c r="N1242" s="40">
        <v>0.4</v>
      </c>
      <c r="O1242" s="40">
        <v>0.2</v>
      </c>
      <c r="P1242" s="40">
        <v>0</v>
      </c>
      <c r="Q1242" s="40">
        <v>0</v>
      </c>
      <c r="R1242" s="40">
        <v>0</v>
      </c>
      <c r="S1242" s="61">
        <f t="shared" si="229"/>
        <v>17.599999999999966</v>
      </c>
      <c r="T1242" s="40">
        <v>0</v>
      </c>
      <c r="U1242" s="40">
        <v>0</v>
      </c>
      <c r="V1242" s="40">
        <v>0</v>
      </c>
      <c r="W1242" s="40">
        <v>0</v>
      </c>
      <c r="X1242" s="67">
        <f t="shared" si="230"/>
        <v>101</v>
      </c>
      <c r="Z1242" s="71"/>
      <c r="AA1242" s="71"/>
      <c r="AB1242" s="67" t="str">
        <f t="shared" si="231"/>
        <v/>
      </c>
      <c r="AD1242" s="121"/>
      <c r="AE1242" s="121"/>
    </row>
    <row r="1243" spans="1:31" x14ac:dyDescent="0.25">
      <c r="A1243" s="112" t="s">
        <v>1190</v>
      </c>
      <c r="B1243" s="7">
        <v>0.5625</v>
      </c>
      <c r="C1243" s="3">
        <f t="shared" si="224"/>
        <v>1.1999999999999984</v>
      </c>
      <c r="D1243" s="10" t="s">
        <v>988</v>
      </c>
      <c r="E1243" s="40">
        <v>10</v>
      </c>
      <c r="F1243" s="40">
        <v>0</v>
      </c>
      <c r="G1243" s="40">
        <v>0</v>
      </c>
      <c r="H1243" s="3">
        <v>0</v>
      </c>
      <c r="I1243" s="3">
        <f t="shared" si="226"/>
        <v>0</v>
      </c>
      <c r="J1243" s="3">
        <f t="shared" si="227"/>
        <v>0</v>
      </c>
      <c r="K1243" s="3"/>
      <c r="L1243" s="60">
        <f t="shared" si="228"/>
        <v>1.1111111111034688E-2</v>
      </c>
      <c r="M1243" s="40">
        <v>0.5</v>
      </c>
      <c r="N1243" s="40">
        <v>0.15</v>
      </c>
      <c r="O1243" s="40">
        <v>0.1</v>
      </c>
      <c r="P1243" s="40">
        <v>0</v>
      </c>
      <c r="Q1243" s="40">
        <v>0</v>
      </c>
      <c r="R1243" s="40">
        <v>0</v>
      </c>
      <c r="S1243" s="61">
        <f t="shared" si="229"/>
        <v>16.849999999999966</v>
      </c>
      <c r="T1243" s="40">
        <v>0</v>
      </c>
      <c r="U1243" s="40">
        <v>0</v>
      </c>
      <c r="V1243" s="40">
        <v>0</v>
      </c>
      <c r="W1243" s="40">
        <v>0</v>
      </c>
      <c r="X1243" s="67">
        <f t="shared" si="230"/>
        <v>101</v>
      </c>
      <c r="Z1243" s="71"/>
      <c r="AA1243" s="71"/>
      <c r="AB1243" s="67" t="str">
        <f t="shared" si="231"/>
        <v/>
      </c>
      <c r="AD1243" s="121"/>
      <c r="AE1243" s="121"/>
    </row>
    <row r="1244" spans="1:31" x14ac:dyDescent="0.25">
      <c r="A1244" s="112" t="s">
        <v>1190</v>
      </c>
      <c r="B1244" s="7">
        <v>0.58333333333333337</v>
      </c>
      <c r="C1244" s="3">
        <f t="shared" si="224"/>
        <v>0.50000000000000089</v>
      </c>
      <c r="D1244" s="10" t="s">
        <v>1191</v>
      </c>
      <c r="E1244" s="40">
        <v>20</v>
      </c>
      <c r="F1244" s="40">
        <v>0</v>
      </c>
      <c r="G1244" s="40">
        <v>0</v>
      </c>
      <c r="H1244" s="3">
        <v>0</v>
      </c>
      <c r="I1244" s="3">
        <f t="shared" si="226"/>
        <v>0</v>
      </c>
      <c r="J1244" s="3">
        <f t="shared" si="227"/>
        <v>0</v>
      </c>
      <c r="K1244" s="3"/>
      <c r="L1244" s="60">
        <f t="shared" si="228"/>
        <v>1.1111111111034688E-2</v>
      </c>
      <c r="M1244" s="40">
        <v>0.42</v>
      </c>
      <c r="N1244" s="40">
        <v>0.1</v>
      </c>
      <c r="O1244" s="40">
        <v>0.1</v>
      </c>
      <c r="P1244" s="40">
        <v>0</v>
      </c>
      <c r="Q1244" s="40">
        <v>0</v>
      </c>
      <c r="R1244" s="40">
        <v>0</v>
      </c>
      <c r="S1244" s="61">
        <f t="shared" si="229"/>
        <v>16.229999999999965</v>
      </c>
      <c r="T1244" s="40">
        <v>0</v>
      </c>
      <c r="U1244" s="40">
        <v>0</v>
      </c>
      <c r="V1244" s="40">
        <v>2</v>
      </c>
      <c r="W1244" s="40">
        <v>0</v>
      </c>
      <c r="X1244" s="67">
        <f t="shared" si="230"/>
        <v>99</v>
      </c>
      <c r="Z1244" s="71"/>
      <c r="AA1244" s="71"/>
      <c r="AB1244" s="67" t="str">
        <f t="shared" si="231"/>
        <v/>
      </c>
      <c r="AD1244" s="121"/>
      <c r="AE1244" s="121"/>
    </row>
    <row r="1245" spans="1:31" x14ac:dyDescent="0.25">
      <c r="A1245" s="112" t="s">
        <v>1190</v>
      </c>
      <c r="B1245" s="7">
        <v>0.61249999999999993</v>
      </c>
      <c r="C1245" s="3">
        <f t="shared" si="224"/>
        <v>0.69999999999999751</v>
      </c>
      <c r="D1245" s="10" t="s">
        <v>960</v>
      </c>
      <c r="E1245" s="40">
        <v>10</v>
      </c>
      <c r="F1245" s="40">
        <v>0</v>
      </c>
      <c r="G1245" s="40">
        <v>0</v>
      </c>
      <c r="H1245" s="3">
        <v>0</v>
      </c>
      <c r="I1245" s="3">
        <f t="shared" si="226"/>
        <v>0</v>
      </c>
      <c r="J1245" s="3">
        <f t="shared" si="227"/>
        <v>0</v>
      </c>
      <c r="K1245" s="3"/>
      <c r="L1245" s="60">
        <f t="shared" si="228"/>
        <v>1.1111111111034688E-2</v>
      </c>
      <c r="M1245" s="40">
        <v>0.28999999999999998</v>
      </c>
      <c r="N1245" s="40">
        <v>0.1</v>
      </c>
      <c r="O1245" s="40">
        <v>0.1</v>
      </c>
      <c r="P1245" s="40">
        <v>0</v>
      </c>
      <c r="Q1245" s="40">
        <v>0</v>
      </c>
      <c r="R1245" s="40">
        <v>80</v>
      </c>
      <c r="S1245" s="61">
        <f t="shared" si="229"/>
        <v>95.739999999999966</v>
      </c>
      <c r="T1245" s="40">
        <v>0</v>
      </c>
      <c r="U1245" s="40">
        <v>0</v>
      </c>
      <c r="V1245" s="40">
        <v>2</v>
      </c>
      <c r="W1245" s="40">
        <v>0</v>
      </c>
      <c r="X1245" s="67">
        <f t="shared" si="230"/>
        <v>97</v>
      </c>
      <c r="Z1245" s="71"/>
      <c r="AA1245" s="71"/>
      <c r="AB1245" s="67" t="str">
        <f t="shared" si="231"/>
        <v/>
      </c>
      <c r="AD1245" s="121"/>
      <c r="AE1245" s="121"/>
    </row>
    <row r="1246" spans="1:31" x14ac:dyDescent="0.25">
      <c r="A1246" s="112" t="s">
        <v>1190</v>
      </c>
      <c r="B1246" s="7">
        <v>0.95000000000000007</v>
      </c>
      <c r="C1246" s="3">
        <f t="shared" si="224"/>
        <v>8.1000000000000032</v>
      </c>
      <c r="D1246" s="10" t="s">
        <v>1011</v>
      </c>
      <c r="E1246" s="40">
        <v>0</v>
      </c>
      <c r="F1246" s="40">
        <v>0</v>
      </c>
      <c r="G1246" s="40">
        <v>0</v>
      </c>
      <c r="H1246" s="3">
        <v>0</v>
      </c>
      <c r="I1246" s="3">
        <f t="shared" si="226"/>
        <v>0</v>
      </c>
      <c r="J1246" s="3">
        <f t="shared" si="227"/>
        <v>0</v>
      </c>
      <c r="K1246" s="3"/>
      <c r="L1246" s="60">
        <f t="shared" si="228"/>
        <v>1.1111111111034688E-2</v>
      </c>
      <c r="M1246" s="40">
        <v>0</v>
      </c>
      <c r="N1246" s="40">
        <v>0.2</v>
      </c>
      <c r="O1246" s="40">
        <v>0.1</v>
      </c>
      <c r="P1246" s="40">
        <v>0</v>
      </c>
      <c r="Q1246" s="40">
        <v>0</v>
      </c>
      <c r="R1246" s="40">
        <v>0</v>
      </c>
      <c r="S1246" s="61">
        <f t="shared" si="229"/>
        <v>95.439999999999969</v>
      </c>
      <c r="T1246" s="40">
        <v>0</v>
      </c>
      <c r="U1246" s="40">
        <v>0</v>
      </c>
      <c r="V1246" s="40">
        <v>1</v>
      </c>
      <c r="W1246" s="40">
        <v>0</v>
      </c>
      <c r="X1246" s="67">
        <f t="shared" si="230"/>
        <v>96</v>
      </c>
      <c r="Z1246" s="71"/>
      <c r="AA1246" s="71"/>
      <c r="AB1246" s="67" t="str">
        <f t="shared" si="231"/>
        <v/>
      </c>
      <c r="AD1246" s="121"/>
      <c r="AE1246" s="121"/>
    </row>
    <row r="1247" spans="1:31" x14ac:dyDescent="0.25">
      <c r="A1247" s="112" t="s">
        <v>1190</v>
      </c>
      <c r="B1247" s="7">
        <v>0.97916666666666663</v>
      </c>
      <c r="C1247" s="3">
        <f t="shared" si="224"/>
        <v>0.69999999999999751</v>
      </c>
      <c r="D1247" s="10" t="s">
        <v>988</v>
      </c>
      <c r="E1247" s="40">
        <v>10</v>
      </c>
      <c r="F1247" s="40">
        <v>0</v>
      </c>
      <c r="G1247" s="40">
        <v>0</v>
      </c>
      <c r="H1247" s="3">
        <v>0</v>
      </c>
      <c r="I1247" s="3">
        <f t="shared" si="226"/>
        <v>0</v>
      </c>
      <c r="J1247" s="3">
        <f t="shared" si="227"/>
        <v>0</v>
      </c>
      <c r="K1247" s="3"/>
      <c r="L1247" s="60">
        <v>370</v>
      </c>
      <c r="M1247" s="40">
        <v>0.28999999999999998</v>
      </c>
      <c r="N1247" s="40">
        <v>0.1</v>
      </c>
      <c r="O1247" s="40">
        <v>0.1</v>
      </c>
      <c r="P1247" s="40">
        <v>0</v>
      </c>
      <c r="Q1247" s="40">
        <v>0</v>
      </c>
      <c r="R1247" s="40">
        <v>0</v>
      </c>
      <c r="S1247" s="61">
        <f t="shared" si="229"/>
        <v>94.949999999999974</v>
      </c>
      <c r="T1247" s="40">
        <v>0</v>
      </c>
      <c r="U1247" s="40">
        <v>0</v>
      </c>
      <c r="V1247" s="40">
        <v>0</v>
      </c>
      <c r="W1247" s="40">
        <v>0</v>
      </c>
      <c r="X1247" s="67">
        <f t="shared" si="230"/>
        <v>96</v>
      </c>
      <c r="Z1247" s="71"/>
      <c r="AA1247" s="71"/>
      <c r="AB1247" s="67" t="str">
        <f t="shared" si="231"/>
        <v/>
      </c>
      <c r="AD1247" s="121"/>
      <c r="AE1247" s="121"/>
    </row>
    <row r="1248" spans="1:31" x14ac:dyDescent="0.25">
      <c r="A1248" s="9" t="s">
        <v>1192</v>
      </c>
      <c r="B1248" s="7">
        <v>0</v>
      </c>
      <c r="C1248" s="3">
        <f t="shared" ref="C1248" si="232">+IF((B1248-B1247)&lt;0,((B1248-B1247)*24)+24,(B1248-B1247)*24)</f>
        <v>0.5</v>
      </c>
      <c r="D1248" s="10" t="s">
        <v>355</v>
      </c>
      <c r="E1248" s="40">
        <v>25</v>
      </c>
      <c r="F1248" s="40">
        <v>2.5</v>
      </c>
      <c r="G1248" s="40">
        <v>2</v>
      </c>
      <c r="H1248" s="3">
        <v>0</v>
      </c>
      <c r="I1248" s="3">
        <v>0</v>
      </c>
      <c r="J1248" s="3">
        <v>0</v>
      </c>
      <c r="K1248" s="3"/>
      <c r="L1248" s="60">
        <f t="shared" ref="L1248" si="233">+IF(C1248="","",(L1247+K1248)-(H1248+I1248+J1248))</f>
        <v>370</v>
      </c>
      <c r="M1248" s="40">
        <v>0.52</v>
      </c>
      <c r="N1248" s="40">
        <v>0.05</v>
      </c>
      <c r="O1248" s="40">
        <v>0.04</v>
      </c>
      <c r="P1248" s="40">
        <v>0</v>
      </c>
      <c r="Q1248" s="40">
        <v>0</v>
      </c>
      <c r="R1248" s="40">
        <v>0</v>
      </c>
      <c r="S1248" s="61">
        <f t="shared" ref="S1248" si="234">IF(C1248="","",(S1247+R1248)-(M1248+N1248+O1248+P1248+Q1248))</f>
        <v>94.339999999999975</v>
      </c>
      <c r="T1248" s="40">
        <v>0</v>
      </c>
      <c r="U1248" s="40">
        <v>0</v>
      </c>
      <c r="V1248" s="40">
        <v>0</v>
      </c>
      <c r="W1248" s="40">
        <v>0</v>
      </c>
      <c r="X1248" s="67">
        <f t="shared" ref="X1248" si="235">IF(V1248="","",((X1247+T1248+U1248)-(V1248+W1248)))</f>
        <v>96</v>
      </c>
      <c r="Z1248" s="71"/>
      <c r="AA1248" s="71"/>
      <c r="AB1248" s="67" t="str">
        <f t="shared" ref="AB1248" si="236">IF(Z1248="","",Z1248+AA1248)</f>
        <v/>
      </c>
      <c r="AD1248" s="121"/>
      <c r="AE1248" s="121"/>
    </row>
  </sheetData>
  <mergeCells count="8">
    <mergeCell ref="AD3:AE3"/>
    <mergeCell ref="A2:S2"/>
    <mergeCell ref="T3:X3"/>
    <mergeCell ref="Z3:AB3"/>
    <mergeCell ref="J3:K3"/>
    <mergeCell ref="E3:I3"/>
    <mergeCell ref="Q3:R3"/>
    <mergeCell ref="M3:P3"/>
  </mergeCells>
  <pageMargins left="0.7" right="0.7" top="0.75" bottom="0.75" header="0.3" footer="0.3"/>
  <pageSetup orientation="portrait" horizontalDpi="4294967294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1248"/>
  <sheetViews>
    <sheetView zoomScale="80" zoomScaleNormal="80" workbookViewId="0">
      <pane ySplit="4" topLeftCell="A288" activePane="bottomLeft" state="frozen"/>
      <selection pane="bottomLeft" activeCell="Q307" sqref="Q307"/>
    </sheetView>
  </sheetViews>
  <sheetFormatPr baseColWidth="10" defaultColWidth="9.140625" defaultRowHeight="15" outlineLevelCol="1" x14ac:dyDescent="0.25"/>
  <cols>
    <col min="1" max="1" width="4.85546875" customWidth="1"/>
    <col min="3" max="3" width="11" customWidth="1"/>
    <col min="4" max="4" width="9.140625" style="8"/>
    <col min="5" max="5" width="18.42578125" style="17" customWidth="1"/>
    <col min="6" max="8" width="10.42578125" style="8" hidden="1" customWidth="1" outlineLevel="1"/>
    <col min="9" max="9" width="9.85546875" style="8" customWidth="1" collapsed="1"/>
    <col min="10" max="13" width="9.42578125" style="8" customWidth="1"/>
    <col min="14" max="14" width="10.140625" style="8" customWidth="1"/>
    <col min="15" max="15" width="10.85546875" style="8" customWidth="1"/>
    <col min="16" max="16" width="10.140625" style="8" customWidth="1"/>
    <col min="17" max="19" width="9.140625" style="8"/>
    <col min="20" max="20" width="9.42578125" style="8" bestFit="1" customWidth="1"/>
    <col min="21" max="22" width="9.85546875" style="8" customWidth="1"/>
    <col min="23" max="25" width="9.140625" style="8"/>
    <col min="26" max="26" width="2.42578125" hidden="1" customWidth="1" outlineLevel="1"/>
    <col min="27" max="28" width="9.140625" hidden="1" customWidth="1" outlineLevel="1"/>
    <col min="29" max="29" width="9.140625" style="8" hidden="1" customWidth="1" outlineLevel="1"/>
    <col min="30" max="30" width="2.140625" hidden="1" customWidth="1" outlineLevel="1"/>
    <col min="31" max="31" width="11.42578125" customWidth="1" collapsed="1"/>
    <col min="32" max="32" width="11.42578125" customWidth="1"/>
    <col min="33" max="33" width="11.42578125" customWidth="1" collapsed="1"/>
    <col min="34" max="34" width="11.42578125" customWidth="1"/>
    <col min="35" max="35" width="11.42578125" customWidth="1" collapsed="1"/>
    <col min="36" max="36" width="11.42578125" customWidth="1"/>
  </cols>
  <sheetData>
    <row r="1" spans="2:36" ht="15.75" thickBot="1" x14ac:dyDescent="0.3"/>
    <row r="2" spans="2:36" ht="16.5" thickBot="1" x14ac:dyDescent="0.3">
      <c r="B2" s="364" t="s">
        <v>22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72"/>
    </row>
    <row r="3" spans="2:36" ht="15.75" thickBot="1" x14ac:dyDescent="0.3">
      <c r="F3" s="354" t="s">
        <v>15</v>
      </c>
      <c r="G3" s="355"/>
      <c r="H3" s="355"/>
      <c r="I3" s="355"/>
      <c r="J3" s="355"/>
      <c r="K3" s="355"/>
      <c r="L3" s="356"/>
      <c r="M3" s="357"/>
      <c r="N3" s="354" t="s">
        <v>16</v>
      </c>
      <c r="O3" s="355"/>
      <c r="P3" s="355"/>
      <c r="Q3" s="355"/>
      <c r="R3" s="355"/>
      <c r="S3" s="356"/>
      <c r="T3" s="357"/>
      <c r="U3" s="361" t="s">
        <v>28</v>
      </c>
      <c r="V3" s="362"/>
      <c r="W3" s="362"/>
      <c r="X3" s="362"/>
      <c r="Y3" s="363"/>
      <c r="AA3" s="353" t="s">
        <v>32</v>
      </c>
      <c r="AB3" s="353"/>
      <c r="AC3" s="353"/>
      <c r="AE3" s="353" t="s">
        <v>1291</v>
      </c>
      <c r="AF3" s="371"/>
      <c r="AG3" s="133" t="s">
        <v>1326</v>
      </c>
      <c r="AH3" s="134"/>
      <c r="AI3" s="134"/>
      <c r="AJ3" s="135"/>
    </row>
    <row r="4" spans="2:36" ht="44.25" customHeight="1" thickBot="1" x14ac:dyDescent="0.3">
      <c r="B4" s="27" t="s">
        <v>0</v>
      </c>
      <c r="C4" s="28" t="s">
        <v>1</v>
      </c>
      <c r="D4" s="34" t="s">
        <v>135</v>
      </c>
      <c r="E4" s="29" t="s">
        <v>60</v>
      </c>
      <c r="F4" s="30" t="s">
        <v>3</v>
      </c>
      <c r="G4" s="30" t="s">
        <v>4</v>
      </c>
      <c r="H4" s="30" t="s">
        <v>5</v>
      </c>
      <c r="I4" s="30" t="s">
        <v>6</v>
      </c>
      <c r="J4" s="30" t="s">
        <v>7</v>
      </c>
      <c r="K4" s="30" t="s">
        <v>8</v>
      </c>
      <c r="L4" s="30" t="s">
        <v>27</v>
      </c>
      <c r="M4" s="21" t="s">
        <v>2</v>
      </c>
      <c r="N4" s="31" t="s">
        <v>11</v>
      </c>
      <c r="O4" s="31" t="s">
        <v>12</v>
      </c>
      <c r="P4" s="31" t="s">
        <v>13</v>
      </c>
      <c r="Q4" s="32" t="s">
        <v>20</v>
      </c>
      <c r="R4" s="32" t="s">
        <v>21</v>
      </c>
      <c r="S4" s="32" t="s">
        <v>27</v>
      </c>
      <c r="T4" s="33" t="s">
        <v>14</v>
      </c>
      <c r="U4" s="14" t="s">
        <v>24</v>
      </c>
      <c r="V4" s="14" t="s">
        <v>27</v>
      </c>
      <c r="W4" s="14" t="s">
        <v>25</v>
      </c>
      <c r="X4" s="14" t="s">
        <v>26</v>
      </c>
      <c r="Y4" s="15" t="s">
        <v>23</v>
      </c>
      <c r="AA4" s="11" t="s">
        <v>29</v>
      </c>
      <c r="AB4" s="11" t="s">
        <v>30</v>
      </c>
      <c r="AC4" s="11" t="s">
        <v>31</v>
      </c>
      <c r="AE4" s="118" t="s">
        <v>1289</v>
      </c>
      <c r="AF4" s="118" t="s">
        <v>1290</v>
      </c>
      <c r="AG4" s="125" t="s">
        <v>1321</v>
      </c>
      <c r="AH4" s="136" t="s">
        <v>1322</v>
      </c>
      <c r="AI4" s="125" t="s">
        <v>1323</v>
      </c>
      <c r="AJ4" s="125" t="s">
        <v>1324</v>
      </c>
    </row>
    <row r="5" spans="2:36" ht="14.25" customHeight="1" x14ac:dyDescent="0.25">
      <c r="B5" s="9" t="s">
        <v>1192</v>
      </c>
      <c r="C5" s="7">
        <v>0</v>
      </c>
      <c r="D5" s="3">
        <v>0</v>
      </c>
      <c r="E5" s="10" t="s">
        <v>355</v>
      </c>
      <c r="F5" s="40">
        <v>25</v>
      </c>
      <c r="G5" s="40">
        <v>2.5</v>
      </c>
      <c r="H5" s="40">
        <v>2</v>
      </c>
      <c r="I5" s="3">
        <f t="shared" ref="I5:I6" si="0">+IF(F5="","",(F5/24)*D5)</f>
        <v>0</v>
      </c>
      <c r="J5" s="3">
        <f t="shared" ref="J5:J6" si="1">+IF(G5="","",(G5/24)*D5)</f>
        <v>0</v>
      </c>
      <c r="K5" s="3">
        <f t="shared" ref="K5:K6" si="2">+IF(H5="","",(H5/24)*D5)</f>
        <v>0</v>
      </c>
      <c r="L5" s="3"/>
      <c r="M5" s="60">
        <v>370</v>
      </c>
      <c r="N5" s="40">
        <v>0.52</v>
      </c>
      <c r="O5" s="40">
        <v>0.05</v>
      </c>
      <c r="P5" s="40">
        <v>0.04</v>
      </c>
      <c r="Q5" s="40">
        <v>0</v>
      </c>
      <c r="R5" s="40">
        <v>0</v>
      </c>
      <c r="S5" s="40">
        <v>0</v>
      </c>
      <c r="T5" s="61">
        <v>94.34</v>
      </c>
      <c r="U5" s="40">
        <v>0</v>
      </c>
      <c r="V5" s="40">
        <v>0</v>
      </c>
      <c r="W5" s="40">
        <v>5</v>
      </c>
      <c r="X5" s="40">
        <v>0</v>
      </c>
      <c r="Y5" s="67">
        <v>96</v>
      </c>
      <c r="AA5" s="71"/>
      <c r="AB5" s="71"/>
      <c r="AC5" s="67" t="str">
        <f t="shared" ref="AC5" si="3">IF(AA5="","",AA5+AB5)</f>
        <v/>
      </c>
      <c r="AE5" s="122"/>
      <c r="AF5" s="122"/>
      <c r="AG5" s="122"/>
      <c r="AH5" s="122"/>
      <c r="AI5" s="122"/>
      <c r="AJ5" s="122"/>
    </row>
    <row r="6" spans="2:36" ht="14.25" customHeight="1" x14ac:dyDescent="0.25">
      <c r="B6" s="5" t="s">
        <v>1192</v>
      </c>
      <c r="C6" s="6">
        <v>0.3</v>
      </c>
      <c r="D6" s="3">
        <f t="shared" ref="D6:D17" si="4">+IF((C6-C5)&lt;0,((C6-C5)*24)+24,(C6-C5)*24)</f>
        <v>7.1999999999999993</v>
      </c>
      <c r="E6" s="10" t="s">
        <v>1048</v>
      </c>
      <c r="F6" s="40">
        <v>0</v>
      </c>
      <c r="G6" s="40">
        <v>0</v>
      </c>
      <c r="H6" s="40">
        <v>0</v>
      </c>
      <c r="I6" s="3">
        <f t="shared" si="0"/>
        <v>0</v>
      </c>
      <c r="J6" s="3">
        <f t="shared" si="1"/>
        <v>0</v>
      </c>
      <c r="K6" s="3">
        <f t="shared" si="2"/>
        <v>0</v>
      </c>
      <c r="L6" s="13"/>
      <c r="M6" s="60">
        <f t="shared" ref="M6:M68" si="5">+IF(D6="","",M5-(I6+J6+K6))</f>
        <v>370</v>
      </c>
      <c r="N6" s="40">
        <v>7.5</v>
      </c>
      <c r="O6" s="40">
        <v>0.75</v>
      </c>
      <c r="P6" s="40">
        <v>0.06</v>
      </c>
      <c r="Q6" s="40">
        <v>0</v>
      </c>
      <c r="R6" s="40">
        <v>0</v>
      </c>
      <c r="S6" s="40">
        <v>0</v>
      </c>
      <c r="T6" s="61">
        <f t="shared" ref="T6:T39" si="6">IF(D6="","",T5-(N6+O6+P6+Q6+R6))</f>
        <v>86.03</v>
      </c>
      <c r="U6" s="40">
        <v>0</v>
      </c>
      <c r="V6" s="40">
        <v>0</v>
      </c>
      <c r="W6" s="40">
        <v>2</v>
      </c>
      <c r="X6" s="40">
        <v>0</v>
      </c>
      <c r="Y6" s="67">
        <f t="shared" ref="Y6" si="7">IF(W6="","",((Y5+U6+V6)-(W6+X6)))</f>
        <v>94</v>
      </c>
      <c r="AA6" s="71"/>
      <c r="AB6" s="71"/>
      <c r="AC6" s="67" t="str">
        <f t="shared" ref="AC6:AC68" si="8">IF(AA6="","",AA6+AB6)</f>
        <v/>
      </c>
      <c r="AE6" s="124">
        <v>10.5</v>
      </c>
      <c r="AF6" s="124" t="s">
        <v>1296</v>
      </c>
      <c r="AG6" s="121"/>
      <c r="AH6" s="121"/>
      <c r="AI6" s="124"/>
      <c r="AJ6" s="124"/>
    </row>
    <row r="7" spans="2:36" x14ac:dyDescent="0.25">
      <c r="B7" s="2" t="s">
        <v>1192</v>
      </c>
      <c r="C7" s="65">
        <v>0.33333333333333331</v>
      </c>
      <c r="D7" s="3">
        <f t="shared" si="4"/>
        <v>0.79999999999999982</v>
      </c>
      <c r="E7" s="10" t="s">
        <v>1193</v>
      </c>
      <c r="F7" s="40">
        <v>0</v>
      </c>
      <c r="G7" s="40">
        <v>0</v>
      </c>
      <c r="H7" s="40">
        <v>0</v>
      </c>
      <c r="I7" s="3">
        <f t="shared" ref="I7:I68" si="9">+IF(F7="","",(F7/24)*D7)</f>
        <v>0</v>
      </c>
      <c r="J7" s="3">
        <f t="shared" ref="J7:J68" si="10">+IF(G7="","",(G7/24)*D7)</f>
        <v>0</v>
      </c>
      <c r="K7" s="3">
        <f t="shared" ref="K7:K68" si="11">+IF(H7="","",(H7/24)*D7)</f>
        <v>0</v>
      </c>
      <c r="L7" s="3"/>
      <c r="M7" s="60">
        <f t="shared" si="5"/>
        <v>370</v>
      </c>
      <c r="N7" s="40">
        <v>0.33</v>
      </c>
      <c r="O7" s="40">
        <v>0.08</v>
      </c>
      <c r="P7" s="40">
        <v>7.0000000000000007E-2</v>
      </c>
      <c r="Q7" s="40">
        <v>0</v>
      </c>
      <c r="R7" s="40">
        <v>0</v>
      </c>
      <c r="S7" s="40">
        <v>0</v>
      </c>
      <c r="T7" s="61">
        <f t="shared" si="6"/>
        <v>85.55</v>
      </c>
      <c r="U7" s="40">
        <v>0</v>
      </c>
      <c r="V7" s="40">
        <v>0</v>
      </c>
      <c r="W7" s="40">
        <v>0</v>
      </c>
      <c r="X7" s="40">
        <v>0</v>
      </c>
      <c r="Y7" s="67">
        <f>IF(W7="","",((Y6+U7+V7)-(W7+X7)))</f>
        <v>94</v>
      </c>
      <c r="AA7" s="71"/>
      <c r="AB7" s="71"/>
      <c r="AC7" s="67" t="str">
        <f t="shared" si="8"/>
        <v/>
      </c>
      <c r="AE7" s="124"/>
      <c r="AF7" s="124"/>
      <c r="AG7" s="121"/>
      <c r="AH7" s="121"/>
      <c r="AI7" s="124"/>
      <c r="AJ7" s="124"/>
    </row>
    <row r="8" spans="2:36" x14ac:dyDescent="0.25">
      <c r="B8" s="2" t="s">
        <v>1192</v>
      </c>
      <c r="C8" s="7">
        <v>0.35000000000000003</v>
      </c>
      <c r="D8" s="3">
        <f t="shared" si="4"/>
        <v>0.40000000000000124</v>
      </c>
      <c r="E8" s="10" t="s">
        <v>190</v>
      </c>
      <c r="F8" s="40">
        <v>0</v>
      </c>
      <c r="G8" s="40">
        <v>2.5</v>
      </c>
      <c r="H8" s="40">
        <v>2</v>
      </c>
      <c r="I8" s="3">
        <f t="shared" si="9"/>
        <v>0</v>
      </c>
      <c r="J8" s="3">
        <f t="shared" si="10"/>
        <v>4.1666666666666796E-2</v>
      </c>
      <c r="K8" s="3">
        <f t="shared" si="11"/>
        <v>3.3333333333333437E-2</v>
      </c>
      <c r="L8" s="3"/>
      <c r="M8" s="60">
        <f t="shared" si="5"/>
        <v>369.92500000000001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61">
        <f t="shared" si="6"/>
        <v>85.55</v>
      </c>
      <c r="U8" s="40">
        <v>0</v>
      </c>
      <c r="V8" s="40">
        <v>0</v>
      </c>
      <c r="W8" s="40">
        <v>0</v>
      </c>
      <c r="X8" s="40">
        <v>0</v>
      </c>
      <c r="Y8" s="67">
        <f t="shared" ref="Y8:Y71" si="12">IF(W8="","",((Y7+U8+V8)-(W8+X8)))</f>
        <v>94</v>
      </c>
      <c r="AA8" s="40"/>
      <c r="AB8" s="40"/>
      <c r="AC8" s="67" t="str">
        <f t="shared" si="8"/>
        <v/>
      </c>
      <c r="AE8" s="124"/>
      <c r="AF8" s="124"/>
      <c r="AG8" s="121"/>
      <c r="AH8" s="121"/>
      <c r="AI8" s="124"/>
      <c r="AJ8" s="124"/>
    </row>
    <row r="9" spans="2:36" x14ac:dyDescent="0.25">
      <c r="B9" s="2" t="s">
        <v>1192</v>
      </c>
      <c r="C9" s="7">
        <v>0.38750000000000001</v>
      </c>
      <c r="D9" s="3">
        <f t="shared" si="4"/>
        <v>0.89999999999999947</v>
      </c>
      <c r="E9" s="10" t="s">
        <v>1194</v>
      </c>
      <c r="F9" s="40">
        <v>10</v>
      </c>
      <c r="G9" s="40">
        <v>2.5</v>
      </c>
      <c r="H9" s="40">
        <v>2</v>
      </c>
      <c r="I9" s="3">
        <f t="shared" si="9"/>
        <v>0.37499999999999978</v>
      </c>
      <c r="J9" s="3">
        <f t="shared" si="10"/>
        <v>9.3749999999999944E-2</v>
      </c>
      <c r="K9" s="3">
        <f t="shared" si="11"/>
        <v>7.4999999999999956E-2</v>
      </c>
      <c r="L9" s="3"/>
      <c r="M9" s="60">
        <f t="shared" si="5"/>
        <v>369.38125000000002</v>
      </c>
      <c r="N9" s="40">
        <v>0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61">
        <f t="shared" si="6"/>
        <v>85.55</v>
      </c>
      <c r="U9" s="40">
        <v>0</v>
      </c>
      <c r="V9" s="40">
        <v>0</v>
      </c>
      <c r="W9" s="40">
        <v>0</v>
      </c>
      <c r="X9" s="40">
        <v>0</v>
      </c>
      <c r="Y9" s="67">
        <f t="shared" si="12"/>
        <v>94</v>
      </c>
      <c r="AA9" s="71"/>
      <c r="AB9" s="71"/>
      <c r="AC9" s="67" t="str">
        <f t="shared" si="8"/>
        <v/>
      </c>
      <c r="AE9" s="124"/>
      <c r="AF9" s="124"/>
      <c r="AG9" s="121"/>
      <c r="AH9" s="121"/>
      <c r="AI9" s="124"/>
      <c r="AJ9" s="124"/>
    </row>
    <row r="10" spans="2:36" x14ac:dyDescent="0.25">
      <c r="B10" s="2" t="s">
        <v>1192</v>
      </c>
      <c r="C10" s="7">
        <v>0.50416666666666665</v>
      </c>
      <c r="D10" s="3">
        <f t="shared" si="4"/>
        <v>2.7999999999999994</v>
      </c>
      <c r="E10" s="10" t="s">
        <v>1004</v>
      </c>
      <c r="F10" s="40">
        <v>0</v>
      </c>
      <c r="G10" s="40">
        <v>2.5</v>
      </c>
      <c r="H10" s="40">
        <v>2</v>
      </c>
      <c r="I10" s="3">
        <f t="shared" si="9"/>
        <v>0</v>
      </c>
      <c r="J10" s="3">
        <f t="shared" si="10"/>
        <v>0.29166666666666663</v>
      </c>
      <c r="K10" s="3">
        <f t="shared" si="11"/>
        <v>0.23333333333333328</v>
      </c>
      <c r="L10" s="3"/>
      <c r="M10" s="60">
        <f t="shared" si="5"/>
        <v>368.85625000000005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75">
        <f t="shared" si="6"/>
        <v>85.55</v>
      </c>
      <c r="U10" s="40">
        <v>0</v>
      </c>
      <c r="V10" s="40">
        <v>0</v>
      </c>
      <c r="W10" s="40">
        <v>0</v>
      </c>
      <c r="X10" s="40">
        <v>0</v>
      </c>
      <c r="Y10" s="67">
        <f t="shared" si="12"/>
        <v>94</v>
      </c>
      <c r="AA10" s="40"/>
      <c r="AB10" s="40"/>
      <c r="AC10" s="67" t="str">
        <f t="shared" si="8"/>
        <v/>
      </c>
      <c r="AE10" s="124"/>
      <c r="AF10" s="124"/>
      <c r="AG10" s="121"/>
      <c r="AH10" s="121"/>
      <c r="AI10" s="124"/>
      <c r="AJ10" s="124"/>
    </row>
    <row r="11" spans="2:36" x14ac:dyDescent="0.25">
      <c r="B11" s="2" t="s">
        <v>1192</v>
      </c>
      <c r="C11" s="7">
        <v>0.95833333333333337</v>
      </c>
      <c r="D11" s="3">
        <f t="shared" si="4"/>
        <v>10.900000000000002</v>
      </c>
      <c r="E11" s="10" t="s">
        <v>265</v>
      </c>
      <c r="F11" s="40">
        <v>0</v>
      </c>
      <c r="G11" s="40">
        <v>2.5</v>
      </c>
      <c r="H11" s="40">
        <v>2</v>
      </c>
      <c r="I11" s="3">
        <f t="shared" si="9"/>
        <v>0</v>
      </c>
      <c r="J11" s="3">
        <f t="shared" si="10"/>
        <v>1.135416666666667</v>
      </c>
      <c r="K11" s="3">
        <f t="shared" si="11"/>
        <v>0.90833333333333344</v>
      </c>
      <c r="L11" s="3"/>
      <c r="M11" s="60">
        <f t="shared" si="5"/>
        <v>366.81250000000006</v>
      </c>
      <c r="N11" s="40">
        <v>0</v>
      </c>
      <c r="O11" s="40">
        <v>0</v>
      </c>
      <c r="P11" s="40">
        <v>0</v>
      </c>
      <c r="Q11" s="40">
        <v>0</v>
      </c>
      <c r="R11" s="40">
        <v>2.8</v>
      </c>
      <c r="S11" s="40">
        <v>0</v>
      </c>
      <c r="T11" s="61">
        <f t="shared" si="6"/>
        <v>82.75</v>
      </c>
      <c r="U11" s="40">
        <v>0</v>
      </c>
      <c r="V11" s="40">
        <v>0</v>
      </c>
      <c r="W11" s="40">
        <v>2</v>
      </c>
      <c r="X11" s="40">
        <v>0</v>
      </c>
      <c r="Y11" s="67">
        <f t="shared" si="12"/>
        <v>92</v>
      </c>
      <c r="AA11" s="71"/>
      <c r="AB11" s="71"/>
      <c r="AC11" s="67" t="str">
        <f t="shared" si="8"/>
        <v/>
      </c>
      <c r="AE11" s="124"/>
      <c r="AF11" s="124"/>
      <c r="AG11" s="121"/>
      <c r="AH11" s="121"/>
      <c r="AI11" s="124"/>
      <c r="AJ11" s="124"/>
    </row>
    <row r="12" spans="2:36" x14ac:dyDescent="0.25">
      <c r="B12" s="2" t="s">
        <v>1195</v>
      </c>
      <c r="C12" s="7">
        <v>8.7500000000000008E-2</v>
      </c>
      <c r="D12" s="3">
        <f t="shared" si="4"/>
        <v>3.1000000000000014</v>
      </c>
      <c r="E12" s="10" t="s">
        <v>190</v>
      </c>
      <c r="F12" s="40">
        <v>0</v>
      </c>
      <c r="G12" s="40">
        <v>2.5</v>
      </c>
      <c r="H12" s="40">
        <v>2</v>
      </c>
      <c r="I12" s="3">
        <f t="shared" si="9"/>
        <v>0</v>
      </c>
      <c r="J12" s="3">
        <f t="shared" si="10"/>
        <v>0.32291666666666685</v>
      </c>
      <c r="K12" s="3">
        <f t="shared" si="11"/>
        <v>0.25833333333333341</v>
      </c>
      <c r="L12" s="3"/>
      <c r="M12" s="60">
        <f t="shared" si="5"/>
        <v>366.23125000000005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61">
        <f t="shared" si="6"/>
        <v>82.75</v>
      </c>
      <c r="U12" s="40">
        <v>0</v>
      </c>
      <c r="V12" s="40">
        <v>0</v>
      </c>
      <c r="W12" s="40">
        <v>0</v>
      </c>
      <c r="X12" s="40">
        <v>0</v>
      </c>
      <c r="Y12" s="67">
        <f t="shared" si="12"/>
        <v>92</v>
      </c>
      <c r="AA12" s="71"/>
      <c r="AB12" s="71"/>
      <c r="AC12" s="67" t="str">
        <f t="shared" si="8"/>
        <v/>
      </c>
      <c r="AE12" s="124"/>
      <c r="AF12" s="124"/>
      <c r="AG12" s="121"/>
      <c r="AH12" s="121"/>
      <c r="AI12" s="124"/>
      <c r="AJ12" s="124"/>
    </row>
    <row r="13" spans="2:36" x14ac:dyDescent="0.25">
      <c r="B13" s="2" t="s">
        <v>1195</v>
      </c>
      <c r="C13" s="7">
        <v>0.1125</v>
      </c>
      <c r="D13" s="3">
        <f t="shared" si="4"/>
        <v>0.59999999999999987</v>
      </c>
      <c r="E13" s="10" t="s">
        <v>988</v>
      </c>
      <c r="F13" s="40">
        <v>10</v>
      </c>
      <c r="G13" s="40">
        <v>2.5</v>
      </c>
      <c r="H13" s="40">
        <v>2</v>
      </c>
      <c r="I13" s="3">
        <f t="shared" si="9"/>
        <v>0.24999999999999994</v>
      </c>
      <c r="J13" s="3">
        <f t="shared" si="10"/>
        <v>6.2499999999999986E-2</v>
      </c>
      <c r="K13" s="3">
        <f t="shared" si="11"/>
        <v>4.9999999999999989E-2</v>
      </c>
      <c r="L13" s="3"/>
      <c r="M13" s="60">
        <f t="shared" si="5"/>
        <v>365.86875000000003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61">
        <f t="shared" si="6"/>
        <v>82.75</v>
      </c>
      <c r="U13" s="40">
        <v>0</v>
      </c>
      <c r="V13" s="40">
        <v>0</v>
      </c>
      <c r="W13" s="40">
        <v>0</v>
      </c>
      <c r="X13" s="40">
        <v>0</v>
      </c>
      <c r="Y13" s="67">
        <f t="shared" si="12"/>
        <v>92</v>
      </c>
      <c r="AA13" s="71"/>
      <c r="AB13" s="71"/>
      <c r="AC13" s="67" t="str">
        <f t="shared" si="8"/>
        <v/>
      </c>
      <c r="AE13" s="124"/>
      <c r="AF13" s="124"/>
      <c r="AG13" s="121"/>
      <c r="AH13" s="121"/>
      <c r="AI13" s="124"/>
      <c r="AJ13" s="124"/>
    </row>
    <row r="14" spans="2:36" x14ac:dyDescent="0.25">
      <c r="B14" s="2" t="s">
        <v>1195</v>
      </c>
      <c r="C14" s="65">
        <v>0.33333333333333331</v>
      </c>
      <c r="D14" s="3">
        <f t="shared" si="4"/>
        <v>5.3</v>
      </c>
      <c r="E14" s="10" t="s">
        <v>355</v>
      </c>
      <c r="F14" s="40">
        <v>25</v>
      </c>
      <c r="G14" s="40">
        <v>2.5</v>
      </c>
      <c r="H14" s="40">
        <v>2</v>
      </c>
      <c r="I14" s="3">
        <f t="shared" si="9"/>
        <v>5.5208333333333339</v>
      </c>
      <c r="J14" s="3">
        <f t="shared" si="10"/>
        <v>0.55208333333333337</v>
      </c>
      <c r="K14" s="3">
        <f t="shared" si="11"/>
        <v>0.44166666666666665</v>
      </c>
      <c r="L14" s="3"/>
      <c r="M14" s="60">
        <f t="shared" si="5"/>
        <v>359.35416666666669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61">
        <f t="shared" si="6"/>
        <v>82.75</v>
      </c>
      <c r="U14" s="40">
        <v>0</v>
      </c>
      <c r="V14" s="40">
        <v>0</v>
      </c>
      <c r="W14" s="40">
        <v>3</v>
      </c>
      <c r="X14" s="40">
        <v>0</v>
      </c>
      <c r="Y14" s="67">
        <f t="shared" si="12"/>
        <v>89</v>
      </c>
      <c r="AA14" s="71"/>
      <c r="AB14" s="71"/>
      <c r="AC14" s="67" t="str">
        <f t="shared" si="8"/>
        <v/>
      </c>
      <c r="AE14" s="124"/>
      <c r="AF14" s="124"/>
      <c r="AG14" s="121"/>
      <c r="AH14" s="121"/>
      <c r="AI14" s="124"/>
      <c r="AJ14" s="124"/>
    </row>
    <row r="15" spans="2:36" x14ac:dyDescent="0.25">
      <c r="B15" s="2" t="s">
        <v>1196</v>
      </c>
      <c r="C15" s="7">
        <v>9.5833333333333326E-2</v>
      </c>
      <c r="D15" s="3">
        <f t="shared" si="4"/>
        <v>18.3</v>
      </c>
      <c r="E15" s="10" t="s">
        <v>152</v>
      </c>
      <c r="F15" s="40">
        <v>25</v>
      </c>
      <c r="G15" s="40">
        <v>2.5</v>
      </c>
      <c r="H15" s="40">
        <v>2</v>
      </c>
      <c r="I15" s="3">
        <f t="shared" si="9"/>
        <v>19.062500000000004</v>
      </c>
      <c r="J15" s="3">
        <f t="shared" si="10"/>
        <v>1.9062500000000002</v>
      </c>
      <c r="K15" s="3">
        <f t="shared" si="11"/>
        <v>1.5249999999999999</v>
      </c>
      <c r="L15" s="3"/>
      <c r="M15" s="60">
        <f t="shared" si="5"/>
        <v>336.86041666666671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61">
        <f t="shared" si="6"/>
        <v>82.75</v>
      </c>
      <c r="U15" s="40">
        <v>0</v>
      </c>
      <c r="V15" s="40">
        <v>0</v>
      </c>
      <c r="W15" s="40">
        <v>2</v>
      </c>
      <c r="X15" s="40">
        <v>0</v>
      </c>
      <c r="Y15" s="67">
        <f t="shared" si="12"/>
        <v>87</v>
      </c>
      <c r="AA15" s="71"/>
      <c r="AB15" s="71"/>
      <c r="AC15" s="67" t="str">
        <f t="shared" si="8"/>
        <v/>
      </c>
      <c r="AE15" s="124">
        <v>10.8</v>
      </c>
      <c r="AF15" s="124" t="s">
        <v>1296</v>
      </c>
      <c r="AG15" s="121"/>
      <c r="AH15" s="121"/>
      <c r="AI15" s="124"/>
      <c r="AJ15" s="124"/>
    </row>
    <row r="16" spans="2:36" x14ac:dyDescent="0.25">
      <c r="B16" s="2" t="s">
        <v>1196</v>
      </c>
      <c r="C16" s="7">
        <v>0.11666666666666665</v>
      </c>
      <c r="D16" s="3">
        <f t="shared" si="4"/>
        <v>0.49999999999999989</v>
      </c>
      <c r="E16" s="10" t="s">
        <v>1197</v>
      </c>
      <c r="F16" s="40">
        <v>10</v>
      </c>
      <c r="G16" s="40">
        <v>2.5</v>
      </c>
      <c r="H16" s="40">
        <v>2</v>
      </c>
      <c r="I16" s="3">
        <f t="shared" si="9"/>
        <v>0.20833333333333329</v>
      </c>
      <c r="J16" s="3">
        <f t="shared" si="10"/>
        <v>5.2083333333333322E-2</v>
      </c>
      <c r="K16" s="3">
        <f t="shared" si="11"/>
        <v>4.1666666666666657E-2</v>
      </c>
      <c r="L16" s="3"/>
      <c r="M16" s="60">
        <f t="shared" si="5"/>
        <v>336.55833333333339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61">
        <f t="shared" si="6"/>
        <v>82.75</v>
      </c>
      <c r="U16" s="40">
        <v>0</v>
      </c>
      <c r="V16" s="40">
        <v>0</v>
      </c>
      <c r="W16" s="40">
        <v>1</v>
      </c>
      <c r="X16" s="40">
        <v>0</v>
      </c>
      <c r="Y16" s="67">
        <f t="shared" si="12"/>
        <v>86</v>
      </c>
      <c r="AA16" s="71"/>
      <c r="AB16" s="71"/>
      <c r="AC16" s="67" t="str">
        <f t="shared" si="8"/>
        <v/>
      </c>
      <c r="AE16" s="124"/>
      <c r="AF16" s="124"/>
      <c r="AG16" s="121"/>
      <c r="AH16" s="121"/>
      <c r="AI16" s="124"/>
      <c r="AJ16" s="124"/>
    </row>
    <row r="17" spans="2:36" x14ac:dyDescent="0.25">
      <c r="B17" s="113" t="s">
        <v>1196</v>
      </c>
      <c r="C17" s="65">
        <v>0.33333333333333331</v>
      </c>
      <c r="D17" s="3">
        <f t="shared" si="4"/>
        <v>5.2</v>
      </c>
      <c r="E17" s="10" t="s">
        <v>351</v>
      </c>
      <c r="F17" s="40">
        <v>0</v>
      </c>
      <c r="G17" s="40">
        <v>2.5</v>
      </c>
      <c r="H17" s="40">
        <v>2</v>
      </c>
      <c r="I17" s="3">
        <f t="shared" si="9"/>
        <v>0</v>
      </c>
      <c r="J17" s="3">
        <f t="shared" si="10"/>
        <v>0.54166666666666674</v>
      </c>
      <c r="K17" s="3">
        <f t="shared" si="11"/>
        <v>0.43333333333333335</v>
      </c>
      <c r="L17" s="3"/>
      <c r="M17" s="60">
        <f t="shared" si="5"/>
        <v>335.58333333333337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61">
        <f t="shared" si="6"/>
        <v>82.75</v>
      </c>
      <c r="U17" s="40">
        <v>0</v>
      </c>
      <c r="V17" s="40">
        <v>0</v>
      </c>
      <c r="W17" s="40">
        <v>2</v>
      </c>
      <c r="X17" s="40">
        <v>0</v>
      </c>
      <c r="Y17" s="67">
        <f t="shared" si="12"/>
        <v>84</v>
      </c>
      <c r="AA17" s="71"/>
      <c r="AB17" s="71"/>
      <c r="AC17" s="67" t="str">
        <f t="shared" si="8"/>
        <v/>
      </c>
      <c r="AE17" s="124"/>
      <c r="AF17" s="124"/>
      <c r="AG17" s="121"/>
      <c r="AH17" s="121"/>
      <c r="AI17" s="124"/>
      <c r="AJ17" s="124"/>
    </row>
    <row r="18" spans="2:36" x14ac:dyDescent="0.25">
      <c r="B18" s="2" t="s">
        <v>1198</v>
      </c>
      <c r="C18" s="65">
        <v>0.33333333333333331</v>
      </c>
      <c r="D18" s="3">
        <v>24</v>
      </c>
      <c r="E18" s="10" t="s">
        <v>281</v>
      </c>
      <c r="F18" s="40">
        <v>0</v>
      </c>
      <c r="G18" s="40">
        <v>2.5</v>
      </c>
      <c r="H18" s="40">
        <v>2</v>
      </c>
      <c r="I18" s="3">
        <f t="shared" si="9"/>
        <v>0</v>
      </c>
      <c r="J18" s="3">
        <f t="shared" si="10"/>
        <v>2.5</v>
      </c>
      <c r="K18" s="3">
        <f t="shared" si="11"/>
        <v>2</v>
      </c>
      <c r="L18" s="20"/>
      <c r="M18" s="60">
        <f t="shared" si="5"/>
        <v>331.08333333333337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61">
        <f t="shared" si="6"/>
        <v>82.75</v>
      </c>
      <c r="U18" s="40">
        <v>0</v>
      </c>
      <c r="V18" s="40">
        <v>0</v>
      </c>
      <c r="W18" s="40">
        <v>6</v>
      </c>
      <c r="X18" s="40">
        <v>0</v>
      </c>
      <c r="Y18" s="67">
        <f t="shared" si="12"/>
        <v>78</v>
      </c>
      <c r="AA18" s="71">
        <v>130</v>
      </c>
      <c r="AB18" s="71">
        <v>54</v>
      </c>
      <c r="AC18" s="67">
        <f t="shared" si="8"/>
        <v>184</v>
      </c>
      <c r="AE18" s="124"/>
      <c r="AF18" s="124"/>
      <c r="AG18" s="121"/>
      <c r="AH18" s="121"/>
      <c r="AI18" s="124"/>
      <c r="AJ18" s="124"/>
    </row>
    <row r="19" spans="2:36" x14ac:dyDescent="0.25">
      <c r="B19" s="2" t="s">
        <v>1199</v>
      </c>
      <c r="C19" s="65">
        <v>0.33333333333333331</v>
      </c>
      <c r="D19" s="3">
        <v>24</v>
      </c>
      <c r="E19" s="10" t="s">
        <v>281</v>
      </c>
      <c r="F19" s="40">
        <v>0</v>
      </c>
      <c r="G19" s="40">
        <v>2.2000000000000002</v>
      </c>
      <c r="H19" s="40">
        <v>2</v>
      </c>
      <c r="I19" s="3">
        <f t="shared" si="9"/>
        <v>0</v>
      </c>
      <c r="J19" s="3">
        <f t="shared" si="10"/>
        <v>2.2000000000000002</v>
      </c>
      <c r="K19" s="3">
        <f t="shared" si="11"/>
        <v>2</v>
      </c>
      <c r="L19" s="3"/>
      <c r="M19" s="60">
        <f t="shared" si="5"/>
        <v>326.88333333333338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61">
        <f t="shared" si="6"/>
        <v>82.75</v>
      </c>
      <c r="U19" s="40">
        <v>0</v>
      </c>
      <c r="V19" s="40">
        <v>0</v>
      </c>
      <c r="W19" s="40">
        <v>5</v>
      </c>
      <c r="X19" s="40">
        <v>0</v>
      </c>
      <c r="Y19" s="67">
        <f t="shared" si="12"/>
        <v>73</v>
      </c>
      <c r="AA19" s="71"/>
      <c r="AB19" s="71"/>
      <c r="AC19" s="67" t="str">
        <f t="shared" si="8"/>
        <v/>
      </c>
      <c r="AE19" s="124"/>
      <c r="AF19" s="124"/>
      <c r="AG19" s="121"/>
      <c r="AH19" s="121"/>
      <c r="AI19" s="124"/>
      <c r="AJ19" s="124"/>
    </row>
    <row r="20" spans="2:36" x14ac:dyDescent="0.25">
      <c r="B20" s="2" t="s">
        <v>1200</v>
      </c>
      <c r="C20" s="65">
        <v>0.33333333333333331</v>
      </c>
      <c r="D20" s="3">
        <v>24</v>
      </c>
      <c r="E20" s="10" t="s">
        <v>281</v>
      </c>
      <c r="F20" s="40">
        <v>0</v>
      </c>
      <c r="G20" s="40">
        <v>2.2000000000000002</v>
      </c>
      <c r="H20" s="40">
        <v>2</v>
      </c>
      <c r="I20" s="3">
        <f t="shared" si="9"/>
        <v>0</v>
      </c>
      <c r="J20" s="3">
        <f t="shared" si="10"/>
        <v>2.2000000000000002</v>
      </c>
      <c r="K20" s="3">
        <f t="shared" si="11"/>
        <v>2</v>
      </c>
      <c r="L20" s="3"/>
      <c r="M20" s="60">
        <f t="shared" si="5"/>
        <v>322.68333333333339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61">
        <f t="shared" si="6"/>
        <v>82.75</v>
      </c>
      <c r="U20" s="40">
        <v>0</v>
      </c>
      <c r="V20" s="40">
        <v>0</v>
      </c>
      <c r="W20" s="40">
        <v>5</v>
      </c>
      <c r="X20" s="40">
        <v>0</v>
      </c>
      <c r="Y20" s="67">
        <f t="shared" si="12"/>
        <v>68</v>
      </c>
      <c r="AA20" s="71">
        <v>121</v>
      </c>
      <c r="AB20" s="71">
        <v>50</v>
      </c>
      <c r="AC20" s="67">
        <f t="shared" si="8"/>
        <v>171</v>
      </c>
      <c r="AE20" s="124"/>
      <c r="AF20" s="124"/>
      <c r="AG20" s="121"/>
      <c r="AH20" s="121"/>
      <c r="AI20" s="124"/>
      <c r="AJ20" s="124"/>
    </row>
    <row r="21" spans="2:36" x14ac:dyDescent="0.25">
      <c r="B21" s="2" t="s">
        <v>1200</v>
      </c>
      <c r="C21" s="7">
        <v>0.54166666666666663</v>
      </c>
      <c r="D21" s="3">
        <f t="shared" ref="D21:D84" si="13">+IF((C21-C20)&lt;0,((C21-C20)*24)+24,(C21-C20)*24)</f>
        <v>5</v>
      </c>
      <c r="E21" s="10" t="s">
        <v>1011</v>
      </c>
      <c r="F21" s="40">
        <v>0</v>
      </c>
      <c r="G21" s="40">
        <v>2.2000000000000002</v>
      </c>
      <c r="H21" s="40">
        <v>2</v>
      </c>
      <c r="I21" s="3">
        <f t="shared" si="9"/>
        <v>0</v>
      </c>
      <c r="J21" s="3">
        <f t="shared" si="10"/>
        <v>0.45833333333333337</v>
      </c>
      <c r="K21" s="3">
        <f t="shared" si="11"/>
        <v>0.41666666666666663</v>
      </c>
      <c r="L21" s="3"/>
      <c r="M21" s="60">
        <f t="shared" si="5"/>
        <v>321.80833333333339</v>
      </c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75">
        <f t="shared" si="6"/>
        <v>82.75</v>
      </c>
      <c r="U21" s="40">
        <v>0</v>
      </c>
      <c r="V21" s="40">
        <v>0</v>
      </c>
      <c r="W21" s="40">
        <v>0</v>
      </c>
      <c r="X21" s="40">
        <v>0</v>
      </c>
      <c r="Y21" s="67">
        <f t="shared" si="12"/>
        <v>68</v>
      </c>
      <c r="AA21" s="71"/>
      <c r="AB21" s="71"/>
      <c r="AC21" s="67" t="str">
        <f t="shared" si="8"/>
        <v/>
      </c>
      <c r="AE21" s="124"/>
      <c r="AF21" s="124"/>
      <c r="AG21" s="121"/>
      <c r="AH21" s="121"/>
      <c r="AI21" s="124"/>
      <c r="AJ21" s="124"/>
    </row>
    <row r="22" spans="2:36" x14ac:dyDescent="0.25">
      <c r="B22" s="2" t="s">
        <v>1200</v>
      </c>
      <c r="C22" s="7">
        <v>0.59583333333333333</v>
      </c>
      <c r="D22" s="3">
        <f t="shared" si="13"/>
        <v>1.3000000000000007</v>
      </c>
      <c r="E22" s="10" t="s">
        <v>616</v>
      </c>
      <c r="F22" s="40">
        <v>2</v>
      </c>
      <c r="G22" s="40">
        <v>2.2000000000000002</v>
      </c>
      <c r="H22" s="40">
        <v>2</v>
      </c>
      <c r="I22" s="3">
        <f t="shared" si="9"/>
        <v>0.10833333333333339</v>
      </c>
      <c r="J22" s="3">
        <f t="shared" si="10"/>
        <v>0.11916666666666674</v>
      </c>
      <c r="K22" s="3">
        <f t="shared" si="11"/>
        <v>0.10833333333333339</v>
      </c>
      <c r="L22" s="3"/>
      <c r="M22" s="60">
        <f t="shared" si="5"/>
        <v>321.47250000000008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61">
        <f t="shared" si="6"/>
        <v>82.75</v>
      </c>
      <c r="U22" s="40">
        <v>0</v>
      </c>
      <c r="V22" s="40">
        <v>0</v>
      </c>
      <c r="W22" s="40">
        <v>2</v>
      </c>
      <c r="X22" s="40">
        <v>0</v>
      </c>
      <c r="Y22" s="67">
        <f t="shared" si="12"/>
        <v>66</v>
      </c>
      <c r="AA22" s="71"/>
      <c r="AB22" s="71"/>
      <c r="AC22" s="67" t="str">
        <f t="shared" si="8"/>
        <v/>
      </c>
      <c r="AE22" s="124"/>
      <c r="AF22" s="124"/>
      <c r="AG22" s="121"/>
      <c r="AH22" s="121"/>
      <c r="AI22" s="124"/>
      <c r="AJ22" s="124"/>
    </row>
    <row r="23" spans="2:36" x14ac:dyDescent="0.25">
      <c r="B23" s="2" t="s">
        <v>1200</v>
      </c>
      <c r="C23" s="7">
        <v>0.72083333333333333</v>
      </c>
      <c r="D23" s="3">
        <f t="shared" si="13"/>
        <v>3</v>
      </c>
      <c r="E23" s="10" t="s">
        <v>1004</v>
      </c>
      <c r="F23" s="40">
        <v>0</v>
      </c>
      <c r="G23" s="40">
        <v>2.5</v>
      </c>
      <c r="H23" s="40">
        <v>2</v>
      </c>
      <c r="I23" s="3">
        <f t="shared" si="9"/>
        <v>0</v>
      </c>
      <c r="J23" s="3">
        <f t="shared" si="10"/>
        <v>0.3125</v>
      </c>
      <c r="K23" s="3">
        <f t="shared" si="11"/>
        <v>0.25</v>
      </c>
      <c r="L23" s="3"/>
      <c r="M23" s="60">
        <f t="shared" si="5"/>
        <v>320.91000000000008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61">
        <f t="shared" si="6"/>
        <v>82.75</v>
      </c>
      <c r="U23" s="40">
        <v>0</v>
      </c>
      <c r="V23" s="40">
        <v>0</v>
      </c>
      <c r="W23" s="40">
        <v>0</v>
      </c>
      <c r="X23" s="40">
        <v>0</v>
      </c>
      <c r="Y23" s="67">
        <f t="shared" si="12"/>
        <v>66</v>
      </c>
      <c r="AA23" s="71"/>
      <c r="AB23" s="71"/>
      <c r="AC23" s="67" t="str">
        <f t="shared" si="8"/>
        <v/>
      </c>
      <c r="AE23" s="124"/>
      <c r="AF23" s="124"/>
      <c r="AG23" s="121"/>
      <c r="AH23" s="121"/>
      <c r="AI23" s="124"/>
      <c r="AJ23" s="124"/>
    </row>
    <row r="24" spans="2:36" x14ac:dyDescent="0.25">
      <c r="B24" s="2" t="s">
        <v>1201</v>
      </c>
      <c r="C24" s="65">
        <v>0.33333333333333331</v>
      </c>
      <c r="D24" s="3">
        <f t="shared" si="13"/>
        <v>14.7</v>
      </c>
      <c r="E24" s="10" t="s">
        <v>966</v>
      </c>
      <c r="F24" s="40">
        <v>0</v>
      </c>
      <c r="G24" s="40">
        <v>2.5</v>
      </c>
      <c r="H24" s="40">
        <v>2</v>
      </c>
      <c r="I24" s="3">
        <f t="shared" si="9"/>
        <v>0</v>
      </c>
      <c r="J24" s="3">
        <f t="shared" si="10"/>
        <v>1.53125</v>
      </c>
      <c r="K24" s="3">
        <f t="shared" si="11"/>
        <v>1.2249999999999999</v>
      </c>
      <c r="L24" s="3"/>
      <c r="M24" s="60">
        <f t="shared" si="5"/>
        <v>318.15375000000006</v>
      </c>
      <c r="N24" s="40">
        <v>0</v>
      </c>
      <c r="O24" s="40">
        <v>0</v>
      </c>
      <c r="P24" s="40">
        <v>0</v>
      </c>
      <c r="Q24" s="40">
        <v>0</v>
      </c>
      <c r="R24" s="40">
        <v>2.2999999999999998</v>
      </c>
      <c r="S24" s="40">
        <v>0</v>
      </c>
      <c r="T24" s="61">
        <f t="shared" si="6"/>
        <v>80.45</v>
      </c>
      <c r="U24" s="40">
        <v>0</v>
      </c>
      <c r="V24" s="40">
        <v>0</v>
      </c>
      <c r="W24" s="40">
        <v>3</v>
      </c>
      <c r="X24" s="40">
        <v>0</v>
      </c>
      <c r="Y24" s="67">
        <f t="shared" si="12"/>
        <v>63</v>
      </c>
      <c r="AA24" s="71"/>
      <c r="AB24" s="71"/>
      <c r="AC24" s="67" t="str">
        <f t="shared" si="8"/>
        <v/>
      </c>
      <c r="AE24" s="124"/>
      <c r="AF24" s="124"/>
      <c r="AG24" s="121"/>
      <c r="AH24" s="121"/>
      <c r="AI24" s="124"/>
      <c r="AJ24" s="124"/>
    </row>
    <row r="25" spans="2:36" x14ac:dyDescent="0.25">
      <c r="B25" s="2" t="s">
        <v>1201</v>
      </c>
      <c r="C25" s="7">
        <v>0.8833333333333333</v>
      </c>
      <c r="D25" s="3">
        <f t="shared" si="13"/>
        <v>13.200000000000001</v>
      </c>
      <c r="E25" s="10" t="s">
        <v>1142</v>
      </c>
      <c r="F25" s="40">
        <v>0</v>
      </c>
      <c r="G25" s="40">
        <v>2.5</v>
      </c>
      <c r="H25" s="40">
        <v>2</v>
      </c>
      <c r="I25" s="3">
        <f t="shared" si="9"/>
        <v>0</v>
      </c>
      <c r="J25" s="3">
        <f t="shared" si="10"/>
        <v>1.3750000000000002</v>
      </c>
      <c r="K25" s="3">
        <f t="shared" si="11"/>
        <v>1.1000000000000001</v>
      </c>
      <c r="L25" s="3"/>
      <c r="M25" s="60">
        <f t="shared" si="5"/>
        <v>315.67875000000004</v>
      </c>
      <c r="N25" s="40">
        <v>0</v>
      </c>
      <c r="O25" s="40">
        <v>0</v>
      </c>
      <c r="P25" s="40">
        <v>0</v>
      </c>
      <c r="Q25" s="40">
        <v>0</v>
      </c>
      <c r="R25" s="40">
        <v>2.2000000000000002</v>
      </c>
      <c r="S25" s="40">
        <v>0</v>
      </c>
      <c r="T25" s="61">
        <f t="shared" si="6"/>
        <v>78.25</v>
      </c>
      <c r="U25" s="40">
        <v>0</v>
      </c>
      <c r="V25" s="40">
        <v>0</v>
      </c>
      <c r="W25" s="40">
        <v>2</v>
      </c>
      <c r="X25" s="40">
        <v>0</v>
      </c>
      <c r="Y25" s="67">
        <f t="shared" si="12"/>
        <v>61</v>
      </c>
      <c r="AA25" s="71"/>
      <c r="AB25" s="71"/>
      <c r="AC25" s="67" t="str">
        <f t="shared" si="8"/>
        <v/>
      </c>
      <c r="AE25" s="124"/>
      <c r="AF25" s="124"/>
      <c r="AG25" s="121"/>
      <c r="AH25" s="121"/>
      <c r="AI25" s="124"/>
      <c r="AJ25" s="124"/>
    </row>
    <row r="26" spans="2:36" x14ac:dyDescent="0.25">
      <c r="B26" s="2" t="s">
        <v>1202</v>
      </c>
      <c r="C26" s="7">
        <v>1.6666666666666666E-2</v>
      </c>
      <c r="D26" s="3">
        <f t="shared" si="13"/>
        <v>3.2000000000000028</v>
      </c>
      <c r="E26" s="10" t="s">
        <v>1011</v>
      </c>
      <c r="F26" s="40">
        <v>0</v>
      </c>
      <c r="G26" s="40">
        <v>2.5</v>
      </c>
      <c r="H26" s="40">
        <v>2</v>
      </c>
      <c r="I26" s="3">
        <f t="shared" si="9"/>
        <v>0</v>
      </c>
      <c r="J26" s="3">
        <f t="shared" si="10"/>
        <v>0.33333333333333365</v>
      </c>
      <c r="K26" s="3">
        <f t="shared" si="11"/>
        <v>0.26666666666666689</v>
      </c>
      <c r="L26" s="3"/>
      <c r="M26" s="60">
        <f t="shared" si="5"/>
        <v>315.07875000000001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61">
        <f t="shared" si="6"/>
        <v>78.25</v>
      </c>
      <c r="U26" s="40">
        <v>0</v>
      </c>
      <c r="V26" s="40">
        <v>0</v>
      </c>
      <c r="W26" s="40">
        <v>0</v>
      </c>
      <c r="X26" s="40">
        <v>0</v>
      </c>
      <c r="Y26" s="67">
        <f t="shared" si="12"/>
        <v>61</v>
      </c>
      <c r="AA26" s="71"/>
      <c r="AB26" s="71"/>
      <c r="AC26" s="67" t="str">
        <f t="shared" si="8"/>
        <v/>
      </c>
      <c r="AE26" s="124"/>
      <c r="AF26" s="124"/>
      <c r="AG26" s="121"/>
      <c r="AH26" s="121"/>
      <c r="AI26" s="124"/>
      <c r="AJ26" s="124"/>
    </row>
    <row r="27" spans="2:36" x14ac:dyDescent="0.25">
      <c r="B27" s="2" t="s">
        <v>1202</v>
      </c>
      <c r="C27" s="7">
        <v>4.1666666666666664E-2</v>
      </c>
      <c r="D27" s="3">
        <f t="shared" si="13"/>
        <v>0.6</v>
      </c>
      <c r="E27" s="10" t="s">
        <v>1026</v>
      </c>
      <c r="F27" s="40">
        <v>5</v>
      </c>
      <c r="G27" s="40">
        <v>2.5</v>
      </c>
      <c r="H27" s="40">
        <v>2</v>
      </c>
      <c r="I27" s="3">
        <f t="shared" si="9"/>
        <v>0.125</v>
      </c>
      <c r="J27" s="3">
        <f t="shared" si="10"/>
        <v>6.25E-2</v>
      </c>
      <c r="K27" s="3">
        <f t="shared" si="11"/>
        <v>4.9999999999999996E-2</v>
      </c>
      <c r="L27" s="3"/>
      <c r="M27" s="60">
        <f t="shared" si="5"/>
        <v>314.84125</v>
      </c>
      <c r="N27" s="40">
        <v>0</v>
      </c>
      <c r="O27" s="40">
        <v>0</v>
      </c>
      <c r="P27" s="40">
        <v>0</v>
      </c>
      <c r="Q27" s="40">
        <v>0</v>
      </c>
      <c r="R27" s="40">
        <v>0</v>
      </c>
      <c r="S27" s="40">
        <v>0</v>
      </c>
      <c r="T27" s="61">
        <f t="shared" si="6"/>
        <v>78.25</v>
      </c>
      <c r="U27" s="40">
        <v>0</v>
      </c>
      <c r="V27" s="40">
        <v>0</v>
      </c>
      <c r="W27" s="40">
        <v>0</v>
      </c>
      <c r="X27" s="40">
        <v>0</v>
      </c>
      <c r="Y27" s="67">
        <f t="shared" si="12"/>
        <v>61</v>
      </c>
      <c r="AA27" s="71"/>
      <c r="AB27" s="71"/>
      <c r="AC27" s="67" t="str">
        <f t="shared" si="8"/>
        <v/>
      </c>
      <c r="AE27" s="124"/>
      <c r="AF27" s="124"/>
      <c r="AG27" s="121"/>
      <c r="AH27" s="121"/>
      <c r="AI27" s="124"/>
      <c r="AJ27" s="124"/>
    </row>
    <row r="28" spans="2:36" x14ac:dyDescent="0.25">
      <c r="B28" s="36" t="s">
        <v>1202</v>
      </c>
      <c r="C28" s="65">
        <v>0.33333333333333331</v>
      </c>
      <c r="D28" s="3">
        <f t="shared" si="13"/>
        <v>6.9999999999999991</v>
      </c>
      <c r="E28" s="10" t="s">
        <v>355</v>
      </c>
      <c r="F28" s="40">
        <v>22</v>
      </c>
      <c r="G28" s="40">
        <v>2.5</v>
      </c>
      <c r="H28" s="40">
        <v>0</v>
      </c>
      <c r="I28" s="3">
        <f t="shared" si="9"/>
        <v>6.4166666666666652</v>
      </c>
      <c r="J28" s="3">
        <f t="shared" si="10"/>
        <v>0.72916666666666663</v>
      </c>
      <c r="K28" s="3">
        <f t="shared" si="11"/>
        <v>0</v>
      </c>
      <c r="L28" s="3"/>
      <c r="M28" s="60">
        <f t="shared" si="5"/>
        <v>307.69541666666669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61">
        <f t="shared" si="6"/>
        <v>78.25</v>
      </c>
      <c r="U28" s="40">
        <v>0</v>
      </c>
      <c r="V28" s="40">
        <v>0</v>
      </c>
      <c r="W28" s="40">
        <v>3</v>
      </c>
      <c r="X28" s="40">
        <v>0</v>
      </c>
      <c r="Y28" s="67">
        <f t="shared" si="12"/>
        <v>58</v>
      </c>
      <c r="AA28" s="71"/>
      <c r="AB28" s="71"/>
      <c r="AC28" s="67" t="str">
        <f t="shared" si="8"/>
        <v/>
      </c>
      <c r="AE28" s="124"/>
      <c r="AF28" s="124"/>
      <c r="AG28" s="121"/>
      <c r="AH28" s="121"/>
      <c r="AI28" s="124"/>
      <c r="AJ28" s="124"/>
    </row>
    <row r="29" spans="2:36" x14ac:dyDescent="0.25">
      <c r="B29" s="36" t="s">
        <v>1202</v>
      </c>
      <c r="C29" s="7">
        <v>0.41666666666666669</v>
      </c>
      <c r="D29" s="3">
        <f t="shared" si="13"/>
        <v>2.0000000000000009</v>
      </c>
      <c r="E29" s="10" t="s">
        <v>201</v>
      </c>
      <c r="F29" s="40">
        <v>22</v>
      </c>
      <c r="G29" s="40">
        <v>2.5</v>
      </c>
      <c r="H29" s="40">
        <v>0</v>
      </c>
      <c r="I29" s="3">
        <f t="shared" si="9"/>
        <v>1.8333333333333341</v>
      </c>
      <c r="J29" s="3">
        <f t="shared" si="10"/>
        <v>0.20833333333333343</v>
      </c>
      <c r="K29" s="3">
        <f t="shared" si="11"/>
        <v>0</v>
      </c>
      <c r="L29" s="3"/>
      <c r="M29" s="60">
        <f t="shared" si="5"/>
        <v>305.65375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61">
        <f t="shared" si="6"/>
        <v>78.25</v>
      </c>
      <c r="U29" s="40">
        <v>0</v>
      </c>
      <c r="V29" s="40">
        <v>0</v>
      </c>
      <c r="W29" s="40">
        <v>0</v>
      </c>
      <c r="X29" s="40">
        <v>0</v>
      </c>
      <c r="Y29" s="67">
        <f t="shared" si="12"/>
        <v>58</v>
      </c>
      <c r="AA29" s="71"/>
      <c r="AB29" s="71"/>
      <c r="AC29" s="67" t="str">
        <f t="shared" si="8"/>
        <v/>
      </c>
      <c r="AE29" s="124">
        <v>10.199999999999999</v>
      </c>
      <c r="AF29" s="124" t="s">
        <v>1303</v>
      </c>
      <c r="AG29" s="121"/>
      <c r="AH29" s="121"/>
      <c r="AI29" s="124"/>
      <c r="AJ29" s="124"/>
    </row>
    <row r="30" spans="2:36" x14ac:dyDescent="0.25">
      <c r="B30" s="36" t="s">
        <v>1202</v>
      </c>
      <c r="C30" s="7">
        <v>0.49583333333333335</v>
      </c>
      <c r="D30" s="3">
        <f t="shared" si="13"/>
        <v>1.9</v>
      </c>
      <c r="E30" s="10" t="s">
        <v>616</v>
      </c>
      <c r="F30" s="40">
        <v>2</v>
      </c>
      <c r="G30" s="40">
        <v>2.5</v>
      </c>
      <c r="H30" s="40">
        <v>2</v>
      </c>
      <c r="I30" s="3">
        <f t="shared" si="9"/>
        <v>0.15833333333333333</v>
      </c>
      <c r="J30" s="3">
        <f t="shared" si="10"/>
        <v>0.19791666666666666</v>
      </c>
      <c r="K30" s="3">
        <f t="shared" si="11"/>
        <v>0.15833333333333333</v>
      </c>
      <c r="L30" s="3"/>
      <c r="M30" s="60">
        <f t="shared" si="5"/>
        <v>305.13916666666665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61">
        <f t="shared" si="6"/>
        <v>78.25</v>
      </c>
      <c r="U30" s="40">
        <v>0</v>
      </c>
      <c r="V30" s="40">
        <v>0</v>
      </c>
      <c r="W30" s="40">
        <v>0</v>
      </c>
      <c r="X30" s="40">
        <v>0</v>
      </c>
      <c r="Y30" s="67">
        <f t="shared" si="12"/>
        <v>58</v>
      </c>
      <c r="Z30" s="22"/>
      <c r="AA30" s="71"/>
      <c r="AB30" s="71"/>
      <c r="AC30" s="67" t="str">
        <f t="shared" si="8"/>
        <v/>
      </c>
      <c r="AE30" s="124"/>
      <c r="AF30" s="124"/>
      <c r="AG30" s="121"/>
      <c r="AH30" s="121"/>
      <c r="AI30" s="124"/>
      <c r="AJ30" s="124"/>
    </row>
    <row r="31" spans="2:36" x14ac:dyDescent="0.25">
      <c r="B31" s="2" t="s">
        <v>1202</v>
      </c>
      <c r="C31" s="7">
        <v>0.67499999999999993</v>
      </c>
      <c r="D31" s="3">
        <f t="shared" si="13"/>
        <v>4.299999999999998</v>
      </c>
      <c r="E31" s="10" t="s">
        <v>1004</v>
      </c>
      <c r="F31" s="40">
        <v>0</v>
      </c>
      <c r="G31" s="40">
        <v>2.5</v>
      </c>
      <c r="H31" s="40">
        <v>2</v>
      </c>
      <c r="I31" s="3">
        <f t="shared" si="9"/>
        <v>0</v>
      </c>
      <c r="J31" s="3">
        <f t="shared" si="10"/>
        <v>0.44791666666666646</v>
      </c>
      <c r="K31" s="3">
        <f t="shared" si="11"/>
        <v>0.35833333333333317</v>
      </c>
      <c r="L31" s="3"/>
      <c r="M31" s="60">
        <f t="shared" si="5"/>
        <v>304.33291666666668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61">
        <f t="shared" si="6"/>
        <v>78.25</v>
      </c>
      <c r="U31" s="40">
        <v>0</v>
      </c>
      <c r="V31" s="40">
        <v>0</v>
      </c>
      <c r="W31" s="40">
        <v>0</v>
      </c>
      <c r="X31" s="40">
        <v>0</v>
      </c>
      <c r="Y31" s="67">
        <f t="shared" si="12"/>
        <v>58</v>
      </c>
      <c r="AA31" s="71"/>
      <c r="AB31" s="71"/>
      <c r="AC31" s="67" t="str">
        <f t="shared" si="8"/>
        <v/>
      </c>
      <c r="AE31" s="124"/>
      <c r="AF31" s="124"/>
      <c r="AG31" s="121"/>
      <c r="AH31" s="121"/>
      <c r="AI31" s="124"/>
      <c r="AJ31" s="124"/>
    </row>
    <row r="32" spans="2:36" x14ac:dyDescent="0.25">
      <c r="B32" s="2" t="s">
        <v>1203</v>
      </c>
      <c r="C32" s="65">
        <v>0.33333333333333331</v>
      </c>
      <c r="D32" s="3">
        <f t="shared" si="13"/>
        <v>15.8</v>
      </c>
      <c r="E32" s="10" t="s">
        <v>966</v>
      </c>
      <c r="F32" s="40">
        <v>0</v>
      </c>
      <c r="G32" s="40">
        <v>2.5</v>
      </c>
      <c r="H32" s="40">
        <v>2</v>
      </c>
      <c r="I32" s="3">
        <f t="shared" si="9"/>
        <v>0</v>
      </c>
      <c r="J32" s="3">
        <f t="shared" si="10"/>
        <v>1.6458333333333335</v>
      </c>
      <c r="K32" s="3">
        <f t="shared" si="11"/>
        <v>1.3166666666666667</v>
      </c>
      <c r="L32" s="3"/>
      <c r="M32" s="60">
        <f t="shared" si="5"/>
        <v>301.3704166666667</v>
      </c>
      <c r="N32" s="40">
        <v>0</v>
      </c>
      <c r="O32" s="40">
        <v>0</v>
      </c>
      <c r="P32" s="40">
        <v>0</v>
      </c>
      <c r="Q32" s="40">
        <v>0</v>
      </c>
      <c r="R32" s="40">
        <v>2.6</v>
      </c>
      <c r="S32" s="40">
        <v>0</v>
      </c>
      <c r="T32" s="61">
        <f t="shared" si="6"/>
        <v>75.650000000000006</v>
      </c>
      <c r="U32" s="40">
        <v>0</v>
      </c>
      <c r="V32" s="40">
        <v>0</v>
      </c>
      <c r="W32" s="40">
        <v>5</v>
      </c>
      <c r="X32" s="40">
        <v>0</v>
      </c>
      <c r="Y32" s="67">
        <f t="shared" si="12"/>
        <v>53</v>
      </c>
      <c r="AA32" s="71"/>
      <c r="AB32" s="71"/>
      <c r="AC32" s="67" t="str">
        <f t="shared" si="8"/>
        <v/>
      </c>
      <c r="AE32" s="124"/>
      <c r="AF32" s="124"/>
      <c r="AG32" s="121"/>
      <c r="AH32" s="121"/>
      <c r="AI32" s="124"/>
      <c r="AJ32" s="124"/>
    </row>
    <row r="33" spans="2:36" x14ac:dyDescent="0.25">
      <c r="B33" s="2" t="s">
        <v>1203</v>
      </c>
      <c r="C33" s="7">
        <v>0.42499999999999999</v>
      </c>
      <c r="D33" s="3">
        <f t="shared" si="13"/>
        <v>2.2000000000000002</v>
      </c>
      <c r="E33" s="10" t="s">
        <v>1142</v>
      </c>
      <c r="F33" s="40">
        <v>0</v>
      </c>
      <c r="G33" s="40">
        <v>2.5</v>
      </c>
      <c r="H33" s="40">
        <v>2</v>
      </c>
      <c r="I33" s="3">
        <f t="shared" si="9"/>
        <v>0</v>
      </c>
      <c r="J33" s="3">
        <f t="shared" si="10"/>
        <v>0.22916666666666669</v>
      </c>
      <c r="K33" s="3">
        <f t="shared" si="11"/>
        <v>0.18333333333333335</v>
      </c>
      <c r="L33" s="3"/>
      <c r="M33" s="60">
        <f t="shared" si="5"/>
        <v>300.95791666666668</v>
      </c>
      <c r="N33" s="40">
        <v>0</v>
      </c>
      <c r="O33" s="40">
        <v>0</v>
      </c>
      <c r="P33" s="40">
        <v>0</v>
      </c>
      <c r="Q33" s="40">
        <v>0</v>
      </c>
      <c r="R33" s="40">
        <v>0.3</v>
      </c>
      <c r="S33" s="40">
        <v>0</v>
      </c>
      <c r="T33" s="61">
        <f t="shared" si="6"/>
        <v>75.350000000000009</v>
      </c>
      <c r="U33" s="40">
        <v>0</v>
      </c>
      <c r="V33" s="40">
        <v>0</v>
      </c>
      <c r="W33" s="40">
        <v>0</v>
      </c>
      <c r="X33" s="40">
        <v>0</v>
      </c>
      <c r="Y33" s="67">
        <f t="shared" si="12"/>
        <v>53</v>
      </c>
      <c r="AA33" s="71"/>
      <c r="AB33" s="71"/>
      <c r="AC33" s="67" t="str">
        <f t="shared" si="8"/>
        <v/>
      </c>
      <c r="AE33" s="124"/>
      <c r="AF33" s="124"/>
      <c r="AG33" s="121"/>
      <c r="AH33" s="121"/>
      <c r="AI33" s="124"/>
      <c r="AJ33" s="124"/>
    </row>
    <row r="34" spans="2:36" x14ac:dyDescent="0.25">
      <c r="B34" s="2" t="s">
        <v>1203</v>
      </c>
      <c r="C34" s="7">
        <v>0.57500000000000007</v>
      </c>
      <c r="D34" s="3">
        <f t="shared" si="13"/>
        <v>3.6000000000000019</v>
      </c>
      <c r="E34" s="10" t="s">
        <v>1011</v>
      </c>
      <c r="F34" s="40">
        <v>0</v>
      </c>
      <c r="G34" s="40">
        <v>2.5</v>
      </c>
      <c r="H34" s="40">
        <v>2</v>
      </c>
      <c r="I34" s="3">
        <f t="shared" si="9"/>
        <v>0</v>
      </c>
      <c r="J34" s="3">
        <f t="shared" si="10"/>
        <v>0.37500000000000022</v>
      </c>
      <c r="K34" s="3">
        <f t="shared" si="11"/>
        <v>0.30000000000000016</v>
      </c>
      <c r="L34" s="3"/>
      <c r="M34" s="60">
        <f t="shared" si="5"/>
        <v>300.28291666666667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61">
        <f t="shared" si="6"/>
        <v>75.350000000000009</v>
      </c>
      <c r="U34" s="40">
        <v>0</v>
      </c>
      <c r="V34" s="40">
        <v>0</v>
      </c>
      <c r="W34" s="40">
        <v>0</v>
      </c>
      <c r="X34" s="40">
        <v>0</v>
      </c>
      <c r="Y34" s="67">
        <f t="shared" si="12"/>
        <v>53</v>
      </c>
      <c r="AA34" s="71"/>
      <c r="AB34" s="71"/>
      <c r="AC34" s="67" t="str">
        <f t="shared" si="8"/>
        <v/>
      </c>
      <c r="AE34" s="124"/>
      <c r="AF34" s="124"/>
      <c r="AG34" s="121"/>
      <c r="AH34" s="121"/>
      <c r="AI34" s="124"/>
      <c r="AJ34" s="124"/>
    </row>
    <row r="35" spans="2:36" x14ac:dyDescent="0.25">
      <c r="B35" s="2" t="s">
        <v>1203</v>
      </c>
      <c r="C35" s="7">
        <v>0.60416666666666663</v>
      </c>
      <c r="D35" s="3">
        <f t="shared" si="13"/>
        <v>0.69999999999999751</v>
      </c>
      <c r="E35" s="10" t="s">
        <v>1026</v>
      </c>
      <c r="F35" s="40">
        <v>5</v>
      </c>
      <c r="G35" s="40">
        <v>2.5</v>
      </c>
      <c r="H35" s="40">
        <v>2</v>
      </c>
      <c r="I35" s="3">
        <f t="shared" si="9"/>
        <v>0.14583333333333282</v>
      </c>
      <c r="J35" s="3">
        <f t="shared" si="10"/>
        <v>7.2916666666666408E-2</v>
      </c>
      <c r="K35" s="3">
        <f t="shared" si="11"/>
        <v>5.8333333333333126E-2</v>
      </c>
      <c r="L35" s="3"/>
      <c r="M35" s="60">
        <f t="shared" si="5"/>
        <v>300.00583333333333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61">
        <f t="shared" si="6"/>
        <v>75.350000000000009</v>
      </c>
      <c r="U35" s="40">
        <v>0</v>
      </c>
      <c r="V35" s="40">
        <v>0</v>
      </c>
      <c r="W35" s="40">
        <v>0</v>
      </c>
      <c r="X35" s="40">
        <v>0</v>
      </c>
      <c r="Y35" s="67">
        <f t="shared" si="12"/>
        <v>53</v>
      </c>
      <c r="AA35" s="71"/>
      <c r="AB35" s="71"/>
      <c r="AC35" s="67" t="str">
        <f t="shared" si="8"/>
        <v/>
      </c>
      <c r="AE35" s="124"/>
      <c r="AF35" s="124"/>
      <c r="AG35" s="121"/>
      <c r="AH35" s="121"/>
      <c r="AI35" s="124"/>
      <c r="AJ35" s="124"/>
    </row>
    <row r="36" spans="2:36" x14ac:dyDescent="0.25">
      <c r="B36" s="2" t="s">
        <v>1204</v>
      </c>
      <c r="C36" s="65">
        <v>0.33333333333333331</v>
      </c>
      <c r="D36" s="3">
        <f t="shared" si="13"/>
        <v>17.5</v>
      </c>
      <c r="E36" s="10" t="s">
        <v>355</v>
      </c>
      <c r="F36" s="40">
        <v>22</v>
      </c>
      <c r="G36" s="40">
        <v>2.5</v>
      </c>
      <c r="H36" s="40">
        <v>0</v>
      </c>
      <c r="I36" s="3">
        <f t="shared" si="9"/>
        <v>16.041666666666664</v>
      </c>
      <c r="J36" s="3">
        <f t="shared" si="10"/>
        <v>1.8229166666666667</v>
      </c>
      <c r="K36" s="3">
        <f t="shared" si="11"/>
        <v>0</v>
      </c>
      <c r="L36" s="3"/>
      <c r="M36" s="60">
        <f t="shared" si="5"/>
        <v>282.14125000000001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61">
        <f t="shared" si="6"/>
        <v>75.350000000000009</v>
      </c>
      <c r="U36" s="40">
        <v>0</v>
      </c>
      <c r="V36" s="40">
        <v>0</v>
      </c>
      <c r="W36" s="40">
        <v>5</v>
      </c>
      <c r="X36" s="40">
        <v>0</v>
      </c>
      <c r="Y36" s="67">
        <f t="shared" si="12"/>
        <v>48</v>
      </c>
      <c r="AA36" s="71"/>
      <c r="AB36" s="71"/>
      <c r="AC36" s="67" t="str">
        <f t="shared" si="8"/>
        <v/>
      </c>
      <c r="AE36" s="124"/>
      <c r="AF36" s="124"/>
      <c r="AG36" s="121"/>
      <c r="AH36" s="121"/>
      <c r="AI36" s="124"/>
      <c r="AJ36" s="124"/>
    </row>
    <row r="37" spans="2:36" x14ac:dyDescent="0.25">
      <c r="B37" s="2" t="s">
        <v>1204</v>
      </c>
      <c r="C37" s="7">
        <v>0.625</v>
      </c>
      <c r="D37" s="3">
        <f t="shared" si="13"/>
        <v>7</v>
      </c>
      <c r="E37" s="10" t="s">
        <v>201</v>
      </c>
      <c r="F37" s="40">
        <v>22</v>
      </c>
      <c r="G37" s="40">
        <v>2.5</v>
      </c>
      <c r="H37" s="40">
        <v>0</v>
      </c>
      <c r="I37" s="3">
        <f t="shared" si="9"/>
        <v>6.4166666666666661</v>
      </c>
      <c r="J37" s="3">
        <f t="shared" si="10"/>
        <v>0.72916666666666674</v>
      </c>
      <c r="K37" s="3">
        <f t="shared" si="11"/>
        <v>0</v>
      </c>
      <c r="L37" s="3"/>
      <c r="M37" s="60">
        <f t="shared" si="5"/>
        <v>274.9954166666667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61">
        <f t="shared" si="6"/>
        <v>75.350000000000009</v>
      </c>
      <c r="U37" s="40">
        <v>0</v>
      </c>
      <c r="V37" s="40">
        <v>0</v>
      </c>
      <c r="W37" s="40">
        <v>0</v>
      </c>
      <c r="X37" s="40">
        <v>0</v>
      </c>
      <c r="Y37" s="67">
        <f t="shared" si="12"/>
        <v>48</v>
      </c>
      <c r="AA37" s="71"/>
      <c r="AB37" s="71"/>
      <c r="AC37" s="67" t="str">
        <f t="shared" si="8"/>
        <v/>
      </c>
      <c r="AE37" s="124">
        <v>10.7</v>
      </c>
      <c r="AF37" s="124" t="s">
        <v>1302</v>
      </c>
      <c r="AG37" s="121"/>
      <c r="AH37" s="121"/>
      <c r="AI37" s="124"/>
      <c r="AJ37" s="124"/>
    </row>
    <row r="38" spans="2:36" x14ac:dyDescent="0.25">
      <c r="B38" s="2" t="s">
        <v>1204</v>
      </c>
      <c r="C38" s="7">
        <v>0.64583333333333337</v>
      </c>
      <c r="D38" s="3">
        <f t="shared" si="13"/>
        <v>0.50000000000000089</v>
      </c>
      <c r="E38" s="10" t="s">
        <v>616</v>
      </c>
      <c r="F38" s="40">
        <v>5</v>
      </c>
      <c r="G38" s="40">
        <v>2.5</v>
      </c>
      <c r="H38" s="40">
        <v>2</v>
      </c>
      <c r="I38" s="3">
        <f t="shared" si="9"/>
        <v>0.10416666666666685</v>
      </c>
      <c r="J38" s="3">
        <f t="shared" si="10"/>
        <v>5.2083333333333426E-2</v>
      </c>
      <c r="K38" s="3">
        <f t="shared" si="11"/>
        <v>4.1666666666666741E-2</v>
      </c>
      <c r="L38" s="3"/>
      <c r="M38" s="60">
        <f t="shared" si="5"/>
        <v>274.79750000000001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61">
        <f t="shared" si="6"/>
        <v>75.350000000000009</v>
      </c>
      <c r="U38" s="40">
        <v>0</v>
      </c>
      <c r="V38" s="40">
        <v>0</v>
      </c>
      <c r="W38" s="40">
        <v>0</v>
      </c>
      <c r="X38" s="40">
        <v>0</v>
      </c>
      <c r="Y38" s="67">
        <f t="shared" si="12"/>
        <v>48</v>
      </c>
      <c r="AA38" s="71"/>
      <c r="AB38" s="71"/>
      <c r="AC38" s="67" t="str">
        <f t="shared" si="8"/>
        <v/>
      </c>
      <c r="AE38" s="124"/>
      <c r="AF38" s="124"/>
      <c r="AG38" s="121"/>
      <c r="AH38" s="121"/>
      <c r="AI38" s="124"/>
      <c r="AJ38" s="124"/>
    </row>
    <row r="39" spans="2:36" x14ac:dyDescent="0.25">
      <c r="B39" s="2" t="s">
        <v>1204</v>
      </c>
      <c r="C39" s="7">
        <v>0.6791666666666667</v>
      </c>
      <c r="D39" s="3">
        <f t="shared" si="13"/>
        <v>0.79999999999999982</v>
      </c>
      <c r="E39" s="10" t="s">
        <v>1011</v>
      </c>
      <c r="F39" s="40">
        <v>0</v>
      </c>
      <c r="G39" s="40">
        <v>2.5</v>
      </c>
      <c r="H39" s="40">
        <v>2</v>
      </c>
      <c r="I39" s="3">
        <f t="shared" si="9"/>
        <v>0</v>
      </c>
      <c r="J39" s="3">
        <f t="shared" si="10"/>
        <v>8.3333333333333315E-2</v>
      </c>
      <c r="K39" s="3">
        <f t="shared" si="11"/>
        <v>6.6666666666666652E-2</v>
      </c>
      <c r="L39" s="3"/>
      <c r="M39" s="60">
        <f t="shared" si="5"/>
        <v>274.64750000000004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61">
        <f t="shared" si="6"/>
        <v>75.350000000000009</v>
      </c>
      <c r="U39" s="40">
        <v>0</v>
      </c>
      <c r="V39" s="40">
        <v>0</v>
      </c>
      <c r="W39" s="40">
        <v>0</v>
      </c>
      <c r="X39" s="40">
        <v>0</v>
      </c>
      <c r="Y39" s="67">
        <f t="shared" si="12"/>
        <v>48</v>
      </c>
      <c r="AA39" s="71"/>
      <c r="AB39" s="71"/>
      <c r="AC39" s="67" t="str">
        <f t="shared" si="8"/>
        <v/>
      </c>
      <c r="AE39" s="124"/>
      <c r="AF39" s="124"/>
      <c r="AG39" s="121"/>
      <c r="AH39" s="121"/>
      <c r="AI39" s="124"/>
      <c r="AJ39" s="124"/>
    </row>
    <row r="40" spans="2:36" x14ac:dyDescent="0.25">
      <c r="B40" s="2" t="s">
        <v>1204</v>
      </c>
      <c r="C40" s="7">
        <v>0.85</v>
      </c>
      <c r="D40" s="3">
        <f t="shared" si="13"/>
        <v>4.0999999999999988</v>
      </c>
      <c r="E40" s="10" t="s">
        <v>616</v>
      </c>
      <c r="F40" s="40">
        <v>3</v>
      </c>
      <c r="G40" s="40">
        <v>2.5</v>
      </c>
      <c r="H40" s="40">
        <v>2</v>
      </c>
      <c r="I40" s="3">
        <f t="shared" si="9"/>
        <v>0.51249999999999984</v>
      </c>
      <c r="J40" s="3">
        <f t="shared" si="10"/>
        <v>0.4270833333333332</v>
      </c>
      <c r="K40" s="3">
        <f t="shared" si="11"/>
        <v>0.34166666666666656</v>
      </c>
      <c r="L40" s="3"/>
      <c r="M40" s="60">
        <f t="shared" si="5"/>
        <v>273.36625000000004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61">
        <f>IF(D40="","",(T39+S40)-(N40+O40+P40+Q40+R40))</f>
        <v>75.350000000000009</v>
      </c>
      <c r="U40" s="40">
        <v>0</v>
      </c>
      <c r="V40" s="40">
        <v>0</v>
      </c>
      <c r="W40" s="40">
        <v>0</v>
      </c>
      <c r="X40" s="40">
        <v>0</v>
      </c>
      <c r="Y40" s="67">
        <f t="shared" si="12"/>
        <v>48</v>
      </c>
      <c r="AA40" s="71"/>
      <c r="AB40" s="71"/>
      <c r="AC40" s="67" t="str">
        <f t="shared" si="8"/>
        <v/>
      </c>
      <c r="AE40" s="124"/>
      <c r="AF40" s="124"/>
      <c r="AG40" s="121"/>
      <c r="AH40" s="121"/>
      <c r="AI40" s="124"/>
      <c r="AJ40" s="124"/>
    </row>
    <row r="41" spans="2:36" x14ac:dyDescent="0.25">
      <c r="B41" s="2" t="s">
        <v>1205</v>
      </c>
      <c r="C41" s="65">
        <v>0.33333333333333331</v>
      </c>
      <c r="D41" s="3">
        <f t="shared" si="13"/>
        <v>11.600000000000001</v>
      </c>
      <c r="E41" s="10" t="s">
        <v>351</v>
      </c>
      <c r="F41" s="40">
        <v>0</v>
      </c>
      <c r="G41" s="40">
        <v>2.5</v>
      </c>
      <c r="H41" s="40">
        <v>2</v>
      </c>
      <c r="I41" s="3">
        <f t="shared" si="9"/>
        <v>0</v>
      </c>
      <c r="J41" s="3">
        <f t="shared" si="10"/>
        <v>1.2083333333333335</v>
      </c>
      <c r="K41" s="3">
        <f t="shared" si="11"/>
        <v>0.96666666666666679</v>
      </c>
      <c r="L41" s="3"/>
      <c r="M41" s="60">
        <f t="shared" si="5"/>
        <v>271.19125000000003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61">
        <f t="shared" ref="T41:T104" si="14">IF(D41="","",(T40+S41)-(N41+O41+P41+Q41+R41))</f>
        <v>75.350000000000009</v>
      </c>
      <c r="U41" s="40">
        <v>0</v>
      </c>
      <c r="V41" s="40">
        <v>0</v>
      </c>
      <c r="W41" s="40">
        <v>5</v>
      </c>
      <c r="X41" s="40">
        <v>0</v>
      </c>
      <c r="Y41" s="67">
        <f t="shared" si="12"/>
        <v>43</v>
      </c>
      <c r="AA41" s="71"/>
      <c r="AB41" s="71"/>
      <c r="AC41" s="67" t="str">
        <f t="shared" si="8"/>
        <v/>
      </c>
      <c r="AE41" s="124"/>
      <c r="AF41" s="124"/>
      <c r="AG41" s="121"/>
      <c r="AH41" s="121"/>
      <c r="AI41" s="124"/>
      <c r="AJ41" s="124"/>
    </row>
    <row r="42" spans="2:36" x14ac:dyDescent="0.25">
      <c r="B42" s="2" t="s">
        <v>1205</v>
      </c>
      <c r="C42" s="7">
        <v>0.5541666666666667</v>
      </c>
      <c r="D42" s="3">
        <f t="shared" si="13"/>
        <v>5.3000000000000007</v>
      </c>
      <c r="E42" s="10" t="s">
        <v>1011</v>
      </c>
      <c r="F42" s="40">
        <v>0</v>
      </c>
      <c r="G42" s="40">
        <v>2.5</v>
      </c>
      <c r="H42" s="40">
        <v>2</v>
      </c>
      <c r="I42" s="3">
        <f t="shared" si="9"/>
        <v>0</v>
      </c>
      <c r="J42" s="3">
        <f t="shared" si="10"/>
        <v>0.55208333333333348</v>
      </c>
      <c r="K42" s="3">
        <f t="shared" si="11"/>
        <v>0.44166666666666671</v>
      </c>
      <c r="L42" s="3"/>
      <c r="M42" s="60">
        <f t="shared" si="5"/>
        <v>270.19750000000005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61">
        <f t="shared" si="14"/>
        <v>75.350000000000009</v>
      </c>
      <c r="U42" s="40">
        <v>0</v>
      </c>
      <c r="V42" s="40">
        <v>0</v>
      </c>
      <c r="W42" s="40">
        <v>0</v>
      </c>
      <c r="X42" s="40">
        <v>0</v>
      </c>
      <c r="Y42" s="67">
        <f t="shared" si="12"/>
        <v>43</v>
      </c>
      <c r="AA42" s="71"/>
      <c r="AB42" s="71"/>
      <c r="AC42" s="67" t="str">
        <f t="shared" si="8"/>
        <v/>
      </c>
      <c r="AE42" s="124"/>
      <c r="AF42" s="124"/>
      <c r="AG42" s="121"/>
      <c r="AH42" s="121"/>
      <c r="AI42" s="124"/>
      <c r="AJ42" s="124"/>
    </row>
    <row r="43" spans="2:36" x14ac:dyDescent="0.25">
      <c r="B43" s="2" t="s">
        <v>1205</v>
      </c>
      <c r="C43" s="7">
        <v>0.65416666666666667</v>
      </c>
      <c r="D43" s="3">
        <f t="shared" si="13"/>
        <v>2.3999999999999995</v>
      </c>
      <c r="E43" s="10" t="s">
        <v>616</v>
      </c>
      <c r="F43" s="40">
        <v>3</v>
      </c>
      <c r="G43" s="40">
        <v>2.5</v>
      </c>
      <c r="H43" s="40">
        <v>2</v>
      </c>
      <c r="I43" s="3">
        <f t="shared" si="9"/>
        <v>0.29999999999999993</v>
      </c>
      <c r="J43" s="3">
        <f t="shared" si="10"/>
        <v>0.24999999999999994</v>
      </c>
      <c r="K43" s="3">
        <f t="shared" si="11"/>
        <v>0.19999999999999996</v>
      </c>
      <c r="L43" s="3"/>
      <c r="M43" s="60">
        <f t="shared" si="5"/>
        <v>269.44750000000005</v>
      </c>
      <c r="N43" s="40">
        <v>0</v>
      </c>
      <c r="O43" s="40">
        <v>0</v>
      </c>
      <c r="P43" s="40">
        <v>0</v>
      </c>
      <c r="Q43" s="40">
        <v>0</v>
      </c>
      <c r="R43" s="40">
        <v>0</v>
      </c>
      <c r="S43" s="40">
        <v>0</v>
      </c>
      <c r="T43" s="61">
        <f t="shared" si="14"/>
        <v>75.350000000000009</v>
      </c>
      <c r="U43" s="40">
        <v>0</v>
      </c>
      <c r="V43" s="40">
        <v>0</v>
      </c>
      <c r="W43" s="40">
        <v>0</v>
      </c>
      <c r="X43" s="40">
        <v>0</v>
      </c>
      <c r="Y43" s="67">
        <f t="shared" si="12"/>
        <v>43</v>
      </c>
      <c r="AA43" s="71"/>
      <c r="AB43" s="71"/>
      <c r="AC43" s="67" t="str">
        <f t="shared" si="8"/>
        <v/>
      </c>
      <c r="AE43" s="124"/>
      <c r="AF43" s="124"/>
      <c r="AG43" s="121"/>
      <c r="AH43" s="121"/>
      <c r="AI43" s="124"/>
      <c r="AJ43" s="124"/>
    </row>
    <row r="44" spans="2:36" x14ac:dyDescent="0.25">
      <c r="B44" s="36" t="s">
        <v>1205</v>
      </c>
      <c r="C44" s="7">
        <v>0.91249999999999998</v>
      </c>
      <c r="D44" s="3">
        <f t="shared" si="13"/>
        <v>6.1999999999999993</v>
      </c>
      <c r="E44" s="10" t="s">
        <v>1206</v>
      </c>
      <c r="F44" s="40">
        <v>0</v>
      </c>
      <c r="G44" s="40">
        <v>2.5</v>
      </c>
      <c r="H44" s="40">
        <v>2</v>
      </c>
      <c r="I44" s="3">
        <f t="shared" si="9"/>
        <v>0</v>
      </c>
      <c r="J44" s="3">
        <f t="shared" si="10"/>
        <v>0.64583333333333326</v>
      </c>
      <c r="K44" s="3">
        <f t="shared" si="11"/>
        <v>0.51666666666666661</v>
      </c>
      <c r="L44" s="3"/>
      <c r="M44" s="60">
        <f t="shared" si="5"/>
        <v>268.28500000000003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61">
        <f t="shared" si="14"/>
        <v>75.350000000000009</v>
      </c>
      <c r="U44" s="40">
        <v>0</v>
      </c>
      <c r="V44" s="40">
        <v>0</v>
      </c>
      <c r="W44" s="40">
        <v>0</v>
      </c>
      <c r="X44" s="40">
        <v>0</v>
      </c>
      <c r="Y44" s="67">
        <f t="shared" si="12"/>
        <v>43</v>
      </c>
      <c r="AA44" s="71"/>
      <c r="AB44" s="71"/>
      <c r="AC44" s="67" t="str">
        <f t="shared" si="8"/>
        <v/>
      </c>
      <c r="AE44" s="124"/>
      <c r="AF44" s="124"/>
      <c r="AG44" s="121"/>
      <c r="AH44" s="121"/>
      <c r="AI44" s="124"/>
      <c r="AJ44" s="124"/>
    </row>
    <row r="45" spans="2:36" x14ac:dyDescent="0.25">
      <c r="B45" s="2" t="s">
        <v>1207</v>
      </c>
      <c r="C45" s="65">
        <v>0.33333333333333331</v>
      </c>
      <c r="D45" s="3">
        <f t="shared" si="13"/>
        <v>10.100000000000001</v>
      </c>
      <c r="E45" s="10" t="s">
        <v>1051</v>
      </c>
      <c r="F45" s="40">
        <v>0</v>
      </c>
      <c r="G45" s="40">
        <v>2.5</v>
      </c>
      <c r="H45" s="40">
        <v>2</v>
      </c>
      <c r="I45" s="3">
        <f t="shared" si="9"/>
        <v>0</v>
      </c>
      <c r="J45" s="3">
        <f t="shared" si="10"/>
        <v>1.0520833333333335</v>
      </c>
      <c r="K45" s="3">
        <f t="shared" si="11"/>
        <v>0.84166666666666679</v>
      </c>
      <c r="L45" s="3"/>
      <c r="M45" s="60">
        <f t="shared" si="5"/>
        <v>266.39125000000001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  <c r="S45" s="40">
        <v>0</v>
      </c>
      <c r="T45" s="61">
        <f t="shared" si="14"/>
        <v>75.350000000000009</v>
      </c>
      <c r="U45" s="40">
        <v>0</v>
      </c>
      <c r="V45" s="40">
        <v>0</v>
      </c>
      <c r="W45" s="40">
        <v>5</v>
      </c>
      <c r="X45" s="40">
        <v>0</v>
      </c>
      <c r="Y45" s="67">
        <f t="shared" si="12"/>
        <v>38</v>
      </c>
      <c r="AA45" s="71">
        <v>97</v>
      </c>
      <c r="AB45" s="71">
        <v>43</v>
      </c>
      <c r="AC45" s="67">
        <f t="shared" si="8"/>
        <v>140</v>
      </c>
      <c r="AE45" s="124"/>
      <c r="AF45" s="124"/>
      <c r="AG45" s="121"/>
      <c r="AH45" s="121"/>
      <c r="AI45" s="124"/>
      <c r="AJ45" s="124"/>
    </row>
    <row r="46" spans="2:36" x14ac:dyDescent="0.25">
      <c r="B46" s="2" t="s">
        <v>1208</v>
      </c>
      <c r="C46" s="65">
        <v>0.33333333333333331</v>
      </c>
      <c r="D46" s="3">
        <v>24</v>
      </c>
      <c r="E46" s="10" t="s">
        <v>1051</v>
      </c>
      <c r="F46" s="40">
        <v>0</v>
      </c>
      <c r="G46" s="40">
        <v>2.5</v>
      </c>
      <c r="H46" s="40">
        <v>2</v>
      </c>
      <c r="I46" s="3">
        <f t="shared" si="9"/>
        <v>0</v>
      </c>
      <c r="J46" s="3">
        <f t="shared" si="10"/>
        <v>2.5</v>
      </c>
      <c r="K46" s="3">
        <f t="shared" si="11"/>
        <v>2</v>
      </c>
      <c r="L46" s="3"/>
      <c r="M46" s="60">
        <f t="shared" si="5"/>
        <v>261.89125000000001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61">
        <f t="shared" si="14"/>
        <v>75.350000000000009</v>
      </c>
      <c r="U46" s="40">
        <v>0</v>
      </c>
      <c r="V46" s="40">
        <v>0</v>
      </c>
      <c r="W46" s="40">
        <v>5</v>
      </c>
      <c r="X46" s="40">
        <v>0</v>
      </c>
      <c r="Y46" s="67">
        <f t="shared" si="12"/>
        <v>33</v>
      </c>
      <c r="AA46" s="71"/>
      <c r="AB46" s="71"/>
      <c r="AC46" s="67" t="str">
        <f t="shared" si="8"/>
        <v/>
      </c>
      <c r="AE46" s="124"/>
      <c r="AF46" s="124"/>
      <c r="AG46" s="121"/>
      <c r="AH46" s="121"/>
      <c r="AI46" s="124"/>
      <c r="AJ46" s="124"/>
    </row>
    <row r="47" spans="2:36" x14ac:dyDescent="0.25">
      <c r="B47" s="2" t="s">
        <v>1208</v>
      </c>
      <c r="C47" s="7">
        <v>0.63750000000000007</v>
      </c>
      <c r="D47" s="3">
        <f t="shared" si="13"/>
        <v>7.3000000000000025</v>
      </c>
      <c r="E47" s="10" t="s">
        <v>289</v>
      </c>
      <c r="F47" s="40">
        <v>0</v>
      </c>
      <c r="G47" s="40">
        <v>2.5</v>
      </c>
      <c r="H47" s="40">
        <v>2</v>
      </c>
      <c r="I47" s="3">
        <f t="shared" si="9"/>
        <v>0</v>
      </c>
      <c r="J47" s="3">
        <f t="shared" si="10"/>
        <v>0.76041666666666696</v>
      </c>
      <c r="K47" s="3">
        <f t="shared" si="11"/>
        <v>0.6083333333333335</v>
      </c>
      <c r="L47" s="3"/>
      <c r="M47" s="60">
        <f t="shared" si="5"/>
        <v>260.52250000000004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40">
        <v>0</v>
      </c>
      <c r="T47" s="61">
        <f t="shared" si="14"/>
        <v>75.350000000000009</v>
      </c>
      <c r="U47" s="40">
        <v>0</v>
      </c>
      <c r="V47" s="40">
        <v>0</v>
      </c>
      <c r="W47" s="40">
        <v>2</v>
      </c>
      <c r="X47" s="40">
        <v>0</v>
      </c>
      <c r="Y47" s="67">
        <f t="shared" si="12"/>
        <v>31</v>
      </c>
      <c r="AA47" s="71"/>
      <c r="AB47" s="71"/>
      <c r="AC47" s="67" t="str">
        <f t="shared" si="8"/>
        <v/>
      </c>
      <c r="AE47" s="124"/>
      <c r="AF47" s="124"/>
      <c r="AG47" s="121"/>
      <c r="AH47" s="121"/>
      <c r="AI47" s="124"/>
      <c r="AJ47" s="124"/>
    </row>
    <row r="48" spans="2:36" x14ac:dyDescent="0.25">
      <c r="B48" s="2" t="s">
        <v>1208</v>
      </c>
      <c r="C48" s="7">
        <v>0.8125</v>
      </c>
      <c r="D48" s="3">
        <f t="shared" si="13"/>
        <v>4.1999999999999984</v>
      </c>
      <c r="E48" s="10" t="s">
        <v>1011</v>
      </c>
      <c r="F48" s="40">
        <v>0</v>
      </c>
      <c r="G48" s="40">
        <v>2.5</v>
      </c>
      <c r="H48" s="40">
        <v>2</v>
      </c>
      <c r="I48" s="3">
        <f t="shared" si="9"/>
        <v>0</v>
      </c>
      <c r="J48" s="3">
        <f t="shared" si="10"/>
        <v>0.43749999999999983</v>
      </c>
      <c r="K48" s="3">
        <f t="shared" si="11"/>
        <v>0.34999999999999987</v>
      </c>
      <c r="L48" s="3"/>
      <c r="M48" s="60">
        <f t="shared" si="5"/>
        <v>259.73500000000001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61">
        <f t="shared" si="14"/>
        <v>75.350000000000009</v>
      </c>
      <c r="U48" s="40">
        <v>0</v>
      </c>
      <c r="V48" s="40">
        <v>0</v>
      </c>
      <c r="W48" s="40">
        <v>0</v>
      </c>
      <c r="X48" s="40">
        <v>0</v>
      </c>
      <c r="Y48" s="67">
        <f t="shared" si="12"/>
        <v>31</v>
      </c>
      <c r="AA48" s="71"/>
      <c r="AB48" s="71"/>
      <c r="AC48" s="67" t="str">
        <f t="shared" si="8"/>
        <v/>
      </c>
      <c r="AE48" s="124"/>
      <c r="AF48" s="124"/>
      <c r="AG48" s="121"/>
      <c r="AH48" s="121"/>
      <c r="AI48" s="124"/>
      <c r="AJ48" s="124"/>
    </row>
    <row r="49" spans="2:36" x14ac:dyDescent="0.25">
      <c r="B49" s="2" t="s">
        <v>1208</v>
      </c>
      <c r="C49" s="7">
        <v>0.84166666666666667</v>
      </c>
      <c r="D49" s="3">
        <f t="shared" si="13"/>
        <v>0.70000000000000018</v>
      </c>
      <c r="E49" s="10" t="s">
        <v>616</v>
      </c>
      <c r="F49" s="40">
        <v>2</v>
      </c>
      <c r="G49" s="40">
        <v>2.5</v>
      </c>
      <c r="H49" s="40">
        <v>2</v>
      </c>
      <c r="I49" s="3">
        <f t="shared" si="9"/>
        <v>5.8333333333333348E-2</v>
      </c>
      <c r="J49" s="3">
        <f t="shared" si="10"/>
        <v>7.2916666666666685E-2</v>
      </c>
      <c r="K49" s="3">
        <f t="shared" si="11"/>
        <v>5.8333333333333348E-2</v>
      </c>
      <c r="L49" s="3"/>
      <c r="M49" s="60">
        <f t="shared" si="5"/>
        <v>259.54541666666665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61">
        <f t="shared" si="14"/>
        <v>75.350000000000009</v>
      </c>
      <c r="U49" s="40">
        <v>0</v>
      </c>
      <c r="V49" s="40">
        <v>0</v>
      </c>
      <c r="W49" s="40">
        <v>0</v>
      </c>
      <c r="X49" s="40">
        <v>0</v>
      </c>
      <c r="Y49" s="67">
        <f t="shared" si="12"/>
        <v>31</v>
      </c>
      <c r="AA49" s="71"/>
      <c r="AB49" s="71"/>
      <c r="AC49" s="67" t="str">
        <f t="shared" si="8"/>
        <v/>
      </c>
      <c r="AE49" s="124"/>
      <c r="AF49" s="124"/>
      <c r="AG49" s="121"/>
      <c r="AH49" s="121"/>
      <c r="AI49" s="124"/>
      <c r="AJ49" s="124"/>
    </row>
    <row r="50" spans="2:36" x14ac:dyDescent="0.25">
      <c r="B50" s="2" t="s">
        <v>1209</v>
      </c>
      <c r="C50" s="7">
        <v>0.30416666666666664</v>
      </c>
      <c r="D50" s="3">
        <f t="shared" si="13"/>
        <v>11.099999999999998</v>
      </c>
      <c r="E50" s="10" t="s">
        <v>1011</v>
      </c>
      <c r="F50" s="40">
        <v>0</v>
      </c>
      <c r="G50" s="40">
        <v>2.5</v>
      </c>
      <c r="H50" s="40">
        <v>2</v>
      </c>
      <c r="I50" s="3">
        <f t="shared" si="9"/>
        <v>0</v>
      </c>
      <c r="J50" s="3">
        <f t="shared" si="10"/>
        <v>1.1562499999999998</v>
      </c>
      <c r="K50" s="3">
        <f t="shared" si="11"/>
        <v>0.92499999999999982</v>
      </c>
      <c r="L50" s="3"/>
      <c r="M50" s="60">
        <f t="shared" si="5"/>
        <v>257.46416666666664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61">
        <f t="shared" si="14"/>
        <v>75.350000000000009</v>
      </c>
      <c r="U50" s="40">
        <v>0</v>
      </c>
      <c r="V50" s="40">
        <v>0</v>
      </c>
      <c r="W50" s="40">
        <v>0</v>
      </c>
      <c r="X50" s="40">
        <v>0</v>
      </c>
      <c r="Y50" s="67">
        <f t="shared" si="12"/>
        <v>31</v>
      </c>
      <c r="AA50" s="71"/>
      <c r="AB50" s="71"/>
      <c r="AC50" s="67" t="str">
        <f t="shared" si="8"/>
        <v/>
      </c>
      <c r="AE50" s="124"/>
      <c r="AF50" s="124"/>
      <c r="AG50" s="121"/>
      <c r="AH50" s="121"/>
      <c r="AI50" s="124"/>
      <c r="AJ50" s="124"/>
    </row>
    <row r="51" spans="2:36" x14ac:dyDescent="0.25">
      <c r="B51" s="2" t="s">
        <v>1209</v>
      </c>
      <c r="C51" s="7">
        <v>0.32083333333333336</v>
      </c>
      <c r="D51" s="3">
        <f t="shared" si="13"/>
        <v>0.40000000000000124</v>
      </c>
      <c r="E51" s="10" t="s">
        <v>1026</v>
      </c>
      <c r="F51" s="40">
        <v>5</v>
      </c>
      <c r="G51" s="40">
        <v>2.5</v>
      </c>
      <c r="H51" s="40">
        <v>2</v>
      </c>
      <c r="I51" s="3">
        <f t="shared" si="9"/>
        <v>8.3333333333333592E-2</v>
      </c>
      <c r="J51" s="3">
        <f t="shared" si="10"/>
        <v>4.1666666666666796E-2</v>
      </c>
      <c r="K51" s="3">
        <f t="shared" si="11"/>
        <v>3.3333333333333437E-2</v>
      </c>
      <c r="L51" s="3"/>
      <c r="M51" s="60">
        <f t="shared" si="5"/>
        <v>257.30583333333328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61">
        <f t="shared" si="14"/>
        <v>75.350000000000009</v>
      </c>
      <c r="U51" s="40">
        <v>0</v>
      </c>
      <c r="V51" s="40">
        <v>250</v>
      </c>
      <c r="W51" s="40">
        <v>4</v>
      </c>
      <c r="X51" s="40">
        <v>0</v>
      </c>
      <c r="Y51" s="67">
        <f t="shared" si="12"/>
        <v>277</v>
      </c>
      <c r="AA51" s="71"/>
      <c r="AB51" s="71"/>
      <c r="AC51" s="67" t="str">
        <f t="shared" si="8"/>
        <v/>
      </c>
      <c r="AE51" s="124"/>
      <c r="AF51" s="124"/>
      <c r="AG51" s="121"/>
      <c r="AH51" s="121"/>
      <c r="AI51" s="124"/>
      <c r="AJ51" s="124"/>
    </row>
    <row r="52" spans="2:36" x14ac:dyDescent="0.25">
      <c r="B52" s="2" t="s">
        <v>1209</v>
      </c>
      <c r="C52" s="65">
        <v>0.33333333333333331</v>
      </c>
      <c r="D52" s="3">
        <f t="shared" si="13"/>
        <v>0.29999999999999893</v>
      </c>
      <c r="E52" s="10" t="s">
        <v>355</v>
      </c>
      <c r="F52" s="40">
        <v>22</v>
      </c>
      <c r="G52" s="40">
        <v>2.5</v>
      </c>
      <c r="H52" s="40">
        <v>0</v>
      </c>
      <c r="I52" s="3">
        <f t="shared" si="9"/>
        <v>0.27499999999999902</v>
      </c>
      <c r="J52" s="3">
        <f t="shared" si="10"/>
        <v>3.1249999999999889E-2</v>
      </c>
      <c r="K52" s="3">
        <f t="shared" si="11"/>
        <v>0</v>
      </c>
      <c r="L52" s="3"/>
      <c r="M52" s="60">
        <f t="shared" si="5"/>
        <v>256.99958333333331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61">
        <f t="shared" si="14"/>
        <v>75.350000000000009</v>
      </c>
      <c r="U52" s="40">
        <v>0</v>
      </c>
      <c r="V52" s="40">
        <v>0</v>
      </c>
      <c r="W52" s="40">
        <v>0</v>
      </c>
      <c r="X52" s="40">
        <v>0</v>
      </c>
      <c r="Y52" s="67">
        <f t="shared" si="12"/>
        <v>277</v>
      </c>
      <c r="AA52" s="71">
        <v>139</v>
      </c>
      <c r="AB52" s="71">
        <v>40</v>
      </c>
      <c r="AC52" s="67">
        <f t="shared" si="8"/>
        <v>179</v>
      </c>
      <c r="AE52" s="124"/>
      <c r="AF52" s="124"/>
      <c r="AG52" s="121"/>
      <c r="AH52" s="121"/>
      <c r="AI52" s="124"/>
      <c r="AJ52" s="124"/>
    </row>
    <row r="53" spans="2:36" x14ac:dyDescent="0.25">
      <c r="B53" s="2" t="s">
        <v>1209</v>
      </c>
      <c r="C53" s="7">
        <v>0.64583333333333337</v>
      </c>
      <c r="D53" s="3">
        <f t="shared" si="13"/>
        <v>7.5000000000000018</v>
      </c>
      <c r="E53" s="10" t="s">
        <v>201</v>
      </c>
      <c r="F53" s="40">
        <v>22</v>
      </c>
      <c r="G53" s="40">
        <v>2.5</v>
      </c>
      <c r="H53" s="40">
        <v>0</v>
      </c>
      <c r="I53" s="3">
        <f t="shared" si="9"/>
        <v>6.8750000000000018</v>
      </c>
      <c r="J53" s="3">
        <f t="shared" si="10"/>
        <v>0.78125000000000022</v>
      </c>
      <c r="K53" s="3">
        <f t="shared" si="11"/>
        <v>0</v>
      </c>
      <c r="L53" s="3"/>
      <c r="M53" s="60">
        <f t="shared" si="5"/>
        <v>249.34333333333331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 s="40">
        <v>0</v>
      </c>
      <c r="T53" s="61">
        <f t="shared" si="14"/>
        <v>75.350000000000009</v>
      </c>
      <c r="U53" s="40">
        <v>0</v>
      </c>
      <c r="V53" s="40">
        <v>0</v>
      </c>
      <c r="W53" s="40">
        <v>0</v>
      </c>
      <c r="X53" s="40">
        <v>0</v>
      </c>
      <c r="Y53" s="67">
        <f t="shared" si="12"/>
        <v>277</v>
      </c>
      <c r="AA53" s="71"/>
      <c r="AB53" s="71"/>
      <c r="AC53" s="67" t="str">
        <f t="shared" si="8"/>
        <v/>
      </c>
      <c r="AE53" s="124">
        <v>10.3</v>
      </c>
      <c r="AF53" s="124" t="s">
        <v>1296</v>
      </c>
      <c r="AG53" s="121"/>
      <c r="AH53" s="121"/>
      <c r="AI53" s="124"/>
      <c r="AJ53" s="124"/>
    </row>
    <row r="54" spans="2:36" x14ac:dyDescent="0.25">
      <c r="B54" s="2" t="s">
        <v>1209</v>
      </c>
      <c r="C54" s="7">
        <v>0.65416666666666667</v>
      </c>
      <c r="D54" s="3">
        <f t="shared" si="13"/>
        <v>0.19999999999999929</v>
      </c>
      <c r="E54" s="10" t="s">
        <v>616</v>
      </c>
      <c r="F54" s="40">
        <v>5</v>
      </c>
      <c r="G54" s="40">
        <v>2.5</v>
      </c>
      <c r="H54" s="40">
        <v>2</v>
      </c>
      <c r="I54" s="3">
        <f t="shared" si="9"/>
        <v>4.1666666666666519E-2</v>
      </c>
      <c r="J54" s="3">
        <f t="shared" si="10"/>
        <v>2.0833333333333259E-2</v>
      </c>
      <c r="K54" s="3">
        <f t="shared" si="11"/>
        <v>1.6666666666666607E-2</v>
      </c>
      <c r="L54" s="3"/>
      <c r="M54" s="60">
        <f t="shared" si="5"/>
        <v>249.26416666666663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61">
        <f t="shared" si="14"/>
        <v>75.350000000000009</v>
      </c>
      <c r="U54" s="40">
        <v>0</v>
      </c>
      <c r="V54" s="40">
        <v>0</v>
      </c>
      <c r="W54" s="40">
        <v>0</v>
      </c>
      <c r="X54" s="40">
        <v>0</v>
      </c>
      <c r="Y54" s="67">
        <f t="shared" si="12"/>
        <v>277</v>
      </c>
      <c r="AA54" s="71"/>
      <c r="AB54" s="71"/>
      <c r="AC54" s="67" t="str">
        <f t="shared" si="8"/>
        <v/>
      </c>
      <c r="AE54" s="124"/>
      <c r="AF54" s="124"/>
      <c r="AG54" s="121"/>
      <c r="AH54" s="121"/>
      <c r="AI54" s="124"/>
      <c r="AJ54" s="124"/>
    </row>
    <row r="55" spans="2:36" x14ac:dyDescent="0.25">
      <c r="B55" s="2" t="s">
        <v>1209</v>
      </c>
      <c r="C55" s="7">
        <v>0.8666666666666667</v>
      </c>
      <c r="D55" s="3">
        <f t="shared" si="13"/>
        <v>5.1000000000000005</v>
      </c>
      <c r="E55" s="10" t="s">
        <v>1011</v>
      </c>
      <c r="F55" s="40">
        <v>0</v>
      </c>
      <c r="G55" s="40">
        <v>2.5</v>
      </c>
      <c r="H55" s="40">
        <v>2</v>
      </c>
      <c r="I55" s="3">
        <f t="shared" si="9"/>
        <v>0</v>
      </c>
      <c r="J55" s="3">
        <f t="shared" si="10"/>
        <v>0.53125000000000011</v>
      </c>
      <c r="K55" s="3">
        <f t="shared" si="11"/>
        <v>0.42500000000000004</v>
      </c>
      <c r="L55" s="3"/>
      <c r="M55" s="60">
        <f t="shared" si="5"/>
        <v>248.30791666666661</v>
      </c>
      <c r="N55" s="40">
        <v>0</v>
      </c>
      <c r="O55" s="40">
        <v>0</v>
      </c>
      <c r="P55" s="40">
        <v>0</v>
      </c>
      <c r="Q55" s="40">
        <v>0</v>
      </c>
      <c r="R55" s="40">
        <v>0</v>
      </c>
      <c r="S55" s="40">
        <v>0</v>
      </c>
      <c r="T55" s="61">
        <f t="shared" si="14"/>
        <v>75.350000000000009</v>
      </c>
      <c r="U55" s="40">
        <v>0</v>
      </c>
      <c r="V55" s="40">
        <v>0</v>
      </c>
      <c r="W55" s="40">
        <v>0</v>
      </c>
      <c r="X55" s="40">
        <v>0</v>
      </c>
      <c r="Y55" s="67">
        <f t="shared" si="12"/>
        <v>277</v>
      </c>
      <c r="AA55" s="71"/>
      <c r="AB55" s="71"/>
      <c r="AC55" s="67" t="str">
        <f t="shared" si="8"/>
        <v/>
      </c>
      <c r="AE55" s="124"/>
      <c r="AF55" s="124"/>
      <c r="AG55" s="121"/>
      <c r="AH55" s="121"/>
      <c r="AI55" s="124"/>
      <c r="AJ55" s="124"/>
    </row>
    <row r="56" spans="2:36" x14ac:dyDescent="0.25">
      <c r="B56" s="2" t="s">
        <v>1209</v>
      </c>
      <c r="C56" s="7">
        <v>0.94166666666666676</v>
      </c>
      <c r="D56" s="3">
        <f t="shared" si="13"/>
        <v>1.8000000000000016</v>
      </c>
      <c r="E56" s="10" t="s">
        <v>616</v>
      </c>
      <c r="F56" s="40">
        <v>2</v>
      </c>
      <c r="G56" s="40">
        <v>2.5</v>
      </c>
      <c r="H56" s="40">
        <v>2</v>
      </c>
      <c r="I56" s="3">
        <f t="shared" si="9"/>
        <v>0.15000000000000013</v>
      </c>
      <c r="J56" s="3">
        <f t="shared" si="10"/>
        <v>0.18750000000000017</v>
      </c>
      <c r="K56" s="3">
        <f t="shared" si="11"/>
        <v>0.15000000000000013</v>
      </c>
      <c r="L56" s="3"/>
      <c r="M56" s="60">
        <f t="shared" si="5"/>
        <v>247.8204166666666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61">
        <f t="shared" si="14"/>
        <v>75.350000000000009</v>
      </c>
      <c r="U56" s="40">
        <v>0</v>
      </c>
      <c r="V56" s="40">
        <v>0</v>
      </c>
      <c r="W56" s="40">
        <v>0</v>
      </c>
      <c r="X56" s="40">
        <v>0</v>
      </c>
      <c r="Y56" s="67">
        <f t="shared" si="12"/>
        <v>277</v>
      </c>
      <c r="AA56" s="71"/>
      <c r="AB56" s="71"/>
      <c r="AC56" s="67" t="str">
        <f t="shared" si="8"/>
        <v/>
      </c>
      <c r="AE56" s="124"/>
      <c r="AF56" s="124"/>
      <c r="AG56" s="121"/>
      <c r="AH56" s="121"/>
      <c r="AI56" s="124"/>
      <c r="AJ56" s="124"/>
    </row>
    <row r="57" spans="2:36" x14ac:dyDescent="0.25">
      <c r="B57" s="2" t="s">
        <v>1210</v>
      </c>
      <c r="C57" s="7">
        <v>1</v>
      </c>
      <c r="D57" s="3">
        <f t="shared" si="13"/>
        <v>1.3999999999999977</v>
      </c>
      <c r="E57" s="10" t="s">
        <v>1004</v>
      </c>
      <c r="F57" s="40">
        <v>0</v>
      </c>
      <c r="G57" s="40">
        <v>2.5</v>
      </c>
      <c r="H57" s="40">
        <v>2</v>
      </c>
      <c r="I57" s="3">
        <f t="shared" si="9"/>
        <v>0</v>
      </c>
      <c r="J57" s="3">
        <f t="shared" si="10"/>
        <v>0.14583333333333309</v>
      </c>
      <c r="K57" s="3">
        <f t="shared" si="11"/>
        <v>0.11666666666666647</v>
      </c>
      <c r="L57" s="3"/>
      <c r="M57" s="60">
        <f t="shared" si="5"/>
        <v>247.55791666666661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61">
        <f t="shared" si="14"/>
        <v>75.350000000000009</v>
      </c>
      <c r="U57" s="40">
        <v>0</v>
      </c>
      <c r="V57" s="40">
        <v>0</v>
      </c>
      <c r="W57" s="40">
        <v>0</v>
      </c>
      <c r="X57" s="40">
        <v>0</v>
      </c>
      <c r="Y57" s="67">
        <f t="shared" si="12"/>
        <v>277</v>
      </c>
      <c r="AA57" s="71"/>
      <c r="AB57" s="71"/>
      <c r="AC57" s="67" t="str">
        <f t="shared" si="8"/>
        <v/>
      </c>
      <c r="AE57" s="124"/>
      <c r="AF57" s="124"/>
      <c r="AG57" s="121"/>
      <c r="AH57" s="121"/>
      <c r="AI57" s="124"/>
      <c r="AJ57" s="124"/>
    </row>
    <row r="58" spans="2:36" x14ac:dyDescent="0.25">
      <c r="B58" s="2" t="s">
        <v>1210</v>
      </c>
      <c r="C58" s="114">
        <v>0.33333333333333331</v>
      </c>
      <c r="D58" s="3">
        <f t="shared" si="13"/>
        <v>8</v>
      </c>
      <c r="E58" s="10" t="s">
        <v>966</v>
      </c>
      <c r="F58" s="40">
        <v>0</v>
      </c>
      <c r="G58" s="40">
        <v>2.5</v>
      </c>
      <c r="H58" s="40">
        <v>2</v>
      </c>
      <c r="I58" s="3">
        <f t="shared" si="9"/>
        <v>0</v>
      </c>
      <c r="J58" s="3">
        <f t="shared" si="10"/>
        <v>0.83333333333333337</v>
      </c>
      <c r="K58" s="3">
        <f t="shared" si="11"/>
        <v>0.66666666666666663</v>
      </c>
      <c r="L58" s="3"/>
      <c r="M58" s="60">
        <f t="shared" si="5"/>
        <v>246.05791666666661</v>
      </c>
      <c r="N58" s="40">
        <v>0</v>
      </c>
      <c r="O58" s="40">
        <v>0</v>
      </c>
      <c r="P58" s="40">
        <v>0</v>
      </c>
      <c r="Q58" s="40">
        <v>0</v>
      </c>
      <c r="R58" s="40">
        <v>1.3</v>
      </c>
      <c r="S58" s="40">
        <v>0</v>
      </c>
      <c r="T58" s="61">
        <f t="shared" si="14"/>
        <v>74.050000000000011</v>
      </c>
      <c r="U58" s="40">
        <v>0</v>
      </c>
      <c r="V58" s="40">
        <v>0</v>
      </c>
      <c r="W58" s="40">
        <v>6</v>
      </c>
      <c r="X58" s="40">
        <v>0</v>
      </c>
      <c r="Y58" s="67">
        <f t="shared" si="12"/>
        <v>271</v>
      </c>
      <c r="AA58" s="71"/>
      <c r="AB58" s="71"/>
      <c r="AC58" s="67" t="str">
        <f t="shared" si="8"/>
        <v/>
      </c>
      <c r="AE58" s="124"/>
      <c r="AF58" s="124"/>
      <c r="AG58" s="121"/>
      <c r="AH58" s="121"/>
      <c r="AI58" s="124"/>
      <c r="AJ58" s="124"/>
    </row>
    <row r="59" spans="2:36" x14ac:dyDescent="0.25">
      <c r="B59" s="2" t="s">
        <v>1210</v>
      </c>
      <c r="C59" s="7">
        <v>0.42083333333333334</v>
      </c>
      <c r="D59" s="3">
        <f t="shared" si="13"/>
        <v>2.1000000000000005</v>
      </c>
      <c r="E59" s="10" t="s">
        <v>1142</v>
      </c>
      <c r="F59" s="40">
        <v>0</v>
      </c>
      <c r="G59" s="40">
        <v>2.5</v>
      </c>
      <c r="H59" s="40">
        <v>2</v>
      </c>
      <c r="I59" s="3">
        <f t="shared" si="9"/>
        <v>0</v>
      </c>
      <c r="J59" s="3">
        <f t="shared" si="10"/>
        <v>0.21875000000000006</v>
      </c>
      <c r="K59" s="3">
        <f t="shared" si="11"/>
        <v>0.17500000000000004</v>
      </c>
      <c r="L59" s="3"/>
      <c r="M59" s="60">
        <f t="shared" si="5"/>
        <v>245.6641666666666</v>
      </c>
      <c r="N59" s="40">
        <v>0</v>
      </c>
      <c r="O59" s="40">
        <v>0</v>
      </c>
      <c r="P59" s="40">
        <v>0</v>
      </c>
      <c r="Q59" s="40">
        <v>0</v>
      </c>
      <c r="R59" s="40">
        <v>0.3</v>
      </c>
      <c r="S59" s="40">
        <v>0</v>
      </c>
      <c r="T59" s="61">
        <f t="shared" si="14"/>
        <v>73.750000000000014</v>
      </c>
      <c r="U59" s="40">
        <v>0</v>
      </c>
      <c r="V59" s="40">
        <v>0</v>
      </c>
      <c r="W59" s="40">
        <v>0</v>
      </c>
      <c r="X59" s="40">
        <v>0</v>
      </c>
      <c r="Y59" s="67">
        <f t="shared" si="12"/>
        <v>271</v>
      </c>
      <c r="AA59" s="71"/>
      <c r="AB59" s="71"/>
      <c r="AC59" s="67" t="str">
        <f t="shared" si="8"/>
        <v/>
      </c>
      <c r="AE59" s="124"/>
      <c r="AF59" s="124"/>
      <c r="AG59" s="121"/>
      <c r="AH59" s="121"/>
      <c r="AI59" s="124"/>
      <c r="AJ59" s="124"/>
    </row>
    <row r="60" spans="2:36" x14ac:dyDescent="0.25">
      <c r="B60" s="2" t="s">
        <v>1210</v>
      </c>
      <c r="C60" s="7">
        <v>0.57500000000000007</v>
      </c>
      <c r="D60" s="3">
        <f t="shared" si="13"/>
        <v>3.7000000000000015</v>
      </c>
      <c r="E60" s="10" t="s">
        <v>1011</v>
      </c>
      <c r="F60" s="40">
        <v>0</v>
      </c>
      <c r="G60" s="40">
        <v>2.5</v>
      </c>
      <c r="H60" s="40">
        <v>2</v>
      </c>
      <c r="I60" s="3">
        <f t="shared" si="9"/>
        <v>0</v>
      </c>
      <c r="J60" s="3">
        <f t="shared" si="10"/>
        <v>0.38541666666666685</v>
      </c>
      <c r="K60" s="3">
        <f t="shared" si="11"/>
        <v>0.30833333333333346</v>
      </c>
      <c r="L60" s="3"/>
      <c r="M60" s="60">
        <f t="shared" si="5"/>
        <v>244.97041666666661</v>
      </c>
      <c r="N60" s="40">
        <v>0</v>
      </c>
      <c r="O60" s="40">
        <v>0</v>
      </c>
      <c r="P60" s="40">
        <v>0</v>
      </c>
      <c r="Q60" s="40">
        <v>0</v>
      </c>
      <c r="R60" s="43">
        <v>0</v>
      </c>
      <c r="S60" s="40">
        <v>0</v>
      </c>
      <c r="T60" s="61">
        <f t="shared" si="14"/>
        <v>73.750000000000014</v>
      </c>
      <c r="U60" s="40">
        <v>0</v>
      </c>
      <c r="V60" s="40">
        <v>0</v>
      </c>
      <c r="W60" s="40">
        <v>0</v>
      </c>
      <c r="X60" s="40">
        <v>0</v>
      </c>
      <c r="Y60" s="67">
        <f t="shared" si="12"/>
        <v>271</v>
      </c>
      <c r="AA60" s="71"/>
      <c r="AB60" s="71"/>
      <c r="AC60" s="67" t="str">
        <f t="shared" si="8"/>
        <v/>
      </c>
      <c r="AE60" s="124"/>
      <c r="AF60" s="124"/>
      <c r="AG60" s="121"/>
      <c r="AH60" s="121"/>
      <c r="AI60" s="124"/>
      <c r="AJ60" s="124"/>
    </row>
    <row r="61" spans="2:36" x14ac:dyDescent="0.25">
      <c r="B61" s="2" t="s">
        <v>1210</v>
      </c>
      <c r="C61" s="7">
        <v>0.60416666666666663</v>
      </c>
      <c r="D61" s="3">
        <f t="shared" si="13"/>
        <v>0.69999999999999751</v>
      </c>
      <c r="E61" s="10" t="s">
        <v>1026</v>
      </c>
      <c r="F61" s="40">
        <v>2</v>
      </c>
      <c r="G61" s="40">
        <v>2.5</v>
      </c>
      <c r="H61" s="40">
        <v>2</v>
      </c>
      <c r="I61" s="3">
        <f t="shared" si="9"/>
        <v>5.8333333333333126E-2</v>
      </c>
      <c r="J61" s="3">
        <f>+IF(G61="","",(G61/24)*D61)</f>
        <v>7.2916666666666408E-2</v>
      </c>
      <c r="K61" s="3">
        <f t="shared" si="11"/>
        <v>5.8333333333333126E-2</v>
      </c>
      <c r="L61" s="3"/>
      <c r="M61" s="60">
        <f t="shared" si="5"/>
        <v>244.78083333333328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61">
        <f t="shared" si="14"/>
        <v>73.750000000000014</v>
      </c>
      <c r="U61" s="40">
        <v>0</v>
      </c>
      <c r="V61" s="40">
        <v>0</v>
      </c>
      <c r="W61" s="40">
        <v>0</v>
      </c>
      <c r="X61" s="40">
        <v>0</v>
      </c>
      <c r="Y61" s="67">
        <f t="shared" si="12"/>
        <v>271</v>
      </c>
      <c r="AA61" s="71"/>
      <c r="AB61" s="71"/>
      <c r="AC61" s="67" t="str">
        <f t="shared" si="8"/>
        <v/>
      </c>
      <c r="AE61" s="124"/>
      <c r="AF61" s="124"/>
      <c r="AG61" s="121"/>
      <c r="AH61" s="121"/>
      <c r="AI61" s="124"/>
      <c r="AJ61" s="124"/>
    </row>
    <row r="62" spans="2:36" x14ac:dyDescent="0.25">
      <c r="B62" s="2" t="s">
        <v>1211</v>
      </c>
      <c r="C62" s="65">
        <v>0.33333333333333331</v>
      </c>
      <c r="D62" s="3">
        <f t="shared" si="13"/>
        <v>17.5</v>
      </c>
      <c r="E62" s="10" t="s">
        <v>355</v>
      </c>
      <c r="F62" s="40">
        <v>22</v>
      </c>
      <c r="G62" s="40">
        <v>2.5</v>
      </c>
      <c r="H62" s="40">
        <v>0</v>
      </c>
      <c r="I62" s="3">
        <f t="shared" si="9"/>
        <v>16.041666666666664</v>
      </c>
      <c r="J62" s="3">
        <f t="shared" si="10"/>
        <v>1.8229166666666667</v>
      </c>
      <c r="K62" s="3">
        <f t="shared" si="11"/>
        <v>0</v>
      </c>
      <c r="L62" s="3"/>
      <c r="M62" s="60">
        <f t="shared" si="5"/>
        <v>226.91624999999993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61">
        <f t="shared" si="14"/>
        <v>73.750000000000014</v>
      </c>
      <c r="U62" s="40">
        <v>0</v>
      </c>
      <c r="V62" s="40">
        <v>0</v>
      </c>
      <c r="W62" s="40">
        <v>6</v>
      </c>
      <c r="X62" s="40">
        <v>0</v>
      </c>
      <c r="Y62" s="67">
        <f t="shared" si="12"/>
        <v>265</v>
      </c>
      <c r="AA62" s="71"/>
      <c r="AB62" s="71"/>
      <c r="AC62" s="67" t="str">
        <f t="shared" si="8"/>
        <v/>
      </c>
      <c r="AE62" s="124"/>
      <c r="AF62" s="124"/>
      <c r="AG62" s="121"/>
      <c r="AH62" s="121"/>
      <c r="AI62" s="124"/>
      <c r="AJ62" s="124"/>
    </row>
    <row r="63" spans="2:36" x14ac:dyDescent="0.25">
      <c r="B63" s="2" t="s">
        <v>1211</v>
      </c>
      <c r="C63" s="7">
        <v>0.54166666666666663</v>
      </c>
      <c r="D63" s="3">
        <f t="shared" si="13"/>
        <v>5</v>
      </c>
      <c r="E63" s="10" t="s">
        <v>201</v>
      </c>
      <c r="F63" s="40">
        <v>22</v>
      </c>
      <c r="G63" s="40">
        <v>2.5</v>
      </c>
      <c r="H63" s="40">
        <v>0</v>
      </c>
      <c r="I63" s="3">
        <f t="shared" si="9"/>
        <v>4.583333333333333</v>
      </c>
      <c r="J63" s="3">
        <f t="shared" si="10"/>
        <v>0.52083333333333337</v>
      </c>
      <c r="K63" s="3">
        <f t="shared" si="11"/>
        <v>0</v>
      </c>
      <c r="L63" s="3"/>
      <c r="M63" s="60">
        <f t="shared" si="5"/>
        <v>221.81208333333328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 s="40">
        <v>0</v>
      </c>
      <c r="T63" s="61">
        <f t="shared" si="14"/>
        <v>73.750000000000014</v>
      </c>
      <c r="U63" s="40">
        <v>0</v>
      </c>
      <c r="V63" s="40">
        <v>0</v>
      </c>
      <c r="W63" s="40">
        <v>0</v>
      </c>
      <c r="X63" s="40">
        <v>0</v>
      </c>
      <c r="Y63" s="67">
        <f t="shared" si="12"/>
        <v>265</v>
      </c>
      <c r="AA63" s="71"/>
      <c r="AB63" s="71"/>
      <c r="AC63" s="67" t="str">
        <f t="shared" si="8"/>
        <v/>
      </c>
      <c r="AE63" s="124">
        <v>11.3</v>
      </c>
      <c r="AF63" s="124" t="s">
        <v>1296</v>
      </c>
      <c r="AG63" s="121"/>
      <c r="AH63" s="121"/>
      <c r="AI63" s="124"/>
      <c r="AJ63" s="124"/>
    </row>
    <row r="64" spans="2:36" x14ac:dyDescent="0.25">
      <c r="B64" s="2" t="s">
        <v>1211</v>
      </c>
      <c r="C64" s="7">
        <v>0.5625</v>
      </c>
      <c r="D64" s="3">
        <f t="shared" si="13"/>
        <v>0.50000000000000089</v>
      </c>
      <c r="E64" s="10" t="s">
        <v>616</v>
      </c>
      <c r="F64" s="40">
        <v>2</v>
      </c>
      <c r="G64" s="40">
        <v>2.5</v>
      </c>
      <c r="H64" s="40">
        <v>2</v>
      </c>
      <c r="I64" s="3">
        <f t="shared" si="9"/>
        <v>4.1666666666666741E-2</v>
      </c>
      <c r="J64" s="3">
        <f t="shared" si="10"/>
        <v>5.2083333333333426E-2</v>
      </c>
      <c r="K64" s="3">
        <f t="shared" si="11"/>
        <v>4.1666666666666741E-2</v>
      </c>
      <c r="L64" s="3"/>
      <c r="M64" s="60">
        <f t="shared" si="5"/>
        <v>221.67666666666662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61">
        <f t="shared" si="14"/>
        <v>73.750000000000014</v>
      </c>
      <c r="U64" s="40">
        <v>0</v>
      </c>
      <c r="V64" s="40">
        <v>0</v>
      </c>
      <c r="W64" s="40">
        <v>0</v>
      </c>
      <c r="X64" s="40">
        <v>0</v>
      </c>
      <c r="Y64" s="67">
        <f t="shared" si="12"/>
        <v>265</v>
      </c>
      <c r="AA64" s="71"/>
      <c r="AB64" s="71"/>
      <c r="AC64" s="67" t="str">
        <f t="shared" si="8"/>
        <v/>
      </c>
      <c r="AE64" s="124"/>
      <c r="AF64" s="124"/>
      <c r="AG64" s="121"/>
      <c r="AH64" s="121"/>
      <c r="AI64" s="124"/>
      <c r="AJ64" s="124"/>
    </row>
    <row r="65" spans="2:36" x14ac:dyDescent="0.25">
      <c r="B65" s="2" t="s">
        <v>1212</v>
      </c>
      <c r="C65" s="114">
        <v>0.33333333333333331</v>
      </c>
      <c r="D65" s="3">
        <f t="shared" si="13"/>
        <v>18.5</v>
      </c>
      <c r="E65" s="10" t="s">
        <v>351</v>
      </c>
      <c r="F65" s="40">
        <v>0</v>
      </c>
      <c r="G65" s="40">
        <v>2.5</v>
      </c>
      <c r="H65" s="40">
        <v>2</v>
      </c>
      <c r="I65" s="3">
        <f t="shared" si="9"/>
        <v>0</v>
      </c>
      <c r="J65" s="3">
        <f t="shared" si="10"/>
        <v>1.9270833333333335</v>
      </c>
      <c r="K65" s="3">
        <f t="shared" si="11"/>
        <v>1.5416666666666665</v>
      </c>
      <c r="L65" s="3"/>
      <c r="M65" s="60">
        <f t="shared" si="5"/>
        <v>218.20791666666662</v>
      </c>
      <c r="N65" s="40">
        <v>0</v>
      </c>
      <c r="O65" s="40">
        <v>0</v>
      </c>
      <c r="P65" s="40">
        <v>0</v>
      </c>
      <c r="Q65" s="40">
        <v>0</v>
      </c>
      <c r="R65" s="40">
        <v>0</v>
      </c>
      <c r="S65" s="40">
        <v>0</v>
      </c>
      <c r="T65" s="61">
        <f t="shared" si="14"/>
        <v>73.750000000000014</v>
      </c>
      <c r="U65" s="40">
        <v>0</v>
      </c>
      <c r="V65" s="40">
        <v>0</v>
      </c>
      <c r="W65" s="40">
        <v>6</v>
      </c>
      <c r="X65" s="40">
        <v>0</v>
      </c>
      <c r="Y65" s="67">
        <f t="shared" si="12"/>
        <v>259</v>
      </c>
      <c r="AA65" s="71"/>
      <c r="AB65" s="71"/>
      <c r="AC65" s="67" t="str">
        <f t="shared" si="8"/>
        <v/>
      </c>
      <c r="AE65" s="124"/>
      <c r="AF65" s="124"/>
      <c r="AG65" s="121"/>
      <c r="AH65" s="121"/>
      <c r="AI65" s="124"/>
      <c r="AJ65" s="124"/>
    </row>
    <row r="66" spans="2:36" x14ac:dyDescent="0.25">
      <c r="B66" s="2" t="s">
        <v>1213</v>
      </c>
      <c r="C66" s="7">
        <v>0.28333333333333333</v>
      </c>
      <c r="D66" s="3">
        <f t="shared" si="13"/>
        <v>22.8</v>
      </c>
      <c r="E66" s="10" t="s">
        <v>1011</v>
      </c>
      <c r="F66" s="40">
        <v>0</v>
      </c>
      <c r="G66" s="40">
        <v>2.5</v>
      </c>
      <c r="H66" s="40">
        <v>2</v>
      </c>
      <c r="I66" s="3">
        <f t="shared" si="9"/>
        <v>0</v>
      </c>
      <c r="J66" s="3">
        <f t="shared" si="10"/>
        <v>2.375</v>
      </c>
      <c r="K66" s="3">
        <f t="shared" si="11"/>
        <v>1.9</v>
      </c>
      <c r="L66" s="3"/>
      <c r="M66" s="60">
        <f t="shared" si="5"/>
        <v>213.93291666666661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61">
        <f t="shared" si="14"/>
        <v>73.750000000000014</v>
      </c>
      <c r="U66" s="40">
        <v>0</v>
      </c>
      <c r="V66" s="40">
        <v>0</v>
      </c>
      <c r="W66" s="40">
        <v>0</v>
      </c>
      <c r="X66" s="40">
        <v>0</v>
      </c>
      <c r="Y66" s="67">
        <f t="shared" si="12"/>
        <v>259</v>
      </c>
      <c r="AA66" s="71"/>
      <c r="AB66" s="71"/>
      <c r="AC66" s="67" t="str">
        <f t="shared" si="8"/>
        <v/>
      </c>
      <c r="AE66" s="124"/>
      <c r="AF66" s="124"/>
      <c r="AG66" s="121"/>
      <c r="AH66" s="121"/>
      <c r="AI66" s="124"/>
      <c r="AJ66" s="124"/>
    </row>
    <row r="67" spans="2:36" x14ac:dyDescent="0.25">
      <c r="B67" s="115" t="s">
        <v>1213</v>
      </c>
      <c r="C67" s="65">
        <v>0.33333333333333331</v>
      </c>
      <c r="D67" s="3">
        <f t="shared" si="13"/>
        <v>1.1999999999999997</v>
      </c>
      <c r="E67" s="10" t="s">
        <v>1214</v>
      </c>
      <c r="F67" s="40">
        <v>2</v>
      </c>
      <c r="G67" s="40">
        <v>2.5</v>
      </c>
      <c r="H67" s="40">
        <v>2</v>
      </c>
      <c r="I67" s="3">
        <f t="shared" si="9"/>
        <v>9.9999999999999978E-2</v>
      </c>
      <c r="J67" s="3">
        <f t="shared" si="10"/>
        <v>0.12499999999999997</v>
      </c>
      <c r="K67" s="3">
        <f t="shared" si="11"/>
        <v>9.9999999999999978E-2</v>
      </c>
      <c r="L67" s="3"/>
      <c r="M67" s="60">
        <f t="shared" si="5"/>
        <v>213.60791666666663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 s="40">
        <v>0</v>
      </c>
      <c r="T67" s="61">
        <f t="shared" si="14"/>
        <v>73.750000000000014</v>
      </c>
      <c r="U67" s="40">
        <v>0</v>
      </c>
      <c r="V67" s="40">
        <v>0</v>
      </c>
      <c r="W67" s="40">
        <v>6</v>
      </c>
      <c r="X67" s="40">
        <v>0</v>
      </c>
      <c r="Y67" s="67">
        <f t="shared" si="12"/>
        <v>253</v>
      </c>
      <c r="AA67" s="71"/>
      <c r="AB67" s="71"/>
      <c r="AC67" s="67" t="str">
        <f t="shared" si="8"/>
        <v/>
      </c>
      <c r="AE67" s="124"/>
      <c r="AF67" s="124"/>
      <c r="AG67" s="121"/>
      <c r="AH67" s="121"/>
      <c r="AI67" s="124"/>
      <c r="AJ67" s="124"/>
    </row>
    <row r="68" spans="2:36" x14ac:dyDescent="0.25">
      <c r="B68" s="115" t="s">
        <v>1213</v>
      </c>
      <c r="C68" s="7">
        <v>0.35416666666666669</v>
      </c>
      <c r="D68" s="3">
        <f t="shared" si="13"/>
        <v>0.50000000000000089</v>
      </c>
      <c r="E68" s="10" t="s">
        <v>616</v>
      </c>
      <c r="F68" s="40">
        <v>2</v>
      </c>
      <c r="G68" s="40">
        <v>2.5</v>
      </c>
      <c r="H68" s="40">
        <v>2</v>
      </c>
      <c r="I68" s="3">
        <f t="shared" si="9"/>
        <v>4.1666666666666741E-2</v>
      </c>
      <c r="J68" s="3">
        <f t="shared" si="10"/>
        <v>5.2083333333333426E-2</v>
      </c>
      <c r="K68" s="3">
        <f t="shared" si="11"/>
        <v>4.1666666666666741E-2</v>
      </c>
      <c r="L68" s="3"/>
      <c r="M68" s="60">
        <f t="shared" si="5"/>
        <v>213.47249999999997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61">
        <f t="shared" si="14"/>
        <v>73.750000000000014</v>
      </c>
      <c r="U68" s="40">
        <v>0</v>
      </c>
      <c r="V68" s="40">
        <v>0</v>
      </c>
      <c r="W68" s="40">
        <v>0</v>
      </c>
      <c r="X68" s="40">
        <v>0</v>
      </c>
      <c r="Y68" s="67">
        <f t="shared" si="12"/>
        <v>253</v>
      </c>
      <c r="AA68" s="71"/>
      <c r="AB68" s="71"/>
      <c r="AC68" s="67" t="str">
        <f t="shared" si="8"/>
        <v/>
      </c>
      <c r="AE68" s="124"/>
      <c r="AF68" s="124"/>
      <c r="AG68" s="121"/>
      <c r="AH68" s="121"/>
      <c r="AI68" s="124"/>
      <c r="AJ68" s="124"/>
    </row>
    <row r="69" spans="2:36" x14ac:dyDescent="0.25">
      <c r="B69" s="2" t="s">
        <v>1213</v>
      </c>
      <c r="C69" s="7">
        <v>0.47916666666666669</v>
      </c>
      <c r="D69" s="3">
        <f t="shared" si="13"/>
        <v>3</v>
      </c>
      <c r="E69" s="10" t="s">
        <v>1206</v>
      </c>
      <c r="F69" s="40">
        <v>0</v>
      </c>
      <c r="G69" s="40">
        <v>2.5</v>
      </c>
      <c r="H69" s="40">
        <v>2</v>
      </c>
      <c r="I69" s="3">
        <f t="shared" ref="I69:I133" si="15">+IF(F69="","",(F69/24)*D69)</f>
        <v>0</v>
      </c>
      <c r="J69" s="3">
        <f t="shared" ref="J69:J133" si="16">+IF(G69="","",(G69/24)*D69)</f>
        <v>0.3125</v>
      </c>
      <c r="K69" s="3">
        <f t="shared" ref="K69:K133" si="17">+IF(H69="","",(H69/24)*D69)</f>
        <v>0.25</v>
      </c>
      <c r="L69" s="3"/>
      <c r="M69" s="60">
        <f t="shared" ref="M69:M133" si="18">+IF(D69="","",M68-(I69+J69+K69))</f>
        <v>212.90999999999997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61">
        <f t="shared" si="14"/>
        <v>73.750000000000014</v>
      </c>
      <c r="U69" s="40">
        <v>0</v>
      </c>
      <c r="V69" s="40">
        <v>0</v>
      </c>
      <c r="W69" s="40">
        <v>0</v>
      </c>
      <c r="X69" s="40">
        <v>0</v>
      </c>
      <c r="Y69" s="67">
        <f t="shared" si="12"/>
        <v>253</v>
      </c>
      <c r="AA69" s="71"/>
      <c r="AB69" s="71"/>
      <c r="AC69" s="67" t="str">
        <f t="shared" ref="AC69:AC133" si="19">IF(AA69="","",AA69+AB69)</f>
        <v/>
      </c>
      <c r="AE69" s="124"/>
      <c r="AF69" s="124"/>
      <c r="AG69" s="121"/>
      <c r="AH69" s="121"/>
      <c r="AI69" s="124"/>
      <c r="AJ69" s="124"/>
    </row>
    <row r="70" spans="2:36" x14ac:dyDescent="0.25">
      <c r="B70" s="2" t="s">
        <v>1215</v>
      </c>
      <c r="C70" s="65">
        <v>0.33333333333333331</v>
      </c>
      <c r="D70" s="3">
        <f t="shared" si="13"/>
        <v>20.5</v>
      </c>
      <c r="E70" s="10" t="s">
        <v>966</v>
      </c>
      <c r="F70" s="40">
        <v>0</v>
      </c>
      <c r="G70" s="40">
        <v>2.5</v>
      </c>
      <c r="H70" s="40">
        <v>2</v>
      </c>
      <c r="I70" s="3">
        <f t="shared" si="15"/>
        <v>0</v>
      </c>
      <c r="J70" s="3">
        <f t="shared" si="16"/>
        <v>2.135416666666667</v>
      </c>
      <c r="K70" s="3">
        <f t="shared" si="17"/>
        <v>1.7083333333333333</v>
      </c>
      <c r="L70" s="3"/>
      <c r="M70" s="60">
        <f t="shared" si="18"/>
        <v>209.06624999999997</v>
      </c>
      <c r="N70" s="40">
        <v>0</v>
      </c>
      <c r="O70" s="40">
        <v>0</v>
      </c>
      <c r="P70" s="40">
        <v>0</v>
      </c>
      <c r="Q70" s="40">
        <v>0</v>
      </c>
      <c r="R70" s="40">
        <v>3.35</v>
      </c>
      <c r="S70" s="40">
        <v>0</v>
      </c>
      <c r="T70" s="61">
        <f t="shared" si="14"/>
        <v>70.40000000000002</v>
      </c>
      <c r="U70" s="40">
        <v>0</v>
      </c>
      <c r="V70" s="40">
        <v>0</v>
      </c>
      <c r="W70" s="40">
        <v>6</v>
      </c>
      <c r="X70" s="40">
        <v>0</v>
      </c>
      <c r="Y70" s="67">
        <f t="shared" si="12"/>
        <v>247</v>
      </c>
      <c r="AA70" s="71"/>
      <c r="AB70" s="71"/>
      <c r="AC70" s="67" t="str">
        <f t="shared" si="19"/>
        <v/>
      </c>
      <c r="AE70" s="124"/>
      <c r="AF70" s="124"/>
      <c r="AG70" s="121"/>
      <c r="AH70" s="121"/>
      <c r="AI70" s="124"/>
      <c r="AJ70" s="124"/>
    </row>
    <row r="71" spans="2:36" x14ac:dyDescent="0.25">
      <c r="B71" s="2" t="s">
        <v>1215</v>
      </c>
      <c r="C71" s="7">
        <v>0.48749999999999999</v>
      </c>
      <c r="D71" s="3">
        <f t="shared" si="13"/>
        <v>3.7</v>
      </c>
      <c r="E71" s="10" t="s">
        <v>1142</v>
      </c>
      <c r="F71" s="40">
        <v>0</v>
      </c>
      <c r="G71" s="40">
        <v>2.5</v>
      </c>
      <c r="H71" s="40">
        <v>2</v>
      </c>
      <c r="I71" s="3">
        <f t="shared" si="15"/>
        <v>0</v>
      </c>
      <c r="J71" s="3">
        <f t="shared" si="16"/>
        <v>0.38541666666666669</v>
      </c>
      <c r="K71" s="3">
        <f t="shared" si="17"/>
        <v>0.30833333333333335</v>
      </c>
      <c r="L71" s="3"/>
      <c r="M71" s="60">
        <f t="shared" si="18"/>
        <v>208.37249999999997</v>
      </c>
      <c r="N71" s="40">
        <v>0</v>
      </c>
      <c r="O71" s="40">
        <v>0</v>
      </c>
      <c r="P71" s="40">
        <v>0</v>
      </c>
      <c r="Q71" s="40">
        <v>0</v>
      </c>
      <c r="R71" s="40">
        <v>0.6</v>
      </c>
      <c r="S71" s="40">
        <v>0</v>
      </c>
      <c r="T71" s="61">
        <f t="shared" si="14"/>
        <v>69.800000000000026</v>
      </c>
      <c r="U71" s="40">
        <v>0</v>
      </c>
      <c r="V71" s="40">
        <v>0</v>
      </c>
      <c r="W71" s="40">
        <v>0</v>
      </c>
      <c r="X71" s="40">
        <v>0</v>
      </c>
      <c r="Y71" s="67">
        <f t="shared" si="12"/>
        <v>247</v>
      </c>
      <c r="AA71" s="71"/>
      <c r="AB71" s="71"/>
      <c r="AC71" s="67" t="str">
        <f t="shared" si="19"/>
        <v/>
      </c>
      <c r="AE71" s="124"/>
      <c r="AF71" s="124"/>
      <c r="AG71" s="121"/>
      <c r="AH71" s="121"/>
      <c r="AI71" s="124"/>
      <c r="AJ71" s="124"/>
    </row>
    <row r="72" spans="2:36" x14ac:dyDescent="0.25">
      <c r="B72" s="2" t="s">
        <v>1215</v>
      </c>
      <c r="C72" s="7">
        <v>0.625</v>
      </c>
      <c r="D72" s="3">
        <f t="shared" si="13"/>
        <v>3.3000000000000003</v>
      </c>
      <c r="E72" s="10" t="s">
        <v>1011</v>
      </c>
      <c r="F72" s="40">
        <v>0</v>
      </c>
      <c r="G72" s="40">
        <v>2.5</v>
      </c>
      <c r="H72" s="40">
        <v>2</v>
      </c>
      <c r="I72" s="3">
        <f t="shared" si="15"/>
        <v>0</v>
      </c>
      <c r="J72" s="3">
        <f t="shared" si="16"/>
        <v>0.34375000000000006</v>
      </c>
      <c r="K72" s="3">
        <f t="shared" si="17"/>
        <v>0.27500000000000002</v>
      </c>
      <c r="L72" s="3"/>
      <c r="M72" s="60">
        <f t="shared" si="18"/>
        <v>207.75374999999997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61">
        <f t="shared" si="14"/>
        <v>69.800000000000026</v>
      </c>
      <c r="U72" s="40">
        <v>0</v>
      </c>
      <c r="V72" s="40">
        <v>0</v>
      </c>
      <c r="W72" s="40">
        <v>0</v>
      </c>
      <c r="X72" s="40">
        <v>0</v>
      </c>
      <c r="Y72" s="67">
        <f t="shared" ref="Y72:Y136" si="20">IF(W72="","",((Y71+U72+V72)-(W72+X72)))</f>
        <v>247</v>
      </c>
      <c r="AA72" s="71"/>
      <c r="AB72" s="71"/>
      <c r="AC72" s="67" t="str">
        <f t="shared" si="19"/>
        <v/>
      </c>
      <c r="AE72" s="124"/>
      <c r="AF72" s="124"/>
      <c r="AG72" s="121"/>
      <c r="AH72" s="121"/>
      <c r="AI72" s="124"/>
      <c r="AJ72" s="124"/>
    </row>
    <row r="73" spans="2:36" x14ac:dyDescent="0.25">
      <c r="B73" s="2" t="s">
        <v>1215</v>
      </c>
      <c r="C73" s="7">
        <v>0.64583333333333337</v>
      </c>
      <c r="D73" s="3">
        <f t="shared" si="13"/>
        <v>0.50000000000000089</v>
      </c>
      <c r="E73" s="10" t="s">
        <v>1026</v>
      </c>
      <c r="F73" s="40">
        <v>5</v>
      </c>
      <c r="G73" s="40">
        <v>2.5</v>
      </c>
      <c r="H73" s="40">
        <v>2</v>
      </c>
      <c r="I73" s="3">
        <f t="shared" si="15"/>
        <v>0.10416666666666685</v>
      </c>
      <c r="J73" s="3">
        <f t="shared" si="16"/>
        <v>5.2083333333333426E-2</v>
      </c>
      <c r="K73" s="3">
        <f t="shared" si="17"/>
        <v>4.1666666666666741E-2</v>
      </c>
      <c r="L73" s="3"/>
      <c r="M73" s="60">
        <f t="shared" si="18"/>
        <v>207.55583333333331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61">
        <f t="shared" si="14"/>
        <v>69.800000000000026</v>
      </c>
      <c r="U73" s="40">
        <v>0</v>
      </c>
      <c r="V73" s="40">
        <v>0</v>
      </c>
      <c r="W73" s="40">
        <v>0</v>
      </c>
      <c r="X73" s="40">
        <v>0</v>
      </c>
      <c r="Y73" s="67">
        <f t="shared" si="20"/>
        <v>247</v>
      </c>
      <c r="AA73" s="71"/>
      <c r="AB73" s="71"/>
      <c r="AC73" s="67" t="str">
        <f t="shared" si="19"/>
        <v/>
      </c>
      <c r="AE73" s="124"/>
      <c r="AF73" s="124"/>
      <c r="AG73" s="121"/>
      <c r="AH73" s="121"/>
      <c r="AI73" s="124"/>
      <c r="AJ73" s="124"/>
    </row>
    <row r="74" spans="2:36" x14ac:dyDescent="0.25">
      <c r="B74" s="2" t="s">
        <v>1216</v>
      </c>
      <c r="C74" s="7">
        <v>1.2499999999999999E-2</v>
      </c>
      <c r="D74" s="3">
        <f t="shared" si="13"/>
        <v>8.7999999999999972</v>
      </c>
      <c r="E74" s="10" t="s">
        <v>201</v>
      </c>
      <c r="F74" s="40">
        <v>22</v>
      </c>
      <c r="G74" s="40">
        <v>2.5</v>
      </c>
      <c r="H74" s="40">
        <v>0</v>
      </c>
      <c r="I74" s="3">
        <f t="shared" si="15"/>
        <v>8.0666666666666629</v>
      </c>
      <c r="J74" s="3">
        <f t="shared" si="16"/>
        <v>0.91666666666666641</v>
      </c>
      <c r="K74" s="3">
        <f t="shared" si="17"/>
        <v>0</v>
      </c>
      <c r="L74" s="3"/>
      <c r="M74" s="60">
        <f t="shared" si="18"/>
        <v>198.57249999999999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61">
        <f t="shared" si="14"/>
        <v>69.800000000000026</v>
      </c>
      <c r="U74" s="40">
        <v>0</v>
      </c>
      <c r="V74" s="40">
        <v>0</v>
      </c>
      <c r="W74" s="40">
        <v>3</v>
      </c>
      <c r="X74" s="40">
        <v>0</v>
      </c>
      <c r="Y74" s="67">
        <f t="shared" si="20"/>
        <v>244</v>
      </c>
      <c r="AA74" s="71"/>
      <c r="AB74" s="71"/>
      <c r="AC74" s="67" t="str">
        <f t="shared" si="19"/>
        <v/>
      </c>
      <c r="AE74" s="124">
        <v>10.4</v>
      </c>
      <c r="AF74" s="124" t="s">
        <v>1296</v>
      </c>
      <c r="AG74" s="121"/>
      <c r="AH74" s="121"/>
      <c r="AI74" s="124"/>
      <c r="AJ74" s="124"/>
    </row>
    <row r="75" spans="2:36" x14ac:dyDescent="0.25">
      <c r="B75" s="2" t="s">
        <v>1216</v>
      </c>
      <c r="C75" s="7">
        <v>9.9999999999999992E-2</v>
      </c>
      <c r="D75" s="3">
        <f t="shared" si="13"/>
        <v>2.0999999999999996</v>
      </c>
      <c r="E75" s="10" t="s">
        <v>616</v>
      </c>
      <c r="F75" s="40">
        <v>2</v>
      </c>
      <c r="G75" s="40">
        <v>2.5</v>
      </c>
      <c r="H75" s="40">
        <v>2</v>
      </c>
      <c r="I75" s="3">
        <f t="shared" si="15"/>
        <v>0.17499999999999996</v>
      </c>
      <c r="J75" s="3">
        <f t="shared" si="16"/>
        <v>0.21874999999999997</v>
      </c>
      <c r="K75" s="3">
        <f t="shared" si="17"/>
        <v>0.17499999999999996</v>
      </c>
      <c r="L75" s="3"/>
      <c r="M75" s="60">
        <f t="shared" si="18"/>
        <v>198.00375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61">
        <f t="shared" si="14"/>
        <v>69.800000000000026</v>
      </c>
      <c r="U75" s="40">
        <v>0</v>
      </c>
      <c r="V75" s="40">
        <v>0</v>
      </c>
      <c r="W75" s="40">
        <v>0</v>
      </c>
      <c r="X75" s="40">
        <v>0</v>
      </c>
      <c r="Y75" s="67">
        <f t="shared" si="20"/>
        <v>244</v>
      </c>
      <c r="AA75" s="71"/>
      <c r="AB75" s="71"/>
      <c r="AC75" s="67" t="str">
        <f t="shared" si="19"/>
        <v/>
      </c>
      <c r="AE75" s="124"/>
      <c r="AF75" s="124"/>
      <c r="AG75" s="121"/>
      <c r="AH75" s="121"/>
      <c r="AI75" s="124"/>
      <c r="AJ75" s="124"/>
    </row>
    <row r="76" spans="2:36" x14ac:dyDescent="0.25">
      <c r="B76" s="36" t="s">
        <v>1216</v>
      </c>
      <c r="C76" s="7">
        <v>0.3</v>
      </c>
      <c r="D76" s="3">
        <f t="shared" si="13"/>
        <v>4.8000000000000007</v>
      </c>
      <c r="E76" s="10" t="s">
        <v>1004</v>
      </c>
      <c r="F76" s="40">
        <v>0</v>
      </c>
      <c r="G76" s="40">
        <v>2.5</v>
      </c>
      <c r="H76" s="40">
        <v>2</v>
      </c>
      <c r="I76" s="3">
        <f t="shared" si="15"/>
        <v>0</v>
      </c>
      <c r="J76" s="3">
        <f t="shared" si="16"/>
        <v>0.50000000000000011</v>
      </c>
      <c r="K76" s="3">
        <f t="shared" si="17"/>
        <v>0.4</v>
      </c>
      <c r="L76" s="3"/>
      <c r="M76" s="60">
        <f t="shared" si="18"/>
        <v>197.10374999999999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75">
        <f t="shared" si="14"/>
        <v>69.800000000000026</v>
      </c>
      <c r="U76" s="40">
        <v>0</v>
      </c>
      <c r="V76" s="40">
        <v>0</v>
      </c>
      <c r="W76" s="40">
        <v>0</v>
      </c>
      <c r="X76" s="40">
        <v>0</v>
      </c>
      <c r="Y76" s="67">
        <f t="shared" si="20"/>
        <v>244</v>
      </c>
      <c r="AA76" s="71"/>
      <c r="AB76" s="71"/>
      <c r="AC76" s="67" t="str">
        <f t="shared" si="19"/>
        <v/>
      </c>
      <c r="AE76" s="124"/>
      <c r="AF76" s="124"/>
      <c r="AG76" s="121"/>
      <c r="AH76" s="121"/>
      <c r="AI76" s="124"/>
      <c r="AJ76" s="124"/>
    </row>
    <row r="77" spans="2:36" x14ac:dyDescent="0.25">
      <c r="B77" s="2" t="s">
        <v>1216</v>
      </c>
      <c r="C77" s="65">
        <v>0.33333333333333331</v>
      </c>
      <c r="D77" s="3">
        <f t="shared" si="13"/>
        <v>0.79999999999999982</v>
      </c>
      <c r="E77" s="10" t="s">
        <v>966</v>
      </c>
      <c r="F77" s="40">
        <v>0</v>
      </c>
      <c r="G77" s="40">
        <v>2.5</v>
      </c>
      <c r="H77" s="40">
        <v>2</v>
      </c>
      <c r="I77" s="3">
        <f t="shared" si="15"/>
        <v>0</v>
      </c>
      <c r="J77" s="3">
        <f t="shared" si="16"/>
        <v>8.3333333333333315E-2</v>
      </c>
      <c r="K77" s="3">
        <f t="shared" si="17"/>
        <v>6.6666666666666652E-2</v>
      </c>
      <c r="L77" s="3"/>
      <c r="M77" s="60">
        <f t="shared" si="18"/>
        <v>196.95374999999999</v>
      </c>
      <c r="N77" s="40">
        <v>0</v>
      </c>
      <c r="O77" s="40">
        <v>0</v>
      </c>
      <c r="P77" s="40">
        <v>0</v>
      </c>
      <c r="Q77" s="40">
        <v>0</v>
      </c>
      <c r="R77" s="40">
        <v>0.1</v>
      </c>
      <c r="S77" s="40">
        <v>0</v>
      </c>
      <c r="T77" s="61">
        <f t="shared" si="14"/>
        <v>69.700000000000031</v>
      </c>
      <c r="U77" s="40">
        <v>0</v>
      </c>
      <c r="V77" s="40">
        <v>0</v>
      </c>
      <c r="W77" s="40">
        <v>3</v>
      </c>
      <c r="X77" s="40">
        <v>0</v>
      </c>
      <c r="Y77" s="67">
        <f t="shared" si="20"/>
        <v>241</v>
      </c>
      <c r="AA77" s="71"/>
      <c r="AB77" s="71"/>
      <c r="AC77" s="67" t="str">
        <f t="shared" si="19"/>
        <v/>
      </c>
      <c r="AE77" s="124"/>
      <c r="AF77" s="124"/>
      <c r="AG77" s="121"/>
      <c r="AH77" s="121"/>
      <c r="AI77" s="124"/>
      <c r="AJ77" s="124"/>
    </row>
    <row r="78" spans="2:36" x14ac:dyDescent="0.25">
      <c r="B78" s="2" t="s">
        <v>1216</v>
      </c>
      <c r="C78" s="7">
        <v>0.90833333333333333</v>
      </c>
      <c r="D78" s="3">
        <f t="shared" si="13"/>
        <v>13.799999999999999</v>
      </c>
      <c r="E78" s="10" t="s">
        <v>1142</v>
      </c>
      <c r="F78" s="40">
        <v>0</v>
      </c>
      <c r="G78" s="40">
        <v>2.5</v>
      </c>
      <c r="H78" s="40">
        <v>2</v>
      </c>
      <c r="I78" s="3">
        <f t="shared" si="15"/>
        <v>0</v>
      </c>
      <c r="J78" s="3">
        <f t="shared" si="16"/>
        <v>1.4375</v>
      </c>
      <c r="K78" s="3">
        <f t="shared" si="17"/>
        <v>1.1499999999999999</v>
      </c>
      <c r="L78" s="3"/>
      <c r="M78" s="60">
        <f t="shared" si="18"/>
        <v>194.36624999999998</v>
      </c>
      <c r="N78" s="40">
        <v>0</v>
      </c>
      <c r="O78" s="40">
        <v>0</v>
      </c>
      <c r="P78" s="40">
        <v>0</v>
      </c>
      <c r="Q78" s="40">
        <v>0</v>
      </c>
      <c r="R78" s="40">
        <v>2.2999999999999998</v>
      </c>
      <c r="S78" s="40">
        <v>0</v>
      </c>
      <c r="T78" s="61">
        <f t="shared" si="14"/>
        <v>67.400000000000034</v>
      </c>
      <c r="U78" s="40">
        <v>0</v>
      </c>
      <c r="V78" s="40">
        <v>0</v>
      </c>
      <c r="W78" s="40">
        <v>0</v>
      </c>
      <c r="X78" s="40">
        <v>0</v>
      </c>
      <c r="Y78" s="67">
        <f t="shared" si="20"/>
        <v>241</v>
      </c>
      <c r="AA78" s="71"/>
      <c r="AB78" s="71"/>
      <c r="AC78" s="67" t="str">
        <f t="shared" si="19"/>
        <v/>
      </c>
      <c r="AE78" s="124"/>
      <c r="AF78" s="124"/>
      <c r="AG78" s="121"/>
      <c r="AH78" s="121"/>
      <c r="AI78" s="124"/>
      <c r="AJ78" s="124"/>
    </row>
    <row r="79" spans="2:36" x14ac:dyDescent="0.25">
      <c r="B79" s="2" t="s">
        <v>1217</v>
      </c>
      <c r="C79" s="7">
        <v>2.4999999999999998E-2</v>
      </c>
      <c r="D79" s="3">
        <f t="shared" si="13"/>
        <v>2.8000000000000007</v>
      </c>
      <c r="E79" s="10" t="s">
        <v>1011</v>
      </c>
      <c r="F79" s="40">
        <v>0</v>
      </c>
      <c r="G79" s="40">
        <v>2.5</v>
      </c>
      <c r="H79" s="40">
        <v>2</v>
      </c>
      <c r="I79" s="3">
        <f t="shared" si="15"/>
        <v>0</v>
      </c>
      <c r="J79" s="3">
        <f t="shared" si="16"/>
        <v>0.29166666666666674</v>
      </c>
      <c r="K79" s="3">
        <f t="shared" si="17"/>
        <v>0.23333333333333339</v>
      </c>
      <c r="L79" s="3"/>
      <c r="M79" s="60">
        <f t="shared" si="18"/>
        <v>193.84124999999997</v>
      </c>
      <c r="N79" s="40">
        <v>0</v>
      </c>
      <c r="O79" s="40">
        <v>0</v>
      </c>
      <c r="P79" s="40">
        <v>0</v>
      </c>
      <c r="Q79" s="40">
        <v>0</v>
      </c>
      <c r="R79" s="40">
        <v>0</v>
      </c>
      <c r="S79" s="40">
        <v>0</v>
      </c>
      <c r="T79" s="61">
        <f t="shared" si="14"/>
        <v>67.400000000000034</v>
      </c>
      <c r="U79" s="40">
        <v>0</v>
      </c>
      <c r="V79" s="40">
        <v>0</v>
      </c>
      <c r="W79" s="40">
        <v>0</v>
      </c>
      <c r="X79" s="40">
        <v>0</v>
      </c>
      <c r="Y79" s="67">
        <f t="shared" si="20"/>
        <v>241</v>
      </c>
      <c r="AA79" s="71"/>
      <c r="AB79" s="71"/>
      <c r="AC79" s="67" t="str">
        <f t="shared" si="19"/>
        <v/>
      </c>
      <c r="AE79" s="124"/>
      <c r="AF79" s="124"/>
      <c r="AG79" s="121"/>
      <c r="AH79" s="121"/>
      <c r="AI79" s="124"/>
      <c r="AJ79" s="124"/>
    </row>
    <row r="80" spans="2:36" x14ac:dyDescent="0.25">
      <c r="B80" s="2" t="s">
        <v>1217</v>
      </c>
      <c r="C80" s="7">
        <v>4.9999999999999996E-2</v>
      </c>
      <c r="D80" s="3">
        <f t="shared" si="13"/>
        <v>0.6</v>
      </c>
      <c r="E80" s="10" t="s">
        <v>1026</v>
      </c>
      <c r="F80" s="40">
        <v>5</v>
      </c>
      <c r="G80" s="40">
        <v>2.5</v>
      </c>
      <c r="H80" s="40">
        <v>2</v>
      </c>
      <c r="I80" s="3">
        <f t="shared" si="15"/>
        <v>0.125</v>
      </c>
      <c r="J80" s="3">
        <f t="shared" si="16"/>
        <v>6.25E-2</v>
      </c>
      <c r="K80" s="3">
        <f t="shared" si="17"/>
        <v>4.9999999999999996E-2</v>
      </c>
      <c r="L80" s="3"/>
      <c r="M80" s="60">
        <f t="shared" si="18"/>
        <v>193.60374999999996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61">
        <f t="shared" si="14"/>
        <v>67.400000000000034</v>
      </c>
      <c r="U80" s="40">
        <v>0</v>
      </c>
      <c r="V80" s="40">
        <v>0</v>
      </c>
      <c r="W80" s="40">
        <v>0</v>
      </c>
      <c r="X80" s="40">
        <v>0</v>
      </c>
      <c r="Y80" s="67">
        <f t="shared" si="20"/>
        <v>241</v>
      </c>
      <c r="AA80" s="71"/>
      <c r="AB80" s="71"/>
      <c r="AC80" s="67" t="str">
        <f t="shared" si="19"/>
        <v/>
      </c>
      <c r="AE80" s="124"/>
      <c r="AF80" s="124"/>
      <c r="AG80" s="121"/>
      <c r="AH80" s="121"/>
      <c r="AI80" s="124"/>
      <c r="AJ80" s="124"/>
    </row>
    <row r="81" spans="2:36" x14ac:dyDescent="0.25">
      <c r="B81" s="2" t="s">
        <v>1217</v>
      </c>
      <c r="C81" s="7">
        <v>0.3</v>
      </c>
      <c r="D81" s="3">
        <f t="shared" si="13"/>
        <v>6</v>
      </c>
      <c r="E81" s="10" t="s">
        <v>201</v>
      </c>
      <c r="F81" s="40">
        <v>22</v>
      </c>
      <c r="G81" s="40">
        <v>2.5</v>
      </c>
      <c r="H81" s="40">
        <v>0</v>
      </c>
      <c r="I81" s="3">
        <f t="shared" si="15"/>
        <v>5.5</v>
      </c>
      <c r="J81" s="3">
        <f t="shared" si="16"/>
        <v>0.625</v>
      </c>
      <c r="K81" s="3">
        <f t="shared" si="17"/>
        <v>0</v>
      </c>
      <c r="L81" s="3"/>
      <c r="M81" s="60">
        <f t="shared" si="18"/>
        <v>187.47874999999996</v>
      </c>
      <c r="N81" s="40">
        <v>0</v>
      </c>
      <c r="O81" s="40">
        <v>0</v>
      </c>
      <c r="P81" s="40">
        <v>0</v>
      </c>
      <c r="Q81" s="40">
        <v>0</v>
      </c>
      <c r="R81" s="40">
        <v>0</v>
      </c>
      <c r="S81" s="40">
        <v>0</v>
      </c>
      <c r="T81" s="61">
        <f t="shared" si="14"/>
        <v>67.400000000000034</v>
      </c>
      <c r="U81" s="40">
        <v>0</v>
      </c>
      <c r="V81" s="40">
        <v>0</v>
      </c>
      <c r="W81" s="40">
        <v>3</v>
      </c>
      <c r="X81" s="40">
        <v>0</v>
      </c>
      <c r="Y81" s="67">
        <f t="shared" si="20"/>
        <v>238</v>
      </c>
      <c r="AA81" s="71"/>
      <c r="AB81" s="71"/>
      <c r="AC81" s="67" t="str">
        <f t="shared" si="19"/>
        <v/>
      </c>
      <c r="AE81" s="124">
        <v>10.5</v>
      </c>
      <c r="AF81" s="124" t="s">
        <v>1296</v>
      </c>
      <c r="AG81" s="121"/>
      <c r="AH81" s="121"/>
      <c r="AI81" s="124"/>
      <c r="AJ81" s="124"/>
    </row>
    <row r="82" spans="2:36" x14ac:dyDescent="0.25">
      <c r="B82" s="2" t="s">
        <v>1217</v>
      </c>
      <c r="C82" s="65">
        <v>0.33333333333333331</v>
      </c>
      <c r="D82" s="3">
        <f t="shared" si="13"/>
        <v>0.79999999999999982</v>
      </c>
      <c r="E82" s="10" t="s">
        <v>1214</v>
      </c>
      <c r="F82" s="40">
        <v>2</v>
      </c>
      <c r="G82" s="40">
        <v>2.5</v>
      </c>
      <c r="H82" s="40">
        <v>2</v>
      </c>
      <c r="I82" s="3">
        <f t="shared" si="15"/>
        <v>6.6666666666666652E-2</v>
      </c>
      <c r="J82" s="3">
        <f t="shared" si="16"/>
        <v>8.3333333333333315E-2</v>
      </c>
      <c r="K82" s="3">
        <f t="shared" si="17"/>
        <v>6.6666666666666652E-2</v>
      </c>
      <c r="L82" s="3"/>
      <c r="M82" s="60">
        <f t="shared" si="18"/>
        <v>187.26208333333329</v>
      </c>
      <c r="N82" s="40">
        <v>0</v>
      </c>
      <c r="O82" s="40">
        <v>0</v>
      </c>
      <c r="P82" s="40">
        <v>0</v>
      </c>
      <c r="Q82" s="40">
        <v>0</v>
      </c>
      <c r="R82" s="40">
        <v>0</v>
      </c>
      <c r="S82" s="40">
        <v>0</v>
      </c>
      <c r="T82" s="61">
        <f t="shared" si="14"/>
        <v>67.400000000000034</v>
      </c>
      <c r="U82" s="40">
        <v>0</v>
      </c>
      <c r="V82" s="40">
        <v>0</v>
      </c>
      <c r="W82" s="40">
        <v>3</v>
      </c>
      <c r="X82" s="40">
        <v>0</v>
      </c>
      <c r="Y82" s="67">
        <f t="shared" si="20"/>
        <v>235</v>
      </c>
      <c r="AA82" s="71"/>
      <c r="AB82" s="71"/>
      <c r="AC82" s="67" t="str">
        <f t="shared" si="19"/>
        <v/>
      </c>
      <c r="AE82" s="124"/>
      <c r="AF82" s="124"/>
      <c r="AG82" s="121"/>
      <c r="AH82" s="121"/>
      <c r="AI82" s="124"/>
      <c r="AJ82" s="124"/>
    </row>
    <row r="83" spans="2:36" x14ac:dyDescent="0.25">
      <c r="B83" s="2" t="s">
        <v>1217</v>
      </c>
      <c r="C83" s="7">
        <v>0.4375</v>
      </c>
      <c r="D83" s="3">
        <f t="shared" si="13"/>
        <v>2.5000000000000004</v>
      </c>
      <c r="E83" s="10" t="s">
        <v>616</v>
      </c>
      <c r="F83" s="40">
        <v>2</v>
      </c>
      <c r="G83" s="40">
        <v>2.5</v>
      </c>
      <c r="H83" s="40">
        <v>2</v>
      </c>
      <c r="I83" s="3">
        <f t="shared" si="15"/>
        <v>0.20833333333333337</v>
      </c>
      <c r="J83" s="3">
        <f t="shared" si="16"/>
        <v>0.26041666666666674</v>
      </c>
      <c r="K83" s="3">
        <f t="shared" si="17"/>
        <v>0.20833333333333337</v>
      </c>
      <c r="L83" s="3"/>
      <c r="M83" s="60">
        <f t="shared" si="18"/>
        <v>186.58499999999995</v>
      </c>
      <c r="N83" s="40">
        <v>0</v>
      </c>
      <c r="O83" s="40">
        <v>0</v>
      </c>
      <c r="P83" s="40">
        <v>0</v>
      </c>
      <c r="Q83" s="40">
        <v>0</v>
      </c>
      <c r="R83" s="40">
        <v>0</v>
      </c>
      <c r="S83" s="40">
        <v>0</v>
      </c>
      <c r="T83" s="61">
        <f t="shared" si="14"/>
        <v>67.400000000000034</v>
      </c>
      <c r="U83" s="40">
        <v>0</v>
      </c>
      <c r="V83" s="40">
        <v>0</v>
      </c>
      <c r="W83" s="40">
        <v>0</v>
      </c>
      <c r="X83" s="40">
        <v>0</v>
      </c>
      <c r="Y83" s="67">
        <f t="shared" si="20"/>
        <v>235</v>
      </c>
      <c r="AA83" s="71"/>
      <c r="AB83" s="71"/>
      <c r="AC83" s="67" t="str">
        <f t="shared" si="19"/>
        <v/>
      </c>
      <c r="AE83" s="124"/>
      <c r="AF83" s="124"/>
      <c r="AG83" s="121"/>
      <c r="AH83" s="121"/>
      <c r="AI83" s="124"/>
      <c r="AJ83" s="124"/>
    </row>
    <row r="84" spans="2:36" x14ac:dyDescent="0.25">
      <c r="B84" s="2" t="s">
        <v>1217</v>
      </c>
      <c r="C84" s="7">
        <v>0.97499999999999998</v>
      </c>
      <c r="D84" s="3">
        <f t="shared" si="13"/>
        <v>12.899999999999999</v>
      </c>
      <c r="E84" s="10" t="s">
        <v>1142</v>
      </c>
      <c r="F84" s="40">
        <v>0</v>
      </c>
      <c r="G84" s="40">
        <v>2.5</v>
      </c>
      <c r="H84" s="40">
        <v>2</v>
      </c>
      <c r="I84" s="3">
        <f t="shared" si="15"/>
        <v>0</v>
      </c>
      <c r="J84" s="3">
        <f t="shared" si="16"/>
        <v>1.34375</v>
      </c>
      <c r="K84" s="3">
        <f t="shared" si="17"/>
        <v>1.0749999999999997</v>
      </c>
      <c r="L84" s="3"/>
      <c r="M84" s="60">
        <f t="shared" si="18"/>
        <v>184.16624999999996</v>
      </c>
      <c r="N84" s="40">
        <v>0</v>
      </c>
      <c r="O84" s="40">
        <v>0</v>
      </c>
      <c r="P84" s="40">
        <v>0</v>
      </c>
      <c r="Q84" s="40">
        <v>0</v>
      </c>
      <c r="R84" s="40">
        <v>2.1</v>
      </c>
      <c r="S84" s="40">
        <v>0</v>
      </c>
      <c r="T84" s="61">
        <f t="shared" si="14"/>
        <v>65.30000000000004</v>
      </c>
      <c r="U84" s="40">
        <v>0</v>
      </c>
      <c r="V84" s="40">
        <v>0</v>
      </c>
      <c r="W84" s="40">
        <v>3</v>
      </c>
      <c r="X84" s="40">
        <v>0</v>
      </c>
      <c r="Y84" s="67">
        <f t="shared" si="20"/>
        <v>232</v>
      </c>
      <c r="AA84" s="71"/>
      <c r="AB84" s="71"/>
      <c r="AC84" s="67" t="str">
        <f t="shared" si="19"/>
        <v/>
      </c>
      <c r="AE84" s="124"/>
      <c r="AF84" s="124"/>
      <c r="AG84" s="121"/>
      <c r="AH84" s="121"/>
      <c r="AI84" s="124"/>
      <c r="AJ84" s="124"/>
    </row>
    <row r="85" spans="2:36" x14ac:dyDescent="0.25">
      <c r="B85" s="2" t="s">
        <v>1218</v>
      </c>
      <c r="C85" s="7">
        <v>0.11666666666666665</v>
      </c>
      <c r="D85" s="3">
        <f t="shared" ref="D85:D149" si="21">+IF((C85-C84)&lt;0,((C85-C84)*24)+24,(C85-C84)*24)</f>
        <v>3.4000000000000021</v>
      </c>
      <c r="E85" s="10" t="s">
        <v>1011</v>
      </c>
      <c r="F85" s="40">
        <v>0</v>
      </c>
      <c r="G85" s="40">
        <v>2.5</v>
      </c>
      <c r="H85" s="40">
        <v>2</v>
      </c>
      <c r="I85" s="3">
        <f t="shared" si="15"/>
        <v>0</v>
      </c>
      <c r="J85" s="3">
        <f t="shared" si="16"/>
        <v>0.35416666666666691</v>
      </c>
      <c r="K85" s="3">
        <f t="shared" si="17"/>
        <v>0.28333333333333349</v>
      </c>
      <c r="L85" s="3"/>
      <c r="M85" s="60">
        <f t="shared" si="18"/>
        <v>183.52874999999997</v>
      </c>
      <c r="N85" s="40">
        <v>0</v>
      </c>
      <c r="O85" s="40">
        <v>0</v>
      </c>
      <c r="P85" s="40">
        <v>0</v>
      </c>
      <c r="Q85" s="40">
        <v>0</v>
      </c>
      <c r="R85" s="40">
        <v>0</v>
      </c>
      <c r="S85" s="40">
        <v>0</v>
      </c>
      <c r="T85" s="61">
        <f t="shared" si="14"/>
        <v>65.30000000000004</v>
      </c>
      <c r="U85" s="40">
        <v>0</v>
      </c>
      <c r="V85" s="40">
        <v>0</v>
      </c>
      <c r="W85" s="40">
        <v>0</v>
      </c>
      <c r="X85" s="40">
        <v>0</v>
      </c>
      <c r="Y85" s="67">
        <f t="shared" si="20"/>
        <v>232</v>
      </c>
      <c r="AA85" s="71"/>
      <c r="AB85" s="71"/>
      <c r="AC85" s="67" t="str">
        <f t="shared" si="19"/>
        <v/>
      </c>
      <c r="AE85" s="124"/>
      <c r="AF85" s="124"/>
      <c r="AG85" s="121"/>
      <c r="AH85" s="121"/>
      <c r="AI85" s="124"/>
      <c r="AJ85" s="124"/>
    </row>
    <row r="86" spans="2:36" x14ac:dyDescent="0.25">
      <c r="B86" s="2" t="s">
        <v>1218</v>
      </c>
      <c r="C86" s="7">
        <v>0.15416666666666667</v>
      </c>
      <c r="D86" s="3">
        <f t="shared" si="21"/>
        <v>0.90000000000000047</v>
      </c>
      <c r="E86" s="10" t="s">
        <v>1026</v>
      </c>
      <c r="F86" s="40">
        <v>5</v>
      </c>
      <c r="G86" s="40">
        <v>2.5</v>
      </c>
      <c r="H86" s="40">
        <v>2</v>
      </c>
      <c r="I86" s="3">
        <f t="shared" si="15"/>
        <v>0.18750000000000011</v>
      </c>
      <c r="J86" s="3">
        <f t="shared" si="16"/>
        <v>9.3750000000000056E-2</v>
      </c>
      <c r="K86" s="3">
        <f t="shared" si="17"/>
        <v>7.5000000000000039E-2</v>
      </c>
      <c r="L86" s="3"/>
      <c r="M86" s="60">
        <f t="shared" si="18"/>
        <v>183.17249999999999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61">
        <f t="shared" si="14"/>
        <v>65.30000000000004</v>
      </c>
      <c r="U86" s="40">
        <v>0</v>
      </c>
      <c r="V86" s="40">
        <v>0</v>
      </c>
      <c r="W86" s="40">
        <v>0</v>
      </c>
      <c r="X86" s="40">
        <v>0</v>
      </c>
      <c r="Y86" s="67">
        <f t="shared" si="20"/>
        <v>232</v>
      </c>
      <c r="AA86" s="71"/>
      <c r="AB86" s="71"/>
      <c r="AC86" s="67" t="str">
        <f t="shared" si="19"/>
        <v/>
      </c>
      <c r="AE86" s="124"/>
      <c r="AF86" s="124"/>
      <c r="AG86" s="121"/>
      <c r="AH86" s="121"/>
      <c r="AI86" s="124"/>
      <c r="AJ86" s="124"/>
    </row>
    <row r="87" spans="2:36" x14ac:dyDescent="0.25">
      <c r="B87" s="2" t="s">
        <v>1218</v>
      </c>
      <c r="C87" s="65">
        <v>0.33333333333333331</v>
      </c>
      <c r="D87" s="3">
        <f t="shared" si="21"/>
        <v>4.2999999999999989</v>
      </c>
      <c r="E87" s="10" t="s">
        <v>355</v>
      </c>
      <c r="F87" s="40">
        <v>22</v>
      </c>
      <c r="G87" s="40">
        <v>2.5</v>
      </c>
      <c r="H87" s="40">
        <v>0</v>
      </c>
      <c r="I87" s="3">
        <f t="shared" si="15"/>
        <v>3.9416666666666655</v>
      </c>
      <c r="J87" s="3">
        <f t="shared" si="16"/>
        <v>0.44791666666666657</v>
      </c>
      <c r="K87" s="3">
        <f t="shared" si="17"/>
        <v>0</v>
      </c>
      <c r="L87" s="3"/>
      <c r="M87" s="60">
        <f t="shared" si="18"/>
        <v>178.78291666666667</v>
      </c>
      <c r="N87" s="40">
        <v>0</v>
      </c>
      <c r="O87" s="40">
        <v>0</v>
      </c>
      <c r="P87" s="40">
        <v>0</v>
      </c>
      <c r="Q87" s="40">
        <v>0</v>
      </c>
      <c r="R87" s="40">
        <v>0</v>
      </c>
      <c r="S87" s="40">
        <v>0</v>
      </c>
      <c r="T87" s="61">
        <f t="shared" si="14"/>
        <v>65.30000000000004</v>
      </c>
      <c r="U87" s="40">
        <v>0</v>
      </c>
      <c r="V87" s="40">
        <v>0</v>
      </c>
      <c r="W87" s="40">
        <v>3</v>
      </c>
      <c r="X87" s="40">
        <v>0</v>
      </c>
      <c r="Y87" s="67">
        <f t="shared" si="20"/>
        <v>229</v>
      </c>
      <c r="AA87" s="71">
        <v>102</v>
      </c>
      <c r="AB87" s="71">
        <v>33</v>
      </c>
      <c r="AC87" s="67">
        <f t="shared" si="19"/>
        <v>135</v>
      </c>
      <c r="AE87" s="124"/>
      <c r="AF87" s="124"/>
      <c r="AG87" s="121"/>
      <c r="AH87" s="121"/>
      <c r="AI87" s="124"/>
      <c r="AJ87" s="124"/>
    </row>
    <row r="88" spans="2:36" x14ac:dyDescent="0.25">
      <c r="B88" s="2" t="s">
        <v>1218</v>
      </c>
      <c r="C88" s="7">
        <v>0.85416666666666663</v>
      </c>
      <c r="D88" s="3">
        <f t="shared" si="21"/>
        <v>12.499999999999998</v>
      </c>
      <c r="E88" s="10" t="s">
        <v>201</v>
      </c>
      <c r="F88" s="40">
        <v>22</v>
      </c>
      <c r="G88" s="40">
        <v>2.5</v>
      </c>
      <c r="H88" s="40">
        <v>0</v>
      </c>
      <c r="I88" s="3">
        <f t="shared" si="15"/>
        <v>11.45833333333333</v>
      </c>
      <c r="J88" s="3">
        <f t="shared" si="16"/>
        <v>1.3020833333333333</v>
      </c>
      <c r="K88" s="3">
        <f t="shared" si="17"/>
        <v>0</v>
      </c>
      <c r="L88" s="3"/>
      <c r="M88" s="60">
        <f t="shared" si="18"/>
        <v>166.02250000000001</v>
      </c>
      <c r="N88" s="40">
        <v>0</v>
      </c>
      <c r="O88" s="40">
        <v>0</v>
      </c>
      <c r="P88" s="40">
        <v>0</v>
      </c>
      <c r="Q88" s="40">
        <v>0</v>
      </c>
      <c r="R88" s="40">
        <v>0</v>
      </c>
      <c r="S88" s="40">
        <v>0</v>
      </c>
      <c r="T88" s="61">
        <f t="shared" si="14"/>
        <v>65.30000000000004</v>
      </c>
      <c r="U88" s="40">
        <v>0</v>
      </c>
      <c r="V88" s="40">
        <v>0</v>
      </c>
      <c r="W88" s="40">
        <v>1</v>
      </c>
      <c r="X88" s="40">
        <v>0</v>
      </c>
      <c r="Y88" s="67">
        <f t="shared" si="20"/>
        <v>228</v>
      </c>
      <c r="AA88" s="71"/>
      <c r="AB88" s="71"/>
      <c r="AC88" s="67" t="str">
        <f t="shared" si="19"/>
        <v/>
      </c>
      <c r="AE88" s="124">
        <v>11.3</v>
      </c>
      <c r="AF88" s="124" t="s">
        <v>1296</v>
      </c>
      <c r="AG88" s="121"/>
      <c r="AH88" s="121"/>
      <c r="AI88" s="124"/>
      <c r="AJ88" s="124"/>
    </row>
    <row r="89" spans="2:36" x14ac:dyDescent="0.25">
      <c r="B89" s="2" t="s">
        <v>1218</v>
      </c>
      <c r="C89" s="7">
        <v>0.875</v>
      </c>
      <c r="D89" s="3">
        <f t="shared" si="21"/>
        <v>0.50000000000000089</v>
      </c>
      <c r="E89" s="10" t="s">
        <v>351</v>
      </c>
      <c r="F89" s="40">
        <v>5</v>
      </c>
      <c r="G89" s="40">
        <v>2.5</v>
      </c>
      <c r="H89" s="40">
        <v>2</v>
      </c>
      <c r="I89" s="3">
        <f t="shared" si="15"/>
        <v>0.10416666666666685</v>
      </c>
      <c r="J89" s="3">
        <f t="shared" si="16"/>
        <v>5.2083333333333426E-2</v>
      </c>
      <c r="K89" s="3">
        <f t="shared" si="17"/>
        <v>4.1666666666666741E-2</v>
      </c>
      <c r="L89" s="3"/>
      <c r="M89" s="60">
        <f t="shared" si="18"/>
        <v>165.82458333333335</v>
      </c>
      <c r="N89" s="40">
        <v>0</v>
      </c>
      <c r="O89" s="40">
        <v>0</v>
      </c>
      <c r="P89" s="40">
        <v>0</v>
      </c>
      <c r="Q89" s="40">
        <v>0</v>
      </c>
      <c r="R89" s="40">
        <v>0</v>
      </c>
      <c r="S89" s="40">
        <v>0</v>
      </c>
      <c r="T89" s="61">
        <f t="shared" si="14"/>
        <v>65.30000000000004</v>
      </c>
      <c r="U89" s="40">
        <v>0</v>
      </c>
      <c r="V89" s="40">
        <v>0</v>
      </c>
      <c r="W89" s="40">
        <v>0</v>
      </c>
      <c r="X89" s="40">
        <v>0</v>
      </c>
      <c r="Y89" s="67">
        <f t="shared" si="20"/>
        <v>228</v>
      </c>
      <c r="AA89" s="71"/>
      <c r="AB89" s="71"/>
      <c r="AC89" s="67" t="str">
        <f t="shared" si="19"/>
        <v/>
      </c>
      <c r="AE89" s="124"/>
      <c r="AF89" s="124"/>
      <c r="AG89" s="121"/>
      <c r="AH89" s="121"/>
      <c r="AI89" s="124"/>
      <c r="AJ89" s="124"/>
    </row>
    <row r="90" spans="2:36" x14ac:dyDescent="0.25">
      <c r="B90" s="2" t="s">
        <v>1218</v>
      </c>
      <c r="C90" s="7">
        <v>0.93333333333333324</v>
      </c>
      <c r="D90" s="3">
        <f t="shared" si="21"/>
        <v>1.3999999999999977</v>
      </c>
      <c r="E90" s="10" t="s">
        <v>1011</v>
      </c>
      <c r="F90" s="40">
        <v>0</v>
      </c>
      <c r="G90" s="40">
        <v>2.5</v>
      </c>
      <c r="H90" s="40">
        <v>2</v>
      </c>
      <c r="I90" s="3">
        <f t="shared" si="15"/>
        <v>0</v>
      </c>
      <c r="J90" s="3">
        <f t="shared" si="16"/>
        <v>0.14583333333333309</v>
      </c>
      <c r="K90" s="3">
        <f t="shared" si="17"/>
        <v>0.11666666666666647</v>
      </c>
      <c r="L90" s="3"/>
      <c r="M90" s="60">
        <f t="shared" si="18"/>
        <v>165.56208333333336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T90" s="61">
        <f t="shared" si="14"/>
        <v>65.30000000000004</v>
      </c>
      <c r="U90" s="40">
        <v>0</v>
      </c>
      <c r="V90" s="40">
        <v>0</v>
      </c>
      <c r="W90" s="40">
        <v>0</v>
      </c>
      <c r="X90" s="40">
        <v>0</v>
      </c>
      <c r="Y90" s="67">
        <f t="shared" si="20"/>
        <v>228</v>
      </c>
      <c r="AA90" s="71"/>
      <c r="AB90" s="71"/>
      <c r="AC90" s="67" t="str">
        <f t="shared" si="19"/>
        <v/>
      </c>
      <c r="AE90" s="124"/>
      <c r="AF90" s="124"/>
      <c r="AG90" s="121"/>
      <c r="AH90" s="121"/>
      <c r="AI90" s="124"/>
      <c r="AJ90" s="124"/>
    </row>
    <row r="91" spans="2:36" x14ac:dyDescent="0.25">
      <c r="B91" s="2" t="s">
        <v>1219</v>
      </c>
      <c r="C91" s="7">
        <v>2.0833333333333332E-2</v>
      </c>
      <c r="D91" s="3">
        <f t="shared" si="21"/>
        <v>2.1000000000000014</v>
      </c>
      <c r="E91" s="10" t="s">
        <v>616</v>
      </c>
      <c r="F91" s="40">
        <v>5</v>
      </c>
      <c r="G91" s="40">
        <v>2.5</v>
      </c>
      <c r="H91" s="40">
        <v>2</v>
      </c>
      <c r="I91" s="3">
        <f t="shared" si="15"/>
        <v>0.43750000000000033</v>
      </c>
      <c r="J91" s="3">
        <f t="shared" si="16"/>
        <v>0.21875000000000017</v>
      </c>
      <c r="K91" s="3">
        <f t="shared" si="17"/>
        <v>0.1750000000000001</v>
      </c>
      <c r="L91" s="3"/>
      <c r="M91" s="60">
        <f t="shared" si="18"/>
        <v>164.73083333333335</v>
      </c>
      <c r="N91" s="40">
        <v>0</v>
      </c>
      <c r="O91" s="40">
        <v>0</v>
      </c>
      <c r="P91" s="40">
        <v>0</v>
      </c>
      <c r="Q91" s="40">
        <v>0</v>
      </c>
      <c r="R91" s="40">
        <v>0</v>
      </c>
      <c r="S91" s="40">
        <v>0</v>
      </c>
      <c r="T91" s="61">
        <f t="shared" si="14"/>
        <v>65.30000000000004</v>
      </c>
      <c r="U91" s="40">
        <v>0</v>
      </c>
      <c r="V91" s="40">
        <v>0</v>
      </c>
      <c r="W91" s="40">
        <v>0</v>
      </c>
      <c r="X91" s="40">
        <v>0</v>
      </c>
      <c r="Y91" s="67">
        <f t="shared" si="20"/>
        <v>228</v>
      </c>
      <c r="AA91" s="71"/>
      <c r="AB91" s="71"/>
      <c r="AC91" s="67" t="str">
        <f t="shared" si="19"/>
        <v/>
      </c>
      <c r="AE91" s="124"/>
      <c r="AF91" s="124"/>
      <c r="AG91" s="121"/>
      <c r="AH91" s="121"/>
      <c r="AI91" s="124"/>
      <c r="AJ91" s="124"/>
    </row>
    <row r="92" spans="2:36" x14ac:dyDescent="0.25">
      <c r="B92" s="2" t="s">
        <v>1219</v>
      </c>
      <c r="C92" s="7">
        <v>0.23750000000000002</v>
      </c>
      <c r="D92" s="3">
        <f t="shared" si="21"/>
        <v>5.2</v>
      </c>
      <c r="E92" s="10" t="s">
        <v>1049</v>
      </c>
      <c r="F92" s="40">
        <v>0</v>
      </c>
      <c r="G92" s="40">
        <v>2.5</v>
      </c>
      <c r="H92" s="40">
        <v>2</v>
      </c>
      <c r="I92" s="3">
        <f t="shared" si="15"/>
        <v>0</v>
      </c>
      <c r="J92" s="3">
        <f t="shared" si="16"/>
        <v>0.54166666666666674</v>
      </c>
      <c r="K92" s="3">
        <f t="shared" si="17"/>
        <v>0.43333333333333335</v>
      </c>
      <c r="L92" s="3"/>
      <c r="M92" s="60">
        <f t="shared" si="18"/>
        <v>163.75583333333336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T92" s="61">
        <f t="shared" si="14"/>
        <v>65.30000000000004</v>
      </c>
      <c r="U92" s="40">
        <v>0</v>
      </c>
      <c r="V92" s="40">
        <v>0</v>
      </c>
      <c r="W92" s="40">
        <v>0</v>
      </c>
      <c r="X92" s="40">
        <v>0</v>
      </c>
      <c r="Y92" s="67">
        <f t="shared" si="20"/>
        <v>228</v>
      </c>
      <c r="AA92" s="71"/>
      <c r="AB92" s="71"/>
      <c r="AC92" s="67" t="str">
        <f t="shared" si="19"/>
        <v/>
      </c>
      <c r="AE92" s="124"/>
      <c r="AF92" s="124"/>
      <c r="AG92" s="121"/>
      <c r="AH92" s="121"/>
      <c r="AI92" s="124"/>
      <c r="AJ92" s="124"/>
    </row>
    <row r="93" spans="2:36" x14ac:dyDescent="0.25">
      <c r="B93" s="2" t="s">
        <v>1219</v>
      </c>
      <c r="C93" s="65">
        <v>0.33333333333333331</v>
      </c>
      <c r="D93" s="3">
        <f t="shared" si="21"/>
        <v>2.2999999999999989</v>
      </c>
      <c r="E93" s="10" t="s">
        <v>1051</v>
      </c>
      <c r="F93" s="40">
        <v>0</v>
      </c>
      <c r="G93" s="40">
        <v>2.5</v>
      </c>
      <c r="H93" s="40">
        <v>2</v>
      </c>
      <c r="I93" s="3">
        <f t="shared" si="15"/>
        <v>0</v>
      </c>
      <c r="J93" s="3">
        <f t="shared" si="16"/>
        <v>0.23958333333333323</v>
      </c>
      <c r="K93" s="3">
        <f t="shared" si="17"/>
        <v>0.19166666666666657</v>
      </c>
      <c r="L93" s="3"/>
      <c r="M93" s="60">
        <f t="shared" si="18"/>
        <v>163.32458333333335</v>
      </c>
      <c r="N93" s="40">
        <v>0</v>
      </c>
      <c r="O93" s="40">
        <v>0</v>
      </c>
      <c r="P93" s="40">
        <v>0</v>
      </c>
      <c r="Q93" s="40">
        <v>0</v>
      </c>
      <c r="R93" s="40">
        <v>0</v>
      </c>
      <c r="S93" s="40">
        <v>0</v>
      </c>
      <c r="T93" s="61">
        <f t="shared" si="14"/>
        <v>65.30000000000004</v>
      </c>
      <c r="U93" s="40">
        <v>0</v>
      </c>
      <c r="V93" s="40">
        <v>0</v>
      </c>
      <c r="W93" s="40">
        <v>5</v>
      </c>
      <c r="X93" s="40">
        <v>0</v>
      </c>
      <c r="Y93" s="67">
        <f t="shared" si="20"/>
        <v>223</v>
      </c>
      <c r="AA93" s="71"/>
      <c r="AB93" s="71"/>
      <c r="AC93" s="67" t="str">
        <f t="shared" si="19"/>
        <v/>
      </c>
      <c r="AE93" s="124"/>
      <c r="AF93" s="124"/>
      <c r="AG93" s="121"/>
      <c r="AH93" s="121"/>
      <c r="AI93" s="124"/>
      <c r="AJ93" s="124"/>
    </row>
    <row r="94" spans="2:36" x14ac:dyDescent="0.25">
      <c r="B94" s="2" t="s">
        <v>1220</v>
      </c>
      <c r="C94" s="65">
        <v>0.33333333333333331</v>
      </c>
      <c r="D94" s="3">
        <v>24</v>
      </c>
      <c r="E94" s="10" t="s">
        <v>1051</v>
      </c>
      <c r="F94" s="40">
        <v>0</v>
      </c>
      <c r="G94" s="40">
        <v>2.5</v>
      </c>
      <c r="H94" s="40">
        <v>2</v>
      </c>
      <c r="I94" s="3">
        <f t="shared" si="15"/>
        <v>0</v>
      </c>
      <c r="J94" s="3">
        <f t="shared" si="16"/>
        <v>2.5</v>
      </c>
      <c r="K94" s="3">
        <f t="shared" si="17"/>
        <v>2</v>
      </c>
      <c r="L94" s="3"/>
      <c r="M94" s="60">
        <f t="shared" si="18"/>
        <v>158.82458333333335</v>
      </c>
      <c r="N94" s="40">
        <v>0</v>
      </c>
      <c r="O94" s="40">
        <v>0</v>
      </c>
      <c r="P94" s="40">
        <v>0</v>
      </c>
      <c r="Q94" s="40">
        <v>0</v>
      </c>
      <c r="R94" s="40">
        <v>0</v>
      </c>
      <c r="S94" s="40">
        <v>0</v>
      </c>
      <c r="T94" s="61">
        <f t="shared" si="14"/>
        <v>65.30000000000004</v>
      </c>
      <c r="U94" s="40">
        <v>0</v>
      </c>
      <c r="V94" s="40">
        <v>0</v>
      </c>
      <c r="W94" s="40">
        <v>6</v>
      </c>
      <c r="X94" s="40">
        <v>0</v>
      </c>
      <c r="Y94" s="67">
        <f t="shared" si="20"/>
        <v>217</v>
      </c>
      <c r="AA94" s="71"/>
      <c r="AB94" s="71"/>
      <c r="AC94" s="67" t="str">
        <f t="shared" si="19"/>
        <v/>
      </c>
      <c r="AE94" s="124"/>
      <c r="AF94" s="124"/>
      <c r="AG94" s="121"/>
      <c r="AH94" s="121"/>
      <c r="AI94" s="124"/>
      <c r="AJ94" s="124"/>
    </row>
    <row r="95" spans="2:36" x14ac:dyDescent="0.25">
      <c r="B95" s="2" t="s">
        <v>1220</v>
      </c>
      <c r="C95" s="7">
        <v>0.82500000000000007</v>
      </c>
      <c r="D95" s="3">
        <f t="shared" si="21"/>
        <v>11.800000000000002</v>
      </c>
      <c r="E95" s="10" t="s">
        <v>120</v>
      </c>
      <c r="F95" s="40">
        <v>0</v>
      </c>
      <c r="G95" s="40">
        <v>2.5</v>
      </c>
      <c r="H95" s="40">
        <v>2</v>
      </c>
      <c r="I95" s="3">
        <f t="shared" si="15"/>
        <v>0</v>
      </c>
      <c r="J95" s="3">
        <f t="shared" si="16"/>
        <v>1.229166666666667</v>
      </c>
      <c r="K95" s="3">
        <f t="shared" si="17"/>
        <v>0.9833333333333335</v>
      </c>
      <c r="L95" s="3"/>
      <c r="M95" s="60">
        <f t="shared" si="18"/>
        <v>156.61208333333335</v>
      </c>
      <c r="N95" s="40">
        <v>0</v>
      </c>
      <c r="O95" s="40">
        <v>0</v>
      </c>
      <c r="P95" s="40">
        <v>0</v>
      </c>
      <c r="Q95" s="40">
        <v>0</v>
      </c>
      <c r="R95" s="40">
        <v>0</v>
      </c>
      <c r="S95" s="40">
        <v>0</v>
      </c>
      <c r="T95" s="61">
        <f t="shared" si="14"/>
        <v>65.30000000000004</v>
      </c>
      <c r="U95" s="40">
        <v>0</v>
      </c>
      <c r="V95" s="40">
        <v>0</v>
      </c>
      <c r="W95" s="40">
        <v>4</v>
      </c>
      <c r="X95" s="40">
        <v>0</v>
      </c>
      <c r="Y95" s="67">
        <f t="shared" si="20"/>
        <v>213</v>
      </c>
      <c r="AA95" s="71"/>
      <c r="AB95" s="71"/>
      <c r="AC95" s="67" t="str">
        <f t="shared" si="19"/>
        <v/>
      </c>
      <c r="AE95" s="124"/>
      <c r="AF95" s="124"/>
      <c r="AG95" s="121"/>
      <c r="AH95" s="121"/>
      <c r="AI95" s="124"/>
      <c r="AJ95" s="124"/>
    </row>
    <row r="96" spans="2:36" x14ac:dyDescent="0.25">
      <c r="B96" s="2" t="s">
        <v>1221</v>
      </c>
      <c r="C96" s="7">
        <v>0.14166666666666666</v>
      </c>
      <c r="D96" s="3">
        <f t="shared" si="21"/>
        <v>7.6000000000000014</v>
      </c>
      <c r="E96" s="10" t="s">
        <v>1011</v>
      </c>
      <c r="F96" s="40">
        <v>0</v>
      </c>
      <c r="G96" s="40">
        <v>2.5</v>
      </c>
      <c r="H96" s="40">
        <v>2</v>
      </c>
      <c r="I96" s="3">
        <f t="shared" si="15"/>
        <v>0</v>
      </c>
      <c r="J96" s="3">
        <f t="shared" si="16"/>
        <v>0.79166666666666685</v>
      </c>
      <c r="K96" s="3">
        <f t="shared" si="17"/>
        <v>0.63333333333333341</v>
      </c>
      <c r="L96" s="3"/>
      <c r="M96" s="60">
        <f t="shared" si="18"/>
        <v>155.18708333333333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61">
        <f t="shared" si="14"/>
        <v>65.30000000000004</v>
      </c>
      <c r="U96" s="40">
        <v>0</v>
      </c>
      <c r="V96" s="40">
        <v>0</v>
      </c>
      <c r="W96" s="40">
        <v>0</v>
      </c>
      <c r="X96" s="40">
        <v>0</v>
      </c>
      <c r="Y96" s="67">
        <f t="shared" si="20"/>
        <v>213</v>
      </c>
      <c r="AA96" s="71"/>
      <c r="AB96" s="71"/>
      <c r="AC96" s="67" t="str">
        <f t="shared" si="19"/>
        <v/>
      </c>
      <c r="AE96" s="124"/>
      <c r="AF96" s="124"/>
      <c r="AG96" s="121"/>
      <c r="AH96" s="121"/>
      <c r="AI96" s="124"/>
      <c r="AJ96" s="124"/>
    </row>
    <row r="97" spans="2:36" x14ac:dyDescent="0.25">
      <c r="B97" s="2" t="s">
        <v>1221</v>
      </c>
      <c r="C97" s="7">
        <v>0.19166666666666665</v>
      </c>
      <c r="D97" s="3">
        <f t="shared" si="21"/>
        <v>1.1999999999999997</v>
      </c>
      <c r="E97" s="10" t="s">
        <v>616</v>
      </c>
      <c r="F97" s="40">
        <v>5</v>
      </c>
      <c r="G97" s="40">
        <v>2.5</v>
      </c>
      <c r="H97" s="40">
        <v>2</v>
      </c>
      <c r="I97" s="3">
        <f t="shared" si="15"/>
        <v>0.24999999999999994</v>
      </c>
      <c r="J97" s="3">
        <f t="shared" si="16"/>
        <v>0.12499999999999997</v>
      </c>
      <c r="K97" s="3">
        <f t="shared" si="17"/>
        <v>9.9999999999999978E-2</v>
      </c>
      <c r="L97" s="3"/>
      <c r="M97" s="60">
        <f t="shared" si="18"/>
        <v>154.71208333333334</v>
      </c>
      <c r="N97" s="40">
        <v>0</v>
      </c>
      <c r="O97" s="40">
        <v>0</v>
      </c>
      <c r="P97" s="40">
        <v>0</v>
      </c>
      <c r="Q97" s="40">
        <v>0</v>
      </c>
      <c r="R97" s="40">
        <v>0</v>
      </c>
      <c r="S97" s="40">
        <v>0</v>
      </c>
      <c r="T97" s="61">
        <f t="shared" si="14"/>
        <v>65.30000000000004</v>
      </c>
      <c r="U97" s="40">
        <v>0</v>
      </c>
      <c r="V97" s="40">
        <v>0</v>
      </c>
      <c r="W97" s="40">
        <v>0</v>
      </c>
      <c r="X97" s="40">
        <v>0</v>
      </c>
      <c r="Y97" s="67">
        <f t="shared" si="20"/>
        <v>213</v>
      </c>
      <c r="AA97" s="71"/>
      <c r="AB97" s="71"/>
      <c r="AC97" s="67" t="str">
        <f t="shared" si="19"/>
        <v/>
      </c>
      <c r="AE97" s="124"/>
      <c r="AF97" s="124"/>
      <c r="AG97" s="121"/>
      <c r="AH97" s="121"/>
      <c r="AI97" s="124"/>
      <c r="AJ97" s="124"/>
    </row>
    <row r="98" spans="2:36" x14ac:dyDescent="0.25">
      <c r="B98" s="2" t="s">
        <v>1221</v>
      </c>
      <c r="C98" s="7">
        <v>0.29166666666666669</v>
      </c>
      <c r="D98" s="3">
        <f t="shared" si="21"/>
        <v>2.4000000000000008</v>
      </c>
      <c r="E98" s="10" t="s">
        <v>1011</v>
      </c>
      <c r="F98" s="40">
        <v>0</v>
      </c>
      <c r="G98" s="40">
        <v>2.5</v>
      </c>
      <c r="H98" s="40">
        <v>2</v>
      </c>
      <c r="I98" s="3">
        <f t="shared" si="15"/>
        <v>0</v>
      </c>
      <c r="J98" s="3">
        <f t="shared" si="16"/>
        <v>0.25000000000000011</v>
      </c>
      <c r="K98" s="3">
        <f t="shared" si="17"/>
        <v>0.20000000000000007</v>
      </c>
      <c r="L98" s="3"/>
      <c r="M98" s="60">
        <f t="shared" si="18"/>
        <v>154.26208333333335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T98" s="61">
        <f t="shared" si="14"/>
        <v>65.30000000000004</v>
      </c>
      <c r="U98" s="40">
        <v>0</v>
      </c>
      <c r="V98" s="40">
        <v>0</v>
      </c>
      <c r="W98" s="40">
        <v>0</v>
      </c>
      <c r="X98" s="40">
        <v>0</v>
      </c>
      <c r="Y98" s="67">
        <f t="shared" si="20"/>
        <v>213</v>
      </c>
      <c r="AA98" s="71"/>
      <c r="AB98" s="71"/>
      <c r="AC98" s="67" t="str">
        <f t="shared" si="19"/>
        <v/>
      </c>
      <c r="AE98" s="124"/>
      <c r="AF98" s="124"/>
      <c r="AG98" s="121"/>
      <c r="AH98" s="121"/>
      <c r="AI98" s="124"/>
      <c r="AJ98" s="124"/>
    </row>
    <row r="99" spans="2:36" x14ac:dyDescent="0.25">
      <c r="B99" s="2" t="s">
        <v>1221</v>
      </c>
      <c r="C99" s="7">
        <v>0.3</v>
      </c>
      <c r="D99" s="3">
        <f t="shared" si="21"/>
        <v>0.19999999999999929</v>
      </c>
      <c r="E99" s="10" t="s">
        <v>1026</v>
      </c>
      <c r="F99" s="40">
        <v>10</v>
      </c>
      <c r="G99" s="40">
        <v>2.5</v>
      </c>
      <c r="H99" s="40">
        <v>2</v>
      </c>
      <c r="I99" s="3">
        <f t="shared" si="15"/>
        <v>8.3333333333333037E-2</v>
      </c>
      <c r="J99" s="3">
        <f t="shared" si="16"/>
        <v>2.0833333333333259E-2</v>
      </c>
      <c r="K99" s="3">
        <f t="shared" si="17"/>
        <v>1.6666666666666607E-2</v>
      </c>
      <c r="L99" s="3"/>
      <c r="M99" s="60">
        <f t="shared" si="18"/>
        <v>154.14125000000001</v>
      </c>
      <c r="N99" s="40">
        <v>0</v>
      </c>
      <c r="O99" s="40">
        <v>0</v>
      </c>
      <c r="P99" s="40">
        <v>0</v>
      </c>
      <c r="Q99" s="40">
        <v>0</v>
      </c>
      <c r="R99" s="40">
        <v>0</v>
      </c>
      <c r="S99" s="40">
        <v>0</v>
      </c>
      <c r="T99" s="61">
        <f t="shared" si="14"/>
        <v>65.30000000000004</v>
      </c>
      <c r="U99" s="40">
        <v>0</v>
      </c>
      <c r="V99" s="40">
        <v>0</v>
      </c>
      <c r="W99" s="40">
        <v>2</v>
      </c>
      <c r="X99" s="40">
        <v>0</v>
      </c>
      <c r="Y99" s="67">
        <f t="shared" si="20"/>
        <v>211</v>
      </c>
      <c r="AA99" s="71"/>
      <c r="AB99" s="71"/>
      <c r="AC99" s="67" t="str">
        <f t="shared" si="19"/>
        <v/>
      </c>
      <c r="AE99" s="124"/>
      <c r="AF99" s="124"/>
      <c r="AG99" s="121"/>
      <c r="AH99" s="121"/>
      <c r="AI99" s="124"/>
      <c r="AJ99" s="124"/>
    </row>
    <row r="100" spans="2:36" x14ac:dyDescent="0.25">
      <c r="B100" s="2" t="s">
        <v>1221</v>
      </c>
      <c r="C100" s="65">
        <v>0.33333333333333331</v>
      </c>
      <c r="D100" s="3">
        <f t="shared" si="21"/>
        <v>0.79999999999999982</v>
      </c>
      <c r="E100" s="10" t="s">
        <v>355</v>
      </c>
      <c r="F100" s="40">
        <v>22</v>
      </c>
      <c r="G100" s="40">
        <v>2.5</v>
      </c>
      <c r="H100" s="40">
        <v>0</v>
      </c>
      <c r="I100" s="3">
        <f t="shared" si="15"/>
        <v>0.73333333333333317</v>
      </c>
      <c r="J100" s="3">
        <f t="shared" si="16"/>
        <v>8.3333333333333315E-2</v>
      </c>
      <c r="K100" s="3">
        <f t="shared" si="17"/>
        <v>0</v>
      </c>
      <c r="L100" s="3"/>
      <c r="M100" s="60">
        <f t="shared" si="18"/>
        <v>153.32458333333335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T100" s="61">
        <f t="shared" si="14"/>
        <v>65.30000000000004</v>
      </c>
      <c r="U100" s="40">
        <v>0</v>
      </c>
      <c r="V100" s="40">
        <v>0</v>
      </c>
      <c r="W100" s="40">
        <v>0</v>
      </c>
      <c r="X100" s="40">
        <v>0</v>
      </c>
      <c r="Y100" s="67">
        <f t="shared" si="20"/>
        <v>211</v>
      </c>
      <c r="AA100" s="71"/>
      <c r="AB100" s="71"/>
      <c r="AC100" s="67" t="str">
        <f t="shared" si="19"/>
        <v/>
      </c>
      <c r="AE100" s="124"/>
      <c r="AF100" s="124"/>
      <c r="AG100" s="121"/>
      <c r="AH100" s="121"/>
      <c r="AI100" s="124"/>
      <c r="AJ100" s="124"/>
    </row>
    <row r="101" spans="2:36" x14ac:dyDescent="0.25">
      <c r="B101" s="2" t="s">
        <v>1221</v>
      </c>
      <c r="C101" s="7">
        <v>0.63750000000000007</v>
      </c>
      <c r="D101" s="3">
        <f t="shared" si="21"/>
        <v>7.3000000000000025</v>
      </c>
      <c r="E101" s="10" t="s">
        <v>201</v>
      </c>
      <c r="F101" s="40">
        <v>22</v>
      </c>
      <c r="G101" s="40">
        <v>2.5</v>
      </c>
      <c r="H101" s="40">
        <v>0</v>
      </c>
      <c r="I101" s="3">
        <f t="shared" si="15"/>
        <v>6.6916666666666691</v>
      </c>
      <c r="J101" s="3">
        <f t="shared" si="16"/>
        <v>0.76041666666666696</v>
      </c>
      <c r="K101" s="3">
        <f t="shared" si="17"/>
        <v>0</v>
      </c>
      <c r="L101" s="3"/>
      <c r="M101" s="60">
        <f t="shared" si="18"/>
        <v>145.8725</v>
      </c>
      <c r="N101" s="40">
        <v>0</v>
      </c>
      <c r="O101" s="40">
        <v>0</v>
      </c>
      <c r="P101" s="40">
        <v>0</v>
      </c>
      <c r="Q101" s="40">
        <v>0</v>
      </c>
      <c r="R101" s="40">
        <v>0</v>
      </c>
      <c r="S101" s="40">
        <v>0</v>
      </c>
      <c r="T101" s="61">
        <f t="shared" si="14"/>
        <v>65.30000000000004</v>
      </c>
      <c r="U101" s="40">
        <v>0</v>
      </c>
      <c r="V101" s="40">
        <v>0</v>
      </c>
      <c r="W101" s="40">
        <v>2</v>
      </c>
      <c r="X101" s="40">
        <v>0</v>
      </c>
      <c r="Y101" s="67">
        <f t="shared" si="20"/>
        <v>209</v>
      </c>
      <c r="AA101" s="71"/>
      <c r="AB101" s="71"/>
      <c r="AC101" s="67" t="str">
        <f t="shared" si="19"/>
        <v/>
      </c>
      <c r="AE101" s="124">
        <v>10.199999999999999</v>
      </c>
      <c r="AF101" s="124" t="s">
        <v>1296</v>
      </c>
      <c r="AG101" s="121"/>
      <c r="AH101" s="121"/>
      <c r="AI101" s="124"/>
      <c r="AJ101" s="124"/>
    </row>
    <row r="102" spans="2:36" x14ac:dyDescent="0.25">
      <c r="B102" s="2" t="s">
        <v>1221</v>
      </c>
      <c r="C102" s="7">
        <v>0.71250000000000002</v>
      </c>
      <c r="D102" s="3">
        <f t="shared" si="21"/>
        <v>1.7999999999999989</v>
      </c>
      <c r="E102" s="10" t="s">
        <v>616</v>
      </c>
      <c r="F102" s="40">
        <v>3</v>
      </c>
      <c r="G102" s="40">
        <v>2.5</v>
      </c>
      <c r="H102" s="40">
        <v>2</v>
      </c>
      <c r="I102" s="3">
        <f t="shared" si="15"/>
        <v>0.22499999999999987</v>
      </c>
      <c r="J102" s="3">
        <f t="shared" si="16"/>
        <v>0.18749999999999989</v>
      </c>
      <c r="K102" s="3">
        <f t="shared" si="17"/>
        <v>0.14999999999999991</v>
      </c>
      <c r="L102" s="3"/>
      <c r="M102" s="60">
        <f t="shared" si="18"/>
        <v>145.31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T102" s="61">
        <f t="shared" si="14"/>
        <v>65.30000000000004</v>
      </c>
      <c r="U102" s="40">
        <v>0</v>
      </c>
      <c r="V102" s="40">
        <v>0</v>
      </c>
      <c r="W102" s="40">
        <v>0</v>
      </c>
      <c r="X102" s="40">
        <v>0</v>
      </c>
      <c r="Y102" s="67">
        <f t="shared" si="20"/>
        <v>209</v>
      </c>
      <c r="AA102" s="71"/>
      <c r="AB102" s="71"/>
      <c r="AC102" s="67" t="str">
        <f t="shared" si="19"/>
        <v/>
      </c>
      <c r="AE102" s="124"/>
      <c r="AF102" s="124"/>
      <c r="AG102" s="121"/>
      <c r="AH102" s="121"/>
      <c r="AI102" s="124"/>
      <c r="AJ102" s="124"/>
    </row>
    <row r="103" spans="2:36" x14ac:dyDescent="0.25">
      <c r="B103" s="2" t="s">
        <v>1221</v>
      </c>
      <c r="C103" s="7">
        <v>0.85416666666666663</v>
      </c>
      <c r="D103" s="3">
        <f t="shared" si="21"/>
        <v>3.3999999999999986</v>
      </c>
      <c r="E103" s="10" t="s">
        <v>1049</v>
      </c>
      <c r="F103" s="40">
        <v>0</v>
      </c>
      <c r="G103" s="40">
        <v>2.5</v>
      </c>
      <c r="H103" s="40">
        <v>2</v>
      </c>
      <c r="I103" s="3">
        <f t="shared" si="15"/>
        <v>0</v>
      </c>
      <c r="J103" s="3">
        <f t="shared" si="16"/>
        <v>0.35416666666666652</v>
      </c>
      <c r="K103" s="3">
        <f t="shared" si="17"/>
        <v>0.28333333333333321</v>
      </c>
      <c r="L103" s="3"/>
      <c r="M103" s="60">
        <f t="shared" si="18"/>
        <v>144.67250000000001</v>
      </c>
      <c r="N103" s="40">
        <v>0</v>
      </c>
      <c r="O103" s="40">
        <v>0</v>
      </c>
      <c r="P103" s="40">
        <v>0</v>
      </c>
      <c r="Q103" s="40">
        <v>0</v>
      </c>
      <c r="R103" s="40">
        <v>0</v>
      </c>
      <c r="S103" s="40">
        <v>0</v>
      </c>
      <c r="T103" s="61">
        <f t="shared" si="14"/>
        <v>65.30000000000004</v>
      </c>
      <c r="U103" s="40">
        <v>0</v>
      </c>
      <c r="V103" s="40">
        <v>0</v>
      </c>
      <c r="W103" s="40">
        <v>0</v>
      </c>
      <c r="X103" s="40">
        <v>0</v>
      </c>
      <c r="Y103" s="67">
        <f t="shared" si="20"/>
        <v>209</v>
      </c>
      <c r="AA103" s="71"/>
      <c r="AB103" s="71"/>
      <c r="AC103" s="67" t="str">
        <f t="shared" si="19"/>
        <v/>
      </c>
      <c r="AE103" s="124"/>
      <c r="AF103" s="124"/>
      <c r="AG103" s="121"/>
      <c r="AH103" s="121"/>
      <c r="AI103" s="124"/>
      <c r="AJ103" s="124"/>
    </row>
    <row r="104" spans="2:36" x14ac:dyDescent="0.25">
      <c r="B104" s="2" t="s">
        <v>1222</v>
      </c>
      <c r="C104" s="65">
        <v>0.33333333333333331</v>
      </c>
      <c r="D104" s="3">
        <f t="shared" si="21"/>
        <v>11.500000000000002</v>
      </c>
      <c r="E104" s="10" t="s">
        <v>1051</v>
      </c>
      <c r="F104" s="40">
        <v>0</v>
      </c>
      <c r="G104" s="40">
        <v>2.5</v>
      </c>
      <c r="H104" s="40">
        <v>2</v>
      </c>
      <c r="I104" s="3">
        <f t="shared" si="15"/>
        <v>0</v>
      </c>
      <c r="J104" s="3">
        <f t="shared" si="16"/>
        <v>1.197916666666667</v>
      </c>
      <c r="K104" s="3">
        <f t="shared" si="17"/>
        <v>0.95833333333333348</v>
      </c>
      <c r="L104" s="3"/>
      <c r="M104" s="60">
        <f t="shared" si="18"/>
        <v>142.51625000000001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T104" s="61">
        <f t="shared" si="14"/>
        <v>65.30000000000004</v>
      </c>
      <c r="U104" s="40">
        <v>0</v>
      </c>
      <c r="V104" s="40">
        <v>0</v>
      </c>
      <c r="W104" s="40">
        <v>4</v>
      </c>
      <c r="X104" s="40">
        <v>0</v>
      </c>
      <c r="Y104" s="67">
        <f t="shared" si="20"/>
        <v>205</v>
      </c>
      <c r="AA104" s="71"/>
      <c r="AB104" s="71"/>
      <c r="AC104" s="67" t="str">
        <f t="shared" si="19"/>
        <v/>
      </c>
      <c r="AE104" s="124"/>
      <c r="AF104" s="124"/>
      <c r="AG104" s="121"/>
      <c r="AH104" s="121"/>
      <c r="AI104" s="124"/>
      <c r="AJ104" s="124"/>
    </row>
    <row r="105" spans="2:36" x14ac:dyDescent="0.25">
      <c r="B105" s="2" t="s">
        <v>1223</v>
      </c>
      <c r="C105" s="65">
        <v>0.33333333333333331</v>
      </c>
      <c r="D105" s="3">
        <v>24</v>
      </c>
      <c r="E105" s="10" t="s">
        <v>1051</v>
      </c>
      <c r="F105" s="40">
        <v>0</v>
      </c>
      <c r="G105" s="40">
        <v>2.5</v>
      </c>
      <c r="H105" s="40">
        <v>2</v>
      </c>
      <c r="I105" s="3">
        <f t="shared" si="15"/>
        <v>0</v>
      </c>
      <c r="J105" s="3">
        <f t="shared" si="16"/>
        <v>2.5</v>
      </c>
      <c r="K105" s="3">
        <f t="shared" si="17"/>
        <v>2</v>
      </c>
      <c r="L105" s="3"/>
      <c r="M105" s="60">
        <f t="shared" si="18"/>
        <v>138.01625000000001</v>
      </c>
      <c r="N105" s="40">
        <v>0</v>
      </c>
      <c r="O105" s="40">
        <v>0</v>
      </c>
      <c r="P105" s="40">
        <v>0</v>
      </c>
      <c r="Q105" s="40">
        <v>0</v>
      </c>
      <c r="R105" s="40">
        <v>0</v>
      </c>
      <c r="S105" s="40">
        <v>0</v>
      </c>
      <c r="T105" s="61">
        <f t="shared" ref="T105:T108" si="22">IF(D105="","",(T104+S105)-(N105+O105+P105+Q105+R105))</f>
        <v>65.30000000000004</v>
      </c>
      <c r="U105" s="40">
        <v>0</v>
      </c>
      <c r="V105" s="40">
        <v>0</v>
      </c>
      <c r="W105" s="40">
        <v>6</v>
      </c>
      <c r="X105" s="40">
        <v>0</v>
      </c>
      <c r="Y105" s="67">
        <f t="shared" si="20"/>
        <v>199</v>
      </c>
      <c r="AA105" s="71"/>
      <c r="AB105" s="71"/>
      <c r="AC105" s="67" t="str">
        <f t="shared" si="19"/>
        <v/>
      </c>
      <c r="AE105" s="124"/>
      <c r="AF105" s="124"/>
      <c r="AG105" s="121"/>
      <c r="AH105" s="121"/>
      <c r="AI105" s="124"/>
      <c r="AJ105" s="124"/>
    </row>
    <row r="106" spans="2:36" x14ac:dyDescent="0.25">
      <c r="B106" s="2" t="s">
        <v>1223</v>
      </c>
      <c r="C106" s="7">
        <v>0.97916666666666663</v>
      </c>
      <c r="D106" s="3">
        <f t="shared" si="21"/>
        <v>15.499999999999998</v>
      </c>
      <c r="E106" s="10" t="s">
        <v>1142</v>
      </c>
      <c r="F106" s="40">
        <v>0</v>
      </c>
      <c r="G106" s="40">
        <v>2.5</v>
      </c>
      <c r="H106" s="40">
        <v>2</v>
      </c>
      <c r="I106" s="3">
        <f t="shared" si="15"/>
        <v>0</v>
      </c>
      <c r="J106" s="3">
        <f t="shared" si="16"/>
        <v>1.6145833333333333</v>
      </c>
      <c r="K106" s="3">
        <f t="shared" si="17"/>
        <v>1.2916666666666665</v>
      </c>
      <c r="L106" s="3"/>
      <c r="M106" s="60">
        <f t="shared" si="18"/>
        <v>135.11000000000001</v>
      </c>
      <c r="N106" s="40">
        <v>0</v>
      </c>
      <c r="O106" s="40">
        <v>0</v>
      </c>
      <c r="P106" s="40">
        <v>0</v>
      </c>
      <c r="Q106" s="40">
        <v>0</v>
      </c>
      <c r="R106" s="40">
        <v>1.9</v>
      </c>
      <c r="S106" s="40">
        <v>0</v>
      </c>
      <c r="T106" s="61">
        <f t="shared" si="22"/>
        <v>63.400000000000041</v>
      </c>
      <c r="U106" s="40">
        <v>0</v>
      </c>
      <c r="V106" s="40">
        <v>0</v>
      </c>
      <c r="W106" s="40">
        <v>3</v>
      </c>
      <c r="X106" s="40">
        <v>0</v>
      </c>
      <c r="Y106" s="67">
        <f t="shared" si="20"/>
        <v>196</v>
      </c>
      <c r="AA106" s="71"/>
      <c r="AB106" s="71"/>
      <c r="AC106" s="67" t="str">
        <f t="shared" si="19"/>
        <v/>
      </c>
      <c r="AE106" s="124"/>
      <c r="AF106" s="124"/>
      <c r="AG106" s="121"/>
      <c r="AH106" s="121"/>
      <c r="AI106" s="124"/>
      <c r="AJ106" s="124"/>
    </row>
    <row r="107" spans="2:36" x14ac:dyDescent="0.25">
      <c r="B107" s="2" t="s">
        <v>1224</v>
      </c>
      <c r="C107" s="7">
        <v>0.1125</v>
      </c>
      <c r="D107" s="3">
        <f t="shared" si="21"/>
        <v>3.2000000000000028</v>
      </c>
      <c r="E107" s="10" t="s">
        <v>1011</v>
      </c>
      <c r="F107" s="40">
        <v>0</v>
      </c>
      <c r="G107" s="40">
        <v>2.5</v>
      </c>
      <c r="H107" s="40">
        <v>2</v>
      </c>
      <c r="I107" s="3">
        <f t="shared" si="15"/>
        <v>0</v>
      </c>
      <c r="J107" s="3">
        <f t="shared" si="16"/>
        <v>0.33333333333333365</v>
      </c>
      <c r="K107" s="3">
        <f t="shared" si="17"/>
        <v>0.26666666666666689</v>
      </c>
      <c r="L107" s="3"/>
      <c r="M107" s="60">
        <f t="shared" si="18"/>
        <v>134.51000000000002</v>
      </c>
      <c r="N107" s="40">
        <v>0</v>
      </c>
      <c r="O107" s="40">
        <v>0</v>
      </c>
      <c r="P107" s="40">
        <v>0</v>
      </c>
      <c r="Q107" s="40">
        <v>0</v>
      </c>
      <c r="R107" s="40">
        <v>0</v>
      </c>
      <c r="S107" s="40">
        <v>0</v>
      </c>
      <c r="T107" s="61">
        <f t="shared" si="22"/>
        <v>63.400000000000041</v>
      </c>
      <c r="U107" s="40">
        <v>0</v>
      </c>
      <c r="V107" s="40">
        <v>0</v>
      </c>
      <c r="W107" s="40">
        <v>0</v>
      </c>
      <c r="X107" s="40">
        <v>0</v>
      </c>
      <c r="Y107" s="67">
        <f t="shared" si="20"/>
        <v>196</v>
      </c>
      <c r="AA107" s="71"/>
      <c r="AB107" s="71"/>
      <c r="AC107" s="67" t="str">
        <f t="shared" si="19"/>
        <v/>
      </c>
      <c r="AE107" s="124"/>
      <c r="AF107" s="124"/>
      <c r="AG107" s="121"/>
      <c r="AH107" s="121"/>
      <c r="AI107" s="124"/>
      <c r="AJ107" s="124"/>
    </row>
    <row r="108" spans="2:36" x14ac:dyDescent="0.25">
      <c r="B108" s="2" t="s">
        <v>1224</v>
      </c>
      <c r="C108" s="7">
        <v>0.13749999999999998</v>
      </c>
      <c r="D108" s="3">
        <f t="shared" si="21"/>
        <v>0.59999999999999953</v>
      </c>
      <c r="E108" s="10" t="s">
        <v>1026</v>
      </c>
      <c r="F108" s="40">
        <v>1</v>
      </c>
      <c r="G108" s="40">
        <v>2.5</v>
      </c>
      <c r="H108" s="40">
        <v>2</v>
      </c>
      <c r="I108" s="3">
        <f t="shared" si="15"/>
        <v>2.4999999999999981E-2</v>
      </c>
      <c r="J108" s="3">
        <f t="shared" si="16"/>
        <v>6.2499999999999951E-2</v>
      </c>
      <c r="K108" s="3">
        <f t="shared" si="17"/>
        <v>4.9999999999999961E-2</v>
      </c>
      <c r="L108" s="3"/>
      <c r="M108" s="60">
        <f t="shared" si="18"/>
        <v>134.37250000000003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T108" s="61">
        <f t="shared" si="22"/>
        <v>63.400000000000041</v>
      </c>
      <c r="U108" s="40">
        <v>0</v>
      </c>
      <c r="V108" s="40">
        <v>0</v>
      </c>
      <c r="W108" s="40">
        <v>0</v>
      </c>
      <c r="X108" s="40">
        <v>0</v>
      </c>
      <c r="Y108" s="67">
        <f t="shared" si="20"/>
        <v>196</v>
      </c>
      <c r="AA108" s="71"/>
      <c r="AB108" s="71"/>
      <c r="AC108" s="67" t="str">
        <f t="shared" si="19"/>
        <v/>
      </c>
      <c r="AE108" s="124"/>
      <c r="AF108" s="124"/>
      <c r="AG108" s="121"/>
      <c r="AH108" s="121"/>
      <c r="AI108" s="124"/>
      <c r="AJ108" s="124"/>
    </row>
    <row r="109" spans="2:36" x14ac:dyDescent="0.25">
      <c r="B109" s="2" t="s">
        <v>1224</v>
      </c>
      <c r="C109" s="65">
        <v>0.33333333333333331</v>
      </c>
      <c r="D109" s="3">
        <f t="shared" si="21"/>
        <v>4.7</v>
      </c>
      <c r="E109" s="10" t="s">
        <v>355</v>
      </c>
      <c r="F109" s="40">
        <v>20</v>
      </c>
      <c r="G109" s="40">
        <v>2.5</v>
      </c>
      <c r="H109" s="40">
        <v>0</v>
      </c>
      <c r="I109" s="3">
        <f t="shared" si="15"/>
        <v>3.916666666666667</v>
      </c>
      <c r="J109" s="3">
        <f t="shared" si="16"/>
        <v>0.48958333333333337</v>
      </c>
      <c r="K109" s="3">
        <f t="shared" si="17"/>
        <v>0</v>
      </c>
      <c r="L109" s="3"/>
      <c r="M109" s="60">
        <f t="shared" si="18"/>
        <v>129.96625000000003</v>
      </c>
      <c r="N109" s="40">
        <v>0</v>
      </c>
      <c r="O109" s="40">
        <v>0</v>
      </c>
      <c r="P109" s="40">
        <v>0</v>
      </c>
      <c r="Q109" s="40">
        <v>0</v>
      </c>
      <c r="R109" s="40">
        <v>0</v>
      </c>
      <c r="S109" s="40">
        <v>0</v>
      </c>
      <c r="T109" s="61">
        <f t="shared" ref="T109:T169" si="23">IF(D109="","",(T108+S109)-(N109+O109+P109+Q109+R109))</f>
        <v>63.400000000000041</v>
      </c>
      <c r="U109" s="40">
        <v>0</v>
      </c>
      <c r="V109" s="40">
        <v>0</v>
      </c>
      <c r="W109" s="40">
        <v>3</v>
      </c>
      <c r="X109" s="40">
        <v>0</v>
      </c>
      <c r="Y109" s="67">
        <f t="shared" si="20"/>
        <v>193</v>
      </c>
      <c r="AA109" s="71"/>
      <c r="AB109" s="71"/>
      <c r="AC109" s="67" t="str">
        <f t="shared" si="19"/>
        <v/>
      </c>
      <c r="AE109" s="124"/>
      <c r="AF109" s="124"/>
      <c r="AG109" s="121"/>
      <c r="AH109" s="121"/>
      <c r="AI109" s="124"/>
      <c r="AJ109" s="124"/>
    </row>
    <row r="110" spans="2:36" x14ac:dyDescent="0.25">
      <c r="B110" s="2" t="s">
        <v>1225</v>
      </c>
      <c r="C110" s="7">
        <v>0.14583333333333334</v>
      </c>
      <c r="D110" s="3">
        <f t="shared" si="21"/>
        <v>19.5</v>
      </c>
      <c r="E110" s="10" t="s">
        <v>201</v>
      </c>
      <c r="F110" s="40">
        <v>20</v>
      </c>
      <c r="G110" s="40">
        <v>2.5</v>
      </c>
      <c r="H110" s="40">
        <v>0</v>
      </c>
      <c r="I110" s="3">
        <f t="shared" si="15"/>
        <v>16.25</v>
      </c>
      <c r="J110" s="3">
        <f t="shared" si="16"/>
        <v>2.03125</v>
      </c>
      <c r="K110" s="3">
        <f t="shared" si="17"/>
        <v>0</v>
      </c>
      <c r="L110" s="3"/>
      <c r="M110" s="60">
        <f t="shared" si="18"/>
        <v>111.68500000000003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T110" s="61">
        <f t="shared" si="23"/>
        <v>63.400000000000041</v>
      </c>
      <c r="U110" s="40">
        <v>0</v>
      </c>
      <c r="V110" s="40">
        <v>0</v>
      </c>
      <c r="W110" s="40">
        <v>0</v>
      </c>
      <c r="X110" s="40">
        <v>0</v>
      </c>
      <c r="Y110" s="67">
        <f t="shared" si="20"/>
        <v>193</v>
      </c>
      <c r="AA110" s="71"/>
      <c r="AB110" s="71"/>
      <c r="AC110" s="67" t="str">
        <f t="shared" si="19"/>
        <v/>
      </c>
      <c r="AE110" s="124">
        <v>10.5</v>
      </c>
      <c r="AF110" s="124" t="s">
        <v>1296</v>
      </c>
      <c r="AG110" s="121"/>
      <c r="AH110" s="121"/>
      <c r="AI110" s="124"/>
      <c r="AJ110" s="124"/>
    </row>
    <row r="111" spans="2:36" x14ac:dyDescent="0.25">
      <c r="B111" s="2" t="s">
        <v>1225</v>
      </c>
      <c r="C111" s="7">
        <v>0.16666666666666666</v>
      </c>
      <c r="D111" s="3">
        <f t="shared" si="21"/>
        <v>0.49999999999999956</v>
      </c>
      <c r="E111" s="10" t="s">
        <v>616</v>
      </c>
      <c r="F111" s="40">
        <v>1</v>
      </c>
      <c r="G111" s="40">
        <v>2.5</v>
      </c>
      <c r="H111" s="40">
        <v>2</v>
      </c>
      <c r="I111" s="3">
        <f t="shared" si="15"/>
        <v>2.0833333333333315E-2</v>
      </c>
      <c r="J111" s="3">
        <f t="shared" si="16"/>
        <v>5.2083333333333287E-2</v>
      </c>
      <c r="K111" s="3">
        <f t="shared" si="17"/>
        <v>4.166666666666663E-2</v>
      </c>
      <c r="L111" s="3"/>
      <c r="M111" s="60">
        <f t="shared" si="18"/>
        <v>111.5704166666667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61">
        <f t="shared" si="23"/>
        <v>63.400000000000041</v>
      </c>
      <c r="U111" s="40">
        <v>0</v>
      </c>
      <c r="V111" s="40">
        <v>0</v>
      </c>
      <c r="W111" s="40">
        <v>3</v>
      </c>
      <c r="X111" s="40">
        <v>0</v>
      </c>
      <c r="Y111" s="67">
        <f t="shared" si="20"/>
        <v>190</v>
      </c>
      <c r="AA111" s="71"/>
      <c r="AB111" s="71"/>
      <c r="AC111" s="67" t="str">
        <f t="shared" si="19"/>
        <v/>
      </c>
      <c r="AE111" s="124"/>
      <c r="AF111" s="124"/>
      <c r="AG111" s="121"/>
      <c r="AH111" s="121"/>
      <c r="AI111" s="124"/>
      <c r="AJ111" s="124"/>
    </row>
    <row r="112" spans="2:36" x14ac:dyDescent="0.25">
      <c r="B112" s="2" t="s">
        <v>1225</v>
      </c>
      <c r="C112" s="65">
        <v>0.33333333333333331</v>
      </c>
      <c r="D112" s="3">
        <f t="shared" si="21"/>
        <v>4</v>
      </c>
      <c r="E112" s="10" t="s">
        <v>351</v>
      </c>
      <c r="F112" s="40">
        <v>0</v>
      </c>
      <c r="G112" s="40">
        <v>2.5</v>
      </c>
      <c r="H112" s="40">
        <v>2</v>
      </c>
      <c r="I112" s="3">
        <f t="shared" si="15"/>
        <v>0</v>
      </c>
      <c r="J112" s="3">
        <f t="shared" si="16"/>
        <v>0.41666666666666669</v>
      </c>
      <c r="K112" s="3">
        <f t="shared" si="17"/>
        <v>0.33333333333333331</v>
      </c>
      <c r="L112" s="3"/>
      <c r="M112" s="60">
        <f t="shared" si="18"/>
        <v>110.8204166666667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T112" s="61">
        <f t="shared" si="23"/>
        <v>63.400000000000041</v>
      </c>
      <c r="U112" s="40">
        <v>0</v>
      </c>
      <c r="V112" s="40">
        <v>0</v>
      </c>
      <c r="W112" s="40">
        <v>3</v>
      </c>
      <c r="X112" s="40">
        <v>0</v>
      </c>
      <c r="Y112" s="67">
        <f t="shared" si="20"/>
        <v>187</v>
      </c>
      <c r="AA112" s="71"/>
      <c r="AB112" s="71"/>
      <c r="AC112" s="67" t="str">
        <f t="shared" si="19"/>
        <v/>
      </c>
      <c r="AE112" s="124"/>
      <c r="AF112" s="124"/>
      <c r="AG112" s="121"/>
      <c r="AH112" s="121"/>
      <c r="AI112" s="124"/>
      <c r="AJ112" s="124"/>
    </row>
    <row r="113" spans="2:36" x14ac:dyDescent="0.25">
      <c r="B113" s="2" t="s">
        <v>1226</v>
      </c>
      <c r="C113" s="65">
        <v>0.33333333333333331</v>
      </c>
      <c r="D113" s="3">
        <v>24</v>
      </c>
      <c r="E113" s="10" t="s">
        <v>351</v>
      </c>
      <c r="F113" s="40">
        <v>0</v>
      </c>
      <c r="G113" s="40">
        <v>2.5</v>
      </c>
      <c r="H113" s="40">
        <v>2</v>
      </c>
      <c r="I113" s="3">
        <f t="shared" si="15"/>
        <v>0</v>
      </c>
      <c r="J113" s="3">
        <f t="shared" si="16"/>
        <v>2.5</v>
      </c>
      <c r="K113" s="3">
        <f t="shared" si="17"/>
        <v>2</v>
      </c>
      <c r="L113" s="3"/>
      <c r="M113" s="60">
        <f t="shared" si="18"/>
        <v>106.3204166666667</v>
      </c>
      <c r="N113" s="40">
        <v>0</v>
      </c>
      <c r="O113" s="40">
        <v>0</v>
      </c>
      <c r="P113" s="40">
        <v>0</v>
      </c>
      <c r="Q113" s="40">
        <v>0</v>
      </c>
      <c r="R113" s="40">
        <v>0</v>
      </c>
      <c r="S113" s="40">
        <v>0</v>
      </c>
      <c r="T113" s="61">
        <f t="shared" si="23"/>
        <v>63.400000000000041</v>
      </c>
      <c r="U113" s="40">
        <v>0</v>
      </c>
      <c r="V113" s="40">
        <v>0</v>
      </c>
      <c r="W113" s="40">
        <v>6</v>
      </c>
      <c r="X113" s="40">
        <v>0</v>
      </c>
      <c r="Y113" s="67">
        <f t="shared" si="20"/>
        <v>181</v>
      </c>
      <c r="AA113" s="71"/>
      <c r="AB113" s="71"/>
      <c r="AC113" s="67" t="str">
        <f t="shared" si="19"/>
        <v/>
      </c>
      <c r="AE113" s="124"/>
      <c r="AF113" s="124"/>
      <c r="AG113" s="121"/>
      <c r="AH113" s="121"/>
      <c r="AI113" s="124"/>
      <c r="AJ113" s="124"/>
    </row>
    <row r="114" spans="2:36" x14ac:dyDescent="0.25">
      <c r="B114" s="2" t="s">
        <v>1227</v>
      </c>
      <c r="C114" s="65">
        <v>0.33333333333333331</v>
      </c>
      <c r="D114" s="3">
        <v>24</v>
      </c>
      <c r="E114" s="10" t="s">
        <v>351</v>
      </c>
      <c r="F114" s="40">
        <v>0</v>
      </c>
      <c r="G114" s="40">
        <v>2.5</v>
      </c>
      <c r="H114" s="40">
        <v>2</v>
      </c>
      <c r="I114" s="3">
        <f t="shared" si="15"/>
        <v>0</v>
      </c>
      <c r="J114" s="3">
        <f t="shared" si="16"/>
        <v>2.5</v>
      </c>
      <c r="K114" s="3">
        <f t="shared" si="17"/>
        <v>2</v>
      </c>
      <c r="L114" s="3"/>
      <c r="M114" s="60">
        <f t="shared" si="18"/>
        <v>101.8204166666667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T114" s="61">
        <f t="shared" si="23"/>
        <v>63.400000000000041</v>
      </c>
      <c r="U114" s="40">
        <v>0</v>
      </c>
      <c r="V114" s="40">
        <v>0</v>
      </c>
      <c r="W114" s="40">
        <v>6</v>
      </c>
      <c r="X114" s="40">
        <v>0</v>
      </c>
      <c r="Y114" s="67">
        <f t="shared" si="20"/>
        <v>175</v>
      </c>
      <c r="AA114" s="71"/>
      <c r="AB114" s="71"/>
      <c r="AC114" s="67" t="str">
        <f t="shared" si="19"/>
        <v/>
      </c>
      <c r="AE114" s="124"/>
      <c r="AF114" s="124"/>
      <c r="AG114" s="121"/>
      <c r="AH114" s="121"/>
      <c r="AI114" s="124"/>
      <c r="AJ114" s="124"/>
    </row>
    <row r="115" spans="2:36" x14ac:dyDescent="0.25">
      <c r="B115" s="19" t="s">
        <v>1228</v>
      </c>
      <c r="C115" s="222">
        <v>1</v>
      </c>
      <c r="D115" s="221"/>
      <c r="E115" s="223" t="s">
        <v>351</v>
      </c>
      <c r="F115" s="40"/>
      <c r="G115" s="40"/>
      <c r="H115" s="40"/>
      <c r="I115" s="221">
        <v>0</v>
      </c>
      <c r="J115" s="221">
        <v>1.25</v>
      </c>
      <c r="K115" s="221">
        <v>1</v>
      </c>
      <c r="L115" s="221"/>
      <c r="M115" s="220">
        <v>99.55</v>
      </c>
      <c r="N115" s="224">
        <v>0</v>
      </c>
      <c r="O115" s="224">
        <v>0</v>
      </c>
      <c r="P115" s="224">
        <v>0</v>
      </c>
      <c r="Q115" s="224">
        <v>0</v>
      </c>
      <c r="R115" s="224">
        <v>0</v>
      </c>
      <c r="S115" s="224">
        <v>0</v>
      </c>
      <c r="T115" s="225">
        <v>63.4</v>
      </c>
      <c r="U115" s="40"/>
      <c r="V115" s="40"/>
      <c r="W115" s="40"/>
      <c r="X115" s="40"/>
      <c r="Y115" s="67"/>
      <c r="AA115" s="71"/>
      <c r="AB115" s="71"/>
      <c r="AC115" s="67"/>
      <c r="AE115" s="124"/>
      <c r="AF115" s="124"/>
      <c r="AG115" s="121"/>
      <c r="AH115" s="121"/>
      <c r="AI115" s="124"/>
      <c r="AJ115" s="124"/>
    </row>
    <row r="116" spans="2:36" x14ac:dyDescent="0.25">
      <c r="B116" s="9" t="s">
        <v>1228</v>
      </c>
      <c r="C116" s="65">
        <v>0.33333333333333331</v>
      </c>
      <c r="D116" s="3">
        <v>24</v>
      </c>
      <c r="E116" s="10" t="s">
        <v>351</v>
      </c>
      <c r="F116" s="40">
        <v>0</v>
      </c>
      <c r="G116" s="40">
        <v>2.5</v>
      </c>
      <c r="H116" s="40">
        <v>2</v>
      </c>
      <c r="I116" s="3">
        <f t="shared" si="15"/>
        <v>0</v>
      </c>
      <c r="J116" s="3">
        <v>1.25</v>
      </c>
      <c r="K116" s="3">
        <v>1</v>
      </c>
      <c r="L116" s="3"/>
      <c r="M116" s="60">
        <v>97.3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61">
        <f>IF(D116="","",(T114+S116)-(N116+O116+P116+Q116+R116))</f>
        <v>63.400000000000041</v>
      </c>
      <c r="U116" s="40">
        <v>0</v>
      </c>
      <c r="V116" s="40">
        <v>0</v>
      </c>
      <c r="W116" s="40">
        <v>6</v>
      </c>
      <c r="X116" s="40">
        <v>0</v>
      </c>
      <c r="Y116" s="67">
        <f>IF(W116="","",((Y114+U116+V116)-(W116+X116)))</f>
        <v>169</v>
      </c>
      <c r="AA116" s="71"/>
      <c r="AB116" s="71"/>
      <c r="AC116" s="67" t="str">
        <f t="shared" si="19"/>
        <v/>
      </c>
      <c r="AE116" s="124"/>
      <c r="AF116" s="124"/>
      <c r="AG116" s="121"/>
      <c r="AH116" s="121"/>
      <c r="AI116" s="124"/>
      <c r="AJ116" s="124"/>
    </row>
    <row r="117" spans="2:36" x14ac:dyDescent="0.25">
      <c r="B117" s="2" t="s">
        <v>1228</v>
      </c>
      <c r="C117" s="7">
        <v>0.61249999999999993</v>
      </c>
      <c r="D117" s="3">
        <f t="shared" si="21"/>
        <v>6.6999999999999993</v>
      </c>
      <c r="E117" s="10" t="s">
        <v>1011</v>
      </c>
      <c r="F117" s="40">
        <v>0</v>
      </c>
      <c r="G117" s="40">
        <v>2.5</v>
      </c>
      <c r="H117" s="40">
        <v>2</v>
      </c>
      <c r="I117" s="3">
        <f t="shared" si="15"/>
        <v>0</v>
      </c>
      <c r="J117" s="3">
        <f t="shared" si="16"/>
        <v>0.69791666666666663</v>
      </c>
      <c r="K117" s="3">
        <f t="shared" si="17"/>
        <v>0.55833333333333324</v>
      </c>
      <c r="L117" s="3"/>
      <c r="M117" s="60">
        <f t="shared" si="18"/>
        <v>96.043750000000003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40">
        <v>0</v>
      </c>
      <c r="T117" s="61">
        <f t="shared" si="23"/>
        <v>63.400000000000041</v>
      </c>
      <c r="U117" s="40">
        <v>0</v>
      </c>
      <c r="V117" s="40">
        <v>0</v>
      </c>
      <c r="W117" s="40">
        <v>3</v>
      </c>
      <c r="X117" s="40">
        <v>0</v>
      </c>
      <c r="Y117" s="67">
        <f t="shared" si="20"/>
        <v>166</v>
      </c>
      <c r="AA117" s="71"/>
      <c r="AB117" s="71"/>
      <c r="AC117" s="67" t="str">
        <f t="shared" si="19"/>
        <v/>
      </c>
      <c r="AE117" s="124"/>
      <c r="AF117" s="124"/>
      <c r="AG117" s="121"/>
      <c r="AH117" s="121"/>
      <c r="AI117" s="124"/>
      <c r="AJ117" s="124"/>
    </row>
    <row r="118" spans="2:36" x14ac:dyDescent="0.25">
      <c r="B118" s="2" t="s">
        <v>1228</v>
      </c>
      <c r="C118" s="7">
        <v>0.68333333333333324</v>
      </c>
      <c r="D118" s="3">
        <f t="shared" si="21"/>
        <v>1.6999999999999993</v>
      </c>
      <c r="E118" s="10" t="s">
        <v>616</v>
      </c>
      <c r="F118" s="40">
        <v>2</v>
      </c>
      <c r="G118" s="40">
        <v>2.5</v>
      </c>
      <c r="H118" s="40">
        <v>2</v>
      </c>
      <c r="I118" s="3">
        <f t="shared" si="15"/>
        <v>0.14166666666666661</v>
      </c>
      <c r="J118" s="3">
        <f t="shared" si="16"/>
        <v>0.17708333333333326</v>
      </c>
      <c r="K118" s="3">
        <f t="shared" si="17"/>
        <v>0.14166666666666661</v>
      </c>
      <c r="L118" s="3"/>
      <c r="M118" s="60">
        <f t="shared" si="18"/>
        <v>95.583333333333343</v>
      </c>
      <c r="N118" s="40">
        <v>0</v>
      </c>
      <c r="O118" s="40">
        <v>0</v>
      </c>
      <c r="P118" s="40">
        <v>0</v>
      </c>
      <c r="Q118" s="40">
        <v>0</v>
      </c>
      <c r="R118" s="40">
        <v>0</v>
      </c>
      <c r="S118" s="40">
        <v>0</v>
      </c>
      <c r="T118" s="61">
        <f t="shared" si="23"/>
        <v>63.400000000000041</v>
      </c>
      <c r="U118" s="40">
        <v>0</v>
      </c>
      <c r="V118" s="40">
        <v>0</v>
      </c>
      <c r="W118" s="40">
        <v>0</v>
      </c>
      <c r="X118" s="40">
        <v>0</v>
      </c>
      <c r="Y118" s="67">
        <f t="shared" si="20"/>
        <v>166</v>
      </c>
      <c r="AA118" s="71"/>
      <c r="AB118" s="71"/>
      <c r="AC118" s="67" t="str">
        <f t="shared" si="19"/>
        <v/>
      </c>
      <c r="AE118" s="124"/>
      <c r="AF118" s="124"/>
      <c r="AG118" s="121"/>
      <c r="AH118" s="121"/>
      <c r="AI118" s="124"/>
      <c r="AJ118" s="124"/>
    </row>
    <row r="119" spans="2:36" x14ac:dyDescent="0.25">
      <c r="B119" s="2" t="s">
        <v>1228</v>
      </c>
      <c r="C119" s="7">
        <v>0.875</v>
      </c>
      <c r="D119" s="3">
        <f t="shared" si="21"/>
        <v>4.6000000000000023</v>
      </c>
      <c r="E119" s="10" t="s">
        <v>1004</v>
      </c>
      <c r="F119" s="40">
        <v>0</v>
      </c>
      <c r="G119" s="40">
        <v>2.5</v>
      </c>
      <c r="H119" s="40">
        <v>2</v>
      </c>
      <c r="I119" s="3">
        <f t="shared" si="15"/>
        <v>0</v>
      </c>
      <c r="J119" s="3">
        <f t="shared" si="16"/>
        <v>0.47916666666666691</v>
      </c>
      <c r="K119" s="3">
        <f t="shared" si="17"/>
        <v>0.38333333333333353</v>
      </c>
      <c r="L119" s="3"/>
      <c r="M119" s="60">
        <f t="shared" si="18"/>
        <v>94.720833333333346</v>
      </c>
      <c r="N119" s="40">
        <v>0</v>
      </c>
      <c r="O119" s="40">
        <v>0</v>
      </c>
      <c r="P119" s="40">
        <v>0</v>
      </c>
      <c r="Q119" s="40">
        <v>0</v>
      </c>
      <c r="R119" s="40">
        <v>0</v>
      </c>
      <c r="S119" s="40">
        <v>0</v>
      </c>
      <c r="T119" s="61">
        <f t="shared" si="23"/>
        <v>63.400000000000041</v>
      </c>
      <c r="U119" s="40">
        <v>0</v>
      </c>
      <c r="V119" s="40">
        <v>0</v>
      </c>
      <c r="W119" s="40">
        <v>0</v>
      </c>
      <c r="X119" s="40">
        <v>0</v>
      </c>
      <c r="Y119" s="67">
        <f t="shared" si="20"/>
        <v>166</v>
      </c>
      <c r="AA119" s="71"/>
      <c r="AB119" s="71"/>
      <c r="AC119" s="67" t="str">
        <f t="shared" si="19"/>
        <v/>
      </c>
      <c r="AE119" s="124"/>
      <c r="AF119" s="124"/>
      <c r="AG119" s="121"/>
      <c r="AH119" s="121"/>
      <c r="AI119" s="124"/>
      <c r="AJ119" s="124"/>
    </row>
    <row r="120" spans="2:36" x14ac:dyDescent="0.25">
      <c r="B120" s="2" t="s">
        <v>1229</v>
      </c>
      <c r="C120" s="65">
        <v>0.33333333333333331</v>
      </c>
      <c r="D120" s="3">
        <f t="shared" si="21"/>
        <v>10.999999999999998</v>
      </c>
      <c r="E120" s="10" t="s">
        <v>966</v>
      </c>
      <c r="F120" s="40">
        <v>0</v>
      </c>
      <c r="G120" s="40">
        <v>2.5</v>
      </c>
      <c r="H120" s="40">
        <v>2</v>
      </c>
      <c r="I120" s="3">
        <f t="shared" si="15"/>
        <v>0</v>
      </c>
      <c r="J120" s="3">
        <f t="shared" si="16"/>
        <v>1.1458333333333333</v>
      </c>
      <c r="K120" s="3">
        <f t="shared" si="17"/>
        <v>0.91666666666666652</v>
      </c>
      <c r="L120" s="3"/>
      <c r="M120" s="60">
        <f t="shared" si="18"/>
        <v>92.658333333333346</v>
      </c>
      <c r="N120" s="40">
        <v>0</v>
      </c>
      <c r="O120" s="40">
        <v>0</v>
      </c>
      <c r="P120" s="40">
        <v>0</v>
      </c>
      <c r="Q120" s="40">
        <v>0</v>
      </c>
      <c r="R120" s="40">
        <v>1.8</v>
      </c>
      <c r="S120" s="40">
        <v>0</v>
      </c>
      <c r="T120" s="61">
        <f t="shared" si="23"/>
        <v>61.600000000000044</v>
      </c>
      <c r="U120" s="40">
        <v>0</v>
      </c>
      <c r="V120" s="40">
        <v>0</v>
      </c>
      <c r="W120" s="40">
        <v>3</v>
      </c>
      <c r="X120" s="40">
        <v>0</v>
      </c>
      <c r="Y120" s="67">
        <f t="shared" si="20"/>
        <v>163</v>
      </c>
      <c r="AA120" s="71"/>
      <c r="AB120" s="71"/>
      <c r="AC120" s="67" t="str">
        <f t="shared" si="19"/>
        <v/>
      </c>
      <c r="AE120" s="124"/>
      <c r="AF120" s="124"/>
      <c r="AG120" s="121"/>
      <c r="AH120" s="121"/>
      <c r="AI120" s="124"/>
      <c r="AJ120" s="124"/>
    </row>
    <row r="121" spans="2:36" x14ac:dyDescent="0.25">
      <c r="B121" s="2" t="s">
        <v>1229</v>
      </c>
      <c r="C121" s="7">
        <v>0.8833333333333333</v>
      </c>
      <c r="D121" s="3">
        <f t="shared" si="21"/>
        <v>13.200000000000001</v>
      </c>
      <c r="E121" s="10" t="s">
        <v>265</v>
      </c>
      <c r="F121" s="40">
        <v>0</v>
      </c>
      <c r="G121" s="40">
        <v>2.5</v>
      </c>
      <c r="H121" s="40">
        <v>2</v>
      </c>
      <c r="I121" s="3">
        <f t="shared" si="15"/>
        <v>0</v>
      </c>
      <c r="J121" s="3">
        <f t="shared" si="16"/>
        <v>1.3750000000000002</v>
      </c>
      <c r="K121" s="3">
        <f t="shared" si="17"/>
        <v>1.1000000000000001</v>
      </c>
      <c r="L121" s="3"/>
      <c r="M121" s="60">
        <f t="shared" si="18"/>
        <v>90.183333333333351</v>
      </c>
      <c r="N121" s="40">
        <v>0</v>
      </c>
      <c r="O121" s="40">
        <v>0</v>
      </c>
      <c r="P121" s="40">
        <v>0</v>
      </c>
      <c r="Q121" s="40">
        <v>0</v>
      </c>
      <c r="R121" s="40">
        <v>2.2000000000000002</v>
      </c>
      <c r="S121" s="40">
        <v>0</v>
      </c>
      <c r="T121" s="61">
        <f t="shared" si="23"/>
        <v>59.400000000000041</v>
      </c>
      <c r="U121" s="40">
        <v>0</v>
      </c>
      <c r="V121" s="40">
        <v>0</v>
      </c>
      <c r="W121" s="40">
        <v>0</v>
      </c>
      <c r="X121" s="40">
        <v>0</v>
      </c>
      <c r="Y121" s="67">
        <f t="shared" si="20"/>
        <v>163</v>
      </c>
      <c r="AA121" s="71"/>
      <c r="AB121" s="71"/>
      <c r="AC121" s="67" t="str">
        <f t="shared" si="19"/>
        <v/>
      </c>
      <c r="AE121" s="124"/>
      <c r="AF121" s="124"/>
      <c r="AG121" s="121"/>
      <c r="AH121" s="121"/>
      <c r="AI121" s="124"/>
      <c r="AJ121" s="124"/>
    </row>
    <row r="122" spans="2:36" x14ac:dyDescent="0.25">
      <c r="B122" s="2" t="s">
        <v>1230</v>
      </c>
      <c r="C122" s="7">
        <v>8.3333333333333332E-3</v>
      </c>
      <c r="D122" s="3">
        <f t="shared" si="21"/>
        <v>3</v>
      </c>
      <c r="E122" s="10" t="s">
        <v>1011</v>
      </c>
      <c r="F122" s="40">
        <v>0</v>
      </c>
      <c r="G122" s="40">
        <v>2.5</v>
      </c>
      <c r="H122" s="40">
        <v>2</v>
      </c>
      <c r="I122" s="3">
        <f t="shared" si="15"/>
        <v>0</v>
      </c>
      <c r="J122" s="3">
        <f t="shared" si="16"/>
        <v>0.3125</v>
      </c>
      <c r="K122" s="3">
        <f t="shared" si="17"/>
        <v>0.25</v>
      </c>
      <c r="L122" s="3"/>
      <c r="M122" s="60">
        <f t="shared" si="18"/>
        <v>89.620833333333351</v>
      </c>
      <c r="N122" s="40">
        <v>0</v>
      </c>
      <c r="O122" s="40">
        <v>0</v>
      </c>
      <c r="P122" s="40">
        <v>0</v>
      </c>
      <c r="Q122" s="40">
        <v>0</v>
      </c>
      <c r="R122" s="40">
        <v>0</v>
      </c>
      <c r="S122" s="40">
        <v>0</v>
      </c>
      <c r="T122" s="61">
        <f t="shared" si="23"/>
        <v>59.400000000000041</v>
      </c>
      <c r="U122" s="40">
        <v>0</v>
      </c>
      <c r="V122" s="40">
        <v>0</v>
      </c>
      <c r="W122" s="40">
        <v>0</v>
      </c>
      <c r="X122" s="40">
        <v>0</v>
      </c>
      <c r="Y122" s="67">
        <f t="shared" si="20"/>
        <v>163</v>
      </c>
      <c r="AA122" s="71"/>
      <c r="AB122" s="71"/>
      <c r="AC122" s="67" t="str">
        <f t="shared" si="19"/>
        <v/>
      </c>
      <c r="AE122" s="124"/>
      <c r="AF122" s="124"/>
      <c r="AG122" s="121"/>
      <c r="AH122" s="121"/>
      <c r="AI122" s="124"/>
      <c r="AJ122" s="124"/>
    </row>
    <row r="123" spans="2:36" x14ac:dyDescent="0.25">
      <c r="B123" s="2" t="s">
        <v>1230</v>
      </c>
      <c r="C123" s="7">
        <v>3.3333333333333333E-2</v>
      </c>
      <c r="D123" s="3">
        <f t="shared" si="21"/>
        <v>0.60000000000000009</v>
      </c>
      <c r="E123" s="10" t="s">
        <v>1231</v>
      </c>
      <c r="F123" s="40">
        <v>5</v>
      </c>
      <c r="G123" s="40">
        <v>2.5</v>
      </c>
      <c r="H123" s="40">
        <v>2</v>
      </c>
      <c r="I123" s="3">
        <f t="shared" si="15"/>
        <v>0.12500000000000003</v>
      </c>
      <c r="J123" s="3">
        <f t="shared" si="16"/>
        <v>6.2500000000000014E-2</v>
      </c>
      <c r="K123" s="3">
        <f t="shared" si="17"/>
        <v>0.05</v>
      </c>
      <c r="L123" s="3"/>
      <c r="M123" s="60">
        <f t="shared" si="18"/>
        <v>89.383333333333354</v>
      </c>
      <c r="N123" s="40">
        <v>0</v>
      </c>
      <c r="O123" s="40">
        <v>0</v>
      </c>
      <c r="P123" s="40">
        <v>0</v>
      </c>
      <c r="Q123" s="40">
        <v>0</v>
      </c>
      <c r="R123" s="40">
        <v>0</v>
      </c>
      <c r="S123" s="40">
        <v>0</v>
      </c>
      <c r="T123" s="61">
        <f t="shared" si="23"/>
        <v>59.400000000000041</v>
      </c>
      <c r="U123" s="40">
        <v>0</v>
      </c>
      <c r="V123" s="40">
        <v>0</v>
      </c>
      <c r="W123" s="40">
        <v>0</v>
      </c>
      <c r="X123" s="40">
        <v>0</v>
      </c>
      <c r="Y123" s="67">
        <f t="shared" si="20"/>
        <v>163</v>
      </c>
      <c r="AA123" s="71"/>
      <c r="AB123" s="71"/>
      <c r="AC123" s="67" t="str">
        <f t="shared" si="19"/>
        <v/>
      </c>
      <c r="AE123" s="124"/>
      <c r="AF123" s="124"/>
      <c r="AG123" s="121"/>
      <c r="AH123" s="121"/>
      <c r="AI123" s="124"/>
      <c r="AJ123" s="124"/>
    </row>
    <row r="124" spans="2:36" x14ac:dyDescent="0.25">
      <c r="B124" s="2" t="s">
        <v>1230</v>
      </c>
      <c r="C124" s="65">
        <v>0.33333333333333331</v>
      </c>
      <c r="D124" s="3">
        <f t="shared" si="21"/>
        <v>7.1999999999999993</v>
      </c>
      <c r="E124" s="10" t="s">
        <v>355</v>
      </c>
      <c r="F124" s="40">
        <v>20</v>
      </c>
      <c r="G124" s="40">
        <v>2.5</v>
      </c>
      <c r="H124" s="40">
        <v>0</v>
      </c>
      <c r="I124" s="3">
        <f t="shared" si="15"/>
        <v>6</v>
      </c>
      <c r="J124" s="3">
        <f t="shared" si="16"/>
        <v>0.75</v>
      </c>
      <c r="K124" s="3">
        <f t="shared" si="17"/>
        <v>0</v>
      </c>
      <c r="L124" s="3"/>
      <c r="M124" s="60">
        <f t="shared" si="18"/>
        <v>82.633333333333354</v>
      </c>
      <c r="N124" s="40">
        <v>0</v>
      </c>
      <c r="O124" s="40">
        <v>0</v>
      </c>
      <c r="P124" s="40">
        <v>0</v>
      </c>
      <c r="Q124" s="40">
        <v>0</v>
      </c>
      <c r="R124" s="40">
        <v>0</v>
      </c>
      <c r="S124" s="40">
        <v>0</v>
      </c>
      <c r="T124" s="61">
        <f t="shared" si="23"/>
        <v>59.400000000000041</v>
      </c>
      <c r="U124" s="40">
        <v>0</v>
      </c>
      <c r="V124" s="40">
        <v>0</v>
      </c>
      <c r="W124" s="40">
        <v>6</v>
      </c>
      <c r="X124" s="40">
        <v>0</v>
      </c>
      <c r="Y124" s="67">
        <f t="shared" si="20"/>
        <v>157</v>
      </c>
      <c r="AA124" s="71">
        <v>54</v>
      </c>
      <c r="AB124" s="71">
        <v>18</v>
      </c>
      <c r="AC124" s="67">
        <f t="shared" si="19"/>
        <v>72</v>
      </c>
      <c r="AE124" s="124"/>
      <c r="AF124" s="124"/>
      <c r="AG124" s="121"/>
      <c r="AH124" s="121"/>
      <c r="AI124" s="124"/>
      <c r="AJ124" s="124"/>
    </row>
    <row r="125" spans="2:36" x14ac:dyDescent="0.25">
      <c r="B125" s="2" t="s">
        <v>1230</v>
      </c>
      <c r="C125" s="7">
        <v>0.38750000000000001</v>
      </c>
      <c r="D125" s="3">
        <f t="shared" si="21"/>
        <v>1.3000000000000007</v>
      </c>
      <c r="E125" s="10" t="s">
        <v>201</v>
      </c>
      <c r="F125" s="40">
        <v>20</v>
      </c>
      <c r="G125" s="40">
        <v>2.5</v>
      </c>
      <c r="H125" s="40">
        <v>0</v>
      </c>
      <c r="I125" s="3">
        <f t="shared" si="15"/>
        <v>1.0833333333333339</v>
      </c>
      <c r="J125" s="3">
        <f t="shared" si="16"/>
        <v>0.13541666666666674</v>
      </c>
      <c r="K125" s="3">
        <f t="shared" si="17"/>
        <v>0</v>
      </c>
      <c r="L125" s="3"/>
      <c r="M125" s="60">
        <f t="shared" si="18"/>
        <v>81.414583333333354</v>
      </c>
      <c r="N125" s="40">
        <v>0</v>
      </c>
      <c r="O125" s="40">
        <v>0</v>
      </c>
      <c r="P125" s="40">
        <v>0</v>
      </c>
      <c r="Q125" s="40">
        <v>0</v>
      </c>
      <c r="R125" s="40">
        <v>0</v>
      </c>
      <c r="S125" s="40">
        <v>0</v>
      </c>
      <c r="T125" s="61">
        <f t="shared" si="23"/>
        <v>59.400000000000041</v>
      </c>
      <c r="U125" s="40">
        <v>0</v>
      </c>
      <c r="V125" s="40">
        <v>0</v>
      </c>
      <c r="W125" s="40">
        <v>0</v>
      </c>
      <c r="X125" s="40">
        <v>0</v>
      </c>
      <c r="Y125" s="67">
        <f t="shared" si="20"/>
        <v>157</v>
      </c>
      <c r="AA125" s="71"/>
      <c r="AB125" s="71"/>
      <c r="AC125" s="67" t="str">
        <f t="shared" si="19"/>
        <v/>
      </c>
      <c r="AE125" s="124">
        <v>10.8</v>
      </c>
      <c r="AF125" s="124" t="s">
        <v>1296</v>
      </c>
      <c r="AG125" s="121"/>
      <c r="AH125" s="121"/>
      <c r="AI125" s="124"/>
      <c r="AJ125" s="124"/>
    </row>
    <row r="126" spans="2:36" x14ac:dyDescent="0.25">
      <c r="B126" s="2" t="s">
        <v>1230</v>
      </c>
      <c r="C126" s="7">
        <v>0.48333333333333334</v>
      </c>
      <c r="D126" s="3">
        <f t="shared" si="21"/>
        <v>2.2999999999999998</v>
      </c>
      <c r="E126" s="10" t="s">
        <v>616</v>
      </c>
      <c r="F126" s="40">
        <v>2</v>
      </c>
      <c r="G126" s="40">
        <v>2.5</v>
      </c>
      <c r="H126" s="40">
        <v>2</v>
      </c>
      <c r="I126" s="3">
        <f t="shared" si="15"/>
        <v>0.19166666666666665</v>
      </c>
      <c r="J126" s="3">
        <f t="shared" si="16"/>
        <v>0.23958333333333331</v>
      </c>
      <c r="K126" s="3">
        <f t="shared" si="17"/>
        <v>0.19166666666666665</v>
      </c>
      <c r="L126" s="3"/>
      <c r="M126" s="60">
        <f t="shared" si="18"/>
        <v>80.791666666666686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T126" s="61">
        <f t="shared" si="23"/>
        <v>59.400000000000041</v>
      </c>
      <c r="U126" s="40">
        <v>0</v>
      </c>
      <c r="V126" s="40">
        <v>0</v>
      </c>
      <c r="W126" s="40">
        <v>0</v>
      </c>
      <c r="X126" s="40">
        <v>0</v>
      </c>
      <c r="Y126" s="67">
        <f t="shared" si="20"/>
        <v>157</v>
      </c>
      <c r="AA126" s="71"/>
      <c r="AB126" s="71"/>
      <c r="AC126" s="67" t="str">
        <f t="shared" si="19"/>
        <v/>
      </c>
      <c r="AE126" s="124"/>
      <c r="AF126" s="124"/>
      <c r="AG126" s="121"/>
      <c r="AH126" s="121"/>
      <c r="AI126" s="124"/>
      <c r="AJ126" s="124"/>
    </row>
    <row r="127" spans="2:36" x14ac:dyDescent="0.25">
      <c r="B127" s="2" t="s">
        <v>1230</v>
      </c>
      <c r="C127" s="7">
        <v>0.6791666666666667</v>
      </c>
      <c r="D127" s="3">
        <f t="shared" si="21"/>
        <v>4.7000000000000011</v>
      </c>
      <c r="E127" s="10" t="s">
        <v>1232</v>
      </c>
      <c r="F127" s="40">
        <v>0</v>
      </c>
      <c r="G127" s="40">
        <v>2.5</v>
      </c>
      <c r="H127" s="40">
        <v>2</v>
      </c>
      <c r="I127" s="3">
        <f t="shared" si="15"/>
        <v>0</v>
      </c>
      <c r="J127" s="3">
        <f t="shared" si="16"/>
        <v>0.48958333333333348</v>
      </c>
      <c r="K127" s="3">
        <f t="shared" si="17"/>
        <v>0.39166666666666672</v>
      </c>
      <c r="L127" s="3"/>
      <c r="M127" s="60">
        <f t="shared" si="18"/>
        <v>79.910416666666691</v>
      </c>
      <c r="N127" s="40">
        <v>0</v>
      </c>
      <c r="O127" s="40">
        <v>0</v>
      </c>
      <c r="P127" s="40">
        <v>0</v>
      </c>
      <c r="Q127" s="40">
        <v>0</v>
      </c>
      <c r="R127" s="40">
        <v>0</v>
      </c>
      <c r="S127" s="40">
        <v>0</v>
      </c>
      <c r="T127" s="61">
        <f t="shared" si="23"/>
        <v>59.400000000000041</v>
      </c>
      <c r="U127" s="40">
        <v>0</v>
      </c>
      <c r="V127" s="40">
        <v>0</v>
      </c>
      <c r="W127" s="40">
        <v>0</v>
      </c>
      <c r="X127" s="40">
        <v>0</v>
      </c>
      <c r="Y127" s="67">
        <f t="shared" si="20"/>
        <v>157</v>
      </c>
      <c r="AA127" s="71"/>
      <c r="AB127" s="71"/>
      <c r="AC127" s="67" t="str">
        <f t="shared" si="19"/>
        <v/>
      </c>
      <c r="AE127" s="124"/>
      <c r="AF127" s="124"/>
      <c r="AG127" s="121"/>
      <c r="AH127" s="121"/>
      <c r="AI127" s="124"/>
      <c r="AJ127" s="124"/>
    </row>
    <row r="128" spans="2:36" x14ac:dyDescent="0.25">
      <c r="B128" s="2" t="s">
        <v>1233</v>
      </c>
      <c r="C128" s="7">
        <v>0.26250000000000001</v>
      </c>
      <c r="D128" s="3">
        <f t="shared" si="21"/>
        <v>14</v>
      </c>
      <c r="E128" s="10" t="s">
        <v>265</v>
      </c>
      <c r="F128" s="40">
        <v>0</v>
      </c>
      <c r="G128" s="40">
        <v>2.5</v>
      </c>
      <c r="H128" s="40">
        <v>2</v>
      </c>
      <c r="I128" s="3">
        <f t="shared" si="15"/>
        <v>0</v>
      </c>
      <c r="J128" s="3">
        <f t="shared" si="16"/>
        <v>1.4583333333333335</v>
      </c>
      <c r="K128" s="3">
        <f t="shared" si="17"/>
        <v>1.1666666666666665</v>
      </c>
      <c r="L128" s="3"/>
      <c r="M128" s="60">
        <f t="shared" si="18"/>
        <v>77.285416666666691</v>
      </c>
      <c r="N128" s="40">
        <v>0</v>
      </c>
      <c r="O128" s="40">
        <v>0</v>
      </c>
      <c r="P128" s="40">
        <v>0</v>
      </c>
      <c r="Q128" s="40">
        <v>0</v>
      </c>
      <c r="R128" s="40">
        <v>3.5</v>
      </c>
      <c r="S128" s="40">
        <v>0</v>
      </c>
      <c r="T128" s="61">
        <f t="shared" si="23"/>
        <v>55.900000000000041</v>
      </c>
      <c r="U128" s="40">
        <v>0</v>
      </c>
      <c r="V128" s="40">
        <v>0</v>
      </c>
      <c r="W128" s="40">
        <v>6</v>
      </c>
      <c r="X128" s="40">
        <v>0</v>
      </c>
      <c r="Y128" s="67">
        <f t="shared" si="20"/>
        <v>151</v>
      </c>
      <c r="AA128" s="71"/>
      <c r="AB128" s="71"/>
      <c r="AC128" s="67" t="str">
        <f t="shared" si="19"/>
        <v/>
      </c>
      <c r="AE128" s="124"/>
      <c r="AF128" s="124"/>
      <c r="AG128" s="121"/>
      <c r="AH128" s="121"/>
      <c r="AI128" s="124"/>
      <c r="AJ128" s="124"/>
    </row>
    <row r="129" spans="2:36" x14ac:dyDescent="0.25">
      <c r="B129" s="2" t="s">
        <v>1233</v>
      </c>
      <c r="C129" s="65">
        <v>0.33333333333333331</v>
      </c>
      <c r="D129" s="3">
        <f t="shared" si="21"/>
        <v>1.6999999999999993</v>
      </c>
      <c r="E129" s="10" t="s">
        <v>1066</v>
      </c>
      <c r="F129" s="40">
        <v>0</v>
      </c>
      <c r="G129" s="40">
        <v>2.5</v>
      </c>
      <c r="H129" s="40">
        <v>2</v>
      </c>
      <c r="I129" s="3">
        <f t="shared" si="15"/>
        <v>0</v>
      </c>
      <c r="J129" s="3">
        <f t="shared" si="16"/>
        <v>0.17708333333333326</v>
      </c>
      <c r="K129" s="3">
        <f t="shared" si="17"/>
        <v>0.14166666666666661</v>
      </c>
      <c r="L129" s="3"/>
      <c r="M129" s="60">
        <f t="shared" si="18"/>
        <v>76.966666666666697</v>
      </c>
      <c r="N129" s="40">
        <v>0</v>
      </c>
      <c r="O129" s="40">
        <v>0</v>
      </c>
      <c r="P129" s="40">
        <v>0</v>
      </c>
      <c r="Q129" s="40">
        <v>0</v>
      </c>
      <c r="R129" s="40">
        <v>0</v>
      </c>
      <c r="S129" s="40">
        <v>0</v>
      </c>
      <c r="T129" s="61">
        <f t="shared" si="23"/>
        <v>55.900000000000041</v>
      </c>
      <c r="U129" s="40">
        <v>0</v>
      </c>
      <c r="V129" s="40">
        <v>0</v>
      </c>
      <c r="W129" s="40">
        <v>0</v>
      </c>
      <c r="X129" s="40">
        <v>0</v>
      </c>
      <c r="Y129" s="67">
        <f t="shared" si="20"/>
        <v>151</v>
      </c>
      <c r="AA129" s="71"/>
      <c r="AB129" s="71"/>
      <c r="AC129" s="67" t="str">
        <f t="shared" si="19"/>
        <v/>
      </c>
      <c r="AE129" s="124"/>
      <c r="AF129" s="124"/>
      <c r="AG129" s="121"/>
      <c r="AH129" s="121"/>
      <c r="AI129" s="124"/>
      <c r="AJ129" s="124"/>
    </row>
    <row r="130" spans="2:36" x14ac:dyDescent="0.25">
      <c r="B130" s="2" t="s">
        <v>1233</v>
      </c>
      <c r="C130" s="7">
        <v>0.45416666666666666</v>
      </c>
      <c r="D130" s="3">
        <f t="shared" si="21"/>
        <v>2.9000000000000004</v>
      </c>
      <c r="E130" s="10" t="s">
        <v>1011</v>
      </c>
      <c r="F130" s="40">
        <v>0</v>
      </c>
      <c r="G130" s="40">
        <v>2.5</v>
      </c>
      <c r="H130" s="40">
        <v>2</v>
      </c>
      <c r="I130" s="3">
        <f t="shared" si="15"/>
        <v>0</v>
      </c>
      <c r="J130" s="3">
        <f t="shared" si="16"/>
        <v>0.30208333333333337</v>
      </c>
      <c r="K130" s="3">
        <f t="shared" si="17"/>
        <v>0.2416666666666667</v>
      </c>
      <c r="L130" s="3"/>
      <c r="M130" s="60">
        <f t="shared" si="18"/>
        <v>76.422916666666694</v>
      </c>
      <c r="N130" s="40">
        <v>0</v>
      </c>
      <c r="O130" s="40">
        <v>0</v>
      </c>
      <c r="P130" s="40">
        <v>0</v>
      </c>
      <c r="Q130" s="40">
        <v>0</v>
      </c>
      <c r="R130" s="40">
        <v>0</v>
      </c>
      <c r="S130" s="40">
        <v>0</v>
      </c>
      <c r="T130" s="61">
        <f t="shared" si="23"/>
        <v>55.900000000000041</v>
      </c>
      <c r="U130" s="40">
        <v>0</v>
      </c>
      <c r="V130" s="40">
        <v>0</v>
      </c>
      <c r="W130" s="40">
        <v>0</v>
      </c>
      <c r="X130" s="40">
        <v>0</v>
      </c>
      <c r="Y130" s="67">
        <f t="shared" si="20"/>
        <v>151</v>
      </c>
      <c r="AA130" s="71"/>
      <c r="AB130" s="71"/>
      <c r="AC130" s="67" t="str">
        <f t="shared" si="19"/>
        <v/>
      </c>
      <c r="AE130" s="124"/>
      <c r="AF130" s="124"/>
      <c r="AG130" s="121"/>
      <c r="AH130" s="121"/>
      <c r="AI130" s="124"/>
      <c r="AJ130" s="124"/>
    </row>
    <row r="131" spans="2:36" x14ac:dyDescent="0.25">
      <c r="B131" s="2" t="s">
        <v>1233</v>
      </c>
      <c r="C131" s="7">
        <v>0.5</v>
      </c>
      <c r="D131" s="3">
        <f t="shared" si="21"/>
        <v>1.1000000000000001</v>
      </c>
      <c r="E131" s="10" t="s">
        <v>1234</v>
      </c>
      <c r="F131" s="40">
        <v>3</v>
      </c>
      <c r="G131" s="40">
        <v>2.5</v>
      </c>
      <c r="H131" s="40">
        <v>2</v>
      </c>
      <c r="I131" s="3">
        <f t="shared" si="15"/>
        <v>0.13750000000000001</v>
      </c>
      <c r="J131" s="3">
        <f t="shared" si="16"/>
        <v>0.11458333333333334</v>
      </c>
      <c r="K131" s="3">
        <f t="shared" si="17"/>
        <v>9.1666666666666674E-2</v>
      </c>
      <c r="L131" s="3"/>
      <c r="M131" s="60">
        <f t="shared" si="18"/>
        <v>76.079166666666694</v>
      </c>
      <c r="N131" s="40">
        <v>0</v>
      </c>
      <c r="O131" s="40">
        <v>0</v>
      </c>
      <c r="P131" s="40">
        <v>0</v>
      </c>
      <c r="Q131" s="40">
        <v>0</v>
      </c>
      <c r="R131" s="40">
        <v>0</v>
      </c>
      <c r="S131" s="40">
        <v>0</v>
      </c>
      <c r="T131" s="61">
        <f t="shared" si="23"/>
        <v>55.900000000000041</v>
      </c>
      <c r="U131" s="40">
        <v>0</v>
      </c>
      <c r="V131" s="40">
        <v>0</v>
      </c>
      <c r="W131" s="40">
        <v>0</v>
      </c>
      <c r="X131" s="40">
        <v>0</v>
      </c>
      <c r="Y131" s="67">
        <f t="shared" si="20"/>
        <v>151</v>
      </c>
      <c r="AA131" s="71"/>
      <c r="AB131" s="71"/>
      <c r="AC131" s="67" t="str">
        <f t="shared" si="19"/>
        <v/>
      </c>
      <c r="AE131" s="124"/>
      <c r="AF131" s="124"/>
      <c r="AG131" s="121"/>
      <c r="AH131" s="121"/>
      <c r="AI131" s="124"/>
      <c r="AJ131" s="124"/>
    </row>
    <row r="132" spans="2:36" x14ac:dyDescent="0.25">
      <c r="B132" s="2" t="s">
        <v>1235</v>
      </c>
      <c r="C132" s="65">
        <v>0.33333333333333331</v>
      </c>
      <c r="D132" s="3">
        <f t="shared" si="21"/>
        <v>20</v>
      </c>
      <c r="E132" s="10" t="s">
        <v>355</v>
      </c>
      <c r="F132" s="40">
        <v>20</v>
      </c>
      <c r="G132" s="40">
        <v>2.5</v>
      </c>
      <c r="H132" s="40">
        <v>0</v>
      </c>
      <c r="I132" s="3">
        <f t="shared" si="15"/>
        <v>16.666666666666668</v>
      </c>
      <c r="J132" s="3">
        <f t="shared" si="16"/>
        <v>2.0833333333333335</v>
      </c>
      <c r="K132" s="3">
        <f t="shared" si="17"/>
        <v>0</v>
      </c>
      <c r="L132" s="3"/>
      <c r="M132" s="60">
        <f t="shared" si="18"/>
        <v>57.329166666666694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T132" s="61">
        <f t="shared" si="23"/>
        <v>55.900000000000041</v>
      </c>
      <c r="U132" s="40">
        <v>0</v>
      </c>
      <c r="V132" s="40">
        <v>0</v>
      </c>
      <c r="W132" s="40">
        <v>6</v>
      </c>
      <c r="X132" s="40">
        <v>0</v>
      </c>
      <c r="Y132" s="67">
        <f t="shared" si="20"/>
        <v>145</v>
      </c>
      <c r="AA132" s="71">
        <v>70</v>
      </c>
      <c r="AB132" s="71">
        <v>12</v>
      </c>
      <c r="AC132" s="67">
        <f t="shared" si="19"/>
        <v>82</v>
      </c>
      <c r="AD132">
        <v>110</v>
      </c>
      <c r="AE132" s="124"/>
      <c r="AF132" s="124"/>
      <c r="AG132" s="121"/>
      <c r="AH132" s="121"/>
      <c r="AI132" s="124"/>
      <c r="AJ132" s="124"/>
    </row>
    <row r="133" spans="2:36" x14ac:dyDescent="0.25">
      <c r="B133" s="35" t="s">
        <v>1235</v>
      </c>
      <c r="C133" s="7">
        <v>0.5</v>
      </c>
      <c r="D133" s="3">
        <f t="shared" si="21"/>
        <v>4</v>
      </c>
      <c r="E133" s="10" t="s">
        <v>201</v>
      </c>
      <c r="F133" s="40">
        <v>20</v>
      </c>
      <c r="G133" s="40">
        <v>2.5</v>
      </c>
      <c r="H133" s="40">
        <v>0</v>
      </c>
      <c r="I133" s="3">
        <f t="shared" si="15"/>
        <v>3.3333333333333335</v>
      </c>
      <c r="J133" s="3">
        <f t="shared" si="16"/>
        <v>0.41666666666666669</v>
      </c>
      <c r="K133" s="3">
        <f t="shared" si="17"/>
        <v>0</v>
      </c>
      <c r="L133" s="3"/>
      <c r="M133" s="60">
        <f t="shared" si="18"/>
        <v>53.579166666666694</v>
      </c>
      <c r="N133" s="40">
        <v>0</v>
      </c>
      <c r="O133" s="40">
        <v>0</v>
      </c>
      <c r="P133" s="40">
        <v>0</v>
      </c>
      <c r="Q133" s="40">
        <v>0</v>
      </c>
      <c r="R133" s="40">
        <v>0</v>
      </c>
      <c r="S133" s="40">
        <v>0</v>
      </c>
      <c r="T133" s="61">
        <f t="shared" si="23"/>
        <v>55.900000000000041</v>
      </c>
      <c r="U133" s="40">
        <v>0</v>
      </c>
      <c r="V133" s="40">
        <v>0</v>
      </c>
      <c r="W133" s="40">
        <v>0</v>
      </c>
      <c r="X133" s="40">
        <v>0</v>
      </c>
      <c r="Y133" s="67">
        <f t="shared" si="20"/>
        <v>145</v>
      </c>
      <c r="AA133" s="71"/>
      <c r="AB133" s="71"/>
      <c r="AC133" s="67" t="str">
        <f t="shared" si="19"/>
        <v/>
      </c>
      <c r="AE133" s="124">
        <v>10.8</v>
      </c>
      <c r="AF133" s="124" t="s">
        <v>1296</v>
      </c>
      <c r="AG133" s="121"/>
      <c r="AH133" s="121"/>
      <c r="AI133" s="124"/>
      <c r="AJ133" s="124"/>
    </row>
    <row r="134" spans="2:36" x14ac:dyDescent="0.25">
      <c r="B134" s="2" t="s">
        <v>1235</v>
      </c>
      <c r="C134" s="7">
        <v>0.52083333333333337</v>
      </c>
      <c r="D134" s="3">
        <f t="shared" si="21"/>
        <v>0.50000000000000089</v>
      </c>
      <c r="E134" s="10" t="s">
        <v>616</v>
      </c>
      <c r="F134" s="40">
        <v>5</v>
      </c>
      <c r="G134" s="40">
        <v>2.5</v>
      </c>
      <c r="H134" s="40">
        <v>2</v>
      </c>
      <c r="I134" s="3">
        <f t="shared" ref="I134:I197" si="24">+IF(F134="","",(F134/24)*D134)</f>
        <v>0.10416666666666685</v>
      </c>
      <c r="J134" s="3">
        <f t="shared" ref="J134:J197" si="25">+IF(G134="","",(G134/24)*D134)</f>
        <v>5.2083333333333426E-2</v>
      </c>
      <c r="K134" s="3">
        <f t="shared" ref="K134:K197" si="26">+IF(H134="","",(H134/24)*D134)</f>
        <v>4.1666666666666741E-2</v>
      </c>
      <c r="L134" s="3"/>
      <c r="M134" s="60">
        <f t="shared" ref="M134:M197" si="27">+IF(D134="","",M133-(I134+J134+K134))</f>
        <v>53.38125000000003</v>
      </c>
      <c r="N134" s="40">
        <v>0</v>
      </c>
      <c r="O134" s="40">
        <v>0</v>
      </c>
      <c r="P134" s="40">
        <v>0</v>
      </c>
      <c r="Q134" s="40">
        <v>0</v>
      </c>
      <c r="R134" s="40">
        <v>0</v>
      </c>
      <c r="S134" s="40">
        <v>0</v>
      </c>
      <c r="T134" s="61">
        <f t="shared" si="23"/>
        <v>55.900000000000041</v>
      </c>
      <c r="U134" s="40">
        <v>0</v>
      </c>
      <c r="V134" s="40">
        <v>0</v>
      </c>
      <c r="W134" s="40">
        <v>0</v>
      </c>
      <c r="X134" s="40">
        <v>0</v>
      </c>
      <c r="Y134" s="67">
        <f t="shared" si="20"/>
        <v>145</v>
      </c>
      <c r="AA134" s="71"/>
      <c r="AB134" s="71"/>
      <c r="AC134" s="67" t="str">
        <f t="shared" ref="AC134:AC197" si="28">IF(AA134="","",AA134+AB134)</f>
        <v/>
      </c>
      <c r="AE134" s="124"/>
      <c r="AF134" s="124"/>
      <c r="AG134" s="121"/>
      <c r="AH134" s="121"/>
      <c r="AI134" s="124"/>
      <c r="AJ134" s="124"/>
    </row>
    <row r="135" spans="2:36" x14ac:dyDescent="0.25">
      <c r="B135" s="2" t="s">
        <v>1236</v>
      </c>
      <c r="C135" s="65">
        <v>0.33333333333333331</v>
      </c>
      <c r="D135" s="3">
        <f t="shared" si="21"/>
        <v>19.5</v>
      </c>
      <c r="E135" s="10" t="s">
        <v>351</v>
      </c>
      <c r="F135" s="40">
        <v>0</v>
      </c>
      <c r="G135" s="40">
        <v>2.5</v>
      </c>
      <c r="H135" s="40">
        <v>0</v>
      </c>
      <c r="I135" s="3">
        <f t="shared" si="24"/>
        <v>0</v>
      </c>
      <c r="J135" s="3">
        <f t="shared" si="25"/>
        <v>2.03125</v>
      </c>
      <c r="K135" s="3">
        <f t="shared" si="26"/>
        <v>0</v>
      </c>
      <c r="L135" s="3"/>
      <c r="M135" s="60">
        <f t="shared" si="27"/>
        <v>51.35000000000003</v>
      </c>
      <c r="N135" s="40">
        <v>0</v>
      </c>
      <c r="O135" s="40">
        <v>0</v>
      </c>
      <c r="P135" s="40">
        <v>0</v>
      </c>
      <c r="Q135" s="40">
        <v>0</v>
      </c>
      <c r="R135" s="40">
        <v>0</v>
      </c>
      <c r="S135" s="40">
        <v>0</v>
      </c>
      <c r="T135" s="61">
        <f t="shared" si="23"/>
        <v>55.900000000000041</v>
      </c>
      <c r="U135" s="40">
        <v>0</v>
      </c>
      <c r="V135" s="40">
        <v>0</v>
      </c>
      <c r="W135" s="40">
        <v>6</v>
      </c>
      <c r="X135" s="40">
        <v>0</v>
      </c>
      <c r="Y135" s="67">
        <f t="shared" si="20"/>
        <v>139</v>
      </c>
      <c r="AA135" s="71"/>
      <c r="AB135" s="71"/>
      <c r="AC135" s="67" t="str">
        <f t="shared" si="28"/>
        <v/>
      </c>
      <c r="AE135" s="124"/>
      <c r="AF135" s="124"/>
      <c r="AG135" s="121"/>
      <c r="AH135" s="121"/>
      <c r="AI135" s="124"/>
      <c r="AJ135" s="124"/>
    </row>
    <row r="136" spans="2:36" x14ac:dyDescent="0.25">
      <c r="B136" s="2" t="s">
        <v>1236</v>
      </c>
      <c r="C136" s="7">
        <v>0.37916666666666665</v>
      </c>
      <c r="D136" s="3">
        <f t="shared" si="21"/>
        <v>1.1000000000000001</v>
      </c>
      <c r="E136" s="10" t="s">
        <v>1237</v>
      </c>
      <c r="F136" s="40">
        <v>0</v>
      </c>
      <c r="G136" s="40">
        <v>2.5</v>
      </c>
      <c r="H136" s="40">
        <v>0</v>
      </c>
      <c r="I136" s="3">
        <f t="shared" si="24"/>
        <v>0</v>
      </c>
      <c r="J136" s="3">
        <f t="shared" si="25"/>
        <v>0.11458333333333334</v>
      </c>
      <c r="K136" s="3">
        <f t="shared" si="26"/>
        <v>0</v>
      </c>
      <c r="L136" s="3">
        <v>800</v>
      </c>
      <c r="M136" s="60">
        <f>+IF(D136="","",M135-(I136+J136+K136-L136))</f>
        <v>851.23541666666665</v>
      </c>
      <c r="N136" s="40">
        <v>0</v>
      </c>
      <c r="O136" s="40">
        <v>0</v>
      </c>
      <c r="P136" s="40">
        <v>0</v>
      </c>
      <c r="Q136" s="40">
        <v>0</v>
      </c>
      <c r="R136" s="40">
        <v>0</v>
      </c>
      <c r="S136" s="40">
        <v>0</v>
      </c>
      <c r="T136" s="61">
        <f t="shared" si="23"/>
        <v>55.900000000000041</v>
      </c>
      <c r="U136" s="40">
        <v>0</v>
      </c>
      <c r="V136" s="40">
        <v>0</v>
      </c>
      <c r="W136" s="40">
        <v>0</v>
      </c>
      <c r="X136" s="40">
        <v>0</v>
      </c>
      <c r="Y136" s="67">
        <f t="shared" si="20"/>
        <v>139</v>
      </c>
      <c r="AA136" s="71"/>
      <c r="AB136" s="71"/>
      <c r="AC136" s="67" t="str">
        <f t="shared" si="28"/>
        <v/>
      </c>
      <c r="AE136" s="124"/>
      <c r="AF136" s="124"/>
      <c r="AG136" s="121"/>
      <c r="AH136" s="121"/>
      <c r="AI136" s="124"/>
      <c r="AJ136" s="124"/>
    </row>
    <row r="137" spans="2:36" x14ac:dyDescent="0.25">
      <c r="B137" s="2" t="s">
        <v>1236</v>
      </c>
      <c r="C137" s="7">
        <v>0.85972222222222217</v>
      </c>
      <c r="D137" s="3">
        <f t="shared" si="21"/>
        <v>11.533333333333331</v>
      </c>
      <c r="E137" s="10" t="s">
        <v>1238</v>
      </c>
      <c r="F137" s="40">
        <v>0</v>
      </c>
      <c r="G137" s="40">
        <v>2.5</v>
      </c>
      <c r="H137" s="40">
        <v>0</v>
      </c>
      <c r="I137" s="3">
        <f t="shared" si="24"/>
        <v>0</v>
      </c>
      <c r="J137" s="3">
        <f t="shared" si="25"/>
        <v>1.2013888888888888</v>
      </c>
      <c r="K137" s="3">
        <f t="shared" si="26"/>
        <v>0</v>
      </c>
      <c r="L137" s="3"/>
      <c r="M137" s="60">
        <f>+IF(D137="","",M136-(I137+J137-K137))</f>
        <v>850.03402777777774</v>
      </c>
      <c r="N137" s="40">
        <v>0</v>
      </c>
      <c r="O137" s="40">
        <v>0</v>
      </c>
      <c r="P137" s="40">
        <v>0</v>
      </c>
      <c r="Q137" s="40">
        <v>0</v>
      </c>
      <c r="R137" s="40">
        <v>1.3</v>
      </c>
      <c r="S137" s="40">
        <v>0</v>
      </c>
      <c r="T137" s="61">
        <f t="shared" si="23"/>
        <v>54.600000000000044</v>
      </c>
      <c r="U137" s="40">
        <v>0</v>
      </c>
      <c r="V137" s="40">
        <v>0</v>
      </c>
      <c r="W137" s="40">
        <v>3</v>
      </c>
      <c r="X137" s="40">
        <v>0</v>
      </c>
      <c r="Y137" s="67">
        <f t="shared" ref="Y137:Y200" si="29">IF(W137="","",((Y136+U137+V137)-(W137+X137)))</f>
        <v>136</v>
      </c>
      <c r="AA137" s="71"/>
      <c r="AB137" s="71"/>
      <c r="AC137" s="67" t="str">
        <f t="shared" si="28"/>
        <v/>
      </c>
      <c r="AE137" s="124"/>
      <c r="AF137" s="124"/>
      <c r="AG137" s="121"/>
      <c r="AH137" s="121"/>
      <c r="AI137" s="124"/>
      <c r="AJ137" s="124"/>
    </row>
    <row r="138" spans="2:36" x14ac:dyDescent="0.25">
      <c r="B138" s="2" t="s">
        <v>1236</v>
      </c>
      <c r="C138" s="7">
        <v>0.875</v>
      </c>
      <c r="D138" s="3">
        <f t="shared" si="21"/>
        <v>0.36666666666666803</v>
      </c>
      <c r="E138" s="10" t="s">
        <v>988</v>
      </c>
      <c r="F138" s="40">
        <v>10</v>
      </c>
      <c r="G138" s="40">
        <v>2.5</v>
      </c>
      <c r="H138" s="40">
        <v>2</v>
      </c>
      <c r="I138" s="3">
        <f t="shared" si="24"/>
        <v>0.15277777777777835</v>
      </c>
      <c r="J138" s="3">
        <f t="shared" si="25"/>
        <v>3.8194444444444586E-2</v>
      </c>
      <c r="K138" s="3">
        <f t="shared" si="26"/>
        <v>3.0555555555555669E-2</v>
      </c>
      <c r="L138" s="3"/>
      <c r="M138" s="60">
        <f>+IF(D138="","",M137-(I138+J138+K138))</f>
        <v>849.8125</v>
      </c>
      <c r="N138" s="40">
        <v>0</v>
      </c>
      <c r="O138" s="40">
        <v>0</v>
      </c>
      <c r="P138" s="40">
        <v>0</v>
      </c>
      <c r="Q138" s="40">
        <v>0</v>
      </c>
      <c r="R138" s="40">
        <v>0</v>
      </c>
      <c r="S138" s="40">
        <v>0</v>
      </c>
      <c r="T138" s="61">
        <f t="shared" si="23"/>
        <v>54.600000000000044</v>
      </c>
      <c r="U138" s="40">
        <v>0</v>
      </c>
      <c r="V138" s="40">
        <v>0</v>
      </c>
      <c r="W138" s="40">
        <v>0</v>
      </c>
      <c r="X138" s="40">
        <v>0</v>
      </c>
      <c r="Y138" s="67">
        <f t="shared" si="29"/>
        <v>136</v>
      </c>
      <c r="AA138" s="71"/>
      <c r="AB138" s="71"/>
      <c r="AC138" s="67" t="str">
        <f t="shared" si="28"/>
        <v/>
      </c>
      <c r="AE138" s="124"/>
      <c r="AF138" s="124"/>
      <c r="AG138" s="121"/>
      <c r="AH138" s="121"/>
      <c r="AI138" s="124"/>
      <c r="AJ138" s="124"/>
    </row>
    <row r="139" spans="2:36" x14ac:dyDescent="0.25">
      <c r="B139" s="36" t="s">
        <v>1236</v>
      </c>
      <c r="C139" s="7">
        <v>0.91249999999999998</v>
      </c>
      <c r="D139" s="3">
        <f t="shared" si="21"/>
        <v>0.89999999999999947</v>
      </c>
      <c r="E139" s="10" t="s">
        <v>1015</v>
      </c>
      <c r="F139" s="40">
        <v>22</v>
      </c>
      <c r="G139" s="40">
        <v>2.5</v>
      </c>
      <c r="H139" s="40">
        <v>2</v>
      </c>
      <c r="I139" s="3">
        <f t="shared" si="24"/>
        <v>0.82499999999999951</v>
      </c>
      <c r="J139" s="3">
        <f t="shared" si="25"/>
        <v>9.3749999999999944E-2</v>
      </c>
      <c r="K139" s="3">
        <f t="shared" si="26"/>
        <v>7.4999999999999956E-2</v>
      </c>
      <c r="L139" s="3"/>
      <c r="M139" s="60">
        <f t="shared" si="27"/>
        <v>848.81875000000002</v>
      </c>
      <c r="N139" s="40">
        <v>0</v>
      </c>
      <c r="O139" s="40">
        <v>0</v>
      </c>
      <c r="P139" s="40">
        <v>0</v>
      </c>
      <c r="Q139" s="40">
        <v>0</v>
      </c>
      <c r="R139" s="40">
        <v>0</v>
      </c>
      <c r="S139" s="40">
        <v>0</v>
      </c>
      <c r="T139" s="61">
        <f t="shared" si="23"/>
        <v>54.600000000000044</v>
      </c>
      <c r="U139" s="40">
        <v>0</v>
      </c>
      <c r="V139" s="40">
        <v>0</v>
      </c>
      <c r="W139" s="40">
        <v>0</v>
      </c>
      <c r="X139" s="40">
        <v>0</v>
      </c>
      <c r="Y139" s="67">
        <f t="shared" si="29"/>
        <v>136</v>
      </c>
      <c r="AA139" s="71"/>
      <c r="AB139" s="71"/>
      <c r="AC139" s="67" t="str">
        <f t="shared" si="28"/>
        <v/>
      </c>
      <c r="AE139" s="124"/>
      <c r="AF139" s="124"/>
      <c r="AG139" s="121"/>
      <c r="AH139" s="121"/>
      <c r="AI139" s="124"/>
      <c r="AJ139" s="124"/>
    </row>
    <row r="140" spans="2:36" x14ac:dyDescent="0.25">
      <c r="B140" s="36" t="s">
        <v>1236</v>
      </c>
      <c r="C140" s="7">
        <v>0.94166666666666676</v>
      </c>
      <c r="D140" s="3">
        <f t="shared" si="21"/>
        <v>0.70000000000000284</v>
      </c>
      <c r="E140" s="10" t="s">
        <v>190</v>
      </c>
      <c r="F140" s="40">
        <v>10</v>
      </c>
      <c r="G140" s="40">
        <v>2.5</v>
      </c>
      <c r="H140" s="40">
        <v>2</v>
      </c>
      <c r="I140" s="3">
        <f t="shared" si="24"/>
        <v>0.29166666666666785</v>
      </c>
      <c r="J140" s="3">
        <f t="shared" si="25"/>
        <v>7.2916666666666963E-2</v>
      </c>
      <c r="K140" s="3">
        <f t="shared" si="26"/>
        <v>5.833333333333357E-2</v>
      </c>
      <c r="L140" s="3"/>
      <c r="M140" s="60">
        <f t="shared" si="27"/>
        <v>848.39583333333337</v>
      </c>
      <c r="N140" s="40">
        <v>0</v>
      </c>
      <c r="O140" s="40">
        <v>0</v>
      </c>
      <c r="P140" s="40">
        <v>0</v>
      </c>
      <c r="Q140" s="40">
        <v>0</v>
      </c>
      <c r="R140" s="40">
        <v>0</v>
      </c>
      <c r="S140" s="40">
        <v>0</v>
      </c>
      <c r="T140" s="61">
        <f t="shared" si="23"/>
        <v>54.600000000000044</v>
      </c>
      <c r="U140" s="40">
        <v>0</v>
      </c>
      <c r="V140" s="40">
        <v>0</v>
      </c>
      <c r="W140" s="40">
        <v>0</v>
      </c>
      <c r="X140" s="40">
        <v>0</v>
      </c>
      <c r="Y140" s="67">
        <f t="shared" si="29"/>
        <v>136</v>
      </c>
      <c r="AA140" s="71"/>
      <c r="AB140" s="71"/>
      <c r="AC140" s="67" t="str">
        <f t="shared" si="28"/>
        <v/>
      </c>
      <c r="AE140" s="124"/>
      <c r="AF140" s="124"/>
      <c r="AG140" s="121"/>
      <c r="AH140" s="121"/>
      <c r="AI140" s="124"/>
      <c r="AJ140" s="124"/>
    </row>
    <row r="141" spans="2:36" x14ac:dyDescent="0.25">
      <c r="B141" s="2" t="s">
        <v>1236</v>
      </c>
      <c r="C141" s="7">
        <v>0.98333333333333339</v>
      </c>
      <c r="D141" s="3">
        <f t="shared" si="21"/>
        <v>0.99999999999999911</v>
      </c>
      <c r="E141" s="10" t="s">
        <v>616</v>
      </c>
      <c r="F141" s="40">
        <v>10</v>
      </c>
      <c r="G141" s="40">
        <v>2.5</v>
      </c>
      <c r="H141" s="40">
        <v>2</v>
      </c>
      <c r="I141" s="3">
        <f t="shared" si="24"/>
        <v>0.4166666666666663</v>
      </c>
      <c r="J141" s="3">
        <f t="shared" si="25"/>
        <v>0.10416666666666657</v>
      </c>
      <c r="K141" s="3">
        <f t="shared" si="26"/>
        <v>8.3333333333333259E-2</v>
      </c>
      <c r="L141" s="3"/>
      <c r="M141" s="60">
        <f t="shared" si="27"/>
        <v>847.79166666666674</v>
      </c>
      <c r="N141" s="40">
        <v>0</v>
      </c>
      <c r="O141" s="40">
        <v>0</v>
      </c>
      <c r="P141" s="40">
        <v>0</v>
      </c>
      <c r="Q141" s="40">
        <v>0</v>
      </c>
      <c r="R141" s="40">
        <v>0</v>
      </c>
      <c r="S141" s="40">
        <v>0</v>
      </c>
      <c r="T141" s="61">
        <f t="shared" si="23"/>
        <v>54.600000000000044</v>
      </c>
      <c r="U141" s="40">
        <v>0</v>
      </c>
      <c r="V141" s="40">
        <v>0</v>
      </c>
      <c r="W141" s="40">
        <v>0</v>
      </c>
      <c r="X141" s="40">
        <v>0</v>
      </c>
      <c r="Y141" s="67">
        <f t="shared" si="29"/>
        <v>136</v>
      </c>
      <c r="AA141" s="71"/>
      <c r="AB141" s="71"/>
      <c r="AC141" s="67" t="str">
        <f t="shared" si="28"/>
        <v/>
      </c>
      <c r="AE141" s="124"/>
      <c r="AF141" s="124"/>
      <c r="AG141" s="121"/>
      <c r="AH141" s="121"/>
      <c r="AI141" s="124"/>
      <c r="AJ141" s="124"/>
    </row>
    <row r="142" spans="2:36" x14ac:dyDescent="0.25">
      <c r="B142" s="2" t="s">
        <v>1239</v>
      </c>
      <c r="C142" s="65">
        <v>0.33333333333333331</v>
      </c>
      <c r="D142" s="3">
        <f t="shared" si="21"/>
        <v>8.3999999999999968</v>
      </c>
      <c r="E142" s="10" t="s">
        <v>179</v>
      </c>
      <c r="F142" s="40">
        <v>0</v>
      </c>
      <c r="G142" s="40">
        <v>2.5</v>
      </c>
      <c r="H142" s="40">
        <v>1.2</v>
      </c>
      <c r="I142" s="3">
        <f t="shared" si="24"/>
        <v>0</v>
      </c>
      <c r="J142" s="3">
        <f t="shared" si="25"/>
        <v>0.87499999999999967</v>
      </c>
      <c r="K142" s="3">
        <f t="shared" si="26"/>
        <v>0.41999999999999982</v>
      </c>
      <c r="L142" s="3"/>
      <c r="M142" s="60">
        <f t="shared" si="27"/>
        <v>846.49666666666678</v>
      </c>
      <c r="N142" s="40">
        <v>0</v>
      </c>
      <c r="O142" s="40">
        <v>0</v>
      </c>
      <c r="P142" s="40">
        <v>0</v>
      </c>
      <c r="Q142" s="40">
        <v>0</v>
      </c>
      <c r="R142" s="40">
        <v>0</v>
      </c>
      <c r="S142" s="40">
        <v>0</v>
      </c>
      <c r="T142" s="61">
        <f t="shared" si="23"/>
        <v>54.600000000000044</v>
      </c>
      <c r="U142" s="40">
        <v>0</v>
      </c>
      <c r="V142" s="40">
        <v>0</v>
      </c>
      <c r="W142" s="40">
        <v>2</v>
      </c>
      <c r="X142" s="40">
        <v>0</v>
      </c>
      <c r="Y142" s="67">
        <f t="shared" si="29"/>
        <v>134</v>
      </c>
      <c r="AA142" s="71"/>
      <c r="AB142" s="71"/>
      <c r="AC142" s="67" t="str">
        <f t="shared" si="28"/>
        <v/>
      </c>
      <c r="AE142" s="124"/>
      <c r="AF142" s="124"/>
      <c r="AG142" s="121"/>
      <c r="AH142" s="121"/>
      <c r="AI142" s="124"/>
      <c r="AJ142" s="124"/>
    </row>
    <row r="143" spans="2:36" x14ac:dyDescent="0.25">
      <c r="B143" s="2" t="s">
        <v>1240</v>
      </c>
      <c r="C143" s="65">
        <v>0.33333333333333331</v>
      </c>
      <c r="D143" s="3">
        <v>24</v>
      </c>
      <c r="E143" s="10" t="s">
        <v>179</v>
      </c>
      <c r="F143" s="40">
        <v>0</v>
      </c>
      <c r="G143" s="40">
        <v>2.5</v>
      </c>
      <c r="H143" s="40">
        <v>1.5</v>
      </c>
      <c r="I143" s="3">
        <f t="shared" si="24"/>
        <v>0</v>
      </c>
      <c r="J143" s="3">
        <f t="shared" si="25"/>
        <v>2.5</v>
      </c>
      <c r="K143" s="3">
        <f t="shared" si="26"/>
        <v>1.5</v>
      </c>
      <c r="L143" s="3"/>
      <c r="M143" s="60">
        <f t="shared" si="27"/>
        <v>842.49666666666678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40">
        <v>0</v>
      </c>
      <c r="T143" s="61">
        <f t="shared" si="23"/>
        <v>54.600000000000044</v>
      </c>
      <c r="U143" s="40">
        <v>0</v>
      </c>
      <c r="V143" s="40">
        <v>0</v>
      </c>
      <c r="W143" s="40">
        <v>6</v>
      </c>
      <c r="X143" s="40">
        <v>0</v>
      </c>
      <c r="Y143" s="67">
        <f t="shared" si="29"/>
        <v>128</v>
      </c>
      <c r="AA143" s="71">
        <v>50</v>
      </c>
      <c r="AB143" s="71">
        <v>12</v>
      </c>
      <c r="AC143" s="67">
        <f t="shared" si="28"/>
        <v>62</v>
      </c>
      <c r="AD143">
        <v>110</v>
      </c>
      <c r="AE143" s="124"/>
      <c r="AF143" s="124"/>
      <c r="AG143" s="121"/>
      <c r="AH143" s="121"/>
      <c r="AI143" s="124"/>
      <c r="AJ143" s="124"/>
    </row>
    <row r="144" spans="2:36" x14ac:dyDescent="0.25">
      <c r="B144" s="2" t="s">
        <v>1240</v>
      </c>
      <c r="C144" s="7">
        <v>0.70833333333333337</v>
      </c>
      <c r="D144" s="3">
        <f t="shared" si="21"/>
        <v>9.0000000000000018</v>
      </c>
      <c r="E144" s="10" t="s">
        <v>120</v>
      </c>
      <c r="F144" s="40">
        <v>0</v>
      </c>
      <c r="G144" s="40">
        <v>2.5</v>
      </c>
      <c r="H144" s="40">
        <v>1.5</v>
      </c>
      <c r="I144" s="3">
        <f t="shared" si="24"/>
        <v>0</v>
      </c>
      <c r="J144" s="3">
        <f t="shared" si="25"/>
        <v>0.93750000000000022</v>
      </c>
      <c r="K144" s="3">
        <f t="shared" si="26"/>
        <v>0.56250000000000011</v>
      </c>
      <c r="L144" s="3"/>
      <c r="M144" s="60">
        <f t="shared" si="27"/>
        <v>840.99666666666678</v>
      </c>
      <c r="N144" s="40">
        <v>0</v>
      </c>
      <c r="O144" s="40">
        <v>0</v>
      </c>
      <c r="P144" s="40">
        <v>0</v>
      </c>
      <c r="Q144" s="40">
        <v>0</v>
      </c>
      <c r="R144" s="40">
        <v>0</v>
      </c>
      <c r="S144" s="40">
        <v>0</v>
      </c>
      <c r="T144" s="61">
        <f t="shared" si="23"/>
        <v>54.600000000000044</v>
      </c>
      <c r="U144" s="40">
        <v>0</v>
      </c>
      <c r="V144" s="40">
        <v>0</v>
      </c>
      <c r="W144" s="40">
        <v>3</v>
      </c>
      <c r="X144" s="40">
        <v>0</v>
      </c>
      <c r="Y144" s="67">
        <f t="shared" si="29"/>
        <v>125</v>
      </c>
      <c r="AA144" s="71"/>
      <c r="AB144" s="71"/>
      <c r="AC144" s="67" t="str">
        <f t="shared" si="28"/>
        <v/>
      </c>
      <c r="AE144" s="124"/>
      <c r="AF144" s="124"/>
      <c r="AG144" s="121"/>
      <c r="AH144" s="121"/>
      <c r="AI144" s="124"/>
      <c r="AJ144" s="124"/>
    </row>
    <row r="145" spans="2:36" x14ac:dyDescent="0.25">
      <c r="B145" s="2" t="s">
        <v>1241</v>
      </c>
      <c r="C145" s="7">
        <v>3.3333333333333333E-2</v>
      </c>
      <c r="D145" s="3">
        <f t="shared" si="21"/>
        <v>7.7999999999999972</v>
      </c>
      <c r="E145" s="10" t="s">
        <v>190</v>
      </c>
      <c r="F145" s="40">
        <v>0</v>
      </c>
      <c r="G145" s="40">
        <v>2.5</v>
      </c>
      <c r="H145" s="40">
        <v>1.5</v>
      </c>
      <c r="I145" s="3">
        <f t="shared" si="24"/>
        <v>0</v>
      </c>
      <c r="J145" s="3">
        <f t="shared" si="25"/>
        <v>0.81249999999999978</v>
      </c>
      <c r="K145" s="3">
        <f t="shared" si="26"/>
        <v>0.48749999999999982</v>
      </c>
      <c r="L145" s="3"/>
      <c r="M145" s="60">
        <f t="shared" si="27"/>
        <v>839.69666666666683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61">
        <f t="shared" si="23"/>
        <v>54.600000000000044</v>
      </c>
      <c r="U145" s="40">
        <v>0</v>
      </c>
      <c r="V145" s="40">
        <v>0</v>
      </c>
      <c r="W145" s="40">
        <v>0</v>
      </c>
      <c r="X145" s="40">
        <v>0</v>
      </c>
      <c r="Y145" s="67">
        <f t="shared" si="29"/>
        <v>125</v>
      </c>
      <c r="AA145" s="71"/>
      <c r="AB145" s="71"/>
      <c r="AC145" s="67" t="str">
        <f t="shared" si="28"/>
        <v/>
      </c>
      <c r="AE145" s="124"/>
      <c r="AF145" s="124"/>
      <c r="AG145" s="121"/>
      <c r="AH145" s="121"/>
      <c r="AI145" s="124"/>
      <c r="AJ145" s="124"/>
    </row>
    <row r="146" spans="2:36" x14ac:dyDescent="0.25">
      <c r="B146" s="2" t="s">
        <v>1241</v>
      </c>
      <c r="C146" s="7">
        <v>5.4166666666666669E-2</v>
      </c>
      <c r="D146" s="3">
        <f t="shared" si="21"/>
        <v>0.5</v>
      </c>
      <c r="E146" s="10" t="s">
        <v>988</v>
      </c>
      <c r="F146" s="40">
        <v>10</v>
      </c>
      <c r="G146" s="40">
        <v>2.5</v>
      </c>
      <c r="H146" s="40">
        <v>2</v>
      </c>
      <c r="I146" s="3">
        <f t="shared" si="24"/>
        <v>0.20833333333333334</v>
      </c>
      <c r="J146" s="3">
        <f t="shared" si="25"/>
        <v>5.2083333333333336E-2</v>
      </c>
      <c r="K146" s="3">
        <f t="shared" si="26"/>
        <v>4.1666666666666664E-2</v>
      </c>
      <c r="L146" s="3"/>
      <c r="M146" s="60">
        <f t="shared" si="27"/>
        <v>839.39458333333346</v>
      </c>
      <c r="N146" s="40">
        <v>0</v>
      </c>
      <c r="O146" s="40">
        <v>0</v>
      </c>
      <c r="P146" s="40">
        <v>0</v>
      </c>
      <c r="Q146" s="40">
        <v>0</v>
      </c>
      <c r="R146" s="40">
        <v>0</v>
      </c>
      <c r="S146" s="40">
        <v>0</v>
      </c>
      <c r="T146" s="61">
        <f t="shared" si="23"/>
        <v>54.600000000000044</v>
      </c>
      <c r="U146" s="40">
        <v>0</v>
      </c>
      <c r="V146" s="40">
        <v>0</v>
      </c>
      <c r="W146" s="40">
        <v>0</v>
      </c>
      <c r="X146" s="40">
        <v>0</v>
      </c>
      <c r="Y146" s="67">
        <f t="shared" si="29"/>
        <v>125</v>
      </c>
      <c r="AA146" s="71"/>
      <c r="AB146" s="71"/>
      <c r="AC146" s="67" t="str">
        <f t="shared" si="28"/>
        <v/>
      </c>
      <c r="AE146" s="124"/>
      <c r="AF146" s="124"/>
      <c r="AG146" s="121"/>
      <c r="AH146" s="121"/>
      <c r="AI146" s="124"/>
      <c r="AJ146" s="124"/>
    </row>
    <row r="147" spans="2:36" x14ac:dyDescent="0.25">
      <c r="B147" s="2" t="s">
        <v>1241</v>
      </c>
      <c r="C147" s="65">
        <v>0.33333333333333331</v>
      </c>
      <c r="D147" s="3">
        <f t="shared" si="21"/>
        <v>6.7</v>
      </c>
      <c r="E147" s="10" t="s">
        <v>355</v>
      </c>
      <c r="F147" s="40">
        <v>20</v>
      </c>
      <c r="G147" s="40">
        <v>2.5</v>
      </c>
      <c r="H147" s="40">
        <v>2</v>
      </c>
      <c r="I147" s="3">
        <f t="shared" si="24"/>
        <v>5.5833333333333339</v>
      </c>
      <c r="J147" s="3">
        <f t="shared" si="25"/>
        <v>0.69791666666666674</v>
      </c>
      <c r="K147" s="3">
        <f t="shared" si="26"/>
        <v>0.55833333333333335</v>
      </c>
      <c r="L147" s="3"/>
      <c r="M147" s="60">
        <f t="shared" si="27"/>
        <v>832.55500000000018</v>
      </c>
      <c r="N147" s="40">
        <v>0</v>
      </c>
      <c r="O147" s="40">
        <v>0</v>
      </c>
      <c r="P147" s="40">
        <v>0</v>
      </c>
      <c r="Q147" s="40">
        <v>0</v>
      </c>
      <c r="R147" s="40">
        <v>0</v>
      </c>
      <c r="S147" s="40">
        <v>0</v>
      </c>
      <c r="T147" s="61">
        <f t="shared" si="23"/>
        <v>54.600000000000044</v>
      </c>
      <c r="U147" s="40">
        <v>0</v>
      </c>
      <c r="V147" s="40">
        <v>0</v>
      </c>
      <c r="W147" s="40">
        <v>3</v>
      </c>
      <c r="X147" s="40">
        <v>0</v>
      </c>
      <c r="Y147" s="67">
        <f t="shared" si="29"/>
        <v>122</v>
      </c>
      <c r="AA147" s="71">
        <v>42</v>
      </c>
      <c r="AB147" s="71">
        <v>12</v>
      </c>
      <c r="AC147" s="67">
        <f t="shared" si="28"/>
        <v>54</v>
      </c>
      <c r="AE147" s="124"/>
      <c r="AF147" s="124"/>
      <c r="AG147" s="121"/>
      <c r="AH147" s="121"/>
      <c r="AI147" s="124"/>
      <c r="AJ147" s="124"/>
    </row>
    <row r="148" spans="2:36" x14ac:dyDescent="0.25">
      <c r="B148" s="2" t="s">
        <v>1241</v>
      </c>
      <c r="C148" s="7">
        <v>0.38750000000000001</v>
      </c>
      <c r="D148" s="3">
        <f t="shared" si="21"/>
        <v>1.3000000000000007</v>
      </c>
      <c r="E148" s="10" t="s">
        <v>1162</v>
      </c>
      <c r="F148" s="40">
        <v>20</v>
      </c>
      <c r="G148" s="40">
        <v>2.5</v>
      </c>
      <c r="H148" s="40">
        <v>2</v>
      </c>
      <c r="I148" s="3">
        <f t="shared" si="24"/>
        <v>1.0833333333333339</v>
      </c>
      <c r="J148" s="3">
        <f t="shared" si="25"/>
        <v>0.13541666666666674</v>
      </c>
      <c r="K148" s="3">
        <f t="shared" si="26"/>
        <v>0.10833333333333339</v>
      </c>
      <c r="L148" s="3"/>
      <c r="M148" s="60">
        <f t="shared" si="27"/>
        <v>831.22791666666683</v>
      </c>
      <c r="N148" s="40">
        <v>0</v>
      </c>
      <c r="O148" s="40">
        <v>0</v>
      </c>
      <c r="P148" s="40">
        <v>0</v>
      </c>
      <c r="Q148" s="40">
        <v>0</v>
      </c>
      <c r="R148" s="40">
        <v>0</v>
      </c>
      <c r="S148" s="40">
        <v>0</v>
      </c>
      <c r="T148" s="61">
        <f t="shared" si="23"/>
        <v>54.600000000000044</v>
      </c>
      <c r="U148" s="40">
        <v>0</v>
      </c>
      <c r="V148" s="40">
        <v>0</v>
      </c>
      <c r="W148" s="40">
        <v>0</v>
      </c>
      <c r="X148" s="40">
        <v>0</v>
      </c>
      <c r="Y148" s="67">
        <f t="shared" si="29"/>
        <v>122</v>
      </c>
      <c r="AA148" s="71"/>
      <c r="AB148" s="71"/>
      <c r="AC148" s="67" t="str">
        <f t="shared" si="28"/>
        <v/>
      </c>
      <c r="AE148" s="124">
        <v>10.4</v>
      </c>
      <c r="AF148" s="124" t="s">
        <v>1296</v>
      </c>
      <c r="AG148" s="121"/>
      <c r="AH148" s="121"/>
      <c r="AI148" s="124"/>
      <c r="AJ148" s="124"/>
    </row>
    <row r="149" spans="2:36" x14ac:dyDescent="0.25">
      <c r="B149" s="2" t="s">
        <v>1241</v>
      </c>
      <c r="C149" s="7">
        <v>0.40833333333333338</v>
      </c>
      <c r="D149" s="3">
        <f t="shared" si="21"/>
        <v>0.50000000000000089</v>
      </c>
      <c r="E149" s="10" t="s">
        <v>1242</v>
      </c>
      <c r="F149" s="40">
        <v>10</v>
      </c>
      <c r="G149" s="40">
        <v>2.5</v>
      </c>
      <c r="H149" s="40">
        <v>2</v>
      </c>
      <c r="I149" s="3">
        <f t="shared" si="24"/>
        <v>0.2083333333333337</v>
      </c>
      <c r="J149" s="3">
        <f t="shared" si="25"/>
        <v>5.2083333333333426E-2</v>
      </c>
      <c r="K149" s="3">
        <f t="shared" si="26"/>
        <v>4.1666666666666741E-2</v>
      </c>
      <c r="L149" s="3"/>
      <c r="M149" s="60">
        <f t="shared" si="27"/>
        <v>830.92583333333346</v>
      </c>
      <c r="N149" s="40">
        <v>0</v>
      </c>
      <c r="O149" s="40">
        <v>0</v>
      </c>
      <c r="P149" s="40">
        <v>0</v>
      </c>
      <c r="Q149" s="40">
        <v>0</v>
      </c>
      <c r="R149" s="40">
        <v>0</v>
      </c>
      <c r="S149" s="40">
        <v>0</v>
      </c>
      <c r="T149" s="61">
        <f t="shared" si="23"/>
        <v>54.600000000000044</v>
      </c>
      <c r="U149" s="40">
        <v>0</v>
      </c>
      <c r="V149" s="40">
        <v>0</v>
      </c>
      <c r="W149" s="40">
        <v>0</v>
      </c>
      <c r="X149" s="40">
        <v>0</v>
      </c>
      <c r="Y149" s="67">
        <f t="shared" si="29"/>
        <v>122</v>
      </c>
      <c r="AA149" s="71"/>
      <c r="AB149" s="71"/>
      <c r="AC149" s="67" t="str">
        <f t="shared" si="28"/>
        <v/>
      </c>
      <c r="AE149" s="124"/>
      <c r="AF149" s="124"/>
      <c r="AG149" s="121"/>
      <c r="AH149" s="121"/>
      <c r="AI149" s="124"/>
      <c r="AJ149" s="124"/>
    </row>
    <row r="150" spans="2:36" x14ac:dyDescent="0.25">
      <c r="B150" s="116" t="s">
        <v>1241</v>
      </c>
      <c r="C150" s="7">
        <v>0.54583333333333328</v>
      </c>
      <c r="D150" s="3">
        <f t="shared" ref="D150:D213" si="30">+IF((C150-C149)&lt;0,((C150-C149)*24)+24,(C150-C149)*24)</f>
        <v>3.2999999999999976</v>
      </c>
      <c r="E150" s="10" t="s">
        <v>190</v>
      </c>
      <c r="F150" s="40">
        <v>0</v>
      </c>
      <c r="G150" s="40">
        <v>2.5</v>
      </c>
      <c r="H150" s="40">
        <v>2</v>
      </c>
      <c r="I150" s="3">
        <f t="shared" si="24"/>
        <v>0</v>
      </c>
      <c r="J150" s="3">
        <f t="shared" si="25"/>
        <v>0.34374999999999978</v>
      </c>
      <c r="K150" s="3">
        <f t="shared" si="26"/>
        <v>0.2749999999999998</v>
      </c>
      <c r="L150" s="3"/>
      <c r="M150" s="60">
        <f t="shared" si="27"/>
        <v>830.30708333333348</v>
      </c>
      <c r="N150" s="40">
        <v>0</v>
      </c>
      <c r="O150" s="40">
        <v>0</v>
      </c>
      <c r="P150" s="40">
        <v>0</v>
      </c>
      <c r="Q150" s="40">
        <v>0</v>
      </c>
      <c r="R150" s="40">
        <v>0</v>
      </c>
      <c r="S150" s="40">
        <v>0</v>
      </c>
      <c r="T150" s="61">
        <f t="shared" si="23"/>
        <v>54.600000000000044</v>
      </c>
      <c r="U150" s="40">
        <v>0</v>
      </c>
      <c r="V150" s="40">
        <v>0</v>
      </c>
      <c r="W150" s="40">
        <v>2</v>
      </c>
      <c r="X150" s="40">
        <v>0</v>
      </c>
      <c r="Y150" s="67">
        <f t="shared" si="29"/>
        <v>120</v>
      </c>
      <c r="AA150" s="71"/>
      <c r="AB150" s="71"/>
      <c r="AC150" s="67" t="str">
        <f t="shared" si="28"/>
        <v/>
      </c>
      <c r="AE150" s="124"/>
      <c r="AF150" s="124"/>
      <c r="AG150" s="121"/>
      <c r="AH150" s="121"/>
      <c r="AI150" s="124"/>
      <c r="AJ150" s="124"/>
    </row>
    <row r="151" spans="2:36" x14ac:dyDescent="0.25">
      <c r="B151" s="2" t="s">
        <v>1241</v>
      </c>
      <c r="C151" s="7">
        <v>0.57916666666666672</v>
      </c>
      <c r="D151" s="3">
        <f t="shared" si="30"/>
        <v>0.80000000000000249</v>
      </c>
      <c r="E151" s="10" t="s">
        <v>1194</v>
      </c>
      <c r="F151" s="40">
        <v>10</v>
      </c>
      <c r="G151" s="40">
        <v>2.5</v>
      </c>
      <c r="H151" s="40">
        <v>1.5</v>
      </c>
      <c r="I151" s="3">
        <f t="shared" si="24"/>
        <v>0.33333333333333437</v>
      </c>
      <c r="J151" s="3">
        <f t="shared" si="25"/>
        <v>8.3333333333333592E-2</v>
      </c>
      <c r="K151" s="3">
        <f t="shared" si="26"/>
        <v>5.0000000000000155E-2</v>
      </c>
      <c r="L151" s="3"/>
      <c r="M151" s="60">
        <f t="shared" si="27"/>
        <v>829.84041666666678</v>
      </c>
      <c r="N151" s="40">
        <v>0</v>
      </c>
      <c r="O151" s="40">
        <v>0</v>
      </c>
      <c r="P151" s="40">
        <v>0</v>
      </c>
      <c r="Q151" s="40">
        <v>0</v>
      </c>
      <c r="R151" s="40">
        <v>0</v>
      </c>
      <c r="S151" s="40">
        <v>0</v>
      </c>
      <c r="T151" s="61">
        <f t="shared" si="23"/>
        <v>54.600000000000044</v>
      </c>
      <c r="U151" s="40">
        <v>0</v>
      </c>
      <c r="V151" s="40">
        <v>0</v>
      </c>
      <c r="W151" s="40">
        <v>0</v>
      </c>
      <c r="X151" s="40">
        <v>0</v>
      </c>
      <c r="Y151" s="67">
        <f t="shared" si="29"/>
        <v>120</v>
      </c>
      <c r="AA151" s="71"/>
      <c r="AB151" s="71"/>
      <c r="AC151" s="67" t="str">
        <f t="shared" si="28"/>
        <v/>
      </c>
      <c r="AE151" s="124"/>
      <c r="AF151" s="124"/>
      <c r="AG151" s="121"/>
      <c r="AH151" s="121"/>
      <c r="AI151" s="124"/>
      <c r="AJ151" s="124"/>
    </row>
    <row r="152" spans="2:36" x14ac:dyDescent="0.25">
      <c r="B152" s="2" t="s">
        <v>1243</v>
      </c>
      <c r="C152" s="65">
        <v>0.33333333333333331</v>
      </c>
      <c r="D152" s="3">
        <f t="shared" si="30"/>
        <v>18.099999999999998</v>
      </c>
      <c r="E152" s="10" t="s">
        <v>966</v>
      </c>
      <c r="F152" s="40">
        <v>0</v>
      </c>
      <c r="G152" s="40">
        <v>2.5</v>
      </c>
      <c r="H152" s="40">
        <v>1.5</v>
      </c>
      <c r="I152" s="3">
        <f t="shared" si="24"/>
        <v>0</v>
      </c>
      <c r="J152" s="3">
        <f t="shared" si="25"/>
        <v>1.8854166666666665</v>
      </c>
      <c r="K152" s="3">
        <f t="shared" si="26"/>
        <v>1.1312499999999999</v>
      </c>
      <c r="L152" s="3"/>
      <c r="M152" s="60">
        <f t="shared" si="27"/>
        <v>826.82375000000013</v>
      </c>
      <c r="N152" s="40">
        <v>0</v>
      </c>
      <c r="O152" s="40">
        <v>0</v>
      </c>
      <c r="P152" s="40">
        <v>0</v>
      </c>
      <c r="Q152" s="40">
        <v>0</v>
      </c>
      <c r="R152" s="40">
        <v>4</v>
      </c>
      <c r="S152" s="40">
        <v>0</v>
      </c>
      <c r="T152" s="61">
        <f t="shared" si="23"/>
        <v>50.600000000000044</v>
      </c>
      <c r="U152" s="40">
        <v>0</v>
      </c>
      <c r="V152" s="40">
        <v>0</v>
      </c>
      <c r="W152" s="40">
        <v>4</v>
      </c>
      <c r="X152" s="40">
        <v>0</v>
      </c>
      <c r="Y152" s="67">
        <f t="shared" si="29"/>
        <v>116</v>
      </c>
      <c r="AA152" s="71">
        <v>53</v>
      </c>
      <c r="AB152" s="71">
        <v>10</v>
      </c>
      <c r="AC152" s="67">
        <f t="shared" si="28"/>
        <v>63</v>
      </c>
      <c r="AE152" s="124"/>
      <c r="AF152" s="124"/>
      <c r="AG152" s="121"/>
      <c r="AH152" s="121"/>
      <c r="AI152" s="124"/>
      <c r="AJ152" s="124"/>
    </row>
    <row r="153" spans="2:36" x14ac:dyDescent="0.25">
      <c r="B153" s="2" t="s">
        <v>1244</v>
      </c>
      <c r="C153" s="7">
        <v>0.25</v>
      </c>
      <c r="D153" s="3">
        <f t="shared" si="30"/>
        <v>22</v>
      </c>
      <c r="E153" s="10" t="s">
        <v>265</v>
      </c>
      <c r="F153" s="40">
        <v>0</v>
      </c>
      <c r="G153" s="40">
        <v>2.5</v>
      </c>
      <c r="H153" s="40">
        <v>2</v>
      </c>
      <c r="I153" s="3">
        <f t="shared" si="24"/>
        <v>0</v>
      </c>
      <c r="J153" s="3">
        <f t="shared" si="25"/>
        <v>2.291666666666667</v>
      </c>
      <c r="K153" s="3">
        <f t="shared" si="26"/>
        <v>1.8333333333333333</v>
      </c>
      <c r="L153" s="3"/>
      <c r="M153" s="60">
        <f t="shared" si="27"/>
        <v>822.69875000000013</v>
      </c>
      <c r="N153" s="40">
        <v>0</v>
      </c>
      <c r="O153" s="40">
        <v>0</v>
      </c>
      <c r="P153" s="40">
        <v>0</v>
      </c>
      <c r="Q153" s="40">
        <v>0</v>
      </c>
      <c r="R153" s="40">
        <v>3</v>
      </c>
      <c r="S153" s="40">
        <v>0</v>
      </c>
      <c r="T153" s="61">
        <f t="shared" si="23"/>
        <v>47.600000000000044</v>
      </c>
      <c r="U153" s="40">
        <v>0</v>
      </c>
      <c r="V153" s="40">
        <v>0</v>
      </c>
      <c r="W153" s="40">
        <v>6</v>
      </c>
      <c r="X153" s="40">
        <v>0</v>
      </c>
      <c r="Y153" s="67">
        <f t="shared" si="29"/>
        <v>110</v>
      </c>
      <c r="AA153" s="71"/>
      <c r="AB153" s="71"/>
      <c r="AC153" s="67" t="str">
        <f t="shared" si="28"/>
        <v/>
      </c>
      <c r="AE153" s="124"/>
      <c r="AF153" s="124"/>
      <c r="AG153" s="121"/>
      <c r="AH153" s="121"/>
      <c r="AI153" s="124"/>
      <c r="AJ153" s="124"/>
    </row>
    <row r="154" spans="2:36" x14ac:dyDescent="0.25">
      <c r="B154" s="2" t="s">
        <v>1244</v>
      </c>
      <c r="C154" s="65">
        <v>0.33333333333333331</v>
      </c>
      <c r="D154" s="3">
        <f t="shared" si="30"/>
        <v>1.9999999999999996</v>
      </c>
      <c r="E154" s="10" t="s">
        <v>1066</v>
      </c>
      <c r="F154" s="40">
        <v>0</v>
      </c>
      <c r="G154" s="40">
        <v>2.5</v>
      </c>
      <c r="H154" s="40">
        <v>1.5</v>
      </c>
      <c r="I154" s="3">
        <f t="shared" si="24"/>
        <v>0</v>
      </c>
      <c r="J154" s="3">
        <f t="shared" si="25"/>
        <v>0.20833333333333329</v>
      </c>
      <c r="K154" s="3">
        <f t="shared" si="26"/>
        <v>0.12499999999999997</v>
      </c>
      <c r="L154" s="3"/>
      <c r="M154" s="60">
        <f t="shared" si="27"/>
        <v>822.36541666666676</v>
      </c>
      <c r="N154" s="40">
        <v>0</v>
      </c>
      <c r="O154" s="40">
        <v>0</v>
      </c>
      <c r="P154" s="40">
        <v>0</v>
      </c>
      <c r="Q154" s="40">
        <v>0</v>
      </c>
      <c r="R154" s="40">
        <v>0</v>
      </c>
      <c r="S154" s="40">
        <v>0</v>
      </c>
      <c r="T154" s="61">
        <f t="shared" si="23"/>
        <v>47.600000000000044</v>
      </c>
      <c r="U154" s="40">
        <v>0</v>
      </c>
      <c r="V154" s="40">
        <v>0</v>
      </c>
      <c r="W154" s="40">
        <v>0</v>
      </c>
      <c r="X154" s="40">
        <v>0</v>
      </c>
      <c r="Y154" s="67">
        <f t="shared" si="29"/>
        <v>110</v>
      </c>
      <c r="AA154" s="71">
        <v>84</v>
      </c>
      <c r="AB154" s="71">
        <v>10</v>
      </c>
      <c r="AC154" s="67">
        <f t="shared" si="28"/>
        <v>94</v>
      </c>
      <c r="AE154" s="124"/>
      <c r="AF154" s="124"/>
      <c r="AG154" s="121"/>
      <c r="AH154" s="121"/>
      <c r="AI154" s="124"/>
      <c r="AJ154" s="124"/>
    </row>
    <row r="155" spans="2:36" x14ac:dyDescent="0.25">
      <c r="B155" s="2" t="s">
        <v>1244</v>
      </c>
      <c r="C155" s="7">
        <v>0.375</v>
      </c>
      <c r="D155" s="3">
        <f t="shared" si="30"/>
        <v>1.0000000000000004</v>
      </c>
      <c r="E155" s="10" t="s">
        <v>1011</v>
      </c>
      <c r="F155" s="40">
        <v>0</v>
      </c>
      <c r="G155" s="40">
        <v>2.5</v>
      </c>
      <c r="H155" s="40">
        <v>1.5</v>
      </c>
      <c r="I155" s="3">
        <f t="shared" si="24"/>
        <v>0</v>
      </c>
      <c r="J155" s="3">
        <f t="shared" si="25"/>
        <v>0.10416666666666671</v>
      </c>
      <c r="K155" s="3">
        <f t="shared" si="26"/>
        <v>6.2500000000000028E-2</v>
      </c>
      <c r="L155" s="3"/>
      <c r="M155" s="60">
        <f t="shared" si="27"/>
        <v>822.19875000000013</v>
      </c>
      <c r="N155" s="40">
        <v>0</v>
      </c>
      <c r="O155" s="40">
        <v>0</v>
      </c>
      <c r="P155" s="40">
        <v>0</v>
      </c>
      <c r="Q155" s="40">
        <v>0</v>
      </c>
      <c r="R155" s="40">
        <v>0</v>
      </c>
      <c r="S155" s="40">
        <v>0</v>
      </c>
      <c r="T155" s="61">
        <f t="shared" si="23"/>
        <v>47.600000000000044</v>
      </c>
      <c r="U155" s="40">
        <v>0</v>
      </c>
      <c r="V155" s="40">
        <v>0</v>
      </c>
      <c r="W155" s="40">
        <v>0</v>
      </c>
      <c r="X155" s="40">
        <v>0</v>
      </c>
      <c r="Y155" s="67">
        <f t="shared" si="29"/>
        <v>110</v>
      </c>
      <c r="AA155" s="71"/>
      <c r="AB155" s="71"/>
      <c r="AC155" s="67" t="str">
        <f t="shared" si="28"/>
        <v/>
      </c>
      <c r="AE155" s="124"/>
      <c r="AF155" s="124"/>
      <c r="AG155" s="121"/>
      <c r="AH155" s="121"/>
      <c r="AI155" s="124"/>
      <c r="AJ155" s="124"/>
    </row>
    <row r="156" spans="2:36" x14ac:dyDescent="0.25">
      <c r="B156" s="2" t="s">
        <v>1244</v>
      </c>
      <c r="C156" s="7">
        <v>0.39583333333333331</v>
      </c>
      <c r="D156" s="3">
        <f t="shared" si="30"/>
        <v>0.49999999999999956</v>
      </c>
      <c r="E156" s="10" t="s">
        <v>1026</v>
      </c>
      <c r="F156" s="40">
        <v>2</v>
      </c>
      <c r="G156" s="40">
        <v>2.5</v>
      </c>
      <c r="H156" s="40">
        <v>1.5</v>
      </c>
      <c r="I156" s="3">
        <f t="shared" si="24"/>
        <v>4.166666666666663E-2</v>
      </c>
      <c r="J156" s="3">
        <f t="shared" si="25"/>
        <v>5.2083333333333287E-2</v>
      </c>
      <c r="K156" s="3">
        <f t="shared" si="26"/>
        <v>3.1249999999999972E-2</v>
      </c>
      <c r="L156" s="3"/>
      <c r="M156" s="60">
        <f t="shared" si="27"/>
        <v>822.07375000000013</v>
      </c>
      <c r="N156" s="40">
        <v>0</v>
      </c>
      <c r="O156" s="40">
        <v>0</v>
      </c>
      <c r="P156" s="40">
        <v>0</v>
      </c>
      <c r="Q156" s="40">
        <v>0</v>
      </c>
      <c r="R156" s="40">
        <v>0</v>
      </c>
      <c r="S156" s="40">
        <v>0</v>
      </c>
      <c r="T156" s="61">
        <f t="shared" si="23"/>
        <v>47.600000000000044</v>
      </c>
      <c r="U156" s="40">
        <v>0</v>
      </c>
      <c r="V156" s="40">
        <v>0</v>
      </c>
      <c r="W156" s="40">
        <v>0</v>
      </c>
      <c r="X156" s="40">
        <v>0</v>
      </c>
      <c r="Y156" s="67">
        <f t="shared" si="29"/>
        <v>110</v>
      </c>
      <c r="AA156" s="71"/>
      <c r="AB156" s="71"/>
      <c r="AC156" s="67" t="str">
        <f t="shared" si="28"/>
        <v/>
      </c>
      <c r="AE156" s="124"/>
      <c r="AF156" s="124"/>
      <c r="AG156" s="121"/>
      <c r="AH156" s="121"/>
      <c r="AI156" s="124"/>
      <c r="AJ156" s="124"/>
    </row>
    <row r="157" spans="2:36" x14ac:dyDescent="0.25">
      <c r="B157" s="2" t="s">
        <v>1245</v>
      </c>
      <c r="C157" s="65">
        <v>0.33333333333333331</v>
      </c>
      <c r="D157" s="3">
        <f t="shared" si="30"/>
        <v>22.5</v>
      </c>
      <c r="E157" s="10" t="s">
        <v>355</v>
      </c>
      <c r="F157" s="40">
        <v>20</v>
      </c>
      <c r="G157" s="40">
        <v>2.5</v>
      </c>
      <c r="H157" s="40">
        <v>0</v>
      </c>
      <c r="I157" s="3">
        <f t="shared" si="24"/>
        <v>18.75</v>
      </c>
      <c r="J157" s="3">
        <f t="shared" si="25"/>
        <v>2.34375</v>
      </c>
      <c r="K157" s="3">
        <f t="shared" si="26"/>
        <v>0</v>
      </c>
      <c r="L157" s="3"/>
      <c r="M157" s="60">
        <f t="shared" si="27"/>
        <v>800.98000000000013</v>
      </c>
      <c r="N157" s="40">
        <v>0</v>
      </c>
      <c r="O157" s="40">
        <v>0</v>
      </c>
      <c r="P157" s="40">
        <v>0</v>
      </c>
      <c r="Q157" s="40">
        <v>0</v>
      </c>
      <c r="R157" s="40">
        <v>0</v>
      </c>
      <c r="S157" s="40">
        <v>0</v>
      </c>
      <c r="T157" s="61">
        <f t="shared" si="23"/>
        <v>47.600000000000044</v>
      </c>
      <c r="U157" s="40">
        <v>0</v>
      </c>
      <c r="V157" s="40">
        <v>0</v>
      </c>
      <c r="W157" s="40">
        <v>6</v>
      </c>
      <c r="X157" s="40">
        <v>0</v>
      </c>
      <c r="Y157" s="67">
        <f t="shared" si="29"/>
        <v>104</v>
      </c>
      <c r="AA157" s="71"/>
      <c r="AB157" s="71"/>
      <c r="AC157" s="67" t="str">
        <f t="shared" si="28"/>
        <v/>
      </c>
      <c r="AE157" s="124"/>
      <c r="AF157" s="124"/>
      <c r="AG157" s="121"/>
      <c r="AH157" s="121"/>
      <c r="AI157" s="124"/>
      <c r="AJ157" s="124"/>
    </row>
    <row r="158" spans="2:36" x14ac:dyDescent="0.25">
      <c r="B158" s="2" t="s">
        <v>1245</v>
      </c>
      <c r="C158" s="7">
        <v>0.47916666666666669</v>
      </c>
      <c r="D158" s="3">
        <f t="shared" si="30"/>
        <v>3.5000000000000009</v>
      </c>
      <c r="E158" s="10" t="s">
        <v>201</v>
      </c>
      <c r="F158" s="40">
        <v>20</v>
      </c>
      <c r="G158" s="40">
        <v>2.5</v>
      </c>
      <c r="H158" s="40">
        <v>0</v>
      </c>
      <c r="I158" s="3">
        <f t="shared" si="24"/>
        <v>2.9166666666666674</v>
      </c>
      <c r="J158" s="3">
        <f t="shared" si="25"/>
        <v>0.36458333333333343</v>
      </c>
      <c r="K158" s="3">
        <f t="shared" si="26"/>
        <v>0</v>
      </c>
      <c r="L158" s="3"/>
      <c r="M158" s="60">
        <f t="shared" si="27"/>
        <v>797.69875000000013</v>
      </c>
      <c r="N158" s="40">
        <v>0</v>
      </c>
      <c r="O158" s="40">
        <v>0</v>
      </c>
      <c r="P158" s="40">
        <v>0</v>
      </c>
      <c r="Q158" s="40">
        <v>0</v>
      </c>
      <c r="R158" s="40">
        <v>0</v>
      </c>
      <c r="S158" s="40">
        <v>0</v>
      </c>
      <c r="T158" s="61">
        <f t="shared" si="23"/>
        <v>47.600000000000044</v>
      </c>
      <c r="U158" s="40">
        <v>0</v>
      </c>
      <c r="V158" s="40">
        <v>0</v>
      </c>
      <c r="W158" s="40">
        <v>0</v>
      </c>
      <c r="X158" s="40">
        <v>0</v>
      </c>
      <c r="Y158" s="67">
        <f t="shared" si="29"/>
        <v>104</v>
      </c>
      <c r="AA158" s="71"/>
      <c r="AB158" s="71"/>
      <c r="AC158" s="67" t="str">
        <f t="shared" si="28"/>
        <v/>
      </c>
      <c r="AE158" s="124">
        <v>9.8000000000000007</v>
      </c>
      <c r="AF158" s="124" t="s">
        <v>1296</v>
      </c>
      <c r="AG158" s="121"/>
      <c r="AH158" s="121"/>
      <c r="AI158" s="124"/>
      <c r="AJ158" s="124"/>
    </row>
    <row r="159" spans="2:36" x14ac:dyDescent="0.25">
      <c r="B159" s="2" t="s">
        <v>1245</v>
      </c>
      <c r="C159" s="7">
        <v>0.5</v>
      </c>
      <c r="D159" s="3">
        <f t="shared" si="30"/>
        <v>0.49999999999999956</v>
      </c>
      <c r="E159" s="10" t="s">
        <v>616</v>
      </c>
      <c r="F159" s="40">
        <v>5</v>
      </c>
      <c r="G159" s="40">
        <v>2.5</v>
      </c>
      <c r="H159" s="40">
        <v>2</v>
      </c>
      <c r="I159" s="3">
        <f t="shared" si="24"/>
        <v>0.10416666666666657</v>
      </c>
      <c r="J159" s="3">
        <f t="shared" si="25"/>
        <v>5.2083333333333287E-2</v>
      </c>
      <c r="K159" s="3">
        <f t="shared" si="26"/>
        <v>4.166666666666663E-2</v>
      </c>
      <c r="L159" s="3"/>
      <c r="M159" s="60">
        <f t="shared" si="27"/>
        <v>797.5008333333335</v>
      </c>
      <c r="N159" s="40">
        <v>0</v>
      </c>
      <c r="O159" s="40">
        <v>0</v>
      </c>
      <c r="P159" s="40">
        <v>0</v>
      </c>
      <c r="Q159" s="40">
        <v>0</v>
      </c>
      <c r="R159" s="40">
        <v>0</v>
      </c>
      <c r="S159" s="40">
        <v>0</v>
      </c>
      <c r="T159" s="61">
        <f t="shared" si="23"/>
        <v>47.600000000000044</v>
      </c>
      <c r="U159" s="40">
        <v>0</v>
      </c>
      <c r="V159" s="40">
        <v>0</v>
      </c>
      <c r="W159" s="40">
        <v>0</v>
      </c>
      <c r="X159" s="40">
        <v>0</v>
      </c>
      <c r="Y159" s="67">
        <f t="shared" si="29"/>
        <v>104</v>
      </c>
      <c r="AA159" s="71"/>
      <c r="AB159" s="71"/>
      <c r="AC159" s="67" t="str">
        <f t="shared" si="28"/>
        <v/>
      </c>
      <c r="AE159" s="124"/>
      <c r="AF159" s="124"/>
      <c r="AG159" s="121"/>
      <c r="AH159" s="121"/>
      <c r="AI159" s="124"/>
      <c r="AJ159" s="124"/>
    </row>
    <row r="160" spans="2:36" x14ac:dyDescent="0.25">
      <c r="B160" s="2" t="s">
        <v>1246</v>
      </c>
      <c r="C160" s="65">
        <v>0.33333333333333331</v>
      </c>
      <c r="D160" s="3">
        <f t="shared" si="30"/>
        <v>20</v>
      </c>
      <c r="E160" s="10" t="s">
        <v>351</v>
      </c>
      <c r="F160" s="40">
        <v>0</v>
      </c>
      <c r="G160" s="40">
        <v>2.5</v>
      </c>
      <c r="H160" s="40">
        <v>2</v>
      </c>
      <c r="I160" s="3">
        <f t="shared" si="24"/>
        <v>0</v>
      </c>
      <c r="J160" s="3">
        <f t="shared" si="25"/>
        <v>2.0833333333333335</v>
      </c>
      <c r="K160" s="3">
        <f t="shared" si="26"/>
        <v>1.6666666666666665</v>
      </c>
      <c r="L160" s="3"/>
      <c r="M160" s="60">
        <f t="shared" si="27"/>
        <v>793.7508333333335</v>
      </c>
      <c r="N160" s="40">
        <v>0</v>
      </c>
      <c r="O160" s="40">
        <v>0</v>
      </c>
      <c r="P160" s="40">
        <v>0</v>
      </c>
      <c r="Q160" s="40">
        <v>0</v>
      </c>
      <c r="R160" s="40">
        <v>0</v>
      </c>
      <c r="S160" s="40">
        <v>0</v>
      </c>
      <c r="T160" s="61">
        <f t="shared" si="23"/>
        <v>47.600000000000044</v>
      </c>
      <c r="U160" s="40">
        <v>0</v>
      </c>
      <c r="V160" s="40">
        <v>0</v>
      </c>
      <c r="W160" s="40">
        <v>6</v>
      </c>
      <c r="X160" s="40">
        <v>0</v>
      </c>
      <c r="Y160" s="67">
        <f t="shared" si="29"/>
        <v>98</v>
      </c>
      <c r="AA160" s="71"/>
      <c r="AB160" s="71"/>
      <c r="AC160" s="67" t="str">
        <f t="shared" si="28"/>
        <v/>
      </c>
      <c r="AE160" s="124"/>
      <c r="AF160" s="124"/>
      <c r="AG160" s="121"/>
      <c r="AH160" s="121"/>
      <c r="AI160" s="124"/>
      <c r="AJ160" s="124"/>
    </row>
    <row r="161" spans="2:36" x14ac:dyDescent="0.25">
      <c r="B161" s="2" t="s">
        <v>1246</v>
      </c>
      <c r="C161" s="7">
        <v>0.51250000000000007</v>
      </c>
      <c r="D161" s="3">
        <f t="shared" si="30"/>
        <v>4.3000000000000025</v>
      </c>
      <c r="E161" s="10" t="s">
        <v>1011</v>
      </c>
      <c r="F161" s="40">
        <v>0</v>
      </c>
      <c r="G161" s="40">
        <v>2.5</v>
      </c>
      <c r="H161" s="40">
        <v>2</v>
      </c>
      <c r="I161" s="3">
        <f t="shared" si="24"/>
        <v>0</v>
      </c>
      <c r="J161" s="3">
        <f t="shared" si="25"/>
        <v>0.44791666666666696</v>
      </c>
      <c r="K161" s="3">
        <f t="shared" si="26"/>
        <v>0.3583333333333335</v>
      </c>
      <c r="L161" s="3"/>
      <c r="M161" s="60">
        <f t="shared" si="27"/>
        <v>792.94458333333353</v>
      </c>
      <c r="N161" s="40">
        <v>0</v>
      </c>
      <c r="O161" s="40">
        <v>0</v>
      </c>
      <c r="P161" s="40">
        <v>0</v>
      </c>
      <c r="Q161" s="40">
        <v>0</v>
      </c>
      <c r="R161" s="40">
        <v>0</v>
      </c>
      <c r="S161" s="40">
        <v>0</v>
      </c>
      <c r="T161" s="61">
        <f t="shared" si="23"/>
        <v>47.600000000000044</v>
      </c>
      <c r="U161" s="40">
        <v>0</v>
      </c>
      <c r="V161" s="40">
        <v>0</v>
      </c>
      <c r="W161" s="40">
        <v>0</v>
      </c>
      <c r="X161" s="40">
        <v>0</v>
      </c>
      <c r="Y161" s="67">
        <f t="shared" si="29"/>
        <v>98</v>
      </c>
      <c r="AA161" s="71"/>
      <c r="AB161" s="71"/>
      <c r="AC161" s="67" t="str">
        <f t="shared" si="28"/>
        <v/>
      </c>
      <c r="AE161" s="124"/>
      <c r="AF161" s="124"/>
      <c r="AG161" s="121"/>
      <c r="AH161" s="121"/>
      <c r="AI161" s="124"/>
      <c r="AJ161" s="124"/>
    </row>
    <row r="162" spans="2:36" x14ac:dyDescent="0.25">
      <c r="B162" s="2" t="s">
        <v>1246</v>
      </c>
      <c r="C162" s="7">
        <v>0.58333333333333337</v>
      </c>
      <c r="D162" s="3">
        <f t="shared" si="30"/>
        <v>1.6999999999999993</v>
      </c>
      <c r="E162" s="10" t="s">
        <v>616</v>
      </c>
      <c r="F162" s="40">
        <v>2</v>
      </c>
      <c r="G162" s="40">
        <v>2.5</v>
      </c>
      <c r="H162" s="40">
        <v>2</v>
      </c>
      <c r="I162" s="3">
        <f t="shared" si="24"/>
        <v>0.14166666666666661</v>
      </c>
      <c r="J162" s="3">
        <f t="shared" si="25"/>
        <v>0.17708333333333326</v>
      </c>
      <c r="K162" s="3">
        <f t="shared" si="26"/>
        <v>0.14166666666666661</v>
      </c>
      <c r="L162" s="3"/>
      <c r="M162" s="60">
        <f t="shared" si="27"/>
        <v>792.48416666666685</v>
      </c>
      <c r="N162" s="40">
        <v>0</v>
      </c>
      <c r="O162" s="40">
        <v>0</v>
      </c>
      <c r="P162" s="40">
        <v>0</v>
      </c>
      <c r="Q162" s="40">
        <v>0</v>
      </c>
      <c r="R162" s="40">
        <v>0</v>
      </c>
      <c r="S162" s="40">
        <v>0</v>
      </c>
      <c r="T162" s="61">
        <f t="shared" si="23"/>
        <v>47.600000000000044</v>
      </c>
      <c r="U162" s="40">
        <v>0</v>
      </c>
      <c r="V162" s="40">
        <v>0</v>
      </c>
      <c r="W162" s="40">
        <v>0</v>
      </c>
      <c r="X162" s="40">
        <v>0</v>
      </c>
      <c r="Y162" s="67">
        <f t="shared" si="29"/>
        <v>98</v>
      </c>
      <c r="AA162" s="71"/>
      <c r="AB162" s="71"/>
      <c r="AC162" s="67" t="str">
        <f t="shared" si="28"/>
        <v/>
      </c>
      <c r="AE162" s="124"/>
      <c r="AF162" s="124"/>
      <c r="AG162" s="121"/>
      <c r="AH162" s="121"/>
      <c r="AI162" s="124"/>
      <c r="AJ162" s="124"/>
    </row>
    <row r="163" spans="2:36" x14ac:dyDescent="0.25">
      <c r="B163" s="2" t="s">
        <v>1246</v>
      </c>
      <c r="C163" s="7">
        <v>0.79583333333333339</v>
      </c>
      <c r="D163" s="3">
        <f t="shared" si="30"/>
        <v>5.1000000000000005</v>
      </c>
      <c r="E163" s="10" t="s">
        <v>1004</v>
      </c>
      <c r="F163" s="40">
        <v>0</v>
      </c>
      <c r="G163" s="40">
        <v>2.5</v>
      </c>
      <c r="H163" s="40">
        <v>2</v>
      </c>
      <c r="I163" s="3">
        <f t="shared" si="24"/>
        <v>0</v>
      </c>
      <c r="J163" s="3">
        <f t="shared" si="25"/>
        <v>0.53125000000000011</v>
      </c>
      <c r="K163" s="3">
        <f t="shared" si="26"/>
        <v>0.42500000000000004</v>
      </c>
      <c r="L163" s="3"/>
      <c r="M163" s="60">
        <f t="shared" si="27"/>
        <v>791.5279166666669</v>
      </c>
      <c r="N163" s="40">
        <v>0</v>
      </c>
      <c r="O163" s="40">
        <v>0</v>
      </c>
      <c r="P163" s="40">
        <v>0</v>
      </c>
      <c r="Q163" s="40">
        <v>0</v>
      </c>
      <c r="R163" s="40">
        <v>0</v>
      </c>
      <c r="S163" s="40">
        <v>0</v>
      </c>
      <c r="T163" s="61">
        <f t="shared" si="23"/>
        <v>47.600000000000044</v>
      </c>
      <c r="U163" s="40">
        <v>0</v>
      </c>
      <c r="V163" s="40">
        <v>0</v>
      </c>
      <c r="W163" s="40">
        <v>0</v>
      </c>
      <c r="X163" s="40">
        <v>0</v>
      </c>
      <c r="Y163" s="67">
        <f t="shared" si="29"/>
        <v>98</v>
      </c>
      <c r="AA163" s="71"/>
      <c r="AB163" s="71"/>
      <c r="AC163" s="67" t="str">
        <f t="shared" si="28"/>
        <v/>
      </c>
      <c r="AE163" s="124"/>
      <c r="AF163" s="124"/>
      <c r="AG163" s="121"/>
      <c r="AH163" s="121"/>
      <c r="AI163" s="124"/>
      <c r="AJ163" s="124"/>
    </row>
    <row r="164" spans="2:36" x14ac:dyDescent="0.25">
      <c r="B164" s="2" t="s">
        <v>1247</v>
      </c>
      <c r="C164" s="65">
        <v>0.33333333333333331</v>
      </c>
      <c r="D164" s="3">
        <f t="shared" si="30"/>
        <v>12.899999999999999</v>
      </c>
      <c r="E164" s="10" t="s">
        <v>966</v>
      </c>
      <c r="F164" s="40">
        <v>0</v>
      </c>
      <c r="G164" s="40">
        <v>2.5</v>
      </c>
      <c r="H164" s="40">
        <v>2</v>
      </c>
      <c r="I164" s="3">
        <f t="shared" si="24"/>
        <v>0</v>
      </c>
      <c r="J164" s="3">
        <f t="shared" si="25"/>
        <v>1.34375</v>
      </c>
      <c r="K164" s="3">
        <f t="shared" si="26"/>
        <v>1.0749999999999997</v>
      </c>
      <c r="L164" s="3"/>
      <c r="M164" s="60">
        <f t="shared" si="27"/>
        <v>789.10916666666685</v>
      </c>
      <c r="N164" s="40">
        <v>0</v>
      </c>
      <c r="O164" s="40">
        <v>0</v>
      </c>
      <c r="P164" s="40">
        <v>0</v>
      </c>
      <c r="Q164" s="40">
        <v>0</v>
      </c>
      <c r="R164" s="40">
        <v>3.2</v>
      </c>
      <c r="S164" s="40">
        <v>0</v>
      </c>
      <c r="T164" s="61">
        <f t="shared" si="23"/>
        <v>44.400000000000041</v>
      </c>
      <c r="U164" s="40">
        <v>0</v>
      </c>
      <c r="V164" s="40">
        <v>0</v>
      </c>
      <c r="W164" s="40">
        <v>6</v>
      </c>
      <c r="X164" s="40">
        <v>0</v>
      </c>
      <c r="Y164" s="67">
        <f t="shared" si="29"/>
        <v>92</v>
      </c>
      <c r="AA164" s="71"/>
      <c r="AB164" s="71"/>
      <c r="AC164" s="67" t="str">
        <f t="shared" si="28"/>
        <v/>
      </c>
      <c r="AE164" s="124"/>
      <c r="AF164" s="124"/>
      <c r="AG164" s="121"/>
      <c r="AH164" s="121"/>
      <c r="AI164" s="124"/>
      <c r="AJ164" s="124"/>
    </row>
    <row r="165" spans="2:36" x14ac:dyDescent="0.25">
      <c r="B165" s="2" t="s">
        <v>1247</v>
      </c>
      <c r="C165" s="7">
        <v>0.65</v>
      </c>
      <c r="D165" s="3">
        <f t="shared" si="30"/>
        <v>7.6000000000000014</v>
      </c>
      <c r="E165" s="10" t="s">
        <v>265</v>
      </c>
      <c r="F165" s="40">
        <v>0</v>
      </c>
      <c r="G165" s="40">
        <v>2.5</v>
      </c>
      <c r="H165" s="40">
        <v>2</v>
      </c>
      <c r="I165" s="3">
        <f t="shared" si="24"/>
        <v>0</v>
      </c>
      <c r="J165" s="3">
        <f t="shared" si="25"/>
        <v>0.79166666666666685</v>
      </c>
      <c r="K165" s="3">
        <f t="shared" si="26"/>
        <v>0.63333333333333341</v>
      </c>
      <c r="L165" s="3"/>
      <c r="M165" s="60">
        <f t="shared" si="27"/>
        <v>787.6841666666669</v>
      </c>
      <c r="N165" s="40">
        <v>0</v>
      </c>
      <c r="O165" s="40">
        <v>0</v>
      </c>
      <c r="P165" s="40">
        <v>0</v>
      </c>
      <c r="Q165" s="40">
        <v>0</v>
      </c>
      <c r="R165" s="40">
        <v>1.9</v>
      </c>
      <c r="S165" s="40">
        <v>0</v>
      </c>
      <c r="T165" s="61">
        <f t="shared" si="23"/>
        <v>42.500000000000043</v>
      </c>
      <c r="U165" s="40">
        <v>0</v>
      </c>
      <c r="V165" s="40">
        <v>0</v>
      </c>
      <c r="W165" s="40">
        <v>0</v>
      </c>
      <c r="X165" s="40">
        <v>0</v>
      </c>
      <c r="Y165" s="67">
        <f t="shared" si="29"/>
        <v>92</v>
      </c>
      <c r="AA165" s="71"/>
      <c r="AB165" s="71"/>
      <c r="AC165" s="67" t="str">
        <f t="shared" si="28"/>
        <v/>
      </c>
      <c r="AE165" s="124"/>
      <c r="AF165" s="124"/>
      <c r="AG165" s="121"/>
      <c r="AH165" s="121"/>
      <c r="AI165" s="124"/>
      <c r="AJ165" s="124"/>
    </row>
    <row r="166" spans="2:36" x14ac:dyDescent="0.25">
      <c r="B166" s="2" t="s">
        <v>1247</v>
      </c>
      <c r="C166" s="7">
        <v>0.77916666666666667</v>
      </c>
      <c r="D166" s="3">
        <f>+IF((C166-C165)&lt;0,((C166-C165)*24)+24,(C166-C165)*24)</f>
        <v>3.0999999999999996</v>
      </c>
      <c r="E166" s="10" t="s">
        <v>1011</v>
      </c>
      <c r="F166" s="40">
        <v>0</v>
      </c>
      <c r="G166" s="40">
        <v>2.5</v>
      </c>
      <c r="H166" s="40">
        <v>2</v>
      </c>
      <c r="I166" s="3">
        <f t="shared" si="24"/>
        <v>0</v>
      </c>
      <c r="J166" s="3">
        <f t="shared" si="25"/>
        <v>0.32291666666666663</v>
      </c>
      <c r="K166" s="3">
        <f t="shared" si="26"/>
        <v>0.2583333333333333</v>
      </c>
      <c r="L166" s="3"/>
      <c r="M166" s="60">
        <f>+IF(D166="","",M165-(I166+J166+K166))</f>
        <v>787.10291666666694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61">
        <f>IF(D166="","",(T165+S166)-(N166+O166+P166+Q166+R166))</f>
        <v>42.500000000000043</v>
      </c>
      <c r="U166" s="40">
        <v>0</v>
      </c>
      <c r="V166" s="40">
        <v>0</v>
      </c>
      <c r="W166" s="40">
        <v>0</v>
      </c>
      <c r="X166" s="40">
        <v>0</v>
      </c>
      <c r="Y166" s="67">
        <f t="shared" si="29"/>
        <v>92</v>
      </c>
      <c r="AA166" s="71"/>
      <c r="AB166" s="71"/>
      <c r="AC166" s="67" t="str">
        <f t="shared" si="28"/>
        <v/>
      </c>
      <c r="AE166" s="124"/>
      <c r="AF166" s="124"/>
      <c r="AG166" s="121"/>
      <c r="AH166" s="121"/>
      <c r="AI166" s="124"/>
      <c r="AJ166" s="124"/>
    </row>
    <row r="167" spans="2:36" x14ac:dyDescent="0.25">
      <c r="B167" s="2" t="s">
        <v>1247</v>
      </c>
      <c r="C167" s="7">
        <v>0.8041666666666667</v>
      </c>
      <c r="D167" s="3">
        <f t="shared" si="30"/>
        <v>0.60000000000000053</v>
      </c>
      <c r="E167" s="10" t="s">
        <v>1248</v>
      </c>
      <c r="F167" s="40">
        <v>5</v>
      </c>
      <c r="G167" s="40">
        <v>2.5</v>
      </c>
      <c r="H167" s="40">
        <v>2</v>
      </c>
      <c r="I167" s="3">
        <f t="shared" si="24"/>
        <v>0.12500000000000011</v>
      </c>
      <c r="J167" s="3">
        <f t="shared" si="25"/>
        <v>6.2500000000000056E-2</v>
      </c>
      <c r="K167" s="3">
        <f t="shared" si="26"/>
        <v>5.0000000000000044E-2</v>
      </c>
      <c r="L167" s="3"/>
      <c r="M167" s="60">
        <f t="shared" si="27"/>
        <v>786.86541666666699</v>
      </c>
      <c r="N167" s="40">
        <v>0</v>
      </c>
      <c r="O167" s="40">
        <v>0</v>
      </c>
      <c r="P167" s="40">
        <v>0</v>
      </c>
      <c r="Q167" s="40">
        <v>0</v>
      </c>
      <c r="R167" s="40">
        <v>0</v>
      </c>
      <c r="S167" s="40">
        <v>0</v>
      </c>
      <c r="T167" s="61">
        <f t="shared" si="23"/>
        <v>42.500000000000043</v>
      </c>
      <c r="U167" s="40">
        <v>0</v>
      </c>
      <c r="V167" s="40">
        <v>0</v>
      </c>
      <c r="W167" s="40">
        <v>0</v>
      </c>
      <c r="X167" s="40">
        <v>0</v>
      </c>
      <c r="Y167" s="67">
        <f t="shared" si="29"/>
        <v>92</v>
      </c>
      <c r="AA167" s="71"/>
      <c r="AB167" s="71"/>
      <c r="AC167" s="67" t="str">
        <f t="shared" si="28"/>
        <v/>
      </c>
      <c r="AE167" s="124"/>
      <c r="AF167" s="124"/>
      <c r="AG167" s="121"/>
      <c r="AH167" s="121"/>
      <c r="AI167" s="124"/>
      <c r="AJ167" s="124"/>
    </row>
    <row r="168" spans="2:36" x14ac:dyDescent="0.25">
      <c r="B168" s="2" t="s">
        <v>1249</v>
      </c>
      <c r="C168" s="7">
        <v>0.16666666666666666</v>
      </c>
      <c r="D168" s="3">
        <f t="shared" si="30"/>
        <v>8.6999999999999993</v>
      </c>
      <c r="E168" s="10" t="s">
        <v>201</v>
      </c>
      <c r="F168" s="40">
        <v>20</v>
      </c>
      <c r="G168" s="40">
        <v>2.5</v>
      </c>
      <c r="H168" s="40">
        <v>0</v>
      </c>
      <c r="I168" s="3">
        <f t="shared" si="24"/>
        <v>7.25</v>
      </c>
      <c r="J168" s="3">
        <f t="shared" si="25"/>
        <v>0.90625</v>
      </c>
      <c r="K168" s="3">
        <f t="shared" si="26"/>
        <v>0</v>
      </c>
      <c r="L168" s="3"/>
      <c r="M168" s="60">
        <f t="shared" si="27"/>
        <v>778.70916666666699</v>
      </c>
      <c r="N168" s="40">
        <v>0</v>
      </c>
      <c r="O168" s="40">
        <v>0</v>
      </c>
      <c r="P168" s="40">
        <v>0</v>
      </c>
      <c r="Q168" s="40">
        <v>0</v>
      </c>
      <c r="R168" s="40">
        <v>0</v>
      </c>
      <c r="S168" s="40">
        <v>0</v>
      </c>
      <c r="T168" s="61">
        <f t="shared" si="23"/>
        <v>42.500000000000043</v>
      </c>
      <c r="U168" s="40">
        <v>0</v>
      </c>
      <c r="V168" s="40">
        <v>0</v>
      </c>
      <c r="W168" s="40">
        <v>4</v>
      </c>
      <c r="X168" s="40">
        <v>0</v>
      </c>
      <c r="Y168" s="67">
        <f t="shared" si="29"/>
        <v>88</v>
      </c>
      <c r="AA168" s="71"/>
      <c r="AB168" s="71"/>
      <c r="AC168" s="67" t="str">
        <f t="shared" si="28"/>
        <v/>
      </c>
      <c r="AE168" s="124">
        <v>10.6</v>
      </c>
      <c r="AF168" s="124" t="s">
        <v>1303</v>
      </c>
      <c r="AG168" s="121"/>
      <c r="AH168" s="121"/>
      <c r="AI168" s="124"/>
      <c r="AJ168" s="124"/>
    </row>
    <row r="169" spans="2:36" x14ac:dyDescent="0.25">
      <c r="B169" s="2" t="s">
        <v>1249</v>
      </c>
      <c r="C169" s="7">
        <v>0.3</v>
      </c>
      <c r="D169" s="3">
        <f t="shared" si="30"/>
        <v>3.2</v>
      </c>
      <c r="E169" s="10" t="s">
        <v>616</v>
      </c>
      <c r="F169" s="40">
        <v>1</v>
      </c>
      <c r="G169" s="40">
        <v>2.5</v>
      </c>
      <c r="H169" s="40">
        <v>2</v>
      </c>
      <c r="I169" s="3">
        <f t="shared" si="24"/>
        <v>0.13333333333333333</v>
      </c>
      <c r="J169" s="3">
        <f t="shared" si="25"/>
        <v>0.33333333333333337</v>
      </c>
      <c r="K169" s="3">
        <f t="shared" si="26"/>
        <v>0.26666666666666666</v>
      </c>
      <c r="L169" s="3"/>
      <c r="M169" s="60">
        <f t="shared" si="27"/>
        <v>777.97583333333364</v>
      </c>
      <c r="N169" s="40">
        <v>0</v>
      </c>
      <c r="O169" s="40">
        <v>0</v>
      </c>
      <c r="P169" s="40">
        <v>0</v>
      </c>
      <c r="Q169" s="40">
        <v>0</v>
      </c>
      <c r="R169" s="40">
        <v>0</v>
      </c>
      <c r="S169" s="40">
        <v>0</v>
      </c>
      <c r="T169" s="61">
        <f t="shared" si="23"/>
        <v>42.500000000000043</v>
      </c>
      <c r="U169" s="40">
        <v>0</v>
      </c>
      <c r="V169" s="40">
        <v>0</v>
      </c>
      <c r="W169" s="40">
        <v>0</v>
      </c>
      <c r="X169" s="40">
        <v>0</v>
      </c>
      <c r="Y169" s="67">
        <f t="shared" si="29"/>
        <v>88</v>
      </c>
      <c r="AA169" s="71"/>
      <c r="AB169" s="71"/>
      <c r="AC169" s="67" t="str">
        <f t="shared" si="28"/>
        <v/>
      </c>
      <c r="AE169" s="124"/>
      <c r="AF169" s="124"/>
      <c r="AG169" s="121"/>
      <c r="AH169" s="121"/>
      <c r="AI169" s="124"/>
      <c r="AJ169" s="124"/>
    </row>
    <row r="170" spans="2:36" x14ac:dyDescent="0.25">
      <c r="B170" s="2" t="s">
        <v>1249</v>
      </c>
      <c r="C170" s="65">
        <v>0.33333333333333331</v>
      </c>
      <c r="D170" s="3">
        <f t="shared" si="30"/>
        <v>0.79999999999999982</v>
      </c>
      <c r="E170" s="10" t="s">
        <v>1066</v>
      </c>
      <c r="F170" s="40">
        <v>0</v>
      </c>
      <c r="G170" s="40">
        <v>2.5</v>
      </c>
      <c r="H170" s="40">
        <v>2</v>
      </c>
      <c r="I170" s="3">
        <f t="shared" si="24"/>
        <v>0</v>
      </c>
      <c r="J170" s="3">
        <f t="shared" si="25"/>
        <v>8.3333333333333315E-2</v>
      </c>
      <c r="K170" s="3">
        <f t="shared" si="26"/>
        <v>6.6666666666666652E-2</v>
      </c>
      <c r="L170" s="3"/>
      <c r="M170" s="60">
        <f t="shared" si="27"/>
        <v>777.82583333333366</v>
      </c>
      <c r="N170" s="40">
        <v>0</v>
      </c>
      <c r="O170" s="40">
        <v>0</v>
      </c>
      <c r="P170" s="40">
        <v>0</v>
      </c>
      <c r="Q170" s="40">
        <v>0</v>
      </c>
      <c r="R170" s="40">
        <v>0</v>
      </c>
      <c r="S170" s="40">
        <v>0</v>
      </c>
      <c r="T170" s="61">
        <f t="shared" ref="T170:T234" si="31">IF(D170="","",(T169+S170)-(N170+O170+P170+Q170+R170))</f>
        <v>42.500000000000043</v>
      </c>
      <c r="U170" s="40">
        <v>0</v>
      </c>
      <c r="V170" s="40">
        <v>0</v>
      </c>
      <c r="W170" s="40">
        <v>2</v>
      </c>
      <c r="X170" s="40">
        <v>0</v>
      </c>
      <c r="Y170" s="67">
        <f t="shared" si="29"/>
        <v>86</v>
      </c>
      <c r="AA170" s="71"/>
      <c r="AB170" s="71"/>
      <c r="AC170" s="67" t="str">
        <f t="shared" si="28"/>
        <v/>
      </c>
      <c r="AE170" s="124"/>
      <c r="AF170" s="124"/>
      <c r="AG170" s="121"/>
      <c r="AH170" s="121"/>
      <c r="AI170" s="124"/>
      <c r="AJ170" s="124"/>
    </row>
    <row r="171" spans="2:36" x14ac:dyDescent="0.25">
      <c r="B171" s="2" t="s">
        <v>1249</v>
      </c>
      <c r="C171" s="7">
        <v>0.41250000000000003</v>
      </c>
      <c r="D171" s="3">
        <f t="shared" si="30"/>
        <v>1.9000000000000012</v>
      </c>
      <c r="E171" s="10" t="s">
        <v>1004</v>
      </c>
      <c r="F171" s="40">
        <v>0</v>
      </c>
      <c r="G171" s="40">
        <v>2.5</v>
      </c>
      <c r="H171" s="40">
        <v>2</v>
      </c>
      <c r="I171" s="3">
        <f t="shared" si="24"/>
        <v>0</v>
      </c>
      <c r="J171" s="3">
        <f t="shared" si="25"/>
        <v>0.1979166666666668</v>
      </c>
      <c r="K171" s="3">
        <f t="shared" si="26"/>
        <v>0.15833333333333344</v>
      </c>
      <c r="L171" s="3"/>
      <c r="M171" s="60">
        <f t="shared" si="27"/>
        <v>777.46958333333362</v>
      </c>
      <c r="N171" s="40">
        <v>0</v>
      </c>
      <c r="O171" s="40">
        <v>0</v>
      </c>
      <c r="P171" s="40">
        <v>0</v>
      </c>
      <c r="Q171" s="40">
        <v>0</v>
      </c>
      <c r="R171" s="40">
        <v>0</v>
      </c>
      <c r="S171" s="40">
        <v>0</v>
      </c>
      <c r="T171" s="61">
        <f t="shared" si="31"/>
        <v>42.500000000000043</v>
      </c>
      <c r="U171" s="40">
        <v>0</v>
      </c>
      <c r="V171" s="40">
        <v>0</v>
      </c>
      <c r="W171" s="40">
        <v>0</v>
      </c>
      <c r="X171" s="40">
        <v>0</v>
      </c>
      <c r="Y171" s="67">
        <f t="shared" si="29"/>
        <v>86</v>
      </c>
      <c r="AA171" s="71"/>
      <c r="AB171" s="71"/>
      <c r="AC171" s="67" t="str">
        <f t="shared" si="28"/>
        <v/>
      </c>
      <c r="AE171" s="124"/>
      <c r="AF171" s="124"/>
      <c r="AG171" s="121"/>
      <c r="AH171" s="121"/>
      <c r="AI171" s="124"/>
      <c r="AJ171" s="124"/>
    </row>
    <row r="172" spans="2:36" x14ac:dyDescent="0.25">
      <c r="B172" s="2" t="s">
        <v>1249</v>
      </c>
      <c r="C172" s="7">
        <v>0.9458333333333333</v>
      </c>
      <c r="D172" s="3">
        <f t="shared" si="30"/>
        <v>12.799999999999997</v>
      </c>
      <c r="E172" s="10" t="s">
        <v>265</v>
      </c>
      <c r="F172" s="40">
        <v>0</v>
      </c>
      <c r="G172" s="40">
        <v>2.5</v>
      </c>
      <c r="H172" s="40">
        <v>2</v>
      </c>
      <c r="I172" s="3">
        <f t="shared" si="24"/>
        <v>0</v>
      </c>
      <c r="J172" s="3">
        <f t="shared" si="25"/>
        <v>1.333333333333333</v>
      </c>
      <c r="K172" s="3">
        <f t="shared" si="26"/>
        <v>1.0666666666666664</v>
      </c>
      <c r="L172" s="3"/>
      <c r="M172" s="60">
        <f t="shared" si="27"/>
        <v>775.06958333333364</v>
      </c>
      <c r="N172" s="40">
        <v>0</v>
      </c>
      <c r="O172" s="40">
        <v>0</v>
      </c>
      <c r="P172" s="40">
        <v>0</v>
      </c>
      <c r="Q172" s="40">
        <v>0</v>
      </c>
      <c r="R172" s="40">
        <v>3.2</v>
      </c>
      <c r="S172" s="40">
        <v>0</v>
      </c>
      <c r="T172" s="61">
        <f t="shared" si="31"/>
        <v>39.30000000000004</v>
      </c>
      <c r="U172" s="40">
        <v>0</v>
      </c>
      <c r="V172" s="40">
        <v>0</v>
      </c>
      <c r="W172" s="40">
        <v>3</v>
      </c>
      <c r="X172" s="40">
        <v>0</v>
      </c>
      <c r="Y172" s="67">
        <f t="shared" si="29"/>
        <v>83</v>
      </c>
      <c r="AA172" s="71"/>
      <c r="AB172" s="71"/>
      <c r="AC172" s="67" t="str">
        <f t="shared" si="28"/>
        <v/>
      </c>
      <c r="AE172" s="124"/>
      <c r="AF172" s="124"/>
      <c r="AG172" s="121"/>
      <c r="AH172" s="121"/>
      <c r="AI172" s="124"/>
      <c r="AJ172" s="124"/>
    </row>
    <row r="173" spans="2:36" x14ac:dyDescent="0.25">
      <c r="B173" s="2" t="s">
        <v>1250</v>
      </c>
      <c r="C173" s="7">
        <v>7.4999999999999997E-2</v>
      </c>
      <c r="D173" s="3">
        <f t="shared" si="30"/>
        <v>3.1000000000000014</v>
      </c>
      <c r="E173" s="10" t="s">
        <v>1011</v>
      </c>
      <c r="F173" s="40">
        <v>0</v>
      </c>
      <c r="G173" s="40">
        <v>2.5</v>
      </c>
      <c r="H173" s="40">
        <v>2</v>
      </c>
      <c r="I173" s="3">
        <f t="shared" si="24"/>
        <v>0</v>
      </c>
      <c r="J173" s="3">
        <f t="shared" si="25"/>
        <v>0.32291666666666685</v>
      </c>
      <c r="K173" s="3">
        <f t="shared" si="26"/>
        <v>0.25833333333333341</v>
      </c>
      <c r="L173" s="3"/>
      <c r="M173" s="60">
        <f t="shared" si="27"/>
        <v>774.48833333333369</v>
      </c>
      <c r="N173" s="40">
        <v>0</v>
      </c>
      <c r="O173" s="40">
        <v>0</v>
      </c>
      <c r="P173" s="40">
        <v>0</v>
      </c>
      <c r="Q173" s="40">
        <v>0</v>
      </c>
      <c r="R173" s="40">
        <v>0</v>
      </c>
      <c r="S173" s="40">
        <v>0</v>
      </c>
      <c r="T173" s="61">
        <f t="shared" si="31"/>
        <v>39.30000000000004</v>
      </c>
      <c r="U173" s="40">
        <v>0</v>
      </c>
      <c r="V173" s="40">
        <v>0</v>
      </c>
      <c r="W173" s="40">
        <v>0</v>
      </c>
      <c r="X173" s="40">
        <v>0</v>
      </c>
      <c r="Y173" s="67">
        <f t="shared" si="29"/>
        <v>83</v>
      </c>
      <c r="AA173" s="71"/>
      <c r="AB173" s="71"/>
      <c r="AC173" s="67" t="str">
        <f t="shared" si="28"/>
        <v/>
      </c>
      <c r="AE173" s="124"/>
      <c r="AF173" s="124"/>
      <c r="AG173" s="121"/>
      <c r="AH173" s="121"/>
      <c r="AI173" s="124"/>
      <c r="AJ173" s="124"/>
    </row>
    <row r="174" spans="2:36" x14ac:dyDescent="0.25">
      <c r="B174" s="2" t="s">
        <v>1250</v>
      </c>
      <c r="C174" s="7">
        <v>0.10416666666666667</v>
      </c>
      <c r="D174" s="3">
        <f t="shared" si="30"/>
        <v>0.70000000000000018</v>
      </c>
      <c r="E174" s="10" t="s">
        <v>1251</v>
      </c>
      <c r="F174" s="40">
        <v>5</v>
      </c>
      <c r="G174" s="40">
        <v>2.5</v>
      </c>
      <c r="H174" s="40">
        <v>2</v>
      </c>
      <c r="I174" s="3">
        <f t="shared" si="24"/>
        <v>0.14583333333333337</v>
      </c>
      <c r="J174" s="3">
        <f t="shared" si="25"/>
        <v>7.2916666666666685E-2</v>
      </c>
      <c r="K174" s="3">
        <f t="shared" si="26"/>
        <v>5.8333333333333348E-2</v>
      </c>
      <c r="L174" s="3"/>
      <c r="M174" s="60">
        <f t="shared" si="27"/>
        <v>774.2112500000004</v>
      </c>
      <c r="N174" s="40">
        <v>0</v>
      </c>
      <c r="O174" s="40">
        <v>0</v>
      </c>
      <c r="P174" s="40">
        <v>0</v>
      </c>
      <c r="Q174" s="40">
        <v>0</v>
      </c>
      <c r="R174" s="40">
        <v>0</v>
      </c>
      <c r="S174" s="40">
        <v>0</v>
      </c>
      <c r="T174" s="61">
        <f t="shared" si="31"/>
        <v>39.30000000000004</v>
      </c>
      <c r="U174" s="40">
        <v>0</v>
      </c>
      <c r="V174" s="40">
        <v>0</v>
      </c>
      <c r="W174" s="40">
        <v>0</v>
      </c>
      <c r="X174" s="40">
        <v>0</v>
      </c>
      <c r="Y174" s="67">
        <f t="shared" si="29"/>
        <v>83</v>
      </c>
      <c r="AA174" s="71"/>
      <c r="AB174" s="71"/>
      <c r="AC174" s="67" t="str">
        <f t="shared" si="28"/>
        <v/>
      </c>
      <c r="AE174" s="124"/>
      <c r="AF174" s="124"/>
      <c r="AG174" s="121"/>
      <c r="AH174" s="121"/>
      <c r="AI174" s="124"/>
      <c r="AJ174" s="124"/>
    </row>
    <row r="175" spans="2:36" x14ac:dyDescent="0.25">
      <c r="B175" s="2" t="s">
        <v>1250</v>
      </c>
      <c r="C175" s="65">
        <v>0.33333333333333331</v>
      </c>
      <c r="D175" s="3">
        <f t="shared" si="30"/>
        <v>5.4999999999999991</v>
      </c>
      <c r="E175" s="10" t="s">
        <v>355</v>
      </c>
      <c r="F175" s="40">
        <v>20</v>
      </c>
      <c r="G175" s="40">
        <v>2.5</v>
      </c>
      <c r="H175" s="40">
        <v>0</v>
      </c>
      <c r="I175" s="3">
        <f t="shared" si="24"/>
        <v>4.583333333333333</v>
      </c>
      <c r="J175" s="3">
        <f t="shared" si="25"/>
        <v>0.57291666666666663</v>
      </c>
      <c r="K175" s="3">
        <f t="shared" si="26"/>
        <v>0</v>
      </c>
      <c r="L175" s="3"/>
      <c r="M175" s="60">
        <f t="shared" si="27"/>
        <v>769.0550000000004</v>
      </c>
      <c r="N175" s="40">
        <v>0</v>
      </c>
      <c r="O175" s="40">
        <v>0</v>
      </c>
      <c r="P175" s="40">
        <v>0</v>
      </c>
      <c r="Q175" s="40">
        <v>0</v>
      </c>
      <c r="R175" s="40">
        <v>0</v>
      </c>
      <c r="S175" s="40">
        <v>0</v>
      </c>
      <c r="T175" s="61">
        <f t="shared" si="31"/>
        <v>39.30000000000004</v>
      </c>
      <c r="U175" s="40">
        <v>0</v>
      </c>
      <c r="V175" s="40">
        <v>0</v>
      </c>
      <c r="W175" s="40">
        <v>3</v>
      </c>
      <c r="X175" s="40">
        <v>0</v>
      </c>
      <c r="Y175" s="67">
        <f t="shared" si="29"/>
        <v>80</v>
      </c>
      <c r="AA175" s="71"/>
      <c r="AB175" s="71"/>
      <c r="AC175" s="67" t="str">
        <f t="shared" si="28"/>
        <v/>
      </c>
      <c r="AE175" s="124"/>
      <c r="AF175" s="124"/>
      <c r="AG175" s="121"/>
      <c r="AH175" s="121"/>
      <c r="AI175" s="124"/>
      <c r="AJ175" s="124"/>
    </row>
    <row r="176" spans="2:36" x14ac:dyDescent="0.25">
      <c r="B176" s="2" t="s">
        <v>1252</v>
      </c>
      <c r="C176" s="7">
        <v>0.10416666666666667</v>
      </c>
      <c r="D176" s="3">
        <f t="shared" si="30"/>
        <v>18.5</v>
      </c>
      <c r="E176" s="10" t="s">
        <v>201</v>
      </c>
      <c r="F176" s="40">
        <v>20</v>
      </c>
      <c r="G176" s="40">
        <v>2.5</v>
      </c>
      <c r="H176" s="40">
        <v>0</v>
      </c>
      <c r="I176" s="3">
        <f t="shared" si="24"/>
        <v>15.416666666666668</v>
      </c>
      <c r="J176" s="3">
        <f t="shared" si="25"/>
        <v>1.9270833333333335</v>
      </c>
      <c r="K176" s="3">
        <f t="shared" si="26"/>
        <v>0</v>
      </c>
      <c r="L176" s="3"/>
      <c r="M176" s="60">
        <f t="shared" si="27"/>
        <v>751.7112500000004</v>
      </c>
      <c r="N176" s="40">
        <v>0</v>
      </c>
      <c r="O176" s="40">
        <v>0</v>
      </c>
      <c r="P176" s="40">
        <v>0</v>
      </c>
      <c r="Q176" s="40">
        <v>0</v>
      </c>
      <c r="R176" s="40">
        <v>0</v>
      </c>
      <c r="S176" s="40">
        <v>0</v>
      </c>
      <c r="T176" s="61">
        <f t="shared" si="31"/>
        <v>39.30000000000004</v>
      </c>
      <c r="U176" s="40">
        <v>0</v>
      </c>
      <c r="V176" s="40">
        <v>0</v>
      </c>
      <c r="W176" s="40">
        <v>0</v>
      </c>
      <c r="X176" s="40">
        <v>0</v>
      </c>
      <c r="Y176" s="67">
        <f t="shared" si="29"/>
        <v>80</v>
      </c>
      <c r="AA176" s="71"/>
      <c r="AB176" s="71"/>
      <c r="AC176" s="67" t="str">
        <f t="shared" si="28"/>
        <v/>
      </c>
      <c r="AE176" s="124">
        <v>10.8</v>
      </c>
      <c r="AF176" s="124" t="s">
        <v>1296</v>
      </c>
      <c r="AG176" s="121"/>
      <c r="AH176" s="121"/>
      <c r="AI176" s="124"/>
      <c r="AJ176" s="124"/>
    </row>
    <row r="177" spans="2:36" x14ac:dyDescent="0.25">
      <c r="B177" s="2" t="s">
        <v>1252</v>
      </c>
      <c r="C177" s="7">
        <v>0.125</v>
      </c>
      <c r="D177" s="3">
        <f t="shared" si="30"/>
        <v>0.49999999999999989</v>
      </c>
      <c r="E177" s="10" t="s">
        <v>1253</v>
      </c>
      <c r="F177" s="40">
        <v>5</v>
      </c>
      <c r="G177" s="40">
        <v>2.5</v>
      </c>
      <c r="H177" s="40">
        <v>2</v>
      </c>
      <c r="I177" s="3">
        <f t="shared" si="24"/>
        <v>0.10416666666666664</v>
      </c>
      <c r="J177" s="3">
        <f t="shared" si="25"/>
        <v>5.2083333333333322E-2</v>
      </c>
      <c r="K177" s="3">
        <f t="shared" si="26"/>
        <v>4.1666666666666657E-2</v>
      </c>
      <c r="L177" s="3"/>
      <c r="M177" s="60">
        <f t="shared" si="27"/>
        <v>751.51333333333378</v>
      </c>
      <c r="N177" s="40">
        <v>0</v>
      </c>
      <c r="O177" s="40">
        <v>0</v>
      </c>
      <c r="P177" s="40">
        <v>0</v>
      </c>
      <c r="Q177" s="40">
        <v>0</v>
      </c>
      <c r="R177" s="40">
        <v>0</v>
      </c>
      <c r="S177" s="40">
        <v>0</v>
      </c>
      <c r="T177" s="61">
        <f t="shared" si="31"/>
        <v>39.30000000000004</v>
      </c>
      <c r="U177" s="40">
        <v>0</v>
      </c>
      <c r="V177" s="40">
        <v>0</v>
      </c>
      <c r="W177" s="40">
        <v>4</v>
      </c>
      <c r="X177" s="40">
        <v>0</v>
      </c>
      <c r="Y177" s="67">
        <f t="shared" si="29"/>
        <v>76</v>
      </c>
      <c r="AA177" s="71"/>
      <c r="AB177" s="71"/>
      <c r="AC177" s="67" t="str">
        <f t="shared" si="28"/>
        <v/>
      </c>
      <c r="AE177" s="124"/>
      <c r="AF177" s="124"/>
      <c r="AG177" s="121"/>
      <c r="AH177" s="121"/>
      <c r="AI177" s="124"/>
      <c r="AJ177" s="124"/>
    </row>
    <row r="178" spans="2:36" x14ac:dyDescent="0.25">
      <c r="B178" s="2" t="s">
        <v>1252</v>
      </c>
      <c r="C178" s="7">
        <v>0.16250000000000001</v>
      </c>
      <c r="D178" s="3">
        <f t="shared" si="30"/>
        <v>0.90000000000000013</v>
      </c>
      <c r="E178" s="10" t="s">
        <v>1011</v>
      </c>
      <c r="F178" s="40">
        <v>0</v>
      </c>
      <c r="G178" s="40">
        <v>2.5</v>
      </c>
      <c r="H178" s="40">
        <v>2</v>
      </c>
      <c r="I178" s="3">
        <f t="shared" si="24"/>
        <v>0</v>
      </c>
      <c r="J178" s="3">
        <f t="shared" si="25"/>
        <v>9.3750000000000014E-2</v>
      </c>
      <c r="K178" s="3">
        <f t="shared" si="26"/>
        <v>7.5000000000000011E-2</v>
      </c>
      <c r="L178" s="3"/>
      <c r="M178" s="60">
        <f t="shared" si="27"/>
        <v>751.34458333333373</v>
      </c>
      <c r="N178" s="40">
        <v>0</v>
      </c>
      <c r="O178" s="40">
        <v>0</v>
      </c>
      <c r="P178" s="40">
        <v>0</v>
      </c>
      <c r="Q178" s="40">
        <v>0</v>
      </c>
      <c r="R178" s="40">
        <v>0</v>
      </c>
      <c r="S178" s="40">
        <v>0</v>
      </c>
      <c r="T178" s="61">
        <f t="shared" si="31"/>
        <v>39.30000000000004</v>
      </c>
      <c r="U178" s="40">
        <v>0</v>
      </c>
      <c r="V178" s="40">
        <v>0</v>
      </c>
      <c r="W178" s="40">
        <v>0</v>
      </c>
      <c r="X178" s="40">
        <v>0</v>
      </c>
      <c r="Y178" s="67">
        <f t="shared" si="29"/>
        <v>76</v>
      </c>
      <c r="AA178" s="71"/>
      <c r="AB178" s="71"/>
      <c r="AC178" s="67" t="str">
        <f t="shared" si="28"/>
        <v/>
      </c>
      <c r="AE178" s="124"/>
      <c r="AF178" s="124"/>
      <c r="AG178" s="121"/>
      <c r="AH178" s="121"/>
      <c r="AI178" s="124"/>
      <c r="AJ178" s="124"/>
    </row>
    <row r="179" spans="2:36" x14ac:dyDescent="0.25">
      <c r="B179" s="2" t="s">
        <v>1252</v>
      </c>
      <c r="C179" s="7">
        <v>0.27083333333333331</v>
      </c>
      <c r="D179" s="3">
        <f t="shared" si="30"/>
        <v>2.5999999999999996</v>
      </c>
      <c r="E179" s="10" t="s">
        <v>1254</v>
      </c>
      <c r="F179" s="40">
        <v>2</v>
      </c>
      <c r="G179" s="40">
        <v>2.5</v>
      </c>
      <c r="H179" s="40">
        <v>2</v>
      </c>
      <c r="I179" s="3">
        <f t="shared" si="24"/>
        <v>0.21666666666666662</v>
      </c>
      <c r="J179" s="3">
        <f t="shared" si="25"/>
        <v>0.27083333333333331</v>
      </c>
      <c r="K179" s="3">
        <f t="shared" si="26"/>
        <v>0.21666666666666662</v>
      </c>
      <c r="L179" s="3"/>
      <c r="M179" s="60">
        <f t="shared" si="27"/>
        <v>750.64041666666708</v>
      </c>
      <c r="N179" s="40">
        <v>0</v>
      </c>
      <c r="O179" s="40">
        <v>0</v>
      </c>
      <c r="P179" s="40">
        <v>0</v>
      </c>
      <c r="Q179" s="40">
        <v>0</v>
      </c>
      <c r="R179" s="40">
        <v>0</v>
      </c>
      <c r="S179" s="40">
        <v>0</v>
      </c>
      <c r="T179" s="61">
        <f t="shared" si="31"/>
        <v>39.30000000000004</v>
      </c>
      <c r="U179" s="40">
        <v>0</v>
      </c>
      <c r="V179" s="40">
        <v>0</v>
      </c>
      <c r="W179" s="40">
        <v>0</v>
      </c>
      <c r="X179" s="40">
        <v>0</v>
      </c>
      <c r="Y179" s="67">
        <f t="shared" si="29"/>
        <v>76</v>
      </c>
      <c r="AA179" s="71"/>
      <c r="AB179" s="71"/>
      <c r="AC179" s="67" t="str">
        <f t="shared" si="28"/>
        <v/>
      </c>
      <c r="AE179" s="124"/>
      <c r="AF179" s="124"/>
      <c r="AG179" s="121"/>
      <c r="AH179" s="121"/>
      <c r="AI179" s="124"/>
      <c r="AJ179" s="124"/>
    </row>
    <row r="180" spans="2:36" x14ac:dyDescent="0.25">
      <c r="B180" s="2" t="s">
        <v>1252</v>
      </c>
      <c r="C180" s="65">
        <v>0.33333333333333331</v>
      </c>
      <c r="D180" s="3">
        <f t="shared" si="30"/>
        <v>1.5</v>
      </c>
      <c r="E180" s="10" t="s">
        <v>1066</v>
      </c>
      <c r="F180" s="40">
        <v>0</v>
      </c>
      <c r="G180" s="40">
        <v>2.5</v>
      </c>
      <c r="H180" s="40">
        <v>2</v>
      </c>
      <c r="I180" s="3">
        <f t="shared" si="24"/>
        <v>0</v>
      </c>
      <c r="J180" s="3">
        <f t="shared" si="25"/>
        <v>0.15625</v>
      </c>
      <c r="K180" s="3">
        <f t="shared" si="26"/>
        <v>0.125</v>
      </c>
      <c r="L180" s="3"/>
      <c r="M180" s="60">
        <f t="shared" si="27"/>
        <v>750.35916666666708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61">
        <f t="shared" si="31"/>
        <v>39.30000000000004</v>
      </c>
      <c r="U180" s="40">
        <v>0</v>
      </c>
      <c r="V180" s="40">
        <v>0</v>
      </c>
      <c r="W180" s="40">
        <v>2</v>
      </c>
      <c r="X180" s="40">
        <v>0</v>
      </c>
      <c r="Y180" s="67">
        <f t="shared" si="29"/>
        <v>74</v>
      </c>
      <c r="AA180" s="71"/>
      <c r="AB180" s="71"/>
      <c r="AC180" s="67" t="str">
        <f t="shared" si="28"/>
        <v/>
      </c>
      <c r="AE180" s="124"/>
      <c r="AF180" s="124"/>
      <c r="AG180" s="121"/>
      <c r="AH180" s="121"/>
      <c r="AI180" s="124"/>
      <c r="AJ180" s="124"/>
    </row>
    <row r="181" spans="2:36" x14ac:dyDescent="0.25">
      <c r="B181" s="2" t="s">
        <v>1252</v>
      </c>
      <c r="C181" s="7">
        <v>0.44166666666666665</v>
      </c>
      <c r="D181" s="3">
        <f t="shared" si="30"/>
        <v>2.6</v>
      </c>
      <c r="E181" s="10" t="s">
        <v>1206</v>
      </c>
      <c r="F181" s="40">
        <v>0</v>
      </c>
      <c r="G181" s="40">
        <v>2.5</v>
      </c>
      <c r="H181" s="40">
        <v>2</v>
      </c>
      <c r="I181" s="3">
        <f t="shared" si="24"/>
        <v>0</v>
      </c>
      <c r="J181" s="3">
        <f t="shared" si="25"/>
        <v>0.27083333333333337</v>
      </c>
      <c r="K181" s="3">
        <f t="shared" si="26"/>
        <v>0.21666666666666667</v>
      </c>
      <c r="L181" s="3"/>
      <c r="M181" s="60">
        <f t="shared" si="27"/>
        <v>749.87166666666712</v>
      </c>
      <c r="N181" s="40">
        <v>0</v>
      </c>
      <c r="O181" s="40">
        <v>0</v>
      </c>
      <c r="P181" s="40">
        <v>0</v>
      </c>
      <c r="Q181" s="40">
        <v>0</v>
      </c>
      <c r="R181" s="40">
        <v>0</v>
      </c>
      <c r="S181" s="40">
        <v>0</v>
      </c>
      <c r="T181" s="61">
        <f t="shared" si="31"/>
        <v>39.30000000000004</v>
      </c>
      <c r="U181" s="40">
        <v>0</v>
      </c>
      <c r="V181" s="40">
        <v>0</v>
      </c>
      <c r="W181" s="40">
        <v>0</v>
      </c>
      <c r="X181" s="40">
        <v>0</v>
      </c>
      <c r="Y181" s="67">
        <f t="shared" si="29"/>
        <v>74</v>
      </c>
      <c r="AA181" s="71"/>
      <c r="AB181" s="71"/>
      <c r="AC181" s="67" t="str">
        <f t="shared" si="28"/>
        <v/>
      </c>
      <c r="AE181" s="124"/>
      <c r="AF181" s="124"/>
      <c r="AG181" s="121"/>
      <c r="AH181" s="121"/>
      <c r="AI181" s="124"/>
      <c r="AJ181" s="124"/>
    </row>
    <row r="182" spans="2:36" x14ac:dyDescent="0.25">
      <c r="B182" s="2" t="s">
        <v>1255</v>
      </c>
      <c r="C182" s="65">
        <v>0.33333333333333331</v>
      </c>
      <c r="D182" s="3">
        <f t="shared" si="30"/>
        <v>21.4</v>
      </c>
      <c r="E182" s="10" t="s">
        <v>1051</v>
      </c>
      <c r="F182" s="40">
        <v>0</v>
      </c>
      <c r="G182" s="40">
        <v>2.5</v>
      </c>
      <c r="H182" s="40">
        <v>2</v>
      </c>
      <c r="I182" s="3">
        <f t="shared" si="24"/>
        <v>0</v>
      </c>
      <c r="J182" s="3">
        <f t="shared" si="25"/>
        <v>2.2291666666666665</v>
      </c>
      <c r="K182" s="3">
        <f t="shared" si="26"/>
        <v>1.7833333333333332</v>
      </c>
      <c r="L182" s="3"/>
      <c r="M182" s="60">
        <f t="shared" si="27"/>
        <v>745.85916666666708</v>
      </c>
      <c r="N182" s="40">
        <v>0</v>
      </c>
      <c r="O182" s="40">
        <v>0</v>
      </c>
      <c r="P182" s="40">
        <v>0</v>
      </c>
      <c r="Q182" s="40">
        <v>0</v>
      </c>
      <c r="R182" s="40">
        <v>0</v>
      </c>
      <c r="S182" s="40">
        <v>0</v>
      </c>
      <c r="T182" s="61">
        <f t="shared" si="31"/>
        <v>39.30000000000004</v>
      </c>
      <c r="U182" s="40">
        <v>0</v>
      </c>
      <c r="V182" s="40">
        <v>0</v>
      </c>
      <c r="W182" s="40">
        <v>4</v>
      </c>
      <c r="X182" s="40">
        <v>0</v>
      </c>
      <c r="Y182" s="67">
        <f t="shared" si="29"/>
        <v>70</v>
      </c>
      <c r="AA182" s="71"/>
      <c r="AB182" s="71"/>
      <c r="AC182" s="67" t="str">
        <f t="shared" si="28"/>
        <v/>
      </c>
      <c r="AE182" s="124"/>
      <c r="AF182" s="124"/>
      <c r="AG182" s="121"/>
      <c r="AH182" s="121"/>
      <c r="AI182" s="124"/>
      <c r="AJ182" s="124"/>
    </row>
    <row r="183" spans="2:36" x14ac:dyDescent="0.25">
      <c r="B183" s="2" t="s">
        <v>1255</v>
      </c>
      <c r="C183" s="7">
        <v>0.85</v>
      </c>
      <c r="D183" s="3">
        <f t="shared" si="30"/>
        <v>12.399999999999999</v>
      </c>
      <c r="E183" s="10" t="s">
        <v>120</v>
      </c>
      <c r="F183" s="40">
        <v>0</v>
      </c>
      <c r="G183" s="40">
        <v>2.5</v>
      </c>
      <c r="H183" s="40">
        <v>2</v>
      </c>
      <c r="I183" s="3">
        <f t="shared" si="24"/>
        <v>0</v>
      </c>
      <c r="J183" s="3">
        <f t="shared" si="25"/>
        <v>1.2916666666666665</v>
      </c>
      <c r="K183" s="3">
        <f t="shared" si="26"/>
        <v>1.0333333333333332</v>
      </c>
      <c r="L183" s="3"/>
      <c r="M183" s="60">
        <f t="shared" si="27"/>
        <v>743.53416666666703</v>
      </c>
      <c r="N183" s="40">
        <v>0</v>
      </c>
      <c r="O183" s="40">
        <v>0</v>
      </c>
      <c r="P183" s="40">
        <v>0</v>
      </c>
      <c r="Q183" s="40">
        <v>0</v>
      </c>
      <c r="R183" s="40">
        <v>0</v>
      </c>
      <c r="S183" s="40">
        <v>0</v>
      </c>
      <c r="T183" s="61">
        <f t="shared" si="31"/>
        <v>39.30000000000004</v>
      </c>
      <c r="U183" s="40">
        <v>0</v>
      </c>
      <c r="V183" s="40">
        <v>0</v>
      </c>
      <c r="W183" s="40">
        <v>0</v>
      </c>
      <c r="X183" s="40">
        <v>0</v>
      </c>
      <c r="Y183" s="67">
        <f t="shared" si="29"/>
        <v>70</v>
      </c>
      <c r="AA183" s="71"/>
      <c r="AB183" s="71"/>
      <c r="AC183" s="67" t="str">
        <f t="shared" si="28"/>
        <v/>
      </c>
      <c r="AE183" s="124"/>
      <c r="AF183" s="124"/>
      <c r="AG183" s="121"/>
      <c r="AH183" s="121"/>
      <c r="AI183" s="124"/>
      <c r="AJ183" s="124"/>
    </row>
    <row r="184" spans="2:36" x14ac:dyDescent="0.25">
      <c r="B184" s="2" t="s">
        <v>1256</v>
      </c>
      <c r="C184" s="7">
        <v>7.9166666666666663E-2</v>
      </c>
      <c r="D184" s="3">
        <f t="shared" si="30"/>
        <v>5.5</v>
      </c>
      <c r="E184" s="10" t="s">
        <v>1011</v>
      </c>
      <c r="F184" s="40">
        <v>0</v>
      </c>
      <c r="G184" s="40">
        <v>2.5</v>
      </c>
      <c r="H184" s="40">
        <v>2</v>
      </c>
      <c r="I184" s="3">
        <f t="shared" si="24"/>
        <v>0</v>
      </c>
      <c r="J184" s="3">
        <f t="shared" si="25"/>
        <v>0.57291666666666674</v>
      </c>
      <c r="K184" s="3">
        <f t="shared" si="26"/>
        <v>0.45833333333333331</v>
      </c>
      <c r="L184" s="3"/>
      <c r="M184" s="60">
        <f t="shared" si="27"/>
        <v>742.50291666666703</v>
      </c>
      <c r="N184" s="40">
        <v>0</v>
      </c>
      <c r="O184" s="40">
        <v>0</v>
      </c>
      <c r="P184" s="40">
        <v>0</v>
      </c>
      <c r="Q184" s="40">
        <v>0</v>
      </c>
      <c r="R184" s="40">
        <v>0</v>
      </c>
      <c r="S184" s="40">
        <v>0</v>
      </c>
      <c r="T184" s="61">
        <f t="shared" si="31"/>
        <v>39.30000000000004</v>
      </c>
      <c r="U184" s="40">
        <v>0</v>
      </c>
      <c r="V184" s="40">
        <v>0</v>
      </c>
      <c r="W184" s="40">
        <v>0</v>
      </c>
      <c r="X184" s="40">
        <v>0</v>
      </c>
      <c r="Y184" s="67">
        <f t="shared" si="29"/>
        <v>70</v>
      </c>
      <c r="AA184" s="71"/>
      <c r="AB184" s="71"/>
      <c r="AC184" s="67" t="str">
        <f t="shared" si="28"/>
        <v/>
      </c>
      <c r="AE184" s="124"/>
      <c r="AF184" s="124"/>
      <c r="AG184" s="121"/>
      <c r="AH184" s="121"/>
      <c r="AI184" s="124"/>
      <c r="AJ184" s="124"/>
    </row>
    <row r="185" spans="2:36" x14ac:dyDescent="0.25">
      <c r="B185" s="2" t="s">
        <v>1215</v>
      </c>
      <c r="C185" s="7">
        <v>0.10416666666666667</v>
      </c>
      <c r="D185" s="3">
        <f t="shared" si="30"/>
        <v>0.6000000000000002</v>
      </c>
      <c r="E185" s="10" t="s">
        <v>1257</v>
      </c>
      <c r="F185" s="40">
        <v>5</v>
      </c>
      <c r="G185" s="40">
        <v>2.5</v>
      </c>
      <c r="H185" s="40">
        <v>2</v>
      </c>
      <c r="I185" s="3">
        <f t="shared" si="24"/>
        <v>0.12500000000000006</v>
      </c>
      <c r="J185" s="3">
        <f t="shared" si="25"/>
        <v>6.2500000000000028E-2</v>
      </c>
      <c r="K185" s="3">
        <f t="shared" si="26"/>
        <v>5.0000000000000017E-2</v>
      </c>
      <c r="L185" s="3"/>
      <c r="M185" s="60">
        <f t="shared" si="27"/>
        <v>742.26541666666708</v>
      </c>
      <c r="N185" s="40">
        <v>0</v>
      </c>
      <c r="O185" s="40">
        <v>0</v>
      </c>
      <c r="P185" s="40">
        <v>0</v>
      </c>
      <c r="Q185" s="40">
        <v>0</v>
      </c>
      <c r="R185" s="40">
        <v>0</v>
      </c>
      <c r="S185" s="40">
        <v>0</v>
      </c>
      <c r="T185" s="61">
        <f t="shared" si="31"/>
        <v>39.30000000000004</v>
      </c>
      <c r="U185" s="40">
        <v>0</v>
      </c>
      <c r="V185" s="40">
        <v>0</v>
      </c>
      <c r="W185" s="40">
        <v>0</v>
      </c>
      <c r="X185" s="40">
        <v>0</v>
      </c>
      <c r="Y185" s="67">
        <f t="shared" si="29"/>
        <v>70</v>
      </c>
      <c r="AA185" s="71"/>
      <c r="AB185" s="71"/>
      <c r="AC185" s="67" t="str">
        <f t="shared" si="28"/>
        <v/>
      </c>
      <c r="AE185" s="124"/>
      <c r="AF185" s="124"/>
      <c r="AG185" s="121"/>
      <c r="AH185" s="121"/>
      <c r="AI185" s="124"/>
      <c r="AJ185" s="124"/>
    </row>
    <row r="186" spans="2:36" x14ac:dyDescent="0.25">
      <c r="B186" s="7" t="s">
        <v>1256</v>
      </c>
      <c r="C186" s="65">
        <v>0.33333333333333331</v>
      </c>
      <c r="D186" s="3">
        <f t="shared" si="30"/>
        <v>5.4999999999999991</v>
      </c>
      <c r="E186" s="10" t="s">
        <v>355</v>
      </c>
      <c r="F186" s="40">
        <v>20</v>
      </c>
      <c r="G186" s="40">
        <v>2.5</v>
      </c>
      <c r="H186" s="40">
        <v>0</v>
      </c>
      <c r="I186" s="3">
        <f t="shared" si="24"/>
        <v>4.583333333333333</v>
      </c>
      <c r="J186" s="3">
        <f t="shared" si="25"/>
        <v>0.57291666666666663</v>
      </c>
      <c r="K186" s="3">
        <f t="shared" si="26"/>
        <v>0</v>
      </c>
      <c r="L186" s="3"/>
      <c r="M186" s="60">
        <f t="shared" si="27"/>
        <v>737.10916666666708</v>
      </c>
      <c r="N186" s="40">
        <v>0</v>
      </c>
      <c r="O186" s="40">
        <v>0</v>
      </c>
      <c r="P186" s="40">
        <v>0</v>
      </c>
      <c r="Q186" s="40">
        <v>0</v>
      </c>
      <c r="R186" s="40">
        <v>0</v>
      </c>
      <c r="S186" s="40">
        <v>0</v>
      </c>
      <c r="T186" s="61">
        <f t="shared" si="31"/>
        <v>39.30000000000004</v>
      </c>
      <c r="U186" s="40">
        <v>0</v>
      </c>
      <c r="V186" s="40">
        <v>0</v>
      </c>
      <c r="W186" s="40">
        <v>3</v>
      </c>
      <c r="X186" s="40">
        <v>0</v>
      </c>
      <c r="Y186" s="67">
        <f t="shared" si="29"/>
        <v>67</v>
      </c>
      <c r="AA186" s="71"/>
      <c r="AB186" s="71"/>
      <c r="AC186" s="67" t="str">
        <f t="shared" si="28"/>
        <v/>
      </c>
      <c r="AE186" s="124"/>
      <c r="AF186" s="124"/>
      <c r="AG186" s="121"/>
      <c r="AH186" s="121"/>
      <c r="AI186" s="124"/>
      <c r="AJ186" s="124"/>
    </row>
    <row r="187" spans="2:36" x14ac:dyDescent="0.25">
      <c r="B187" s="2" t="s">
        <v>1256</v>
      </c>
      <c r="C187" s="7">
        <v>0.4375</v>
      </c>
      <c r="D187" s="3">
        <f t="shared" si="30"/>
        <v>2.5000000000000004</v>
      </c>
      <c r="E187" s="10" t="s">
        <v>1162</v>
      </c>
      <c r="F187" s="40">
        <v>20</v>
      </c>
      <c r="G187" s="40">
        <v>2.5</v>
      </c>
      <c r="H187" s="40">
        <v>0</v>
      </c>
      <c r="I187" s="3">
        <f t="shared" si="24"/>
        <v>2.0833333333333339</v>
      </c>
      <c r="J187" s="3">
        <f t="shared" si="25"/>
        <v>0.26041666666666674</v>
      </c>
      <c r="K187" s="3">
        <f t="shared" si="26"/>
        <v>0</v>
      </c>
      <c r="L187" s="3"/>
      <c r="M187" s="60">
        <f t="shared" si="27"/>
        <v>734.76541666666708</v>
      </c>
      <c r="N187" s="40">
        <v>0</v>
      </c>
      <c r="O187" s="40">
        <v>0</v>
      </c>
      <c r="P187" s="40">
        <v>0</v>
      </c>
      <c r="Q187" s="40">
        <v>0</v>
      </c>
      <c r="R187" s="40">
        <v>0</v>
      </c>
      <c r="S187" s="40">
        <v>0</v>
      </c>
      <c r="T187" s="61">
        <f t="shared" si="31"/>
        <v>39.30000000000004</v>
      </c>
      <c r="U187" s="40">
        <v>0</v>
      </c>
      <c r="V187" s="40">
        <v>0</v>
      </c>
      <c r="W187" s="40">
        <v>0</v>
      </c>
      <c r="X187" s="40">
        <v>0</v>
      </c>
      <c r="Y187" s="67">
        <f t="shared" si="29"/>
        <v>67</v>
      </c>
      <c r="AA187" s="71"/>
      <c r="AB187" s="71"/>
      <c r="AC187" s="67" t="str">
        <f t="shared" si="28"/>
        <v/>
      </c>
      <c r="AE187" s="124">
        <v>10.4</v>
      </c>
      <c r="AF187" s="124" t="s">
        <v>1296</v>
      </c>
      <c r="AG187" s="121"/>
      <c r="AH187" s="121"/>
      <c r="AI187" s="124"/>
      <c r="AJ187" s="124"/>
    </row>
    <row r="188" spans="2:36" x14ac:dyDescent="0.25">
      <c r="B188" s="2" t="s">
        <v>1256</v>
      </c>
      <c r="C188" s="7">
        <v>0.51250000000000007</v>
      </c>
      <c r="D188" s="3">
        <f t="shared" si="30"/>
        <v>1.8000000000000016</v>
      </c>
      <c r="E188" s="10" t="s">
        <v>616</v>
      </c>
      <c r="F188" s="40">
        <v>2</v>
      </c>
      <c r="G188" s="40">
        <v>2.5</v>
      </c>
      <c r="H188" s="40">
        <v>2</v>
      </c>
      <c r="I188" s="3">
        <f t="shared" si="24"/>
        <v>0.15000000000000013</v>
      </c>
      <c r="J188" s="3">
        <f t="shared" si="25"/>
        <v>0.18750000000000017</v>
      </c>
      <c r="K188" s="3">
        <f t="shared" si="26"/>
        <v>0.15000000000000013</v>
      </c>
      <c r="L188" s="3"/>
      <c r="M188" s="60">
        <f t="shared" si="27"/>
        <v>734.27791666666712</v>
      </c>
      <c r="N188" s="40">
        <v>0</v>
      </c>
      <c r="O188" s="40">
        <v>0</v>
      </c>
      <c r="P188" s="40">
        <v>0</v>
      </c>
      <c r="Q188" s="40">
        <v>0</v>
      </c>
      <c r="R188" s="40">
        <v>0</v>
      </c>
      <c r="S188" s="40">
        <v>0</v>
      </c>
      <c r="T188" s="61">
        <f t="shared" si="31"/>
        <v>39.30000000000004</v>
      </c>
      <c r="U188" s="40">
        <v>0</v>
      </c>
      <c r="V188" s="40">
        <v>0</v>
      </c>
      <c r="W188" s="40">
        <v>0</v>
      </c>
      <c r="X188" s="40">
        <v>0</v>
      </c>
      <c r="Y188" s="67">
        <f t="shared" si="29"/>
        <v>67</v>
      </c>
      <c r="AA188" s="71"/>
      <c r="AB188" s="71"/>
      <c r="AC188" s="67" t="str">
        <f t="shared" si="28"/>
        <v/>
      </c>
      <c r="AE188" s="124"/>
      <c r="AF188" s="124"/>
      <c r="AG188" s="121"/>
      <c r="AH188" s="121"/>
      <c r="AI188" s="124"/>
      <c r="AJ188" s="124"/>
    </row>
    <row r="189" spans="2:36" x14ac:dyDescent="0.25">
      <c r="B189" s="2" t="s">
        <v>1256</v>
      </c>
      <c r="C189" s="7">
        <v>0.6166666666666667</v>
      </c>
      <c r="D189" s="3">
        <f t="shared" si="30"/>
        <v>2.4999999999999991</v>
      </c>
      <c r="E189" s="10" t="s">
        <v>1004</v>
      </c>
      <c r="F189" s="40">
        <v>0</v>
      </c>
      <c r="G189" s="40">
        <v>2.5</v>
      </c>
      <c r="H189" s="40">
        <v>2</v>
      </c>
      <c r="I189" s="3">
        <f t="shared" si="24"/>
        <v>0</v>
      </c>
      <c r="J189" s="3">
        <f t="shared" si="25"/>
        <v>0.26041666666666657</v>
      </c>
      <c r="K189" s="3">
        <f t="shared" si="26"/>
        <v>0.20833333333333326</v>
      </c>
      <c r="L189" s="3"/>
      <c r="M189" s="60">
        <f t="shared" si="27"/>
        <v>733.80916666666712</v>
      </c>
      <c r="N189" s="40">
        <v>0</v>
      </c>
      <c r="O189" s="40">
        <v>0</v>
      </c>
      <c r="P189" s="40">
        <v>0</v>
      </c>
      <c r="Q189" s="40">
        <v>0</v>
      </c>
      <c r="R189" s="40">
        <v>0</v>
      </c>
      <c r="S189" s="40">
        <v>0</v>
      </c>
      <c r="T189" s="61">
        <f t="shared" si="31"/>
        <v>39.30000000000004</v>
      </c>
      <c r="U189" s="40">
        <v>0</v>
      </c>
      <c r="V189" s="40">
        <v>0</v>
      </c>
      <c r="W189" s="40">
        <v>0</v>
      </c>
      <c r="X189" s="40">
        <v>0</v>
      </c>
      <c r="Y189" s="67">
        <f t="shared" si="29"/>
        <v>67</v>
      </c>
      <c r="AA189" s="71"/>
      <c r="AB189" s="71"/>
      <c r="AC189" s="67" t="str">
        <f t="shared" si="28"/>
        <v/>
      </c>
      <c r="AE189" s="124"/>
      <c r="AF189" s="124"/>
      <c r="AG189" s="121"/>
      <c r="AH189" s="121"/>
      <c r="AI189" s="124"/>
      <c r="AJ189" s="124"/>
    </row>
    <row r="190" spans="2:36" x14ac:dyDescent="0.25">
      <c r="B190" s="2" t="s">
        <v>1258</v>
      </c>
      <c r="C190" s="7">
        <v>1</v>
      </c>
      <c r="D190" s="3">
        <f t="shared" si="30"/>
        <v>9.1999999999999993</v>
      </c>
      <c r="E190" s="10" t="s">
        <v>265</v>
      </c>
      <c r="F190" s="40">
        <v>0</v>
      </c>
      <c r="G190" s="40">
        <v>2.5</v>
      </c>
      <c r="H190" s="40">
        <v>2</v>
      </c>
      <c r="I190" s="3">
        <f t="shared" si="24"/>
        <v>0</v>
      </c>
      <c r="J190" s="3">
        <f t="shared" si="25"/>
        <v>0.95833333333333326</v>
      </c>
      <c r="K190" s="3">
        <f t="shared" si="26"/>
        <v>0.76666666666666661</v>
      </c>
      <c r="L190" s="3"/>
      <c r="M190" s="60">
        <f t="shared" si="27"/>
        <v>732.0841666666671</v>
      </c>
      <c r="N190" s="40">
        <v>0</v>
      </c>
      <c r="O190" s="40">
        <v>0</v>
      </c>
      <c r="P190" s="40">
        <v>0</v>
      </c>
      <c r="Q190" s="40">
        <v>0</v>
      </c>
      <c r="R190" s="40">
        <v>2.2999999999999998</v>
      </c>
      <c r="S190" s="40">
        <v>0</v>
      </c>
      <c r="T190" s="61">
        <f t="shared" si="31"/>
        <v>37.000000000000043</v>
      </c>
      <c r="U190" s="40">
        <v>0</v>
      </c>
      <c r="V190" s="40">
        <v>0</v>
      </c>
      <c r="W190" s="40">
        <v>2</v>
      </c>
      <c r="X190" s="40">
        <v>0</v>
      </c>
      <c r="Y190" s="67">
        <f t="shared" si="29"/>
        <v>65</v>
      </c>
      <c r="AA190" s="71"/>
      <c r="AB190" s="71"/>
      <c r="AC190" s="67" t="str">
        <f t="shared" si="28"/>
        <v/>
      </c>
      <c r="AE190" s="124"/>
      <c r="AF190" s="124"/>
      <c r="AG190" s="121"/>
      <c r="AH190" s="121"/>
      <c r="AI190" s="124"/>
      <c r="AJ190" s="124"/>
    </row>
    <row r="191" spans="2:36" x14ac:dyDescent="0.25">
      <c r="B191" s="2" t="s">
        <v>1258</v>
      </c>
      <c r="C191" s="7">
        <v>7.9166666666666663E-2</v>
      </c>
      <c r="D191" s="3">
        <f t="shared" si="30"/>
        <v>1.8999999999999986</v>
      </c>
      <c r="E191" s="10" t="s">
        <v>1011</v>
      </c>
      <c r="F191" s="40">
        <v>0</v>
      </c>
      <c r="G191" s="40">
        <v>2.5</v>
      </c>
      <c r="H191" s="40">
        <v>2</v>
      </c>
      <c r="I191" s="3">
        <f t="shared" si="24"/>
        <v>0</v>
      </c>
      <c r="J191" s="3">
        <f t="shared" si="25"/>
        <v>0.19791666666666652</v>
      </c>
      <c r="K191" s="3">
        <f t="shared" si="26"/>
        <v>0.15833333333333321</v>
      </c>
      <c r="L191" s="3"/>
      <c r="M191" s="60">
        <f t="shared" si="27"/>
        <v>731.72791666666706</v>
      </c>
      <c r="N191" s="40">
        <v>0</v>
      </c>
      <c r="O191" s="40">
        <v>0</v>
      </c>
      <c r="P191" s="40">
        <v>0</v>
      </c>
      <c r="Q191" s="40">
        <v>0</v>
      </c>
      <c r="R191" s="40">
        <v>0</v>
      </c>
      <c r="S191" s="40">
        <v>0</v>
      </c>
      <c r="T191" s="61">
        <f t="shared" si="31"/>
        <v>37.000000000000043</v>
      </c>
      <c r="U191" s="40">
        <v>0</v>
      </c>
      <c r="V191" s="40">
        <v>0</v>
      </c>
      <c r="W191" s="40">
        <v>0</v>
      </c>
      <c r="X191" s="40">
        <v>0</v>
      </c>
      <c r="Y191" s="67">
        <f t="shared" si="29"/>
        <v>65</v>
      </c>
      <c r="AA191" s="71"/>
      <c r="AB191" s="71"/>
      <c r="AC191" s="67" t="str">
        <f t="shared" si="28"/>
        <v/>
      </c>
      <c r="AE191" s="124"/>
      <c r="AF191" s="124"/>
      <c r="AG191" s="121"/>
      <c r="AH191" s="121"/>
      <c r="AI191" s="124"/>
      <c r="AJ191" s="124"/>
    </row>
    <row r="192" spans="2:36" x14ac:dyDescent="0.25">
      <c r="B192" s="2" t="s">
        <v>1258</v>
      </c>
      <c r="C192" s="7">
        <v>0.10416666666666667</v>
      </c>
      <c r="D192" s="3">
        <f t="shared" si="30"/>
        <v>0.6000000000000002</v>
      </c>
      <c r="E192" s="10" t="s">
        <v>1259</v>
      </c>
      <c r="F192" s="40">
        <v>5</v>
      </c>
      <c r="G192" s="40">
        <v>2.5</v>
      </c>
      <c r="H192" s="40">
        <v>2</v>
      </c>
      <c r="I192" s="3">
        <f t="shared" si="24"/>
        <v>0.12500000000000006</v>
      </c>
      <c r="J192" s="3">
        <f t="shared" si="25"/>
        <v>6.2500000000000028E-2</v>
      </c>
      <c r="K192" s="3">
        <f t="shared" si="26"/>
        <v>5.0000000000000017E-2</v>
      </c>
      <c r="L192" s="3"/>
      <c r="M192" s="60">
        <f t="shared" si="27"/>
        <v>731.4904166666671</v>
      </c>
      <c r="N192" s="40">
        <v>0</v>
      </c>
      <c r="O192" s="40">
        <v>0</v>
      </c>
      <c r="P192" s="40">
        <v>0</v>
      </c>
      <c r="Q192" s="40">
        <v>0</v>
      </c>
      <c r="R192" s="40">
        <v>0</v>
      </c>
      <c r="S192" s="40">
        <v>0</v>
      </c>
      <c r="T192" s="61">
        <f t="shared" si="31"/>
        <v>37.000000000000043</v>
      </c>
      <c r="U192" s="40">
        <v>0</v>
      </c>
      <c r="V192" s="40">
        <v>0</v>
      </c>
      <c r="W192" s="40">
        <v>0</v>
      </c>
      <c r="X192" s="40">
        <v>0</v>
      </c>
      <c r="Y192" s="67">
        <f t="shared" si="29"/>
        <v>65</v>
      </c>
      <c r="AA192" s="71"/>
      <c r="AB192" s="71"/>
      <c r="AC192" s="67" t="str">
        <f t="shared" si="28"/>
        <v/>
      </c>
      <c r="AE192" s="124"/>
      <c r="AF192" s="124"/>
      <c r="AG192" s="121"/>
      <c r="AH192" s="121"/>
      <c r="AI192" s="124"/>
      <c r="AJ192" s="124"/>
    </row>
    <row r="193" spans="2:36" x14ac:dyDescent="0.25">
      <c r="B193" s="2" t="s">
        <v>1258</v>
      </c>
      <c r="C193" s="65">
        <v>0.33333333333333331</v>
      </c>
      <c r="D193" s="3">
        <f t="shared" si="30"/>
        <v>5.4999999999999991</v>
      </c>
      <c r="E193" s="10" t="s">
        <v>355</v>
      </c>
      <c r="F193" s="40">
        <v>20</v>
      </c>
      <c r="G193" s="40">
        <v>2.5</v>
      </c>
      <c r="H193" s="40">
        <v>0</v>
      </c>
      <c r="I193" s="3">
        <f t="shared" si="24"/>
        <v>4.583333333333333</v>
      </c>
      <c r="J193" s="3">
        <f t="shared" si="25"/>
        <v>0.57291666666666663</v>
      </c>
      <c r="K193" s="3">
        <f t="shared" si="26"/>
        <v>0</v>
      </c>
      <c r="L193" s="3"/>
      <c r="M193" s="60">
        <f t="shared" si="27"/>
        <v>726.3341666666671</v>
      </c>
      <c r="N193" s="40">
        <v>0</v>
      </c>
      <c r="O193" s="40">
        <v>0</v>
      </c>
      <c r="P193" s="40">
        <v>0</v>
      </c>
      <c r="Q193" s="40">
        <v>0</v>
      </c>
      <c r="R193" s="40">
        <v>0</v>
      </c>
      <c r="S193" s="40">
        <v>0</v>
      </c>
      <c r="T193" s="61">
        <f t="shared" si="31"/>
        <v>37.000000000000043</v>
      </c>
      <c r="U193" s="40">
        <v>0</v>
      </c>
      <c r="V193" s="40">
        <v>0</v>
      </c>
      <c r="W193" s="40">
        <v>1</v>
      </c>
      <c r="X193" s="40">
        <v>0</v>
      </c>
      <c r="Y193" s="67">
        <f t="shared" si="29"/>
        <v>64</v>
      </c>
      <c r="AA193" s="71">
        <v>106</v>
      </c>
      <c r="AB193" s="71">
        <v>10</v>
      </c>
      <c r="AC193" s="67">
        <f t="shared" si="28"/>
        <v>116</v>
      </c>
      <c r="AE193" s="124"/>
      <c r="AF193" s="124"/>
      <c r="AG193" s="121"/>
      <c r="AH193" s="121"/>
      <c r="AI193" s="124"/>
      <c r="AJ193" s="124"/>
    </row>
    <row r="194" spans="2:36" x14ac:dyDescent="0.25">
      <c r="B194" s="2" t="s">
        <v>1260</v>
      </c>
      <c r="C194" s="7">
        <v>0.125</v>
      </c>
      <c r="D194" s="3">
        <f t="shared" si="30"/>
        <v>19</v>
      </c>
      <c r="E194" s="10" t="s">
        <v>201</v>
      </c>
      <c r="F194" s="40">
        <v>20</v>
      </c>
      <c r="G194" s="40">
        <v>2.5</v>
      </c>
      <c r="H194" s="40">
        <v>0</v>
      </c>
      <c r="I194" s="3">
        <f t="shared" si="24"/>
        <v>15.833333333333334</v>
      </c>
      <c r="J194" s="3">
        <f t="shared" si="25"/>
        <v>1.9791666666666667</v>
      </c>
      <c r="K194" s="3">
        <f t="shared" si="26"/>
        <v>0</v>
      </c>
      <c r="L194" s="3"/>
      <c r="M194" s="60">
        <f t="shared" si="27"/>
        <v>708.5216666666671</v>
      </c>
      <c r="N194" s="40">
        <v>0</v>
      </c>
      <c r="O194" s="40">
        <v>0</v>
      </c>
      <c r="P194" s="40">
        <v>0</v>
      </c>
      <c r="Q194" s="40">
        <v>0</v>
      </c>
      <c r="R194" s="40">
        <v>0</v>
      </c>
      <c r="S194" s="40">
        <v>0</v>
      </c>
      <c r="T194" s="61">
        <f t="shared" si="31"/>
        <v>37.000000000000043</v>
      </c>
      <c r="U194" s="40">
        <v>0</v>
      </c>
      <c r="V194" s="40">
        <v>0</v>
      </c>
      <c r="W194" s="40">
        <v>0</v>
      </c>
      <c r="X194" s="40">
        <v>0</v>
      </c>
      <c r="Y194" s="67">
        <f t="shared" si="29"/>
        <v>64</v>
      </c>
      <c r="AA194" s="71"/>
      <c r="AB194" s="71"/>
      <c r="AC194" s="67" t="str">
        <f t="shared" si="28"/>
        <v/>
      </c>
      <c r="AE194" s="124">
        <v>10.5</v>
      </c>
      <c r="AF194" s="124" t="s">
        <v>1303</v>
      </c>
      <c r="AG194" s="121"/>
      <c r="AH194" s="121"/>
      <c r="AI194" s="124"/>
      <c r="AJ194" s="124"/>
    </row>
    <row r="195" spans="2:36" x14ac:dyDescent="0.25">
      <c r="B195" s="2" t="s">
        <v>1260</v>
      </c>
      <c r="C195" s="7">
        <v>0.14583333333333334</v>
      </c>
      <c r="D195" s="3">
        <f t="shared" si="30"/>
        <v>0.50000000000000022</v>
      </c>
      <c r="E195" s="10" t="s">
        <v>616</v>
      </c>
      <c r="F195" s="40">
        <v>5</v>
      </c>
      <c r="G195" s="40">
        <v>2.5</v>
      </c>
      <c r="H195" s="40">
        <v>2</v>
      </c>
      <c r="I195" s="3">
        <f t="shared" si="24"/>
        <v>0.10416666666666671</v>
      </c>
      <c r="J195" s="3">
        <f t="shared" si="25"/>
        <v>5.2083333333333356E-2</v>
      </c>
      <c r="K195" s="3">
        <f t="shared" si="26"/>
        <v>4.1666666666666685E-2</v>
      </c>
      <c r="L195" s="3"/>
      <c r="M195" s="60">
        <f t="shared" si="27"/>
        <v>708.32375000000047</v>
      </c>
      <c r="N195" s="40">
        <v>0</v>
      </c>
      <c r="O195" s="40">
        <v>0</v>
      </c>
      <c r="P195" s="40">
        <v>0</v>
      </c>
      <c r="Q195" s="40">
        <v>0</v>
      </c>
      <c r="R195" s="40">
        <v>0</v>
      </c>
      <c r="S195" s="40">
        <v>0</v>
      </c>
      <c r="T195" s="61">
        <f t="shared" si="31"/>
        <v>37.000000000000043</v>
      </c>
      <c r="U195" s="40">
        <v>0</v>
      </c>
      <c r="V195" s="40">
        <v>0</v>
      </c>
      <c r="W195" s="40">
        <v>0</v>
      </c>
      <c r="X195" s="40">
        <v>0</v>
      </c>
      <c r="Y195" s="67">
        <f>IF(W195="","",((Y193+U195+V195)-(W195+X195)))</f>
        <v>64</v>
      </c>
      <c r="AA195" s="71"/>
      <c r="AB195" s="71"/>
      <c r="AC195" s="67" t="str">
        <f t="shared" si="28"/>
        <v/>
      </c>
      <c r="AE195" s="124"/>
      <c r="AF195" s="124"/>
      <c r="AG195" s="121"/>
      <c r="AH195" s="121"/>
      <c r="AI195" s="124"/>
      <c r="AJ195" s="124"/>
    </row>
    <row r="196" spans="2:36" x14ac:dyDescent="0.25">
      <c r="B196" s="2" t="s">
        <v>1260</v>
      </c>
      <c r="C196" s="65">
        <v>0.33333333333333331</v>
      </c>
      <c r="D196" s="3">
        <f t="shared" si="30"/>
        <v>4.4999999999999991</v>
      </c>
      <c r="E196" s="10" t="s">
        <v>351</v>
      </c>
      <c r="F196" s="40">
        <v>0</v>
      </c>
      <c r="G196" s="40">
        <v>2.5</v>
      </c>
      <c r="H196" s="40">
        <v>2</v>
      </c>
      <c r="I196" s="3">
        <f t="shared" si="24"/>
        <v>0</v>
      </c>
      <c r="J196" s="3">
        <f t="shared" si="25"/>
        <v>0.46874999999999994</v>
      </c>
      <c r="K196" s="3">
        <f t="shared" si="26"/>
        <v>0.37499999999999989</v>
      </c>
      <c r="L196" s="3"/>
      <c r="M196" s="60">
        <f t="shared" si="27"/>
        <v>707.48000000000047</v>
      </c>
      <c r="N196" s="40">
        <v>0</v>
      </c>
      <c r="O196" s="40">
        <v>0</v>
      </c>
      <c r="P196" s="40">
        <v>0</v>
      </c>
      <c r="Q196" s="40">
        <v>0</v>
      </c>
      <c r="R196" s="40">
        <v>0</v>
      </c>
      <c r="S196" s="40">
        <v>0</v>
      </c>
      <c r="T196" s="61">
        <f t="shared" si="31"/>
        <v>37.000000000000043</v>
      </c>
      <c r="U196" s="40">
        <v>0</v>
      </c>
      <c r="V196" s="40">
        <v>0</v>
      </c>
      <c r="W196" s="40">
        <v>3</v>
      </c>
      <c r="X196" s="40">
        <v>0</v>
      </c>
      <c r="Y196" s="67">
        <f t="shared" si="29"/>
        <v>61</v>
      </c>
      <c r="AA196" s="71"/>
      <c r="AB196" s="71"/>
      <c r="AC196" s="67" t="str">
        <f t="shared" si="28"/>
        <v/>
      </c>
      <c r="AE196" s="124"/>
      <c r="AF196" s="124"/>
      <c r="AG196" s="121"/>
      <c r="AH196" s="121"/>
      <c r="AI196" s="124"/>
      <c r="AJ196" s="124"/>
    </row>
    <row r="197" spans="2:36" x14ac:dyDescent="0.25">
      <c r="B197" s="2" t="s">
        <v>1261</v>
      </c>
      <c r="C197" s="65">
        <v>0.33333333333333331</v>
      </c>
      <c r="D197" s="3">
        <v>24</v>
      </c>
      <c r="E197" s="10" t="s">
        <v>351</v>
      </c>
      <c r="F197" s="40">
        <v>0</v>
      </c>
      <c r="G197" s="40">
        <v>2.4</v>
      </c>
      <c r="H197" s="40">
        <v>2</v>
      </c>
      <c r="I197" s="3">
        <f t="shared" si="24"/>
        <v>0</v>
      </c>
      <c r="J197" s="3">
        <f t="shared" si="25"/>
        <v>2.4</v>
      </c>
      <c r="K197" s="3">
        <f t="shared" si="26"/>
        <v>2</v>
      </c>
      <c r="L197" s="3"/>
      <c r="M197" s="60">
        <f t="shared" si="27"/>
        <v>703.0800000000005</v>
      </c>
      <c r="N197" s="40">
        <v>0</v>
      </c>
      <c r="O197" s="40">
        <v>0</v>
      </c>
      <c r="P197" s="40">
        <v>0</v>
      </c>
      <c r="Q197" s="40">
        <v>0</v>
      </c>
      <c r="R197" s="40">
        <v>0</v>
      </c>
      <c r="S197" s="40">
        <v>0</v>
      </c>
      <c r="T197" s="61">
        <f t="shared" si="31"/>
        <v>37.000000000000043</v>
      </c>
      <c r="U197" s="40">
        <v>0</v>
      </c>
      <c r="V197" s="40">
        <v>0</v>
      </c>
      <c r="W197" s="40">
        <v>3</v>
      </c>
      <c r="X197" s="40">
        <v>0</v>
      </c>
      <c r="Y197" s="67">
        <f t="shared" si="29"/>
        <v>58</v>
      </c>
      <c r="AA197" s="71"/>
      <c r="AB197" s="71"/>
      <c r="AC197" s="67" t="str">
        <f t="shared" si="28"/>
        <v/>
      </c>
      <c r="AE197" s="124"/>
      <c r="AF197" s="124"/>
      <c r="AG197" s="121"/>
      <c r="AH197" s="121"/>
      <c r="AI197" s="124"/>
      <c r="AJ197" s="124"/>
    </row>
    <row r="198" spans="2:36" x14ac:dyDescent="0.25">
      <c r="B198" s="2" t="s">
        <v>1262</v>
      </c>
      <c r="C198" s="65">
        <v>0.33333333333333331</v>
      </c>
      <c r="D198" s="3">
        <v>24</v>
      </c>
      <c r="E198" s="10" t="s">
        <v>351</v>
      </c>
      <c r="F198" s="40">
        <v>0</v>
      </c>
      <c r="G198" s="40">
        <v>2.5</v>
      </c>
      <c r="H198" s="40">
        <v>2</v>
      </c>
      <c r="I198" s="3">
        <f t="shared" ref="I198:I262" si="32">+IF(F198="","",(F198/24)*D198)</f>
        <v>0</v>
      </c>
      <c r="J198" s="3">
        <f t="shared" ref="J198:J262" si="33">+IF(G198="","",(G198/24)*D198)</f>
        <v>2.5</v>
      </c>
      <c r="K198" s="3">
        <f t="shared" ref="K198:K262" si="34">+IF(H198="","",(H198/24)*D198)</f>
        <v>2</v>
      </c>
      <c r="L198" s="3"/>
      <c r="M198" s="60">
        <f t="shared" ref="M198:M262" si="35">+IF(D198="","",M197-(I198+J198+K198))</f>
        <v>698.5800000000005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61">
        <f t="shared" si="31"/>
        <v>37.000000000000043</v>
      </c>
      <c r="U198" s="40">
        <v>0</v>
      </c>
      <c r="V198" s="40">
        <v>0</v>
      </c>
      <c r="W198" s="40">
        <v>3</v>
      </c>
      <c r="X198" s="40">
        <v>0</v>
      </c>
      <c r="Y198" s="67">
        <f t="shared" si="29"/>
        <v>55</v>
      </c>
      <c r="AA198" s="71"/>
      <c r="AB198" s="71"/>
      <c r="AC198" s="67" t="str">
        <f t="shared" ref="AC198:AC262" si="36">IF(AA198="","",AA198+AB198)</f>
        <v/>
      </c>
      <c r="AE198" s="124"/>
      <c r="AF198" s="124"/>
      <c r="AG198" s="121"/>
      <c r="AH198" s="121"/>
      <c r="AI198" s="124"/>
      <c r="AJ198" s="124"/>
    </row>
    <row r="199" spans="2:36" x14ac:dyDescent="0.25">
      <c r="B199" s="2" t="s">
        <v>1263</v>
      </c>
      <c r="C199" s="65">
        <v>0.33333333333333331</v>
      </c>
      <c r="D199" s="3">
        <v>24</v>
      </c>
      <c r="E199" s="10" t="s">
        <v>351</v>
      </c>
      <c r="F199" s="40">
        <v>0</v>
      </c>
      <c r="G199" s="40">
        <v>2.5</v>
      </c>
      <c r="H199" s="40">
        <v>2</v>
      </c>
      <c r="I199" s="3">
        <f t="shared" si="32"/>
        <v>0</v>
      </c>
      <c r="J199" s="3">
        <f t="shared" si="33"/>
        <v>2.5</v>
      </c>
      <c r="K199" s="3">
        <f t="shared" si="34"/>
        <v>2</v>
      </c>
      <c r="L199" s="3"/>
      <c r="M199" s="60">
        <f t="shared" si="35"/>
        <v>694.0800000000005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61">
        <f t="shared" si="31"/>
        <v>37.000000000000043</v>
      </c>
      <c r="U199" s="40">
        <v>0</v>
      </c>
      <c r="V199" s="40">
        <v>0</v>
      </c>
      <c r="W199" s="40">
        <v>3</v>
      </c>
      <c r="X199" s="40">
        <v>0</v>
      </c>
      <c r="Y199" s="67">
        <f t="shared" si="29"/>
        <v>52</v>
      </c>
      <c r="AA199" s="71">
        <v>87</v>
      </c>
      <c r="AB199" s="71">
        <v>10</v>
      </c>
      <c r="AC199" s="67">
        <f t="shared" si="36"/>
        <v>97</v>
      </c>
      <c r="AE199" s="124"/>
      <c r="AF199" s="124"/>
      <c r="AG199" s="121"/>
      <c r="AH199" s="121"/>
      <c r="AI199" s="124"/>
      <c r="AJ199" s="124"/>
    </row>
    <row r="200" spans="2:36" x14ac:dyDescent="0.25">
      <c r="B200" s="2" t="s">
        <v>1264</v>
      </c>
      <c r="C200" s="65">
        <v>0.33333333333333331</v>
      </c>
      <c r="D200" s="3">
        <v>24</v>
      </c>
      <c r="E200" s="10" t="s">
        <v>351</v>
      </c>
      <c r="F200" s="40">
        <v>0</v>
      </c>
      <c r="G200" s="40">
        <v>2.5</v>
      </c>
      <c r="H200" s="40">
        <v>2</v>
      </c>
      <c r="I200" s="3">
        <f t="shared" si="32"/>
        <v>0</v>
      </c>
      <c r="J200" s="3">
        <f t="shared" si="33"/>
        <v>2.5</v>
      </c>
      <c r="K200" s="3">
        <f t="shared" si="34"/>
        <v>2</v>
      </c>
      <c r="L200" s="3"/>
      <c r="M200" s="60">
        <f t="shared" si="35"/>
        <v>689.5800000000005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61">
        <f t="shared" si="31"/>
        <v>37.000000000000043</v>
      </c>
      <c r="U200" s="40">
        <v>0</v>
      </c>
      <c r="V200" s="40">
        <v>0</v>
      </c>
      <c r="W200" s="40">
        <v>3</v>
      </c>
      <c r="X200" s="40">
        <v>0</v>
      </c>
      <c r="Y200" s="67">
        <f t="shared" si="29"/>
        <v>49</v>
      </c>
      <c r="AA200" s="71"/>
      <c r="AB200" s="71"/>
      <c r="AC200" s="67" t="str">
        <f t="shared" si="36"/>
        <v/>
      </c>
      <c r="AE200" s="124"/>
      <c r="AF200" s="124"/>
      <c r="AG200" s="121"/>
      <c r="AH200" s="121"/>
      <c r="AI200" s="124"/>
      <c r="AJ200" s="124"/>
    </row>
    <row r="201" spans="2:36" x14ac:dyDescent="0.25">
      <c r="B201" s="2" t="s">
        <v>1265</v>
      </c>
      <c r="C201" s="65">
        <v>0.33333333333333331</v>
      </c>
      <c r="D201" s="3">
        <v>24</v>
      </c>
      <c r="E201" s="10" t="s">
        <v>351</v>
      </c>
      <c r="F201" s="40">
        <v>0</v>
      </c>
      <c r="G201" s="40">
        <v>2.5</v>
      </c>
      <c r="H201" s="40">
        <v>2</v>
      </c>
      <c r="I201" s="3">
        <f t="shared" si="32"/>
        <v>0</v>
      </c>
      <c r="J201" s="3">
        <f t="shared" si="33"/>
        <v>2.5</v>
      </c>
      <c r="K201" s="3">
        <f t="shared" si="34"/>
        <v>2</v>
      </c>
      <c r="L201" s="3"/>
      <c r="M201" s="60">
        <f t="shared" si="35"/>
        <v>685.0800000000005</v>
      </c>
      <c r="N201" s="40">
        <v>0</v>
      </c>
      <c r="O201" s="40">
        <v>0</v>
      </c>
      <c r="P201" s="40">
        <v>0</v>
      </c>
      <c r="Q201" s="40">
        <v>0</v>
      </c>
      <c r="R201" s="40">
        <v>0</v>
      </c>
      <c r="S201" s="40">
        <v>0</v>
      </c>
      <c r="T201" s="61">
        <f t="shared" si="31"/>
        <v>37.000000000000043</v>
      </c>
      <c r="U201" s="40">
        <v>0</v>
      </c>
      <c r="V201" s="40">
        <v>0</v>
      </c>
      <c r="W201" s="40">
        <v>3</v>
      </c>
      <c r="X201" s="40">
        <v>0</v>
      </c>
      <c r="Y201" s="67">
        <f t="shared" ref="Y201:Y265" si="37">IF(W201="","",((Y200+U201+V201)-(W201+X201)))</f>
        <v>46</v>
      </c>
      <c r="AA201" s="71">
        <v>79</v>
      </c>
      <c r="AB201" s="71">
        <v>10</v>
      </c>
      <c r="AC201" s="67">
        <f t="shared" si="36"/>
        <v>89</v>
      </c>
      <c r="AE201" s="124"/>
      <c r="AF201" s="124"/>
      <c r="AG201" s="121"/>
      <c r="AH201" s="121"/>
      <c r="AI201" s="124"/>
      <c r="AJ201" s="124"/>
    </row>
    <row r="202" spans="2:36" x14ac:dyDescent="0.25">
      <c r="B202" s="2" t="s">
        <v>1266</v>
      </c>
      <c r="C202" s="65">
        <v>0.33333333333333331</v>
      </c>
      <c r="D202" s="3">
        <v>24</v>
      </c>
      <c r="E202" s="10" t="s">
        <v>351</v>
      </c>
      <c r="F202" s="40">
        <v>0</v>
      </c>
      <c r="G202" s="40">
        <v>2.5</v>
      </c>
      <c r="H202" s="40">
        <v>2</v>
      </c>
      <c r="I202" s="3">
        <f t="shared" si="32"/>
        <v>0</v>
      </c>
      <c r="J202" s="3">
        <f t="shared" si="33"/>
        <v>2.5</v>
      </c>
      <c r="K202" s="3">
        <f t="shared" si="34"/>
        <v>2</v>
      </c>
      <c r="L202" s="3"/>
      <c r="M202" s="60">
        <f t="shared" si="35"/>
        <v>680.5800000000005</v>
      </c>
      <c r="N202" s="40">
        <v>0</v>
      </c>
      <c r="O202" s="40">
        <v>0</v>
      </c>
      <c r="P202" s="40">
        <v>0</v>
      </c>
      <c r="Q202" s="40">
        <v>0</v>
      </c>
      <c r="R202" s="40">
        <v>0</v>
      </c>
      <c r="S202" s="40">
        <v>0</v>
      </c>
      <c r="T202" s="61">
        <f t="shared" si="31"/>
        <v>37.000000000000043</v>
      </c>
      <c r="U202" s="40">
        <v>0</v>
      </c>
      <c r="V202" s="40">
        <v>0</v>
      </c>
      <c r="W202" s="40">
        <v>3</v>
      </c>
      <c r="X202" s="40">
        <v>0</v>
      </c>
      <c r="Y202" s="67">
        <f t="shared" si="37"/>
        <v>43</v>
      </c>
      <c r="AA202" s="71">
        <v>77</v>
      </c>
      <c r="AB202" s="71">
        <v>10</v>
      </c>
      <c r="AC202" s="67">
        <f t="shared" si="36"/>
        <v>87</v>
      </c>
      <c r="AE202" s="124"/>
      <c r="AF202" s="124"/>
      <c r="AG202" s="121"/>
      <c r="AH202" s="121"/>
      <c r="AI202" s="124"/>
      <c r="AJ202" s="124"/>
    </row>
    <row r="203" spans="2:36" x14ac:dyDescent="0.25">
      <c r="B203" s="2" t="s">
        <v>1266</v>
      </c>
      <c r="C203" s="7">
        <v>0.5083333333333333</v>
      </c>
      <c r="D203" s="3">
        <f t="shared" si="30"/>
        <v>4.1999999999999993</v>
      </c>
      <c r="E203" s="10" t="s">
        <v>1011</v>
      </c>
      <c r="F203" s="40">
        <v>0</v>
      </c>
      <c r="G203" s="40">
        <v>2.5</v>
      </c>
      <c r="H203" s="40">
        <v>2</v>
      </c>
      <c r="I203" s="3">
        <f t="shared" si="32"/>
        <v>0</v>
      </c>
      <c r="J203" s="3">
        <f t="shared" si="33"/>
        <v>0.43749999999999994</v>
      </c>
      <c r="K203" s="3">
        <f t="shared" si="34"/>
        <v>0.34999999999999992</v>
      </c>
      <c r="L203" s="3"/>
      <c r="M203" s="60">
        <f t="shared" si="35"/>
        <v>679.79250000000047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40">
        <v>0</v>
      </c>
      <c r="T203" s="61">
        <f t="shared" si="31"/>
        <v>37.000000000000043</v>
      </c>
      <c r="U203" s="40">
        <v>0</v>
      </c>
      <c r="V203" s="40">
        <v>0</v>
      </c>
      <c r="W203" s="40">
        <v>0</v>
      </c>
      <c r="X203" s="40">
        <v>0</v>
      </c>
      <c r="Y203" s="67">
        <f t="shared" si="37"/>
        <v>43</v>
      </c>
      <c r="AA203" s="71"/>
      <c r="AB203" s="71"/>
      <c r="AC203" s="67" t="str">
        <f t="shared" si="36"/>
        <v/>
      </c>
      <c r="AE203" s="124"/>
      <c r="AF203" s="124"/>
      <c r="AG203" s="121"/>
      <c r="AH203" s="121"/>
      <c r="AI203" s="124"/>
      <c r="AJ203" s="124"/>
    </row>
    <row r="204" spans="2:36" x14ac:dyDescent="0.25">
      <c r="B204" s="2" t="s">
        <v>1266</v>
      </c>
      <c r="C204" s="7">
        <v>0.5625</v>
      </c>
      <c r="D204" s="3">
        <f t="shared" si="30"/>
        <v>1.3000000000000007</v>
      </c>
      <c r="E204" s="10" t="s">
        <v>616</v>
      </c>
      <c r="F204" s="40">
        <v>5</v>
      </c>
      <c r="G204" s="40">
        <v>2.5</v>
      </c>
      <c r="H204" s="40">
        <v>2</v>
      </c>
      <c r="I204" s="3">
        <f t="shared" si="32"/>
        <v>0.27083333333333348</v>
      </c>
      <c r="J204" s="3">
        <f t="shared" si="33"/>
        <v>0.13541666666666674</v>
      </c>
      <c r="K204" s="3">
        <f t="shared" si="34"/>
        <v>0.10833333333333339</v>
      </c>
      <c r="L204" s="3"/>
      <c r="M204" s="60">
        <f t="shared" si="35"/>
        <v>679.27791666666712</v>
      </c>
      <c r="N204" s="40">
        <v>0</v>
      </c>
      <c r="O204" s="40">
        <v>0</v>
      </c>
      <c r="P204" s="40">
        <v>0</v>
      </c>
      <c r="Q204" s="40">
        <v>0</v>
      </c>
      <c r="R204" s="40">
        <v>0</v>
      </c>
      <c r="S204" s="40">
        <v>0</v>
      </c>
      <c r="T204" s="61">
        <f t="shared" si="31"/>
        <v>37.000000000000043</v>
      </c>
      <c r="U204" s="40">
        <v>0</v>
      </c>
      <c r="V204" s="40">
        <v>0</v>
      </c>
      <c r="W204" s="40">
        <v>3</v>
      </c>
      <c r="X204" s="40">
        <v>0</v>
      </c>
      <c r="Y204" s="67">
        <f t="shared" si="37"/>
        <v>40</v>
      </c>
      <c r="AA204" s="71"/>
      <c r="AB204" s="71"/>
      <c r="AC204" s="67" t="str">
        <f t="shared" si="36"/>
        <v/>
      </c>
      <c r="AE204" s="124"/>
      <c r="AF204" s="124"/>
      <c r="AG204" s="121"/>
      <c r="AH204" s="121"/>
      <c r="AI204" s="124"/>
      <c r="AJ204" s="124"/>
    </row>
    <row r="205" spans="2:36" x14ac:dyDescent="0.25">
      <c r="B205" s="2" t="s">
        <v>1266</v>
      </c>
      <c r="C205" s="7">
        <v>0.6958333333333333</v>
      </c>
      <c r="D205" s="3">
        <f t="shared" si="30"/>
        <v>3.1999999999999993</v>
      </c>
      <c r="E205" s="10" t="s">
        <v>1004</v>
      </c>
      <c r="F205" s="40">
        <v>0</v>
      </c>
      <c r="G205" s="40">
        <v>2.5</v>
      </c>
      <c r="H205" s="40">
        <v>2</v>
      </c>
      <c r="I205" s="3">
        <f t="shared" si="32"/>
        <v>0</v>
      </c>
      <c r="J205" s="3">
        <f t="shared" si="33"/>
        <v>0.33333333333333326</v>
      </c>
      <c r="K205" s="3">
        <f t="shared" si="34"/>
        <v>0.26666666666666661</v>
      </c>
      <c r="L205" s="3"/>
      <c r="M205" s="60">
        <f t="shared" si="35"/>
        <v>678.6779166666671</v>
      </c>
      <c r="N205" s="40">
        <v>0</v>
      </c>
      <c r="O205" s="40">
        <v>0</v>
      </c>
      <c r="P205" s="40">
        <v>0</v>
      </c>
      <c r="Q205" s="40">
        <v>0</v>
      </c>
      <c r="R205" s="40">
        <v>0.4</v>
      </c>
      <c r="S205" s="40">
        <v>0</v>
      </c>
      <c r="T205" s="61">
        <f t="shared" si="31"/>
        <v>36.600000000000044</v>
      </c>
      <c r="U205" s="40">
        <v>0</v>
      </c>
      <c r="V205" s="40">
        <v>0</v>
      </c>
      <c r="W205" s="40">
        <v>0</v>
      </c>
      <c r="X205" s="40">
        <v>0</v>
      </c>
      <c r="Y205" s="67">
        <f t="shared" si="37"/>
        <v>40</v>
      </c>
      <c r="AA205" s="71"/>
      <c r="AB205" s="71"/>
      <c r="AC205" s="67" t="str">
        <f t="shared" si="36"/>
        <v/>
      </c>
      <c r="AE205" s="124"/>
      <c r="AF205" s="124"/>
      <c r="AG205" s="121"/>
      <c r="AH205" s="121"/>
      <c r="AI205" s="124"/>
      <c r="AJ205" s="124"/>
    </row>
    <row r="206" spans="2:36" x14ac:dyDescent="0.25">
      <c r="B206" s="2" t="s">
        <v>1267</v>
      </c>
      <c r="C206" s="65">
        <v>0.33333333333333331</v>
      </c>
      <c r="D206" s="3">
        <f t="shared" si="30"/>
        <v>15.3</v>
      </c>
      <c r="E206" s="10" t="s">
        <v>966</v>
      </c>
      <c r="F206" s="40">
        <v>0</v>
      </c>
      <c r="G206" s="40">
        <v>2.5</v>
      </c>
      <c r="H206" s="40">
        <v>2</v>
      </c>
      <c r="I206" s="3">
        <f t="shared" si="32"/>
        <v>0</v>
      </c>
      <c r="J206" s="3">
        <f t="shared" si="33"/>
        <v>1.5937500000000002</v>
      </c>
      <c r="K206" s="3">
        <f t="shared" si="34"/>
        <v>1.2749999999999999</v>
      </c>
      <c r="L206" s="3"/>
      <c r="M206" s="60">
        <f t="shared" si="35"/>
        <v>675.80916666666712</v>
      </c>
      <c r="N206" s="40">
        <v>0</v>
      </c>
      <c r="O206" s="40">
        <v>0</v>
      </c>
      <c r="P206" s="40">
        <v>0</v>
      </c>
      <c r="Q206" s="40">
        <v>0</v>
      </c>
      <c r="R206" s="40">
        <v>3.8</v>
      </c>
      <c r="S206" s="40">
        <v>0</v>
      </c>
      <c r="T206" s="61">
        <f t="shared" si="31"/>
        <v>32.800000000000047</v>
      </c>
      <c r="U206" s="40">
        <v>0</v>
      </c>
      <c r="V206" s="40">
        <v>0</v>
      </c>
      <c r="W206" s="40">
        <v>3</v>
      </c>
      <c r="X206" s="40">
        <v>0</v>
      </c>
      <c r="Y206" s="67">
        <f t="shared" si="37"/>
        <v>37</v>
      </c>
      <c r="AA206" s="71"/>
      <c r="AB206" s="71"/>
      <c r="AC206" s="67" t="str">
        <f t="shared" si="36"/>
        <v/>
      </c>
      <c r="AE206" s="124"/>
      <c r="AF206" s="124"/>
      <c r="AG206" s="121"/>
      <c r="AH206" s="121"/>
      <c r="AI206" s="124"/>
      <c r="AJ206" s="124"/>
    </row>
    <row r="207" spans="2:36" x14ac:dyDescent="0.25">
      <c r="B207" s="2" t="s">
        <v>1267</v>
      </c>
      <c r="C207" s="7">
        <v>0.48333333333333334</v>
      </c>
      <c r="D207" s="3">
        <f t="shared" si="30"/>
        <v>3.6000000000000005</v>
      </c>
      <c r="E207" s="10" t="s">
        <v>265</v>
      </c>
      <c r="F207" s="40">
        <v>0</v>
      </c>
      <c r="G207" s="40">
        <v>2.5</v>
      </c>
      <c r="H207" s="40">
        <v>2</v>
      </c>
      <c r="I207" s="3">
        <f t="shared" si="32"/>
        <v>0</v>
      </c>
      <c r="J207" s="3">
        <f t="shared" si="33"/>
        <v>0.37500000000000006</v>
      </c>
      <c r="K207" s="3">
        <f t="shared" si="34"/>
        <v>0.30000000000000004</v>
      </c>
      <c r="L207" s="3"/>
      <c r="M207" s="60">
        <f t="shared" si="35"/>
        <v>675.13416666666717</v>
      </c>
      <c r="N207" s="40">
        <v>0</v>
      </c>
      <c r="O207" s="40">
        <v>0</v>
      </c>
      <c r="P207" s="40">
        <v>0</v>
      </c>
      <c r="Q207" s="40">
        <v>0</v>
      </c>
      <c r="R207" s="40">
        <v>0.9</v>
      </c>
      <c r="S207" s="40">
        <v>0</v>
      </c>
      <c r="T207" s="61">
        <f t="shared" si="31"/>
        <v>31.900000000000048</v>
      </c>
      <c r="U207" s="40">
        <v>0</v>
      </c>
      <c r="V207" s="40">
        <v>0</v>
      </c>
      <c r="W207" s="40">
        <v>2</v>
      </c>
      <c r="X207" s="40">
        <v>0</v>
      </c>
      <c r="Y207" s="67">
        <f t="shared" si="37"/>
        <v>35</v>
      </c>
      <c r="AA207" s="71">
        <v>75</v>
      </c>
      <c r="AB207" s="71">
        <v>10</v>
      </c>
      <c r="AC207" s="67">
        <f t="shared" si="36"/>
        <v>85</v>
      </c>
      <c r="AE207" s="124"/>
      <c r="AF207" s="124"/>
      <c r="AG207" s="121"/>
      <c r="AH207" s="121"/>
      <c r="AI207" s="124"/>
      <c r="AJ207" s="124"/>
    </row>
    <row r="208" spans="2:36" x14ac:dyDescent="0.25">
      <c r="B208" s="2" t="s">
        <v>1267</v>
      </c>
      <c r="C208" s="7">
        <v>0.6166666666666667</v>
      </c>
      <c r="D208" s="3">
        <f t="shared" si="30"/>
        <v>3.2000000000000006</v>
      </c>
      <c r="E208" s="10" t="s">
        <v>1011</v>
      </c>
      <c r="F208" s="40">
        <v>0</v>
      </c>
      <c r="G208" s="40">
        <v>2.5</v>
      </c>
      <c r="H208" s="40">
        <v>2</v>
      </c>
      <c r="I208" s="3">
        <f t="shared" si="32"/>
        <v>0</v>
      </c>
      <c r="J208" s="3">
        <f t="shared" si="33"/>
        <v>0.33333333333333343</v>
      </c>
      <c r="K208" s="3">
        <f t="shared" si="34"/>
        <v>0.26666666666666672</v>
      </c>
      <c r="L208" s="3"/>
      <c r="M208" s="60">
        <f t="shared" si="35"/>
        <v>674.53416666666715</v>
      </c>
      <c r="N208" s="40">
        <v>0</v>
      </c>
      <c r="O208" s="40">
        <v>0</v>
      </c>
      <c r="P208" s="40">
        <v>0</v>
      </c>
      <c r="Q208" s="40">
        <v>0</v>
      </c>
      <c r="R208" s="40">
        <v>0</v>
      </c>
      <c r="S208" s="40">
        <v>0</v>
      </c>
      <c r="T208" s="61">
        <f t="shared" si="31"/>
        <v>31.900000000000048</v>
      </c>
      <c r="U208" s="40">
        <v>0</v>
      </c>
      <c r="V208" s="40">
        <v>0</v>
      </c>
      <c r="W208" s="40">
        <v>0</v>
      </c>
      <c r="X208" s="40">
        <v>0</v>
      </c>
      <c r="Y208" s="67">
        <f t="shared" si="37"/>
        <v>35</v>
      </c>
      <c r="AA208" s="71"/>
      <c r="AB208" s="71"/>
      <c r="AC208" s="67" t="str">
        <f t="shared" si="36"/>
        <v/>
      </c>
      <c r="AE208" s="124"/>
      <c r="AF208" s="124"/>
      <c r="AG208" s="121"/>
      <c r="AH208" s="121"/>
      <c r="AI208" s="124"/>
      <c r="AJ208" s="124"/>
    </row>
    <row r="209" spans="2:36" x14ac:dyDescent="0.25">
      <c r="B209" s="2" t="s">
        <v>1267</v>
      </c>
      <c r="C209" s="7">
        <v>0.64166666666666672</v>
      </c>
      <c r="D209" s="3">
        <f t="shared" si="30"/>
        <v>0.60000000000000053</v>
      </c>
      <c r="E209" s="10" t="s">
        <v>1248</v>
      </c>
      <c r="F209" s="40">
        <v>3</v>
      </c>
      <c r="G209" s="40">
        <v>2.5</v>
      </c>
      <c r="H209" s="40">
        <v>2</v>
      </c>
      <c r="I209" s="3">
        <f t="shared" si="32"/>
        <v>7.5000000000000067E-2</v>
      </c>
      <c r="J209" s="3">
        <f t="shared" si="33"/>
        <v>6.2500000000000056E-2</v>
      </c>
      <c r="K209" s="3">
        <f t="shared" si="34"/>
        <v>5.0000000000000044E-2</v>
      </c>
      <c r="L209" s="3"/>
      <c r="M209" s="60">
        <f t="shared" si="35"/>
        <v>674.34666666666715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61">
        <f t="shared" si="31"/>
        <v>31.900000000000048</v>
      </c>
      <c r="U209" s="40">
        <v>0</v>
      </c>
      <c r="V209" s="40">
        <v>0</v>
      </c>
      <c r="W209" s="40">
        <v>1</v>
      </c>
      <c r="X209" s="40">
        <v>0</v>
      </c>
      <c r="Y209" s="67">
        <f t="shared" si="37"/>
        <v>34</v>
      </c>
      <c r="AA209" s="71"/>
      <c r="AB209" s="71"/>
      <c r="AC209" s="67" t="str">
        <f t="shared" si="36"/>
        <v/>
      </c>
      <c r="AE209" s="124"/>
      <c r="AF209" s="124"/>
      <c r="AG209" s="121"/>
      <c r="AH209" s="121"/>
      <c r="AI209" s="124"/>
      <c r="AJ209" s="124"/>
    </row>
    <row r="210" spans="2:36" x14ac:dyDescent="0.25">
      <c r="B210" s="2" t="s">
        <v>1268</v>
      </c>
      <c r="C210" s="7">
        <v>4.1666666666666664E-2</v>
      </c>
      <c r="D210" s="3">
        <f t="shared" si="30"/>
        <v>9.5999999999999979</v>
      </c>
      <c r="E210" s="10" t="s">
        <v>201</v>
      </c>
      <c r="F210" s="40">
        <v>20</v>
      </c>
      <c r="G210" s="40">
        <v>2.5</v>
      </c>
      <c r="H210" s="40">
        <v>0</v>
      </c>
      <c r="I210" s="3">
        <f t="shared" si="32"/>
        <v>7.9999999999999982</v>
      </c>
      <c r="J210" s="3">
        <f t="shared" si="33"/>
        <v>0.99999999999999978</v>
      </c>
      <c r="K210" s="3">
        <f t="shared" si="34"/>
        <v>0</v>
      </c>
      <c r="L210" s="3"/>
      <c r="M210" s="60">
        <f t="shared" si="35"/>
        <v>665.34666666666715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61">
        <f t="shared" si="31"/>
        <v>31.900000000000048</v>
      </c>
      <c r="U210" s="40">
        <v>0</v>
      </c>
      <c r="V210" s="40">
        <v>0</v>
      </c>
      <c r="W210" s="40">
        <v>0</v>
      </c>
      <c r="X210" s="40">
        <v>0</v>
      </c>
      <c r="Y210" s="67">
        <f t="shared" si="37"/>
        <v>34</v>
      </c>
      <c r="AA210" s="71"/>
      <c r="AB210" s="71"/>
      <c r="AC210" s="67" t="str">
        <f t="shared" si="36"/>
        <v/>
      </c>
      <c r="AE210" s="124">
        <v>9.6</v>
      </c>
      <c r="AF210" s="124" t="s">
        <v>1296</v>
      </c>
      <c r="AG210" s="121"/>
      <c r="AH210" s="121"/>
      <c r="AI210" s="124"/>
      <c r="AJ210" s="124"/>
    </row>
    <row r="211" spans="2:36" x14ac:dyDescent="0.25">
      <c r="B211" s="2" t="s">
        <v>1268</v>
      </c>
      <c r="C211" s="7">
        <v>0.15833333333333333</v>
      </c>
      <c r="D211" s="3">
        <f t="shared" si="30"/>
        <v>2.8</v>
      </c>
      <c r="E211" s="10" t="s">
        <v>616</v>
      </c>
      <c r="F211" s="40">
        <v>2</v>
      </c>
      <c r="G211" s="40">
        <v>2.5</v>
      </c>
      <c r="H211" s="40">
        <v>2</v>
      </c>
      <c r="I211" s="3">
        <f t="shared" si="32"/>
        <v>0.23333333333333331</v>
      </c>
      <c r="J211" s="3">
        <f t="shared" si="33"/>
        <v>0.29166666666666669</v>
      </c>
      <c r="K211" s="3">
        <f t="shared" si="34"/>
        <v>0.23333333333333331</v>
      </c>
      <c r="L211" s="3"/>
      <c r="M211" s="60">
        <f t="shared" si="35"/>
        <v>664.58833333333382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61">
        <f t="shared" si="31"/>
        <v>31.900000000000048</v>
      </c>
      <c r="U211" s="40">
        <v>0</v>
      </c>
      <c r="V211" s="40">
        <v>0</v>
      </c>
      <c r="W211" s="40">
        <v>0</v>
      </c>
      <c r="X211" s="40">
        <v>0</v>
      </c>
      <c r="Y211" s="67">
        <f t="shared" si="37"/>
        <v>34</v>
      </c>
      <c r="AA211" s="71"/>
      <c r="AB211" s="71"/>
      <c r="AC211" s="67" t="str">
        <f t="shared" si="36"/>
        <v/>
      </c>
      <c r="AE211" s="124"/>
      <c r="AF211" s="124"/>
      <c r="AG211" s="121"/>
      <c r="AH211" s="121"/>
      <c r="AI211" s="124"/>
      <c r="AJ211" s="124"/>
    </row>
    <row r="212" spans="2:36" x14ac:dyDescent="0.25">
      <c r="B212" s="2" t="s">
        <v>1268</v>
      </c>
      <c r="C212" s="7">
        <v>0.30833333333333335</v>
      </c>
      <c r="D212" s="3">
        <f t="shared" si="30"/>
        <v>3.6000000000000005</v>
      </c>
      <c r="E212" s="10" t="s">
        <v>1004</v>
      </c>
      <c r="F212" s="40">
        <v>0</v>
      </c>
      <c r="G212" s="40">
        <v>2.5</v>
      </c>
      <c r="H212" s="40">
        <v>2</v>
      </c>
      <c r="I212" s="3">
        <f t="shared" si="32"/>
        <v>0</v>
      </c>
      <c r="J212" s="3">
        <f t="shared" si="33"/>
        <v>0.37500000000000006</v>
      </c>
      <c r="K212" s="3">
        <f t="shared" si="34"/>
        <v>0.30000000000000004</v>
      </c>
      <c r="L212" s="3"/>
      <c r="M212" s="60">
        <f t="shared" si="35"/>
        <v>663.91333333333387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61">
        <f t="shared" si="31"/>
        <v>31.900000000000048</v>
      </c>
      <c r="U212" s="40">
        <v>0</v>
      </c>
      <c r="V212" s="40">
        <v>0</v>
      </c>
      <c r="W212" s="40">
        <v>0</v>
      </c>
      <c r="X212" s="40">
        <v>0</v>
      </c>
      <c r="Y212" s="67">
        <f t="shared" si="37"/>
        <v>34</v>
      </c>
      <c r="AA212" s="71"/>
      <c r="AB212" s="71"/>
      <c r="AC212" s="67" t="str">
        <f t="shared" si="36"/>
        <v/>
      </c>
      <c r="AE212" s="124"/>
      <c r="AF212" s="124"/>
      <c r="AG212" s="121"/>
      <c r="AH212" s="121"/>
      <c r="AI212" s="124"/>
      <c r="AJ212" s="124"/>
    </row>
    <row r="213" spans="2:36" x14ac:dyDescent="0.25">
      <c r="B213" s="2" t="s">
        <v>1268</v>
      </c>
      <c r="C213" s="65">
        <v>0.33333333333333331</v>
      </c>
      <c r="D213" s="3">
        <f t="shared" si="30"/>
        <v>0.5999999999999992</v>
      </c>
      <c r="E213" s="10" t="s">
        <v>966</v>
      </c>
      <c r="F213" s="40">
        <v>0</v>
      </c>
      <c r="G213" s="40">
        <v>2.5</v>
      </c>
      <c r="H213" s="40">
        <v>2</v>
      </c>
      <c r="I213" s="3">
        <f t="shared" si="32"/>
        <v>0</v>
      </c>
      <c r="J213" s="3">
        <f t="shared" si="33"/>
        <v>6.2499999999999917E-2</v>
      </c>
      <c r="K213" s="3">
        <f t="shared" si="34"/>
        <v>4.9999999999999933E-2</v>
      </c>
      <c r="L213" s="3"/>
      <c r="M213" s="60">
        <f t="shared" si="35"/>
        <v>663.80083333333391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61">
        <f t="shared" si="31"/>
        <v>31.900000000000048</v>
      </c>
      <c r="U213" s="40">
        <v>0</v>
      </c>
      <c r="V213" s="40">
        <v>0</v>
      </c>
      <c r="W213" s="40">
        <v>3</v>
      </c>
      <c r="X213" s="40">
        <v>0</v>
      </c>
      <c r="Y213" s="67">
        <f t="shared" si="37"/>
        <v>31</v>
      </c>
      <c r="AA213" s="71">
        <v>70</v>
      </c>
      <c r="AB213" s="71">
        <v>10</v>
      </c>
      <c r="AC213" s="67">
        <f t="shared" si="36"/>
        <v>80</v>
      </c>
      <c r="AE213" s="124"/>
      <c r="AF213" s="124"/>
      <c r="AG213" s="121"/>
      <c r="AH213" s="121"/>
      <c r="AI213" s="124"/>
      <c r="AJ213" s="124"/>
    </row>
    <row r="214" spans="2:36" x14ac:dyDescent="0.25">
      <c r="B214" s="2" t="s">
        <v>1268</v>
      </c>
      <c r="C214" s="7">
        <v>0.83750000000000002</v>
      </c>
      <c r="D214" s="3">
        <f t="shared" ref="D214:D278" si="38">+IF((C214-C213)&lt;0,((C214-C213)*24)+24,(C214-C213)*24)</f>
        <v>12.1</v>
      </c>
      <c r="E214" s="10" t="s">
        <v>1142</v>
      </c>
      <c r="F214" s="40">
        <v>0</v>
      </c>
      <c r="G214" s="40">
        <v>2.5</v>
      </c>
      <c r="H214" s="40">
        <v>2</v>
      </c>
      <c r="I214" s="3">
        <f t="shared" si="32"/>
        <v>0</v>
      </c>
      <c r="J214" s="3">
        <f t="shared" si="33"/>
        <v>1.2604166666666667</v>
      </c>
      <c r="K214" s="3">
        <f t="shared" si="34"/>
        <v>1.0083333333333333</v>
      </c>
      <c r="L214" s="3"/>
      <c r="M214" s="60">
        <f t="shared" si="35"/>
        <v>661.53208333333396</v>
      </c>
      <c r="N214" s="40">
        <v>0</v>
      </c>
      <c r="O214" s="40">
        <v>0</v>
      </c>
      <c r="P214" s="40">
        <v>0</v>
      </c>
      <c r="Q214" s="40">
        <v>0</v>
      </c>
      <c r="R214" s="40">
        <v>3</v>
      </c>
      <c r="S214" s="40">
        <v>0</v>
      </c>
      <c r="T214" s="61">
        <f t="shared" si="31"/>
        <v>28.900000000000048</v>
      </c>
      <c r="U214" s="40">
        <v>0</v>
      </c>
      <c r="V214" s="40">
        <v>0</v>
      </c>
      <c r="W214" s="40">
        <v>3</v>
      </c>
      <c r="X214" s="40">
        <v>0</v>
      </c>
      <c r="Y214" s="67">
        <f t="shared" si="37"/>
        <v>28</v>
      </c>
      <c r="AA214" s="71"/>
      <c r="AB214" s="71"/>
      <c r="AC214" s="67" t="str">
        <f t="shared" si="36"/>
        <v/>
      </c>
      <c r="AE214" s="124"/>
      <c r="AF214" s="124"/>
      <c r="AG214" s="121"/>
      <c r="AH214" s="121"/>
      <c r="AI214" s="124"/>
      <c r="AJ214" s="124"/>
    </row>
    <row r="215" spans="2:36" x14ac:dyDescent="0.25">
      <c r="B215" s="2" t="s">
        <v>1268</v>
      </c>
      <c r="C215" s="7">
        <v>0.95000000000000007</v>
      </c>
      <c r="D215" s="3">
        <f t="shared" si="38"/>
        <v>2.7000000000000011</v>
      </c>
      <c r="E215" s="10" t="s">
        <v>1011</v>
      </c>
      <c r="F215" s="40">
        <v>0</v>
      </c>
      <c r="G215" s="40">
        <v>2.5</v>
      </c>
      <c r="H215" s="40">
        <v>2</v>
      </c>
      <c r="I215" s="3">
        <f t="shared" si="32"/>
        <v>0</v>
      </c>
      <c r="J215" s="3">
        <f t="shared" si="33"/>
        <v>0.28125000000000011</v>
      </c>
      <c r="K215" s="3">
        <f t="shared" si="34"/>
        <v>0.22500000000000009</v>
      </c>
      <c r="L215" s="3"/>
      <c r="M215" s="60">
        <f t="shared" si="35"/>
        <v>661.02583333333394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61">
        <f t="shared" si="31"/>
        <v>28.900000000000048</v>
      </c>
      <c r="U215" s="40">
        <v>0</v>
      </c>
      <c r="V215" s="40">
        <v>0</v>
      </c>
      <c r="W215" s="40">
        <v>0</v>
      </c>
      <c r="X215" s="40">
        <v>0</v>
      </c>
      <c r="Y215" s="67">
        <f t="shared" si="37"/>
        <v>28</v>
      </c>
      <c r="AA215" s="71"/>
      <c r="AB215" s="71"/>
      <c r="AC215" s="67" t="str">
        <f t="shared" si="36"/>
        <v/>
      </c>
      <c r="AE215" s="124"/>
      <c r="AF215" s="124"/>
      <c r="AG215" s="121"/>
      <c r="AH215" s="121"/>
      <c r="AI215" s="124"/>
      <c r="AJ215" s="124"/>
    </row>
    <row r="216" spans="2:36" x14ac:dyDescent="0.25">
      <c r="B216" s="2" t="s">
        <v>1268</v>
      </c>
      <c r="C216" s="7">
        <v>0.97916666666666663</v>
      </c>
      <c r="D216" s="3">
        <f t="shared" si="38"/>
        <v>0.69999999999999751</v>
      </c>
      <c r="E216" s="10" t="s">
        <v>1269</v>
      </c>
      <c r="F216" s="40">
        <v>2</v>
      </c>
      <c r="G216" s="40">
        <v>2.5</v>
      </c>
      <c r="H216" s="40">
        <v>2</v>
      </c>
      <c r="I216" s="3">
        <f t="shared" si="32"/>
        <v>5.8333333333333126E-2</v>
      </c>
      <c r="J216" s="3">
        <f t="shared" si="33"/>
        <v>7.2916666666666408E-2</v>
      </c>
      <c r="K216" s="3">
        <f t="shared" si="34"/>
        <v>5.8333333333333126E-2</v>
      </c>
      <c r="L216" s="3"/>
      <c r="M216" s="60">
        <f t="shared" si="35"/>
        <v>660.83625000000063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61">
        <f t="shared" si="31"/>
        <v>28.900000000000048</v>
      </c>
      <c r="U216" s="40">
        <v>0</v>
      </c>
      <c r="V216" s="40">
        <v>0</v>
      </c>
      <c r="W216" s="40">
        <v>0</v>
      </c>
      <c r="X216" s="40">
        <v>0</v>
      </c>
      <c r="Y216" s="67">
        <f t="shared" si="37"/>
        <v>28</v>
      </c>
      <c r="AA216" s="71"/>
      <c r="AB216" s="71"/>
      <c r="AC216" s="67" t="str">
        <f t="shared" si="36"/>
        <v/>
      </c>
      <c r="AE216" s="124"/>
      <c r="AF216" s="124"/>
      <c r="AG216" s="121"/>
      <c r="AH216" s="121"/>
      <c r="AI216" s="124"/>
      <c r="AJ216" s="124"/>
    </row>
    <row r="217" spans="2:36" x14ac:dyDescent="0.25">
      <c r="B217" s="19" t="s">
        <v>1270</v>
      </c>
      <c r="C217" s="236">
        <v>0</v>
      </c>
      <c r="D217" s="221">
        <f t="shared" si="38"/>
        <v>0.5</v>
      </c>
      <c r="E217" s="223" t="s">
        <v>1269</v>
      </c>
      <c r="F217" s="224"/>
      <c r="G217" s="224"/>
      <c r="H217" s="224"/>
      <c r="I217" s="221">
        <v>0</v>
      </c>
      <c r="J217" s="221">
        <v>0</v>
      </c>
      <c r="K217" s="221">
        <v>0</v>
      </c>
      <c r="L217" s="221"/>
      <c r="M217" s="220">
        <f t="shared" si="35"/>
        <v>660.83625000000063</v>
      </c>
      <c r="N217" s="224">
        <v>0</v>
      </c>
      <c r="O217" s="224">
        <v>0</v>
      </c>
      <c r="P217" s="224">
        <v>0</v>
      </c>
      <c r="Q217" s="224">
        <v>0</v>
      </c>
      <c r="R217" s="224">
        <v>0</v>
      </c>
      <c r="S217" s="224">
        <v>0</v>
      </c>
      <c r="T217" s="61"/>
      <c r="U217" s="40"/>
      <c r="V217" s="40"/>
      <c r="W217" s="40"/>
      <c r="X217" s="40"/>
      <c r="Y217" s="67"/>
      <c r="AA217" s="71"/>
      <c r="AB217" s="71"/>
      <c r="AC217" s="67"/>
      <c r="AE217" s="124"/>
      <c r="AF217" s="124"/>
      <c r="AG217" s="121"/>
      <c r="AH217" s="121"/>
      <c r="AI217" s="124"/>
      <c r="AJ217" s="124"/>
    </row>
    <row r="218" spans="2:36" x14ac:dyDescent="0.25">
      <c r="B218" s="9" t="s">
        <v>1270</v>
      </c>
      <c r="C218" s="7">
        <v>0.27083333333333331</v>
      </c>
      <c r="D218" s="3">
        <f>+IF((C218-C216)&lt;0,((C218-C216)*24)+24,(C218-C216)*24)</f>
        <v>7</v>
      </c>
      <c r="E218" s="10" t="s">
        <v>201</v>
      </c>
      <c r="F218" s="40">
        <v>20</v>
      </c>
      <c r="G218" s="40">
        <v>2.5</v>
      </c>
      <c r="H218" s="40">
        <v>0</v>
      </c>
      <c r="I218" s="3">
        <f>K223</f>
        <v>0.7</v>
      </c>
      <c r="J218" s="3">
        <f t="shared" si="33"/>
        <v>0.72916666666666674</v>
      </c>
      <c r="K218" s="3">
        <f t="shared" si="34"/>
        <v>0</v>
      </c>
      <c r="L218" s="3"/>
      <c r="M218" s="60">
        <f>+IF(D218="","",M216-(I218+J218+K218))</f>
        <v>659.40708333333396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61">
        <f>IF(D218="","",(T216+S218)-(N218+O218+P218+Q218+R218))</f>
        <v>28.900000000000048</v>
      </c>
      <c r="U218" s="40">
        <v>0</v>
      </c>
      <c r="V218" s="40">
        <v>0</v>
      </c>
      <c r="W218" s="40">
        <v>3</v>
      </c>
      <c r="X218" s="40">
        <v>0</v>
      </c>
      <c r="Y218" s="67">
        <f>IF(W218="","",((Y216+U218+V218)-(W218+X218)))</f>
        <v>25</v>
      </c>
      <c r="AA218" s="71"/>
      <c r="AB218" s="71"/>
      <c r="AC218" s="67" t="str">
        <f t="shared" si="36"/>
        <v/>
      </c>
      <c r="AE218" s="124">
        <v>9.1</v>
      </c>
      <c r="AF218" s="124" t="s">
        <v>1296</v>
      </c>
      <c r="AG218" s="121"/>
      <c r="AH218" s="121"/>
      <c r="AI218" s="124"/>
      <c r="AJ218" s="124"/>
    </row>
    <row r="219" spans="2:36" x14ac:dyDescent="0.25">
      <c r="B219" s="2" t="s">
        <v>1270</v>
      </c>
      <c r="C219" s="65">
        <v>0.33333333333333331</v>
      </c>
      <c r="D219" s="3">
        <f t="shared" si="38"/>
        <v>1.5</v>
      </c>
      <c r="E219" s="10" t="s">
        <v>1057</v>
      </c>
      <c r="F219" s="40">
        <v>2</v>
      </c>
      <c r="G219" s="40">
        <v>2.5</v>
      </c>
      <c r="H219" s="40">
        <v>2</v>
      </c>
      <c r="I219" s="3">
        <f t="shared" si="32"/>
        <v>0.125</v>
      </c>
      <c r="J219" s="3">
        <f t="shared" si="33"/>
        <v>0.15625</v>
      </c>
      <c r="K219" s="3">
        <f t="shared" si="34"/>
        <v>0.125</v>
      </c>
      <c r="L219" s="3"/>
      <c r="M219" s="60">
        <f t="shared" si="35"/>
        <v>659.00083333333396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61">
        <f t="shared" si="31"/>
        <v>28.900000000000048</v>
      </c>
      <c r="U219" s="40">
        <v>0</v>
      </c>
      <c r="V219" s="40">
        <v>0</v>
      </c>
      <c r="W219" s="40">
        <v>0</v>
      </c>
      <c r="X219" s="40">
        <v>0</v>
      </c>
      <c r="Y219" s="67">
        <f t="shared" si="37"/>
        <v>25</v>
      </c>
      <c r="AA219" s="71">
        <v>65</v>
      </c>
      <c r="AB219" s="71">
        <v>10</v>
      </c>
      <c r="AC219" s="67">
        <f t="shared" si="36"/>
        <v>75</v>
      </c>
      <c r="AE219" s="124"/>
      <c r="AF219" s="124"/>
      <c r="AG219" s="121"/>
      <c r="AH219" s="121"/>
      <c r="AI219" s="124"/>
      <c r="AJ219" s="124"/>
    </row>
    <row r="220" spans="2:36" x14ac:dyDescent="0.25">
      <c r="B220" s="2" t="s">
        <v>1270</v>
      </c>
      <c r="C220" s="7">
        <v>0.35416666666666669</v>
      </c>
      <c r="D220" s="3">
        <f t="shared" si="38"/>
        <v>0.50000000000000089</v>
      </c>
      <c r="E220" s="10" t="s">
        <v>1011</v>
      </c>
      <c r="F220" s="40">
        <v>0</v>
      </c>
      <c r="G220" s="40">
        <v>2.5</v>
      </c>
      <c r="H220" s="40">
        <v>2</v>
      </c>
      <c r="I220" s="3">
        <f t="shared" si="32"/>
        <v>0</v>
      </c>
      <c r="J220" s="3">
        <f t="shared" si="33"/>
        <v>5.2083333333333426E-2</v>
      </c>
      <c r="K220" s="3">
        <f t="shared" si="34"/>
        <v>4.1666666666666741E-2</v>
      </c>
      <c r="L220" s="3"/>
      <c r="M220" s="60">
        <f t="shared" si="35"/>
        <v>658.90708333333396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61">
        <f t="shared" si="31"/>
        <v>28.900000000000048</v>
      </c>
      <c r="U220" s="40">
        <v>0</v>
      </c>
      <c r="V220" s="40">
        <v>0</v>
      </c>
      <c r="W220" s="40">
        <v>0</v>
      </c>
      <c r="X220" s="40">
        <v>0</v>
      </c>
      <c r="Y220" s="67">
        <f t="shared" si="37"/>
        <v>25</v>
      </c>
      <c r="AA220" s="71"/>
      <c r="AB220" s="71"/>
      <c r="AC220" s="67" t="str">
        <f t="shared" si="36"/>
        <v/>
      </c>
      <c r="AE220" s="124"/>
      <c r="AF220" s="124"/>
      <c r="AG220" s="121"/>
      <c r="AH220" s="121"/>
      <c r="AI220" s="124"/>
      <c r="AJ220" s="124"/>
    </row>
    <row r="221" spans="2:36" x14ac:dyDescent="0.25">
      <c r="B221" s="2" t="s">
        <v>1270</v>
      </c>
      <c r="C221" s="7">
        <v>0.40833333333333338</v>
      </c>
      <c r="D221" s="3">
        <f t="shared" si="38"/>
        <v>1.3000000000000007</v>
      </c>
      <c r="E221" s="10" t="s">
        <v>616</v>
      </c>
      <c r="F221" s="40">
        <v>2</v>
      </c>
      <c r="G221" s="40">
        <v>2.5</v>
      </c>
      <c r="H221" s="40">
        <v>2</v>
      </c>
      <c r="I221" s="3">
        <f t="shared" si="32"/>
        <v>0.10833333333333339</v>
      </c>
      <c r="J221" s="3">
        <f t="shared" si="33"/>
        <v>0.13541666666666674</v>
      </c>
      <c r="K221" s="3">
        <f t="shared" si="34"/>
        <v>0.10833333333333339</v>
      </c>
      <c r="L221" s="3"/>
      <c r="M221" s="60">
        <f t="shared" si="35"/>
        <v>658.55500000000063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61">
        <f t="shared" si="31"/>
        <v>28.900000000000048</v>
      </c>
      <c r="U221" s="40">
        <v>0</v>
      </c>
      <c r="V221" s="40">
        <v>0</v>
      </c>
      <c r="W221" s="40">
        <v>2</v>
      </c>
      <c r="X221" s="40">
        <v>0</v>
      </c>
      <c r="Y221" s="67">
        <f t="shared" si="37"/>
        <v>23</v>
      </c>
      <c r="AA221" s="71"/>
      <c r="AB221" s="71"/>
      <c r="AC221" s="67" t="str">
        <f t="shared" si="36"/>
        <v/>
      </c>
      <c r="AE221" s="124"/>
      <c r="AF221" s="124"/>
      <c r="AG221" s="121"/>
      <c r="AH221" s="121"/>
      <c r="AI221" s="124"/>
      <c r="AJ221" s="124"/>
    </row>
    <row r="222" spans="2:36" x14ac:dyDescent="0.25">
      <c r="B222" s="2" t="s">
        <v>1270</v>
      </c>
      <c r="C222" s="7">
        <v>0.48749999999999999</v>
      </c>
      <c r="D222" s="3">
        <f t="shared" si="38"/>
        <v>1.8999999999999986</v>
      </c>
      <c r="E222" s="10" t="s">
        <v>1004</v>
      </c>
      <c r="F222" s="40">
        <v>0</v>
      </c>
      <c r="G222" s="40">
        <v>2.5</v>
      </c>
      <c r="H222" s="40">
        <v>2</v>
      </c>
      <c r="I222" s="3">
        <f t="shared" si="32"/>
        <v>0</v>
      </c>
      <c r="J222" s="3">
        <f t="shared" si="33"/>
        <v>0.19791666666666652</v>
      </c>
      <c r="K222" s="3">
        <f t="shared" si="34"/>
        <v>0.15833333333333321</v>
      </c>
      <c r="L222" s="3"/>
      <c r="M222" s="60">
        <f t="shared" si="35"/>
        <v>658.19875000000059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61">
        <f t="shared" si="31"/>
        <v>28.900000000000048</v>
      </c>
      <c r="U222" s="40">
        <v>0</v>
      </c>
      <c r="V222" s="40">
        <v>0</v>
      </c>
      <c r="W222" s="40">
        <v>0</v>
      </c>
      <c r="X222" s="40">
        <v>0</v>
      </c>
      <c r="Y222" s="67">
        <f t="shared" si="37"/>
        <v>23</v>
      </c>
      <c r="AA222" s="71"/>
      <c r="AB222" s="71"/>
      <c r="AC222" s="67" t="str">
        <f t="shared" si="36"/>
        <v/>
      </c>
      <c r="AE222" s="124"/>
      <c r="AF222" s="124"/>
      <c r="AG222" s="121"/>
      <c r="AH222" s="121"/>
      <c r="AI222" s="124"/>
      <c r="AJ222" s="124"/>
    </row>
    <row r="223" spans="2:36" x14ac:dyDescent="0.25">
      <c r="B223" s="2" t="s">
        <v>1270</v>
      </c>
      <c r="C223" s="7">
        <v>0.83750000000000002</v>
      </c>
      <c r="D223" s="3">
        <f t="shared" si="38"/>
        <v>8.4</v>
      </c>
      <c r="E223" s="10" t="s">
        <v>1142</v>
      </c>
      <c r="F223" s="40">
        <v>0</v>
      </c>
      <c r="G223" s="40">
        <v>2.5</v>
      </c>
      <c r="H223" s="40">
        <v>2</v>
      </c>
      <c r="I223" s="3">
        <f t="shared" si="32"/>
        <v>0</v>
      </c>
      <c r="J223" s="3">
        <f t="shared" si="33"/>
        <v>0.87500000000000011</v>
      </c>
      <c r="K223" s="3">
        <f t="shared" si="34"/>
        <v>0.7</v>
      </c>
      <c r="L223" s="3"/>
      <c r="M223" s="60">
        <f t="shared" si="35"/>
        <v>656.62375000000054</v>
      </c>
      <c r="N223" s="40">
        <v>0</v>
      </c>
      <c r="O223" s="40">
        <v>0</v>
      </c>
      <c r="P223" s="40">
        <v>0</v>
      </c>
      <c r="Q223" s="40">
        <v>0</v>
      </c>
      <c r="R223" s="40">
        <v>2.1</v>
      </c>
      <c r="S223" s="40">
        <v>0</v>
      </c>
      <c r="T223" s="61">
        <f t="shared" si="31"/>
        <v>26.800000000000047</v>
      </c>
      <c r="U223" s="40">
        <v>0</v>
      </c>
      <c r="V223" s="40">
        <v>0</v>
      </c>
      <c r="W223" s="40">
        <v>2</v>
      </c>
      <c r="X223" s="40">
        <v>0</v>
      </c>
      <c r="Y223" s="67">
        <f t="shared" si="37"/>
        <v>21</v>
      </c>
      <c r="AA223" s="71"/>
      <c r="AB223" s="71"/>
      <c r="AC223" s="67" t="str">
        <f t="shared" si="36"/>
        <v/>
      </c>
      <c r="AE223" s="124"/>
      <c r="AF223" s="124"/>
      <c r="AG223" s="121"/>
      <c r="AH223" s="121"/>
      <c r="AI223" s="124"/>
      <c r="AJ223" s="124"/>
    </row>
    <row r="224" spans="2:36" x14ac:dyDescent="0.25">
      <c r="B224" s="2" t="s">
        <v>1270</v>
      </c>
      <c r="C224" s="7">
        <v>0.93333333333333324</v>
      </c>
      <c r="D224" s="3">
        <f t="shared" si="38"/>
        <v>2.2999999999999972</v>
      </c>
      <c r="E224" s="10" t="s">
        <v>1011</v>
      </c>
      <c r="F224" s="40">
        <v>0</v>
      </c>
      <c r="G224" s="40">
        <v>2.5</v>
      </c>
      <c r="H224" s="40">
        <v>2</v>
      </c>
      <c r="I224" s="3">
        <f t="shared" si="32"/>
        <v>0</v>
      </c>
      <c r="J224" s="3">
        <f t="shared" si="33"/>
        <v>0.23958333333333304</v>
      </c>
      <c r="K224" s="3">
        <f t="shared" si="34"/>
        <v>0.19166666666666643</v>
      </c>
      <c r="L224" s="3"/>
      <c r="M224" s="60">
        <f t="shared" si="35"/>
        <v>656.19250000000056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61">
        <f t="shared" si="31"/>
        <v>26.800000000000047</v>
      </c>
      <c r="U224" s="40">
        <v>0</v>
      </c>
      <c r="V224" s="40">
        <v>0</v>
      </c>
      <c r="W224" s="40">
        <v>0</v>
      </c>
      <c r="X224" s="40">
        <v>0</v>
      </c>
      <c r="Y224" s="67">
        <f t="shared" si="37"/>
        <v>21</v>
      </c>
      <c r="AA224" s="71"/>
      <c r="AB224" s="71"/>
      <c r="AC224" s="67" t="str">
        <f t="shared" si="36"/>
        <v/>
      </c>
      <c r="AE224" s="124"/>
      <c r="AF224" s="124"/>
      <c r="AG224" s="121"/>
      <c r="AH224" s="121"/>
      <c r="AI224" s="124"/>
      <c r="AJ224" s="124"/>
    </row>
    <row r="225" spans="2:36" x14ac:dyDescent="0.25">
      <c r="B225" s="2" t="s">
        <v>1270</v>
      </c>
      <c r="C225" s="7">
        <v>0.96666666666666667</v>
      </c>
      <c r="D225" s="3">
        <f t="shared" si="38"/>
        <v>0.80000000000000249</v>
      </c>
      <c r="E225" s="10" t="s">
        <v>1281</v>
      </c>
      <c r="F225" s="40">
        <v>5</v>
      </c>
      <c r="G225" s="40">
        <v>2.5</v>
      </c>
      <c r="H225" s="40">
        <v>2</v>
      </c>
      <c r="I225" s="3">
        <f t="shared" si="32"/>
        <v>0.16666666666666718</v>
      </c>
      <c r="J225" s="3">
        <f t="shared" si="33"/>
        <v>8.3333333333333592E-2</v>
      </c>
      <c r="K225" s="3">
        <f t="shared" si="34"/>
        <v>6.6666666666666874E-2</v>
      </c>
      <c r="L225" s="3"/>
      <c r="M225" s="60">
        <f t="shared" si="35"/>
        <v>655.87583333333384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61">
        <f t="shared" si="31"/>
        <v>26.800000000000047</v>
      </c>
      <c r="U225" s="40">
        <v>0</v>
      </c>
      <c r="V225" s="40">
        <v>0</v>
      </c>
      <c r="W225" s="40">
        <v>0</v>
      </c>
      <c r="X225" s="40">
        <v>0</v>
      </c>
      <c r="Y225" s="67">
        <f t="shared" si="37"/>
        <v>21</v>
      </c>
      <c r="AA225" s="71"/>
      <c r="AB225" s="71"/>
      <c r="AC225" s="67" t="str">
        <f t="shared" si="36"/>
        <v/>
      </c>
      <c r="AE225" s="124"/>
      <c r="AF225" s="124"/>
      <c r="AG225" s="121"/>
      <c r="AH225" s="121"/>
      <c r="AI225" s="124"/>
      <c r="AJ225" s="124"/>
    </row>
    <row r="226" spans="2:36" x14ac:dyDescent="0.25">
      <c r="B226" s="2" t="s">
        <v>1271</v>
      </c>
      <c r="C226" s="65">
        <v>0.33333333333333331</v>
      </c>
      <c r="D226" s="3">
        <f t="shared" si="38"/>
        <v>8.8000000000000007</v>
      </c>
      <c r="E226" s="10" t="s">
        <v>355</v>
      </c>
      <c r="F226" s="40">
        <v>20</v>
      </c>
      <c r="G226" s="40">
        <v>2.5</v>
      </c>
      <c r="H226" s="40">
        <v>0</v>
      </c>
      <c r="I226" s="3">
        <f t="shared" si="32"/>
        <v>7.3333333333333339</v>
      </c>
      <c r="J226" s="3">
        <f t="shared" si="33"/>
        <v>0.91666666666666674</v>
      </c>
      <c r="K226" s="3">
        <f t="shared" si="34"/>
        <v>0</v>
      </c>
      <c r="L226" s="3"/>
      <c r="M226" s="60">
        <f t="shared" si="35"/>
        <v>647.62583333333384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61">
        <f t="shared" si="31"/>
        <v>26.800000000000047</v>
      </c>
      <c r="U226" s="40">
        <v>0</v>
      </c>
      <c r="V226" s="40">
        <v>0</v>
      </c>
      <c r="W226" s="40">
        <v>2</v>
      </c>
      <c r="X226" s="40">
        <v>0</v>
      </c>
      <c r="Y226" s="67">
        <f t="shared" si="37"/>
        <v>19</v>
      </c>
      <c r="AA226" s="71">
        <v>58</v>
      </c>
      <c r="AB226" s="71">
        <v>10</v>
      </c>
      <c r="AC226" s="67">
        <f t="shared" si="36"/>
        <v>68</v>
      </c>
      <c r="AE226" s="124"/>
      <c r="AF226" s="124"/>
      <c r="AG226" s="121"/>
      <c r="AH226" s="121"/>
      <c r="AI226" s="124"/>
      <c r="AJ226" s="124"/>
    </row>
    <row r="227" spans="2:36" x14ac:dyDescent="0.25">
      <c r="B227" s="2" t="s">
        <v>1271</v>
      </c>
      <c r="C227" s="7">
        <v>0.79999999999999993</v>
      </c>
      <c r="D227" s="3">
        <f t="shared" si="38"/>
        <v>11.2</v>
      </c>
      <c r="E227" s="10" t="s">
        <v>201</v>
      </c>
      <c r="F227" s="40">
        <v>20</v>
      </c>
      <c r="G227" s="40">
        <v>2.5</v>
      </c>
      <c r="H227" s="40">
        <v>0</v>
      </c>
      <c r="I227" s="3">
        <f t="shared" si="32"/>
        <v>9.3333333333333339</v>
      </c>
      <c r="J227" s="3">
        <f t="shared" si="33"/>
        <v>1.1666666666666667</v>
      </c>
      <c r="K227" s="3">
        <f t="shared" si="34"/>
        <v>0</v>
      </c>
      <c r="L227" s="3"/>
      <c r="M227" s="60">
        <f t="shared" si="35"/>
        <v>637.12583333333384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61">
        <f t="shared" si="31"/>
        <v>26.800000000000047</v>
      </c>
      <c r="U227" s="40">
        <v>0</v>
      </c>
      <c r="V227" s="40">
        <v>0</v>
      </c>
      <c r="W227" s="40">
        <v>0</v>
      </c>
      <c r="X227" s="40">
        <v>0</v>
      </c>
      <c r="Y227" s="67">
        <f t="shared" si="37"/>
        <v>19</v>
      </c>
      <c r="AA227" s="71"/>
      <c r="AB227" s="71"/>
      <c r="AC227" s="67" t="str">
        <f t="shared" si="36"/>
        <v/>
      </c>
      <c r="AE227" s="124">
        <v>9.5</v>
      </c>
      <c r="AF227" s="124" t="s">
        <v>1303</v>
      </c>
      <c r="AG227" s="121"/>
      <c r="AH227" s="121"/>
      <c r="AI227" s="124"/>
      <c r="AJ227" s="124"/>
    </row>
    <row r="228" spans="2:36" x14ac:dyDescent="0.25">
      <c r="B228" s="2" t="s">
        <v>1271</v>
      </c>
      <c r="C228" s="7">
        <v>0.82500000000000007</v>
      </c>
      <c r="D228" s="3">
        <f t="shared" si="38"/>
        <v>0.6000000000000032</v>
      </c>
      <c r="E228" s="10" t="s">
        <v>616</v>
      </c>
      <c r="F228" s="40">
        <v>5</v>
      </c>
      <c r="G228" s="40">
        <v>2.5</v>
      </c>
      <c r="H228" s="40">
        <v>2</v>
      </c>
      <c r="I228" s="3">
        <f t="shared" si="32"/>
        <v>0.12500000000000067</v>
      </c>
      <c r="J228" s="3">
        <f t="shared" si="33"/>
        <v>6.2500000000000333E-2</v>
      </c>
      <c r="K228" s="3">
        <f t="shared" si="34"/>
        <v>5.0000000000000266E-2</v>
      </c>
      <c r="L228" s="3"/>
      <c r="M228" s="60">
        <f t="shared" si="35"/>
        <v>636.88833333333389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61">
        <f t="shared" si="31"/>
        <v>26.800000000000047</v>
      </c>
      <c r="U228" s="40">
        <v>0</v>
      </c>
      <c r="V228" s="40">
        <v>0</v>
      </c>
      <c r="W228" s="40">
        <v>3</v>
      </c>
      <c r="X228" s="40">
        <v>0</v>
      </c>
      <c r="Y228" s="67">
        <f t="shared" si="37"/>
        <v>16</v>
      </c>
      <c r="AA228" s="71"/>
      <c r="AB228" s="71"/>
      <c r="AC228" s="67" t="str">
        <f t="shared" si="36"/>
        <v/>
      </c>
      <c r="AE228" s="124"/>
      <c r="AF228" s="124"/>
      <c r="AG228" s="121"/>
      <c r="AH228" s="121"/>
      <c r="AI228" s="124"/>
      <c r="AJ228" s="124"/>
    </row>
    <row r="229" spans="2:36" x14ac:dyDescent="0.25">
      <c r="B229" s="2" t="s">
        <v>1271</v>
      </c>
      <c r="C229" s="7">
        <v>0.9916666666666667</v>
      </c>
      <c r="D229" s="3">
        <f t="shared" si="38"/>
        <v>3.9999999999999991</v>
      </c>
      <c r="E229" s="10" t="s">
        <v>1272</v>
      </c>
      <c r="F229" s="40">
        <v>0</v>
      </c>
      <c r="G229" s="40">
        <v>2.5</v>
      </c>
      <c r="H229" s="40">
        <v>2</v>
      </c>
      <c r="I229" s="3">
        <f t="shared" si="32"/>
        <v>0</v>
      </c>
      <c r="J229" s="3">
        <f t="shared" si="33"/>
        <v>0.41666666666666657</v>
      </c>
      <c r="K229" s="3">
        <f t="shared" si="34"/>
        <v>0.33333333333333326</v>
      </c>
      <c r="L229" s="3"/>
      <c r="M229" s="60">
        <f t="shared" si="35"/>
        <v>636.13833333333389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80</v>
      </c>
      <c r="T229" s="61">
        <f t="shared" si="31"/>
        <v>106.80000000000004</v>
      </c>
      <c r="U229" s="40">
        <v>0</v>
      </c>
      <c r="V229" s="40">
        <v>0</v>
      </c>
      <c r="W229" s="40">
        <v>0</v>
      </c>
      <c r="X229" s="40">
        <v>0</v>
      </c>
      <c r="Y229" s="67">
        <f t="shared" si="37"/>
        <v>16</v>
      </c>
      <c r="AA229" s="71"/>
      <c r="AB229" s="71"/>
      <c r="AC229" s="67" t="str">
        <f t="shared" si="36"/>
        <v/>
      </c>
      <c r="AE229" s="124"/>
      <c r="AF229" s="124"/>
      <c r="AG229" s="121"/>
      <c r="AH229" s="121"/>
      <c r="AI229" s="124"/>
      <c r="AJ229" s="124"/>
    </row>
    <row r="230" spans="2:36" x14ac:dyDescent="0.25">
      <c r="B230" s="2" t="s">
        <v>1273</v>
      </c>
      <c r="C230" s="65">
        <v>0.33333333333333331</v>
      </c>
      <c r="D230" s="3">
        <f t="shared" si="38"/>
        <v>8.1999999999999975</v>
      </c>
      <c r="E230" s="10" t="s">
        <v>351</v>
      </c>
      <c r="F230" s="40">
        <v>0</v>
      </c>
      <c r="G230" s="40">
        <v>2.5</v>
      </c>
      <c r="H230" s="40">
        <v>2</v>
      </c>
      <c r="I230" s="3">
        <f t="shared" si="32"/>
        <v>0</v>
      </c>
      <c r="J230" s="3">
        <f t="shared" si="33"/>
        <v>0.85416666666666641</v>
      </c>
      <c r="K230" s="3">
        <f t="shared" si="34"/>
        <v>0.68333333333333313</v>
      </c>
      <c r="L230" s="3"/>
      <c r="M230" s="60">
        <f t="shared" si="35"/>
        <v>634.60083333333387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61">
        <f t="shared" si="31"/>
        <v>106.80000000000004</v>
      </c>
      <c r="U230" s="40">
        <v>0</v>
      </c>
      <c r="V230" s="40">
        <v>0</v>
      </c>
      <c r="W230" s="40">
        <v>3</v>
      </c>
      <c r="X230" s="40">
        <v>0</v>
      </c>
      <c r="Y230" s="67">
        <f t="shared" si="37"/>
        <v>13</v>
      </c>
      <c r="AA230" s="71">
        <v>55</v>
      </c>
      <c r="AB230" s="71">
        <v>10</v>
      </c>
      <c r="AC230" s="67">
        <f t="shared" si="36"/>
        <v>65</v>
      </c>
      <c r="AE230" s="124"/>
      <c r="AF230" s="124"/>
      <c r="AG230" s="121"/>
      <c r="AH230" s="121"/>
      <c r="AI230" s="124"/>
      <c r="AJ230" s="124"/>
    </row>
    <row r="231" spans="2:36" x14ac:dyDescent="0.25">
      <c r="B231" s="2" t="s">
        <v>1274</v>
      </c>
      <c r="C231" s="65">
        <v>0.33333333333333331</v>
      </c>
      <c r="D231" s="3">
        <v>24</v>
      </c>
      <c r="E231" s="10" t="s">
        <v>351</v>
      </c>
      <c r="F231" s="40">
        <v>0</v>
      </c>
      <c r="G231" s="40">
        <v>2.5</v>
      </c>
      <c r="H231" s="40">
        <v>2</v>
      </c>
      <c r="I231" s="3">
        <f t="shared" si="32"/>
        <v>0</v>
      </c>
      <c r="J231" s="3">
        <f t="shared" si="33"/>
        <v>2.5</v>
      </c>
      <c r="K231" s="3">
        <f t="shared" si="34"/>
        <v>2</v>
      </c>
      <c r="L231" s="3"/>
      <c r="M231" s="60">
        <f t="shared" si="35"/>
        <v>630.10083333333387</v>
      </c>
      <c r="N231" s="40">
        <v>0</v>
      </c>
      <c r="O231" s="40">
        <v>0</v>
      </c>
      <c r="P231" s="40">
        <v>0</v>
      </c>
      <c r="Q231" s="40">
        <v>0</v>
      </c>
      <c r="R231" s="40">
        <v>6</v>
      </c>
      <c r="S231" s="40">
        <v>0</v>
      </c>
      <c r="T231" s="61">
        <f t="shared" si="31"/>
        <v>100.80000000000004</v>
      </c>
      <c r="U231" s="40">
        <v>0</v>
      </c>
      <c r="V231" s="40">
        <v>0</v>
      </c>
      <c r="W231" s="40">
        <v>2</v>
      </c>
      <c r="X231" s="40">
        <v>0</v>
      </c>
      <c r="Y231" s="67">
        <f t="shared" si="37"/>
        <v>11</v>
      </c>
      <c r="AA231" s="71">
        <v>50</v>
      </c>
      <c r="AB231" s="71">
        <v>10</v>
      </c>
      <c r="AC231" s="67">
        <f t="shared" si="36"/>
        <v>60</v>
      </c>
      <c r="AE231" s="124"/>
      <c r="AF231" s="124"/>
      <c r="AG231" s="121"/>
      <c r="AH231" s="121"/>
      <c r="AI231" s="124"/>
      <c r="AJ231" s="124"/>
    </row>
    <row r="232" spans="2:36" x14ac:dyDescent="0.25">
      <c r="B232" s="7" t="s">
        <v>1274</v>
      </c>
      <c r="C232" s="7">
        <v>0.5541666666666667</v>
      </c>
      <c r="D232" s="3">
        <f t="shared" si="38"/>
        <v>5.3000000000000007</v>
      </c>
      <c r="E232" s="10" t="s">
        <v>1011</v>
      </c>
      <c r="F232" s="40">
        <v>0</v>
      </c>
      <c r="G232" s="40">
        <v>2.5</v>
      </c>
      <c r="H232" s="40">
        <v>2</v>
      </c>
      <c r="I232" s="3">
        <f t="shared" si="32"/>
        <v>0</v>
      </c>
      <c r="J232" s="3">
        <f t="shared" si="33"/>
        <v>0.55208333333333348</v>
      </c>
      <c r="K232" s="3">
        <f t="shared" si="34"/>
        <v>0.44166666666666671</v>
      </c>
      <c r="L232" s="3"/>
      <c r="M232" s="60">
        <f t="shared" si="35"/>
        <v>629.10708333333389</v>
      </c>
      <c r="N232" s="40">
        <v>0</v>
      </c>
      <c r="O232" s="40">
        <v>0</v>
      </c>
      <c r="P232" s="40">
        <v>0</v>
      </c>
      <c r="Q232" s="40">
        <v>0</v>
      </c>
      <c r="R232" s="40">
        <v>1.3</v>
      </c>
      <c r="S232" s="40">
        <v>0</v>
      </c>
      <c r="T232" s="61">
        <f t="shared" si="31"/>
        <v>99.500000000000043</v>
      </c>
      <c r="U232" s="40">
        <v>0</v>
      </c>
      <c r="V232" s="40">
        <v>0</v>
      </c>
      <c r="W232" s="40">
        <v>0</v>
      </c>
      <c r="X232" s="40">
        <v>0</v>
      </c>
      <c r="Y232" s="67">
        <f t="shared" si="37"/>
        <v>11</v>
      </c>
      <c r="AA232" s="71"/>
      <c r="AB232" s="71"/>
      <c r="AC232" s="67" t="str">
        <f t="shared" si="36"/>
        <v/>
      </c>
      <c r="AE232" s="124"/>
      <c r="AF232" s="124"/>
      <c r="AG232" s="121"/>
      <c r="AH232" s="121"/>
      <c r="AI232" s="124"/>
      <c r="AJ232" s="124"/>
    </row>
    <row r="233" spans="2:36" x14ac:dyDescent="0.25">
      <c r="B233" s="2" t="s">
        <v>1274</v>
      </c>
      <c r="C233" s="7">
        <v>0.5708333333333333</v>
      </c>
      <c r="D233" s="3">
        <f t="shared" si="38"/>
        <v>0.39999999999999858</v>
      </c>
      <c r="E233" s="10" t="s">
        <v>1275</v>
      </c>
      <c r="F233" s="40">
        <v>5</v>
      </c>
      <c r="G233" s="40">
        <v>2.5</v>
      </c>
      <c r="H233" s="40">
        <v>2</v>
      </c>
      <c r="I233" s="3">
        <f t="shared" si="32"/>
        <v>8.3333333333333037E-2</v>
      </c>
      <c r="J233" s="3">
        <f t="shared" si="33"/>
        <v>4.1666666666666519E-2</v>
      </c>
      <c r="K233" s="3">
        <f t="shared" si="34"/>
        <v>3.3333333333333215E-2</v>
      </c>
      <c r="L233" s="3"/>
      <c r="M233" s="60">
        <f t="shared" si="35"/>
        <v>628.94875000000059</v>
      </c>
      <c r="N233" s="40">
        <v>0</v>
      </c>
      <c r="O233" s="40">
        <v>0</v>
      </c>
      <c r="P233" s="40">
        <v>0</v>
      </c>
      <c r="Q233" s="40">
        <v>0</v>
      </c>
      <c r="R233" s="40">
        <v>0.1</v>
      </c>
      <c r="S233" s="40">
        <v>0</v>
      </c>
      <c r="T233" s="61">
        <f t="shared" si="31"/>
        <v>99.400000000000048</v>
      </c>
      <c r="U233" s="40">
        <v>0</v>
      </c>
      <c r="V233" s="40">
        <v>0</v>
      </c>
      <c r="W233" s="40">
        <v>0</v>
      </c>
      <c r="X233" s="40">
        <v>0</v>
      </c>
      <c r="Y233" s="67">
        <f t="shared" si="37"/>
        <v>11</v>
      </c>
      <c r="AA233" s="71"/>
      <c r="AB233" s="71"/>
      <c r="AC233" s="67" t="str">
        <f t="shared" si="36"/>
        <v/>
      </c>
      <c r="AE233" s="124"/>
      <c r="AF233" s="124"/>
      <c r="AG233" s="121"/>
      <c r="AH233" s="121"/>
      <c r="AI233" s="124"/>
      <c r="AJ233" s="124"/>
    </row>
    <row r="234" spans="2:36" x14ac:dyDescent="0.25">
      <c r="B234" s="2" t="s">
        <v>1274</v>
      </c>
      <c r="C234" s="7">
        <v>0.59583333333333333</v>
      </c>
      <c r="D234" s="3">
        <f t="shared" si="38"/>
        <v>0.60000000000000053</v>
      </c>
      <c r="E234" s="10" t="s">
        <v>201</v>
      </c>
      <c r="F234" s="40">
        <v>10</v>
      </c>
      <c r="G234" s="40">
        <v>2.5</v>
      </c>
      <c r="H234" s="40">
        <v>2</v>
      </c>
      <c r="I234" s="3">
        <f t="shared" si="32"/>
        <v>0.25000000000000022</v>
      </c>
      <c r="J234" s="3">
        <f t="shared" si="33"/>
        <v>6.2500000000000056E-2</v>
      </c>
      <c r="K234" s="3">
        <f t="shared" si="34"/>
        <v>5.0000000000000044E-2</v>
      </c>
      <c r="L234" s="3"/>
      <c r="M234" s="60">
        <f t="shared" si="35"/>
        <v>628.58625000000063</v>
      </c>
      <c r="N234" s="40">
        <v>0</v>
      </c>
      <c r="O234" s="40">
        <v>0</v>
      </c>
      <c r="P234" s="40">
        <v>0</v>
      </c>
      <c r="Q234" s="40">
        <v>0</v>
      </c>
      <c r="R234" s="40">
        <v>0.1</v>
      </c>
      <c r="S234" s="40">
        <v>0</v>
      </c>
      <c r="T234" s="61">
        <f t="shared" si="31"/>
        <v>99.300000000000054</v>
      </c>
      <c r="U234" s="40">
        <v>0</v>
      </c>
      <c r="V234" s="40">
        <v>0</v>
      </c>
      <c r="W234" s="40">
        <v>0</v>
      </c>
      <c r="X234" s="40">
        <v>0</v>
      </c>
      <c r="Y234" s="67">
        <f t="shared" si="37"/>
        <v>11</v>
      </c>
      <c r="AA234" s="71"/>
      <c r="AB234" s="71"/>
      <c r="AC234" s="67" t="str">
        <f t="shared" si="36"/>
        <v/>
      </c>
      <c r="AE234" s="124"/>
      <c r="AF234" s="124"/>
      <c r="AG234" s="121"/>
      <c r="AH234" s="121"/>
      <c r="AI234" s="124"/>
      <c r="AJ234" s="124"/>
    </row>
    <row r="235" spans="2:36" x14ac:dyDescent="0.25">
      <c r="B235" s="2" t="s">
        <v>1274</v>
      </c>
      <c r="C235" s="7">
        <v>0.67499999999999993</v>
      </c>
      <c r="D235" s="3">
        <f t="shared" si="38"/>
        <v>1.8999999999999986</v>
      </c>
      <c r="E235" s="10" t="s">
        <v>616</v>
      </c>
      <c r="F235" s="40">
        <v>2</v>
      </c>
      <c r="G235" s="40">
        <v>2.5</v>
      </c>
      <c r="H235" s="40">
        <v>2</v>
      </c>
      <c r="I235" s="3">
        <f t="shared" si="32"/>
        <v>0.15833333333333321</v>
      </c>
      <c r="J235" s="3">
        <f t="shared" si="33"/>
        <v>0.19791666666666652</v>
      </c>
      <c r="K235" s="3">
        <f t="shared" si="34"/>
        <v>0.15833333333333321</v>
      </c>
      <c r="L235" s="3"/>
      <c r="M235" s="60">
        <f t="shared" si="35"/>
        <v>628.07166666666728</v>
      </c>
      <c r="N235" s="40">
        <v>0</v>
      </c>
      <c r="O235" s="40">
        <v>0</v>
      </c>
      <c r="P235" s="40">
        <v>0</v>
      </c>
      <c r="Q235" s="40">
        <v>0</v>
      </c>
      <c r="R235" s="40">
        <v>0.5</v>
      </c>
      <c r="S235" s="40">
        <v>0</v>
      </c>
      <c r="T235" s="61">
        <f t="shared" ref="T235:T278" si="39">IF(D235="","",(T234+S235)-(N235+O235+P235+Q235+R235))</f>
        <v>98.800000000000054</v>
      </c>
      <c r="U235" s="40">
        <v>0</v>
      </c>
      <c r="V235" s="40">
        <v>0</v>
      </c>
      <c r="W235" s="40">
        <v>1</v>
      </c>
      <c r="X235" s="40">
        <v>0</v>
      </c>
      <c r="Y235" s="67">
        <f t="shared" si="37"/>
        <v>10</v>
      </c>
      <c r="AA235" s="71"/>
      <c r="AB235" s="71"/>
      <c r="AC235" s="67" t="str">
        <f t="shared" si="36"/>
        <v/>
      </c>
      <c r="AE235" s="124"/>
      <c r="AF235" s="124"/>
      <c r="AG235" s="121"/>
      <c r="AH235" s="121"/>
      <c r="AI235" s="124"/>
      <c r="AJ235" s="124"/>
    </row>
    <row r="236" spans="2:36" x14ac:dyDescent="0.25">
      <c r="B236" s="2" t="s">
        <v>1274</v>
      </c>
      <c r="C236" s="7">
        <v>0.91666666666666663</v>
      </c>
      <c r="D236" s="3">
        <f t="shared" si="38"/>
        <v>5.8000000000000007</v>
      </c>
      <c r="E236" s="10" t="s">
        <v>1276</v>
      </c>
      <c r="F236" s="40">
        <v>0</v>
      </c>
      <c r="G236" s="40">
        <v>2.5</v>
      </c>
      <c r="H236" s="40">
        <v>2</v>
      </c>
      <c r="I236" s="3">
        <f t="shared" si="32"/>
        <v>0</v>
      </c>
      <c r="J236" s="3">
        <f t="shared" si="33"/>
        <v>0.60416666666666674</v>
      </c>
      <c r="K236" s="3">
        <f t="shared" si="34"/>
        <v>0.48333333333333339</v>
      </c>
      <c r="L236" s="3"/>
      <c r="M236" s="60">
        <f t="shared" si="35"/>
        <v>626.98416666666731</v>
      </c>
      <c r="N236" s="40">
        <v>0</v>
      </c>
      <c r="O236" s="40">
        <v>0</v>
      </c>
      <c r="P236" s="40">
        <v>0</v>
      </c>
      <c r="Q236" s="40">
        <v>0</v>
      </c>
      <c r="R236" s="40">
        <v>1.4</v>
      </c>
      <c r="S236" s="40">
        <v>0</v>
      </c>
      <c r="T236" s="61">
        <f t="shared" si="39"/>
        <v>97.400000000000048</v>
      </c>
      <c r="U236" s="40">
        <v>0</v>
      </c>
      <c r="V236" s="40">
        <v>0</v>
      </c>
      <c r="W236" s="40">
        <v>0</v>
      </c>
      <c r="X236" s="40">
        <v>0</v>
      </c>
      <c r="Y236" s="67">
        <f t="shared" si="37"/>
        <v>10</v>
      </c>
      <c r="AA236" s="71"/>
      <c r="AB236" s="71"/>
      <c r="AC236" s="67" t="str">
        <f t="shared" si="36"/>
        <v/>
      </c>
      <c r="AE236" s="124"/>
      <c r="AF236" s="124"/>
      <c r="AG236" s="121"/>
      <c r="AH236" s="121"/>
      <c r="AI236" s="124"/>
      <c r="AJ236" s="124"/>
    </row>
    <row r="237" spans="2:36" x14ac:dyDescent="0.25">
      <c r="B237" s="2" t="s">
        <v>1277</v>
      </c>
      <c r="C237" s="7">
        <v>1.2499999999999999E-2</v>
      </c>
      <c r="D237" s="3">
        <f t="shared" si="38"/>
        <v>2.3000000000000007</v>
      </c>
      <c r="E237" s="10" t="s">
        <v>1049</v>
      </c>
      <c r="F237" s="40">
        <v>0</v>
      </c>
      <c r="G237" s="40">
        <v>2.5</v>
      </c>
      <c r="H237" s="40">
        <v>2</v>
      </c>
      <c r="I237" s="3">
        <f t="shared" si="32"/>
        <v>0</v>
      </c>
      <c r="J237" s="3">
        <f t="shared" si="33"/>
        <v>0.23958333333333343</v>
      </c>
      <c r="K237" s="3">
        <f t="shared" si="34"/>
        <v>0.19166666666666671</v>
      </c>
      <c r="L237" s="3"/>
      <c r="M237" s="60">
        <f t="shared" si="35"/>
        <v>626.55291666666733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61">
        <f t="shared" si="39"/>
        <v>97.400000000000048</v>
      </c>
      <c r="U237" s="40">
        <v>0</v>
      </c>
      <c r="V237" s="40">
        <v>0</v>
      </c>
      <c r="W237" s="40">
        <v>0</v>
      </c>
      <c r="X237" s="40">
        <v>0</v>
      </c>
      <c r="Y237" s="67">
        <f t="shared" si="37"/>
        <v>10</v>
      </c>
      <c r="AA237" s="71"/>
      <c r="AB237" s="71"/>
      <c r="AC237" s="67" t="str">
        <f t="shared" si="36"/>
        <v/>
      </c>
      <c r="AE237" s="124"/>
      <c r="AF237" s="124"/>
      <c r="AG237" s="121"/>
      <c r="AH237" s="121"/>
      <c r="AI237" s="124"/>
      <c r="AJ237" s="124"/>
    </row>
    <row r="238" spans="2:36" x14ac:dyDescent="0.25">
      <c r="B238" s="2" t="s">
        <v>1277</v>
      </c>
      <c r="C238" s="65">
        <v>0.33333333333333331</v>
      </c>
      <c r="D238" s="3">
        <f t="shared" si="38"/>
        <v>7.6999999999999993</v>
      </c>
      <c r="E238" s="10" t="s">
        <v>1051</v>
      </c>
      <c r="F238" s="40">
        <v>0</v>
      </c>
      <c r="G238" s="40">
        <v>2.5</v>
      </c>
      <c r="H238" s="40">
        <v>2</v>
      </c>
      <c r="I238" s="3">
        <f t="shared" si="32"/>
        <v>0</v>
      </c>
      <c r="J238" s="3">
        <f t="shared" si="33"/>
        <v>0.80208333333333326</v>
      </c>
      <c r="K238" s="3">
        <f t="shared" si="34"/>
        <v>0.64166666666666661</v>
      </c>
      <c r="L238" s="3"/>
      <c r="M238" s="60">
        <f t="shared" si="35"/>
        <v>625.10916666666731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61">
        <f t="shared" si="39"/>
        <v>97.400000000000048</v>
      </c>
      <c r="U238" s="40">
        <v>0</v>
      </c>
      <c r="V238" s="40">
        <v>0</v>
      </c>
      <c r="W238" s="40">
        <v>0</v>
      </c>
      <c r="X238" s="40">
        <v>0</v>
      </c>
      <c r="Y238" s="67">
        <f t="shared" si="37"/>
        <v>10</v>
      </c>
      <c r="AA238" s="71"/>
      <c r="AB238" s="71"/>
      <c r="AC238" s="67" t="str">
        <f t="shared" si="36"/>
        <v/>
      </c>
      <c r="AE238" s="124"/>
      <c r="AF238" s="124"/>
      <c r="AG238" s="121"/>
      <c r="AH238" s="121"/>
      <c r="AI238" s="124"/>
      <c r="AJ238" s="124"/>
    </row>
    <row r="239" spans="2:36" x14ac:dyDescent="0.25">
      <c r="B239" s="2" t="s">
        <v>1278</v>
      </c>
      <c r="C239" s="65">
        <v>0.33333333333333331</v>
      </c>
      <c r="D239" s="3">
        <v>24</v>
      </c>
      <c r="E239" s="10" t="s">
        <v>1051</v>
      </c>
      <c r="F239" s="40">
        <v>0</v>
      </c>
      <c r="G239" s="40">
        <v>2.5</v>
      </c>
      <c r="H239" s="40">
        <v>2</v>
      </c>
      <c r="I239" s="3">
        <f t="shared" si="32"/>
        <v>0</v>
      </c>
      <c r="J239" s="3">
        <f t="shared" si="33"/>
        <v>2.5</v>
      </c>
      <c r="K239" s="3">
        <f t="shared" si="34"/>
        <v>2</v>
      </c>
      <c r="L239" s="3"/>
      <c r="M239" s="60">
        <f t="shared" si="35"/>
        <v>620.60916666666731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61">
        <f t="shared" si="39"/>
        <v>97.400000000000048</v>
      </c>
      <c r="U239" s="40">
        <v>0</v>
      </c>
      <c r="V239" s="40">
        <v>0</v>
      </c>
      <c r="W239" s="40">
        <v>2</v>
      </c>
      <c r="X239" s="40">
        <v>0</v>
      </c>
      <c r="Y239" s="67">
        <f t="shared" si="37"/>
        <v>8</v>
      </c>
      <c r="AA239" s="71">
        <v>45</v>
      </c>
      <c r="AB239" s="71">
        <v>10</v>
      </c>
      <c r="AC239" s="67">
        <f t="shared" si="36"/>
        <v>55</v>
      </c>
      <c r="AE239" s="124"/>
      <c r="AF239" s="124"/>
      <c r="AG239" s="121"/>
      <c r="AH239" s="121"/>
      <c r="AI239" s="124"/>
      <c r="AJ239" s="124"/>
    </row>
    <row r="240" spans="2:36" x14ac:dyDescent="0.25">
      <c r="B240" s="2" t="s">
        <v>1278</v>
      </c>
      <c r="C240" s="7">
        <v>0.97916666666666663</v>
      </c>
      <c r="D240" s="3">
        <f t="shared" si="38"/>
        <v>15.499999999999998</v>
      </c>
      <c r="E240" s="10" t="s">
        <v>1090</v>
      </c>
      <c r="F240" s="40">
        <v>0</v>
      </c>
      <c r="G240" s="40">
        <v>2.5</v>
      </c>
      <c r="H240" s="40">
        <v>2</v>
      </c>
      <c r="I240" s="3">
        <f t="shared" si="32"/>
        <v>0</v>
      </c>
      <c r="J240" s="3">
        <f t="shared" si="33"/>
        <v>1.6145833333333333</v>
      </c>
      <c r="K240" s="3">
        <f t="shared" si="34"/>
        <v>1.2916666666666665</v>
      </c>
      <c r="L240" s="3"/>
      <c r="M240" s="60">
        <f t="shared" si="35"/>
        <v>617.70291666666731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61">
        <f t="shared" si="39"/>
        <v>97.400000000000048</v>
      </c>
      <c r="U240" s="40">
        <v>0</v>
      </c>
      <c r="V240" s="40">
        <v>0</v>
      </c>
      <c r="W240" s="40">
        <v>2</v>
      </c>
      <c r="X240" s="40">
        <v>0</v>
      </c>
      <c r="Y240" s="67">
        <f t="shared" si="37"/>
        <v>6</v>
      </c>
      <c r="AA240" s="71"/>
      <c r="AB240" s="71"/>
      <c r="AC240" s="67" t="str">
        <f t="shared" si="36"/>
        <v/>
      </c>
      <c r="AE240" s="124"/>
      <c r="AF240" s="124"/>
      <c r="AG240" s="121"/>
      <c r="AH240" s="121"/>
      <c r="AI240" s="124"/>
      <c r="AJ240" s="124"/>
    </row>
    <row r="241" spans="2:36" x14ac:dyDescent="0.25">
      <c r="B241" s="2" t="s">
        <v>1279</v>
      </c>
      <c r="C241" s="7">
        <v>0.20833333333333334</v>
      </c>
      <c r="D241" s="3">
        <f t="shared" si="38"/>
        <v>5.5</v>
      </c>
      <c r="E241" s="10" t="s">
        <v>1011</v>
      </c>
      <c r="F241" s="40">
        <v>0</v>
      </c>
      <c r="G241" s="40">
        <v>2.5</v>
      </c>
      <c r="H241" s="40">
        <v>2</v>
      </c>
      <c r="I241" s="3">
        <f t="shared" si="32"/>
        <v>0</v>
      </c>
      <c r="J241" s="3">
        <f t="shared" si="33"/>
        <v>0.57291666666666674</v>
      </c>
      <c r="K241" s="3">
        <f t="shared" si="34"/>
        <v>0.45833333333333331</v>
      </c>
      <c r="L241" s="3"/>
      <c r="M241" s="60">
        <f t="shared" si="35"/>
        <v>616.67166666666731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61">
        <f t="shared" si="39"/>
        <v>97.400000000000048</v>
      </c>
      <c r="U241" s="40">
        <v>0</v>
      </c>
      <c r="V241" s="40">
        <v>0</v>
      </c>
      <c r="W241" s="40">
        <v>0</v>
      </c>
      <c r="X241" s="40">
        <v>0</v>
      </c>
      <c r="Y241" s="67">
        <f t="shared" si="37"/>
        <v>6</v>
      </c>
      <c r="AA241" s="71"/>
      <c r="AB241" s="71"/>
      <c r="AC241" s="67" t="str">
        <f t="shared" si="36"/>
        <v/>
      </c>
      <c r="AE241" s="124"/>
      <c r="AF241" s="124"/>
      <c r="AG241" s="121"/>
      <c r="AH241" s="121"/>
      <c r="AI241" s="124"/>
      <c r="AJ241" s="124"/>
    </row>
    <row r="242" spans="2:36" x14ac:dyDescent="0.25">
      <c r="B242" s="2" t="s">
        <v>1279</v>
      </c>
      <c r="C242" s="7">
        <v>0.23750000000000002</v>
      </c>
      <c r="D242" s="3">
        <f t="shared" si="38"/>
        <v>0.70000000000000018</v>
      </c>
      <c r="E242" s="10" t="s">
        <v>1026</v>
      </c>
      <c r="F242" s="40">
        <v>5</v>
      </c>
      <c r="G242" s="40">
        <v>2.5</v>
      </c>
      <c r="H242" s="40">
        <v>2</v>
      </c>
      <c r="I242" s="3">
        <f t="shared" si="32"/>
        <v>0.14583333333333337</v>
      </c>
      <c r="J242" s="3">
        <f t="shared" si="33"/>
        <v>7.2916666666666685E-2</v>
      </c>
      <c r="K242" s="3">
        <f t="shared" si="34"/>
        <v>5.8333333333333348E-2</v>
      </c>
      <c r="L242" s="3"/>
      <c r="M242" s="60">
        <f t="shared" si="35"/>
        <v>616.39458333333403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61">
        <f t="shared" si="39"/>
        <v>97.400000000000048</v>
      </c>
      <c r="U242" s="40">
        <v>0</v>
      </c>
      <c r="V242" s="40">
        <v>0</v>
      </c>
      <c r="W242" s="40">
        <v>0</v>
      </c>
      <c r="X242" s="40">
        <v>0</v>
      </c>
      <c r="Y242" s="67">
        <f t="shared" si="37"/>
        <v>6</v>
      </c>
      <c r="AA242" s="71"/>
      <c r="AB242" s="71"/>
      <c r="AC242" s="67" t="str">
        <f t="shared" si="36"/>
        <v/>
      </c>
      <c r="AE242" s="124"/>
      <c r="AF242" s="124"/>
      <c r="AG242" s="121"/>
      <c r="AH242" s="121"/>
      <c r="AI242" s="124"/>
      <c r="AJ242" s="124"/>
    </row>
    <row r="243" spans="2:36" x14ac:dyDescent="0.25">
      <c r="B243" s="2" t="s">
        <v>1279</v>
      </c>
      <c r="C243" s="7">
        <v>0.26527777777777778</v>
      </c>
      <c r="D243" s="3">
        <f t="shared" si="38"/>
        <v>0.6666666666666663</v>
      </c>
      <c r="E243" s="10" t="s">
        <v>201</v>
      </c>
      <c r="F243" s="40">
        <v>10</v>
      </c>
      <c r="G243" s="40">
        <v>2.5</v>
      </c>
      <c r="H243" s="40">
        <v>2</v>
      </c>
      <c r="I243" s="3">
        <f t="shared" si="32"/>
        <v>0.27777777777777762</v>
      </c>
      <c r="J243" s="3">
        <f t="shared" si="33"/>
        <v>6.9444444444444406E-2</v>
      </c>
      <c r="K243" s="3">
        <f t="shared" si="34"/>
        <v>5.5555555555555525E-2</v>
      </c>
      <c r="L243" s="3"/>
      <c r="M243" s="60">
        <f t="shared" si="35"/>
        <v>615.9918055555562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61">
        <f t="shared" si="39"/>
        <v>97.400000000000048</v>
      </c>
      <c r="U243" s="40">
        <v>0</v>
      </c>
      <c r="V243" s="40">
        <v>0</v>
      </c>
      <c r="W243" s="40">
        <v>0</v>
      </c>
      <c r="X243" s="40">
        <v>0</v>
      </c>
      <c r="Y243" s="67">
        <f t="shared" si="37"/>
        <v>6</v>
      </c>
      <c r="AA243" s="71"/>
      <c r="AB243" s="71"/>
      <c r="AC243" s="67" t="str">
        <f t="shared" si="36"/>
        <v/>
      </c>
      <c r="AE243" s="124"/>
      <c r="AF243" s="124"/>
      <c r="AG243" s="121"/>
      <c r="AH243" s="121"/>
      <c r="AI243" s="124"/>
      <c r="AJ243" s="124"/>
    </row>
    <row r="244" spans="2:36" x14ac:dyDescent="0.25">
      <c r="B244" s="2" t="s">
        <v>1279</v>
      </c>
      <c r="C244" s="7">
        <v>0.28333333333333333</v>
      </c>
      <c r="D244" s="3">
        <f t="shared" si="38"/>
        <v>0.43333333333333313</v>
      </c>
      <c r="E244" s="10" t="s">
        <v>616</v>
      </c>
      <c r="F244" s="40">
        <v>5</v>
      </c>
      <c r="G244" s="40">
        <v>2.5</v>
      </c>
      <c r="H244" s="40">
        <v>2</v>
      </c>
      <c r="I244" s="3">
        <f t="shared" si="32"/>
        <v>9.0277777777777735E-2</v>
      </c>
      <c r="J244" s="3">
        <f t="shared" si="33"/>
        <v>4.5138888888888867E-2</v>
      </c>
      <c r="K244" s="3">
        <f t="shared" si="34"/>
        <v>3.6111111111111094E-2</v>
      </c>
      <c r="L244" s="3"/>
      <c r="M244" s="60">
        <f t="shared" si="35"/>
        <v>615.82027777777841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61">
        <f t="shared" si="39"/>
        <v>97.400000000000048</v>
      </c>
      <c r="U244" s="40">
        <v>0</v>
      </c>
      <c r="V244" s="40">
        <v>0</v>
      </c>
      <c r="W244" s="40">
        <v>0</v>
      </c>
      <c r="X244" s="40">
        <v>0</v>
      </c>
      <c r="Y244" s="67">
        <f t="shared" si="37"/>
        <v>6</v>
      </c>
      <c r="AA244" s="71"/>
      <c r="AB244" s="71"/>
      <c r="AC244" s="67" t="str">
        <f t="shared" si="36"/>
        <v/>
      </c>
      <c r="AE244" s="124"/>
      <c r="AF244" s="124"/>
      <c r="AG244" s="121"/>
      <c r="AH244" s="121"/>
      <c r="AI244" s="124"/>
      <c r="AJ244" s="124"/>
    </row>
    <row r="245" spans="2:36" x14ac:dyDescent="0.25">
      <c r="B245" s="2" t="s">
        <v>1279</v>
      </c>
      <c r="C245" s="65">
        <v>0.33333333333333331</v>
      </c>
      <c r="D245" s="3">
        <f t="shared" si="38"/>
        <v>1.1999999999999997</v>
      </c>
      <c r="E245" s="10" t="s">
        <v>351</v>
      </c>
      <c r="F245" s="40">
        <v>0</v>
      </c>
      <c r="G245" s="40">
        <v>2.5</v>
      </c>
      <c r="H245" s="40">
        <v>2</v>
      </c>
      <c r="I245" s="3">
        <f t="shared" si="32"/>
        <v>0</v>
      </c>
      <c r="J245" s="3">
        <f t="shared" si="33"/>
        <v>0.12499999999999997</v>
      </c>
      <c r="K245" s="3">
        <f t="shared" si="34"/>
        <v>9.9999999999999978E-2</v>
      </c>
      <c r="L245" s="3"/>
      <c r="M245" s="60">
        <f t="shared" si="35"/>
        <v>615.59527777777839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61">
        <f t="shared" si="39"/>
        <v>97.400000000000048</v>
      </c>
      <c r="U245" s="40">
        <v>0</v>
      </c>
      <c r="V245" s="40">
        <v>0</v>
      </c>
      <c r="W245" s="40">
        <v>2</v>
      </c>
      <c r="X245" s="40">
        <v>0</v>
      </c>
      <c r="Y245" s="67">
        <f t="shared" si="37"/>
        <v>4</v>
      </c>
      <c r="AA245" s="71"/>
      <c r="AB245" s="71"/>
      <c r="AC245" s="67" t="str">
        <f t="shared" si="36"/>
        <v/>
      </c>
      <c r="AE245" s="124"/>
      <c r="AF245" s="124"/>
      <c r="AG245" s="121"/>
      <c r="AH245" s="121"/>
      <c r="AI245" s="124"/>
      <c r="AJ245" s="124"/>
    </row>
    <row r="246" spans="2:36" x14ac:dyDescent="0.25">
      <c r="B246" s="2" t="s">
        <v>1280</v>
      </c>
      <c r="C246" s="7">
        <v>4.9999999999999996E-2</v>
      </c>
      <c r="D246" s="3">
        <f t="shared" si="38"/>
        <v>17.2</v>
      </c>
      <c r="E246" s="10" t="s">
        <v>1011</v>
      </c>
      <c r="F246" s="40">
        <v>0</v>
      </c>
      <c r="G246" s="40">
        <v>2.5</v>
      </c>
      <c r="H246" s="40">
        <v>2</v>
      </c>
      <c r="I246" s="3">
        <f t="shared" si="32"/>
        <v>0</v>
      </c>
      <c r="J246" s="3">
        <f t="shared" si="33"/>
        <v>1.7916666666666667</v>
      </c>
      <c r="K246" s="3">
        <f t="shared" si="34"/>
        <v>1.4333333333333331</v>
      </c>
      <c r="L246" s="2"/>
      <c r="M246" s="60">
        <f t="shared" si="35"/>
        <v>612.37027777777837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61">
        <f t="shared" si="39"/>
        <v>97.400000000000048</v>
      </c>
      <c r="U246" s="40">
        <v>0</v>
      </c>
      <c r="V246" s="40">
        <v>300</v>
      </c>
      <c r="W246" s="40">
        <v>0</v>
      </c>
      <c r="X246" s="40">
        <v>0</v>
      </c>
      <c r="Y246" s="67">
        <f t="shared" si="37"/>
        <v>304</v>
      </c>
      <c r="AA246" s="71"/>
      <c r="AB246" s="71"/>
      <c r="AC246" s="67" t="str">
        <f t="shared" si="36"/>
        <v/>
      </c>
      <c r="AE246" s="124"/>
      <c r="AF246" s="124"/>
      <c r="AG246" s="121"/>
      <c r="AH246" s="121"/>
      <c r="AI246" s="124"/>
      <c r="AJ246" s="124"/>
    </row>
    <row r="247" spans="2:36" x14ac:dyDescent="0.25">
      <c r="B247" s="2" t="s">
        <v>1280</v>
      </c>
      <c r="C247" s="7">
        <v>8.3333333333333329E-2</v>
      </c>
      <c r="D247" s="3">
        <f t="shared" si="38"/>
        <v>0.8</v>
      </c>
      <c r="E247" s="10" t="s">
        <v>1026</v>
      </c>
      <c r="F247" s="40">
        <v>5</v>
      </c>
      <c r="G247" s="40">
        <v>2.5</v>
      </c>
      <c r="H247" s="40">
        <v>2</v>
      </c>
      <c r="I247" s="3">
        <f t="shared" si="32"/>
        <v>0.16666666666666669</v>
      </c>
      <c r="J247" s="3">
        <f t="shared" si="33"/>
        <v>8.3333333333333343E-2</v>
      </c>
      <c r="K247" s="3">
        <f t="shared" si="34"/>
        <v>6.6666666666666666E-2</v>
      </c>
      <c r="L247" s="3"/>
      <c r="M247" s="60">
        <f t="shared" si="35"/>
        <v>612.05361111111165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61">
        <f t="shared" si="39"/>
        <v>97.400000000000048</v>
      </c>
      <c r="U247" s="40">
        <v>0</v>
      </c>
      <c r="V247" s="40">
        <v>0</v>
      </c>
      <c r="W247" s="40">
        <v>4</v>
      </c>
      <c r="X247" s="40">
        <v>0</v>
      </c>
      <c r="Y247" s="67">
        <f t="shared" si="37"/>
        <v>300</v>
      </c>
      <c r="AA247" s="71"/>
      <c r="AB247" s="71"/>
      <c r="AC247" s="67" t="str">
        <f t="shared" si="36"/>
        <v/>
      </c>
      <c r="AE247" s="124"/>
      <c r="AF247" s="124"/>
      <c r="AG247" s="121"/>
      <c r="AH247" s="121"/>
      <c r="AI247" s="124"/>
      <c r="AJ247" s="124"/>
    </row>
    <row r="248" spans="2:36" s="131" customFormat="1" x14ac:dyDescent="0.25">
      <c r="B248" s="126" t="s">
        <v>1280</v>
      </c>
      <c r="C248" s="65">
        <v>0.33333333333333331</v>
      </c>
      <c r="D248" s="128">
        <f t="shared" si="38"/>
        <v>6</v>
      </c>
      <c r="E248" s="129" t="s">
        <v>355</v>
      </c>
      <c r="F248" s="126">
        <v>20</v>
      </c>
      <c r="G248" s="126">
        <v>2.5</v>
      </c>
      <c r="H248" s="126">
        <v>0</v>
      </c>
      <c r="I248" s="128">
        <f t="shared" si="32"/>
        <v>5</v>
      </c>
      <c r="J248" s="128">
        <f t="shared" si="33"/>
        <v>0.625</v>
      </c>
      <c r="K248" s="128">
        <f t="shared" si="34"/>
        <v>0</v>
      </c>
      <c r="L248" s="128"/>
      <c r="M248" s="130">
        <f t="shared" si="35"/>
        <v>606.42861111111165</v>
      </c>
      <c r="N248" s="126">
        <v>0</v>
      </c>
      <c r="O248" s="126">
        <v>0</v>
      </c>
      <c r="P248" s="126">
        <v>0</v>
      </c>
      <c r="Q248" s="126">
        <v>0</v>
      </c>
      <c r="R248" s="126">
        <v>0</v>
      </c>
      <c r="S248" s="126">
        <v>0</v>
      </c>
      <c r="T248" s="126">
        <f t="shared" si="39"/>
        <v>97.400000000000048</v>
      </c>
      <c r="U248" s="126">
        <v>0</v>
      </c>
      <c r="V248" s="126">
        <v>0</v>
      </c>
      <c r="W248" s="126">
        <v>2</v>
      </c>
      <c r="X248" s="126">
        <v>0</v>
      </c>
      <c r="Y248" s="126">
        <f t="shared" si="37"/>
        <v>298</v>
      </c>
      <c r="AA248" s="132">
        <v>148</v>
      </c>
      <c r="AB248" s="132">
        <v>10</v>
      </c>
      <c r="AC248" s="126">
        <f t="shared" si="36"/>
        <v>158</v>
      </c>
      <c r="AE248" s="126">
        <v>10</v>
      </c>
      <c r="AF248" s="126" t="s">
        <v>1296</v>
      </c>
      <c r="AG248" s="126">
        <v>95</v>
      </c>
      <c r="AH248" s="126">
        <v>382</v>
      </c>
      <c r="AI248" s="126">
        <v>1.7</v>
      </c>
      <c r="AJ248" s="126">
        <v>11700</v>
      </c>
    </row>
    <row r="249" spans="2:36" s="131" customFormat="1" x14ac:dyDescent="0.25">
      <c r="B249" s="126" t="s">
        <v>1282</v>
      </c>
      <c r="C249" s="65">
        <v>0.33333333333333331</v>
      </c>
      <c r="D249" s="128">
        <v>24</v>
      </c>
      <c r="E249" s="129" t="s">
        <v>355</v>
      </c>
      <c r="F249" s="126">
        <v>22</v>
      </c>
      <c r="G249" s="126">
        <v>2.5</v>
      </c>
      <c r="H249" s="126">
        <v>0</v>
      </c>
      <c r="I249" s="128">
        <f t="shared" si="32"/>
        <v>22</v>
      </c>
      <c r="J249" s="128">
        <f t="shared" si="33"/>
        <v>2.5</v>
      </c>
      <c r="K249" s="128">
        <f t="shared" si="34"/>
        <v>0</v>
      </c>
      <c r="L249" s="128"/>
      <c r="M249" s="130">
        <f t="shared" si="35"/>
        <v>581.92861111111165</v>
      </c>
      <c r="N249" s="126">
        <v>0</v>
      </c>
      <c r="O249" s="126">
        <v>0</v>
      </c>
      <c r="P249" s="126">
        <v>0</v>
      </c>
      <c r="Q249" s="126">
        <v>0</v>
      </c>
      <c r="R249" s="126">
        <v>0</v>
      </c>
      <c r="S249" s="126">
        <v>0</v>
      </c>
      <c r="T249" s="126">
        <f t="shared" si="39"/>
        <v>97.400000000000048</v>
      </c>
      <c r="U249" s="126">
        <v>0</v>
      </c>
      <c r="V249" s="126">
        <v>0</v>
      </c>
      <c r="W249" s="126">
        <v>6</v>
      </c>
      <c r="X249" s="126">
        <v>0</v>
      </c>
      <c r="Y249" s="126">
        <f t="shared" si="37"/>
        <v>292</v>
      </c>
      <c r="AA249" s="132"/>
      <c r="AB249" s="132"/>
      <c r="AC249" s="126" t="str">
        <f t="shared" si="36"/>
        <v/>
      </c>
      <c r="AE249" s="126">
        <v>10</v>
      </c>
      <c r="AF249" s="126" t="s">
        <v>1296</v>
      </c>
      <c r="AG249" s="126">
        <v>95</v>
      </c>
      <c r="AH249" s="126">
        <v>382</v>
      </c>
      <c r="AI249" s="126">
        <v>1.7</v>
      </c>
      <c r="AJ249" s="126">
        <v>11700</v>
      </c>
    </row>
    <row r="250" spans="2:36" s="131" customFormat="1" x14ac:dyDescent="0.25">
      <c r="B250" s="126" t="s">
        <v>1283</v>
      </c>
      <c r="C250" s="127">
        <v>0.29166666666666669</v>
      </c>
      <c r="D250" s="128">
        <f t="shared" si="38"/>
        <v>23</v>
      </c>
      <c r="E250" s="129" t="s">
        <v>201</v>
      </c>
      <c r="F250" s="126">
        <v>22</v>
      </c>
      <c r="G250" s="126">
        <v>2.5</v>
      </c>
      <c r="H250" s="126">
        <v>0</v>
      </c>
      <c r="I250" s="128">
        <f t="shared" si="32"/>
        <v>21.083333333333332</v>
      </c>
      <c r="J250" s="128">
        <f t="shared" si="33"/>
        <v>2.3958333333333335</v>
      </c>
      <c r="K250" s="128">
        <f t="shared" si="34"/>
        <v>0</v>
      </c>
      <c r="L250" s="128"/>
      <c r="M250" s="130">
        <f t="shared" si="35"/>
        <v>558.44944444444502</v>
      </c>
      <c r="N250" s="126">
        <v>0</v>
      </c>
      <c r="O250" s="126">
        <v>0</v>
      </c>
      <c r="P250" s="126">
        <v>0</v>
      </c>
      <c r="Q250" s="126">
        <v>0</v>
      </c>
      <c r="R250" s="126">
        <v>0</v>
      </c>
      <c r="S250" s="126">
        <v>0</v>
      </c>
      <c r="T250" s="126">
        <f t="shared" si="39"/>
        <v>97.400000000000048</v>
      </c>
      <c r="U250" s="126">
        <v>0</v>
      </c>
      <c r="V250" s="126">
        <v>0</v>
      </c>
      <c r="W250" s="126">
        <v>6</v>
      </c>
      <c r="X250" s="126">
        <v>0</v>
      </c>
      <c r="Y250" s="126">
        <f t="shared" si="37"/>
        <v>286</v>
      </c>
      <c r="AA250" s="132"/>
      <c r="AB250" s="132"/>
      <c r="AC250" s="126" t="str">
        <f t="shared" si="36"/>
        <v/>
      </c>
      <c r="AE250" s="126">
        <v>10</v>
      </c>
      <c r="AF250" s="126" t="s">
        <v>1296</v>
      </c>
      <c r="AG250" s="126">
        <v>95</v>
      </c>
      <c r="AH250" s="126">
        <v>382</v>
      </c>
      <c r="AI250" s="126">
        <v>1.7</v>
      </c>
      <c r="AJ250" s="126">
        <v>11700</v>
      </c>
    </row>
    <row r="251" spans="2:36" x14ac:dyDescent="0.25">
      <c r="B251" s="2" t="s">
        <v>1283</v>
      </c>
      <c r="C251" s="65">
        <v>0.33333333333333331</v>
      </c>
      <c r="D251" s="3">
        <f t="shared" si="38"/>
        <v>0.99999999999999911</v>
      </c>
      <c r="E251" s="10" t="s">
        <v>1106</v>
      </c>
      <c r="F251" s="40">
        <v>3</v>
      </c>
      <c r="G251" s="40">
        <v>2.5</v>
      </c>
      <c r="H251" s="40">
        <v>2</v>
      </c>
      <c r="I251" s="3">
        <f t="shared" si="32"/>
        <v>0.12499999999999989</v>
      </c>
      <c r="J251" s="3">
        <f t="shared" si="33"/>
        <v>0.10416666666666657</v>
      </c>
      <c r="K251" s="3">
        <f t="shared" si="34"/>
        <v>8.3333333333333259E-2</v>
      </c>
      <c r="L251" s="3"/>
      <c r="M251" s="60">
        <f t="shared" si="35"/>
        <v>558.13694444444502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61">
        <f t="shared" si="39"/>
        <v>97.400000000000048</v>
      </c>
      <c r="U251" s="40">
        <v>0</v>
      </c>
      <c r="V251" s="40">
        <v>0</v>
      </c>
      <c r="W251" s="40">
        <v>0</v>
      </c>
      <c r="X251" s="40">
        <v>0</v>
      </c>
      <c r="Y251" s="67">
        <f t="shared" si="37"/>
        <v>286</v>
      </c>
      <c r="AA251" s="71"/>
      <c r="AB251" s="71"/>
      <c r="AC251" s="67" t="str">
        <f t="shared" si="36"/>
        <v/>
      </c>
      <c r="AE251" s="124"/>
      <c r="AF251" s="124"/>
      <c r="AG251" s="121"/>
      <c r="AH251" s="121"/>
      <c r="AI251" s="124"/>
      <c r="AJ251" s="124"/>
    </row>
    <row r="252" spans="2:36" x14ac:dyDescent="0.25">
      <c r="B252" s="2" t="s">
        <v>1283</v>
      </c>
      <c r="C252" s="7">
        <v>0.41250000000000003</v>
      </c>
      <c r="D252" s="3">
        <f t="shared" si="38"/>
        <v>1.9000000000000012</v>
      </c>
      <c r="E252" s="10" t="s">
        <v>616</v>
      </c>
      <c r="F252" s="40">
        <v>3</v>
      </c>
      <c r="G252" s="40">
        <v>2.5</v>
      </c>
      <c r="H252" s="40">
        <v>2</v>
      </c>
      <c r="I252" s="3">
        <f t="shared" si="32"/>
        <v>0.23750000000000016</v>
      </c>
      <c r="J252" s="3">
        <f t="shared" si="33"/>
        <v>0.1979166666666668</v>
      </c>
      <c r="K252" s="3">
        <f t="shared" si="34"/>
        <v>0.15833333333333344</v>
      </c>
      <c r="L252" s="3"/>
      <c r="M252" s="60">
        <f t="shared" si="35"/>
        <v>557.54319444444502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61">
        <f t="shared" si="39"/>
        <v>97.400000000000048</v>
      </c>
      <c r="U252" s="40">
        <v>0</v>
      </c>
      <c r="V252" s="40">
        <v>0</v>
      </c>
      <c r="W252" s="40">
        <v>0</v>
      </c>
      <c r="X252" s="40">
        <v>0</v>
      </c>
      <c r="Y252" s="67">
        <f t="shared" si="37"/>
        <v>286</v>
      </c>
      <c r="AA252" s="71"/>
      <c r="AB252" s="71"/>
      <c r="AC252" s="67" t="str">
        <f t="shared" si="36"/>
        <v/>
      </c>
      <c r="AE252" s="124"/>
      <c r="AF252" s="124"/>
      <c r="AG252" s="121"/>
      <c r="AH252" s="121"/>
      <c r="AI252" s="124"/>
      <c r="AJ252" s="124"/>
    </row>
    <row r="253" spans="2:36" x14ac:dyDescent="0.25">
      <c r="B253" s="2" t="s">
        <v>1283</v>
      </c>
      <c r="C253" s="7">
        <v>0.58333333333333337</v>
      </c>
      <c r="D253" s="3">
        <f t="shared" si="38"/>
        <v>4.0999999999999996</v>
      </c>
      <c r="E253" s="10" t="s">
        <v>1004</v>
      </c>
      <c r="F253" s="40">
        <v>0</v>
      </c>
      <c r="G253" s="40">
        <v>2.5</v>
      </c>
      <c r="H253" s="40">
        <v>2</v>
      </c>
      <c r="I253" s="3">
        <f t="shared" si="32"/>
        <v>0</v>
      </c>
      <c r="J253" s="3">
        <f t="shared" si="33"/>
        <v>0.42708333333333331</v>
      </c>
      <c r="K253" s="3">
        <f t="shared" si="34"/>
        <v>0.34166666666666662</v>
      </c>
      <c r="L253" s="3"/>
      <c r="M253" s="60">
        <f t="shared" si="35"/>
        <v>556.77444444444507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61">
        <f t="shared" si="39"/>
        <v>97.400000000000048</v>
      </c>
      <c r="U253" s="40">
        <v>0</v>
      </c>
      <c r="V253" s="40">
        <v>0</v>
      </c>
      <c r="W253" s="40">
        <v>0</v>
      </c>
      <c r="X253" s="40">
        <v>0</v>
      </c>
      <c r="Y253" s="67">
        <f t="shared" si="37"/>
        <v>286</v>
      </c>
      <c r="AA253" s="71"/>
      <c r="AB253" s="71"/>
      <c r="AC253" s="67" t="str">
        <f t="shared" si="36"/>
        <v/>
      </c>
      <c r="AE253" s="124"/>
      <c r="AF253" s="124"/>
      <c r="AG253" s="121"/>
      <c r="AH253" s="121"/>
      <c r="AI253" s="124"/>
      <c r="AJ253" s="124"/>
    </row>
    <row r="254" spans="2:36" x14ac:dyDescent="0.25">
      <c r="B254" s="2" t="s">
        <v>1284</v>
      </c>
      <c r="C254" s="65">
        <v>0.33333333333333331</v>
      </c>
      <c r="D254" s="3">
        <f t="shared" si="38"/>
        <v>18</v>
      </c>
      <c r="E254" s="10" t="s">
        <v>966</v>
      </c>
      <c r="F254" s="40">
        <v>0</v>
      </c>
      <c r="G254" s="40">
        <v>2.5</v>
      </c>
      <c r="H254" s="40">
        <v>2</v>
      </c>
      <c r="I254" s="3">
        <f t="shared" si="32"/>
        <v>0</v>
      </c>
      <c r="J254" s="3">
        <f t="shared" si="33"/>
        <v>1.875</v>
      </c>
      <c r="K254" s="3">
        <f t="shared" si="34"/>
        <v>1.5</v>
      </c>
      <c r="L254" s="3"/>
      <c r="M254" s="60">
        <f t="shared" si="35"/>
        <v>553.39944444444507</v>
      </c>
      <c r="N254" s="40">
        <v>0</v>
      </c>
      <c r="O254" s="40">
        <v>0</v>
      </c>
      <c r="P254" s="40">
        <v>0</v>
      </c>
      <c r="Q254" s="40">
        <v>0</v>
      </c>
      <c r="R254" s="40">
        <v>4.5</v>
      </c>
      <c r="S254" s="40">
        <v>0</v>
      </c>
      <c r="T254" s="61">
        <f t="shared" si="39"/>
        <v>92.900000000000048</v>
      </c>
      <c r="U254" s="40">
        <v>0</v>
      </c>
      <c r="V254" s="40">
        <v>0</v>
      </c>
      <c r="W254" s="40">
        <v>6</v>
      </c>
      <c r="X254" s="40">
        <v>0</v>
      </c>
      <c r="Y254" s="67">
        <f t="shared" si="37"/>
        <v>280</v>
      </c>
      <c r="AA254" s="71">
        <v>138</v>
      </c>
      <c r="AB254" s="71">
        <v>10</v>
      </c>
      <c r="AC254" s="67">
        <f t="shared" si="36"/>
        <v>148</v>
      </c>
      <c r="AE254" s="124"/>
      <c r="AF254" s="124"/>
      <c r="AG254" s="121"/>
      <c r="AH254" s="121"/>
      <c r="AI254" s="124"/>
      <c r="AJ254" s="124"/>
    </row>
    <row r="255" spans="2:36" x14ac:dyDescent="0.25">
      <c r="B255" s="2" t="s">
        <v>1284</v>
      </c>
      <c r="C255" s="7">
        <v>0.76666666666666661</v>
      </c>
      <c r="D255" s="3">
        <f t="shared" si="38"/>
        <v>10.399999999999999</v>
      </c>
      <c r="E255" s="10" t="s">
        <v>1142</v>
      </c>
      <c r="F255" s="40">
        <v>0</v>
      </c>
      <c r="G255" s="40">
        <v>2.5</v>
      </c>
      <c r="H255" s="40">
        <v>2</v>
      </c>
      <c r="I255" s="3">
        <f t="shared" si="32"/>
        <v>0</v>
      </c>
      <c r="J255" s="3">
        <f t="shared" si="33"/>
        <v>1.0833333333333333</v>
      </c>
      <c r="K255" s="3">
        <f t="shared" si="34"/>
        <v>0.86666666666666647</v>
      </c>
      <c r="L255" s="3"/>
      <c r="M255" s="60">
        <f t="shared" si="35"/>
        <v>551.44944444444502</v>
      </c>
      <c r="N255" s="40">
        <v>0</v>
      </c>
      <c r="O255" s="40">
        <v>0</v>
      </c>
      <c r="P255" s="40">
        <v>0</v>
      </c>
      <c r="Q255" s="40">
        <v>0</v>
      </c>
      <c r="R255" s="40">
        <v>2.6</v>
      </c>
      <c r="S255" s="40">
        <v>0</v>
      </c>
      <c r="T255" s="61">
        <f t="shared" si="39"/>
        <v>90.300000000000054</v>
      </c>
      <c r="U255" s="40">
        <v>0</v>
      </c>
      <c r="V255" s="40">
        <v>0</v>
      </c>
      <c r="W255" s="40">
        <v>0</v>
      </c>
      <c r="X255" s="40">
        <v>0</v>
      </c>
      <c r="Y255" s="67">
        <f t="shared" si="37"/>
        <v>280</v>
      </c>
      <c r="AA255" s="71"/>
      <c r="AB255" s="71"/>
      <c r="AC255" s="67" t="str">
        <f t="shared" si="36"/>
        <v/>
      </c>
      <c r="AE255" s="124"/>
      <c r="AF255" s="124"/>
      <c r="AG255" s="121"/>
      <c r="AH255" s="121"/>
      <c r="AI255" s="124"/>
      <c r="AJ255" s="124"/>
    </row>
    <row r="256" spans="2:36" x14ac:dyDescent="0.25">
      <c r="B256" s="2" t="s">
        <v>1284</v>
      </c>
      <c r="C256" s="7">
        <v>0.90416666666666667</v>
      </c>
      <c r="D256" s="3">
        <f t="shared" si="38"/>
        <v>3.3000000000000016</v>
      </c>
      <c r="E256" s="10" t="s">
        <v>1011</v>
      </c>
      <c r="F256" s="40">
        <v>0</v>
      </c>
      <c r="G256" s="40">
        <v>2.5</v>
      </c>
      <c r="H256" s="40">
        <v>2</v>
      </c>
      <c r="I256" s="3">
        <f t="shared" si="32"/>
        <v>0</v>
      </c>
      <c r="J256" s="3">
        <f t="shared" si="33"/>
        <v>0.34375000000000017</v>
      </c>
      <c r="K256" s="3">
        <f t="shared" si="34"/>
        <v>0.27500000000000013</v>
      </c>
      <c r="L256" s="3"/>
      <c r="M256" s="60">
        <f t="shared" si="35"/>
        <v>550.83069444444504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61">
        <f t="shared" si="39"/>
        <v>90.300000000000054</v>
      </c>
      <c r="U256" s="40">
        <v>0</v>
      </c>
      <c r="V256" s="40">
        <v>0</v>
      </c>
      <c r="W256" s="40">
        <v>0</v>
      </c>
      <c r="X256" s="40">
        <v>0</v>
      </c>
      <c r="Y256" s="67">
        <f t="shared" si="37"/>
        <v>280</v>
      </c>
      <c r="AA256" s="71"/>
      <c r="AB256" s="71"/>
      <c r="AC256" s="67" t="str">
        <f t="shared" si="36"/>
        <v/>
      </c>
      <c r="AE256" s="124"/>
      <c r="AF256" s="124"/>
      <c r="AG256" s="121"/>
      <c r="AH256" s="121"/>
      <c r="AI256" s="124"/>
      <c r="AJ256" s="124"/>
    </row>
    <row r="257" spans="2:36" x14ac:dyDescent="0.25">
      <c r="B257" s="2" t="s">
        <v>1284</v>
      </c>
      <c r="C257" s="7">
        <v>0.9375</v>
      </c>
      <c r="D257" s="3">
        <f t="shared" si="38"/>
        <v>0.79999999999999982</v>
      </c>
      <c r="E257" s="10" t="s">
        <v>1285</v>
      </c>
      <c r="F257" s="40">
        <v>5</v>
      </c>
      <c r="G257" s="40">
        <v>2.5</v>
      </c>
      <c r="H257" s="40">
        <v>2</v>
      </c>
      <c r="I257" s="3">
        <f t="shared" si="32"/>
        <v>0.16666666666666663</v>
      </c>
      <c r="J257" s="3">
        <f t="shared" si="33"/>
        <v>8.3333333333333315E-2</v>
      </c>
      <c r="K257" s="3">
        <f t="shared" si="34"/>
        <v>6.6666666666666652E-2</v>
      </c>
      <c r="L257" s="3"/>
      <c r="M257" s="60">
        <f t="shared" si="35"/>
        <v>550.51402777777832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61">
        <f t="shared" si="39"/>
        <v>90.300000000000054</v>
      </c>
      <c r="U257" s="40">
        <v>0</v>
      </c>
      <c r="V257" s="40">
        <v>0</v>
      </c>
      <c r="W257" s="40">
        <v>0</v>
      </c>
      <c r="X257" s="40">
        <v>0</v>
      </c>
      <c r="Y257" s="67">
        <f t="shared" si="37"/>
        <v>280</v>
      </c>
      <c r="AA257" s="71"/>
      <c r="AB257" s="71"/>
      <c r="AC257" s="67" t="str">
        <f t="shared" si="36"/>
        <v/>
      </c>
      <c r="AE257" s="124"/>
      <c r="AF257" s="124"/>
      <c r="AG257" s="121"/>
      <c r="AH257" s="121"/>
      <c r="AI257" s="124"/>
      <c r="AJ257" s="124"/>
    </row>
    <row r="258" spans="2:36" s="131" customFormat="1" x14ac:dyDescent="0.25">
      <c r="B258" s="126" t="s">
        <v>1286</v>
      </c>
      <c r="C258" s="65">
        <v>0.33333333333333331</v>
      </c>
      <c r="D258" s="128">
        <f t="shared" si="38"/>
        <v>9.4999999999999982</v>
      </c>
      <c r="E258" s="129" t="s">
        <v>355</v>
      </c>
      <c r="F258" s="126">
        <v>22</v>
      </c>
      <c r="G258" s="126">
        <v>2.5</v>
      </c>
      <c r="H258" s="126">
        <v>0</v>
      </c>
      <c r="I258" s="128">
        <f t="shared" si="32"/>
        <v>8.7083333333333321</v>
      </c>
      <c r="J258" s="128">
        <f t="shared" si="33"/>
        <v>0.98958333333333315</v>
      </c>
      <c r="K258" s="128">
        <f t="shared" si="34"/>
        <v>0</v>
      </c>
      <c r="L258" s="128"/>
      <c r="M258" s="130">
        <f t="shared" si="35"/>
        <v>540.8161111111117</v>
      </c>
      <c r="N258" s="126">
        <v>0</v>
      </c>
      <c r="O258" s="126">
        <v>0</v>
      </c>
      <c r="P258" s="126">
        <v>0</v>
      </c>
      <c r="Q258" s="126">
        <v>0</v>
      </c>
      <c r="R258" s="126">
        <v>0</v>
      </c>
      <c r="S258" s="126">
        <v>0</v>
      </c>
      <c r="T258" s="126">
        <f t="shared" si="39"/>
        <v>90.300000000000054</v>
      </c>
      <c r="U258" s="126">
        <v>0</v>
      </c>
      <c r="V258" s="126">
        <v>0</v>
      </c>
      <c r="W258" s="126">
        <v>6</v>
      </c>
      <c r="X258" s="126">
        <v>0</v>
      </c>
      <c r="Y258" s="126">
        <f t="shared" si="37"/>
        <v>274</v>
      </c>
      <c r="AA258" s="132">
        <v>133</v>
      </c>
      <c r="AB258" s="132">
        <v>10</v>
      </c>
      <c r="AC258" s="126">
        <f t="shared" si="36"/>
        <v>143</v>
      </c>
      <c r="AE258" s="126">
        <v>9.8000000000000007</v>
      </c>
      <c r="AF258" s="126" t="s">
        <v>1303</v>
      </c>
      <c r="AG258" s="126">
        <v>95</v>
      </c>
      <c r="AH258" s="126">
        <v>384</v>
      </c>
      <c r="AI258" s="126">
        <v>1.7</v>
      </c>
      <c r="AJ258" s="126">
        <v>11700</v>
      </c>
    </row>
    <row r="259" spans="2:36" s="131" customFormat="1" x14ac:dyDescent="0.25">
      <c r="B259" s="126" t="s">
        <v>1287</v>
      </c>
      <c r="C259" s="65">
        <v>0.33333333333333331</v>
      </c>
      <c r="D259" s="128">
        <v>24</v>
      </c>
      <c r="E259" s="129" t="s">
        <v>355</v>
      </c>
      <c r="F259" s="126">
        <v>24</v>
      </c>
      <c r="G259" s="126">
        <v>2.5</v>
      </c>
      <c r="H259" s="126">
        <v>0</v>
      </c>
      <c r="I259" s="128">
        <f t="shared" si="32"/>
        <v>24</v>
      </c>
      <c r="J259" s="128">
        <f t="shared" si="33"/>
        <v>2.5</v>
      </c>
      <c r="K259" s="128">
        <f t="shared" si="34"/>
        <v>0</v>
      </c>
      <c r="L259" s="128"/>
      <c r="M259" s="130">
        <f t="shared" si="35"/>
        <v>514.3161111111117</v>
      </c>
      <c r="N259" s="126">
        <v>0</v>
      </c>
      <c r="O259" s="126">
        <v>0</v>
      </c>
      <c r="P259" s="126">
        <v>0</v>
      </c>
      <c r="Q259" s="126">
        <v>0</v>
      </c>
      <c r="R259" s="126">
        <v>0</v>
      </c>
      <c r="S259" s="126">
        <v>0</v>
      </c>
      <c r="T259" s="126">
        <f t="shared" si="39"/>
        <v>90.300000000000054</v>
      </c>
      <c r="U259" s="126">
        <v>0</v>
      </c>
      <c r="V259" s="126">
        <v>0</v>
      </c>
      <c r="W259" s="126">
        <v>5</v>
      </c>
      <c r="X259" s="126">
        <v>0</v>
      </c>
      <c r="Y259" s="126">
        <f t="shared" si="37"/>
        <v>269</v>
      </c>
      <c r="AA259" s="132"/>
      <c r="AB259" s="132"/>
      <c r="AC259" s="126" t="str">
        <f t="shared" si="36"/>
        <v/>
      </c>
      <c r="AE259" s="126">
        <v>9.8000000000000007</v>
      </c>
      <c r="AF259" s="126" t="s">
        <v>1303</v>
      </c>
      <c r="AG259" s="126">
        <v>95</v>
      </c>
      <c r="AH259" s="126">
        <v>384</v>
      </c>
      <c r="AI259" s="126">
        <v>1.7</v>
      </c>
      <c r="AJ259" s="126">
        <v>11700</v>
      </c>
    </row>
    <row r="260" spans="2:36" s="131" customFormat="1" x14ac:dyDescent="0.25">
      <c r="B260" s="126" t="s">
        <v>1287</v>
      </c>
      <c r="C260" s="127">
        <v>0.89166666666666661</v>
      </c>
      <c r="D260" s="128">
        <f t="shared" si="38"/>
        <v>13.4</v>
      </c>
      <c r="E260" s="129" t="s">
        <v>201</v>
      </c>
      <c r="F260" s="126">
        <v>23</v>
      </c>
      <c r="G260" s="126">
        <v>2.5</v>
      </c>
      <c r="H260" s="126">
        <v>0</v>
      </c>
      <c r="I260" s="128">
        <f t="shared" si="32"/>
        <v>12.841666666666667</v>
      </c>
      <c r="J260" s="128">
        <f t="shared" si="33"/>
        <v>1.3958333333333335</v>
      </c>
      <c r="K260" s="128">
        <f t="shared" si="34"/>
        <v>0</v>
      </c>
      <c r="L260" s="128"/>
      <c r="M260" s="130">
        <f t="shared" si="35"/>
        <v>500.07861111111168</v>
      </c>
      <c r="N260" s="126">
        <v>0</v>
      </c>
      <c r="O260" s="126">
        <v>0</v>
      </c>
      <c r="P260" s="126">
        <v>0</v>
      </c>
      <c r="Q260" s="126">
        <v>0</v>
      </c>
      <c r="R260" s="126">
        <v>0</v>
      </c>
      <c r="S260" s="126">
        <v>0</v>
      </c>
      <c r="T260" s="126">
        <f t="shared" si="39"/>
        <v>90.300000000000054</v>
      </c>
      <c r="U260" s="126">
        <v>0</v>
      </c>
      <c r="V260" s="126">
        <v>0</v>
      </c>
      <c r="W260" s="126">
        <v>0</v>
      </c>
      <c r="X260" s="126">
        <v>0</v>
      </c>
      <c r="Y260" s="126">
        <f t="shared" si="37"/>
        <v>269</v>
      </c>
      <c r="AA260" s="132"/>
      <c r="AB260" s="132"/>
      <c r="AC260" s="126" t="str">
        <f t="shared" si="36"/>
        <v/>
      </c>
      <c r="AE260" s="126">
        <v>9.8000000000000007</v>
      </c>
      <c r="AF260" s="126" t="s">
        <v>1303</v>
      </c>
      <c r="AG260" s="126">
        <v>95</v>
      </c>
      <c r="AH260" s="126">
        <v>384</v>
      </c>
      <c r="AI260" s="126">
        <v>1.7</v>
      </c>
      <c r="AJ260" s="126">
        <v>11700</v>
      </c>
    </row>
    <row r="261" spans="2:36" x14ac:dyDescent="0.25">
      <c r="B261" s="2" t="s">
        <v>1287</v>
      </c>
      <c r="C261" s="7">
        <v>0.97916666666666663</v>
      </c>
      <c r="D261" s="3">
        <f t="shared" si="38"/>
        <v>2.1000000000000005</v>
      </c>
      <c r="E261" s="10" t="s">
        <v>616</v>
      </c>
      <c r="F261" s="40">
        <v>2</v>
      </c>
      <c r="G261" s="40">
        <v>2.5</v>
      </c>
      <c r="H261" s="40">
        <v>2</v>
      </c>
      <c r="I261" s="3">
        <f t="shared" si="32"/>
        <v>0.17500000000000004</v>
      </c>
      <c r="J261" s="3">
        <f t="shared" si="33"/>
        <v>0.21875000000000006</v>
      </c>
      <c r="K261" s="3">
        <f t="shared" si="34"/>
        <v>0.17500000000000004</v>
      </c>
      <c r="L261" s="3"/>
      <c r="M261" s="60">
        <f t="shared" si="35"/>
        <v>499.50986111111166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61">
        <f t="shared" si="39"/>
        <v>90.300000000000054</v>
      </c>
      <c r="U261" s="40">
        <v>0</v>
      </c>
      <c r="V261" s="40">
        <v>0</v>
      </c>
      <c r="W261" s="40">
        <v>0</v>
      </c>
      <c r="X261" s="40">
        <v>0</v>
      </c>
      <c r="Y261" s="67">
        <f t="shared" si="37"/>
        <v>269</v>
      </c>
      <c r="AA261" s="71"/>
      <c r="AB261" s="71"/>
      <c r="AC261" s="67" t="str">
        <f t="shared" si="36"/>
        <v/>
      </c>
      <c r="AE261" s="124"/>
      <c r="AF261" s="124"/>
      <c r="AG261" s="121"/>
      <c r="AH261" s="121"/>
      <c r="AI261" s="124"/>
      <c r="AJ261" s="124"/>
    </row>
    <row r="262" spans="2:36" x14ac:dyDescent="0.25">
      <c r="B262" s="2" t="s">
        <v>1288</v>
      </c>
      <c r="C262" s="7">
        <v>7.0833333333333331E-2</v>
      </c>
      <c r="D262" s="3">
        <f t="shared" si="38"/>
        <v>2.1999999999999993</v>
      </c>
      <c r="E262" s="10" t="s">
        <v>1004</v>
      </c>
      <c r="F262" s="40">
        <v>0</v>
      </c>
      <c r="G262" s="40">
        <v>2.5</v>
      </c>
      <c r="H262" s="40">
        <v>2</v>
      </c>
      <c r="I262" s="3">
        <f t="shared" si="32"/>
        <v>0</v>
      </c>
      <c r="J262" s="3">
        <f t="shared" si="33"/>
        <v>0.2291666666666666</v>
      </c>
      <c r="K262" s="3">
        <f t="shared" si="34"/>
        <v>0.18333333333333326</v>
      </c>
      <c r="L262" s="3"/>
      <c r="M262" s="60">
        <f t="shared" si="35"/>
        <v>499.09736111111164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61">
        <f t="shared" si="39"/>
        <v>90.300000000000054</v>
      </c>
      <c r="U262" s="40">
        <v>0</v>
      </c>
      <c r="V262" s="40">
        <v>0</v>
      </c>
      <c r="W262" s="40">
        <v>0</v>
      </c>
      <c r="X262" s="40">
        <v>0</v>
      </c>
      <c r="Y262" s="67">
        <f t="shared" si="37"/>
        <v>269</v>
      </c>
      <c r="AA262" s="71"/>
      <c r="AB262" s="71"/>
      <c r="AC262" s="67" t="str">
        <f t="shared" si="36"/>
        <v/>
      </c>
      <c r="AE262" s="124"/>
      <c r="AF262" s="124"/>
      <c r="AG262" s="121"/>
      <c r="AH262" s="121"/>
      <c r="AI262" s="124"/>
      <c r="AJ262" s="124"/>
    </row>
    <row r="263" spans="2:36" x14ac:dyDescent="0.25">
      <c r="B263" s="2" t="s">
        <v>1288</v>
      </c>
      <c r="C263" s="65">
        <v>0.33333333333333331</v>
      </c>
      <c r="D263" s="3">
        <f t="shared" si="38"/>
        <v>6.2999999999999989</v>
      </c>
      <c r="E263" s="10" t="s">
        <v>966</v>
      </c>
      <c r="F263" s="40">
        <v>0</v>
      </c>
      <c r="G263" s="40">
        <v>2.5</v>
      </c>
      <c r="H263" s="40">
        <v>2</v>
      </c>
      <c r="I263" s="3">
        <f t="shared" ref="I263:I278" si="40">+IF(F263="","",(F263/24)*D263)</f>
        <v>0</v>
      </c>
      <c r="J263" s="3">
        <f t="shared" ref="J263:J278" si="41">+IF(G263="","",(G263/24)*D263)</f>
        <v>0.65624999999999989</v>
      </c>
      <c r="K263" s="3">
        <f t="shared" ref="K263:K278" si="42">+IF(H263="","",(H263/24)*D263)</f>
        <v>0.52499999999999991</v>
      </c>
      <c r="L263" s="3"/>
      <c r="M263" s="60">
        <f t="shared" ref="M263:M278" si="43">+IF(D263="","",M262-(I263+J263+K263))</f>
        <v>497.91611111111166</v>
      </c>
      <c r="N263" s="40">
        <v>0</v>
      </c>
      <c r="O263" s="40">
        <v>0</v>
      </c>
      <c r="P263" s="40">
        <v>0</v>
      </c>
      <c r="Q263" s="40">
        <v>0</v>
      </c>
      <c r="R263" s="40">
        <v>1.5</v>
      </c>
      <c r="S263" s="40">
        <v>0</v>
      </c>
      <c r="T263" s="61">
        <f t="shared" si="39"/>
        <v>88.800000000000054</v>
      </c>
      <c r="U263" s="40">
        <v>0</v>
      </c>
      <c r="V263" s="40">
        <v>0</v>
      </c>
      <c r="W263" s="40">
        <v>6</v>
      </c>
      <c r="X263" s="40">
        <v>0</v>
      </c>
      <c r="Y263" s="67">
        <f t="shared" si="37"/>
        <v>263</v>
      </c>
      <c r="AA263" s="71"/>
      <c r="AB263" s="71"/>
      <c r="AC263" s="67" t="str">
        <f t="shared" ref="AC263:AC278" si="44">IF(AA263="","",AA263+AB263)</f>
        <v/>
      </c>
      <c r="AE263" s="124"/>
      <c r="AF263" s="124"/>
      <c r="AG263" s="121"/>
      <c r="AH263" s="121"/>
      <c r="AI263" s="124"/>
      <c r="AJ263" s="124"/>
    </row>
    <row r="264" spans="2:36" x14ac:dyDescent="0.25">
      <c r="B264" s="2" t="s">
        <v>1288</v>
      </c>
      <c r="C264" s="7">
        <v>0.62916666666666665</v>
      </c>
      <c r="D264" s="3">
        <f t="shared" si="38"/>
        <v>7.1</v>
      </c>
      <c r="E264" s="10" t="s">
        <v>1142</v>
      </c>
      <c r="F264" s="40">
        <v>0</v>
      </c>
      <c r="G264" s="40">
        <v>2.5</v>
      </c>
      <c r="H264" s="40">
        <v>2</v>
      </c>
      <c r="I264" s="3">
        <f t="shared" si="40"/>
        <v>0</v>
      </c>
      <c r="J264" s="3">
        <f t="shared" si="41"/>
        <v>0.73958333333333337</v>
      </c>
      <c r="K264" s="3">
        <f t="shared" si="42"/>
        <v>0.59166666666666656</v>
      </c>
      <c r="L264" s="3"/>
      <c r="M264" s="60">
        <f t="shared" si="43"/>
        <v>496.58486111111165</v>
      </c>
      <c r="N264" s="40">
        <v>0</v>
      </c>
      <c r="O264" s="40">
        <v>0</v>
      </c>
      <c r="P264" s="40">
        <v>0</v>
      </c>
      <c r="Q264" s="40">
        <v>0</v>
      </c>
      <c r="R264" s="40">
        <v>1.8</v>
      </c>
      <c r="S264" s="40">
        <v>0</v>
      </c>
      <c r="T264" s="61">
        <f t="shared" si="39"/>
        <v>87.000000000000057</v>
      </c>
      <c r="U264" s="40">
        <v>0</v>
      </c>
      <c r="V264" s="40">
        <v>0</v>
      </c>
      <c r="W264" s="40">
        <v>1</v>
      </c>
      <c r="X264" s="40">
        <v>0</v>
      </c>
      <c r="Y264" s="67">
        <f t="shared" si="37"/>
        <v>262</v>
      </c>
      <c r="AA264" s="71"/>
      <c r="AB264" s="71"/>
      <c r="AC264" s="67" t="str">
        <f t="shared" si="44"/>
        <v/>
      </c>
      <c r="AE264" s="124"/>
      <c r="AF264" s="124"/>
      <c r="AG264" s="121"/>
      <c r="AH264" s="121"/>
      <c r="AI264" s="124"/>
      <c r="AJ264" s="124"/>
    </row>
    <row r="265" spans="2:36" x14ac:dyDescent="0.25">
      <c r="B265" s="2" t="s">
        <v>1288</v>
      </c>
      <c r="C265" s="7">
        <v>0.72916666666666663</v>
      </c>
      <c r="D265" s="3">
        <f t="shared" si="38"/>
        <v>2.3999999999999995</v>
      </c>
      <c r="E265" s="10" t="s">
        <v>1011</v>
      </c>
      <c r="F265" s="40">
        <v>0</v>
      </c>
      <c r="G265" s="40">
        <v>2.5</v>
      </c>
      <c r="H265" s="40">
        <v>2</v>
      </c>
      <c r="I265" s="3">
        <f t="shared" si="40"/>
        <v>0</v>
      </c>
      <c r="J265" s="3">
        <f t="shared" si="41"/>
        <v>0.24999999999999994</v>
      </c>
      <c r="K265" s="3">
        <f t="shared" si="42"/>
        <v>0.19999999999999996</v>
      </c>
      <c r="L265" s="3"/>
      <c r="M265" s="60">
        <f t="shared" si="43"/>
        <v>496.13486111111166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61">
        <f t="shared" si="39"/>
        <v>87.000000000000057</v>
      </c>
      <c r="U265" s="40">
        <v>0</v>
      </c>
      <c r="V265" s="40">
        <v>0</v>
      </c>
      <c r="W265" s="40">
        <v>0</v>
      </c>
      <c r="X265" s="40">
        <v>0</v>
      </c>
      <c r="Y265" s="67">
        <f t="shared" si="37"/>
        <v>262</v>
      </c>
      <c r="AA265" s="71"/>
      <c r="AB265" s="71"/>
      <c r="AC265" s="67" t="str">
        <f t="shared" si="44"/>
        <v/>
      </c>
      <c r="AE265" s="124"/>
      <c r="AF265" s="124"/>
      <c r="AG265" s="121"/>
      <c r="AH265" s="121"/>
      <c r="AI265" s="124"/>
      <c r="AJ265" s="124"/>
    </row>
    <row r="266" spans="2:36" x14ac:dyDescent="0.25">
      <c r="B266" s="2" t="s">
        <v>1288</v>
      </c>
      <c r="C266" s="7">
        <v>0.75</v>
      </c>
      <c r="D266" s="3">
        <f t="shared" si="38"/>
        <v>0.50000000000000089</v>
      </c>
      <c r="E266" s="10" t="s">
        <v>1292</v>
      </c>
      <c r="F266" s="40">
        <v>5</v>
      </c>
      <c r="G266" s="40">
        <v>2.5</v>
      </c>
      <c r="H266" s="40">
        <v>2</v>
      </c>
      <c r="I266" s="3">
        <f t="shared" si="40"/>
        <v>0.10416666666666685</v>
      </c>
      <c r="J266" s="3">
        <f t="shared" si="41"/>
        <v>5.2083333333333426E-2</v>
      </c>
      <c r="K266" s="3">
        <f t="shared" si="42"/>
        <v>4.1666666666666741E-2</v>
      </c>
      <c r="L266" s="3"/>
      <c r="M266" s="60">
        <f t="shared" si="43"/>
        <v>495.93694444444498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61">
        <f t="shared" si="39"/>
        <v>87.000000000000057</v>
      </c>
      <c r="U266" s="40">
        <v>0</v>
      </c>
      <c r="V266" s="40">
        <v>0</v>
      </c>
      <c r="W266" s="40">
        <v>0</v>
      </c>
      <c r="X266" s="40">
        <v>0</v>
      </c>
      <c r="Y266" s="67">
        <f t="shared" ref="Y266:Y278" si="45">IF(W266="","",((Y265+U266+V266)-(W266+X266)))</f>
        <v>262</v>
      </c>
      <c r="AA266" s="71"/>
      <c r="AB266" s="71"/>
      <c r="AC266" s="67" t="str">
        <f t="shared" si="44"/>
        <v/>
      </c>
      <c r="AE266" s="124"/>
      <c r="AF266" s="124"/>
      <c r="AG266" s="121"/>
      <c r="AH266" s="121"/>
      <c r="AI266" s="124"/>
      <c r="AJ266" s="124"/>
    </row>
    <row r="267" spans="2:36" s="131" customFormat="1" x14ac:dyDescent="0.25">
      <c r="B267" s="126" t="s">
        <v>1293</v>
      </c>
      <c r="C267" s="65">
        <v>0.33333333333333331</v>
      </c>
      <c r="D267" s="128">
        <f t="shared" si="38"/>
        <v>14</v>
      </c>
      <c r="E267" s="129" t="s">
        <v>355</v>
      </c>
      <c r="F267" s="126">
        <v>24</v>
      </c>
      <c r="G267" s="126">
        <v>2.5</v>
      </c>
      <c r="H267" s="126">
        <v>0</v>
      </c>
      <c r="I267" s="128">
        <f t="shared" si="40"/>
        <v>14</v>
      </c>
      <c r="J267" s="128">
        <f t="shared" si="41"/>
        <v>1.4583333333333335</v>
      </c>
      <c r="K267" s="128">
        <f t="shared" si="42"/>
        <v>0</v>
      </c>
      <c r="L267" s="128"/>
      <c r="M267" s="130">
        <f t="shared" si="43"/>
        <v>480.47861111111166</v>
      </c>
      <c r="N267" s="126">
        <v>0</v>
      </c>
      <c r="O267" s="126">
        <v>0</v>
      </c>
      <c r="P267" s="126">
        <v>0</v>
      </c>
      <c r="Q267" s="126">
        <v>0</v>
      </c>
      <c r="R267" s="126">
        <v>0</v>
      </c>
      <c r="S267" s="126">
        <v>0</v>
      </c>
      <c r="T267" s="126">
        <f t="shared" si="39"/>
        <v>87.000000000000057</v>
      </c>
      <c r="U267" s="126">
        <v>0</v>
      </c>
      <c r="V267" s="126">
        <v>0</v>
      </c>
      <c r="W267" s="126">
        <v>5</v>
      </c>
      <c r="X267" s="126">
        <v>0</v>
      </c>
      <c r="Y267" s="126">
        <f t="shared" si="45"/>
        <v>257</v>
      </c>
      <c r="AA267" s="132">
        <v>118</v>
      </c>
      <c r="AB267" s="132">
        <v>10</v>
      </c>
      <c r="AC267" s="126">
        <f t="shared" si="44"/>
        <v>128</v>
      </c>
      <c r="AE267" s="126">
        <v>11</v>
      </c>
      <c r="AF267" s="126" t="s">
        <v>1303</v>
      </c>
      <c r="AG267" s="126">
        <v>95</v>
      </c>
      <c r="AH267" s="126">
        <v>385</v>
      </c>
      <c r="AI267" s="126">
        <v>1.8</v>
      </c>
      <c r="AJ267" s="126">
        <v>11800</v>
      </c>
    </row>
    <row r="268" spans="2:36" s="131" customFormat="1" x14ac:dyDescent="0.25">
      <c r="B268" s="126" t="s">
        <v>1293</v>
      </c>
      <c r="C268" s="127">
        <v>0.77916666666666667</v>
      </c>
      <c r="D268" s="128">
        <f t="shared" si="38"/>
        <v>10.700000000000001</v>
      </c>
      <c r="E268" s="129" t="s">
        <v>201</v>
      </c>
      <c r="F268" s="126">
        <v>23</v>
      </c>
      <c r="G268" s="126">
        <v>2.5</v>
      </c>
      <c r="H268" s="126">
        <v>0</v>
      </c>
      <c r="I268" s="128">
        <f t="shared" si="40"/>
        <v>10.254166666666668</v>
      </c>
      <c r="J268" s="128">
        <f t="shared" si="41"/>
        <v>1.1145833333333335</v>
      </c>
      <c r="K268" s="128">
        <f t="shared" si="42"/>
        <v>0</v>
      </c>
      <c r="L268" s="128"/>
      <c r="M268" s="130">
        <f t="shared" si="43"/>
        <v>469.10986111111168</v>
      </c>
      <c r="N268" s="126">
        <v>0</v>
      </c>
      <c r="O268" s="126">
        <v>0</v>
      </c>
      <c r="P268" s="126">
        <v>0</v>
      </c>
      <c r="Q268" s="126">
        <v>0</v>
      </c>
      <c r="R268" s="126">
        <v>0</v>
      </c>
      <c r="S268" s="126">
        <v>0</v>
      </c>
      <c r="T268" s="126">
        <f t="shared" si="39"/>
        <v>87.000000000000057</v>
      </c>
      <c r="U268" s="126">
        <v>0</v>
      </c>
      <c r="V268" s="126">
        <v>0</v>
      </c>
      <c r="W268" s="126">
        <v>0</v>
      </c>
      <c r="X268" s="126">
        <v>0</v>
      </c>
      <c r="Y268" s="126">
        <f t="shared" si="45"/>
        <v>257</v>
      </c>
      <c r="AA268" s="132"/>
      <c r="AB268" s="132"/>
      <c r="AC268" s="126" t="str">
        <f t="shared" si="44"/>
        <v/>
      </c>
      <c r="AE268" s="126">
        <v>11</v>
      </c>
      <c r="AF268" s="126" t="s">
        <v>1303</v>
      </c>
      <c r="AG268" s="126">
        <v>95</v>
      </c>
      <c r="AH268" s="126">
        <v>385</v>
      </c>
      <c r="AI268" s="126">
        <v>1.8</v>
      </c>
      <c r="AJ268" s="126">
        <v>11800</v>
      </c>
    </row>
    <row r="269" spans="2:36" x14ac:dyDescent="0.25">
      <c r="B269" s="2" t="s">
        <v>1293</v>
      </c>
      <c r="C269" s="7">
        <v>0.79999999999999993</v>
      </c>
      <c r="D269" s="3">
        <f t="shared" si="38"/>
        <v>0.49999999999999822</v>
      </c>
      <c r="E269" s="10" t="s">
        <v>616</v>
      </c>
      <c r="F269" s="40">
        <v>2</v>
      </c>
      <c r="G269" s="40">
        <v>2.5</v>
      </c>
      <c r="H269" s="40">
        <v>2</v>
      </c>
      <c r="I269" s="3">
        <f t="shared" si="40"/>
        <v>4.1666666666666519E-2</v>
      </c>
      <c r="J269" s="3">
        <f t="shared" si="41"/>
        <v>5.2083333333333148E-2</v>
      </c>
      <c r="K269" s="3">
        <f t="shared" si="42"/>
        <v>4.1666666666666519E-2</v>
      </c>
      <c r="L269" s="3"/>
      <c r="M269" s="60">
        <f t="shared" si="43"/>
        <v>468.974444444445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61">
        <f t="shared" si="39"/>
        <v>87.000000000000057</v>
      </c>
      <c r="U269" s="40">
        <v>0</v>
      </c>
      <c r="V269" s="40">
        <v>0</v>
      </c>
      <c r="W269" s="40">
        <v>0</v>
      </c>
      <c r="X269" s="40">
        <v>0</v>
      </c>
      <c r="Y269" s="67">
        <f t="shared" si="45"/>
        <v>257</v>
      </c>
      <c r="AA269" s="71"/>
      <c r="AB269" s="71"/>
      <c r="AC269" s="67" t="str">
        <f t="shared" si="44"/>
        <v/>
      </c>
      <c r="AE269" s="124"/>
      <c r="AF269" s="124"/>
      <c r="AG269" s="121"/>
      <c r="AH269" s="121"/>
      <c r="AI269" s="124"/>
      <c r="AJ269" s="124"/>
    </row>
    <row r="270" spans="2:36" x14ac:dyDescent="0.25">
      <c r="B270" s="2" t="s">
        <v>1294</v>
      </c>
      <c r="C270" s="65">
        <v>0.33333333333333331</v>
      </c>
      <c r="D270" s="3">
        <f t="shared" si="38"/>
        <v>12.8</v>
      </c>
      <c r="E270" s="10" t="s">
        <v>351</v>
      </c>
      <c r="F270" s="40">
        <v>0</v>
      </c>
      <c r="G270" s="40">
        <v>2.5</v>
      </c>
      <c r="H270" s="40">
        <v>2</v>
      </c>
      <c r="I270" s="3">
        <f t="shared" si="40"/>
        <v>0</v>
      </c>
      <c r="J270" s="3">
        <f t="shared" si="41"/>
        <v>1.3333333333333335</v>
      </c>
      <c r="K270" s="3">
        <f t="shared" si="42"/>
        <v>1.0666666666666667</v>
      </c>
      <c r="L270" s="3"/>
      <c r="M270" s="60">
        <f t="shared" si="43"/>
        <v>466.57444444444502</v>
      </c>
      <c r="N270" s="40">
        <v>0</v>
      </c>
      <c r="O270" s="40">
        <v>0</v>
      </c>
      <c r="P270" s="40">
        <v>0</v>
      </c>
      <c r="Q270" s="40">
        <v>0</v>
      </c>
      <c r="R270" s="40">
        <v>0</v>
      </c>
      <c r="S270" s="40">
        <v>0</v>
      </c>
      <c r="T270" s="61">
        <f t="shared" si="39"/>
        <v>87.000000000000057</v>
      </c>
      <c r="U270" s="40">
        <v>0</v>
      </c>
      <c r="V270" s="40">
        <v>0</v>
      </c>
      <c r="W270" s="40">
        <v>6</v>
      </c>
      <c r="X270" s="40">
        <v>0</v>
      </c>
      <c r="Y270" s="67">
        <f t="shared" si="45"/>
        <v>251</v>
      </c>
      <c r="AA270" s="71"/>
      <c r="AB270" s="71"/>
      <c r="AC270" s="67" t="str">
        <f t="shared" si="44"/>
        <v/>
      </c>
      <c r="AE270" s="124"/>
      <c r="AF270" s="124"/>
      <c r="AG270" s="121"/>
      <c r="AH270" s="121"/>
      <c r="AI270" s="124"/>
      <c r="AJ270" s="124"/>
    </row>
    <row r="271" spans="2:36" x14ac:dyDescent="0.25">
      <c r="B271" s="2" t="s">
        <v>1316</v>
      </c>
      <c r="C271" s="65">
        <v>0.33333333333333331</v>
      </c>
      <c r="D271" s="3">
        <v>24</v>
      </c>
      <c r="E271" s="10" t="s">
        <v>351</v>
      </c>
      <c r="F271" s="40">
        <v>0</v>
      </c>
      <c r="G271" s="40">
        <v>2.5</v>
      </c>
      <c r="H271" s="40">
        <v>2</v>
      </c>
      <c r="I271" s="3">
        <f t="shared" si="40"/>
        <v>0</v>
      </c>
      <c r="J271" s="3">
        <f t="shared" si="41"/>
        <v>2.5</v>
      </c>
      <c r="K271" s="3">
        <f t="shared" si="42"/>
        <v>2</v>
      </c>
      <c r="L271" s="3"/>
      <c r="M271" s="60">
        <f t="shared" si="43"/>
        <v>462.07444444444502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0</v>
      </c>
      <c r="T271" s="61">
        <f t="shared" si="39"/>
        <v>87.000000000000057</v>
      </c>
      <c r="U271" s="40">
        <v>0</v>
      </c>
      <c r="V271" s="40">
        <v>0</v>
      </c>
      <c r="W271" s="40">
        <v>6</v>
      </c>
      <c r="X271" s="40">
        <v>0</v>
      </c>
      <c r="Y271" s="67">
        <f t="shared" si="45"/>
        <v>245</v>
      </c>
      <c r="AA271" s="71"/>
      <c r="AB271" s="71"/>
      <c r="AC271" s="67" t="str">
        <f t="shared" si="44"/>
        <v/>
      </c>
      <c r="AE271" s="124"/>
      <c r="AF271" s="124"/>
      <c r="AG271" s="121"/>
      <c r="AH271" s="121"/>
      <c r="AI271" s="124"/>
      <c r="AJ271" s="124"/>
    </row>
    <row r="272" spans="2:36" x14ac:dyDescent="0.25">
      <c r="B272" s="2" t="s">
        <v>1317</v>
      </c>
      <c r="C272" s="65">
        <v>0.33333333333333331</v>
      </c>
      <c r="D272" s="3">
        <v>24</v>
      </c>
      <c r="E272" s="10" t="s">
        <v>351</v>
      </c>
      <c r="F272" s="40">
        <v>0</v>
      </c>
      <c r="G272" s="40">
        <v>2</v>
      </c>
      <c r="H272" s="40">
        <v>0</v>
      </c>
      <c r="I272" s="3">
        <f t="shared" si="40"/>
        <v>0</v>
      </c>
      <c r="J272" s="3">
        <f t="shared" si="41"/>
        <v>2</v>
      </c>
      <c r="K272" s="3">
        <f t="shared" si="42"/>
        <v>0</v>
      </c>
      <c r="L272" s="3"/>
      <c r="M272" s="60">
        <f t="shared" si="43"/>
        <v>460.07444444444502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61">
        <f t="shared" si="39"/>
        <v>87.000000000000057</v>
      </c>
      <c r="U272" s="40">
        <v>0</v>
      </c>
      <c r="V272" s="40">
        <v>0</v>
      </c>
      <c r="W272" s="40">
        <v>6</v>
      </c>
      <c r="X272" s="40">
        <v>0</v>
      </c>
      <c r="Y272" s="67">
        <f t="shared" si="45"/>
        <v>239</v>
      </c>
      <c r="AA272" s="71"/>
      <c r="AB272" s="71"/>
      <c r="AC272" s="67" t="str">
        <f t="shared" si="44"/>
        <v/>
      </c>
      <c r="AE272" s="124"/>
      <c r="AF272" s="124"/>
      <c r="AG272" s="121"/>
      <c r="AH272" s="121"/>
      <c r="AI272" s="124"/>
      <c r="AJ272" s="124"/>
    </row>
    <row r="273" spans="2:36" x14ac:dyDescent="0.25">
      <c r="B273" s="2" t="s">
        <v>1318</v>
      </c>
      <c r="C273" s="65">
        <v>0.33333333333333331</v>
      </c>
      <c r="D273" s="3">
        <v>24</v>
      </c>
      <c r="E273" s="10" t="s">
        <v>351</v>
      </c>
      <c r="F273" s="40">
        <v>0</v>
      </c>
      <c r="G273" s="40">
        <v>2.5</v>
      </c>
      <c r="H273" s="40">
        <v>2</v>
      </c>
      <c r="I273" s="3">
        <f t="shared" si="40"/>
        <v>0</v>
      </c>
      <c r="J273" s="3">
        <f t="shared" si="41"/>
        <v>2.5</v>
      </c>
      <c r="K273" s="3">
        <f t="shared" si="42"/>
        <v>2</v>
      </c>
      <c r="L273" s="3"/>
      <c r="M273" s="60">
        <f t="shared" si="43"/>
        <v>455.57444444444502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0</v>
      </c>
      <c r="T273" s="61">
        <f t="shared" si="39"/>
        <v>87.000000000000057</v>
      </c>
      <c r="U273" s="40">
        <v>0</v>
      </c>
      <c r="V273" s="40">
        <v>0</v>
      </c>
      <c r="W273" s="40">
        <v>6</v>
      </c>
      <c r="X273" s="40">
        <v>0</v>
      </c>
      <c r="Y273" s="67">
        <f t="shared" si="45"/>
        <v>233</v>
      </c>
      <c r="AA273" s="71"/>
      <c r="AB273" s="71"/>
      <c r="AC273" s="67" t="str">
        <f t="shared" si="44"/>
        <v/>
      </c>
      <c r="AE273" s="124"/>
      <c r="AF273" s="124"/>
      <c r="AG273" s="121"/>
      <c r="AH273" s="121"/>
      <c r="AI273" s="124"/>
      <c r="AJ273" s="124"/>
    </row>
    <row r="274" spans="2:36" x14ac:dyDescent="0.25">
      <c r="B274" s="2" t="s">
        <v>1319</v>
      </c>
      <c r="C274" s="65">
        <v>0.33333333333333331</v>
      </c>
      <c r="D274" s="3">
        <v>24</v>
      </c>
      <c r="E274" s="10" t="s">
        <v>351</v>
      </c>
      <c r="F274" s="40">
        <v>0</v>
      </c>
      <c r="G274" s="40">
        <v>2</v>
      </c>
      <c r="H274" s="40">
        <v>0</v>
      </c>
      <c r="I274" s="3">
        <f t="shared" si="40"/>
        <v>0</v>
      </c>
      <c r="J274" s="3">
        <f t="shared" si="41"/>
        <v>2</v>
      </c>
      <c r="K274" s="3">
        <f t="shared" si="42"/>
        <v>0</v>
      </c>
      <c r="L274" s="3"/>
      <c r="M274" s="60">
        <f t="shared" si="43"/>
        <v>453.57444444444502</v>
      </c>
      <c r="N274" s="40">
        <v>0</v>
      </c>
      <c r="O274" s="40">
        <v>0</v>
      </c>
      <c r="P274" s="40">
        <v>0</v>
      </c>
      <c r="Q274" s="40">
        <v>0</v>
      </c>
      <c r="R274" s="40">
        <v>0</v>
      </c>
      <c r="S274" s="40">
        <v>0</v>
      </c>
      <c r="T274" s="61">
        <f t="shared" si="39"/>
        <v>87.000000000000057</v>
      </c>
      <c r="U274" s="40">
        <v>0</v>
      </c>
      <c r="V274" s="40">
        <v>0</v>
      </c>
      <c r="W274" s="40">
        <v>6</v>
      </c>
      <c r="X274" s="40">
        <v>0</v>
      </c>
      <c r="Y274" s="67">
        <f t="shared" si="45"/>
        <v>227</v>
      </c>
      <c r="AA274" s="71"/>
      <c r="AB274" s="71"/>
      <c r="AC274" s="67" t="str">
        <f t="shared" si="44"/>
        <v/>
      </c>
      <c r="AE274" s="124"/>
      <c r="AF274" s="124"/>
      <c r="AG274" s="121"/>
      <c r="AH274" s="121"/>
      <c r="AI274" s="124"/>
      <c r="AJ274" s="124"/>
    </row>
    <row r="275" spans="2:36" x14ac:dyDescent="0.25">
      <c r="B275" s="2" t="s">
        <v>1320</v>
      </c>
      <c r="C275" s="65">
        <v>0.33333333333333331</v>
      </c>
      <c r="D275" s="3">
        <v>24</v>
      </c>
      <c r="E275" s="10" t="s">
        <v>351</v>
      </c>
      <c r="F275" s="40">
        <v>0</v>
      </c>
      <c r="G275" s="40">
        <v>2.5</v>
      </c>
      <c r="H275" s="40">
        <v>2</v>
      </c>
      <c r="I275" s="3">
        <f t="shared" si="40"/>
        <v>0</v>
      </c>
      <c r="J275" s="3">
        <f t="shared" si="41"/>
        <v>2.5</v>
      </c>
      <c r="K275" s="3">
        <f t="shared" si="42"/>
        <v>2</v>
      </c>
      <c r="L275" s="3"/>
      <c r="M275" s="60">
        <f t="shared" si="43"/>
        <v>449.07444444444502</v>
      </c>
      <c r="N275" s="40">
        <v>0</v>
      </c>
      <c r="O275" s="40">
        <v>0</v>
      </c>
      <c r="P275" s="40">
        <v>0</v>
      </c>
      <c r="Q275" s="40">
        <v>0</v>
      </c>
      <c r="R275" s="40">
        <v>0</v>
      </c>
      <c r="S275" s="40">
        <v>0</v>
      </c>
      <c r="T275" s="61">
        <f t="shared" si="39"/>
        <v>87.000000000000057</v>
      </c>
      <c r="U275" s="40">
        <v>0</v>
      </c>
      <c r="V275" s="40">
        <v>0</v>
      </c>
      <c r="W275" s="40">
        <v>6</v>
      </c>
      <c r="X275" s="40">
        <v>0</v>
      </c>
      <c r="Y275" s="67">
        <f t="shared" si="45"/>
        <v>221</v>
      </c>
      <c r="AA275" s="71"/>
      <c r="AB275" s="71"/>
      <c r="AC275" s="67" t="str">
        <f t="shared" si="44"/>
        <v/>
      </c>
      <c r="AE275" s="124"/>
      <c r="AF275" s="124"/>
      <c r="AG275" s="121"/>
      <c r="AH275" s="121"/>
      <c r="AI275" s="124"/>
      <c r="AJ275" s="124"/>
    </row>
    <row r="276" spans="2:36" x14ac:dyDescent="0.25">
      <c r="B276" s="2" t="s">
        <v>1325</v>
      </c>
      <c r="C276" s="65">
        <v>0.33333333333333331</v>
      </c>
      <c r="D276" s="3">
        <v>24</v>
      </c>
      <c r="E276" s="10" t="s">
        <v>351</v>
      </c>
      <c r="F276" s="40">
        <v>0</v>
      </c>
      <c r="G276" s="40">
        <v>2.1</v>
      </c>
      <c r="H276" s="40">
        <v>1.8</v>
      </c>
      <c r="I276" s="3">
        <f t="shared" si="40"/>
        <v>0</v>
      </c>
      <c r="J276" s="3">
        <f t="shared" si="41"/>
        <v>2.1</v>
      </c>
      <c r="K276" s="3">
        <f t="shared" si="42"/>
        <v>1.7999999999999998</v>
      </c>
      <c r="L276" s="3"/>
      <c r="M276" s="60">
        <f t="shared" si="43"/>
        <v>445.17444444444504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0</v>
      </c>
      <c r="T276" s="61">
        <f t="shared" si="39"/>
        <v>87.000000000000057</v>
      </c>
      <c r="U276" s="40">
        <v>0</v>
      </c>
      <c r="V276" s="40">
        <v>0</v>
      </c>
      <c r="W276" s="40">
        <v>5</v>
      </c>
      <c r="X276" s="40">
        <v>1</v>
      </c>
      <c r="Y276" s="67">
        <f t="shared" si="45"/>
        <v>215</v>
      </c>
      <c r="AA276" s="71"/>
      <c r="AB276" s="71"/>
      <c r="AC276" s="67" t="str">
        <f t="shared" si="44"/>
        <v/>
      </c>
      <c r="AE276" s="124"/>
      <c r="AF276" s="124"/>
      <c r="AG276" s="121"/>
      <c r="AH276" s="121"/>
      <c r="AI276" s="124"/>
      <c r="AJ276" s="124"/>
    </row>
    <row r="277" spans="2:36" x14ac:dyDescent="0.25">
      <c r="B277" s="2" t="s">
        <v>1325</v>
      </c>
      <c r="C277" s="7">
        <v>0.70416666666666661</v>
      </c>
      <c r="D277" s="3">
        <f t="shared" si="38"/>
        <v>8.8999999999999986</v>
      </c>
      <c r="E277" s="10" t="s">
        <v>1011</v>
      </c>
      <c r="F277" s="40">
        <v>0</v>
      </c>
      <c r="G277" s="40">
        <v>2.1</v>
      </c>
      <c r="H277" s="40">
        <v>1.8</v>
      </c>
      <c r="I277" s="3">
        <f t="shared" si="40"/>
        <v>0</v>
      </c>
      <c r="J277" s="3">
        <f t="shared" si="41"/>
        <v>0.77874999999999994</v>
      </c>
      <c r="K277" s="3">
        <f t="shared" si="42"/>
        <v>0.66749999999999987</v>
      </c>
      <c r="L277" s="3"/>
      <c r="M277" s="60">
        <f t="shared" si="43"/>
        <v>443.72819444444502</v>
      </c>
      <c r="N277" s="40">
        <v>0</v>
      </c>
      <c r="O277" s="40">
        <v>0</v>
      </c>
      <c r="P277" s="40">
        <v>0</v>
      </c>
      <c r="Q277" s="40">
        <v>0</v>
      </c>
      <c r="R277" s="40">
        <v>0</v>
      </c>
      <c r="S277" s="40">
        <v>0</v>
      </c>
      <c r="T277" s="61">
        <f t="shared" si="39"/>
        <v>87.000000000000057</v>
      </c>
      <c r="U277" s="40">
        <v>0</v>
      </c>
      <c r="V277" s="40">
        <v>0</v>
      </c>
      <c r="W277" s="40">
        <v>2</v>
      </c>
      <c r="X277" s="40">
        <v>0</v>
      </c>
      <c r="Y277" s="67">
        <f t="shared" si="45"/>
        <v>213</v>
      </c>
      <c r="AA277" s="71"/>
      <c r="AB277" s="71"/>
      <c r="AC277" s="67" t="str">
        <f t="shared" si="44"/>
        <v/>
      </c>
      <c r="AE277" s="124"/>
      <c r="AF277" s="124"/>
      <c r="AG277" s="121"/>
      <c r="AH277" s="121"/>
      <c r="AI277" s="124"/>
      <c r="AJ277" s="124"/>
    </row>
    <row r="278" spans="2:36" x14ac:dyDescent="0.25">
      <c r="B278" s="2" t="s">
        <v>1325</v>
      </c>
      <c r="C278" s="7">
        <v>0.76666666666666661</v>
      </c>
      <c r="D278" s="3">
        <f t="shared" si="38"/>
        <v>1.5</v>
      </c>
      <c r="E278" s="10" t="s">
        <v>616</v>
      </c>
      <c r="F278" s="40">
        <v>2</v>
      </c>
      <c r="G278" s="40">
        <v>2.5</v>
      </c>
      <c r="H278" s="40">
        <v>2</v>
      </c>
      <c r="I278" s="3">
        <f t="shared" si="40"/>
        <v>0.125</v>
      </c>
      <c r="J278" s="3">
        <f t="shared" si="41"/>
        <v>0.15625</v>
      </c>
      <c r="K278" s="3">
        <f t="shared" si="42"/>
        <v>0.125</v>
      </c>
      <c r="L278" s="3"/>
      <c r="M278" s="60">
        <f t="shared" si="43"/>
        <v>443.32194444444502</v>
      </c>
      <c r="N278" s="40">
        <v>0</v>
      </c>
      <c r="O278" s="40">
        <v>0</v>
      </c>
      <c r="P278" s="40">
        <v>0</v>
      </c>
      <c r="Q278" s="40">
        <v>0</v>
      </c>
      <c r="R278" s="40">
        <v>0</v>
      </c>
      <c r="S278" s="40">
        <v>0</v>
      </c>
      <c r="T278" s="61">
        <f t="shared" si="39"/>
        <v>87.000000000000057</v>
      </c>
      <c r="U278" s="40">
        <v>0</v>
      </c>
      <c r="V278" s="40">
        <v>0</v>
      </c>
      <c r="W278" s="40">
        <v>0</v>
      </c>
      <c r="X278" s="40">
        <v>0</v>
      </c>
      <c r="Y278" s="67">
        <f t="shared" si="45"/>
        <v>213</v>
      </c>
      <c r="AA278" s="71"/>
      <c r="AB278" s="71"/>
      <c r="AC278" s="67" t="str">
        <f t="shared" si="44"/>
        <v/>
      </c>
      <c r="AE278" s="124"/>
      <c r="AF278" s="124"/>
      <c r="AG278" s="121"/>
      <c r="AH278" s="121"/>
      <c r="AI278" s="124"/>
      <c r="AJ278" s="124"/>
    </row>
    <row r="279" spans="2:36" x14ac:dyDescent="0.25">
      <c r="B279" s="117" t="s">
        <v>1325</v>
      </c>
      <c r="C279" s="7">
        <v>0.85</v>
      </c>
      <c r="D279" s="3">
        <f t="shared" ref="D279:D342" si="46">+IF((C279-C278)&lt;0,((C279-C278)*24)+24,(C279-C278)*24)</f>
        <v>2.0000000000000009</v>
      </c>
      <c r="E279" s="10" t="s">
        <v>1004</v>
      </c>
      <c r="F279" s="40">
        <v>0</v>
      </c>
      <c r="G279" s="40">
        <v>2.5</v>
      </c>
      <c r="H279" s="40">
        <v>2</v>
      </c>
      <c r="I279" s="3">
        <f t="shared" ref="I279:I342" si="47">+IF(F279="","",(F279/24)*D279)</f>
        <v>0</v>
      </c>
      <c r="J279" s="3">
        <f t="shared" ref="J279:J342" si="48">+IF(G279="","",(G279/24)*D279)</f>
        <v>0.20833333333333343</v>
      </c>
      <c r="K279" s="3">
        <f t="shared" ref="K279:K342" si="49">+IF(H279="","",(H279/24)*D279)</f>
        <v>0.16666666666666674</v>
      </c>
      <c r="L279" s="3"/>
      <c r="M279" s="60">
        <f t="shared" ref="M279:M342" si="50">+IF(D279="","",M278-(I279+J279+K279))</f>
        <v>442.94694444444502</v>
      </c>
      <c r="N279" s="40">
        <v>0</v>
      </c>
      <c r="O279" s="40">
        <v>0</v>
      </c>
      <c r="P279" s="40">
        <v>0</v>
      </c>
      <c r="Q279" s="40">
        <v>0</v>
      </c>
      <c r="R279" s="40">
        <v>0</v>
      </c>
      <c r="S279" s="40">
        <v>0</v>
      </c>
      <c r="T279" s="61">
        <f t="shared" ref="T279:T342" si="51">IF(D279="","",(T278+S279)-(N279+O279+P279+Q279+R279))</f>
        <v>87.000000000000057</v>
      </c>
      <c r="U279" s="40">
        <v>0</v>
      </c>
      <c r="V279" s="40">
        <v>0</v>
      </c>
      <c r="W279" s="40">
        <v>0</v>
      </c>
      <c r="X279" s="40">
        <v>0</v>
      </c>
      <c r="Y279" s="67">
        <f t="shared" ref="Y279:Y342" si="52">IF(W279="","",((Y278+U279+V279)-(W279+X279)))</f>
        <v>213</v>
      </c>
      <c r="AA279" s="71"/>
      <c r="AB279" s="71"/>
      <c r="AC279" s="67" t="str">
        <f t="shared" ref="AC279:AC342" si="53">IF(AA279="","",AA279+AB279)</f>
        <v/>
      </c>
      <c r="AE279" s="124"/>
      <c r="AF279" s="124"/>
      <c r="AG279" s="121"/>
      <c r="AH279" s="121"/>
      <c r="AI279" s="124"/>
      <c r="AJ279" s="124"/>
    </row>
    <row r="280" spans="2:36" x14ac:dyDescent="0.25">
      <c r="B280" s="117" t="s">
        <v>1327</v>
      </c>
      <c r="C280" s="65">
        <v>0.33333333333333331</v>
      </c>
      <c r="D280" s="3">
        <f t="shared" si="46"/>
        <v>11.600000000000001</v>
      </c>
      <c r="E280" s="10" t="s">
        <v>966</v>
      </c>
      <c r="F280" s="40">
        <v>0</v>
      </c>
      <c r="G280" s="40">
        <v>2.5</v>
      </c>
      <c r="H280" s="40">
        <v>2</v>
      </c>
      <c r="I280" s="3">
        <f t="shared" si="47"/>
        <v>0</v>
      </c>
      <c r="J280" s="3">
        <f t="shared" si="48"/>
        <v>1.2083333333333335</v>
      </c>
      <c r="K280" s="3">
        <f t="shared" si="49"/>
        <v>0.96666666666666679</v>
      </c>
      <c r="L280" s="3"/>
      <c r="M280" s="60">
        <f t="shared" si="50"/>
        <v>440.77194444444501</v>
      </c>
      <c r="N280" s="40">
        <v>0</v>
      </c>
      <c r="O280" s="40">
        <v>0</v>
      </c>
      <c r="P280" s="40">
        <v>0</v>
      </c>
      <c r="Q280" s="40">
        <v>0</v>
      </c>
      <c r="R280" s="40">
        <v>2.9</v>
      </c>
      <c r="S280" s="40">
        <v>0</v>
      </c>
      <c r="T280" s="61">
        <f t="shared" si="51"/>
        <v>84.100000000000051</v>
      </c>
      <c r="U280" s="40">
        <v>0</v>
      </c>
      <c r="V280" s="40">
        <v>0</v>
      </c>
      <c r="W280" s="40">
        <v>4</v>
      </c>
      <c r="X280" s="40">
        <v>0</v>
      </c>
      <c r="Y280" s="67">
        <f t="shared" si="52"/>
        <v>209</v>
      </c>
      <c r="AA280" s="71"/>
      <c r="AB280" s="71"/>
      <c r="AC280" s="67" t="str">
        <f t="shared" si="53"/>
        <v/>
      </c>
      <c r="AE280" s="124"/>
      <c r="AF280" s="124"/>
      <c r="AG280" s="121"/>
      <c r="AH280" s="121"/>
      <c r="AI280" s="124"/>
      <c r="AJ280" s="124"/>
    </row>
    <row r="281" spans="2:36" x14ac:dyDescent="0.25">
      <c r="B281" s="117" t="s">
        <v>1327</v>
      </c>
      <c r="C281" s="7">
        <v>0.35000000000000003</v>
      </c>
      <c r="D281" s="3">
        <f t="shared" si="46"/>
        <v>0.40000000000000124</v>
      </c>
      <c r="E281" s="10" t="s">
        <v>966</v>
      </c>
      <c r="F281" s="40">
        <v>0</v>
      </c>
      <c r="G281" s="40">
        <v>2.5</v>
      </c>
      <c r="H281" s="40">
        <v>2</v>
      </c>
      <c r="I281" s="3">
        <f t="shared" si="47"/>
        <v>0</v>
      </c>
      <c r="J281" s="3">
        <f t="shared" si="48"/>
        <v>4.1666666666666796E-2</v>
      </c>
      <c r="K281" s="3">
        <f t="shared" si="49"/>
        <v>3.3333333333333437E-2</v>
      </c>
      <c r="L281" s="3"/>
      <c r="M281" s="60">
        <f t="shared" si="50"/>
        <v>440.69694444444502</v>
      </c>
      <c r="N281" s="40">
        <v>0</v>
      </c>
      <c r="O281" s="40">
        <v>0</v>
      </c>
      <c r="P281" s="40">
        <v>0</v>
      </c>
      <c r="Q281" s="40">
        <v>0</v>
      </c>
      <c r="R281" s="40">
        <v>0.1</v>
      </c>
      <c r="S281" s="40">
        <v>0</v>
      </c>
      <c r="T281" s="61">
        <f t="shared" si="51"/>
        <v>84.000000000000057</v>
      </c>
      <c r="U281" s="40">
        <v>0</v>
      </c>
      <c r="V281" s="40">
        <v>0</v>
      </c>
      <c r="W281" s="40">
        <v>0</v>
      </c>
      <c r="X281" s="40">
        <v>0</v>
      </c>
      <c r="Y281" s="67">
        <f t="shared" si="52"/>
        <v>209</v>
      </c>
      <c r="AA281" s="71"/>
      <c r="AB281" s="71"/>
      <c r="AC281" s="67" t="str">
        <f t="shared" si="53"/>
        <v/>
      </c>
      <c r="AE281" s="124"/>
      <c r="AF281" s="124"/>
      <c r="AG281" s="121"/>
      <c r="AH281" s="121"/>
      <c r="AI281" s="124"/>
      <c r="AJ281" s="124"/>
    </row>
    <row r="282" spans="2:36" x14ac:dyDescent="0.25">
      <c r="B282" s="117" t="s">
        <v>1327</v>
      </c>
      <c r="C282" s="7">
        <v>0.47083333333333338</v>
      </c>
      <c r="D282" s="3">
        <f t="shared" si="46"/>
        <v>2.9000000000000004</v>
      </c>
      <c r="E282" s="10" t="s">
        <v>1011</v>
      </c>
      <c r="F282" s="40">
        <v>0</v>
      </c>
      <c r="G282" s="40">
        <v>2.5</v>
      </c>
      <c r="H282" s="40">
        <v>2</v>
      </c>
      <c r="I282" s="3">
        <f t="shared" si="47"/>
        <v>0</v>
      </c>
      <c r="J282" s="3">
        <f t="shared" si="48"/>
        <v>0.30208333333333337</v>
      </c>
      <c r="K282" s="3">
        <f t="shared" si="49"/>
        <v>0.2416666666666667</v>
      </c>
      <c r="L282" s="3"/>
      <c r="M282" s="60">
        <f t="shared" si="50"/>
        <v>440.15319444444503</v>
      </c>
      <c r="N282" s="40">
        <v>0</v>
      </c>
      <c r="O282" s="40">
        <v>0</v>
      </c>
      <c r="P282" s="40">
        <v>0</v>
      </c>
      <c r="Q282" s="40">
        <v>0</v>
      </c>
      <c r="R282" s="40">
        <v>0</v>
      </c>
      <c r="S282" s="40">
        <v>0</v>
      </c>
      <c r="T282" s="61">
        <f t="shared" si="51"/>
        <v>84.000000000000057</v>
      </c>
      <c r="U282" s="40">
        <v>0</v>
      </c>
      <c r="V282" s="40">
        <v>0</v>
      </c>
      <c r="W282" s="40">
        <v>0</v>
      </c>
      <c r="X282" s="40">
        <v>0</v>
      </c>
      <c r="Y282" s="67">
        <f t="shared" si="52"/>
        <v>209</v>
      </c>
      <c r="AA282" s="71"/>
      <c r="AB282" s="71"/>
      <c r="AC282" s="67" t="str">
        <f t="shared" si="53"/>
        <v/>
      </c>
      <c r="AE282" s="124"/>
      <c r="AF282" s="124"/>
      <c r="AG282" s="121"/>
      <c r="AH282" s="121"/>
      <c r="AI282" s="124"/>
      <c r="AJ282" s="124"/>
    </row>
    <row r="283" spans="2:36" x14ac:dyDescent="0.25">
      <c r="B283" s="117" t="s">
        <v>1327</v>
      </c>
      <c r="C283" s="7">
        <v>0.5083333333333333</v>
      </c>
      <c r="D283" s="3">
        <f t="shared" si="46"/>
        <v>0.89999999999999813</v>
      </c>
      <c r="E283" s="10" t="s">
        <v>1328</v>
      </c>
      <c r="F283" s="40">
        <v>5</v>
      </c>
      <c r="G283" s="40">
        <v>2.5</v>
      </c>
      <c r="H283" s="40">
        <v>2</v>
      </c>
      <c r="I283" s="3">
        <f t="shared" si="47"/>
        <v>0.18749999999999961</v>
      </c>
      <c r="J283" s="3">
        <f t="shared" si="48"/>
        <v>9.3749999999999806E-2</v>
      </c>
      <c r="K283" s="3">
        <f t="shared" si="49"/>
        <v>7.4999999999999845E-2</v>
      </c>
      <c r="L283" s="3"/>
      <c r="M283" s="60">
        <f t="shared" si="50"/>
        <v>439.79694444444505</v>
      </c>
      <c r="N283" s="40">
        <v>0</v>
      </c>
      <c r="O283" s="40">
        <v>0</v>
      </c>
      <c r="P283" s="40">
        <v>0</v>
      </c>
      <c r="Q283" s="40">
        <v>0</v>
      </c>
      <c r="R283" s="40">
        <v>0</v>
      </c>
      <c r="S283" s="40">
        <v>0</v>
      </c>
      <c r="T283" s="61">
        <f t="shared" si="51"/>
        <v>84.000000000000057</v>
      </c>
      <c r="U283" s="40">
        <v>0</v>
      </c>
      <c r="V283" s="40">
        <v>0</v>
      </c>
      <c r="W283" s="40">
        <v>2</v>
      </c>
      <c r="X283" s="40">
        <v>0</v>
      </c>
      <c r="Y283" s="67">
        <f t="shared" si="52"/>
        <v>207</v>
      </c>
      <c r="AA283" s="71"/>
      <c r="AB283" s="71"/>
      <c r="AC283" s="67" t="str">
        <f t="shared" si="53"/>
        <v/>
      </c>
      <c r="AE283" s="124"/>
      <c r="AF283" s="124"/>
      <c r="AG283" s="121"/>
      <c r="AH283" s="121"/>
      <c r="AI283" s="124"/>
      <c r="AJ283" s="124"/>
    </row>
    <row r="284" spans="2:36" s="131" customFormat="1" x14ac:dyDescent="0.25">
      <c r="B284" s="126" t="s">
        <v>1327</v>
      </c>
      <c r="C284" s="127">
        <v>0.90416666666666667</v>
      </c>
      <c r="D284" s="128">
        <f t="shared" si="46"/>
        <v>9.5</v>
      </c>
      <c r="E284" s="129" t="s">
        <v>201</v>
      </c>
      <c r="F284" s="126">
        <v>23</v>
      </c>
      <c r="G284" s="126">
        <v>2.5</v>
      </c>
      <c r="H284" s="126">
        <v>0</v>
      </c>
      <c r="I284" s="128">
        <f t="shared" si="47"/>
        <v>9.1041666666666679</v>
      </c>
      <c r="J284" s="128">
        <f t="shared" si="48"/>
        <v>0.98958333333333337</v>
      </c>
      <c r="K284" s="128">
        <f t="shared" si="49"/>
        <v>0</v>
      </c>
      <c r="L284" s="128"/>
      <c r="M284" s="130">
        <f t="shared" si="50"/>
        <v>429.70319444444505</v>
      </c>
      <c r="N284" s="126">
        <v>0</v>
      </c>
      <c r="O284" s="126">
        <v>0</v>
      </c>
      <c r="P284" s="126">
        <v>0</v>
      </c>
      <c r="Q284" s="126">
        <v>0</v>
      </c>
      <c r="R284" s="126">
        <v>0</v>
      </c>
      <c r="S284" s="126">
        <v>0</v>
      </c>
      <c r="T284" s="126">
        <f t="shared" si="51"/>
        <v>84.000000000000057</v>
      </c>
      <c r="U284" s="126">
        <v>0</v>
      </c>
      <c r="V284" s="126">
        <v>0</v>
      </c>
      <c r="W284" s="126">
        <v>0</v>
      </c>
      <c r="X284" s="126">
        <v>0</v>
      </c>
      <c r="Y284" s="126">
        <f t="shared" si="52"/>
        <v>207</v>
      </c>
      <c r="AA284" s="132"/>
      <c r="AB284" s="132"/>
      <c r="AC284" s="126" t="str">
        <f t="shared" si="53"/>
        <v/>
      </c>
      <c r="AE284" s="126">
        <v>10</v>
      </c>
      <c r="AF284" s="126" t="s">
        <v>1303</v>
      </c>
      <c r="AG284" s="126">
        <v>95</v>
      </c>
      <c r="AH284" s="126">
        <v>385</v>
      </c>
      <c r="AI284" s="126">
        <v>1.9</v>
      </c>
      <c r="AJ284" s="126">
        <v>11800</v>
      </c>
    </row>
    <row r="285" spans="2:36" x14ac:dyDescent="0.25">
      <c r="B285" s="117" t="s">
        <v>1327</v>
      </c>
      <c r="C285" s="7">
        <v>0.9375</v>
      </c>
      <c r="D285" s="3">
        <f t="shared" si="46"/>
        <v>0.79999999999999982</v>
      </c>
      <c r="E285" s="10" t="s">
        <v>616</v>
      </c>
      <c r="F285" s="40">
        <v>5</v>
      </c>
      <c r="G285" s="40">
        <v>2.5</v>
      </c>
      <c r="H285" s="40">
        <v>2</v>
      </c>
      <c r="I285" s="3">
        <f t="shared" si="47"/>
        <v>0.16666666666666663</v>
      </c>
      <c r="J285" s="3">
        <f t="shared" si="48"/>
        <v>8.3333333333333315E-2</v>
      </c>
      <c r="K285" s="3">
        <f t="shared" si="49"/>
        <v>6.6666666666666652E-2</v>
      </c>
      <c r="L285" s="3"/>
      <c r="M285" s="60">
        <f t="shared" si="50"/>
        <v>429.38652777777838</v>
      </c>
      <c r="N285" s="40">
        <v>0</v>
      </c>
      <c r="O285" s="40">
        <v>0</v>
      </c>
      <c r="P285" s="40">
        <v>0</v>
      </c>
      <c r="Q285" s="40">
        <v>0</v>
      </c>
      <c r="R285" s="40">
        <v>0</v>
      </c>
      <c r="S285" s="40">
        <v>0</v>
      </c>
      <c r="T285" s="61">
        <f t="shared" si="51"/>
        <v>84.000000000000057</v>
      </c>
      <c r="U285" s="40">
        <v>0</v>
      </c>
      <c r="V285" s="40">
        <v>0</v>
      </c>
      <c r="W285" s="40">
        <v>0</v>
      </c>
      <c r="X285" s="40">
        <v>0</v>
      </c>
      <c r="Y285" s="67">
        <f t="shared" si="52"/>
        <v>207</v>
      </c>
      <c r="AA285" s="71"/>
      <c r="AB285" s="71"/>
      <c r="AC285" s="67" t="str">
        <f t="shared" si="53"/>
        <v/>
      </c>
      <c r="AE285" s="124"/>
      <c r="AF285" s="124"/>
      <c r="AG285" s="121"/>
      <c r="AH285" s="121"/>
      <c r="AI285" s="124"/>
      <c r="AJ285" s="124"/>
    </row>
    <row r="286" spans="2:36" x14ac:dyDescent="0.25">
      <c r="B286" s="117" t="s">
        <v>1329</v>
      </c>
      <c r="C286" s="65">
        <v>0.33333333333333331</v>
      </c>
      <c r="D286" s="3">
        <f t="shared" si="46"/>
        <v>9.4999999999999982</v>
      </c>
      <c r="E286" s="10" t="s">
        <v>351</v>
      </c>
      <c r="F286" s="40">
        <v>0</v>
      </c>
      <c r="G286" s="40">
        <v>2.2000000000000002</v>
      </c>
      <c r="H286" s="40">
        <v>2</v>
      </c>
      <c r="I286" s="3">
        <f t="shared" si="47"/>
        <v>0</v>
      </c>
      <c r="J286" s="3">
        <f t="shared" si="48"/>
        <v>0.87083333333333324</v>
      </c>
      <c r="K286" s="3">
        <f t="shared" si="49"/>
        <v>0.79166666666666652</v>
      </c>
      <c r="L286" s="3"/>
      <c r="M286" s="60">
        <f t="shared" si="50"/>
        <v>427.72402777777836</v>
      </c>
      <c r="N286" s="40">
        <v>0</v>
      </c>
      <c r="O286" s="40">
        <v>0</v>
      </c>
      <c r="P286" s="40">
        <v>0</v>
      </c>
      <c r="Q286" s="40">
        <v>0</v>
      </c>
      <c r="R286" s="40">
        <v>0</v>
      </c>
      <c r="S286" s="40">
        <v>0</v>
      </c>
      <c r="T286" s="61">
        <f t="shared" si="51"/>
        <v>84.000000000000057</v>
      </c>
      <c r="U286" s="40">
        <v>0</v>
      </c>
      <c r="V286" s="40">
        <v>0</v>
      </c>
      <c r="W286" s="40">
        <v>4</v>
      </c>
      <c r="X286" s="40">
        <v>0</v>
      </c>
      <c r="Y286" s="67">
        <f t="shared" si="52"/>
        <v>203</v>
      </c>
      <c r="AA286" s="71">
        <v>80</v>
      </c>
      <c r="AB286" s="71">
        <v>10</v>
      </c>
      <c r="AC286" s="67">
        <f t="shared" si="53"/>
        <v>90</v>
      </c>
      <c r="AE286" s="124"/>
      <c r="AF286" s="124"/>
      <c r="AG286" s="121"/>
      <c r="AH286" s="121"/>
      <c r="AI286" s="124"/>
      <c r="AJ286" s="124"/>
    </row>
    <row r="287" spans="2:36" x14ac:dyDescent="0.25">
      <c r="B287" s="117" t="s">
        <v>1330</v>
      </c>
      <c r="C287" s="65">
        <v>0.33333333333333331</v>
      </c>
      <c r="D287" s="3">
        <v>24</v>
      </c>
      <c r="E287" s="10" t="s">
        <v>351</v>
      </c>
      <c r="F287" s="40">
        <v>0</v>
      </c>
      <c r="G287" s="40">
        <v>2.2000000000000002</v>
      </c>
      <c r="H287" s="40">
        <v>2</v>
      </c>
      <c r="I287" s="3">
        <f t="shared" si="47"/>
        <v>0</v>
      </c>
      <c r="J287" s="3">
        <f t="shared" si="48"/>
        <v>2.2000000000000002</v>
      </c>
      <c r="K287" s="3">
        <f t="shared" si="49"/>
        <v>2</v>
      </c>
      <c r="L287" s="3"/>
      <c r="M287" s="60">
        <f t="shared" si="50"/>
        <v>423.52402777777837</v>
      </c>
      <c r="N287" s="40">
        <v>0</v>
      </c>
      <c r="O287" s="40">
        <v>0</v>
      </c>
      <c r="P287" s="40">
        <v>0</v>
      </c>
      <c r="Q287" s="40">
        <v>0</v>
      </c>
      <c r="R287" s="40">
        <v>0</v>
      </c>
      <c r="S287" s="40">
        <v>0</v>
      </c>
      <c r="T287" s="61">
        <f t="shared" si="51"/>
        <v>84.000000000000057</v>
      </c>
      <c r="U287" s="40">
        <v>0</v>
      </c>
      <c r="V287" s="40">
        <v>0</v>
      </c>
      <c r="W287" s="40">
        <v>6</v>
      </c>
      <c r="X287" s="40">
        <v>0</v>
      </c>
      <c r="Y287" s="67">
        <f t="shared" si="52"/>
        <v>197</v>
      </c>
      <c r="AA287" s="71"/>
      <c r="AB287" s="71"/>
      <c r="AC287" s="67" t="str">
        <f t="shared" si="53"/>
        <v/>
      </c>
      <c r="AE287" s="124"/>
      <c r="AF287" s="124"/>
      <c r="AG287" s="121"/>
      <c r="AH287" s="121"/>
      <c r="AI287" s="124"/>
      <c r="AJ287" s="124"/>
    </row>
    <row r="288" spans="2:36" x14ac:dyDescent="0.25">
      <c r="B288" s="117" t="s">
        <v>1331</v>
      </c>
      <c r="C288" s="65">
        <v>0.33333333333333331</v>
      </c>
      <c r="D288" s="3">
        <v>24</v>
      </c>
      <c r="E288" s="10" t="s">
        <v>351</v>
      </c>
      <c r="F288" s="40">
        <v>0</v>
      </c>
      <c r="G288" s="40">
        <v>2.2000000000000002</v>
      </c>
      <c r="H288" s="40">
        <v>1.8</v>
      </c>
      <c r="I288" s="3">
        <f t="shared" si="47"/>
        <v>0</v>
      </c>
      <c r="J288" s="3">
        <f t="shared" si="48"/>
        <v>2.2000000000000002</v>
      </c>
      <c r="K288" s="3">
        <f t="shared" si="49"/>
        <v>1.7999999999999998</v>
      </c>
      <c r="L288" s="3"/>
      <c r="M288" s="60">
        <f t="shared" si="50"/>
        <v>419.52402777777837</v>
      </c>
      <c r="N288" s="40">
        <v>0</v>
      </c>
      <c r="O288" s="40">
        <v>0</v>
      </c>
      <c r="P288" s="40">
        <v>0</v>
      </c>
      <c r="Q288" s="40">
        <v>0</v>
      </c>
      <c r="R288" s="40">
        <v>0</v>
      </c>
      <c r="S288" s="40">
        <v>0</v>
      </c>
      <c r="T288" s="61">
        <f t="shared" si="51"/>
        <v>84.000000000000057</v>
      </c>
      <c r="U288" s="40">
        <v>0</v>
      </c>
      <c r="V288" s="40">
        <v>0</v>
      </c>
      <c r="W288" s="40">
        <v>6</v>
      </c>
      <c r="X288" s="40">
        <v>0</v>
      </c>
      <c r="Y288" s="67">
        <f t="shared" si="52"/>
        <v>191</v>
      </c>
      <c r="AA288" s="71"/>
      <c r="AB288" s="71"/>
      <c r="AC288" s="67" t="str">
        <f t="shared" si="53"/>
        <v/>
      </c>
      <c r="AE288" s="124"/>
      <c r="AF288" s="124"/>
      <c r="AG288" s="121"/>
      <c r="AH288" s="121"/>
      <c r="AI288" s="124"/>
      <c r="AJ288" s="124"/>
    </row>
    <row r="289" spans="2:36" x14ac:dyDescent="0.25">
      <c r="B289" s="117" t="s">
        <v>1332</v>
      </c>
      <c r="C289" s="65">
        <v>0.33333333333333331</v>
      </c>
      <c r="D289" s="3">
        <v>24</v>
      </c>
      <c r="E289" s="10" t="s">
        <v>351</v>
      </c>
      <c r="F289" s="40">
        <v>0</v>
      </c>
      <c r="G289" s="40">
        <v>2.2000000000000002</v>
      </c>
      <c r="H289" s="40">
        <v>1.8</v>
      </c>
      <c r="I289" s="3">
        <f t="shared" si="47"/>
        <v>0</v>
      </c>
      <c r="J289" s="3">
        <f t="shared" si="48"/>
        <v>2.2000000000000002</v>
      </c>
      <c r="K289" s="3">
        <f t="shared" si="49"/>
        <v>1.7999999999999998</v>
      </c>
      <c r="L289" s="3"/>
      <c r="M289" s="60">
        <f t="shared" si="50"/>
        <v>415.52402777777837</v>
      </c>
      <c r="N289" s="40">
        <v>0</v>
      </c>
      <c r="O289" s="40">
        <v>0</v>
      </c>
      <c r="P289" s="40">
        <v>0</v>
      </c>
      <c r="Q289" s="40">
        <v>0</v>
      </c>
      <c r="R289" s="40">
        <v>0</v>
      </c>
      <c r="S289" s="40">
        <v>0</v>
      </c>
      <c r="T289" s="61">
        <f t="shared" si="51"/>
        <v>84.000000000000057</v>
      </c>
      <c r="U289" s="40">
        <v>0</v>
      </c>
      <c r="V289" s="40">
        <v>0</v>
      </c>
      <c r="W289" s="40">
        <v>6</v>
      </c>
      <c r="X289" s="40">
        <v>0</v>
      </c>
      <c r="Y289" s="67">
        <f t="shared" si="52"/>
        <v>185</v>
      </c>
      <c r="AA289" s="71">
        <v>70</v>
      </c>
      <c r="AB289" s="71">
        <v>10</v>
      </c>
      <c r="AC289" s="67">
        <f t="shared" si="53"/>
        <v>80</v>
      </c>
      <c r="AE289" s="124"/>
      <c r="AF289" s="124"/>
      <c r="AG289" s="121"/>
      <c r="AH289" s="121"/>
      <c r="AI289" s="124"/>
      <c r="AJ289" s="124"/>
    </row>
    <row r="290" spans="2:36" x14ac:dyDescent="0.25">
      <c r="B290" s="117" t="s">
        <v>1332</v>
      </c>
      <c r="C290" s="7">
        <v>0.66249999999999998</v>
      </c>
      <c r="D290" s="3">
        <f t="shared" si="46"/>
        <v>7.9</v>
      </c>
      <c r="E290" s="10" t="s">
        <v>1011</v>
      </c>
      <c r="F290" s="40">
        <v>0</v>
      </c>
      <c r="G290" s="40">
        <v>2.2000000000000002</v>
      </c>
      <c r="H290" s="40">
        <v>1.8</v>
      </c>
      <c r="I290" s="3">
        <f t="shared" si="47"/>
        <v>0</v>
      </c>
      <c r="J290" s="3">
        <f t="shared" si="48"/>
        <v>0.72416666666666674</v>
      </c>
      <c r="K290" s="3">
        <f t="shared" si="49"/>
        <v>0.59250000000000003</v>
      </c>
      <c r="L290" s="3"/>
      <c r="M290" s="60">
        <f t="shared" si="50"/>
        <v>414.20736111111171</v>
      </c>
      <c r="N290" s="40">
        <v>0</v>
      </c>
      <c r="O290" s="40">
        <v>0</v>
      </c>
      <c r="P290" s="40">
        <v>0</v>
      </c>
      <c r="Q290" s="40">
        <v>0</v>
      </c>
      <c r="R290" s="40">
        <v>0</v>
      </c>
      <c r="S290" s="40">
        <v>0</v>
      </c>
      <c r="T290" s="61">
        <f t="shared" si="51"/>
        <v>84.000000000000057</v>
      </c>
      <c r="U290" s="40">
        <v>0</v>
      </c>
      <c r="V290" s="40">
        <v>0</v>
      </c>
      <c r="W290" s="40">
        <v>0</v>
      </c>
      <c r="X290" s="40">
        <v>0</v>
      </c>
      <c r="Y290" s="67">
        <f t="shared" si="52"/>
        <v>185</v>
      </c>
      <c r="AA290" s="71"/>
      <c r="AB290" s="71"/>
      <c r="AC290" s="67" t="str">
        <f t="shared" si="53"/>
        <v/>
      </c>
      <c r="AE290" s="124"/>
      <c r="AF290" s="124"/>
      <c r="AG290" s="121"/>
      <c r="AH290" s="121"/>
      <c r="AI290" s="124"/>
      <c r="AJ290" s="124"/>
    </row>
    <row r="291" spans="2:36" x14ac:dyDescent="0.25">
      <c r="B291" s="117" t="s">
        <v>1332</v>
      </c>
      <c r="C291" s="7">
        <v>0.73333333333333339</v>
      </c>
      <c r="D291" s="3">
        <f t="shared" si="46"/>
        <v>1.700000000000002</v>
      </c>
      <c r="E291" s="10" t="s">
        <v>616</v>
      </c>
      <c r="F291" s="40">
        <v>1</v>
      </c>
      <c r="G291" s="40">
        <v>2.2000000000000002</v>
      </c>
      <c r="H291" s="40">
        <v>1.8</v>
      </c>
      <c r="I291" s="3">
        <f t="shared" si="47"/>
        <v>7.0833333333333415E-2</v>
      </c>
      <c r="J291" s="3">
        <f t="shared" si="48"/>
        <v>0.15583333333333352</v>
      </c>
      <c r="K291" s="3">
        <f t="shared" si="49"/>
        <v>0.12750000000000014</v>
      </c>
      <c r="L291" s="3"/>
      <c r="M291" s="60">
        <f t="shared" si="50"/>
        <v>413.85319444444502</v>
      </c>
      <c r="N291" s="40">
        <v>0</v>
      </c>
      <c r="O291" s="40">
        <v>0</v>
      </c>
      <c r="P291" s="40">
        <v>0</v>
      </c>
      <c r="Q291" s="40">
        <v>0</v>
      </c>
      <c r="R291" s="40">
        <v>0</v>
      </c>
      <c r="S291" s="40">
        <v>0</v>
      </c>
      <c r="T291" s="61">
        <f t="shared" si="51"/>
        <v>84.000000000000057</v>
      </c>
      <c r="U291" s="40">
        <v>0</v>
      </c>
      <c r="V291" s="40">
        <v>0</v>
      </c>
      <c r="W291" s="40">
        <v>0</v>
      </c>
      <c r="X291" s="40">
        <v>0</v>
      </c>
      <c r="Y291" s="67">
        <f t="shared" si="52"/>
        <v>185</v>
      </c>
      <c r="AA291" s="71"/>
      <c r="AB291" s="71"/>
      <c r="AC291" s="67" t="str">
        <f t="shared" si="53"/>
        <v/>
      </c>
      <c r="AE291" s="124"/>
      <c r="AF291" s="124"/>
      <c r="AG291" s="121"/>
      <c r="AH291" s="121"/>
      <c r="AI291" s="124"/>
      <c r="AJ291" s="124"/>
    </row>
    <row r="292" spans="2:36" x14ac:dyDescent="0.25">
      <c r="B292" s="117" t="s">
        <v>1332</v>
      </c>
      <c r="C292" s="7">
        <v>0.8041666666666667</v>
      </c>
      <c r="D292" s="3">
        <f t="shared" si="46"/>
        <v>1.6999999999999993</v>
      </c>
      <c r="E292" s="10" t="s">
        <v>1004</v>
      </c>
      <c r="F292" s="40">
        <v>0</v>
      </c>
      <c r="G292" s="40">
        <v>2.5</v>
      </c>
      <c r="H292" s="40">
        <v>2</v>
      </c>
      <c r="I292" s="3">
        <f t="shared" si="47"/>
        <v>0</v>
      </c>
      <c r="J292" s="3">
        <f t="shared" si="48"/>
        <v>0.17708333333333326</v>
      </c>
      <c r="K292" s="3">
        <f t="shared" si="49"/>
        <v>0.14166666666666661</v>
      </c>
      <c r="L292" s="3"/>
      <c r="M292" s="60">
        <f t="shared" si="50"/>
        <v>413.534444444445</v>
      </c>
      <c r="N292" s="40">
        <v>0</v>
      </c>
      <c r="O292" s="40">
        <v>0</v>
      </c>
      <c r="P292" s="40">
        <v>0</v>
      </c>
      <c r="Q292" s="40">
        <v>0</v>
      </c>
      <c r="R292" s="40">
        <v>0</v>
      </c>
      <c r="S292" s="40">
        <v>0</v>
      </c>
      <c r="T292" s="61">
        <f t="shared" si="51"/>
        <v>84.000000000000057</v>
      </c>
      <c r="U292" s="40">
        <v>0</v>
      </c>
      <c r="V292" s="40">
        <v>0</v>
      </c>
      <c r="W292" s="40">
        <v>0</v>
      </c>
      <c r="X292" s="40">
        <v>0</v>
      </c>
      <c r="Y292" s="67">
        <f t="shared" si="52"/>
        <v>185</v>
      </c>
      <c r="AA292" s="71"/>
      <c r="AB292" s="71"/>
      <c r="AC292" s="67" t="str">
        <f t="shared" si="53"/>
        <v/>
      </c>
      <c r="AE292" s="124"/>
      <c r="AF292" s="124"/>
      <c r="AG292" s="121"/>
      <c r="AH292" s="121"/>
      <c r="AI292" s="124"/>
      <c r="AJ292" s="124"/>
    </row>
    <row r="293" spans="2:36" x14ac:dyDescent="0.25">
      <c r="B293" s="117" t="s">
        <v>1333</v>
      </c>
      <c r="C293" s="65">
        <v>0.33333333333333331</v>
      </c>
      <c r="D293" s="3">
        <f t="shared" si="46"/>
        <v>12.7</v>
      </c>
      <c r="E293" s="10" t="s">
        <v>966</v>
      </c>
      <c r="F293" s="40">
        <v>0</v>
      </c>
      <c r="G293" s="40">
        <v>2.5</v>
      </c>
      <c r="H293" s="40">
        <v>2</v>
      </c>
      <c r="I293" s="3">
        <f t="shared" si="47"/>
        <v>0</v>
      </c>
      <c r="J293" s="3">
        <f t="shared" si="48"/>
        <v>1.3229166666666667</v>
      </c>
      <c r="K293" s="3">
        <f t="shared" si="49"/>
        <v>1.0583333333333331</v>
      </c>
      <c r="L293" s="3"/>
      <c r="M293" s="60">
        <f t="shared" si="50"/>
        <v>411.15319444444498</v>
      </c>
      <c r="N293" s="40">
        <v>0</v>
      </c>
      <c r="O293" s="40">
        <v>0</v>
      </c>
      <c r="P293" s="40">
        <v>0</v>
      </c>
      <c r="Q293" s="40">
        <v>0</v>
      </c>
      <c r="R293" s="40">
        <v>2.1</v>
      </c>
      <c r="S293" s="40">
        <v>0</v>
      </c>
      <c r="T293" s="61">
        <f t="shared" si="51"/>
        <v>81.900000000000063</v>
      </c>
      <c r="U293" s="40">
        <v>0</v>
      </c>
      <c r="V293" s="40">
        <v>0</v>
      </c>
      <c r="W293" s="40">
        <v>6</v>
      </c>
      <c r="X293" s="40">
        <v>0</v>
      </c>
      <c r="Y293" s="67">
        <f t="shared" si="52"/>
        <v>179</v>
      </c>
      <c r="AA293" s="71">
        <v>68</v>
      </c>
      <c r="AB293" s="71">
        <v>10</v>
      </c>
      <c r="AC293" s="67">
        <f t="shared" si="53"/>
        <v>78</v>
      </c>
      <c r="AE293" s="124"/>
      <c r="AF293" s="124"/>
      <c r="AG293" s="121"/>
      <c r="AH293" s="121"/>
      <c r="AI293" s="124"/>
      <c r="AJ293" s="124"/>
    </row>
    <row r="294" spans="2:36" x14ac:dyDescent="0.25">
      <c r="B294" s="117" t="s">
        <v>1333</v>
      </c>
      <c r="C294" s="7">
        <v>0.375</v>
      </c>
      <c r="D294" s="3">
        <f t="shared" si="46"/>
        <v>1.0000000000000004</v>
      </c>
      <c r="E294" s="10" t="s">
        <v>265</v>
      </c>
      <c r="F294" s="40">
        <v>0</v>
      </c>
      <c r="G294" s="40">
        <v>2.5</v>
      </c>
      <c r="H294" s="40">
        <v>2</v>
      </c>
      <c r="I294" s="3">
        <f t="shared" si="47"/>
        <v>0</v>
      </c>
      <c r="J294" s="3">
        <f t="shared" si="48"/>
        <v>0.10416666666666671</v>
      </c>
      <c r="K294" s="3">
        <f t="shared" si="49"/>
        <v>8.333333333333337E-2</v>
      </c>
      <c r="L294" s="3"/>
      <c r="M294" s="60">
        <f t="shared" si="50"/>
        <v>410.96569444444498</v>
      </c>
      <c r="N294" s="40">
        <v>0</v>
      </c>
      <c r="O294" s="40">
        <v>0</v>
      </c>
      <c r="P294" s="40">
        <v>0</v>
      </c>
      <c r="Q294" s="40">
        <v>0</v>
      </c>
      <c r="R294" s="40">
        <v>0.1</v>
      </c>
      <c r="S294" s="40">
        <v>0</v>
      </c>
      <c r="T294" s="61">
        <f t="shared" si="51"/>
        <v>81.800000000000068</v>
      </c>
      <c r="U294" s="40">
        <v>0</v>
      </c>
      <c r="V294" s="40">
        <v>0</v>
      </c>
      <c r="W294" s="40">
        <v>0</v>
      </c>
      <c r="X294" s="40">
        <v>0</v>
      </c>
      <c r="Y294" s="67">
        <f t="shared" si="52"/>
        <v>179</v>
      </c>
      <c r="AA294" s="71"/>
      <c r="AB294" s="71"/>
      <c r="AC294" s="67" t="str">
        <f t="shared" si="53"/>
        <v/>
      </c>
      <c r="AE294" s="124"/>
      <c r="AF294" s="124"/>
      <c r="AG294" s="121"/>
      <c r="AH294" s="121"/>
      <c r="AI294" s="124"/>
      <c r="AJ294" s="124"/>
    </row>
    <row r="295" spans="2:36" x14ac:dyDescent="0.25">
      <c r="B295" s="117" t="s">
        <v>1333</v>
      </c>
      <c r="C295" s="7">
        <v>0.47916666666666669</v>
      </c>
      <c r="D295" s="3">
        <f t="shared" si="46"/>
        <v>2.5000000000000004</v>
      </c>
      <c r="E295" s="10" t="s">
        <v>1011</v>
      </c>
      <c r="F295" s="40">
        <v>0</v>
      </c>
      <c r="G295" s="40">
        <v>2.5</v>
      </c>
      <c r="H295" s="40">
        <v>2</v>
      </c>
      <c r="I295" s="3">
        <f t="shared" si="47"/>
        <v>0</v>
      </c>
      <c r="J295" s="3">
        <f t="shared" si="48"/>
        <v>0.26041666666666674</v>
      </c>
      <c r="K295" s="3">
        <f t="shared" si="49"/>
        <v>0.20833333333333337</v>
      </c>
      <c r="L295" s="3"/>
      <c r="M295" s="60">
        <f t="shared" si="50"/>
        <v>410.49694444444498</v>
      </c>
      <c r="N295" s="40">
        <v>0</v>
      </c>
      <c r="O295" s="40">
        <v>0</v>
      </c>
      <c r="P295" s="40">
        <v>0</v>
      </c>
      <c r="Q295" s="40">
        <v>0</v>
      </c>
      <c r="R295" s="40">
        <v>0</v>
      </c>
      <c r="S295" s="40">
        <v>0</v>
      </c>
      <c r="T295" s="61">
        <f t="shared" si="51"/>
        <v>81.800000000000068</v>
      </c>
      <c r="U295" s="40">
        <v>0</v>
      </c>
      <c r="V295" s="40">
        <v>0</v>
      </c>
      <c r="W295" s="40">
        <v>0</v>
      </c>
      <c r="X295" s="40">
        <v>0</v>
      </c>
      <c r="Y295" s="67">
        <f t="shared" si="52"/>
        <v>179</v>
      </c>
      <c r="AA295" s="71"/>
      <c r="AB295" s="71"/>
      <c r="AC295" s="67" t="str">
        <f t="shared" si="53"/>
        <v/>
      </c>
      <c r="AE295" s="124"/>
      <c r="AF295" s="124"/>
      <c r="AG295" s="121"/>
      <c r="AH295" s="121"/>
      <c r="AI295" s="124"/>
      <c r="AJ295" s="124"/>
    </row>
    <row r="296" spans="2:36" x14ac:dyDescent="0.25">
      <c r="B296" s="117" t="s">
        <v>1333</v>
      </c>
      <c r="C296" s="7">
        <v>0.5625</v>
      </c>
      <c r="D296" s="3">
        <f t="shared" si="46"/>
        <v>1.9999999999999996</v>
      </c>
      <c r="E296" s="10" t="s">
        <v>1026</v>
      </c>
      <c r="F296" s="40">
        <v>2</v>
      </c>
      <c r="G296" s="40">
        <v>2.5</v>
      </c>
      <c r="H296" s="40">
        <v>2</v>
      </c>
      <c r="I296" s="3">
        <f t="shared" si="47"/>
        <v>0.16666666666666663</v>
      </c>
      <c r="J296" s="3">
        <f t="shared" si="48"/>
        <v>0.20833333333333329</v>
      </c>
      <c r="K296" s="3">
        <f t="shared" si="49"/>
        <v>0.16666666666666663</v>
      </c>
      <c r="L296" s="3"/>
      <c r="M296" s="60">
        <f t="shared" si="50"/>
        <v>409.95527777777829</v>
      </c>
      <c r="N296" s="40">
        <v>0</v>
      </c>
      <c r="O296" s="40">
        <v>0</v>
      </c>
      <c r="P296" s="40">
        <v>0</v>
      </c>
      <c r="Q296" s="40">
        <v>0</v>
      </c>
      <c r="R296" s="40">
        <v>0</v>
      </c>
      <c r="S296" s="40">
        <v>0</v>
      </c>
      <c r="T296" s="61">
        <f t="shared" si="51"/>
        <v>81.800000000000068</v>
      </c>
      <c r="U296" s="40">
        <v>0</v>
      </c>
      <c r="V296" s="40">
        <v>0</v>
      </c>
      <c r="W296" s="40">
        <v>2</v>
      </c>
      <c r="X296" s="40">
        <v>0</v>
      </c>
      <c r="Y296" s="67">
        <f t="shared" si="52"/>
        <v>177</v>
      </c>
      <c r="AA296" s="71"/>
      <c r="AB296" s="71"/>
      <c r="AC296" s="67" t="str">
        <f t="shared" si="53"/>
        <v/>
      </c>
      <c r="AE296" s="124"/>
      <c r="AF296" s="124"/>
      <c r="AG296" s="121"/>
      <c r="AH296" s="121"/>
      <c r="AI296" s="124"/>
      <c r="AJ296" s="124"/>
    </row>
    <row r="297" spans="2:36" s="131" customFormat="1" x14ac:dyDescent="0.25">
      <c r="B297" s="126" t="s">
        <v>1334</v>
      </c>
      <c r="C297" s="65">
        <v>0.33333333333333331</v>
      </c>
      <c r="D297" s="128">
        <f t="shared" si="46"/>
        <v>18.5</v>
      </c>
      <c r="E297" s="129" t="s">
        <v>355</v>
      </c>
      <c r="F297" s="126">
        <v>22</v>
      </c>
      <c r="G297" s="126">
        <v>2.5</v>
      </c>
      <c r="H297" s="126">
        <v>0</v>
      </c>
      <c r="I297" s="128">
        <f t="shared" si="47"/>
        <v>16.958333333333332</v>
      </c>
      <c r="J297" s="128">
        <f t="shared" si="48"/>
        <v>1.9270833333333335</v>
      </c>
      <c r="K297" s="128">
        <f t="shared" si="49"/>
        <v>0</v>
      </c>
      <c r="L297" s="128"/>
      <c r="M297" s="130">
        <f t="shared" si="50"/>
        <v>391.06986111111161</v>
      </c>
      <c r="N297" s="126">
        <v>0</v>
      </c>
      <c r="O297" s="126">
        <v>0</v>
      </c>
      <c r="P297" s="126">
        <v>0</v>
      </c>
      <c r="Q297" s="126">
        <v>0</v>
      </c>
      <c r="R297" s="126">
        <v>0</v>
      </c>
      <c r="S297" s="126">
        <v>0</v>
      </c>
      <c r="T297" s="126">
        <f t="shared" si="51"/>
        <v>81.800000000000068</v>
      </c>
      <c r="U297" s="126">
        <v>0</v>
      </c>
      <c r="V297" s="126">
        <v>0</v>
      </c>
      <c r="W297" s="126">
        <v>4</v>
      </c>
      <c r="X297" s="126">
        <v>0</v>
      </c>
      <c r="Y297" s="126">
        <f t="shared" si="52"/>
        <v>173</v>
      </c>
      <c r="AA297" s="132">
        <v>62</v>
      </c>
      <c r="AB297" s="132">
        <v>10</v>
      </c>
      <c r="AC297" s="126">
        <f t="shared" si="53"/>
        <v>72</v>
      </c>
      <c r="AE297" s="126"/>
      <c r="AF297" s="126"/>
      <c r="AG297" s="126">
        <v>95</v>
      </c>
      <c r="AH297" s="126">
        <v>385</v>
      </c>
      <c r="AI297" s="126">
        <v>1.9</v>
      </c>
      <c r="AJ297" s="126">
        <v>11900</v>
      </c>
    </row>
    <row r="298" spans="2:36" s="131" customFormat="1" x14ac:dyDescent="0.25">
      <c r="B298" s="126" t="s">
        <v>1334</v>
      </c>
      <c r="C298" s="127">
        <v>0.60416666666666663</v>
      </c>
      <c r="D298" s="128">
        <f t="shared" si="46"/>
        <v>6.5</v>
      </c>
      <c r="E298" s="129" t="s">
        <v>201</v>
      </c>
      <c r="F298" s="126">
        <v>22</v>
      </c>
      <c r="G298" s="126">
        <v>2.5</v>
      </c>
      <c r="H298" s="126">
        <v>0</v>
      </c>
      <c r="I298" s="128">
        <f t="shared" si="47"/>
        <v>5.958333333333333</v>
      </c>
      <c r="J298" s="128">
        <f t="shared" si="48"/>
        <v>0.67708333333333337</v>
      </c>
      <c r="K298" s="128">
        <f t="shared" si="49"/>
        <v>0</v>
      </c>
      <c r="L298" s="128"/>
      <c r="M298" s="130">
        <f t="shared" si="50"/>
        <v>384.43444444444492</v>
      </c>
      <c r="N298" s="126">
        <v>0</v>
      </c>
      <c r="O298" s="126">
        <v>0</v>
      </c>
      <c r="P298" s="126">
        <v>0</v>
      </c>
      <c r="Q298" s="126">
        <v>0</v>
      </c>
      <c r="R298" s="126">
        <v>0</v>
      </c>
      <c r="S298" s="126">
        <v>0</v>
      </c>
      <c r="T298" s="126">
        <f t="shared" si="51"/>
        <v>81.800000000000068</v>
      </c>
      <c r="U298" s="126">
        <v>0</v>
      </c>
      <c r="V298" s="126">
        <v>0</v>
      </c>
      <c r="W298" s="126">
        <v>0</v>
      </c>
      <c r="X298" s="126">
        <v>0</v>
      </c>
      <c r="Y298" s="126">
        <f t="shared" si="52"/>
        <v>173</v>
      </c>
      <c r="AA298" s="132"/>
      <c r="AB298" s="132"/>
      <c r="AC298" s="126" t="str">
        <f t="shared" si="53"/>
        <v/>
      </c>
      <c r="AE298" s="126">
        <v>10.199999999999999</v>
      </c>
      <c r="AF298" s="126" t="s">
        <v>1336</v>
      </c>
      <c r="AG298" s="126">
        <v>95</v>
      </c>
      <c r="AH298" s="126">
        <v>384</v>
      </c>
      <c r="AI298" s="126">
        <v>1.85</v>
      </c>
      <c r="AJ298" s="126">
        <v>11800</v>
      </c>
    </row>
    <row r="299" spans="2:36" x14ac:dyDescent="0.25">
      <c r="B299" s="117" t="s">
        <v>1334</v>
      </c>
      <c r="C299" s="7">
        <v>0.625</v>
      </c>
      <c r="D299" s="3">
        <f t="shared" si="46"/>
        <v>0.50000000000000089</v>
      </c>
      <c r="E299" s="10" t="s">
        <v>616</v>
      </c>
      <c r="F299" s="40">
        <v>2</v>
      </c>
      <c r="G299" s="40">
        <v>2.5</v>
      </c>
      <c r="H299" s="40">
        <v>2</v>
      </c>
      <c r="I299" s="3">
        <f t="shared" si="47"/>
        <v>4.1666666666666741E-2</v>
      </c>
      <c r="J299" s="3">
        <f t="shared" si="48"/>
        <v>5.2083333333333426E-2</v>
      </c>
      <c r="K299" s="3">
        <f t="shared" si="49"/>
        <v>4.1666666666666741E-2</v>
      </c>
      <c r="L299" s="3"/>
      <c r="M299" s="60">
        <f t="shared" si="50"/>
        <v>384.29902777777824</v>
      </c>
      <c r="N299" s="40">
        <v>0</v>
      </c>
      <c r="O299" s="40">
        <v>0</v>
      </c>
      <c r="P299" s="40">
        <v>0</v>
      </c>
      <c r="Q299" s="40">
        <v>0</v>
      </c>
      <c r="R299" s="40">
        <v>0</v>
      </c>
      <c r="S299" s="40">
        <v>0</v>
      </c>
      <c r="T299" s="61">
        <f t="shared" si="51"/>
        <v>81.800000000000068</v>
      </c>
      <c r="U299" s="40">
        <v>0</v>
      </c>
      <c r="V299" s="40">
        <v>0</v>
      </c>
      <c r="W299" s="40">
        <v>0</v>
      </c>
      <c r="X299" s="40">
        <v>0</v>
      </c>
      <c r="Y299" s="67">
        <f t="shared" si="52"/>
        <v>173</v>
      </c>
      <c r="AA299" s="71"/>
      <c r="AB299" s="71"/>
      <c r="AC299" s="67" t="str">
        <f t="shared" si="53"/>
        <v/>
      </c>
      <c r="AE299" s="124"/>
      <c r="AF299" s="124"/>
      <c r="AG299" s="121"/>
      <c r="AH299" s="121"/>
      <c r="AI299" s="124"/>
      <c r="AJ299" s="124"/>
    </row>
    <row r="300" spans="2:36" x14ac:dyDescent="0.25">
      <c r="B300" s="117" t="s">
        <v>1335</v>
      </c>
      <c r="C300" s="65">
        <v>0.33333333333333331</v>
      </c>
      <c r="D300" s="3">
        <f t="shared" si="46"/>
        <v>17</v>
      </c>
      <c r="E300" s="10" t="s">
        <v>351</v>
      </c>
      <c r="F300" s="40">
        <v>0</v>
      </c>
      <c r="G300" s="40">
        <v>2.2000000000000002</v>
      </c>
      <c r="H300" s="40">
        <v>1.8</v>
      </c>
      <c r="I300" s="3">
        <f t="shared" si="47"/>
        <v>0</v>
      </c>
      <c r="J300" s="3">
        <f t="shared" si="48"/>
        <v>1.5583333333333336</v>
      </c>
      <c r="K300" s="3">
        <f t="shared" si="49"/>
        <v>1.2749999999999999</v>
      </c>
      <c r="L300" s="3"/>
      <c r="M300" s="60">
        <f t="shared" si="50"/>
        <v>381.46569444444492</v>
      </c>
      <c r="N300" s="40">
        <v>0</v>
      </c>
      <c r="O300" s="40">
        <v>0</v>
      </c>
      <c r="P300" s="40">
        <v>0</v>
      </c>
      <c r="Q300" s="40">
        <v>0</v>
      </c>
      <c r="R300" s="40">
        <v>0</v>
      </c>
      <c r="S300" s="40">
        <v>0</v>
      </c>
      <c r="T300" s="61">
        <f t="shared" si="51"/>
        <v>81.800000000000068</v>
      </c>
      <c r="U300" s="40">
        <v>0</v>
      </c>
      <c r="V300" s="40">
        <v>0</v>
      </c>
      <c r="W300" s="40">
        <v>6</v>
      </c>
      <c r="X300" s="40">
        <v>0</v>
      </c>
      <c r="Y300" s="67">
        <f t="shared" si="52"/>
        <v>167</v>
      </c>
      <c r="AA300" s="71"/>
      <c r="AB300" s="71"/>
      <c r="AC300" s="67" t="str">
        <f t="shared" si="53"/>
        <v/>
      </c>
      <c r="AE300" s="124"/>
      <c r="AF300" s="124"/>
      <c r="AG300" s="121"/>
      <c r="AH300" s="121"/>
      <c r="AI300" s="124"/>
      <c r="AJ300" s="124"/>
    </row>
    <row r="301" spans="2:36" x14ac:dyDescent="0.25">
      <c r="B301" s="117"/>
      <c r="C301" s="7"/>
      <c r="D301" s="3">
        <f t="shared" si="46"/>
        <v>16</v>
      </c>
      <c r="E301" s="10"/>
      <c r="F301" s="40"/>
      <c r="G301" s="40"/>
      <c r="H301" s="40"/>
      <c r="I301" s="3" t="str">
        <f t="shared" si="47"/>
        <v/>
      </c>
      <c r="J301" s="3" t="str">
        <f t="shared" si="48"/>
        <v/>
      </c>
      <c r="K301" s="3" t="str">
        <f t="shared" si="49"/>
        <v/>
      </c>
      <c r="L301" s="3"/>
      <c r="M301" s="60" t="e">
        <f t="shared" si="50"/>
        <v>#VALUE!</v>
      </c>
      <c r="N301" s="40"/>
      <c r="O301" s="40"/>
      <c r="P301" s="40"/>
      <c r="Q301" s="40"/>
      <c r="R301" s="40"/>
      <c r="S301" s="40"/>
      <c r="T301" s="61">
        <f t="shared" si="51"/>
        <v>81.800000000000068</v>
      </c>
      <c r="U301" s="40"/>
      <c r="V301" s="40"/>
      <c r="W301" s="40"/>
      <c r="X301" s="40"/>
      <c r="Y301" s="67" t="str">
        <f t="shared" si="52"/>
        <v/>
      </c>
      <c r="AA301" s="71"/>
      <c r="AB301" s="71"/>
      <c r="AC301" s="67" t="str">
        <f t="shared" si="53"/>
        <v/>
      </c>
      <c r="AE301" s="124"/>
      <c r="AF301" s="124"/>
      <c r="AG301" s="121"/>
      <c r="AH301" s="121"/>
      <c r="AI301" s="124"/>
      <c r="AJ301" s="124"/>
    </row>
    <row r="302" spans="2:36" x14ac:dyDescent="0.25">
      <c r="B302" s="117"/>
      <c r="C302" s="7"/>
      <c r="D302" s="3">
        <f t="shared" si="46"/>
        <v>0</v>
      </c>
      <c r="E302" s="10"/>
      <c r="F302" s="40"/>
      <c r="G302" s="40"/>
      <c r="H302" s="40"/>
      <c r="I302" s="3" t="str">
        <f t="shared" si="47"/>
        <v/>
      </c>
      <c r="J302" s="3" t="str">
        <f t="shared" si="48"/>
        <v/>
      </c>
      <c r="K302" s="3" t="str">
        <f t="shared" si="49"/>
        <v/>
      </c>
      <c r="L302" s="3"/>
      <c r="M302" s="60" t="e">
        <f t="shared" si="50"/>
        <v>#VALUE!</v>
      </c>
      <c r="N302" s="40"/>
      <c r="O302" s="40"/>
      <c r="P302" s="40"/>
      <c r="Q302" s="40"/>
      <c r="R302" s="40"/>
      <c r="S302" s="40"/>
      <c r="T302" s="61">
        <f t="shared" si="51"/>
        <v>81.800000000000068</v>
      </c>
      <c r="U302" s="40"/>
      <c r="V302" s="40"/>
      <c r="W302" s="40"/>
      <c r="X302" s="40"/>
      <c r="Y302" s="67" t="str">
        <f t="shared" si="52"/>
        <v/>
      </c>
      <c r="AA302" s="71"/>
      <c r="AB302" s="71"/>
      <c r="AC302" s="67" t="str">
        <f t="shared" si="53"/>
        <v/>
      </c>
      <c r="AE302" s="124"/>
      <c r="AF302" s="124"/>
      <c r="AG302" s="121"/>
      <c r="AH302" s="121"/>
      <c r="AI302" s="124"/>
      <c r="AJ302" s="124"/>
    </row>
    <row r="303" spans="2:36" x14ac:dyDescent="0.25">
      <c r="B303" s="117"/>
      <c r="C303" s="7"/>
      <c r="D303" s="3">
        <f t="shared" si="46"/>
        <v>0</v>
      </c>
      <c r="E303" s="10"/>
      <c r="F303" s="40"/>
      <c r="G303" s="40"/>
      <c r="H303" s="40"/>
      <c r="I303" s="3" t="str">
        <f t="shared" si="47"/>
        <v/>
      </c>
      <c r="J303" s="3" t="str">
        <f t="shared" si="48"/>
        <v/>
      </c>
      <c r="K303" s="3" t="str">
        <f t="shared" si="49"/>
        <v/>
      </c>
      <c r="L303" s="3"/>
      <c r="M303" s="60" t="e">
        <f t="shared" si="50"/>
        <v>#VALUE!</v>
      </c>
      <c r="N303" s="40"/>
      <c r="O303" s="40"/>
      <c r="P303" s="40"/>
      <c r="Q303" s="40"/>
      <c r="R303" s="40"/>
      <c r="S303" s="40"/>
      <c r="T303" s="61">
        <f t="shared" si="51"/>
        <v>81.800000000000068</v>
      </c>
      <c r="U303" s="40"/>
      <c r="V303" s="40"/>
      <c r="W303" s="40"/>
      <c r="X303" s="40"/>
      <c r="Y303" s="67" t="str">
        <f t="shared" si="52"/>
        <v/>
      </c>
      <c r="AA303" s="71"/>
      <c r="AB303" s="71"/>
      <c r="AC303" s="67" t="str">
        <f t="shared" si="53"/>
        <v/>
      </c>
      <c r="AE303" s="124"/>
      <c r="AF303" s="124"/>
      <c r="AG303" s="121"/>
      <c r="AH303" s="121"/>
      <c r="AI303" s="124"/>
      <c r="AJ303" s="124"/>
    </row>
    <row r="304" spans="2:36" x14ac:dyDescent="0.25">
      <c r="B304" s="117"/>
      <c r="C304" s="7"/>
      <c r="D304" s="3">
        <f t="shared" si="46"/>
        <v>0</v>
      </c>
      <c r="E304" s="10"/>
      <c r="F304" s="40"/>
      <c r="G304" s="40"/>
      <c r="H304" s="40"/>
      <c r="I304" s="3" t="str">
        <f t="shared" si="47"/>
        <v/>
      </c>
      <c r="J304" s="3" t="str">
        <f t="shared" si="48"/>
        <v/>
      </c>
      <c r="K304" s="3" t="str">
        <f t="shared" si="49"/>
        <v/>
      </c>
      <c r="L304" s="3"/>
      <c r="M304" s="60" t="e">
        <f t="shared" si="50"/>
        <v>#VALUE!</v>
      </c>
      <c r="N304" s="40"/>
      <c r="O304" s="40"/>
      <c r="P304" s="40"/>
      <c r="Q304" s="40"/>
      <c r="R304" s="40"/>
      <c r="S304" s="40"/>
      <c r="T304" s="61">
        <f t="shared" si="51"/>
        <v>81.800000000000068</v>
      </c>
      <c r="U304" s="40"/>
      <c r="V304" s="40"/>
      <c r="W304" s="40"/>
      <c r="X304" s="40"/>
      <c r="Y304" s="67" t="str">
        <f t="shared" si="52"/>
        <v/>
      </c>
      <c r="AA304" s="71"/>
      <c r="AB304" s="71"/>
      <c r="AC304" s="67" t="str">
        <f t="shared" si="53"/>
        <v/>
      </c>
      <c r="AE304" s="124"/>
      <c r="AF304" s="124"/>
      <c r="AG304" s="121"/>
      <c r="AH304" s="121"/>
      <c r="AI304" s="124"/>
      <c r="AJ304" s="124"/>
    </row>
    <row r="305" spans="2:36" x14ac:dyDescent="0.25">
      <c r="B305" s="117"/>
      <c r="C305" s="7"/>
      <c r="D305" s="3">
        <f t="shared" si="46"/>
        <v>0</v>
      </c>
      <c r="E305" s="10"/>
      <c r="F305" s="40"/>
      <c r="G305" s="40"/>
      <c r="H305" s="40"/>
      <c r="I305" s="3" t="str">
        <f t="shared" si="47"/>
        <v/>
      </c>
      <c r="J305" s="3" t="str">
        <f t="shared" si="48"/>
        <v/>
      </c>
      <c r="K305" s="3" t="str">
        <f t="shared" si="49"/>
        <v/>
      </c>
      <c r="L305" s="3"/>
      <c r="M305" s="60" t="e">
        <f t="shared" si="50"/>
        <v>#VALUE!</v>
      </c>
      <c r="N305" s="40"/>
      <c r="O305" s="40"/>
      <c r="P305" s="40"/>
      <c r="Q305" s="40"/>
      <c r="R305" s="40"/>
      <c r="S305" s="40"/>
      <c r="T305" s="61">
        <f t="shared" si="51"/>
        <v>81.800000000000068</v>
      </c>
      <c r="U305" s="40"/>
      <c r="V305" s="40"/>
      <c r="W305" s="40"/>
      <c r="X305" s="40"/>
      <c r="Y305" s="67" t="str">
        <f t="shared" si="52"/>
        <v/>
      </c>
      <c r="AA305" s="71"/>
      <c r="AB305" s="71"/>
      <c r="AC305" s="67" t="str">
        <f t="shared" si="53"/>
        <v/>
      </c>
      <c r="AE305" s="124"/>
      <c r="AF305" s="124"/>
      <c r="AG305" s="121"/>
      <c r="AH305" s="121"/>
      <c r="AI305" s="124"/>
      <c r="AJ305" s="124"/>
    </row>
    <row r="306" spans="2:36" x14ac:dyDescent="0.25">
      <c r="B306" s="117"/>
      <c r="C306" s="7"/>
      <c r="D306" s="3">
        <f t="shared" si="46"/>
        <v>0</v>
      </c>
      <c r="E306" s="10"/>
      <c r="F306" s="40"/>
      <c r="G306" s="40"/>
      <c r="H306" s="40"/>
      <c r="I306" s="3" t="str">
        <f t="shared" si="47"/>
        <v/>
      </c>
      <c r="J306" s="3" t="str">
        <f t="shared" si="48"/>
        <v/>
      </c>
      <c r="K306" s="3" t="str">
        <f t="shared" si="49"/>
        <v/>
      </c>
      <c r="L306" s="3"/>
      <c r="M306" s="60" t="e">
        <f t="shared" si="50"/>
        <v>#VALUE!</v>
      </c>
      <c r="N306" s="40"/>
      <c r="O306" s="40"/>
      <c r="P306" s="40"/>
      <c r="Q306" s="40"/>
      <c r="R306" s="40"/>
      <c r="S306" s="40"/>
      <c r="T306" s="61">
        <f t="shared" si="51"/>
        <v>81.800000000000068</v>
      </c>
      <c r="U306" s="40"/>
      <c r="V306" s="40"/>
      <c r="W306" s="40"/>
      <c r="X306" s="40"/>
      <c r="Y306" s="67" t="str">
        <f t="shared" si="52"/>
        <v/>
      </c>
      <c r="AA306" s="71"/>
      <c r="AB306" s="71"/>
      <c r="AC306" s="67" t="str">
        <f t="shared" si="53"/>
        <v/>
      </c>
      <c r="AE306" s="124"/>
      <c r="AF306" s="124"/>
      <c r="AG306" s="121"/>
      <c r="AH306" s="121"/>
      <c r="AI306" s="124"/>
      <c r="AJ306" s="124"/>
    </row>
    <row r="307" spans="2:36" x14ac:dyDescent="0.25">
      <c r="B307" s="117"/>
      <c r="C307" s="7"/>
      <c r="D307" s="3">
        <f t="shared" si="46"/>
        <v>0</v>
      </c>
      <c r="E307" s="10"/>
      <c r="F307" s="40"/>
      <c r="G307" s="40"/>
      <c r="H307" s="40"/>
      <c r="I307" s="3" t="str">
        <f t="shared" si="47"/>
        <v/>
      </c>
      <c r="J307" s="3" t="str">
        <f t="shared" si="48"/>
        <v/>
      </c>
      <c r="K307" s="3" t="str">
        <f t="shared" si="49"/>
        <v/>
      </c>
      <c r="L307" s="3"/>
      <c r="M307" s="60" t="e">
        <f t="shared" si="50"/>
        <v>#VALUE!</v>
      </c>
      <c r="N307" s="40"/>
      <c r="O307" s="40"/>
      <c r="P307" s="40"/>
      <c r="Q307" s="40"/>
      <c r="R307" s="40"/>
      <c r="S307" s="40"/>
      <c r="T307" s="61">
        <f t="shared" si="51"/>
        <v>81.800000000000068</v>
      </c>
      <c r="U307" s="40"/>
      <c r="V307" s="40"/>
      <c r="W307" s="40"/>
      <c r="X307" s="40"/>
      <c r="Y307" s="67" t="str">
        <f t="shared" si="52"/>
        <v/>
      </c>
      <c r="AA307" s="71"/>
      <c r="AB307" s="71"/>
      <c r="AC307" s="67" t="str">
        <f t="shared" si="53"/>
        <v/>
      </c>
      <c r="AE307" s="124"/>
      <c r="AF307" s="124"/>
      <c r="AG307" s="121"/>
      <c r="AH307" s="121"/>
      <c r="AI307" s="124"/>
      <c r="AJ307" s="124"/>
    </row>
    <row r="308" spans="2:36" x14ac:dyDescent="0.25">
      <c r="B308" s="117"/>
      <c r="C308" s="7"/>
      <c r="D308" s="3">
        <f t="shared" si="46"/>
        <v>0</v>
      </c>
      <c r="E308" s="10"/>
      <c r="F308" s="40"/>
      <c r="G308" s="40"/>
      <c r="H308" s="40"/>
      <c r="I308" s="3" t="str">
        <f t="shared" si="47"/>
        <v/>
      </c>
      <c r="J308" s="3" t="str">
        <f t="shared" si="48"/>
        <v/>
      </c>
      <c r="K308" s="3" t="str">
        <f t="shared" si="49"/>
        <v/>
      </c>
      <c r="L308" s="3"/>
      <c r="M308" s="60" t="e">
        <f t="shared" si="50"/>
        <v>#VALUE!</v>
      </c>
      <c r="N308" s="40"/>
      <c r="O308" s="40"/>
      <c r="P308" s="40"/>
      <c r="Q308" s="40"/>
      <c r="R308" s="40"/>
      <c r="S308" s="40"/>
      <c r="T308" s="61">
        <f t="shared" si="51"/>
        <v>81.800000000000068</v>
      </c>
      <c r="U308" s="40"/>
      <c r="V308" s="40"/>
      <c r="W308" s="40"/>
      <c r="X308" s="40"/>
      <c r="Y308" s="67" t="str">
        <f t="shared" si="52"/>
        <v/>
      </c>
      <c r="AA308" s="71"/>
      <c r="AB308" s="71"/>
      <c r="AC308" s="67" t="str">
        <f t="shared" si="53"/>
        <v/>
      </c>
      <c r="AE308" s="124"/>
      <c r="AF308" s="124"/>
      <c r="AG308" s="121"/>
      <c r="AH308" s="121"/>
      <c r="AI308" s="124"/>
      <c r="AJ308" s="124"/>
    </row>
    <row r="309" spans="2:36" x14ac:dyDescent="0.25">
      <c r="B309" s="117"/>
      <c r="C309" s="7"/>
      <c r="D309" s="3">
        <f t="shared" si="46"/>
        <v>0</v>
      </c>
      <c r="E309" s="10"/>
      <c r="F309" s="40"/>
      <c r="G309" s="40"/>
      <c r="H309" s="40"/>
      <c r="I309" s="3" t="str">
        <f t="shared" si="47"/>
        <v/>
      </c>
      <c r="J309" s="3" t="str">
        <f t="shared" si="48"/>
        <v/>
      </c>
      <c r="K309" s="3" t="str">
        <f t="shared" si="49"/>
        <v/>
      </c>
      <c r="L309" s="3"/>
      <c r="M309" s="60" t="e">
        <f t="shared" si="50"/>
        <v>#VALUE!</v>
      </c>
      <c r="N309" s="40"/>
      <c r="O309" s="40"/>
      <c r="P309" s="40"/>
      <c r="Q309" s="40"/>
      <c r="R309" s="40"/>
      <c r="S309" s="40"/>
      <c r="T309" s="61">
        <f t="shared" si="51"/>
        <v>81.800000000000068</v>
      </c>
      <c r="U309" s="40"/>
      <c r="V309" s="40"/>
      <c r="W309" s="40"/>
      <c r="X309" s="40"/>
      <c r="Y309" s="67" t="str">
        <f t="shared" si="52"/>
        <v/>
      </c>
      <c r="AA309" s="71"/>
      <c r="AB309" s="71"/>
      <c r="AC309" s="67" t="str">
        <f t="shared" si="53"/>
        <v/>
      </c>
      <c r="AE309" s="124"/>
      <c r="AF309" s="124"/>
      <c r="AG309" s="121"/>
      <c r="AH309" s="121"/>
      <c r="AI309" s="124"/>
      <c r="AJ309" s="124"/>
    </row>
    <row r="310" spans="2:36" x14ac:dyDescent="0.25">
      <c r="B310" s="117"/>
      <c r="C310" s="7"/>
      <c r="D310" s="3">
        <f t="shared" si="46"/>
        <v>0</v>
      </c>
      <c r="E310" s="10"/>
      <c r="F310" s="40"/>
      <c r="G310" s="40"/>
      <c r="H310" s="40"/>
      <c r="I310" s="3" t="str">
        <f t="shared" si="47"/>
        <v/>
      </c>
      <c r="J310" s="3" t="str">
        <f t="shared" si="48"/>
        <v/>
      </c>
      <c r="K310" s="3" t="str">
        <f t="shared" si="49"/>
        <v/>
      </c>
      <c r="L310" s="3"/>
      <c r="M310" s="60" t="e">
        <f t="shared" si="50"/>
        <v>#VALUE!</v>
      </c>
      <c r="N310" s="40"/>
      <c r="O310" s="40"/>
      <c r="P310" s="40"/>
      <c r="Q310" s="40"/>
      <c r="R310" s="40"/>
      <c r="S310" s="40"/>
      <c r="T310" s="61">
        <f t="shared" si="51"/>
        <v>81.800000000000068</v>
      </c>
      <c r="U310" s="40"/>
      <c r="V310" s="40"/>
      <c r="W310" s="40"/>
      <c r="X310" s="40"/>
      <c r="Y310" s="67" t="str">
        <f t="shared" si="52"/>
        <v/>
      </c>
      <c r="AA310" s="71"/>
      <c r="AB310" s="71"/>
      <c r="AC310" s="67" t="str">
        <f t="shared" si="53"/>
        <v/>
      </c>
      <c r="AE310" s="124"/>
      <c r="AF310" s="124"/>
      <c r="AG310" s="121"/>
      <c r="AH310" s="121"/>
      <c r="AI310" s="124"/>
      <c r="AJ310" s="124"/>
    </row>
    <row r="311" spans="2:36" x14ac:dyDescent="0.25">
      <c r="B311" s="117"/>
      <c r="C311" s="7"/>
      <c r="D311" s="3">
        <f t="shared" si="46"/>
        <v>0</v>
      </c>
      <c r="E311" s="10"/>
      <c r="F311" s="40"/>
      <c r="G311" s="40"/>
      <c r="H311" s="40"/>
      <c r="I311" s="3" t="str">
        <f t="shared" si="47"/>
        <v/>
      </c>
      <c r="J311" s="3" t="str">
        <f t="shared" si="48"/>
        <v/>
      </c>
      <c r="K311" s="3" t="str">
        <f t="shared" si="49"/>
        <v/>
      </c>
      <c r="L311" s="3"/>
      <c r="M311" s="60" t="e">
        <f t="shared" si="50"/>
        <v>#VALUE!</v>
      </c>
      <c r="N311" s="40"/>
      <c r="O311" s="40"/>
      <c r="P311" s="40"/>
      <c r="Q311" s="40"/>
      <c r="R311" s="40"/>
      <c r="S311" s="40"/>
      <c r="T311" s="61">
        <f t="shared" si="51"/>
        <v>81.800000000000068</v>
      </c>
      <c r="U311" s="40"/>
      <c r="V311" s="40"/>
      <c r="W311" s="40"/>
      <c r="X311" s="40"/>
      <c r="Y311" s="67" t="str">
        <f t="shared" si="52"/>
        <v/>
      </c>
      <c r="AA311" s="71"/>
      <c r="AB311" s="71"/>
      <c r="AC311" s="67" t="str">
        <f t="shared" si="53"/>
        <v/>
      </c>
      <c r="AE311" s="124"/>
      <c r="AF311" s="124"/>
      <c r="AG311" s="121"/>
      <c r="AH311" s="121"/>
      <c r="AI311" s="124"/>
      <c r="AJ311" s="124"/>
    </row>
    <row r="312" spans="2:36" x14ac:dyDescent="0.25">
      <c r="B312" s="117"/>
      <c r="C312" s="7"/>
      <c r="D312" s="3">
        <f t="shared" si="46"/>
        <v>0</v>
      </c>
      <c r="E312" s="10"/>
      <c r="F312" s="40"/>
      <c r="G312" s="40"/>
      <c r="H312" s="40"/>
      <c r="I312" s="3" t="str">
        <f t="shared" si="47"/>
        <v/>
      </c>
      <c r="J312" s="3" t="str">
        <f t="shared" si="48"/>
        <v/>
      </c>
      <c r="K312" s="3" t="str">
        <f t="shared" si="49"/>
        <v/>
      </c>
      <c r="L312" s="3"/>
      <c r="M312" s="60" t="e">
        <f t="shared" si="50"/>
        <v>#VALUE!</v>
      </c>
      <c r="N312" s="40"/>
      <c r="O312" s="40"/>
      <c r="P312" s="40"/>
      <c r="Q312" s="40"/>
      <c r="R312" s="40"/>
      <c r="S312" s="40"/>
      <c r="T312" s="61">
        <f t="shared" si="51"/>
        <v>81.800000000000068</v>
      </c>
      <c r="U312" s="40"/>
      <c r="V312" s="40"/>
      <c r="W312" s="40"/>
      <c r="X312" s="40"/>
      <c r="Y312" s="67" t="str">
        <f t="shared" si="52"/>
        <v/>
      </c>
      <c r="AA312" s="71"/>
      <c r="AB312" s="71"/>
      <c r="AC312" s="67" t="str">
        <f t="shared" si="53"/>
        <v/>
      </c>
      <c r="AE312" s="124"/>
      <c r="AF312" s="124"/>
      <c r="AG312" s="121"/>
      <c r="AH312" s="121"/>
      <c r="AI312" s="124"/>
      <c r="AJ312" s="124"/>
    </row>
    <row r="313" spans="2:36" x14ac:dyDescent="0.25">
      <c r="B313" s="117"/>
      <c r="C313" s="7"/>
      <c r="D313" s="3">
        <f t="shared" si="46"/>
        <v>0</v>
      </c>
      <c r="E313" s="10"/>
      <c r="F313" s="40"/>
      <c r="G313" s="40"/>
      <c r="H313" s="40"/>
      <c r="I313" s="3" t="str">
        <f t="shared" si="47"/>
        <v/>
      </c>
      <c r="J313" s="3" t="str">
        <f t="shared" si="48"/>
        <v/>
      </c>
      <c r="K313" s="3" t="str">
        <f t="shared" si="49"/>
        <v/>
      </c>
      <c r="L313" s="3"/>
      <c r="M313" s="60" t="e">
        <f t="shared" si="50"/>
        <v>#VALUE!</v>
      </c>
      <c r="N313" s="40"/>
      <c r="O313" s="40"/>
      <c r="P313" s="40"/>
      <c r="Q313" s="40"/>
      <c r="R313" s="40"/>
      <c r="S313" s="40"/>
      <c r="T313" s="61">
        <f t="shared" si="51"/>
        <v>81.800000000000068</v>
      </c>
      <c r="U313" s="40"/>
      <c r="V313" s="40"/>
      <c r="W313" s="40"/>
      <c r="X313" s="40"/>
      <c r="Y313" s="67" t="str">
        <f t="shared" si="52"/>
        <v/>
      </c>
      <c r="AA313" s="71"/>
      <c r="AB313" s="71"/>
      <c r="AC313" s="67" t="str">
        <f t="shared" si="53"/>
        <v/>
      </c>
      <c r="AE313" s="124"/>
      <c r="AF313" s="124"/>
      <c r="AG313" s="121"/>
      <c r="AH313" s="121"/>
      <c r="AI313" s="124"/>
      <c r="AJ313" s="124"/>
    </row>
    <row r="314" spans="2:36" x14ac:dyDescent="0.25">
      <c r="B314" s="117"/>
      <c r="C314" s="7"/>
      <c r="D314" s="3">
        <f t="shared" si="46"/>
        <v>0</v>
      </c>
      <c r="E314" s="10"/>
      <c r="F314" s="40"/>
      <c r="G314" s="40"/>
      <c r="H314" s="40"/>
      <c r="I314" s="3" t="str">
        <f t="shared" si="47"/>
        <v/>
      </c>
      <c r="J314" s="3" t="str">
        <f t="shared" si="48"/>
        <v/>
      </c>
      <c r="K314" s="3" t="str">
        <f t="shared" si="49"/>
        <v/>
      </c>
      <c r="L314" s="3"/>
      <c r="M314" s="60" t="e">
        <f t="shared" si="50"/>
        <v>#VALUE!</v>
      </c>
      <c r="N314" s="40"/>
      <c r="O314" s="40"/>
      <c r="P314" s="40"/>
      <c r="Q314" s="40"/>
      <c r="R314" s="40"/>
      <c r="S314" s="40"/>
      <c r="T314" s="61">
        <f t="shared" si="51"/>
        <v>81.800000000000068</v>
      </c>
      <c r="U314" s="40"/>
      <c r="V314" s="40"/>
      <c r="W314" s="40"/>
      <c r="X314" s="40"/>
      <c r="Y314" s="67" t="str">
        <f t="shared" si="52"/>
        <v/>
      </c>
      <c r="AA314" s="71"/>
      <c r="AB314" s="71"/>
      <c r="AC314" s="67" t="str">
        <f t="shared" si="53"/>
        <v/>
      </c>
      <c r="AE314" s="124"/>
      <c r="AF314" s="124"/>
      <c r="AG314" s="121"/>
      <c r="AH314" s="121"/>
      <c r="AI314" s="124"/>
      <c r="AJ314" s="124"/>
    </row>
    <row r="315" spans="2:36" x14ac:dyDescent="0.25">
      <c r="B315" s="117"/>
      <c r="C315" s="7"/>
      <c r="D315" s="3">
        <f t="shared" si="46"/>
        <v>0</v>
      </c>
      <c r="E315" s="10"/>
      <c r="F315" s="40"/>
      <c r="G315" s="40"/>
      <c r="H315" s="40"/>
      <c r="I315" s="3" t="str">
        <f t="shared" si="47"/>
        <v/>
      </c>
      <c r="J315" s="3" t="str">
        <f t="shared" si="48"/>
        <v/>
      </c>
      <c r="K315" s="3" t="str">
        <f t="shared" si="49"/>
        <v/>
      </c>
      <c r="L315" s="3"/>
      <c r="M315" s="60" t="e">
        <f t="shared" si="50"/>
        <v>#VALUE!</v>
      </c>
      <c r="N315" s="40"/>
      <c r="O315" s="40"/>
      <c r="P315" s="40"/>
      <c r="Q315" s="40"/>
      <c r="R315" s="40"/>
      <c r="S315" s="40"/>
      <c r="T315" s="61">
        <f t="shared" si="51"/>
        <v>81.800000000000068</v>
      </c>
      <c r="U315" s="40"/>
      <c r="V315" s="40"/>
      <c r="W315" s="40"/>
      <c r="X315" s="40"/>
      <c r="Y315" s="67" t="str">
        <f t="shared" si="52"/>
        <v/>
      </c>
      <c r="AA315" s="71"/>
      <c r="AB315" s="71"/>
      <c r="AC315" s="67" t="str">
        <f t="shared" si="53"/>
        <v/>
      </c>
      <c r="AE315" s="124"/>
      <c r="AF315" s="124"/>
      <c r="AG315" s="121"/>
      <c r="AH315" s="121"/>
      <c r="AI315" s="124"/>
      <c r="AJ315" s="124"/>
    </row>
    <row r="316" spans="2:36" x14ac:dyDescent="0.25">
      <c r="B316" s="117"/>
      <c r="C316" s="7"/>
      <c r="D316" s="3">
        <f t="shared" si="46"/>
        <v>0</v>
      </c>
      <c r="E316" s="10"/>
      <c r="F316" s="40"/>
      <c r="G316" s="40"/>
      <c r="H316" s="40"/>
      <c r="I316" s="3" t="str">
        <f t="shared" si="47"/>
        <v/>
      </c>
      <c r="J316" s="3" t="str">
        <f t="shared" si="48"/>
        <v/>
      </c>
      <c r="K316" s="3" t="str">
        <f t="shared" si="49"/>
        <v/>
      </c>
      <c r="L316" s="3"/>
      <c r="M316" s="60" t="e">
        <f t="shared" si="50"/>
        <v>#VALUE!</v>
      </c>
      <c r="N316" s="40"/>
      <c r="O316" s="40"/>
      <c r="P316" s="40"/>
      <c r="Q316" s="40"/>
      <c r="R316" s="40"/>
      <c r="S316" s="40"/>
      <c r="T316" s="61">
        <f t="shared" si="51"/>
        <v>81.800000000000068</v>
      </c>
      <c r="U316" s="40"/>
      <c r="V316" s="40"/>
      <c r="W316" s="40"/>
      <c r="X316" s="40"/>
      <c r="Y316" s="67" t="str">
        <f t="shared" si="52"/>
        <v/>
      </c>
      <c r="AA316" s="71"/>
      <c r="AB316" s="71"/>
      <c r="AC316" s="67" t="str">
        <f t="shared" si="53"/>
        <v/>
      </c>
      <c r="AE316" s="124"/>
      <c r="AF316" s="124"/>
      <c r="AG316" s="121"/>
      <c r="AH316" s="121"/>
      <c r="AI316" s="124"/>
      <c r="AJ316" s="124"/>
    </row>
    <row r="317" spans="2:36" x14ac:dyDescent="0.25">
      <c r="B317" s="117"/>
      <c r="C317" s="7"/>
      <c r="D317" s="3">
        <f t="shared" si="46"/>
        <v>0</v>
      </c>
      <c r="E317" s="10"/>
      <c r="F317" s="40"/>
      <c r="G317" s="40"/>
      <c r="H317" s="40"/>
      <c r="I317" s="3" t="str">
        <f t="shared" si="47"/>
        <v/>
      </c>
      <c r="J317" s="3" t="str">
        <f t="shared" si="48"/>
        <v/>
      </c>
      <c r="K317" s="3" t="str">
        <f t="shared" si="49"/>
        <v/>
      </c>
      <c r="L317" s="3"/>
      <c r="M317" s="60" t="e">
        <f t="shared" si="50"/>
        <v>#VALUE!</v>
      </c>
      <c r="N317" s="40"/>
      <c r="O317" s="40"/>
      <c r="P317" s="40"/>
      <c r="Q317" s="40"/>
      <c r="R317" s="40"/>
      <c r="S317" s="40"/>
      <c r="T317" s="61">
        <f t="shared" si="51"/>
        <v>81.800000000000068</v>
      </c>
      <c r="U317" s="40"/>
      <c r="V317" s="40"/>
      <c r="W317" s="40"/>
      <c r="X317" s="40"/>
      <c r="Y317" s="67" t="str">
        <f t="shared" si="52"/>
        <v/>
      </c>
      <c r="AA317" s="71"/>
      <c r="AB317" s="71"/>
      <c r="AC317" s="67" t="str">
        <f t="shared" si="53"/>
        <v/>
      </c>
      <c r="AE317" s="124"/>
      <c r="AF317" s="124"/>
      <c r="AG317" s="121"/>
      <c r="AH317" s="121"/>
      <c r="AI317" s="124"/>
      <c r="AJ317" s="124"/>
    </row>
    <row r="318" spans="2:36" x14ac:dyDescent="0.25">
      <c r="B318" s="117"/>
      <c r="C318" s="7"/>
      <c r="D318" s="3">
        <f t="shared" si="46"/>
        <v>0</v>
      </c>
      <c r="E318" s="10"/>
      <c r="F318" s="40"/>
      <c r="G318" s="40"/>
      <c r="H318" s="40"/>
      <c r="I318" s="3" t="str">
        <f t="shared" si="47"/>
        <v/>
      </c>
      <c r="J318" s="3" t="str">
        <f t="shared" si="48"/>
        <v/>
      </c>
      <c r="K318" s="3" t="str">
        <f t="shared" si="49"/>
        <v/>
      </c>
      <c r="L318" s="3"/>
      <c r="M318" s="60" t="e">
        <f t="shared" si="50"/>
        <v>#VALUE!</v>
      </c>
      <c r="N318" s="40"/>
      <c r="O318" s="40"/>
      <c r="P318" s="40"/>
      <c r="Q318" s="40"/>
      <c r="R318" s="40"/>
      <c r="S318" s="40"/>
      <c r="T318" s="61">
        <f t="shared" si="51"/>
        <v>81.800000000000068</v>
      </c>
      <c r="U318" s="40"/>
      <c r="V318" s="40"/>
      <c r="W318" s="40"/>
      <c r="X318" s="40"/>
      <c r="Y318" s="67" t="str">
        <f t="shared" si="52"/>
        <v/>
      </c>
      <c r="AA318" s="71"/>
      <c r="AB318" s="71"/>
      <c r="AC318" s="67" t="str">
        <f t="shared" si="53"/>
        <v/>
      </c>
      <c r="AE318" s="124"/>
      <c r="AF318" s="124"/>
      <c r="AG318" s="121"/>
      <c r="AH318" s="121"/>
      <c r="AI318" s="124"/>
      <c r="AJ318" s="124"/>
    </row>
    <row r="319" spans="2:36" x14ac:dyDescent="0.25">
      <c r="B319" s="117"/>
      <c r="C319" s="7"/>
      <c r="D319" s="3">
        <f t="shared" si="46"/>
        <v>0</v>
      </c>
      <c r="E319" s="10"/>
      <c r="F319" s="40"/>
      <c r="G319" s="40"/>
      <c r="H319" s="40"/>
      <c r="I319" s="3" t="str">
        <f t="shared" si="47"/>
        <v/>
      </c>
      <c r="J319" s="3" t="str">
        <f t="shared" si="48"/>
        <v/>
      </c>
      <c r="K319" s="3" t="str">
        <f t="shared" si="49"/>
        <v/>
      </c>
      <c r="L319" s="3"/>
      <c r="M319" s="60" t="e">
        <f t="shared" si="50"/>
        <v>#VALUE!</v>
      </c>
      <c r="N319" s="40"/>
      <c r="O319" s="40"/>
      <c r="P319" s="40"/>
      <c r="Q319" s="40"/>
      <c r="R319" s="40"/>
      <c r="S319" s="40"/>
      <c r="T319" s="61">
        <f t="shared" si="51"/>
        <v>81.800000000000068</v>
      </c>
      <c r="U319" s="40"/>
      <c r="V319" s="40"/>
      <c r="W319" s="40"/>
      <c r="X319" s="40"/>
      <c r="Y319" s="67" t="str">
        <f t="shared" si="52"/>
        <v/>
      </c>
      <c r="AA319" s="71"/>
      <c r="AB319" s="71"/>
      <c r="AC319" s="67" t="str">
        <f t="shared" si="53"/>
        <v/>
      </c>
      <c r="AE319" s="124"/>
      <c r="AF319" s="124"/>
      <c r="AG319" s="121"/>
      <c r="AH319" s="121"/>
      <c r="AI319" s="124"/>
      <c r="AJ319" s="124"/>
    </row>
    <row r="320" spans="2:36" x14ac:dyDescent="0.25">
      <c r="B320" s="117"/>
      <c r="C320" s="7"/>
      <c r="D320" s="3">
        <f t="shared" si="46"/>
        <v>0</v>
      </c>
      <c r="E320" s="10"/>
      <c r="F320" s="40"/>
      <c r="G320" s="40"/>
      <c r="H320" s="40"/>
      <c r="I320" s="3" t="str">
        <f t="shared" si="47"/>
        <v/>
      </c>
      <c r="J320" s="3" t="str">
        <f t="shared" si="48"/>
        <v/>
      </c>
      <c r="K320" s="3" t="str">
        <f t="shared" si="49"/>
        <v/>
      </c>
      <c r="L320" s="3"/>
      <c r="M320" s="60" t="e">
        <f t="shared" si="50"/>
        <v>#VALUE!</v>
      </c>
      <c r="N320" s="40"/>
      <c r="O320" s="40"/>
      <c r="P320" s="40"/>
      <c r="Q320" s="40"/>
      <c r="R320" s="40"/>
      <c r="S320" s="40"/>
      <c r="T320" s="61">
        <f t="shared" si="51"/>
        <v>81.800000000000068</v>
      </c>
      <c r="U320" s="40"/>
      <c r="V320" s="40"/>
      <c r="W320" s="40"/>
      <c r="X320" s="40"/>
      <c r="Y320" s="67" t="str">
        <f t="shared" si="52"/>
        <v/>
      </c>
      <c r="AA320" s="71"/>
      <c r="AB320" s="71"/>
      <c r="AC320" s="67" t="str">
        <f t="shared" si="53"/>
        <v/>
      </c>
      <c r="AE320" s="124"/>
      <c r="AF320" s="124"/>
      <c r="AG320" s="121"/>
      <c r="AH320" s="121"/>
      <c r="AI320" s="124"/>
      <c r="AJ320" s="124"/>
    </row>
    <row r="321" spans="2:36" x14ac:dyDescent="0.25">
      <c r="B321" s="117"/>
      <c r="C321" s="7"/>
      <c r="D321" s="3">
        <f t="shared" si="46"/>
        <v>0</v>
      </c>
      <c r="E321" s="10"/>
      <c r="F321" s="40"/>
      <c r="G321" s="40"/>
      <c r="H321" s="40"/>
      <c r="I321" s="3" t="str">
        <f t="shared" si="47"/>
        <v/>
      </c>
      <c r="J321" s="3" t="str">
        <f t="shared" si="48"/>
        <v/>
      </c>
      <c r="K321" s="3" t="str">
        <f t="shared" si="49"/>
        <v/>
      </c>
      <c r="L321" s="3"/>
      <c r="M321" s="60" t="e">
        <f t="shared" si="50"/>
        <v>#VALUE!</v>
      </c>
      <c r="N321" s="40"/>
      <c r="O321" s="40"/>
      <c r="P321" s="40"/>
      <c r="Q321" s="40"/>
      <c r="R321" s="40"/>
      <c r="S321" s="40"/>
      <c r="T321" s="61">
        <f t="shared" si="51"/>
        <v>81.800000000000068</v>
      </c>
      <c r="U321" s="40"/>
      <c r="V321" s="40"/>
      <c r="W321" s="40"/>
      <c r="X321" s="40"/>
      <c r="Y321" s="67" t="str">
        <f t="shared" si="52"/>
        <v/>
      </c>
      <c r="AA321" s="71"/>
      <c r="AB321" s="71"/>
      <c r="AC321" s="67" t="str">
        <f t="shared" si="53"/>
        <v/>
      </c>
      <c r="AE321" s="124"/>
      <c r="AF321" s="124"/>
      <c r="AG321" s="121"/>
      <c r="AH321" s="121"/>
      <c r="AI321" s="124"/>
      <c r="AJ321" s="124"/>
    </row>
    <row r="322" spans="2:36" x14ac:dyDescent="0.25">
      <c r="B322" s="117"/>
      <c r="C322" s="7"/>
      <c r="D322" s="3">
        <f t="shared" si="46"/>
        <v>0</v>
      </c>
      <c r="E322" s="10"/>
      <c r="F322" s="40"/>
      <c r="G322" s="40"/>
      <c r="H322" s="40"/>
      <c r="I322" s="3" t="str">
        <f t="shared" si="47"/>
        <v/>
      </c>
      <c r="J322" s="3" t="str">
        <f t="shared" si="48"/>
        <v/>
      </c>
      <c r="K322" s="3" t="str">
        <f t="shared" si="49"/>
        <v/>
      </c>
      <c r="L322" s="3"/>
      <c r="M322" s="60" t="e">
        <f t="shared" si="50"/>
        <v>#VALUE!</v>
      </c>
      <c r="N322" s="40"/>
      <c r="O322" s="40"/>
      <c r="P322" s="40"/>
      <c r="Q322" s="40"/>
      <c r="R322" s="40"/>
      <c r="S322" s="40"/>
      <c r="T322" s="61">
        <f t="shared" si="51"/>
        <v>81.800000000000068</v>
      </c>
      <c r="U322" s="40"/>
      <c r="V322" s="40"/>
      <c r="W322" s="40"/>
      <c r="X322" s="40"/>
      <c r="Y322" s="67" t="str">
        <f t="shared" si="52"/>
        <v/>
      </c>
      <c r="AA322" s="71"/>
      <c r="AB322" s="71"/>
      <c r="AC322" s="67" t="str">
        <f t="shared" si="53"/>
        <v/>
      </c>
      <c r="AE322" s="124"/>
      <c r="AF322" s="124"/>
      <c r="AG322" s="121"/>
      <c r="AH322" s="121"/>
      <c r="AI322" s="124"/>
      <c r="AJ322" s="124"/>
    </row>
    <row r="323" spans="2:36" x14ac:dyDescent="0.25">
      <c r="B323" s="117"/>
      <c r="C323" s="7"/>
      <c r="D323" s="3">
        <f t="shared" si="46"/>
        <v>0</v>
      </c>
      <c r="E323" s="10"/>
      <c r="F323" s="40"/>
      <c r="G323" s="40"/>
      <c r="H323" s="40"/>
      <c r="I323" s="3" t="str">
        <f t="shared" si="47"/>
        <v/>
      </c>
      <c r="J323" s="3" t="str">
        <f t="shared" si="48"/>
        <v/>
      </c>
      <c r="K323" s="3" t="str">
        <f t="shared" si="49"/>
        <v/>
      </c>
      <c r="L323" s="3"/>
      <c r="M323" s="60" t="e">
        <f t="shared" si="50"/>
        <v>#VALUE!</v>
      </c>
      <c r="N323" s="40"/>
      <c r="O323" s="40"/>
      <c r="P323" s="40"/>
      <c r="Q323" s="40"/>
      <c r="R323" s="40"/>
      <c r="S323" s="40"/>
      <c r="T323" s="61">
        <f t="shared" si="51"/>
        <v>81.800000000000068</v>
      </c>
      <c r="U323" s="40"/>
      <c r="V323" s="40"/>
      <c r="W323" s="40"/>
      <c r="X323" s="40"/>
      <c r="Y323" s="67" t="str">
        <f t="shared" si="52"/>
        <v/>
      </c>
      <c r="AA323" s="71"/>
      <c r="AB323" s="71"/>
      <c r="AC323" s="67" t="str">
        <f t="shared" si="53"/>
        <v/>
      </c>
      <c r="AE323" s="124"/>
      <c r="AF323" s="124"/>
      <c r="AG323" s="121"/>
      <c r="AH323" s="121"/>
      <c r="AI323" s="124"/>
      <c r="AJ323" s="124"/>
    </row>
    <row r="324" spans="2:36" x14ac:dyDescent="0.25">
      <c r="B324" s="117"/>
      <c r="C324" s="7"/>
      <c r="D324" s="3">
        <f t="shared" si="46"/>
        <v>0</v>
      </c>
      <c r="E324" s="10"/>
      <c r="F324" s="40"/>
      <c r="G324" s="40"/>
      <c r="H324" s="40"/>
      <c r="I324" s="3" t="str">
        <f t="shared" si="47"/>
        <v/>
      </c>
      <c r="J324" s="3" t="str">
        <f t="shared" si="48"/>
        <v/>
      </c>
      <c r="K324" s="3" t="str">
        <f t="shared" si="49"/>
        <v/>
      </c>
      <c r="L324" s="3"/>
      <c r="M324" s="60" t="e">
        <f t="shared" si="50"/>
        <v>#VALUE!</v>
      </c>
      <c r="N324" s="40"/>
      <c r="O324" s="40"/>
      <c r="P324" s="40"/>
      <c r="Q324" s="40"/>
      <c r="R324" s="40"/>
      <c r="S324" s="40"/>
      <c r="T324" s="61">
        <f t="shared" si="51"/>
        <v>81.800000000000068</v>
      </c>
      <c r="U324" s="40"/>
      <c r="V324" s="40"/>
      <c r="W324" s="40"/>
      <c r="X324" s="40"/>
      <c r="Y324" s="67" t="str">
        <f t="shared" si="52"/>
        <v/>
      </c>
      <c r="AA324" s="71"/>
      <c r="AB324" s="71"/>
      <c r="AC324" s="67" t="str">
        <f t="shared" si="53"/>
        <v/>
      </c>
      <c r="AE324" s="124"/>
      <c r="AF324" s="124"/>
      <c r="AG324" s="121"/>
      <c r="AH324" s="121"/>
      <c r="AI324" s="124"/>
      <c r="AJ324" s="124"/>
    </row>
    <row r="325" spans="2:36" x14ac:dyDescent="0.25">
      <c r="B325" s="117"/>
      <c r="C325" s="7"/>
      <c r="D325" s="3">
        <f t="shared" si="46"/>
        <v>0</v>
      </c>
      <c r="E325" s="10"/>
      <c r="F325" s="40"/>
      <c r="G325" s="40"/>
      <c r="H325" s="40"/>
      <c r="I325" s="3" t="str">
        <f t="shared" si="47"/>
        <v/>
      </c>
      <c r="J325" s="3" t="str">
        <f t="shared" si="48"/>
        <v/>
      </c>
      <c r="K325" s="3" t="str">
        <f t="shared" si="49"/>
        <v/>
      </c>
      <c r="L325" s="3"/>
      <c r="M325" s="60" t="e">
        <f t="shared" si="50"/>
        <v>#VALUE!</v>
      </c>
      <c r="N325" s="40"/>
      <c r="O325" s="40"/>
      <c r="P325" s="40"/>
      <c r="Q325" s="40"/>
      <c r="R325" s="40"/>
      <c r="S325" s="40"/>
      <c r="T325" s="61">
        <f t="shared" si="51"/>
        <v>81.800000000000068</v>
      </c>
      <c r="U325" s="40"/>
      <c r="V325" s="40"/>
      <c r="W325" s="40"/>
      <c r="X325" s="40"/>
      <c r="Y325" s="67" t="str">
        <f t="shared" si="52"/>
        <v/>
      </c>
      <c r="AA325" s="71"/>
      <c r="AB325" s="71"/>
      <c r="AC325" s="67" t="str">
        <f t="shared" si="53"/>
        <v/>
      </c>
      <c r="AE325" s="124"/>
      <c r="AF325" s="124"/>
      <c r="AG325" s="121"/>
      <c r="AH325" s="121"/>
      <c r="AI325" s="124"/>
      <c r="AJ325" s="124"/>
    </row>
    <row r="326" spans="2:36" x14ac:dyDescent="0.25">
      <c r="B326" s="117"/>
      <c r="C326" s="7"/>
      <c r="D326" s="3">
        <f t="shared" si="46"/>
        <v>0</v>
      </c>
      <c r="E326" s="10"/>
      <c r="F326" s="40"/>
      <c r="G326" s="40"/>
      <c r="H326" s="40"/>
      <c r="I326" s="3" t="str">
        <f t="shared" si="47"/>
        <v/>
      </c>
      <c r="J326" s="3" t="str">
        <f t="shared" si="48"/>
        <v/>
      </c>
      <c r="K326" s="3" t="str">
        <f t="shared" si="49"/>
        <v/>
      </c>
      <c r="L326" s="3"/>
      <c r="M326" s="60" t="e">
        <f t="shared" si="50"/>
        <v>#VALUE!</v>
      </c>
      <c r="N326" s="40"/>
      <c r="O326" s="40"/>
      <c r="P326" s="40"/>
      <c r="Q326" s="40"/>
      <c r="R326" s="40"/>
      <c r="S326" s="40"/>
      <c r="T326" s="61">
        <f t="shared" si="51"/>
        <v>81.800000000000068</v>
      </c>
      <c r="U326" s="40"/>
      <c r="V326" s="40"/>
      <c r="W326" s="40"/>
      <c r="X326" s="40"/>
      <c r="Y326" s="67" t="str">
        <f t="shared" si="52"/>
        <v/>
      </c>
      <c r="AA326" s="71"/>
      <c r="AB326" s="71"/>
      <c r="AC326" s="67" t="str">
        <f t="shared" si="53"/>
        <v/>
      </c>
      <c r="AE326" s="124"/>
      <c r="AF326" s="124"/>
      <c r="AG326" s="121"/>
      <c r="AH326" s="121"/>
      <c r="AI326" s="124"/>
      <c r="AJ326" s="124"/>
    </row>
    <row r="327" spans="2:36" x14ac:dyDescent="0.25">
      <c r="B327" s="117"/>
      <c r="C327" s="7"/>
      <c r="D327" s="3">
        <f t="shared" si="46"/>
        <v>0</v>
      </c>
      <c r="E327" s="10"/>
      <c r="F327" s="40"/>
      <c r="G327" s="40"/>
      <c r="H327" s="40"/>
      <c r="I327" s="3" t="str">
        <f t="shared" si="47"/>
        <v/>
      </c>
      <c r="J327" s="3" t="str">
        <f t="shared" si="48"/>
        <v/>
      </c>
      <c r="K327" s="3" t="str">
        <f t="shared" si="49"/>
        <v/>
      </c>
      <c r="L327" s="3"/>
      <c r="M327" s="60" t="e">
        <f t="shared" si="50"/>
        <v>#VALUE!</v>
      </c>
      <c r="N327" s="40"/>
      <c r="O327" s="40"/>
      <c r="P327" s="40"/>
      <c r="Q327" s="40"/>
      <c r="R327" s="40"/>
      <c r="S327" s="40"/>
      <c r="T327" s="61">
        <f t="shared" si="51"/>
        <v>81.800000000000068</v>
      </c>
      <c r="U327" s="40"/>
      <c r="V327" s="40"/>
      <c r="W327" s="40"/>
      <c r="X327" s="40"/>
      <c r="Y327" s="67" t="str">
        <f t="shared" si="52"/>
        <v/>
      </c>
      <c r="AA327" s="71"/>
      <c r="AB327" s="71"/>
      <c r="AC327" s="67" t="str">
        <f t="shared" si="53"/>
        <v/>
      </c>
      <c r="AE327" s="124"/>
      <c r="AF327" s="124"/>
      <c r="AG327" s="121"/>
      <c r="AH327" s="121"/>
      <c r="AI327" s="124"/>
      <c r="AJ327" s="124"/>
    </row>
    <row r="328" spans="2:36" x14ac:dyDescent="0.25">
      <c r="B328" s="117"/>
      <c r="C328" s="7"/>
      <c r="D328" s="3">
        <f t="shared" si="46"/>
        <v>0</v>
      </c>
      <c r="E328" s="10"/>
      <c r="F328" s="40"/>
      <c r="G328" s="40"/>
      <c r="H328" s="40"/>
      <c r="I328" s="3" t="str">
        <f t="shared" si="47"/>
        <v/>
      </c>
      <c r="J328" s="3" t="str">
        <f t="shared" si="48"/>
        <v/>
      </c>
      <c r="K328" s="3" t="str">
        <f t="shared" si="49"/>
        <v/>
      </c>
      <c r="L328" s="3"/>
      <c r="M328" s="60" t="e">
        <f t="shared" si="50"/>
        <v>#VALUE!</v>
      </c>
      <c r="N328" s="40"/>
      <c r="O328" s="40"/>
      <c r="P328" s="40"/>
      <c r="Q328" s="40"/>
      <c r="R328" s="40"/>
      <c r="S328" s="40"/>
      <c r="T328" s="61">
        <f t="shared" si="51"/>
        <v>81.800000000000068</v>
      </c>
      <c r="U328" s="40"/>
      <c r="V328" s="40"/>
      <c r="W328" s="40"/>
      <c r="X328" s="40"/>
      <c r="Y328" s="67" t="str">
        <f t="shared" si="52"/>
        <v/>
      </c>
      <c r="AA328" s="71"/>
      <c r="AB328" s="71"/>
      <c r="AC328" s="67" t="str">
        <f t="shared" si="53"/>
        <v/>
      </c>
      <c r="AE328" s="124"/>
      <c r="AF328" s="124"/>
      <c r="AG328" s="121"/>
      <c r="AH328" s="121"/>
      <c r="AI328" s="124"/>
      <c r="AJ328" s="124"/>
    </row>
    <row r="329" spans="2:36" x14ac:dyDescent="0.25">
      <c r="B329" s="117"/>
      <c r="C329" s="7"/>
      <c r="D329" s="3">
        <f t="shared" si="46"/>
        <v>0</v>
      </c>
      <c r="E329" s="10"/>
      <c r="F329" s="40"/>
      <c r="G329" s="40"/>
      <c r="H329" s="40"/>
      <c r="I329" s="3" t="str">
        <f t="shared" si="47"/>
        <v/>
      </c>
      <c r="J329" s="3" t="str">
        <f t="shared" si="48"/>
        <v/>
      </c>
      <c r="K329" s="3" t="str">
        <f t="shared" si="49"/>
        <v/>
      </c>
      <c r="L329" s="3"/>
      <c r="M329" s="60" t="e">
        <f t="shared" si="50"/>
        <v>#VALUE!</v>
      </c>
      <c r="N329" s="40"/>
      <c r="O329" s="40"/>
      <c r="P329" s="40"/>
      <c r="Q329" s="40"/>
      <c r="R329" s="40"/>
      <c r="S329" s="40"/>
      <c r="T329" s="61">
        <f t="shared" si="51"/>
        <v>81.800000000000068</v>
      </c>
      <c r="U329" s="40"/>
      <c r="V329" s="40"/>
      <c r="W329" s="40"/>
      <c r="X329" s="40"/>
      <c r="Y329" s="67" t="str">
        <f t="shared" si="52"/>
        <v/>
      </c>
      <c r="AA329" s="71"/>
      <c r="AB329" s="71"/>
      <c r="AC329" s="67" t="str">
        <f t="shared" si="53"/>
        <v/>
      </c>
      <c r="AE329" s="124"/>
      <c r="AF329" s="124"/>
      <c r="AG329" s="121"/>
      <c r="AH329" s="121"/>
      <c r="AI329" s="124"/>
      <c r="AJ329" s="124"/>
    </row>
    <row r="330" spans="2:36" x14ac:dyDescent="0.25">
      <c r="B330" s="117"/>
      <c r="C330" s="7"/>
      <c r="D330" s="3">
        <f t="shared" si="46"/>
        <v>0</v>
      </c>
      <c r="E330" s="10"/>
      <c r="F330" s="40"/>
      <c r="G330" s="40"/>
      <c r="H330" s="40"/>
      <c r="I330" s="3" t="str">
        <f t="shared" si="47"/>
        <v/>
      </c>
      <c r="J330" s="3" t="str">
        <f t="shared" si="48"/>
        <v/>
      </c>
      <c r="K330" s="3" t="str">
        <f t="shared" si="49"/>
        <v/>
      </c>
      <c r="L330" s="3"/>
      <c r="M330" s="60" t="e">
        <f t="shared" si="50"/>
        <v>#VALUE!</v>
      </c>
      <c r="N330" s="40"/>
      <c r="O330" s="40"/>
      <c r="P330" s="40"/>
      <c r="Q330" s="40"/>
      <c r="R330" s="40"/>
      <c r="S330" s="40"/>
      <c r="T330" s="61">
        <f t="shared" si="51"/>
        <v>81.800000000000068</v>
      </c>
      <c r="U330" s="40"/>
      <c r="V330" s="40"/>
      <c r="W330" s="40"/>
      <c r="X330" s="40"/>
      <c r="Y330" s="67" t="str">
        <f t="shared" si="52"/>
        <v/>
      </c>
      <c r="AA330" s="71"/>
      <c r="AB330" s="71"/>
      <c r="AC330" s="67" t="str">
        <f t="shared" si="53"/>
        <v/>
      </c>
      <c r="AE330" s="124"/>
      <c r="AF330" s="124"/>
      <c r="AG330" s="121"/>
      <c r="AH330" s="121"/>
      <c r="AI330" s="124"/>
      <c r="AJ330" s="124"/>
    </row>
    <row r="331" spans="2:36" x14ac:dyDescent="0.25">
      <c r="B331" s="117"/>
      <c r="C331" s="7"/>
      <c r="D331" s="3">
        <f t="shared" si="46"/>
        <v>0</v>
      </c>
      <c r="E331" s="10"/>
      <c r="F331" s="40"/>
      <c r="G331" s="40"/>
      <c r="H331" s="40"/>
      <c r="I331" s="3" t="str">
        <f t="shared" si="47"/>
        <v/>
      </c>
      <c r="J331" s="3" t="str">
        <f t="shared" si="48"/>
        <v/>
      </c>
      <c r="K331" s="3" t="str">
        <f t="shared" si="49"/>
        <v/>
      </c>
      <c r="L331" s="3"/>
      <c r="M331" s="60" t="e">
        <f t="shared" si="50"/>
        <v>#VALUE!</v>
      </c>
      <c r="N331" s="40"/>
      <c r="O331" s="40"/>
      <c r="P331" s="40"/>
      <c r="Q331" s="40"/>
      <c r="R331" s="40"/>
      <c r="S331" s="40"/>
      <c r="T331" s="61">
        <f t="shared" si="51"/>
        <v>81.800000000000068</v>
      </c>
      <c r="U331" s="40"/>
      <c r="V331" s="40"/>
      <c r="W331" s="40"/>
      <c r="X331" s="40"/>
      <c r="Y331" s="67" t="str">
        <f t="shared" si="52"/>
        <v/>
      </c>
      <c r="AA331" s="71"/>
      <c r="AB331" s="71"/>
      <c r="AC331" s="67" t="str">
        <f t="shared" si="53"/>
        <v/>
      </c>
      <c r="AE331" s="124"/>
      <c r="AF331" s="124"/>
      <c r="AG331" s="121"/>
      <c r="AH331" s="121"/>
      <c r="AI331" s="124"/>
      <c r="AJ331" s="124"/>
    </row>
    <row r="332" spans="2:36" x14ac:dyDescent="0.25">
      <c r="B332" s="117"/>
      <c r="C332" s="7"/>
      <c r="D332" s="3">
        <f t="shared" si="46"/>
        <v>0</v>
      </c>
      <c r="E332" s="10"/>
      <c r="F332" s="40"/>
      <c r="G332" s="40"/>
      <c r="H332" s="40"/>
      <c r="I332" s="3" t="str">
        <f t="shared" si="47"/>
        <v/>
      </c>
      <c r="J332" s="3" t="str">
        <f t="shared" si="48"/>
        <v/>
      </c>
      <c r="K332" s="3" t="str">
        <f t="shared" si="49"/>
        <v/>
      </c>
      <c r="L332" s="3"/>
      <c r="M332" s="60" t="e">
        <f t="shared" si="50"/>
        <v>#VALUE!</v>
      </c>
      <c r="N332" s="40"/>
      <c r="O332" s="40"/>
      <c r="P332" s="40"/>
      <c r="Q332" s="40"/>
      <c r="R332" s="40"/>
      <c r="S332" s="40"/>
      <c r="T332" s="61">
        <f t="shared" si="51"/>
        <v>81.800000000000068</v>
      </c>
      <c r="U332" s="40"/>
      <c r="V332" s="40"/>
      <c r="W332" s="40"/>
      <c r="X332" s="40"/>
      <c r="Y332" s="67" t="str">
        <f t="shared" si="52"/>
        <v/>
      </c>
      <c r="AA332" s="71"/>
      <c r="AB332" s="71"/>
      <c r="AC332" s="67" t="str">
        <f t="shared" si="53"/>
        <v/>
      </c>
      <c r="AE332" s="124"/>
      <c r="AF332" s="124"/>
      <c r="AG332" s="121"/>
      <c r="AH332" s="121"/>
      <c r="AI332" s="124"/>
      <c r="AJ332" s="124"/>
    </row>
    <row r="333" spans="2:36" x14ac:dyDescent="0.25">
      <c r="B333" s="117"/>
      <c r="C333" s="7"/>
      <c r="D333" s="3">
        <f t="shared" si="46"/>
        <v>0</v>
      </c>
      <c r="E333" s="10"/>
      <c r="F333" s="40"/>
      <c r="G333" s="40"/>
      <c r="H333" s="40"/>
      <c r="I333" s="3" t="str">
        <f t="shared" si="47"/>
        <v/>
      </c>
      <c r="J333" s="3" t="str">
        <f t="shared" si="48"/>
        <v/>
      </c>
      <c r="K333" s="3" t="str">
        <f t="shared" si="49"/>
        <v/>
      </c>
      <c r="L333" s="3"/>
      <c r="M333" s="60" t="e">
        <f t="shared" si="50"/>
        <v>#VALUE!</v>
      </c>
      <c r="N333" s="40"/>
      <c r="O333" s="40"/>
      <c r="P333" s="40"/>
      <c r="Q333" s="40"/>
      <c r="R333" s="40"/>
      <c r="S333" s="40"/>
      <c r="T333" s="61">
        <f t="shared" si="51"/>
        <v>81.800000000000068</v>
      </c>
      <c r="U333" s="40"/>
      <c r="V333" s="40"/>
      <c r="W333" s="40"/>
      <c r="X333" s="40"/>
      <c r="Y333" s="67" t="str">
        <f t="shared" si="52"/>
        <v/>
      </c>
      <c r="AA333" s="71"/>
      <c r="AB333" s="71"/>
      <c r="AC333" s="67" t="str">
        <f t="shared" si="53"/>
        <v/>
      </c>
      <c r="AE333" s="124"/>
      <c r="AF333" s="124"/>
      <c r="AG333" s="121"/>
      <c r="AH333" s="121"/>
      <c r="AI333" s="124"/>
      <c r="AJ333" s="124"/>
    </row>
    <row r="334" spans="2:36" x14ac:dyDescent="0.25">
      <c r="B334" s="117"/>
      <c r="C334" s="7"/>
      <c r="D334" s="3">
        <f t="shared" si="46"/>
        <v>0</v>
      </c>
      <c r="E334" s="10"/>
      <c r="F334" s="40"/>
      <c r="G334" s="40"/>
      <c r="H334" s="40"/>
      <c r="I334" s="3" t="str">
        <f t="shared" si="47"/>
        <v/>
      </c>
      <c r="J334" s="3" t="str">
        <f t="shared" si="48"/>
        <v/>
      </c>
      <c r="K334" s="3" t="str">
        <f t="shared" si="49"/>
        <v/>
      </c>
      <c r="L334" s="3"/>
      <c r="M334" s="60" t="e">
        <f t="shared" si="50"/>
        <v>#VALUE!</v>
      </c>
      <c r="N334" s="40"/>
      <c r="O334" s="40"/>
      <c r="P334" s="40"/>
      <c r="Q334" s="40"/>
      <c r="R334" s="40"/>
      <c r="S334" s="40"/>
      <c r="T334" s="61">
        <f t="shared" si="51"/>
        <v>81.800000000000068</v>
      </c>
      <c r="U334" s="40"/>
      <c r="V334" s="40"/>
      <c r="W334" s="40"/>
      <c r="X334" s="40"/>
      <c r="Y334" s="67" t="str">
        <f t="shared" si="52"/>
        <v/>
      </c>
      <c r="AA334" s="71"/>
      <c r="AB334" s="71"/>
      <c r="AC334" s="67" t="str">
        <f t="shared" si="53"/>
        <v/>
      </c>
      <c r="AE334" s="124"/>
      <c r="AF334" s="124"/>
      <c r="AG334" s="121"/>
      <c r="AH334" s="121"/>
      <c r="AI334" s="124"/>
      <c r="AJ334" s="124"/>
    </row>
    <row r="335" spans="2:36" x14ac:dyDescent="0.25">
      <c r="B335" s="117"/>
      <c r="C335" s="7"/>
      <c r="D335" s="3">
        <f t="shared" si="46"/>
        <v>0</v>
      </c>
      <c r="E335" s="10"/>
      <c r="F335" s="40"/>
      <c r="G335" s="40"/>
      <c r="H335" s="40"/>
      <c r="I335" s="3" t="str">
        <f t="shared" si="47"/>
        <v/>
      </c>
      <c r="J335" s="3" t="str">
        <f t="shared" si="48"/>
        <v/>
      </c>
      <c r="K335" s="3" t="str">
        <f t="shared" si="49"/>
        <v/>
      </c>
      <c r="L335" s="3"/>
      <c r="M335" s="60" t="e">
        <f t="shared" si="50"/>
        <v>#VALUE!</v>
      </c>
      <c r="N335" s="40"/>
      <c r="O335" s="40"/>
      <c r="P335" s="40"/>
      <c r="Q335" s="40"/>
      <c r="R335" s="40"/>
      <c r="S335" s="40"/>
      <c r="T335" s="61">
        <f t="shared" si="51"/>
        <v>81.800000000000068</v>
      </c>
      <c r="U335" s="40"/>
      <c r="V335" s="40"/>
      <c r="W335" s="40"/>
      <c r="X335" s="40"/>
      <c r="Y335" s="67" t="str">
        <f t="shared" si="52"/>
        <v/>
      </c>
      <c r="AA335" s="71"/>
      <c r="AB335" s="71"/>
      <c r="AC335" s="67" t="str">
        <f t="shared" si="53"/>
        <v/>
      </c>
      <c r="AE335" s="124"/>
      <c r="AF335" s="124"/>
      <c r="AG335" s="121"/>
      <c r="AH335" s="121"/>
      <c r="AI335" s="124"/>
      <c r="AJ335" s="124"/>
    </row>
    <row r="336" spans="2:36" x14ac:dyDescent="0.25">
      <c r="B336" s="117"/>
      <c r="C336" s="7"/>
      <c r="D336" s="3">
        <f t="shared" si="46"/>
        <v>0</v>
      </c>
      <c r="E336" s="10"/>
      <c r="F336" s="40"/>
      <c r="G336" s="40"/>
      <c r="H336" s="40"/>
      <c r="I336" s="3" t="str">
        <f t="shared" si="47"/>
        <v/>
      </c>
      <c r="J336" s="3" t="str">
        <f t="shared" si="48"/>
        <v/>
      </c>
      <c r="K336" s="3" t="str">
        <f t="shared" si="49"/>
        <v/>
      </c>
      <c r="L336" s="3"/>
      <c r="M336" s="60" t="e">
        <f t="shared" si="50"/>
        <v>#VALUE!</v>
      </c>
      <c r="N336" s="40"/>
      <c r="O336" s="40"/>
      <c r="P336" s="40"/>
      <c r="Q336" s="40"/>
      <c r="R336" s="40"/>
      <c r="S336" s="40"/>
      <c r="T336" s="61">
        <f t="shared" si="51"/>
        <v>81.800000000000068</v>
      </c>
      <c r="U336" s="40"/>
      <c r="V336" s="40"/>
      <c r="W336" s="40"/>
      <c r="X336" s="40"/>
      <c r="Y336" s="67" t="str">
        <f t="shared" si="52"/>
        <v/>
      </c>
      <c r="AA336" s="71"/>
      <c r="AB336" s="71"/>
      <c r="AC336" s="67" t="str">
        <f t="shared" si="53"/>
        <v/>
      </c>
      <c r="AE336" s="124"/>
      <c r="AF336" s="124"/>
      <c r="AG336" s="121"/>
      <c r="AH336" s="121"/>
      <c r="AI336" s="124"/>
      <c r="AJ336" s="124"/>
    </row>
    <row r="337" spans="2:36" x14ac:dyDescent="0.25">
      <c r="B337" s="117"/>
      <c r="C337" s="7"/>
      <c r="D337" s="3">
        <f t="shared" si="46"/>
        <v>0</v>
      </c>
      <c r="E337" s="10"/>
      <c r="F337" s="40"/>
      <c r="G337" s="40"/>
      <c r="H337" s="40"/>
      <c r="I337" s="3" t="str">
        <f t="shared" si="47"/>
        <v/>
      </c>
      <c r="J337" s="3" t="str">
        <f t="shared" si="48"/>
        <v/>
      </c>
      <c r="K337" s="3" t="str">
        <f t="shared" si="49"/>
        <v/>
      </c>
      <c r="L337" s="3"/>
      <c r="M337" s="60" t="e">
        <f t="shared" si="50"/>
        <v>#VALUE!</v>
      </c>
      <c r="N337" s="40"/>
      <c r="O337" s="40"/>
      <c r="P337" s="40"/>
      <c r="Q337" s="40"/>
      <c r="R337" s="40"/>
      <c r="S337" s="40"/>
      <c r="T337" s="61">
        <f t="shared" si="51"/>
        <v>81.800000000000068</v>
      </c>
      <c r="U337" s="40"/>
      <c r="V337" s="40"/>
      <c r="W337" s="40"/>
      <c r="X337" s="40"/>
      <c r="Y337" s="67" t="str">
        <f t="shared" si="52"/>
        <v/>
      </c>
      <c r="AA337" s="71"/>
      <c r="AB337" s="71"/>
      <c r="AC337" s="67" t="str">
        <f t="shared" si="53"/>
        <v/>
      </c>
      <c r="AE337" s="124"/>
      <c r="AF337" s="124"/>
      <c r="AG337" s="121"/>
      <c r="AH337" s="121"/>
      <c r="AI337" s="124"/>
      <c r="AJ337" s="124"/>
    </row>
    <row r="338" spans="2:36" x14ac:dyDescent="0.25">
      <c r="B338" s="117"/>
      <c r="C338" s="7"/>
      <c r="D338" s="3">
        <f t="shared" si="46"/>
        <v>0</v>
      </c>
      <c r="E338" s="10"/>
      <c r="F338" s="40"/>
      <c r="G338" s="40"/>
      <c r="H338" s="40"/>
      <c r="I338" s="3" t="str">
        <f t="shared" si="47"/>
        <v/>
      </c>
      <c r="J338" s="3" t="str">
        <f t="shared" si="48"/>
        <v/>
      </c>
      <c r="K338" s="3" t="str">
        <f t="shared" si="49"/>
        <v/>
      </c>
      <c r="L338" s="3"/>
      <c r="M338" s="60" t="e">
        <f t="shared" si="50"/>
        <v>#VALUE!</v>
      </c>
      <c r="N338" s="40"/>
      <c r="O338" s="40"/>
      <c r="P338" s="40"/>
      <c r="Q338" s="40"/>
      <c r="R338" s="40"/>
      <c r="S338" s="40"/>
      <c r="T338" s="61">
        <f t="shared" si="51"/>
        <v>81.800000000000068</v>
      </c>
      <c r="U338" s="40"/>
      <c r="V338" s="40"/>
      <c r="W338" s="40"/>
      <c r="X338" s="40"/>
      <c r="Y338" s="67" t="str">
        <f t="shared" si="52"/>
        <v/>
      </c>
      <c r="AA338" s="71"/>
      <c r="AB338" s="71"/>
      <c r="AC338" s="67" t="str">
        <f t="shared" si="53"/>
        <v/>
      </c>
      <c r="AE338" s="124"/>
      <c r="AF338" s="124"/>
      <c r="AG338" s="121"/>
      <c r="AH338" s="121"/>
      <c r="AI338" s="124"/>
      <c r="AJ338" s="124"/>
    </row>
    <row r="339" spans="2:36" x14ac:dyDescent="0.25">
      <c r="B339" s="117"/>
      <c r="C339" s="7"/>
      <c r="D339" s="3">
        <f t="shared" si="46"/>
        <v>0</v>
      </c>
      <c r="E339" s="10"/>
      <c r="F339" s="40"/>
      <c r="G339" s="40"/>
      <c r="H339" s="40"/>
      <c r="I339" s="3" t="str">
        <f t="shared" si="47"/>
        <v/>
      </c>
      <c r="J339" s="3" t="str">
        <f t="shared" si="48"/>
        <v/>
      </c>
      <c r="K339" s="3" t="str">
        <f t="shared" si="49"/>
        <v/>
      </c>
      <c r="L339" s="3"/>
      <c r="M339" s="60" t="e">
        <f t="shared" si="50"/>
        <v>#VALUE!</v>
      </c>
      <c r="N339" s="40"/>
      <c r="O339" s="40"/>
      <c r="P339" s="40"/>
      <c r="Q339" s="40"/>
      <c r="R339" s="40"/>
      <c r="S339" s="40"/>
      <c r="T339" s="61">
        <f t="shared" si="51"/>
        <v>81.800000000000068</v>
      </c>
      <c r="U339" s="40"/>
      <c r="V339" s="40"/>
      <c r="W339" s="40"/>
      <c r="X339" s="40"/>
      <c r="Y339" s="67" t="str">
        <f t="shared" si="52"/>
        <v/>
      </c>
      <c r="AA339" s="71"/>
      <c r="AB339" s="71"/>
      <c r="AC339" s="67" t="str">
        <f t="shared" si="53"/>
        <v/>
      </c>
      <c r="AE339" s="124"/>
      <c r="AF339" s="124"/>
      <c r="AG339" s="121"/>
      <c r="AH339" s="121"/>
      <c r="AI339" s="124"/>
      <c r="AJ339" s="124"/>
    </row>
    <row r="340" spans="2:36" x14ac:dyDescent="0.25">
      <c r="B340" s="117"/>
      <c r="C340" s="7"/>
      <c r="D340" s="3">
        <f t="shared" si="46"/>
        <v>0</v>
      </c>
      <c r="E340" s="10"/>
      <c r="F340" s="40"/>
      <c r="G340" s="40"/>
      <c r="H340" s="40"/>
      <c r="I340" s="3" t="str">
        <f t="shared" si="47"/>
        <v/>
      </c>
      <c r="J340" s="3" t="str">
        <f t="shared" si="48"/>
        <v/>
      </c>
      <c r="K340" s="3" t="str">
        <f t="shared" si="49"/>
        <v/>
      </c>
      <c r="L340" s="3"/>
      <c r="M340" s="60" t="e">
        <f t="shared" si="50"/>
        <v>#VALUE!</v>
      </c>
      <c r="N340" s="40"/>
      <c r="O340" s="40"/>
      <c r="P340" s="40"/>
      <c r="Q340" s="40"/>
      <c r="R340" s="40"/>
      <c r="S340" s="40"/>
      <c r="T340" s="61">
        <f t="shared" si="51"/>
        <v>81.800000000000068</v>
      </c>
      <c r="U340" s="40"/>
      <c r="V340" s="40"/>
      <c r="W340" s="40"/>
      <c r="X340" s="40"/>
      <c r="Y340" s="67" t="str">
        <f t="shared" si="52"/>
        <v/>
      </c>
      <c r="AA340" s="71"/>
      <c r="AB340" s="71"/>
      <c r="AC340" s="67" t="str">
        <f t="shared" si="53"/>
        <v/>
      </c>
      <c r="AE340" s="124"/>
      <c r="AF340" s="124"/>
      <c r="AG340" s="121"/>
      <c r="AH340" s="121"/>
      <c r="AI340" s="124"/>
      <c r="AJ340" s="124"/>
    </row>
    <row r="341" spans="2:36" x14ac:dyDescent="0.25">
      <c r="B341" s="117"/>
      <c r="C341" s="7"/>
      <c r="D341" s="3">
        <f t="shared" si="46"/>
        <v>0</v>
      </c>
      <c r="E341" s="10"/>
      <c r="F341" s="40"/>
      <c r="G341" s="40"/>
      <c r="H341" s="40"/>
      <c r="I341" s="3" t="str">
        <f t="shared" si="47"/>
        <v/>
      </c>
      <c r="J341" s="3" t="str">
        <f t="shared" si="48"/>
        <v/>
      </c>
      <c r="K341" s="3" t="str">
        <f t="shared" si="49"/>
        <v/>
      </c>
      <c r="L341" s="3"/>
      <c r="M341" s="60" t="e">
        <f t="shared" si="50"/>
        <v>#VALUE!</v>
      </c>
      <c r="N341" s="40"/>
      <c r="O341" s="40"/>
      <c r="P341" s="40"/>
      <c r="Q341" s="40"/>
      <c r="R341" s="40"/>
      <c r="S341" s="40"/>
      <c r="T341" s="61">
        <f t="shared" si="51"/>
        <v>81.800000000000068</v>
      </c>
      <c r="U341" s="40"/>
      <c r="V341" s="40"/>
      <c r="W341" s="40"/>
      <c r="X341" s="40"/>
      <c r="Y341" s="67" t="str">
        <f t="shared" si="52"/>
        <v/>
      </c>
      <c r="AA341" s="71"/>
      <c r="AB341" s="71"/>
      <c r="AC341" s="67" t="str">
        <f t="shared" si="53"/>
        <v/>
      </c>
      <c r="AE341" s="124"/>
      <c r="AF341" s="124"/>
      <c r="AG341" s="121"/>
      <c r="AH341" s="121"/>
      <c r="AI341" s="124"/>
      <c r="AJ341" s="124"/>
    </row>
    <row r="342" spans="2:36" x14ac:dyDescent="0.25">
      <c r="B342" s="117"/>
      <c r="C342" s="7"/>
      <c r="D342" s="3">
        <f t="shared" si="46"/>
        <v>0</v>
      </c>
      <c r="E342" s="10"/>
      <c r="F342" s="40"/>
      <c r="G342" s="40"/>
      <c r="H342" s="40"/>
      <c r="I342" s="3" t="str">
        <f t="shared" si="47"/>
        <v/>
      </c>
      <c r="J342" s="3" t="str">
        <f t="shared" si="48"/>
        <v/>
      </c>
      <c r="K342" s="3" t="str">
        <f t="shared" si="49"/>
        <v/>
      </c>
      <c r="L342" s="3"/>
      <c r="M342" s="60" t="e">
        <f t="shared" si="50"/>
        <v>#VALUE!</v>
      </c>
      <c r="N342" s="40"/>
      <c r="O342" s="40"/>
      <c r="P342" s="40"/>
      <c r="Q342" s="40"/>
      <c r="R342" s="40"/>
      <c r="S342" s="40"/>
      <c r="T342" s="61">
        <f t="shared" si="51"/>
        <v>81.800000000000068</v>
      </c>
      <c r="U342" s="40"/>
      <c r="V342" s="40"/>
      <c r="W342" s="40"/>
      <c r="X342" s="40"/>
      <c r="Y342" s="67" t="str">
        <f t="shared" si="52"/>
        <v/>
      </c>
      <c r="AA342" s="71"/>
      <c r="AB342" s="71"/>
      <c r="AC342" s="67" t="str">
        <f t="shared" si="53"/>
        <v/>
      </c>
      <c r="AE342" s="124"/>
      <c r="AF342" s="124"/>
      <c r="AG342" s="121"/>
      <c r="AH342" s="121"/>
      <c r="AI342" s="124"/>
      <c r="AJ342" s="124"/>
    </row>
    <row r="343" spans="2:36" x14ac:dyDescent="0.25">
      <c r="B343" s="117"/>
      <c r="C343" s="7"/>
      <c r="D343" s="3">
        <f t="shared" ref="D343:D406" si="54">+IF((C343-C342)&lt;0,((C343-C342)*24)+24,(C343-C342)*24)</f>
        <v>0</v>
      </c>
      <c r="E343" s="10"/>
      <c r="F343" s="40"/>
      <c r="G343" s="40"/>
      <c r="H343" s="40"/>
      <c r="I343" s="3" t="str">
        <f t="shared" ref="I343:I406" si="55">+IF(F343="","",(F343/24)*D343)</f>
        <v/>
      </c>
      <c r="J343" s="3" t="str">
        <f t="shared" ref="J343:J406" si="56">+IF(G343="","",(G343/24)*D343)</f>
        <v/>
      </c>
      <c r="K343" s="3" t="str">
        <f t="shared" ref="K343:K406" si="57">+IF(H343="","",(H343/24)*D343)</f>
        <v/>
      </c>
      <c r="L343" s="3"/>
      <c r="M343" s="60" t="e">
        <f t="shared" ref="M343:M406" si="58">+IF(D343="","",M342-(I343+J343+K343))</f>
        <v>#VALUE!</v>
      </c>
      <c r="N343" s="40"/>
      <c r="O343" s="40"/>
      <c r="P343" s="40"/>
      <c r="Q343" s="40"/>
      <c r="R343" s="40"/>
      <c r="S343" s="40"/>
      <c r="T343" s="61">
        <f t="shared" ref="T343:T406" si="59">IF(D343="","",(T342+S343)-(N343+O343+P343+Q343+R343))</f>
        <v>81.800000000000068</v>
      </c>
      <c r="U343" s="40"/>
      <c r="V343" s="40"/>
      <c r="W343" s="40"/>
      <c r="X343" s="40"/>
      <c r="Y343" s="67" t="str">
        <f t="shared" ref="Y343:Y406" si="60">IF(W343="","",((Y342+U343+V343)-(W343+X343)))</f>
        <v/>
      </c>
      <c r="AA343" s="71"/>
      <c r="AB343" s="71"/>
      <c r="AC343" s="67" t="str">
        <f t="shared" ref="AC343:AC406" si="61">IF(AA343="","",AA343+AB343)</f>
        <v/>
      </c>
      <c r="AE343" s="124"/>
      <c r="AF343" s="124"/>
      <c r="AG343" s="121"/>
      <c r="AH343" s="121"/>
      <c r="AI343" s="124"/>
      <c r="AJ343" s="124"/>
    </row>
    <row r="344" spans="2:36" x14ac:dyDescent="0.25">
      <c r="B344" s="117"/>
      <c r="C344" s="7"/>
      <c r="D344" s="3">
        <f t="shared" si="54"/>
        <v>0</v>
      </c>
      <c r="E344" s="10"/>
      <c r="F344" s="40"/>
      <c r="G344" s="40"/>
      <c r="H344" s="40"/>
      <c r="I344" s="3" t="str">
        <f t="shared" si="55"/>
        <v/>
      </c>
      <c r="J344" s="3" t="str">
        <f t="shared" si="56"/>
        <v/>
      </c>
      <c r="K344" s="3" t="str">
        <f t="shared" si="57"/>
        <v/>
      </c>
      <c r="L344" s="3"/>
      <c r="M344" s="60" t="e">
        <f t="shared" si="58"/>
        <v>#VALUE!</v>
      </c>
      <c r="N344" s="40"/>
      <c r="O344" s="40"/>
      <c r="P344" s="40"/>
      <c r="Q344" s="40"/>
      <c r="R344" s="40"/>
      <c r="S344" s="40"/>
      <c r="T344" s="61">
        <f t="shared" si="59"/>
        <v>81.800000000000068</v>
      </c>
      <c r="U344" s="40"/>
      <c r="V344" s="40"/>
      <c r="W344" s="40"/>
      <c r="X344" s="40"/>
      <c r="Y344" s="67" t="str">
        <f t="shared" si="60"/>
        <v/>
      </c>
      <c r="AA344" s="71"/>
      <c r="AB344" s="71"/>
      <c r="AC344" s="67" t="str">
        <f t="shared" si="61"/>
        <v/>
      </c>
      <c r="AE344" s="124"/>
      <c r="AF344" s="124"/>
      <c r="AG344" s="121"/>
      <c r="AH344" s="121"/>
      <c r="AI344" s="124"/>
      <c r="AJ344" s="124"/>
    </row>
    <row r="345" spans="2:36" x14ac:dyDescent="0.25">
      <c r="B345" s="117"/>
      <c r="C345" s="7"/>
      <c r="D345" s="3">
        <f t="shared" si="54"/>
        <v>0</v>
      </c>
      <c r="E345" s="10"/>
      <c r="F345" s="40"/>
      <c r="G345" s="40"/>
      <c r="H345" s="40"/>
      <c r="I345" s="3" t="str">
        <f t="shared" si="55"/>
        <v/>
      </c>
      <c r="J345" s="3" t="str">
        <f t="shared" si="56"/>
        <v/>
      </c>
      <c r="K345" s="3" t="str">
        <f t="shared" si="57"/>
        <v/>
      </c>
      <c r="L345" s="3"/>
      <c r="M345" s="60" t="e">
        <f t="shared" si="58"/>
        <v>#VALUE!</v>
      </c>
      <c r="N345" s="40"/>
      <c r="O345" s="40"/>
      <c r="P345" s="40"/>
      <c r="Q345" s="40"/>
      <c r="R345" s="40"/>
      <c r="S345" s="40"/>
      <c r="T345" s="61">
        <f t="shared" si="59"/>
        <v>81.800000000000068</v>
      </c>
      <c r="U345" s="40"/>
      <c r="V345" s="40"/>
      <c r="W345" s="40"/>
      <c r="X345" s="40"/>
      <c r="Y345" s="67" t="str">
        <f t="shared" si="60"/>
        <v/>
      </c>
      <c r="AA345" s="71"/>
      <c r="AB345" s="71"/>
      <c r="AC345" s="67" t="str">
        <f t="shared" si="61"/>
        <v/>
      </c>
      <c r="AE345" s="124"/>
      <c r="AF345" s="124"/>
      <c r="AG345" s="121"/>
      <c r="AH345" s="121"/>
      <c r="AI345" s="124"/>
      <c r="AJ345" s="124"/>
    </row>
    <row r="346" spans="2:36" x14ac:dyDescent="0.25">
      <c r="B346" s="117"/>
      <c r="C346" s="7"/>
      <c r="D346" s="3">
        <f t="shared" si="54"/>
        <v>0</v>
      </c>
      <c r="E346" s="10"/>
      <c r="F346" s="40"/>
      <c r="G346" s="40"/>
      <c r="H346" s="40"/>
      <c r="I346" s="3" t="str">
        <f t="shared" si="55"/>
        <v/>
      </c>
      <c r="J346" s="3" t="str">
        <f t="shared" si="56"/>
        <v/>
      </c>
      <c r="K346" s="3" t="str">
        <f t="shared" si="57"/>
        <v/>
      </c>
      <c r="L346" s="3"/>
      <c r="M346" s="60" t="e">
        <f t="shared" si="58"/>
        <v>#VALUE!</v>
      </c>
      <c r="N346" s="40"/>
      <c r="O346" s="40"/>
      <c r="P346" s="40"/>
      <c r="Q346" s="40"/>
      <c r="R346" s="40"/>
      <c r="S346" s="40"/>
      <c r="T346" s="61">
        <f t="shared" si="59"/>
        <v>81.800000000000068</v>
      </c>
      <c r="U346" s="40"/>
      <c r="V346" s="40"/>
      <c r="W346" s="40"/>
      <c r="X346" s="40"/>
      <c r="Y346" s="67" t="str">
        <f t="shared" si="60"/>
        <v/>
      </c>
      <c r="AA346" s="71"/>
      <c r="AB346" s="71"/>
      <c r="AC346" s="67" t="str">
        <f t="shared" si="61"/>
        <v/>
      </c>
      <c r="AE346" s="124"/>
      <c r="AF346" s="124"/>
      <c r="AG346" s="121"/>
      <c r="AH346" s="121"/>
      <c r="AI346" s="124"/>
      <c r="AJ346" s="124"/>
    </row>
    <row r="347" spans="2:36" x14ac:dyDescent="0.25">
      <c r="B347" s="117"/>
      <c r="C347" s="7"/>
      <c r="D347" s="3">
        <f t="shared" si="54"/>
        <v>0</v>
      </c>
      <c r="E347" s="10"/>
      <c r="F347" s="40"/>
      <c r="G347" s="40"/>
      <c r="H347" s="40"/>
      <c r="I347" s="3" t="str">
        <f t="shared" si="55"/>
        <v/>
      </c>
      <c r="J347" s="3" t="str">
        <f t="shared" si="56"/>
        <v/>
      </c>
      <c r="K347" s="3" t="str">
        <f t="shared" si="57"/>
        <v/>
      </c>
      <c r="L347" s="3"/>
      <c r="M347" s="60" t="e">
        <f t="shared" si="58"/>
        <v>#VALUE!</v>
      </c>
      <c r="N347" s="40"/>
      <c r="O347" s="40"/>
      <c r="P347" s="40"/>
      <c r="Q347" s="40"/>
      <c r="R347" s="40"/>
      <c r="S347" s="40"/>
      <c r="T347" s="61">
        <f t="shared" si="59"/>
        <v>81.800000000000068</v>
      </c>
      <c r="U347" s="40"/>
      <c r="V347" s="40"/>
      <c r="W347" s="40"/>
      <c r="X347" s="40"/>
      <c r="Y347" s="67" t="str">
        <f t="shared" si="60"/>
        <v/>
      </c>
      <c r="AA347" s="71"/>
      <c r="AB347" s="71"/>
      <c r="AC347" s="67" t="str">
        <f t="shared" si="61"/>
        <v/>
      </c>
      <c r="AE347" s="124"/>
      <c r="AF347" s="124"/>
      <c r="AG347" s="121"/>
      <c r="AH347" s="121"/>
      <c r="AI347" s="124"/>
      <c r="AJ347" s="124"/>
    </row>
    <row r="348" spans="2:36" x14ac:dyDescent="0.25">
      <c r="B348" s="117"/>
      <c r="C348" s="7"/>
      <c r="D348" s="3">
        <f t="shared" si="54"/>
        <v>0</v>
      </c>
      <c r="E348" s="10"/>
      <c r="F348" s="40"/>
      <c r="G348" s="40"/>
      <c r="H348" s="40"/>
      <c r="I348" s="3" t="str">
        <f t="shared" si="55"/>
        <v/>
      </c>
      <c r="J348" s="3" t="str">
        <f t="shared" si="56"/>
        <v/>
      </c>
      <c r="K348" s="3" t="str">
        <f t="shared" si="57"/>
        <v/>
      </c>
      <c r="L348" s="3"/>
      <c r="M348" s="60" t="e">
        <f t="shared" si="58"/>
        <v>#VALUE!</v>
      </c>
      <c r="N348" s="40"/>
      <c r="O348" s="40"/>
      <c r="P348" s="40"/>
      <c r="Q348" s="40"/>
      <c r="R348" s="40"/>
      <c r="S348" s="40"/>
      <c r="T348" s="61">
        <f t="shared" si="59"/>
        <v>81.800000000000068</v>
      </c>
      <c r="U348" s="40"/>
      <c r="V348" s="40"/>
      <c r="W348" s="40"/>
      <c r="X348" s="40"/>
      <c r="Y348" s="67" t="str">
        <f t="shared" si="60"/>
        <v/>
      </c>
      <c r="AA348" s="71"/>
      <c r="AB348" s="71"/>
      <c r="AC348" s="67" t="str">
        <f t="shared" si="61"/>
        <v/>
      </c>
      <c r="AE348" s="124"/>
      <c r="AF348" s="124"/>
      <c r="AG348" s="121"/>
      <c r="AH348" s="121"/>
      <c r="AI348" s="124"/>
      <c r="AJ348" s="124"/>
    </row>
    <row r="349" spans="2:36" x14ac:dyDescent="0.25">
      <c r="B349" s="117"/>
      <c r="C349" s="7"/>
      <c r="D349" s="3">
        <f t="shared" si="54"/>
        <v>0</v>
      </c>
      <c r="E349" s="10"/>
      <c r="F349" s="40"/>
      <c r="G349" s="40"/>
      <c r="H349" s="40"/>
      <c r="I349" s="3" t="str">
        <f t="shared" si="55"/>
        <v/>
      </c>
      <c r="J349" s="3" t="str">
        <f t="shared" si="56"/>
        <v/>
      </c>
      <c r="K349" s="3" t="str">
        <f t="shared" si="57"/>
        <v/>
      </c>
      <c r="L349" s="3"/>
      <c r="M349" s="60" t="e">
        <f t="shared" si="58"/>
        <v>#VALUE!</v>
      </c>
      <c r="N349" s="40"/>
      <c r="O349" s="40"/>
      <c r="P349" s="40"/>
      <c r="Q349" s="40"/>
      <c r="R349" s="40"/>
      <c r="S349" s="40"/>
      <c r="T349" s="61">
        <f t="shared" si="59"/>
        <v>81.800000000000068</v>
      </c>
      <c r="U349" s="40"/>
      <c r="V349" s="40"/>
      <c r="W349" s="40"/>
      <c r="X349" s="40"/>
      <c r="Y349" s="67" t="str">
        <f t="shared" si="60"/>
        <v/>
      </c>
      <c r="AA349" s="71"/>
      <c r="AB349" s="71"/>
      <c r="AC349" s="67" t="str">
        <f t="shared" si="61"/>
        <v/>
      </c>
      <c r="AE349" s="124"/>
      <c r="AF349" s="124"/>
      <c r="AG349" s="121"/>
      <c r="AH349" s="121"/>
      <c r="AI349" s="124"/>
      <c r="AJ349" s="124"/>
    </row>
    <row r="350" spans="2:36" x14ac:dyDescent="0.25">
      <c r="B350" s="117"/>
      <c r="C350" s="7"/>
      <c r="D350" s="3">
        <f t="shared" si="54"/>
        <v>0</v>
      </c>
      <c r="E350" s="10"/>
      <c r="F350" s="40"/>
      <c r="G350" s="40"/>
      <c r="H350" s="40"/>
      <c r="I350" s="3" t="str">
        <f t="shared" si="55"/>
        <v/>
      </c>
      <c r="J350" s="3" t="str">
        <f t="shared" si="56"/>
        <v/>
      </c>
      <c r="K350" s="3" t="str">
        <f t="shared" si="57"/>
        <v/>
      </c>
      <c r="L350" s="3"/>
      <c r="M350" s="60" t="e">
        <f t="shared" si="58"/>
        <v>#VALUE!</v>
      </c>
      <c r="N350" s="40"/>
      <c r="O350" s="40"/>
      <c r="P350" s="40"/>
      <c r="Q350" s="40"/>
      <c r="R350" s="40"/>
      <c r="S350" s="40"/>
      <c r="T350" s="61">
        <f t="shared" si="59"/>
        <v>81.800000000000068</v>
      </c>
      <c r="U350" s="40"/>
      <c r="V350" s="40"/>
      <c r="W350" s="40"/>
      <c r="X350" s="40"/>
      <c r="Y350" s="67" t="str">
        <f t="shared" si="60"/>
        <v/>
      </c>
      <c r="AA350" s="71"/>
      <c r="AB350" s="71"/>
      <c r="AC350" s="67" t="str">
        <f t="shared" si="61"/>
        <v/>
      </c>
      <c r="AE350" s="124"/>
      <c r="AF350" s="124"/>
      <c r="AG350" s="121"/>
      <c r="AH350" s="121"/>
      <c r="AI350" s="124"/>
      <c r="AJ350" s="124"/>
    </row>
    <row r="351" spans="2:36" x14ac:dyDescent="0.25">
      <c r="B351" s="117"/>
      <c r="C351" s="7"/>
      <c r="D351" s="3">
        <f t="shared" si="54"/>
        <v>0</v>
      </c>
      <c r="E351" s="10"/>
      <c r="F351" s="40"/>
      <c r="G351" s="40"/>
      <c r="H351" s="40"/>
      <c r="I351" s="3" t="str">
        <f t="shared" si="55"/>
        <v/>
      </c>
      <c r="J351" s="3" t="str">
        <f t="shared" si="56"/>
        <v/>
      </c>
      <c r="K351" s="3" t="str">
        <f t="shared" si="57"/>
        <v/>
      </c>
      <c r="L351" s="3"/>
      <c r="M351" s="60" t="e">
        <f t="shared" si="58"/>
        <v>#VALUE!</v>
      </c>
      <c r="N351" s="40"/>
      <c r="O351" s="40"/>
      <c r="P351" s="40"/>
      <c r="Q351" s="40"/>
      <c r="R351" s="40"/>
      <c r="S351" s="40"/>
      <c r="T351" s="61">
        <f t="shared" si="59"/>
        <v>81.800000000000068</v>
      </c>
      <c r="U351" s="40"/>
      <c r="V351" s="40"/>
      <c r="W351" s="40"/>
      <c r="X351" s="40"/>
      <c r="Y351" s="67" t="str">
        <f t="shared" si="60"/>
        <v/>
      </c>
      <c r="AA351" s="71"/>
      <c r="AB351" s="71"/>
      <c r="AC351" s="67" t="str">
        <f t="shared" si="61"/>
        <v/>
      </c>
      <c r="AE351" s="124"/>
      <c r="AF351" s="124"/>
      <c r="AG351" s="121"/>
      <c r="AH351" s="121"/>
      <c r="AI351" s="124"/>
      <c r="AJ351" s="124"/>
    </row>
    <row r="352" spans="2:36" x14ac:dyDescent="0.25">
      <c r="B352" s="117"/>
      <c r="C352" s="7"/>
      <c r="D352" s="3">
        <f t="shared" si="54"/>
        <v>0</v>
      </c>
      <c r="E352" s="10"/>
      <c r="F352" s="40"/>
      <c r="G352" s="40"/>
      <c r="H352" s="40"/>
      <c r="I352" s="3" t="str">
        <f t="shared" si="55"/>
        <v/>
      </c>
      <c r="J352" s="3" t="str">
        <f t="shared" si="56"/>
        <v/>
      </c>
      <c r="K352" s="3" t="str">
        <f t="shared" si="57"/>
        <v/>
      </c>
      <c r="L352" s="3"/>
      <c r="M352" s="60" t="e">
        <f t="shared" si="58"/>
        <v>#VALUE!</v>
      </c>
      <c r="N352" s="40"/>
      <c r="O352" s="40"/>
      <c r="P352" s="40"/>
      <c r="Q352" s="40"/>
      <c r="R352" s="40"/>
      <c r="S352" s="40"/>
      <c r="T352" s="61">
        <f t="shared" si="59"/>
        <v>81.800000000000068</v>
      </c>
      <c r="U352" s="40"/>
      <c r="V352" s="40"/>
      <c r="W352" s="40"/>
      <c r="X352" s="40"/>
      <c r="Y352" s="67" t="str">
        <f t="shared" si="60"/>
        <v/>
      </c>
      <c r="AA352" s="71"/>
      <c r="AB352" s="71"/>
      <c r="AC352" s="67" t="str">
        <f t="shared" si="61"/>
        <v/>
      </c>
      <c r="AE352" s="124"/>
      <c r="AF352" s="124"/>
      <c r="AG352" s="121"/>
      <c r="AH352" s="121"/>
      <c r="AI352" s="124"/>
      <c r="AJ352" s="124"/>
    </row>
    <row r="353" spans="2:36" x14ac:dyDescent="0.25">
      <c r="B353" s="117"/>
      <c r="C353" s="7"/>
      <c r="D353" s="3">
        <f t="shared" si="54"/>
        <v>0</v>
      </c>
      <c r="E353" s="10"/>
      <c r="F353" s="40"/>
      <c r="G353" s="40"/>
      <c r="H353" s="40"/>
      <c r="I353" s="3" t="str">
        <f t="shared" si="55"/>
        <v/>
      </c>
      <c r="J353" s="3" t="str">
        <f t="shared" si="56"/>
        <v/>
      </c>
      <c r="K353" s="3" t="str">
        <f t="shared" si="57"/>
        <v/>
      </c>
      <c r="L353" s="3"/>
      <c r="M353" s="60" t="e">
        <f t="shared" si="58"/>
        <v>#VALUE!</v>
      </c>
      <c r="N353" s="40"/>
      <c r="O353" s="40"/>
      <c r="P353" s="40"/>
      <c r="Q353" s="40"/>
      <c r="R353" s="40"/>
      <c r="S353" s="40"/>
      <c r="T353" s="61">
        <f t="shared" si="59"/>
        <v>81.800000000000068</v>
      </c>
      <c r="U353" s="40"/>
      <c r="V353" s="40"/>
      <c r="W353" s="40"/>
      <c r="X353" s="40"/>
      <c r="Y353" s="67" t="str">
        <f t="shared" si="60"/>
        <v/>
      </c>
      <c r="AA353" s="71"/>
      <c r="AB353" s="71"/>
      <c r="AC353" s="67" t="str">
        <f t="shared" si="61"/>
        <v/>
      </c>
      <c r="AE353" s="124"/>
      <c r="AF353" s="124"/>
      <c r="AG353" s="121"/>
      <c r="AH353" s="121"/>
      <c r="AI353" s="124"/>
      <c r="AJ353" s="124"/>
    </row>
    <row r="354" spans="2:36" x14ac:dyDescent="0.25">
      <c r="B354" s="117"/>
      <c r="C354" s="7"/>
      <c r="D354" s="3">
        <f t="shared" si="54"/>
        <v>0</v>
      </c>
      <c r="E354" s="10"/>
      <c r="F354" s="40"/>
      <c r="G354" s="40"/>
      <c r="H354" s="40"/>
      <c r="I354" s="3" t="str">
        <f t="shared" si="55"/>
        <v/>
      </c>
      <c r="J354" s="3" t="str">
        <f t="shared" si="56"/>
        <v/>
      </c>
      <c r="K354" s="3" t="str">
        <f t="shared" si="57"/>
        <v/>
      </c>
      <c r="L354" s="3"/>
      <c r="M354" s="60" t="e">
        <f t="shared" si="58"/>
        <v>#VALUE!</v>
      </c>
      <c r="N354" s="40"/>
      <c r="O354" s="40"/>
      <c r="P354" s="40"/>
      <c r="Q354" s="40"/>
      <c r="R354" s="40"/>
      <c r="S354" s="40"/>
      <c r="T354" s="61">
        <f t="shared" si="59"/>
        <v>81.800000000000068</v>
      </c>
      <c r="U354" s="40"/>
      <c r="V354" s="40"/>
      <c r="W354" s="40"/>
      <c r="X354" s="40"/>
      <c r="Y354" s="67" t="str">
        <f t="shared" si="60"/>
        <v/>
      </c>
      <c r="AA354" s="71"/>
      <c r="AB354" s="71"/>
      <c r="AC354" s="67" t="str">
        <f t="shared" si="61"/>
        <v/>
      </c>
      <c r="AE354" s="124"/>
      <c r="AF354" s="124"/>
      <c r="AG354" s="121"/>
      <c r="AH354" s="121"/>
      <c r="AI354" s="124"/>
      <c r="AJ354" s="124"/>
    </row>
    <row r="355" spans="2:36" x14ac:dyDescent="0.25">
      <c r="B355" s="117"/>
      <c r="C355" s="7"/>
      <c r="D355" s="3">
        <f t="shared" si="54"/>
        <v>0</v>
      </c>
      <c r="E355" s="10"/>
      <c r="F355" s="40"/>
      <c r="G355" s="40"/>
      <c r="H355" s="40"/>
      <c r="I355" s="3" t="str">
        <f t="shared" si="55"/>
        <v/>
      </c>
      <c r="J355" s="3" t="str">
        <f t="shared" si="56"/>
        <v/>
      </c>
      <c r="K355" s="3" t="str">
        <f t="shared" si="57"/>
        <v/>
      </c>
      <c r="L355" s="3"/>
      <c r="M355" s="60" t="e">
        <f t="shared" si="58"/>
        <v>#VALUE!</v>
      </c>
      <c r="N355" s="40"/>
      <c r="O355" s="40"/>
      <c r="P355" s="40"/>
      <c r="Q355" s="40"/>
      <c r="R355" s="40"/>
      <c r="S355" s="40"/>
      <c r="T355" s="61">
        <f t="shared" si="59"/>
        <v>81.800000000000068</v>
      </c>
      <c r="U355" s="40"/>
      <c r="V355" s="40"/>
      <c r="W355" s="40"/>
      <c r="X355" s="40"/>
      <c r="Y355" s="67" t="str">
        <f t="shared" si="60"/>
        <v/>
      </c>
      <c r="AA355" s="71"/>
      <c r="AB355" s="71"/>
      <c r="AC355" s="67" t="str">
        <f t="shared" si="61"/>
        <v/>
      </c>
      <c r="AE355" s="124"/>
      <c r="AF355" s="124"/>
      <c r="AG355" s="121"/>
      <c r="AH355" s="121"/>
      <c r="AI355" s="124"/>
      <c r="AJ355" s="124"/>
    </row>
    <row r="356" spans="2:36" x14ac:dyDescent="0.25">
      <c r="B356" s="117"/>
      <c r="C356" s="7"/>
      <c r="D356" s="3">
        <f t="shared" si="54"/>
        <v>0</v>
      </c>
      <c r="E356" s="10"/>
      <c r="F356" s="40"/>
      <c r="G356" s="40"/>
      <c r="H356" s="40"/>
      <c r="I356" s="3" t="str">
        <f t="shared" si="55"/>
        <v/>
      </c>
      <c r="J356" s="3" t="str">
        <f t="shared" si="56"/>
        <v/>
      </c>
      <c r="K356" s="3" t="str">
        <f t="shared" si="57"/>
        <v/>
      </c>
      <c r="L356" s="3"/>
      <c r="M356" s="60" t="e">
        <f t="shared" si="58"/>
        <v>#VALUE!</v>
      </c>
      <c r="N356" s="40"/>
      <c r="O356" s="40"/>
      <c r="P356" s="40"/>
      <c r="Q356" s="40"/>
      <c r="R356" s="40"/>
      <c r="S356" s="40"/>
      <c r="T356" s="61">
        <f t="shared" si="59"/>
        <v>81.800000000000068</v>
      </c>
      <c r="U356" s="40"/>
      <c r="V356" s="40"/>
      <c r="W356" s="40"/>
      <c r="X356" s="40"/>
      <c r="Y356" s="67" t="str">
        <f t="shared" si="60"/>
        <v/>
      </c>
      <c r="AA356" s="71"/>
      <c r="AB356" s="71"/>
      <c r="AC356" s="67" t="str">
        <f t="shared" si="61"/>
        <v/>
      </c>
      <c r="AE356" s="124"/>
      <c r="AF356" s="124"/>
      <c r="AG356" s="121"/>
      <c r="AH356" s="121"/>
      <c r="AI356" s="124"/>
      <c r="AJ356" s="124"/>
    </row>
    <row r="357" spans="2:36" x14ac:dyDescent="0.25">
      <c r="B357" s="117"/>
      <c r="C357" s="7"/>
      <c r="D357" s="3">
        <f t="shared" si="54"/>
        <v>0</v>
      </c>
      <c r="E357" s="10"/>
      <c r="F357" s="40"/>
      <c r="G357" s="40"/>
      <c r="H357" s="40"/>
      <c r="I357" s="3" t="str">
        <f t="shared" si="55"/>
        <v/>
      </c>
      <c r="J357" s="3" t="str">
        <f t="shared" si="56"/>
        <v/>
      </c>
      <c r="K357" s="3" t="str">
        <f t="shared" si="57"/>
        <v/>
      </c>
      <c r="L357" s="3"/>
      <c r="M357" s="60" t="e">
        <f t="shared" si="58"/>
        <v>#VALUE!</v>
      </c>
      <c r="N357" s="40"/>
      <c r="O357" s="40"/>
      <c r="P357" s="40"/>
      <c r="Q357" s="40"/>
      <c r="R357" s="40"/>
      <c r="S357" s="40"/>
      <c r="T357" s="61">
        <f t="shared" si="59"/>
        <v>81.800000000000068</v>
      </c>
      <c r="U357" s="40"/>
      <c r="V357" s="40"/>
      <c r="W357" s="40"/>
      <c r="X357" s="40"/>
      <c r="Y357" s="67" t="str">
        <f t="shared" si="60"/>
        <v/>
      </c>
      <c r="AA357" s="71"/>
      <c r="AB357" s="71"/>
      <c r="AC357" s="67" t="str">
        <f t="shared" si="61"/>
        <v/>
      </c>
      <c r="AE357" s="124"/>
      <c r="AF357" s="124"/>
      <c r="AG357" s="121"/>
      <c r="AH357" s="121"/>
      <c r="AI357" s="124"/>
      <c r="AJ357" s="124"/>
    </row>
    <row r="358" spans="2:36" x14ac:dyDescent="0.25">
      <c r="B358" s="117"/>
      <c r="C358" s="7"/>
      <c r="D358" s="3">
        <f t="shared" si="54"/>
        <v>0</v>
      </c>
      <c r="E358" s="10"/>
      <c r="F358" s="40"/>
      <c r="G358" s="40"/>
      <c r="H358" s="40"/>
      <c r="I358" s="3" t="str">
        <f t="shared" si="55"/>
        <v/>
      </c>
      <c r="J358" s="3" t="str">
        <f t="shared" si="56"/>
        <v/>
      </c>
      <c r="K358" s="3" t="str">
        <f t="shared" si="57"/>
        <v/>
      </c>
      <c r="L358" s="3"/>
      <c r="M358" s="60" t="e">
        <f t="shared" si="58"/>
        <v>#VALUE!</v>
      </c>
      <c r="N358" s="40"/>
      <c r="O358" s="40"/>
      <c r="P358" s="40"/>
      <c r="Q358" s="40"/>
      <c r="R358" s="40"/>
      <c r="S358" s="40"/>
      <c r="T358" s="61">
        <f t="shared" si="59"/>
        <v>81.800000000000068</v>
      </c>
      <c r="U358" s="40"/>
      <c r="V358" s="40"/>
      <c r="W358" s="40"/>
      <c r="X358" s="40"/>
      <c r="Y358" s="67" t="str">
        <f t="shared" si="60"/>
        <v/>
      </c>
      <c r="AA358" s="71"/>
      <c r="AB358" s="71"/>
      <c r="AC358" s="67" t="str">
        <f t="shared" si="61"/>
        <v/>
      </c>
      <c r="AE358" s="124"/>
      <c r="AF358" s="124"/>
      <c r="AG358" s="121"/>
      <c r="AH358" s="121"/>
      <c r="AI358" s="124"/>
      <c r="AJ358" s="124"/>
    </row>
    <row r="359" spans="2:36" x14ac:dyDescent="0.25">
      <c r="B359" s="117"/>
      <c r="C359" s="7"/>
      <c r="D359" s="3">
        <f t="shared" si="54"/>
        <v>0</v>
      </c>
      <c r="E359" s="10"/>
      <c r="F359" s="40"/>
      <c r="G359" s="40"/>
      <c r="H359" s="40"/>
      <c r="I359" s="3" t="str">
        <f t="shared" si="55"/>
        <v/>
      </c>
      <c r="J359" s="3" t="str">
        <f t="shared" si="56"/>
        <v/>
      </c>
      <c r="K359" s="3" t="str">
        <f t="shared" si="57"/>
        <v/>
      </c>
      <c r="L359" s="3"/>
      <c r="M359" s="60" t="e">
        <f t="shared" si="58"/>
        <v>#VALUE!</v>
      </c>
      <c r="N359" s="40"/>
      <c r="O359" s="40"/>
      <c r="P359" s="40"/>
      <c r="Q359" s="40"/>
      <c r="R359" s="40"/>
      <c r="S359" s="40"/>
      <c r="T359" s="61">
        <f t="shared" si="59"/>
        <v>81.800000000000068</v>
      </c>
      <c r="U359" s="40"/>
      <c r="V359" s="40"/>
      <c r="W359" s="40"/>
      <c r="X359" s="40"/>
      <c r="Y359" s="67" t="str">
        <f t="shared" si="60"/>
        <v/>
      </c>
      <c r="AA359" s="71"/>
      <c r="AB359" s="71"/>
      <c r="AC359" s="67" t="str">
        <f t="shared" si="61"/>
        <v/>
      </c>
      <c r="AE359" s="124"/>
      <c r="AF359" s="124"/>
      <c r="AG359" s="121"/>
      <c r="AH359" s="121"/>
      <c r="AI359" s="124"/>
      <c r="AJ359" s="124"/>
    </row>
    <row r="360" spans="2:36" x14ac:dyDescent="0.25">
      <c r="B360" s="117"/>
      <c r="C360" s="7"/>
      <c r="D360" s="3">
        <f t="shared" si="54"/>
        <v>0</v>
      </c>
      <c r="E360" s="10"/>
      <c r="F360" s="40"/>
      <c r="G360" s="40"/>
      <c r="H360" s="40"/>
      <c r="I360" s="3" t="str">
        <f t="shared" si="55"/>
        <v/>
      </c>
      <c r="J360" s="3" t="str">
        <f t="shared" si="56"/>
        <v/>
      </c>
      <c r="K360" s="3" t="str">
        <f t="shared" si="57"/>
        <v/>
      </c>
      <c r="L360" s="3"/>
      <c r="M360" s="60" t="e">
        <f t="shared" si="58"/>
        <v>#VALUE!</v>
      </c>
      <c r="N360" s="40"/>
      <c r="O360" s="40"/>
      <c r="P360" s="40"/>
      <c r="Q360" s="40"/>
      <c r="R360" s="40"/>
      <c r="S360" s="40"/>
      <c r="T360" s="61">
        <f t="shared" si="59"/>
        <v>81.800000000000068</v>
      </c>
      <c r="U360" s="40"/>
      <c r="V360" s="40"/>
      <c r="W360" s="40"/>
      <c r="X360" s="40"/>
      <c r="Y360" s="67" t="str">
        <f t="shared" si="60"/>
        <v/>
      </c>
      <c r="AA360" s="71"/>
      <c r="AB360" s="71"/>
      <c r="AC360" s="67" t="str">
        <f t="shared" si="61"/>
        <v/>
      </c>
      <c r="AE360" s="124"/>
      <c r="AF360" s="124"/>
      <c r="AG360" s="121"/>
      <c r="AH360" s="121"/>
      <c r="AI360" s="124"/>
      <c r="AJ360" s="124"/>
    </row>
    <row r="361" spans="2:36" x14ac:dyDescent="0.25">
      <c r="B361" s="117"/>
      <c r="C361" s="7"/>
      <c r="D361" s="3">
        <f t="shared" si="54"/>
        <v>0</v>
      </c>
      <c r="E361" s="10"/>
      <c r="F361" s="40"/>
      <c r="G361" s="40"/>
      <c r="H361" s="40"/>
      <c r="I361" s="3" t="str">
        <f t="shared" si="55"/>
        <v/>
      </c>
      <c r="J361" s="3" t="str">
        <f t="shared" si="56"/>
        <v/>
      </c>
      <c r="K361" s="3" t="str">
        <f t="shared" si="57"/>
        <v/>
      </c>
      <c r="L361" s="3"/>
      <c r="M361" s="60" t="e">
        <f t="shared" si="58"/>
        <v>#VALUE!</v>
      </c>
      <c r="N361" s="40"/>
      <c r="O361" s="40"/>
      <c r="P361" s="40"/>
      <c r="Q361" s="40"/>
      <c r="R361" s="40"/>
      <c r="S361" s="40"/>
      <c r="T361" s="61">
        <f t="shared" si="59"/>
        <v>81.800000000000068</v>
      </c>
      <c r="U361" s="40"/>
      <c r="V361" s="40"/>
      <c r="W361" s="40"/>
      <c r="X361" s="40"/>
      <c r="Y361" s="67" t="str">
        <f t="shared" si="60"/>
        <v/>
      </c>
      <c r="AA361" s="71"/>
      <c r="AB361" s="71"/>
      <c r="AC361" s="67" t="str">
        <f t="shared" si="61"/>
        <v/>
      </c>
      <c r="AE361" s="124"/>
      <c r="AF361" s="124"/>
      <c r="AG361" s="121"/>
      <c r="AH361" s="121"/>
      <c r="AI361" s="124"/>
      <c r="AJ361" s="124"/>
    </row>
    <row r="362" spans="2:36" x14ac:dyDescent="0.25">
      <c r="B362" s="117"/>
      <c r="C362" s="7"/>
      <c r="D362" s="3">
        <f t="shared" si="54"/>
        <v>0</v>
      </c>
      <c r="E362" s="10"/>
      <c r="F362" s="40"/>
      <c r="G362" s="40"/>
      <c r="H362" s="40"/>
      <c r="I362" s="3" t="str">
        <f t="shared" si="55"/>
        <v/>
      </c>
      <c r="J362" s="3" t="str">
        <f t="shared" si="56"/>
        <v/>
      </c>
      <c r="K362" s="3" t="str">
        <f t="shared" si="57"/>
        <v/>
      </c>
      <c r="L362" s="3"/>
      <c r="M362" s="60" t="e">
        <f t="shared" si="58"/>
        <v>#VALUE!</v>
      </c>
      <c r="N362" s="40"/>
      <c r="O362" s="40"/>
      <c r="P362" s="40"/>
      <c r="Q362" s="40"/>
      <c r="R362" s="40"/>
      <c r="S362" s="40"/>
      <c r="T362" s="61">
        <f t="shared" si="59"/>
        <v>81.800000000000068</v>
      </c>
      <c r="U362" s="40"/>
      <c r="V362" s="40"/>
      <c r="W362" s="40"/>
      <c r="X362" s="40"/>
      <c r="Y362" s="67" t="str">
        <f t="shared" si="60"/>
        <v/>
      </c>
      <c r="AA362" s="71"/>
      <c r="AB362" s="71"/>
      <c r="AC362" s="67" t="str">
        <f t="shared" si="61"/>
        <v/>
      </c>
      <c r="AE362" s="124"/>
      <c r="AF362" s="124"/>
      <c r="AG362" s="121"/>
      <c r="AH362" s="121"/>
      <c r="AI362" s="124"/>
      <c r="AJ362" s="124"/>
    </row>
    <row r="363" spans="2:36" x14ac:dyDescent="0.25">
      <c r="B363" s="117"/>
      <c r="C363" s="7"/>
      <c r="D363" s="3">
        <f t="shared" si="54"/>
        <v>0</v>
      </c>
      <c r="E363" s="10"/>
      <c r="F363" s="40"/>
      <c r="G363" s="40"/>
      <c r="H363" s="40"/>
      <c r="I363" s="3" t="str">
        <f t="shared" si="55"/>
        <v/>
      </c>
      <c r="J363" s="3" t="str">
        <f t="shared" si="56"/>
        <v/>
      </c>
      <c r="K363" s="3" t="str">
        <f t="shared" si="57"/>
        <v/>
      </c>
      <c r="L363" s="3"/>
      <c r="M363" s="60" t="e">
        <f t="shared" si="58"/>
        <v>#VALUE!</v>
      </c>
      <c r="N363" s="40"/>
      <c r="O363" s="40"/>
      <c r="P363" s="40"/>
      <c r="Q363" s="40"/>
      <c r="R363" s="40"/>
      <c r="S363" s="40"/>
      <c r="T363" s="61">
        <f t="shared" si="59"/>
        <v>81.800000000000068</v>
      </c>
      <c r="U363" s="40"/>
      <c r="V363" s="40"/>
      <c r="W363" s="40"/>
      <c r="X363" s="40"/>
      <c r="Y363" s="67" t="str">
        <f t="shared" si="60"/>
        <v/>
      </c>
      <c r="AA363" s="71"/>
      <c r="AB363" s="71"/>
      <c r="AC363" s="67" t="str">
        <f t="shared" si="61"/>
        <v/>
      </c>
      <c r="AE363" s="124"/>
      <c r="AF363" s="124"/>
      <c r="AG363" s="121"/>
      <c r="AH363" s="121"/>
      <c r="AI363" s="124"/>
      <c r="AJ363" s="124"/>
    </row>
    <row r="364" spans="2:36" x14ac:dyDescent="0.25">
      <c r="B364" s="117"/>
      <c r="C364" s="7"/>
      <c r="D364" s="3">
        <f t="shared" si="54"/>
        <v>0</v>
      </c>
      <c r="E364" s="10"/>
      <c r="F364" s="40"/>
      <c r="G364" s="40"/>
      <c r="H364" s="40"/>
      <c r="I364" s="3" t="str">
        <f t="shared" si="55"/>
        <v/>
      </c>
      <c r="J364" s="3" t="str">
        <f t="shared" si="56"/>
        <v/>
      </c>
      <c r="K364" s="3" t="str">
        <f t="shared" si="57"/>
        <v/>
      </c>
      <c r="L364" s="3"/>
      <c r="M364" s="60" t="e">
        <f t="shared" si="58"/>
        <v>#VALUE!</v>
      </c>
      <c r="N364" s="40"/>
      <c r="O364" s="40"/>
      <c r="P364" s="40"/>
      <c r="Q364" s="40"/>
      <c r="R364" s="40"/>
      <c r="S364" s="40"/>
      <c r="T364" s="61">
        <f t="shared" si="59"/>
        <v>81.800000000000068</v>
      </c>
      <c r="U364" s="40"/>
      <c r="V364" s="40"/>
      <c r="W364" s="40"/>
      <c r="X364" s="40"/>
      <c r="Y364" s="67" t="str">
        <f t="shared" si="60"/>
        <v/>
      </c>
      <c r="AA364" s="71"/>
      <c r="AB364" s="71"/>
      <c r="AC364" s="67" t="str">
        <f t="shared" si="61"/>
        <v/>
      </c>
      <c r="AE364" s="124"/>
      <c r="AF364" s="124"/>
      <c r="AG364" s="121"/>
      <c r="AH364" s="121"/>
      <c r="AI364" s="124"/>
      <c r="AJ364" s="124"/>
    </row>
    <row r="365" spans="2:36" x14ac:dyDescent="0.25">
      <c r="B365" s="117"/>
      <c r="C365" s="7"/>
      <c r="D365" s="3">
        <f t="shared" si="54"/>
        <v>0</v>
      </c>
      <c r="E365" s="10"/>
      <c r="F365" s="40"/>
      <c r="G365" s="40"/>
      <c r="H365" s="40"/>
      <c r="I365" s="3" t="str">
        <f t="shared" si="55"/>
        <v/>
      </c>
      <c r="J365" s="3" t="str">
        <f t="shared" si="56"/>
        <v/>
      </c>
      <c r="K365" s="3" t="str">
        <f t="shared" si="57"/>
        <v/>
      </c>
      <c r="L365" s="3"/>
      <c r="M365" s="60" t="e">
        <f t="shared" si="58"/>
        <v>#VALUE!</v>
      </c>
      <c r="N365" s="40"/>
      <c r="O365" s="40"/>
      <c r="P365" s="40"/>
      <c r="Q365" s="40"/>
      <c r="R365" s="40"/>
      <c r="S365" s="40"/>
      <c r="T365" s="61">
        <f t="shared" si="59"/>
        <v>81.800000000000068</v>
      </c>
      <c r="U365" s="40"/>
      <c r="V365" s="40"/>
      <c r="W365" s="40"/>
      <c r="X365" s="40"/>
      <c r="Y365" s="67" t="str">
        <f t="shared" si="60"/>
        <v/>
      </c>
      <c r="AA365" s="71"/>
      <c r="AB365" s="71"/>
      <c r="AC365" s="67" t="str">
        <f t="shared" si="61"/>
        <v/>
      </c>
      <c r="AE365" s="124"/>
      <c r="AF365" s="124"/>
      <c r="AG365" s="121"/>
      <c r="AH365" s="121"/>
      <c r="AI365" s="124"/>
      <c r="AJ365" s="124"/>
    </row>
    <row r="366" spans="2:36" x14ac:dyDescent="0.25">
      <c r="B366" s="117"/>
      <c r="C366" s="7"/>
      <c r="D366" s="3">
        <f t="shared" si="54"/>
        <v>0</v>
      </c>
      <c r="E366" s="10"/>
      <c r="F366" s="40"/>
      <c r="G366" s="40"/>
      <c r="H366" s="40"/>
      <c r="I366" s="3" t="str">
        <f t="shared" si="55"/>
        <v/>
      </c>
      <c r="J366" s="3" t="str">
        <f t="shared" si="56"/>
        <v/>
      </c>
      <c r="K366" s="3" t="str">
        <f t="shared" si="57"/>
        <v/>
      </c>
      <c r="L366" s="3"/>
      <c r="M366" s="60" t="e">
        <f t="shared" si="58"/>
        <v>#VALUE!</v>
      </c>
      <c r="N366" s="40"/>
      <c r="O366" s="40"/>
      <c r="P366" s="40"/>
      <c r="Q366" s="40"/>
      <c r="R366" s="40"/>
      <c r="S366" s="40"/>
      <c r="T366" s="61">
        <f t="shared" si="59"/>
        <v>81.800000000000068</v>
      </c>
      <c r="U366" s="40"/>
      <c r="V366" s="40"/>
      <c r="W366" s="40"/>
      <c r="X366" s="40"/>
      <c r="Y366" s="67" t="str">
        <f t="shared" si="60"/>
        <v/>
      </c>
      <c r="AA366" s="71"/>
      <c r="AB366" s="71"/>
      <c r="AC366" s="67" t="str">
        <f t="shared" si="61"/>
        <v/>
      </c>
      <c r="AE366" s="124"/>
      <c r="AF366" s="124"/>
      <c r="AG366" s="121"/>
      <c r="AH366" s="121"/>
      <c r="AI366" s="124"/>
      <c r="AJ366" s="124"/>
    </row>
    <row r="367" spans="2:36" x14ac:dyDescent="0.25">
      <c r="B367" s="117"/>
      <c r="C367" s="7"/>
      <c r="D367" s="3">
        <f t="shared" si="54"/>
        <v>0</v>
      </c>
      <c r="E367" s="10"/>
      <c r="F367" s="40"/>
      <c r="G367" s="40"/>
      <c r="H367" s="40"/>
      <c r="I367" s="3" t="str">
        <f t="shared" si="55"/>
        <v/>
      </c>
      <c r="J367" s="3" t="str">
        <f t="shared" si="56"/>
        <v/>
      </c>
      <c r="K367" s="3" t="str">
        <f t="shared" si="57"/>
        <v/>
      </c>
      <c r="L367" s="3"/>
      <c r="M367" s="60" t="e">
        <f t="shared" si="58"/>
        <v>#VALUE!</v>
      </c>
      <c r="N367" s="40"/>
      <c r="O367" s="40"/>
      <c r="P367" s="40"/>
      <c r="Q367" s="40"/>
      <c r="R367" s="40"/>
      <c r="S367" s="40"/>
      <c r="T367" s="61">
        <f t="shared" si="59"/>
        <v>81.800000000000068</v>
      </c>
      <c r="U367" s="40"/>
      <c r="V367" s="40"/>
      <c r="W367" s="40"/>
      <c r="X367" s="40"/>
      <c r="Y367" s="67" t="str">
        <f t="shared" si="60"/>
        <v/>
      </c>
      <c r="AA367" s="71"/>
      <c r="AB367" s="71"/>
      <c r="AC367" s="67" t="str">
        <f t="shared" si="61"/>
        <v/>
      </c>
      <c r="AE367" s="124"/>
      <c r="AF367" s="124"/>
      <c r="AG367" s="121"/>
      <c r="AH367" s="121"/>
      <c r="AI367" s="124"/>
      <c r="AJ367" s="124"/>
    </row>
    <row r="368" spans="2:36" x14ac:dyDescent="0.25">
      <c r="B368" s="117"/>
      <c r="C368" s="7"/>
      <c r="D368" s="3">
        <f t="shared" si="54"/>
        <v>0</v>
      </c>
      <c r="E368" s="10"/>
      <c r="F368" s="40"/>
      <c r="G368" s="40"/>
      <c r="H368" s="40"/>
      <c r="I368" s="3" t="str">
        <f t="shared" si="55"/>
        <v/>
      </c>
      <c r="J368" s="3" t="str">
        <f t="shared" si="56"/>
        <v/>
      </c>
      <c r="K368" s="3" t="str">
        <f t="shared" si="57"/>
        <v/>
      </c>
      <c r="L368" s="3"/>
      <c r="M368" s="60" t="e">
        <f t="shared" si="58"/>
        <v>#VALUE!</v>
      </c>
      <c r="N368" s="40"/>
      <c r="O368" s="40"/>
      <c r="P368" s="40"/>
      <c r="Q368" s="40"/>
      <c r="R368" s="40"/>
      <c r="S368" s="40"/>
      <c r="T368" s="61">
        <f t="shared" si="59"/>
        <v>81.800000000000068</v>
      </c>
      <c r="U368" s="40"/>
      <c r="V368" s="40"/>
      <c r="W368" s="40"/>
      <c r="X368" s="40"/>
      <c r="Y368" s="67" t="str">
        <f t="shared" si="60"/>
        <v/>
      </c>
      <c r="AA368" s="71"/>
      <c r="AB368" s="71"/>
      <c r="AC368" s="67" t="str">
        <f t="shared" si="61"/>
        <v/>
      </c>
      <c r="AE368" s="124"/>
      <c r="AF368" s="124"/>
      <c r="AG368" s="121"/>
      <c r="AH368" s="121"/>
      <c r="AI368" s="124"/>
      <c r="AJ368" s="124"/>
    </row>
    <row r="369" spans="2:36" x14ac:dyDescent="0.25">
      <c r="B369" s="117"/>
      <c r="C369" s="7"/>
      <c r="D369" s="3">
        <f t="shared" si="54"/>
        <v>0</v>
      </c>
      <c r="E369" s="10"/>
      <c r="F369" s="40"/>
      <c r="G369" s="40"/>
      <c r="H369" s="40"/>
      <c r="I369" s="3" t="str">
        <f t="shared" si="55"/>
        <v/>
      </c>
      <c r="J369" s="3" t="str">
        <f t="shared" si="56"/>
        <v/>
      </c>
      <c r="K369" s="3" t="str">
        <f t="shared" si="57"/>
        <v/>
      </c>
      <c r="L369" s="3"/>
      <c r="M369" s="60" t="e">
        <f t="shared" si="58"/>
        <v>#VALUE!</v>
      </c>
      <c r="N369" s="40"/>
      <c r="O369" s="40"/>
      <c r="P369" s="40"/>
      <c r="Q369" s="40"/>
      <c r="R369" s="40"/>
      <c r="S369" s="40"/>
      <c r="T369" s="61">
        <f t="shared" si="59"/>
        <v>81.800000000000068</v>
      </c>
      <c r="U369" s="40"/>
      <c r="V369" s="40"/>
      <c r="W369" s="40"/>
      <c r="X369" s="40"/>
      <c r="Y369" s="67" t="str">
        <f t="shared" si="60"/>
        <v/>
      </c>
      <c r="AA369" s="71"/>
      <c r="AB369" s="71"/>
      <c r="AC369" s="67" t="str">
        <f t="shared" si="61"/>
        <v/>
      </c>
      <c r="AE369" s="124"/>
      <c r="AF369" s="124"/>
      <c r="AG369" s="121"/>
      <c r="AH369" s="121"/>
      <c r="AI369" s="124"/>
      <c r="AJ369" s="124"/>
    </row>
    <row r="370" spans="2:36" x14ac:dyDescent="0.25">
      <c r="B370" s="117"/>
      <c r="C370" s="7"/>
      <c r="D370" s="3">
        <f t="shared" si="54"/>
        <v>0</v>
      </c>
      <c r="E370" s="10"/>
      <c r="F370" s="40"/>
      <c r="G370" s="40"/>
      <c r="H370" s="40"/>
      <c r="I370" s="3" t="str">
        <f t="shared" si="55"/>
        <v/>
      </c>
      <c r="J370" s="3" t="str">
        <f t="shared" si="56"/>
        <v/>
      </c>
      <c r="K370" s="3" t="str">
        <f t="shared" si="57"/>
        <v/>
      </c>
      <c r="L370" s="3"/>
      <c r="M370" s="60" t="e">
        <f t="shared" si="58"/>
        <v>#VALUE!</v>
      </c>
      <c r="N370" s="40"/>
      <c r="O370" s="40"/>
      <c r="P370" s="40"/>
      <c r="Q370" s="40"/>
      <c r="R370" s="40"/>
      <c r="S370" s="40"/>
      <c r="T370" s="61">
        <f t="shared" si="59"/>
        <v>81.800000000000068</v>
      </c>
      <c r="U370" s="40"/>
      <c r="V370" s="40"/>
      <c r="W370" s="40"/>
      <c r="X370" s="40"/>
      <c r="Y370" s="67" t="str">
        <f t="shared" si="60"/>
        <v/>
      </c>
      <c r="AA370" s="71"/>
      <c r="AB370" s="71"/>
      <c r="AC370" s="67" t="str">
        <f t="shared" si="61"/>
        <v/>
      </c>
      <c r="AE370" s="124"/>
      <c r="AF370" s="124"/>
      <c r="AG370" s="121"/>
      <c r="AH370" s="121"/>
      <c r="AI370" s="124"/>
      <c r="AJ370" s="124"/>
    </row>
    <row r="371" spans="2:36" x14ac:dyDescent="0.25">
      <c r="B371" s="117"/>
      <c r="C371" s="7"/>
      <c r="D371" s="3">
        <f t="shared" si="54"/>
        <v>0</v>
      </c>
      <c r="E371" s="10"/>
      <c r="F371" s="40"/>
      <c r="G371" s="40"/>
      <c r="H371" s="40"/>
      <c r="I371" s="3" t="str">
        <f t="shared" si="55"/>
        <v/>
      </c>
      <c r="J371" s="3" t="str">
        <f t="shared" si="56"/>
        <v/>
      </c>
      <c r="K371" s="3" t="str">
        <f t="shared" si="57"/>
        <v/>
      </c>
      <c r="L371" s="3"/>
      <c r="M371" s="60" t="e">
        <f t="shared" si="58"/>
        <v>#VALUE!</v>
      </c>
      <c r="N371" s="40"/>
      <c r="O371" s="40"/>
      <c r="P371" s="40"/>
      <c r="Q371" s="40"/>
      <c r="R371" s="40"/>
      <c r="S371" s="40"/>
      <c r="T371" s="61">
        <f t="shared" si="59"/>
        <v>81.800000000000068</v>
      </c>
      <c r="U371" s="40"/>
      <c r="V371" s="40"/>
      <c r="W371" s="40"/>
      <c r="X371" s="40"/>
      <c r="Y371" s="67" t="str">
        <f t="shared" si="60"/>
        <v/>
      </c>
      <c r="AA371" s="71"/>
      <c r="AB371" s="71"/>
      <c r="AC371" s="67" t="str">
        <f t="shared" si="61"/>
        <v/>
      </c>
      <c r="AE371" s="124"/>
      <c r="AF371" s="124"/>
      <c r="AG371" s="121"/>
      <c r="AH371" s="121"/>
      <c r="AI371" s="124"/>
      <c r="AJ371" s="124"/>
    </row>
    <row r="372" spans="2:36" x14ac:dyDescent="0.25">
      <c r="B372" s="117"/>
      <c r="C372" s="7"/>
      <c r="D372" s="3">
        <f t="shared" si="54"/>
        <v>0</v>
      </c>
      <c r="E372" s="10"/>
      <c r="F372" s="40"/>
      <c r="G372" s="40"/>
      <c r="H372" s="40"/>
      <c r="I372" s="3" t="str">
        <f t="shared" si="55"/>
        <v/>
      </c>
      <c r="J372" s="3" t="str">
        <f t="shared" si="56"/>
        <v/>
      </c>
      <c r="K372" s="3" t="str">
        <f t="shared" si="57"/>
        <v/>
      </c>
      <c r="L372" s="3"/>
      <c r="M372" s="60" t="e">
        <f t="shared" si="58"/>
        <v>#VALUE!</v>
      </c>
      <c r="N372" s="40"/>
      <c r="O372" s="40"/>
      <c r="P372" s="40"/>
      <c r="Q372" s="40"/>
      <c r="R372" s="40"/>
      <c r="S372" s="40"/>
      <c r="T372" s="61">
        <f t="shared" si="59"/>
        <v>81.800000000000068</v>
      </c>
      <c r="U372" s="40"/>
      <c r="V372" s="40"/>
      <c r="W372" s="40"/>
      <c r="X372" s="40"/>
      <c r="Y372" s="67" t="str">
        <f t="shared" si="60"/>
        <v/>
      </c>
      <c r="AA372" s="71"/>
      <c r="AB372" s="71"/>
      <c r="AC372" s="67" t="str">
        <f t="shared" si="61"/>
        <v/>
      </c>
      <c r="AE372" s="124"/>
      <c r="AF372" s="124"/>
      <c r="AG372" s="121"/>
      <c r="AH372" s="121"/>
      <c r="AI372" s="124"/>
      <c r="AJ372" s="124"/>
    </row>
    <row r="373" spans="2:36" x14ac:dyDescent="0.25">
      <c r="B373" s="117"/>
      <c r="C373" s="7"/>
      <c r="D373" s="3">
        <f t="shared" si="54"/>
        <v>0</v>
      </c>
      <c r="E373" s="10"/>
      <c r="F373" s="40"/>
      <c r="G373" s="40"/>
      <c r="H373" s="40"/>
      <c r="I373" s="3" t="str">
        <f t="shared" si="55"/>
        <v/>
      </c>
      <c r="J373" s="3" t="str">
        <f t="shared" si="56"/>
        <v/>
      </c>
      <c r="K373" s="3" t="str">
        <f t="shared" si="57"/>
        <v/>
      </c>
      <c r="L373" s="3"/>
      <c r="M373" s="60" t="e">
        <f t="shared" si="58"/>
        <v>#VALUE!</v>
      </c>
      <c r="N373" s="40"/>
      <c r="O373" s="40"/>
      <c r="P373" s="40"/>
      <c r="Q373" s="40"/>
      <c r="R373" s="40"/>
      <c r="S373" s="40"/>
      <c r="T373" s="61">
        <f t="shared" si="59"/>
        <v>81.800000000000068</v>
      </c>
      <c r="U373" s="40"/>
      <c r="V373" s="40"/>
      <c r="W373" s="40"/>
      <c r="X373" s="40"/>
      <c r="Y373" s="67" t="str">
        <f t="shared" si="60"/>
        <v/>
      </c>
      <c r="AA373" s="71"/>
      <c r="AB373" s="71"/>
      <c r="AC373" s="67" t="str">
        <f t="shared" si="61"/>
        <v/>
      </c>
      <c r="AE373" s="124"/>
      <c r="AF373" s="124"/>
      <c r="AG373" s="121"/>
      <c r="AH373" s="121"/>
      <c r="AI373" s="124"/>
      <c r="AJ373" s="124"/>
    </row>
    <row r="374" spans="2:36" x14ac:dyDescent="0.25">
      <c r="B374" s="117"/>
      <c r="C374" s="7"/>
      <c r="D374" s="3">
        <f t="shared" si="54"/>
        <v>0</v>
      </c>
      <c r="E374" s="10"/>
      <c r="F374" s="40"/>
      <c r="G374" s="40"/>
      <c r="H374" s="40"/>
      <c r="I374" s="3" t="str">
        <f t="shared" si="55"/>
        <v/>
      </c>
      <c r="J374" s="3" t="str">
        <f t="shared" si="56"/>
        <v/>
      </c>
      <c r="K374" s="3" t="str">
        <f t="shared" si="57"/>
        <v/>
      </c>
      <c r="L374" s="3"/>
      <c r="M374" s="60" t="e">
        <f t="shared" si="58"/>
        <v>#VALUE!</v>
      </c>
      <c r="N374" s="40"/>
      <c r="O374" s="40"/>
      <c r="P374" s="40"/>
      <c r="Q374" s="40"/>
      <c r="R374" s="40"/>
      <c r="S374" s="40"/>
      <c r="T374" s="61">
        <f t="shared" si="59"/>
        <v>81.800000000000068</v>
      </c>
      <c r="U374" s="40"/>
      <c r="V374" s="40"/>
      <c r="W374" s="40"/>
      <c r="X374" s="40"/>
      <c r="Y374" s="67" t="str">
        <f t="shared" si="60"/>
        <v/>
      </c>
      <c r="AA374" s="71"/>
      <c r="AB374" s="71"/>
      <c r="AC374" s="67" t="str">
        <f t="shared" si="61"/>
        <v/>
      </c>
      <c r="AE374" s="124"/>
      <c r="AF374" s="124"/>
      <c r="AG374" s="121"/>
      <c r="AH374" s="121"/>
      <c r="AI374" s="124"/>
      <c r="AJ374" s="124"/>
    </row>
    <row r="375" spans="2:36" x14ac:dyDescent="0.25">
      <c r="B375" s="117"/>
      <c r="C375" s="7"/>
      <c r="D375" s="3">
        <f t="shared" si="54"/>
        <v>0</v>
      </c>
      <c r="E375" s="10"/>
      <c r="F375" s="40"/>
      <c r="G375" s="40"/>
      <c r="H375" s="40"/>
      <c r="I375" s="3" t="str">
        <f t="shared" si="55"/>
        <v/>
      </c>
      <c r="J375" s="3" t="str">
        <f t="shared" si="56"/>
        <v/>
      </c>
      <c r="K375" s="3" t="str">
        <f t="shared" si="57"/>
        <v/>
      </c>
      <c r="L375" s="3"/>
      <c r="M375" s="60" t="e">
        <f t="shared" si="58"/>
        <v>#VALUE!</v>
      </c>
      <c r="N375" s="40"/>
      <c r="O375" s="40"/>
      <c r="P375" s="40"/>
      <c r="Q375" s="40"/>
      <c r="R375" s="40"/>
      <c r="S375" s="40"/>
      <c r="T375" s="61">
        <f t="shared" si="59"/>
        <v>81.800000000000068</v>
      </c>
      <c r="U375" s="40"/>
      <c r="V375" s="40"/>
      <c r="W375" s="40"/>
      <c r="X375" s="40"/>
      <c r="Y375" s="67" t="str">
        <f t="shared" si="60"/>
        <v/>
      </c>
      <c r="AA375" s="71"/>
      <c r="AB375" s="71"/>
      <c r="AC375" s="67" t="str">
        <f t="shared" si="61"/>
        <v/>
      </c>
      <c r="AE375" s="124"/>
      <c r="AF375" s="124"/>
      <c r="AG375" s="121"/>
      <c r="AH375" s="121"/>
      <c r="AI375" s="124"/>
      <c r="AJ375" s="124"/>
    </row>
    <row r="376" spans="2:36" x14ac:dyDescent="0.25">
      <c r="B376" s="117"/>
      <c r="C376" s="7"/>
      <c r="D376" s="3">
        <f t="shared" si="54"/>
        <v>0</v>
      </c>
      <c r="E376" s="10"/>
      <c r="F376" s="40"/>
      <c r="G376" s="40"/>
      <c r="H376" s="40"/>
      <c r="I376" s="3" t="str">
        <f t="shared" si="55"/>
        <v/>
      </c>
      <c r="J376" s="3" t="str">
        <f t="shared" si="56"/>
        <v/>
      </c>
      <c r="K376" s="3" t="str">
        <f t="shared" si="57"/>
        <v/>
      </c>
      <c r="L376" s="3"/>
      <c r="M376" s="60" t="e">
        <f t="shared" si="58"/>
        <v>#VALUE!</v>
      </c>
      <c r="N376" s="40"/>
      <c r="O376" s="40"/>
      <c r="P376" s="40"/>
      <c r="Q376" s="40"/>
      <c r="R376" s="40"/>
      <c r="S376" s="40"/>
      <c r="T376" s="61">
        <f t="shared" si="59"/>
        <v>81.800000000000068</v>
      </c>
      <c r="U376" s="40"/>
      <c r="V376" s="40"/>
      <c r="W376" s="40"/>
      <c r="X376" s="40"/>
      <c r="Y376" s="67" t="str">
        <f t="shared" si="60"/>
        <v/>
      </c>
      <c r="AA376" s="71"/>
      <c r="AB376" s="71"/>
      <c r="AC376" s="67" t="str">
        <f t="shared" si="61"/>
        <v/>
      </c>
      <c r="AE376" s="124"/>
      <c r="AF376" s="124"/>
      <c r="AG376" s="121"/>
      <c r="AH376" s="121"/>
      <c r="AI376" s="124"/>
      <c r="AJ376" s="124"/>
    </row>
    <row r="377" spans="2:36" x14ac:dyDescent="0.25">
      <c r="B377" s="117"/>
      <c r="C377" s="7"/>
      <c r="D377" s="3">
        <f t="shared" si="54"/>
        <v>0</v>
      </c>
      <c r="E377" s="10"/>
      <c r="F377" s="40"/>
      <c r="G377" s="40"/>
      <c r="H377" s="40"/>
      <c r="I377" s="3" t="str">
        <f t="shared" si="55"/>
        <v/>
      </c>
      <c r="J377" s="3" t="str">
        <f t="shared" si="56"/>
        <v/>
      </c>
      <c r="K377" s="3" t="str">
        <f t="shared" si="57"/>
        <v/>
      </c>
      <c r="L377" s="3"/>
      <c r="M377" s="60" t="e">
        <f t="shared" si="58"/>
        <v>#VALUE!</v>
      </c>
      <c r="N377" s="40"/>
      <c r="O377" s="40"/>
      <c r="P377" s="40"/>
      <c r="Q377" s="40"/>
      <c r="R377" s="40"/>
      <c r="S377" s="40"/>
      <c r="T377" s="61">
        <f t="shared" si="59"/>
        <v>81.800000000000068</v>
      </c>
      <c r="U377" s="40"/>
      <c r="V377" s="40"/>
      <c r="W377" s="40"/>
      <c r="X377" s="40"/>
      <c r="Y377" s="67" t="str">
        <f t="shared" si="60"/>
        <v/>
      </c>
      <c r="AA377" s="71"/>
      <c r="AB377" s="71"/>
      <c r="AC377" s="67" t="str">
        <f t="shared" si="61"/>
        <v/>
      </c>
      <c r="AE377" s="124"/>
      <c r="AF377" s="124"/>
      <c r="AG377" s="121"/>
      <c r="AH377" s="121"/>
      <c r="AI377" s="124"/>
      <c r="AJ377" s="124"/>
    </row>
    <row r="378" spans="2:36" x14ac:dyDescent="0.25">
      <c r="B378" s="117"/>
      <c r="C378" s="7"/>
      <c r="D378" s="3">
        <f t="shared" si="54"/>
        <v>0</v>
      </c>
      <c r="E378" s="10"/>
      <c r="F378" s="40"/>
      <c r="G378" s="40"/>
      <c r="H378" s="40"/>
      <c r="I378" s="3" t="str">
        <f t="shared" si="55"/>
        <v/>
      </c>
      <c r="J378" s="3" t="str">
        <f t="shared" si="56"/>
        <v/>
      </c>
      <c r="K378" s="3" t="str">
        <f t="shared" si="57"/>
        <v/>
      </c>
      <c r="L378" s="3"/>
      <c r="M378" s="60" t="e">
        <f t="shared" si="58"/>
        <v>#VALUE!</v>
      </c>
      <c r="N378" s="40"/>
      <c r="O378" s="40"/>
      <c r="P378" s="40"/>
      <c r="Q378" s="40"/>
      <c r="R378" s="40"/>
      <c r="S378" s="40"/>
      <c r="T378" s="61">
        <f t="shared" si="59"/>
        <v>81.800000000000068</v>
      </c>
      <c r="U378" s="40"/>
      <c r="V378" s="40"/>
      <c r="W378" s="40"/>
      <c r="X378" s="40"/>
      <c r="Y378" s="67" t="str">
        <f t="shared" si="60"/>
        <v/>
      </c>
      <c r="AA378" s="71"/>
      <c r="AB378" s="71"/>
      <c r="AC378" s="67" t="str">
        <f t="shared" si="61"/>
        <v/>
      </c>
      <c r="AE378" s="124"/>
      <c r="AF378" s="124"/>
      <c r="AG378" s="121"/>
      <c r="AH378" s="121"/>
      <c r="AI378" s="124"/>
      <c r="AJ378" s="124"/>
    </row>
    <row r="379" spans="2:36" x14ac:dyDescent="0.25">
      <c r="B379" s="117"/>
      <c r="C379" s="7"/>
      <c r="D379" s="3">
        <f t="shared" si="54"/>
        <v>0</v>
      </c>
      <c r="E379" s="10"/>
      <c r="F379" s="40"/>
      <c r="G379" s="40"/>
      <c r="H379" s="40"/>
      <c r="I379" s="3" t="str">
        <f t="shared" si="55"/>
        <v/>
      </c>
      <c r="J379" s="3" t="str">
        <f t="shared" si="56"/>
        <v/>
      </c>
      <c r="K379" s="3" t="str">
        <f t="shared" si="57"/>
        <v/>
      </c>
      <c r="L379" s="3"/>
      <c r="M379" s="60" t="e">
        <f t="shared" si="58"/>
        <v>#VALUE!</v>
      </c>
      <c r="N379" s="40"/>
      <c r="O379" s="40"/>
      <c r="P379" s="40"/>
      <c r="Q379" s="40"/>
      <c r="R379" s="40"/>
      <c r="S379" s="40"/>
      <c r="T379" s="61">
        <f t="shared" si="59"/>
        <v>81.800000000000068</v>
      </c>
      <c r="U379" s="40"/>
      <c r="V379" s="40"/>
      <c r="W379" s="40"/>
      <c r="X379" s="40"/>
      <c r="Y379" s="67" t="str">
        <f t="shared" si="60"/>
        <v/>
      </c>
      <c r="AA379" s="71"/>
      <c r="AB379" s="71"/>
      <c r="AC379" s="67" t="str">
        <f t="shared" si="61"/>
        <v/>
      </c>
      <c r="AE379" s="124"/>
      <c r="AF379" s="124"/>
      <c r="AG379" s="121"/>
      <c r="AH379" s="121"/>
      <c r="AI379" s="124"/>
      <c r="AJ379" s="124"/>
    </row>
    <row r="380" spans="2:36" x14ac:dyDescent="0.25">
      <c r="B380" s="117"/>
      <c r="C380" s="7"/>
      <c r="D380" s="3">
        <f t="shared" si="54"/>
        <v>0</v>
      </c>
      <c r="E380" s="10"/>
      <c r="F380" s="40"/>
      <c r="G380" s="40"/>
      <c r="H380" s="40"/>
      <c r="I380" s="3" t="str">
        <f t="shared" si="55"/>
        <v/>
      </c>
      <c r="J380" s="3" t="str">
        <f t="shared" si="56"/>
        <v/>
      </c>
      <c r="K380" s="3" t="str">
        <f t="shared" si="57"/>
        <v/>
      </c>
      <c r="L380" s="3"/>
      <c r="M380" s="60" t="e">
        <f t="shared" si="58"/>
        <v>#VALUE!</v>
      </c>
      <c r="N380" s="40"/>
      <c r="O380" s="40"/>
      <c r="P380" s="40"/>
      <c r="Q380" s="40"/>
      <c r="R380" s="40"/>
      <c r="S380" s="40"/>
      <c r="T380" s="61">
        <f t="shared" si="59"/>
        <v>81.800000000000068</v>
      </c>
      <c r="U380" s="40"/>
      <c r="V380" s="40"/>
      <c r="W380" s="40"/>
      <c r="X380" s="40"/>
      <c r="Y380" s="67" t="str">
        <f t="shared" si="60"/>
        <v/>
      </c>
      <c r="AA380" s="71"/>
      <c r="AB380" s="71"/>
      <c r="AC380" s="67" t="str">
        <f t="shared" si="61"/>
        <v/>
      </c>
      <c r="AE380" s="124"/>
      <c r="AF380" s="124"/>
      <c r="AG380" s="121"/>
      <c r="AH380" s="121"/>
      <c r="AI380" s="124"/>
      <c r="AJ380" s="124"/>
    </row>
    <row r="381" spans="2:36" x14ac:dyDescent="0.25">
      <c r="B381" s="117"/>
      <c r="C381" s="7"/>
      <c r="D381" s="3">
        <f t="shared" si="54"/>
        <v>0</v>
      </c>
      <c r="E381" s="10"/>
      <c r="F381" s="40"/>
      <c r="G381" s="40"/>
      <c r="H381" s="40"/>
      <c r="I381" s="3" t="str">
        <f t="shared" si="55"/>
        <v/>
      </c>
      <c r="J381" s="3" t="str">
        <f t="shared" si="56"/>
        <v/>
      </c>
      <c r="K381" s="3" t="str">
        <f t="shared" si="57"/>
        <v/>
      </c>
      <c r="L381" s="3"/>
      <c r="M381" s="60" t="e">
        <f t="shared" si="58"/>
        <v>#VALUE!</v>
      </c>
      <c r="N381" s="40"/>
      <c r="O381" s="40"/>
      <c r="P381" s="40"/>
      <c r="Q381" s="40"/>
      <c r="R381" s="40"/>
      <c r="S381" s="40"/>
      <c r="T381" s="61">
        <f t="shared" si="59"/>
        <v>81.800000000000068</v>
      </c>
      <c r="U381" s="40"/>
      <c r="V381" s="40"/>
      <c r="W381" s="40"/>
      <c r="X381" s="40"/>
      <c r="Y381" s="67" t="str">
        <f t="shared" si="60"/>
        <v/>
      </c>
      <c r="AA381" s="71"/>
      <c r="AB381" s="71"/>
      <c r="AC381" s="67" t="str">
        <f t="shared" si="61"/>
        <v/>
      </c>
      <c r="AE381" s="124"/>
      <c r="AF381" s="124"/>
      <c r="AG381" s="121"/>
      <c r="AH381" s="121"/>
      <c r="AI381" s="124"/>
      <c r="AJ381" s="124"/>
    </row>
    <row r="382" spans="2:36" x14ac:dyDescent="0.25">
      <c r="B382" s="117"/>
      <c r="C382" s="7"/>
      <c r="D382" s="3">
        <f t="shared" si="54"/>
        <v>0</v>
      </c>
      <c r="E382" s="10"/>
      <c r="F382" s="40"/>
      <c r="G382" s="40"/>
      <c r="H382" s="40"/>
      <c r="I382" s="3" t="str">
        <f t="shared" si="55"/>
        <v/>
      </c>
      <c r="J382" s="3" t="str">
        <f t="shared" si="56"/>
        <v/>
      </c>
      <c r="K382" s="3" t="str">
        <f t="shared" si="57"/>
        <v/>
      </c>
      <c r="L382" s="3"/>
      <c r="M382" s="60" t="e">
        <f t="shared" si="58"/>
        <v>#VALUE!</v>
      </c>
      <c r="N382" s="40"/>
      <c r="O382" s="40"/>
      <c r="P382" s="40"/>
      <c r="Q382" s="40"/>
      <c r="R382" s="40"/>
      <c r="S382" s="40"/>
      <c r="T382" s="61">
        <f t="shared" si="59"/>
        <v>81.800000000000068</v>
      </c>
      <c r="U382" s="40"/>
      <c r="V382" s="40"/>
      <c r="W382" s="40"/>
      <c r="X382" s="40"/>
      <c r="Y382" s="67" t="str">
        <f t="shared" si="60"/>
        <v/>
      </c>
      <c r="AA382" s="71"/>
      <c r="AB382" s="71"/>
      <c r="AC382" s="67" t="str">
        <f t="shared" si="61"/>
        <v/>
      </c>
      <c r="AE382" s="124"/>
      <c r="AF382" s="124"/>
      <c r="AG382" s="121"/>
      <c r="AH382" s="121"/>
      <c r="AI382" s="124"/>
      <c r="AJ382" s="124"/>
    </row>
    <row r="383" spans="2:36" x14ac:dyDescent="0.25">
      <c r="B383" s="117"/>
      <c r="C383" s="7"/>
      <c r="D383" s="3">
        <f t="shared" si="54"/>
        <v>0</v>
      </c>
      <c r="E383" s="10"/>
      <c r="F383" s="40"/>
      <c r="G383" s="40"/>
      <c r="H383" s="40"/>
      <c r="I383" s="3" t="str">
        <f t="shared" si="55"/>
        <v/>
      </c>
      <c r="J383" s="3" t="str">
        <f t="shared" si="56"/>
        <v/>
      </c>
      <c r="K383" s="3" t="str">
        <f t="shared" si="57"/>
        <v/>
      </c>
      <c r="L383" s="3"/>
      <c r="M383" s="60" t="e">
        <f t="shared" si="58"/>
        <v>#VALUE!</v>
      </c>
      <c r="N383" s="40"/>
      <c r="O383" s="40"/>
      <c r="P383" s="40"/>
      <c r="Q383" s="40"/>
      <c r="R383" s="40"/>
      <c r="S383" s="40"/>
      <c r="T383" s="61">
        <f t="shared" si="59"/>
        <v>81.800000000000068</v>
      </c>
      <c r="U383" s="40"/>
      <c r="V383" s="40"/>
      <c r="W383" s="40"/>
      <c r="X383" s="40"/>
      <c r="Y383" s="67" t="str">
        <f t="shared" si="60"/>
        <v/>
      </c>
      <c r="AA383" s="71"/>
      <c r="AB383" s="71"/>
      <c r="AC383" s="67" t="str">
        <f t="shared" si="61"/>
        <v/>
      </c>
      <c r="AE383" s="124"/>
      <c r="AF383" s="124"/>
      <c r="AG383" s="121"/>
      <c r="AH383" s="121"/>
      <c r="AI383" s="124"/>
      <c r="AJ383" s="124"/>
    </row>
    <row r="384" spans="2:36" x14ac:dyDescent="0.25">
      <c r="B384" s="117"/>
      <c r="C384" s="7"/>
      <c r="D384" s="3">
        <f t="shared" si="54"/>
        <v>0</v>
      </c>
      <c r="E384" s="10"/>
      <c r="F384" s="40"/>
      <c r="G384" s="40"/>
      <c r="H384" s="40"/>
      <c r="I384" s="3" t="str">
        <f t="shared" si="55"/>
        <v/>
      </c>
      <c r="J384" s="3" t="str">
        <f t="shared" si="56"/>
        <v/>
      </c>
      <c r="K384" s="3" t="str">
        <f t="shared" si="57"/>
        <v/>
      </c>
      <c r="L384" s="3"/>
      <c r="M384" s="60" t="e">
        <f t="shared" si="58"/>
        <v>#VALUE!</v>
      </c>
      <c r="N384" s="40"/>
      <c r="O384" s="40"/>
      <c r="P384" s="40"/>
      <c r="Q384" s="40"/>
      <c r="R384" s="40"/>
      <c r="S384" s="40"/>
      <c r="T384" s="61">
        <f t="shared" si="59"/>
        <v>81.800000000000068</v>
      </c>
      <c r="U384" s="40"/>
      <c r="V384" s="40"/>
      <c r="W384" s="40"/>
      <c r="X384" s="40"/>
      <c r="Y384" s="67" t="str">
        <f t="shared" si="60"/>
        <v/>
      </c>
      <c r="AA384" s="71"/>
      <c r="AB384" s="71"/>
      <c r="AC384" s="67" t="str">
        <f t="shared" si="61"/>
        <v/>
      </c>
      <c r="AE384" s="124"/>
      <c r="AF384" s="124"/>
      <c r="AG384" s="121"/>
      <c r="AH384" s="121"/>
      <c r="AI384" s="124"/>
      <c r="AJ384" s="124"/>
    </row>
    <row r="385" spans="2:36" x14ac:dyDescent="0.25">
      <c r="B385" s="117"/>
      <c r="C385" s="7"/>
      <c r="D385" s="3">
        <f t="shared" si="54"/>
        <v>0</v>
      </c>
      <c r="E385" s="10"/>
      <c r="F385" s="40"/>
      <c r="G385" s="40"/>
      <c r="H385" s="40"/>
      <c r="I385" s="3" t="str">
        <f t="shared" si="55"/>
        <v/>
      </c>
      <c r="J385" s="3" t="str">
        <f t="shared" si="56"/>
        <v/>
      </c>
      <c r="K385" s="3" t="str">
        <f t="shared" si="57"/>
        <v/>
      </c>
      <c r="L385" s="3"/>
      <c r="M385" s="60" t="e">
        <f t="shared" si="58"/>
        <v>#VALUE!</v>
      </c>
      <c r="N385" s="40"/>
      <c r="O385" s="40"/>
      <c r="P385" s="40"/>
      <c r="Q385" s="40"/>
      <c r="R385" s="40"/>
      <c r="S385" s="40"/>
      <c r="T385" s="61">
        <f t="shared" si="59"/>
        <v>81.800000000000068</v>
      </c>
      <c r="U385" s="40"/>
      <c r="V385" s="40"/>
      <c r="W385" s="40"/>
      <c r="X385" s="40"/>
      <c r="Y385" s="67" t="str">
        <f t="shared" si="60"/>
        <v/>
      </c>
      <c r="AA385" s="71"/>
      <c r="AB385" s="71"/>
      <c r="AC385" s="67" t="str">
        <f t="shared" si="61"/>
        <v/>
      </c>
      <c r="AE385" s="124"/>
      <c r="AF385" s="124"/>
      <c r="AG385" s="121"/>
      <c r="AH385" s="121"/>
      <c r="AI385" s="124"/>
      <c r="AJ385" s="124"/>
    </row>
    <row r="386" spans="2:36" x14ac:dyDescent="0.25">
      <c r="B386" s="117"/>
      <c r="C386" s="7"/>
      <c r="D386" s="3">
        <f t="shared" si="54"/>
        <v>0</v>
      </c>
      <c r="E386" s="10"/>
      <c r="F386" s="40"/>
      <c r="G386" s="40"/>
      <c r="H386" s="40"/>
      <c r="I386" s="3" t="str">
        <f t="shared" si="55"/>
        <v/>
      </c>
      <c r="J386" s="3" t="str">
        <f t="shared" si="56"/>
        <v/>
      </c>
      <c r="K386" s="3" t="str">
        <f t="shared" si="57"/>
        <v/>
      </c>
      <c r="L386" s="3"/>
      <c r="M386" s="60" t="e">
        <f t="shared" si="58"/>
        <v>#VALUE!</v>
      </c>
      <c r="N386" s="40"/>
      <c r="O386" s="40"/>
      <c r="P386" s="40"/>
      <c r="Q386" s="40"/>
      <c r="R386" s="40"/>
      <c r="S386" s="40"/>
      <c r="T386" s="61">
        <f t="shared" si="59"/>
        <v>81.800000000000068</v>
      </c>
      <c r="U386" s="40"/>
      <c r="V386" s="40"/>
      <c r="W386" s="40"/>
      <c r="X386" s="40"/>
      <c r="Y386" s="67" t="str">
        <f t="shared" si="60"/>
        <v/>
      </c>
      <c r="AA386" s="71"/>
      <c r="AB386" s="71"/>
      <c r="AC386" s="67" t="str">
        <f t="shared" si="61"/>
        <v/>
      </c>
      <c r="AE386" s="124"/>
      <c r="AF386" s="124"/>
      <c r="AG386" s="121"/>
      <c r="AH386" s="121"/>
      <c r="AI386" s="124"/>
      <c r="AJ386" s="124"/>
    </row>
    <row r="387" spans="2:36" x14ac:dyDescent="0.25">
      <c r="B387" s="117"/>
      <c r="C387" s="7"/>
      <c r="D387" s="3">
        <f t="shared" si="54"/>
        <v>0</v>
      </c>
      <c r="E387" s="10"/>
      <c r="F387" s="40"/>
      <c r="G387" s="40"/>
      <c r="H387" s="40"/>
      <c r="I387" s="3" t="str">
        <f t="shared" si="55"/>
        <v/>
      </c>
      <c r="J387" s="3" t="str">
        <f t="shared" si="56"/>
        <v/>
      </c>
      <c r="K387" s="3" t="str">
        <f t="shared" si="57"/>
        <v/>
      </c>
      <c r="L387" s="3"/>
      <c r="M387" s="60" t="e">
        <f t="shared" si="58"/>
        <v>#VALUE!</v>
      </c>
      <c r="N387" s="40"/>
      <c r="O387" s="40"/>
      <c r="P387" s="40"/>
      <c r="Q387" s="40"/>
      <c r="R387" s="40"/>
      <c r="S387" s="40"/>
      <c r="T387" s="61">
        <f t="shared" si="59"/>
        <v>81.800000000000068</v>
      </c>
      <c r="U387" s="40"/>
      <c r="V387" s="40"/>
      <c r="W387" s="40"/>
      <c r="X387" s="40"/>
      <c r="Y387" s="67" t="str">
        <f t="shared" si="60"/>
        <v/>
      </c>
      <c r="AA387" s="71"/>
      <c r="AB387" s="71"/>
      <c r="AC387" s="67" t="str">
        <f t="shared" si="61"/>
        <v/>
      </c>
      <c r="AE387" s="124"/>
      <c r="AF387" s="124"/>
      <c r="AG387" s="121"/>
      <c r="AH387" s="121"/>
      <c r="AI387" s="124"/>
      <c r="AJ387" s="124"/>
    </row>
    <row r="388" spans="2:36" x14ac:dyDescent="0.25">
      <c r="B388" s="117"/>
      <c r="C388" s="7"/>
      <c r="D388" s="3">
        <f t="shared" si="54"/>
        <v>0</v>
      </c>
      <c r="E388" s="10"/>
      <c r="F388" s="40"/>
      <c r="G388" s="40"/>
      <c r="H388" s="40"/>
      <c r="I388" s="3" t="str">
        <f t="shared" si="55"/>
        <v/>
      </c>
      <c r="J388" s="3" t="str">
        <f t="shared" si="56"/>
        <v/>
      </c>
      <c r="K388" s="3" t="str">
        <f t="shared" si="57"/>
        <v/>
      </c>
      <c r="L388" s="3"/>
      <c r="M388" s="60" t="e">
        <f t="shared" si="58"/>
        <v>#VALUE!</v>
      </c>
      <c r="N388" s="40"/>
      <c r="O388" s="40"/>
      <c r="P388" s="40"/>
      <c r="Q388" s="40"/>
      <c r="R388" s="40"/>
      <c r="S388" s="40"/>
      <c r="T388" s="61">
        <f t="shared" si="59"/>
        <v>81.800000000000068</v>
      </c>
      <c r="U388" s="40"/>
      <c r="V388" s="40"/>
      <c r="W388" s="40"/>
      <c r="X388" s="40"/>
      <c r="Y388" s="67" t="str">
        <f t="shared" si="60"/>
        <v/>
      </c>
      <c r="AA388" s="71"/>
      <c r="AB388" s="71"/>
      <c r="AC388" s="67" t="str">
        <f t="shared" si="61"/>
        <v/>
      </c>
      <c r="AE388" s="124"/>
      <c r="AF388" s="124"/>
      <c r="AG388" s="121"/>
      <c r="AH388" s="121"/>
      <c r="AI388" s="124"/>
      <c r="AJ388" s="124"/>
    </row>
    <row r="389" spans="2:36" x14ac:dyDescent="0.25">
      <c r="B389" s="117"/>
      <c r="C389" s="7"/>
      <c r="D389" s="3">
        <f t="shared" si="54"/>
        <v>0</v>
      </c>
      <c r="E389" s="10"/>
      <c r="F389" s="40"/>
      <c r="G389" s="40"/>
      <c r="H389" s="40"/>
      <c r="I389" s="3" t="str">
        <f t="shared" si="55"/>
        <v/>
      </c>
      <c r="J389" s="3" t="str">
        <f t="shared" si="56"/>
        <v/>
      </c>
      <c r="K389" s="3" t="str">
        <f t="shared" si="57"/>
        <v/>
      </c>
      <c r="L389" s="3"/>
      <c r="M389" s="60" t="e">
        <f t="shared" si="58"/>
        <v>#VALUE!</v>
      </c>
      <c r="N389" s="40"/>
      <c r="O389" s="40"/>
      <c r="P389" s="40"/>
      <c r="Q389" s="40"/>
      <c r="R389" s="40"/>
      <c r="S389" s="40"/>
      <c r="T389" s="61">
        <f t="shared" si="59"/>
        <v>81.800000000000068</v>
      </c>
      <c r="U389" s="40"/>
      <c r="V389" s="40"/>
      <c r="W389" s="40"/>
      <c r="X389" s="40"/>
      <c r="Y389" s="67" t="str">
        <f t="shared" si="60"/>
        <v/>
      </c>
      <c r="AA389" s="71"/>
      <c r="AB389" s="71"/>
      <c r="AC389" s="67" t="str">
        <f t="shared" si="61"/>
        <v/>
      </c>
      <c r="AE389" s="124"/>
      <c r="AF389" s="124"/>
      <c r="AG389" s="121"/>
      <c r="AH389" s="121"/>
      <c r="AI389" s="124"/>
      <c r="AJ389" s="124"/>
    </row>
    <row r="390" spans="2:36" x14ac:dyDescent="0.25">
      <c r="B390" s="117"/>
      <c r="C390" s="7"/>
      <c r="D390" s="3">
        <f t="shared" si="54"/>
        <v>0</v>
      </c>
      <c r="E390" s="10"/>
      <c r="F390" s="40"/>
      <c r="G390" s="40"/>
      <c r="H390" s="40"/>
      <c r="I390" s="3" t="str">
        <f t="shared" si="55"/>
        <v/>
      </c>
      <c r="J390" s="3" t="str">
        <f t="shared" si="56"/>
        <v/>
      </c>
      <c r="K390" s="3" t="str">
        <f t="shared" si="57"/>
        <v/>
      </c>
      <c r="L390" s="3"/>
      <c r="M390" s="60" t="e">
        <f t="shared" si="58"/>
        <v>#VALUE!</v>
      </c>
      <c r="N390" s="40"/>
      <c r="O390" s="40"/>
      <c r="P390" s="40"/>
      <c r="Q390" s="40"/>
      <c r="R390" s="40"/>
      <c r="S390" s="40"/>
      <c r="T390" s="61">
        <f t="shared" si="59"/>
        <v>81.800000000000068</v>
      </c>
      <c r="U390" s="40"/>
      <c r="V390" s="40"/>
      <c r="W390" s="40"/>
      <c r="X390" s="40"/>
      <c r="Y390" s="67" t="str">
        <f t="shared" si="60"/>
        <v/>
      </c>
      <c r="AA390" s="71"/>
      <c r="AB390" s="71"/>
      <c r="AC390" s="67" t="str">
        <f t="shared" si="61"/>
        <v/>
      </c>
      <c r="AE390" s="124"/>
      <c r="AF390" s="124"/>
      <c r="AG390" s="121"/>
      <c r="AH390" s="121"/>
      <c r="AI390" s="124"/>
      <c r="AJ390" s="124"/>
    </row>
    <row r="391" spans="2:36" x14ac:dyDescent="0.25">
      <c r="B391" s="117"/>
      <c r="C391" s="7"/>
      <c r="D391" s="3">
        <f t="shared" si="54"/>
        <v>0</v>
      </c>
      <c r="E391" s="10"/>
      <c r="F391" s="40"/>
      <c r="G391" s="40"/>
      <c r="H391" s="40"/>
      <c r="I391" s="3" t="str">
        <f t="shared" si="55"/>
        <v/>
      </c>
      <c r="J391" s="3" t="str">
        <f t="shared" si="56"/>
        <v/>
      </c>
      <c r="K391" s="3" t="str">
        <f t="shared" si="57"/>
        <v/>
      </c>
      <c r="L391" s="3"/>
      <c r="M391" s="60" t="e">
        <f t="shared" si="58"/>
        <v>#VALUE!</v>
      </c>
      <c r="N391" s="40"/>
      <c r="O391" s="40"/>
      <c r="P391" s="40"/>
      <c r="Q391" s="40"/>
      <c r="R391" s="40"/>
      <c r="S391" s="40"/>
      <c r="T391" s="61">
        <f t="shared" si="59"/>
        <v>81.800000000000068</v>
      </c>
      <c r="U391" s="40"/>
      <c r="V391" s="40"/>
      <c r="W391" s="40"/>
      <c r="X391" s="40"/>
      <c r="Y391" s="67" t="str">
        <f t="shared" si="60"/>
        <v/>
      </c>
      <c r="AA391" s="71"/>
      <c r="AB391" s="71"/>
      <c r="AC391" s="67" t="str">
        <f t="shared" si="61"/>
        <v/>
      </c>
      <c r="AE391" s="124"/>
      <c r="AF391" s="124"/>
      <c r="AG391" s="121"/>
      <c r="AH391" s="121"/>
      <c r="AI391" s="124"/>
      <c r="AJ391" s="124"/>
    </row>
    <row r="392" spans="2:36" x14ac:dyDescent="0.25">
      <c r="B392" s="117"/>
      <c r="C392" s="7"/>
      <c r="D392" s="3">
        <f t="shared" si="54"/>
        <v>0</v>
      </c>
      <c r="E392" s="10"/>
      <c r="F392" s="40"/>
      <c r="G392" s="40"/>
      <c r="H392" s="40"/>
      <c r="I392" s="3" t="str">
        <f t="shared" si="55"/>
        <v/>
      </c>
      <c r="J392" s="3" t="str">
        <f t="shared" si="56"/>
        <v/>
      </c>
      <c r="K392" s="3" t="str">
        <f t="shared" si="57"/>
        <v/>
      </c>
      <c r="L392" s="3"/>
      <c r="M392" s="60" t="e">
        <f t="shared" si="58"/>
        <v>#VALUE!</v>
      </c>
      <c r="N392" s="40"/>
      <c r="O392" s="40"/>
      <c r="P392" s="40"/>
      <c r="Q392" s="40"/>
      <c r="R392" s="40"/>
      <c r="S392" s="40"/>
      <c r="T392" s="61">
        <f t="shared" si="59"/>
        <v>81.800000000000068</v>
      </c>
      <c r="U392" s="40"/>
      <c r="V392" s="40"/>
      <c r="W392" s="40"/>
      <c r="X392" s="40"/>
      <c r="Y392" s="67" t="str">
        <f t="shared" si="60"/>
        <v/>
      </c>
      <c r="AA392" s="71"/>
      <c r="AB392" s="71"/>
      <c r="AC392" s="67" t="str">
        <f t="shared" si="61"/>
        <v/>
      </c>
      <c r="AE392" s="124"/>
      <c r="AF392" s="124"/>
      <c r="AG392" s="121"/>
      <c r="AH392" s="121"/>
      <c r="AI392" s="124"/>
      <c r="AJ392" s="124"/>
    </row>
    <row r="393" spans="2:36" x14ac:dyDescent="0.25">
      <c r="B393" s="117"/>
      <c r="C393" s="7"/>
      <c r="D393" s="3">
        <f t="shared" si="54"/>
        <v>0</v>
      </c>
      <c r="E393" s="10"/>
      <c r="F393" s="40"/>
      <c r="G393" s="40"/>
      <c r="H393" s="40"/>
      <c r="I393" s="3" t="str">
        <f t="shared" si="55"/>
        <v/>
      </c>
      <c r="J393" s="3" t="str">
        <f t="shared" si="56"/>
        <v/>
      </c>
      <c r="K393" s="3" t="str">
        <f t="shared" si="57"/>
        <v/>
      </c>
      <c r="L393" s="3"/>
      <c r="M393" s="60" t="e">
        <f t="shared" si="58"/>
        <v>#VALUE!</v>
      </c>
      <c r="N393" s="40"/>
      <c r="O393" s="40"/>
      <c r="P393" s="40"/>
      <c r="Q393" s="40"/>
      <c r="R393" s="40"/>
      <c r="S393" s="40"/>
      <c r="T393" s="61">
        <f t="shared" si="59"/>
        <v>81.800000000000068</v>
      </c>
      <c r="U393" s="40"/>
      <c r="V393" s="40"/>
      <c r="W393" s="40"/>
      <c r="X393" s="40"/>
      <c r="Y393" s="67" t="str">
        <f t="shared" si="60"/>
        <v/>
      </c>
      <c r="AA393" s="71"/>
      <c r="AB393" s="71"/>
      <c r="AC393" s="67" t="str">
        <f t="shared" si="61"/>
        <v/>
      </c>
      <c r="AE393" s="124"/>
      <c r="AF393" s="124"/>
      <c r="AG393" s="121"/>
      <c r="AH393" s="121"/>
      <c r="AI393" s="124"/>
      <c r="AJ393" s="124"/>
    </row>
    <row r="394" spans="2:36" x14ac:dyDescent="0.25">
      <c r="B394" s="117"/>
      <c r="C394" s="7"/>
      <c r="D394" s="3">
        <f t="shared" si="54"/>
        <v>0</v>
      </c>
      <c r="E394" s="10"/>
      <c r="F394" s="40"/>
      <c r="G394" s="40"/>
      <c r="H394" s="40"/>
      <c r="I394" s="3" t="str">
        <f t="shared" si="55"/>
        <v/>
      </c>
      <c r="J394" s="3" t="str">
        <f t="shared" si="56"/>
        <v/>
      </c>
      <c r="K394" s="3" t="str">
        <f t="shared" si="57"/>
        <v/>
      </c>
      <c r="L394" s="3"/>
      <c r="M394" s="60" t="e">
        <f t="shared" si="58"/>
        <v>#VALUE!</v>
      </c>
      <c r="N394" s="40"/>
      <c r="O394" s="40"/>
      <c r="P394" s="40"/>
      <c r="Q394" s="40"/>
      <c r="R394" s="40"/>
      <c r="S394" s="40"/>
      <c r="T394" s="61">
        <f t="shared" si="59"/>
        <v>81.800000000000068</v>
      </c>
      <c r="U394" s="40"/>
      <c r="V394" s="40"/>
      <c r="W394" s="40"/>
      <c r="X394" s="40"/>
      <c r="Y394" s="67" t="str">
        <f t="shared" si="60"/>
        <v/>
      </c>
      <c r="AA394" s="71"/>
      <c r="AB394" s="71"/>
      <c r="AC394" s="67" t="str">
        <f t="shared" si="61"/>
        <v/>
      </c>
      <c r="AE394" s="124"/>
      <c r="AF394" s="124"/>
      <c r="AG394" s="121"/>
      <c r="AH394" s="121"/>
      <c r="AI394" s="124"/>
      <c r="AJ394" s="124"/>
    </row>
    <row r="395" spans="2:36" x14ac:dyDescent="0.25">
      <c r="B395" s="117"/>
      <c r="C395" s="7"/>
      <c r="D395" s="3">
        <f t="shared" si="54"/>
        <v>0</v>
      </c>
      <c r="E395" s="10"/>
      <c r="F395" s="40"/>
      <c r="G395" s="40"/>
      <c r="H395" s="40"/>
      <c r="I395" s="3" t="str">
        <f t="shared" si="55"/>
        <v/>
      </c>
      <c r="J395" s="3" t="str">
        <f t="shared" si="56"/>
        <v/>
      </c>
      <c r="K395" s="3" t="str">
        <f t="shared" si="57"/>
        <v/>
      </c>
      <c r="L395" s="3"/>
      <c r="M395" s="60" t="e">
        <f t="shared" si="58"/>
        <v>#VALUE!</v>
      </c>
      <c r="N395" s="40"/>
      <c r="O395" s="40"/>
      <c r="P395" s="40"/>
      <c r="Q395" s="40"/>
      <c r="R395" s="40"/>
      <c r="S395" s="40"/>
      <c r="T395" s="61">
        <f t="shared" si="59"/>
        <v>81.800000000000068</v>
      </c>
      <c r="U395" s="40"/>
      <c r="V395" s="40"/>
      <c r="W395" s="40"/>
      <c r="X395" s="40"/>
      <c r="Y395" s="67" t="str">
        <f t="shared" si="60"/>
        <v/>
      </c>
      <c r="AA395" s="71"/>
      <c r="AB395" s="71"/>
      <c r="AC395" s="67" t="str">
        <f t="shared" si="61"/>
        <v/>
      </c>
      <c r="AE395" s="124"/>
      <c r="AF395" s="124"/>
      <c r="AG395" s="121"/>
      <c r="AH395" s="121"/>
      <c r="AI395" s="124"/>
      <c r="AJ395" s="124"/>
    </row>
    <row r="396" spans="2:36" x14ac:dyDescent="0.25">
      <c r="B396" s="117"/>
      <c r="C396" s="7"/>
      <c r="D396" s="3">
        <f t="shared" si="54"/>
        <v>0</v>
      </c>
      <c r="E396" s="10"/>
      <c r="F396" s="40"/>
      <c r="G396" s="40"/>
      <c r="H396" s="40"/>
      <c r="I396" s="3" t="str">
        <f t="shared" si="55"/>
        <v/>
      </c>
      <c r="J396" s="3" t="str">
        <f t="shared" si="56"/>
        <v/>
      </c>
      <c r="K396" s="3" t="str">
        <f t="shared" si="57"/>
        <v/>
      </c>
      <c r="L396" s="3"/>
      <c r="M396" s="60" t="e">
        <f t="shared" si="58"/>
        <v>#VALUE!</v>
      </c>
      <c r="N396" s="40"/>
      <c r="O396" s="40"/>
      <c r="P396" s="40"/>
      <c r="Q396" s="40"/>
      <c r="R396" s="40"/>
      <c r="S396" s="40"/>
      <c r="T396" s="61">
        <f t="shared" si="59"/>
        <v>81.800000000000068</v>
      </c>
      <c r="U396" s="40"/>
      <c r="V396" s="40"/>
      <c r="W396" s="40"/>
      <c r="X396" s="40"/>
      <c r="Y396" s="67" t="str">
        <f t="shared" si="60"/>
        <v/>
      </c>
      <c r="AA396" s="71"/>
      <c r="AB396" s="71"/>
      <c r="AC396" s="67" t="str">
        <f t="shared" si="61"/>
        <v/>
      </c>
      <c r="AE396" s="124"/>
      <c r="AF396" s="124"/>
      <c r="AG396" s="121"/>
      <c r="AH396" s="121"/>
      <c r="AI396" s="124"/>
      <c r="AJ396" s="124"/>
    </row>
    <row r="397" spans="2:36" x14ac:dyDescent="0.25">
      <c r="B397" s="117"/>
      <c r="C397" s="7"/>
      <c r="D397" s="3">
        <f t="shared" si="54"/>
        <v>0</v>
      </c>
      <c r="E397" s="10"/>
      <c r="F397" s="40"/>
      <c r="G397" s="40"/>
      <c r="H397" s="40"/>
      <c r="I397" s="3" t="str">
        <f t="shared" si="55"/>
        <v/>
      </c>
      <c r="J397" s="3" t="str">
        <f t="shared" si="56"/>
        <v/>
      </c>
      <c r="K397" s="3" t="str">
        <f t="shared" si="57"/>
        <v/>
      </c>
      <c r="L397" s="3"/>
      <c r="M397" s="60" t="e">
        <f t="shared" si="58"/>
        <v>#VALUE!</v>
      </c>
      <c r="N397" s="40"/>
      <c r="O397" s="40"/>
      <c r="P397" s="40"/>
      <c r="Q397" s="40"/>
      <c r="R397" s="40"/>
      <c r="S397" s="40"/>
      <c r="T397" s="61">
        <f t="shared" si="59"/>
        <v>81.800000000000068</v>
      </c>
      <c r="U397" s="40"/>
      <c r="V397" s="40"/>
      <c r="W397" s="40"/>
      <c r="X397" s="40"/>
      <c r="Y397" s="67" t="str">
        <f t="shared" si="60"/>
        <v/>
      </c>
      <c r="AA397" s="71"/>
      <c r="AB397" s="71"/>
      <c r="AC397" s="67" t="str">
        <f t="shared" si="61"/>
        <v/>
      </c>
      <c r="AE397" s="124"/>
      <c r="AF397" s="124"/>
      <c r="AG397" s="121"/>
      <c r="AH397" s="121"/>
      <c r="AI397" s="124"/>
      <c r="AJ397" s="124"/>
    </row>
    <row r="398" spans="2:36" x14ac:dyDescent="0.25">
      <c r="B398" s="117"/>
      <c r="C398" s="7"/>
      <c r="D398" s="3">
        <f t="shared" si="54"/>
        <v>0</v>
      </c>
      <c r="E398" s="10"/>
      <c r="F398" s="40"/>
      <c r="G398" s="40"/>
      <c r="H398" s="40"/>
      <c r="I398" s="3" t="str">
        <f t="shared" si="55"/>
        <v/>
      </c>
      <c r="J398" s="3" t="str">
        <f t="shared" si="56"/>
        <v/>
      </c>
      <c r="K398" s="3" t="str">
        <f t="shared" si="57"/>
        <v/>
      </c>
      <c r="L398" s="3"/>
      <c r="M398" s="60" t="e">
        <f t="shared" si="58"/>
        <v>#VALUE!</v>
      </c>
      <c r="N398" s="40"/>
      <c r="O398" s="40"/>
      <c r="P398" s="40"/>
      <c r="Q398" s="40"/>
      <c r="R398" s="40"/>
      <c r="S398" s="40"/>
      <c r="T398" s="61">
        <f t="shared" si="59"/>
        <v>81.800000000000068</v>
      </c>
      <c r="U398" s="40"/>
      <c r="V398" s="40"/>
      <c r="W398" s="40"/>
      <c r="X398" s="40"/>
      <c r="Y398" s="67" t="str">
        <f t="shared" si="60"/>
        <v/>
      </c>
      <c r="AA398" s="71"/>
      <c r="AB398" s="71"/>
      <c r="AC398" s="67" t="str">
        <f t="shared" si="61"/>
        <v/>
      </c>
      <c r="AE398" s="124"/>
      <c r="AF398" s="124"/>
      <c r="AG398" s="121"/>
      <c r="AH398" s="121"/>
      <c r="AI398" s="124"/>
      <c r="AJ398" s="124"/>
    </row>
    <row r="399" spans="2:36" x14ac:dyDescent="0.25">
      <c r="B399" s="117"/>
      <c r="C399" s="7"/>
      <c r="D399" s="3">
        <f t="shared" si="54"/>
        <v>0</v>
      </c>
      <c r="E399" s="10"/>
      <c r="F399" s="40"/>
      <c r="G399" s="40"/>
      <c r="H399" s="40"/>
      <c r="I399" s="3" t="str">
        <f t="shared" si="55"/>
        <v/>
      </c>
      <c r="J399" s="3" t="str">
        <f t="shared" si="56"/>
        <v/>
      </c>
      <c r="K399" s="3" t="str">
        <f t="shared" si="57"/>
        <v/>
      </c>
      <c r="L399" s="3"/>
      <c r="M399" s="60" t="e">
        <f t="shared" si="58"/>
        <v>#VALUE!</v>
      </c>
      <c r="N399" s="40"/>
      <c r="O399" s="40"/>
      <c r="P399" s="40"/>
      <c r="Q399" s="40"/>
      <c r="R399" s="40"/>
      <c r="S399" s="40"/>
      <c r="T399" s="61">
        <f t="shared" si="59"/>
        <v>81.800000000000068</v>
      </c>
      <c r="U399" s="40"/>
      <c r="V399" s="40"/>
      <c r="W399" s="40"/>
      <c r="X399" s="40"/>
      <c r="Y399" s="67" t="str">
        <f t="shared" si="60"/>
        <v/>
      </c>
      <c r="AA399" s="71"/>
      <c r="AB399" s="71"/>
      <c r="AC399" s="67" t="str">
        <f t="shared" si="61"/>
        <v/>
      </c>
      <c r="AE399" s="124"/>
      <c r="AF399" s="124"/>
      <c r="AG399" s="121"/>
      <c r="AH399" s="121"/>
      <c r="AI399" s="124"/>
      <c r="AJ399" s="124"/>
    </row>
    <row r="400" spans="2:36" x14ac:dyDescent="0.25">
      <c r="B400" s="117"/>
      <c r="C400" s="7"/>
      <c r="D400" s="3">
        <f t="shared" si="54"/>
        <v>0</v>
      </c>
      <c r="E400" s="10"/>
      <c r="F400" s="40"/>
      <c r="G400" s="40"/>
      <c r="H400" s="40"/>
      <c r="I400" s="3" t="str">
        <f t="shared" si="55"/>
        <v/>
      </c>
      <c r="J400" s="3" t="str">
        <f t="shared" si="56"/>
        <v/>
      </c>
      <c r="K400" s="3" t="str">
        <f t="shared" si="57"/>
        <v/>
      </c>
      <c r="L400" s="3"/>
      <c r="M400" s="60" t="e">
        <f t="shared" si="58"/>
        <v>#VALUE!</v>
      </c>
      <c r="N400" s="40"/>
      <c r="O400" s="40"/>
      <c r="P400" s="40"/>
      <c r="Q400" s="40"/>
      <c r="R400" s="40"/>
      <c r="S400" s="40"/>
      <c r="T400" s="61">
        <f t="shared" si="59"/>
        <v>81.800000000000068</v>
      </c>
      <c r="U400" s="40"/>
      <c r="V400" s="40"/>
      <c r="W400" s="40"/>
      <c r="X400" s="40"/>
      <c r="Y400" s="67" t="str">
        <f t="shared" si="60"/>
        <v/>
      </c>
      <c r="AA400" s="71"/>
      <c r="AB400" s="71"/>
      <c r="AC400" s="67" t="str">
        <f t="shared" si="61"/>
        <v/>
      </c>
      <c r="AE400" s="124"/>
      <c r="AF400" s="124"/>
      <c r="AG400" s="121"/>
      <c r="AH400" s="121"/>
      <c r="AI400" s="124"/>
      <c r="AJ400" s="124"/>
    </row>
    <row r="401" spans="2:36" x14ac:dyDescent="0.25">
      <c r="B401" s="117"/>
      <c r="C401" s="7"/>
      <c r="D401" s="3">
        <f t="shared" si="54"/>
        <v>0</v>
      </c>
      <c r="E401" s="10"/>
      <c r="F401" s="40"/>
      <c r="G401" s="40"/>
      <c r="H401" s="40"/>
      <c r="I401" s="3" t="str">
        <f t="shared" si="55"/>
        <v/>
      </c>
      <c r="J401" s="3" t="str">
        <f t="shared" si="56"/>
        <v/>
      </c>
      <c r="K401" s="3" t="str">
        <f t="shared" si="57"/>
        <v/>
      </c>
      <c r="L401" s="3"/>
      <c r="M401" s="60" t="e">
        <f t="shared" si="58"/>
        <v>#VALUE!</v>
      </c>
      <c r="N401" s="40"/>
      <c r="O401" s="40"/>
      <c r="P401" s="40"/>
      <c r="Q401" s="40"/>
      <c r="R401" s="40"/>
      <c r="S401" s="40"/>
      <c r="T401" s="61">
        <f t="shared" si="59"/>
        <v>81.800000000000068</v>
      </c>
      <c r="U401" s="40"/>
      <c r="V401" s="40"/>
      <c r="W401" s="40"/>
      <c r="X401" s="40"/>
      <c r="Y401" s="67" t="str">
        <f t="shared" si="60"/>
        <v/>
      </c>
      <c r="AA401" s="71"/>
      <c r="AB401" s="71"/>
      <c r="AC401" s="67" t="str">
        <f t="shared" si="61"/>
        <v/>
      </c>
      <c r="AE401" s="124"/>
      <c r="AF401" s="124"/>
      <c r="AG401" s="121"/>
      <c r="AH401" s="121"/>
      <c r="AI401" s="124"/>
      <c r="AJ401" s="124"/>
    </row>
    <row r="402" spans="2:36" x14ac:dyDescent="0.25">
      <c r="B402" s="117"/>
      <c r="C402" s="7"/>
      <c r="D402" s="3">
        <f t="shared" si="54"/>
        <v>0</v>
      </c>
      <c r="E402" s="10"/>
      <c r="F402" s="40"/>
      <c r="G402" s="40"/>
      <c r="H402" s="40"/>
      <c r="I402" s="3" t="str">
        <f t="shared" si="55"/>
        <v/>
      </c>
      <c r="J402" s="3" t="str">
        <f t="shared" si="56"/>
        <v/>
      </c>
      <c r="K402" s="3" t="str">
        <f t="shared" si="57"/>
        <v/>
      </c>
      <c r="L402" s="3"/>
      <c r="M402" s="60" t="e">
        <f t="shared" si="58"/>
        <v>#VALUE!</v>
      </c>
      <c r="N402" s="40"/>
      <c r="O402" s="40"/>
      <c r="P402" s="40"/>
      <c r="Q402" s="40"/>
      <c r="R402" s="40"/>
      <c r="S402" s="40"/>
      <c r="T402" s="61">
        <f t="shared" si="59"/>
        <v>81.800000000000068</v>
      </c>
      <c r="U402" s="40"/>
      <c r="V402" s="40"/>
      <c r="W402" s="40"/>
      <c r="X402" s="40"/>
      <c r="Y402" s="67" t="str">
        <f t="shared" si="60"/>
        <v/>
      </c>
      <c r="AA402" s="71"/>
      <c r="AB402" s="71"/>
      <c r="AC402" s="67" t="str">
        <f t="shared" si="61"/>
        <v/>
      </c>
      <c r="AE402" s="124"/>
      <c r="AF402" s="124"/>
      <c r="AG402" s="121"/>
      <c r="AH402" s="121"/>
      <c r="AI402" s="124"/>
      <c r="AJ402" s="124"/>
    </row>
    <row r="403" spans="2:36" x14ac:dyDescent="0.25">
      <c r="B403" s="117"/>
      <c r="C403" s="7"/>
      <c r="D403" s="3">
        <f t="shared" si="54"/>
        <v>0</v>
      </c>
      <c r="E403" s="10"/>
      <c r="F403" s="40"/>
      <c r="G403" s="40"/>
      <c r="H403" s="40"/>
      <c r="I403" s="3" t="str">
        <f t="shared" si="55"/>
        <v/>
      </c>
      <c r="J403" s="3" t="str">
        <f t="shared" si="56"/>
        <v/>
      </c>
      <c r="K403" s="3" t="str">
        <f t="shared" si="57"/>
        <v/>
      </c>
      <c r="L403" s="3"/>
      <c r="M403" s="60" t="e">
        <f t="shared" si="58"/>
        <v>#VALUE!</v>
      </c>
      <c r="N403" s="40"/>
      <c r="O403" s="40"/>
      <c r="P403" s="40"/>
      <c r="Q403" s="40"/>
      <c r="R403" s="40"/>
      <c r="S403" s="40"/>
      <c r="T403" s="61">
        <f t="shared" si="59"/>
        <v>81.800000000000068</v>
      </c>
      <c r="U403" s="40"/>
      <c r="V403" s="40"/>
      <c r="W403" s="40"/>
      <c r="X403" s="40"/>
      <c r="Y403" s="67" t="str">
        <f t="shared" si="60"/>
        <v/>
      </c>
      <c r="AA403" s="71"/>
      <c r="AB403" s="71"/>
      <c r="AC403" s="67" t="str">
        <f t="shared" si="61"/>
        <v/>
      </c>
      <c r="AE403" s="124"/>
      <c r="AF403" s="124"/>
      <c r="AG403" s="121"/>
      <c r="AH403" s="121"/>
      <c r="AI403" s="124"/>
      <c r="AJ403" s="124"/>
    </row>
    <row r="404" spans="2:36" x14ac:dyDescent="0.25">
      <c r="B404" s="117"/>
      <c r="C404" s="7"/>
      <c r="D404" s="3">
        <f t="shared" si="54"/>
        <v>0</v>
      </c>
      <c r="E404" s="10"/>
      <c r="F404" s="40"/>
      <c r="G404" s="40"/>
      <c r="H404" s="40"/>
      <c r="I404" s="3" t="str">
        <f t="shared" si="55"/>
        <v/>
      </c>
      <c r="J404" s="3" t="str">
        <f t="shared" si="56"/>
        <v/>
      </c>
      <c r="K404" s="3" t="str">
        <f t="shared" si="57"/>
        <v/>
      </c>
      <c r="L404" s="3"/>
      <c r="M404" s="60" t="e">
        <f t="shared" si="58"/>
        <v>#VALUE!</v>
      </c>
      <c r="N404" s="40"/>
      <c r="O404" s="40"/>
      <c r="P404" s="40"/>
      <c r="Q404" s="40"/>
      <c r="R404" s="40"/>
      <c r="S404" s="40"/>
      <c r="T404" s="61">
        <f t="shared" si="59"/>
        <v>81.800000000000068</v>
      </c>
      <c r="U404" s="40"/>
      <c r="V404" s="40"/>
      <c r="W404" s="40"/>
      <c r="X404" s="40"/>
      <c r="Y404" s="67" t="str">
        <f t="shared" si="60"/>
        <v/>
      </c>
      <c r="AA404" s="71"/>
      <c r="AB404" s="71"/>
      <c r="AC404" s="67" t="str">
        <f t="shared" si="61"/>
        <v/>
      </c>
      <c r="AE404" s="124"/>
      <c r="AF404" s="124"/>
      <c r="AG404" s="121"/>
      <c r="AH404" s="121"/>
      <c r="AI404" s="124"/>
      <c r="AJ404" s="124"/>
    </row>
    <row r="405" spans="2:36" x14ac:dyDescent="0.25">
      <c r="B405" s="117"/>
      <c r="C405" s="7"/>
      <c r="D405" s="3">
        <f t="shared" si="54"/>
        <v>0</v>
      </c>
      <c r="E405" s="10"/>
      <c r="F405" s="40"/>
      <c r="G405" s="40"/>
      <c r="H405" s="40"/>
      <c r="I405" s="3" t="str">
        <f t="shared" si="55"/>
        <v/>
      </c>
      <c r="J405" s="3" t="str">
        <f t="shared" si="56"/>
        <v/>
      </c>
      <c r="K405" s="3" t="str">
        <f t="shared" si="57"/>
        <v/>
      </c>
      <c r="L405" s="3"/>
      <c r="M405" s="60" t="e">
        <f t="shared" si="58"/>
        <v>#VALUE!</v>
      </c>
      <c r="N405" s="40"/>
      <c r="O405" s="40"/>
      <c r="P405" s="40"/>
      <c r="Q405" s="40"/>
      <c r="R405" s="40"/>
      <c r="S405" s="40"/>
      <c r="T405" s="61">
        <f t="shared" si="59"/>
        <v>81.800000000000068</v>
      </c>
      <c r="U405" s="40"/>
      <c r="V405" s="40"/>
      <c r="W405" s="40"/>
      <c r="X405" s="40"/>
      <c r="Y405" s="67" t="str">
        <f t="shared" si="60"/>
        <v/>
      </c>
      <c r="AA405" s="71"/>
      <c r="AB405" s="71"/>
      <c r="AC405" s="67" t="str">
        <f t="shared" si="61"/>
        <v/>
      </c>
      <c r="AE405" s="124"/>
      <c r="AF405" s="124"/>
      <c r="AG405" s="121"/>
      <c r="AH405" s="121"/>
      <c r="AI405" s="124"/>
      <c r="AJ405" s="124"/>
    </row>
    <row r="406" spans="2:36" x14ac:dyDescent="0.25">
      <c r="B406" s="117"/>
      <c r="C406" s="7"/>
      <c r="D406" s="3">
        <f t="shared" si="54"/>
        <v>0</v>
      </c>
      <c r="E406" s="10"/>
      <c r="F406" s="40"/>
      <c r="G406" s="40"/>
      <c r="H406" s="40"/>
      <c r="I406" s="3" t="str">
        <f t="shared" si="55"/>
        <v/>
      </c>
      <c r="J406" s="3" t="str">
        <f t="shared" si="56"/>
        <v/>
      </c>
      <c r="K406" s="3" t="str">
        <f t="shared" si="57"/>
        <v/>
      </c>
      <c r="L406" s="3"/>
      <c r="M406" s="60" t="e">
        <f t="shared" si="58"/>
        <v>#VALUE!</v>
      </c>
      <c r="N406" s="40"/>
      <c r="O406" s="40"/>
      <c r="P406" s="40"/>
      <c r="Q406" s="40"/>
      <c r="R406" s="40"/>
      <c r="S406" s="40"/>
      <c r="T406" s="61">
        <f t="shared" si="59"/>
        <v>81.800000000000068</v>
      </c>
      <c r="U406" s="40"/>
      <c r="V406" s="40"/>
      <c r="W406" s="40"/>
      <c r="X406" s="40"/>
      <c r="Y406" s="67" t="str">
        <f t="shared" si="60"/>
        <v/>
      </c>
      <c r="AA406" s="71"/>
      <c r="AB406" s="71"/>
      <c r="AC406" s="67" t="str">
        <f t="shared" si="61"/>
        <v/>
      </c>
      <c r="AE406" s="124"/>
      <c r="AF406" s="124"/>
      <c r="AG406" s="121"/>
      <c r="AH406" s="121"/>
      <c r="AI406" s="124"/>
      <c r="AJ406" s="124"/>
    </row>
    <row r="407" spans="2:36" x14ac:dyDescent="0.25">
      <c r="B407" s="117"/>
      <c r="C407" s="7"/>
      <c r="D407" s="3">
        <f t="shared" ref="D407:D470" si="62">+IF((C407-C406)&lt;0,((C407-C406)*24)+24,(C407-C406)*24)</f>
        <v>0</v>
      </c>
      <c r="E407" s="10"/>
      <c r="F407" s="40"/>
      <c r="G407" s="40"/>
      <c r="H407" s="40"/>
      <c r="I407" s="3" t="str">
        <f t="shared" ref="I407:I470" si="63">+IF(F407="","",(F407/24)*D407)</f>
        <v/>
      </c>
      <c r="J407" s="3" t="str">
        <f t="shared" ref="J407:J470" si="64">+IF(G407="","",(G407/24)*D407)</f>
        <v/>
      </c>
      <c r="K407" s="3" t="str">
        <f t="shared" ref="K407:K470" si="65">+IF(H407="","",(H407/24)*D407)</f>
        <v/>
      </c>
      <c r="L407" s="3"/>
      <c r="M407" s="60" t="e">
        <f t="shared" ref="M407:M470" si="66">+IF(D407="","",M406-(I407+J407+K407))</f>
        <v>#VALUE!</v>
      </c>
      <c r="N407" s="40"/>
      <c r="O407" s="40"/>
      <c r="P407" s="40"/>
      <c r="Q407" s="40"/>
      <c r="R407" s="40"/>
      <c r="S407" s="40"/>
      <c r="T407" s="61">
        <f t="shared" ref="T407:T470" si="67">IF(D407="","",(T406+S407)-(N407+O407+P407+Q407+R407))</f>
        <v>81.800000000000068</v>
      </c>
      <c r="U407" s="40"/>
      <c r="V407" s="40"/>
      <c r="W407" s="40"/>
      <c r="X407" s="40"/>
      <c r="Y407" s="67" t="str">
        <f t="shared" ref="Y407:Y470" si="68">IF(W407="","",((Y406+U407+V407)-(W407+X407)))</f>
        <v/>
      </c>
      <c r="AA407" s="71"/>
      <c r="AB407" s="71"/>
      <c r="AC407" s="67" t="str">
        <f t="shared" ref="AC407:AC470" si="69">IF(AA407="","",AA407+AB407)</f>
        <v/>
      </c>
      <c r="AE407" s="124"/>
      <c r="AF407" s="124"/>
      <c r="AG407" s="121"/>
      <c r="AH407" s="121"/>
      <c r="AI407" s="124"/>
      <c r="AJ407" s="124"/>
    </row>
    <row r="408" spans="2:36" x14ac:dyDescent="0.25">
      <c r="B408" s="117"/>
      <c r="C408" s="7"/>
      <c r="D408" s="3">
        <f t="shared" si="62"/>
        <v>0</v>
      </c>
      <c r="E408" s="10"/>
      <c r="F408" s="40"/>
      <c r="G408" s="40"/>
      <c r="H408" s="40"/>
      <c r="I408" s="3" t="str">
        <f t="shared" si="63"/>
        <v/>
      </c>
      <c r="J408" s="3" t="str">
        <f t="shared" si="64"/>
        <v/>
      </c>
      <c r="K408" s="3" t="str">
        <f t="shared" si="65"/>
        <v/>
      </c>
      <c r="L408" s="3"/>
      <c r="M408" s="60" t="e">
        <f t="shared" si="66"/>
        <v>#VALUE!</v>
      </c>
      <c r="N408" s="40"/>
      <c r="O408" s="40"/>
      <c r="P408" s="40"/>
      <c r="Q408" s="40"/>
      <c r="R408" s="40"/>
      <c r="S408" s="40"/>
      <c r="T408" s="61">
        <f t="shared" si="67"/>
        <v>81.800000000000068</v>
      </c>
      <c r="U408" s="40"/>
      <c r="V408" s="40"/>
      <c r="W408" s="40"/>
      <c r="X408" s="40"/>
      <c r="Y408" s="67" t="str">
        <f t="shared" si="68"/>
        <v/>
      </c>
      <c r="AA408" s="71"/>
      <c r="AB408" s="71"/>
      <c r="AC408" s="67" t="str">
        <f t="shared" si="69"/>
        <v/>
      </c>
      <c r="AE408" s="124"/>
      <c r="AF408" s="124"/>
      <c r="AG408" s="121"/>
      <c r="AH408" s="121"/>
      <c r="AI408" s="124"/>
      <c r="AJ408" s="124"/>
    </row>
    <row r="409" spans="2:36" x14ac:dyDescent="0.25">
      <c r="B409" s="117"/>
      <c r="C409" s="7"/>
      <c r="D409" s="3">
        <f t="shared" si="62"/>
        <v>0</v>
      </c>
      <c r="E409" s="10"/>
      <c r="F409" s="40"/>
      <c r="G409" s="40"/>
      <c r="H409" s="40"/>
      <c r="I409" s="3" t="str">
        <f t="shared" si="63"/>
        <v/>
      </c>
      <c r="J409" s="3" t="str">
        <f t="shared" si="64"/>
        <v/>
      </c>
      <c r="K409" s="3" t="str">
        <f t="shared" si="65"/>
        <v/>
      </c>
      <c r="L409" s="3"/>
      <c r="M409" s="60" t="e">
        <f t="shared" si="66"/>
        <v>#VALUE!</v>
      </c>
      <c r="N409" s="40"/>
      <c r="O409" s="40"/>
      <c r="P409" s="40"/>
      <c r="Q409" s="40"/>
      <c r="R409" s="40"/>
      <c r="S409" s="40"/>
      <c r="T409" s="61">
        <f t="shared" si="67"/>
        <v>81.800000000000068</v>
      </c>
      <c r="U409" s="40"/>
      <c r="V409" s="40"/>
      <c r="W409" s="40"/>
      <c r="X409" s="40"/>
      <c r="Y409" s="67" t="str">
        <f t="shared" si="68"/>
        <v/>
      </c>
      <c r="AA409" s="71"/>
      <c r="AB409" s="71"/>
      <c r="AC409" s="67" t="str">
        <f t="shared" si="69"/>
        <v/>
      </c>
      <c r="AE409" s="124"/>
      <c r="AF409" s="124"/>
      <c r="AG409" s="121"/>
      <c r="AH409" s="121"/>
      <c r="AI409" s="124"/>
      <c r="AJ409" s="124"/>
    </row>
    <row r="410" spans="2:36" x14ac:dyDescent="0.25">
      <c r="B410" s="117"/>
      <c r="C410" s="7"/>
      <c r="D410" s="3">
        <f t="shared" si="62"/>
        <v>0</v>
      </c>
      <c r="E410" s="10"/>
      <c r="F410" s="40"/>
      <c r="G410" s="40"/>
      <c r="H410" s="40"/>
      <c r="I410" s="3" t="str">
        <f t="shared" si="63"/>
        <v/>
      </c>
      <c r="J410" s="3" t="str">
        <f t="shared" si="64"/>
        <v/>
      </c>
      <c r="K410" s="3" t="str">
        <f t="shared" si="65"/>
        <v/>
      </c>
      <c r="L410" s="3"/>
      <c r="M410" s="60" t="e">
        <f t="shared" si="66"/>
        <v>#VALUE!</v>
      </c>
      <c r="N410" s="40"/>
      <c r="O410" s="40"/>
      <c r="P410" s="40"/>
      <c r="Q410" s="40"/>
      <c r="R410" s="40"/>
      <c r="S410" s="40"/>
      <c r="T410" s="61">
        <f t="shared" si="67"/>
        <v>81.800000000000068</v>
      </c>
      <c r="U410" s="40"/>
      <c r="V410" s="40"/>
      <c r="W410" s="40"/>
      <c r="X410" s="40"/>
      <c r="Y410" s="67" t="str">
        <f t="shared" si="68"/>
        <v/>
      </c>
      <c r="AA410" s="71"/>
      <c r="AB410" s="71"/>
      <c r="AC410" s="67" t="str">
        <f t="shared" si="69"/>
        <v/>
      </c>
      <c r="AE410" s="124"/>
      <c r="AF410" s="124"/>
      <c r="AG410" s="121"/>
      <c r="AH410" s="121"/>
      <c r="AI410" s="124"/>
      <c r="AJ410" s="124"/>
    </row>
    <row r="411" spans="2:36" x14ac:dyDescent="0.25">
      <c r="B411" s="117"/>
      <c r="C411" s="7"/>
      <c r="D411" s="3">
        <f t="shared" si="62"/>
        <v>0</v>
      </c>
      <c r="E411" s="10"/>
      <c r="F411" s="40"/>
      <c r="G411" s="40"/>
      <c r="H411" s="40"/>
      <c r="I411" s="3" t="str">
        <f t="shared" si="63"/>
        <v/>
      </c>
      <c r="J411" s="3" t="str">
        <f t="shared" si="64"/>
        <v/>
      </c>
      <c r="K411" s="3" t="str">
        <f t="shared" si="65"/>
        <v/>
      </c>
      <c r="L411" s="3"/>
      <c r="M411" s="60" t="e">
        <f t="shared" si="66"/>
        <v>#VALUE!</v>
      </c>
      <c r="N411" s="40"/>
      <c r="O411" s="40"/>
      <c r="P411" s="40"/>
      <c r="Q411" s="40"/>
      <c r="R411" s="40"/>
      <c r="S411" s="40"/>
      <c r="T411" s="61">
        <f t="shared" si="67"/>
        <v>81.800000000000068</v>
      </c>
      <c r="U411" s="40"/>
      <c r="V411" s="40"/>
      <c r="W411" s="40"/>
      <c r="X411" s="40"/>
      <c r="Y411" s="67" t="str">
        <f t="shared" si="68"/>
        <v/>
      </c>
      <c r="AA411" s="71"/>
      <c r="AB411" s="71"/>
      <c r="AC411" s="67" t="str">
        <f t="shared" si="69"/>
        <v/>
      </c>
      <c r="AE411" s="124"/>
      <c r="AF411" s="124"/>
      <c r="AG411" s="121"/>
      <c r="AH411" s="121"/>
      <c r="AI411" s="124"/>
      <c r="AJ411" s="124"/>
    </row>
    <row r="412" spans="2:36" x14ac:dyDescent="0.25">
      <c r="B412" s="117"/>
      <c r="C412" s="7"/>
      <c r="D412" s="3">
        <f t="shared" si="62"/>
        <v>0</v>
      </c>
      <c r="E412" s="10"/>
      <c r="F412" s="40"/>
      <c r="G412" s="40"/>
      <c r="H412" s="40"/>
      <c r="I412" s="3" t="str">
        <f t="shared" si="63"/>
        <v/>
      </c>
      <c r="J412" s="3" t="str">
        <f t="shared" si="64"/>
        <v/>
      </c>
      <c r="K412" s="3" t="str">
        <f t="shared" si="65"/>
        <v/>
      </c>
      <c r="L412" s="3"/>
      <c r="M412" s="60" t="e">
        <f t="shared" si="66"/>
        <v>#VALUE!</v>
      </c>
      <c r="N412" s="40"/>
      <c r="O412" s="40"/>
      <c r="P412" s="40"/>
      <c r="Q412" s="40"/>
      <c r="R412" s="40"/>
      <c r="S412" s="40"/>
      <c r="T412" s="61">
        <f t="shared" si="67"/>
        <v>81.800000000000068</v>
      </c>
      <c r="U412" s="40"/>
      <c r="V412" s="40"/>
      <c r="W412" s="40"/>
      <c r="X412" s="40"/>
      <c r="Y412" s="67" t="str">
        <f t="shared" si="68"/>
        <v/>
      </c>
      <c r="AA412" s="71"/>
      <c r="AB412" s="71"/>
      <c r="AC412" s="67" t="str">
        <f t="shared" si="69"/>
        <v/>
      </c>
      <c r="AE412" s="124"/>
      <c r="AF412" s="124"/>
      <c r="AG412" s="121"/>
      <c r="AH412" s="121"/>
      <c r="AI412" s="124"/>
      <c r="AJ412" s="124"/>
    </row>
    <row r="413" spans="2:36" x14ac:dyDescent="0.25">
      <c r="B413" s="117"/>
      <c r="C413" s="7"/>
      <c r="D413" s="3">
        <f t="shared" si="62"/>
        <v>0</v>
      </c>
      <c r="E413" s="10"/>
      <c r="F413" s="40"/>
      <c r="G413" s="40"/>
      <c r="H413" s="40"/>
      <c r="I413" s="3" t="str">
        <f t="shared" si="63"/>
        <v/>
      </c>
      <c r="J413" s="3" t="str">
        <f t="shared" si="64"/>
        <v/>
      </c>
      <c r="K413" s="3" t="str">
        <f t="shared" si="65"/>
        <v/>
      </c>
      <c r="L413" s="3"/>
      <c r="M413" s="60" t="e">
        <f t="shared" si="66"/>
        <v>#VALUE!</v>
      </c>
      <c r="N413" s="40"/>
      <c r="O413" s="40"/>
      <c r="P413" s="40"/>
      <c r="Q413" s="40"/>
      <c r="R413" s="40"/>
      <c r="S413" s="40"/>
      <c r="T413" s="61">
        <f t="shared" si="67"/>
        <v>81.800000000000068</v>
      </c>
      <c r="U413" s="40"/>
      <c r="V413" s="40"/>
      <c r="W413" s="40"/>
      <c r="X413" s="40"/>
      <c r="Y413" s="67" t="str">
        <f t="shared" si="68"/>
        <v/>
      </c>
      <c r="AA413" s="71"/>
      <c r="AB413" s="71"/>
      <c r="AC413" s="67" t="str">
        <f t="shared" si="69"/>
        <v/>
      </c>
      <c r="AE413" s="124"/>
      <c r="AF413" s="124"/>
      <c r="AG413" s="121"/>
      <c r="AH413" s="121"/>
      <c r="AI413" s="124"/>
      <c r="AJ413" s="124"/>
    </row>
    <row r="414" spans="2:36" x14ac:dyDescent="0.25">
      <c r="B414" s="117"/>
      <c r="C414" s="7"/>
      <c r="D414" s="3">
        <f t="shared" si="62"/>
        <v>0</v>
      </c>
      <c r="E414" s="10"/>
      <c r="F414" s="40"/>
      <c r="G414" s="40"/>
      <c r="H414" s="40"/>
      <c r="I414" s="3" t="str">
        <f t="shared" si="63"/>
        <v/>
      </c>
      <c r="J414" s="3" t="str">
        <f t="shared" si="64"/>
        <v/>
      </c>
      <c r="K414" s="3" t="str">
        <f t="shared" si="65"/>
        <v/>
      </c>
      <c r="L414" s="3"/>
      <c r="M414" s="60" t="e">
        <f t="shared" si="66"/>
        <v>#VALUE!</v>
      </c>
      <c r="N414" s="40"/>
      <c r="O414" s="40"/>
      <c r="P414" s="40"/>
      <c r="Q414" s="40"/>
      <c r="R414" s="40"/>
      <c r="S414" s="40"/>
      <c r="T414" s="61">
        <f t="shared" si="67"/>
        <v>81.800000000000068</v>
      </c>
      <c r="U414" s="40"/>
      <c r="V414" s="40"/>
      <c r="W414" s="40"/>
      <c r="X414" s="40"/>
      <c r="Y414" s="67" t="str">
        <f t="shared" si="68"/>
        <v/>
      </c>
      <c r="AA414" s="71"/>
      <c r="AB414" s="71"/>
      <c r="AC414" s="67" t="str">
        <f t="shared" si="69"/>
        <v/>
      </c>
      <c r="AE414" s="124"/>
      <c r="AF414" s="124"/>
      <c r="AG414" s="121"/>
      <c r="AH414" s="121"/>
      <c r="AI414" s="124"/>
      <c r="AJ414" s="124"/>
    </row>
    <row r="415" spans="2:36" x14ac:dyDescent="0.25">
      <c r="B415" s="117"/>
      <c r="C415" s="7"/>
      <c r="D415" s="3">
        <f t="shared" si="62"/>
        <v>0</v>
      </c>
      <c r="E415" s="10"/>
      <c r="F415" s="40"/>
      <c r="G415" s="40"/>
      <c r="H415" s="40"/>
      <c r="I415" s="3" t="str">
        <f t="shared" si="63"/>
        <v/>
      </c>
      <c r="J415" s="3" t="str">
        <f t="shared" si="64"/>
        <v/>
      </c>
      <c r="K415" s="3" t="str">
        <f t="shared" si="65"/>
        <v/>
      </c>
      <c r="L415" s="3"/>
      <c r="M415" s="60" t="e">
        <f t="shared" si="66"/>
        <v>#VALUE!</v>
      </c>
      <c r="N415" s="40"/>
      <c r="O415" s="40"/>
      <c r="P415" s="40"/>
      <c r="Q415" s="40"/>
      <c r="R415" s="40"/>
      <c r="S415" s="40"/>
      <c r="T415" s="61">
        <f t="shared" si="67"/>
        <v>81.800000000000068</v>
      </c>
      <c r="U415" s="40"/>
      <c r="V415" s="40"/>
      <c r="W415" s="40"/>
      <c r="X415" s="40"/>
      <c r="Y415" s="67" t="str">
        <f t="shared" si="68"/>
        <v/>
      </c>
      <c r="AA415" s="71"/>
      <c r="AB415" s="71"/>
      <c r="AC415" s="67" t="str">
        <f t="shared" si="69"/>
        <v/>
      </c>
      <c r="AE415" s="124"/>
      <c r="AF415" s="124"/>
      <c r="AG415" s="121"/>
      <c r="AH415" s="121"/>
      <c r="AI415" s="124"/>
      <c r="AJ415" s="124"/>
    </row>
    <row r="416" spans="2:36" x14ac:dyDescent="0.25">
      <c r="B416" s="117"/>
      <c r="C416" s="7"/>
      <c r="D416" s="3">
        <f t="shared" si="62"/>
        <v>0</v>
      </c>
      <c r="E416" s="10"/>
      <c r="F416" s="40"/>
      <c r="G416" s="40"/>
      <c r="H416" s="40"/>
      <c r="I416" s="3" t="str">
        <f t="shared" si="63"/>
        <v/>
      </c>
      <c r="J416" s="3" t="str">
        <f t="shared" si="64"/>
        <v/>
      </c>
      <c r="K416" s="3" t="str">
        <f t="shared" si="65"/>
        <v/>
      </c>
      <c r="L416" s="3"/>
      <c r="M416" s="60" t="e">
        <f t="shared" si="66"/>
        <v>#VALUE!</v>
      </c>
      <c r="N416" s="40"/>
      <c r="O416" s="40"/>
      <c r="P416" s="40"/>
      <c r="Q416" s="40"/>
      <c r="R416" s="40"/>
      <c r="S416" s="40"/>
      <c r="T416" s="61">
        <f t="shared" si="67"/>
        <v>81.800000000000068</v>
      </c>
      <c r="U416" s="40"/>
      <c r="V416" s="40"/>
      <c r="W416" s="40"/>
      <c r="X416" s="40"/>
      <c r="Y416" s="67" t="str">
        <f t="shared" si="68"/>
        <v/>
      </c>
      <c r="AA416" s="71"/>
      <c r="AB416" s="71"/>
      <c r="AC416" s="67" t="str">
        <f t="shared" si="69"/>
        <v/>
      </c>
      <c r="AE416" s="124"/>
      <c r="AF416" s="124"/>
      <c r="AG416" s="121"/>
      <c r="AH416" s="121"/>
      <c r="AI416" s="124"/>
      <c r="AJ416" s="124"/>
    </row>
    <row r="417" spans="2:36" x14ac:dyDescent="0.25">
      <c r="B417" s="117"/>
      <c r="C417" s="7"/>
      <c r="D417" s="3">
        <f t="shared" si="62"/>
        <v>0</v>
      </c>
      <c r="E417" s="10"/>
      <c r="F417" s="40"/>
      <c r="G417" s="40"/>
      <c r="H417" s="40"/>
      <c r="I417" s="3" t="str">
        <f t="shared" si="63"/>
        <v/>
      </c>
      <c r="J417" s="3" t="str">
        <f t="shared" si="64"/>
        <v/>
      </c>
      <c r="K417" s="3" t="str">
        <f t="shared" si="65"/>
        <v/>
      </c>
      <c r="L417" s="3"/>
      <c r="M417" s="60" t="e">
        <f t="shared" si="66"/>
        <v>#VALUE!</v>
      </c>
      <c r="N417" s="40"/>
      <c r="O417" s="40"/>
      <c r="P417" s="40"/>
      <c r="Q417" s="40"/>
      <c r="R417" s="40"/>
      <c r="S417" s="40"/>
      <c r="T417" s="61">
        <f t="shared" si="67"/>
        <v>81.800000000000068</v>
      </c>
      <c r="U417" s="40"/>
      <c r="V417" s="40"/>
      <c r="W417" s="40"/>
      <c r="X417" s="40"/>
      <c r="Y417" s="67" t="str">
        <f t="shared" si="68"/>
        <v/>
      </c>
      <c r="AA417" s="71"/>
      <c r="AB417" s="71"/>
      <c r="AC417" s="67" t="str">
        <f t="shared" si="69"/>
        <v/>
      </c>
      <c r="AE417" s="124"/>
      <c r="AF417" s="124"/>
      <c r="AG417" s="121"/>
      <c r="AH417" s="121"/>
      <c r="AI417" s="124"/>
      <c r="AJ417" s="124"/>
    </row>
    <row r="418" spans="2:36" x14ac:dyDescent="0.25">
      <c r="B418" s="117"/>
      <c r="C418" s="7"/>
      <c r="D418" s="3">
        <f t="shared" si="62"/>
        <v>0</v>
      </c>
      <c r="E418" s="10"/>
      <c r="F418" s="40"/>
      <c r="G418" s="40"/>
      <c r="H418" s="40"/>
      <c r="I418" s="3" t="str">
        <f t="shared" si="63"/>
        <v/>
      </c>
      <c r="J418" s="3" t="str">
        <f t="shared" si="64"/>
        <v/>
      </c>
      <c r="K418" s="3" t="str">
        <f t="shared" si="65"/>
        <v/>
      </c>
      <c r="L418" s="3"/>
      <c r="M418" s="60" t="e">
        <f t="shared" si="66"/>
        <v>#VALUE!</v>
      </c>
      <c r="N418" s="40"/>
      <c r="O418" s="40"/>
      <c r="P418" s="40"/>
      <c r="Q418" s="40"/>
      <c r="R418" s="40"/>
      <c r="S418" s="40"/>
      <c r="T418" s="61">
        <f t="shared" si="67"/>
        <v>81.800000000000068</v>
      </c>
      <c r="U418" s="40"/>
      <c r="V418" s="40"/>
      <c r="W418" s="40"/>
      <c r="X418" s="40"/>
      <c r="Y418" s="67" t="str">
        <f t="shared" si="68"/>
        <v/>
      </c>
      <c r="AA418" s="71"/>
      <c r="AB418" s="71"/>
      <c r="AC418" s="67" t="str">
        <f t="shared" si="69"/>
        <v/>
      </c>
      <c r="AE418" s="124"/>
      <c r="AF418" s="124"/>
      <c r="AG418" s="121"/>
      <c r="AH418" s="121"/>
      <c r="AI418" s="124"/>
      <c r="AJ418" s="124"/>
    </row>
    <row r="419" spans="2:36" x14ac:dyDescent="0.25">
      <c r="B419" s="117"/>
      <c r="C419" s="7"/>
      <c r="D419" s="3">
        <f t="shared" si="62"/>
        <v>0</v>
      </c>
      <c r="E419" s="10"/>
      <c r="F419" s="40"/>
      <c r="G419" s="40"/>
      <c r="H419" s="40"/>
      <c r="I419" s="3" t="str">
        <f t="shared" si="63"/>
        <v/>
      </c>
      <c r="J419" s="3" t="str">
        <f t="shared" si="64"/>
        <v/>
      </c>
      <c r="K419" s="3" t="str">
        <f t="shared" si="65"/>
        <v/>
      </c>
      <c r="L419" s="3"/>
      <c r="M419" s="60" t="e">
        <f t="shared" si="66"/>
        <v>#VALUE!</v>
      </c>
      <c r="N419" s="40"/>
      <c r="O419" s="40"/>
      <c r="P419" s="40"/>
      <c r="Q419" s="40"/>
      <c r="R419" s="40"/>
      <c r="S419" s="40"/>
      <c r="T419" s="61">
        <f t="shared" si="67"/>
        <v>81.800000000000068</v>
      </c>
      <c r="U419" s="40"/>
      <c r="V419" s="40"/>
      <c r="W419" s="40"/>
      <c r="X419" s="40"/>
      <c r="Y419" s="67" t="str">
        <f t="shared" si="68"/>
        <v/>
      </c>
      <c r="AA419" s="71"/>
      <c r="AB419" s="71"/>
      <c r="AC419" s="67" t="str">
        <f t="shared" si="69"/>
        <v/>
      </c>
      <c r="AE419" s="124"/>
      <c r="AF419" s="124"/>
      <c r="AG419" s="121"/>
      <c r="AH419" s="121"/>
      <c r="AI419" s="124"/>
      <c r="AJ419" s="124"/>
    </row>
    <row r="420" spans="2:36" x14ac:dyDescent="0.25">
      <c r="B420" s="117"/>
      <c r="C420" s="7"/>
      <c r="D420" s="3">
        <f t="shared" si="62"/>
        <v>0</v>
      </c>
      <c r="E420" s="10"/>
      <c r="F420" s="40"/>
      <c r="G420" s="40"/>
      <c r="H420" s="40"/>
      <c r="I420" s="3" t="str">
        <f t="shared" si="63"/>
        <v/>
      </c>
      <c r="J420" s="3" t="str">
        <f t="shared" si="64"/>
        <v/>
      </c>
      <c r="K420" s="3" t="str">
        <f t="shared" si="65"/>
        <v/>
      </c>
      <c r="L420" s="3"/>
      <c r="M420" s="60" t="e">
        <f t="shared" si="66"/>
        <v>#VALUE!</v>
      </c>
      <c r="N420" s="40"/>
      <c r="O420" s="40"/>
      <c r="P420" s="40"/>
      <c r="Q420" s="40"/>
      <c r="R420" s="40"/>
      <c r="S420" s="40"/>
      <c r="T420" s="61">
        <f t="shared" si="67"/>
        <v>81.800000000000068</v>
      </c>
      <c r="U420" s="40"/>
      <c r="V420" s="40"/>
      <c r="W420" s="40"/>
      <c r="X420" s="40"/>
      <c r="Y420" s="67" t="str">
        <f t="shared" si="68"/>
        <v/>
      </c>
      <c r="AA420" s="71"/>
      <c r="AB420" s="71"/>
      <c r="AC420" s="67" t="str">
        <f t="shared" si="69"/>
        <v/>
      </c>
      <c r="AE420" s="124"/>
      <c r="AF420" s="124"/>
      <c r="AG420" s="121"/>
      <c r="AH420" s="121"/>
      <c r="AI420" s="124"/>
      <c r="AJ420" s="124"/>
    </row>
    <row r="421" spans="2:36" x14ac:dyDescent="0.25">
      <c r="B421" s="117"/>
      <c r="C421" s="7"/>
      <c r="D421" s="3">
        <f t="shared" si="62"/>
        <v>0</v>
      </c>
      <c r="E421" s="10"/>
      <c r="F421" s="40"/>
      <c r="G421" s="40"/>
      <c r="H421" s="40"/>
      <c r="I421" s="3" t="str">
        <f t="shared" si="63"/>
        <v/>
      </c>
      <c r="J421" s="3" t="str">
        <f t="shared" si="64"/>
        <v/>
      </c>
      <c r="K421" s="3" t="str">
        <f t="shared" si="65"/>
        <v/>
      </c>
      <c r="L421" s="3"/>
      <c r="M421" s="60" t="e">
        <f t="shared" si="66"/>
        <v>#VALUE!</v>
      </c>
      <c r="N421" s="40"/>
      <c r="O421" s="40"/>
      <c r="P421" s="40"/>
      <c r="Q421" s="40"/>
      <c r="R421" s="40"/>
      <c r="S421" s="40"/>
      <c r="T421" s="61">
        <f t="shared" si="67"/>
        <v>81.800000000000068</v>
      </c>
      <c r="U421" s="40"/>
      <c r="V421" s="40"/>
      <c r="W421" s="40"/>
      <c r="X421" s="40"/>
      <c r="Y421" s="67" t="str">
        <f t="shared" si="68"/>
        <v/>
      </c>
      <c r="AA421" s="71"/>
      <c r="AB421" s="71"/>
      <c r="AC421" s="67" t="str">
        <f t="shared" si="69"/>
        <v/>
      </c>
      <c r="AE421" s="124"/>
      <c r="AF421" s="124"/>
      <c r="AG421" s="121"/>
      <c r="AH421" s="121"/>
      <c r="AI421" s="124"/>
      <c r="AJ421" s="124"/>
    </row>
    <row r="422" spans="2:36" x14ac:dyDescent="0.25">
      <c r="B422" s="117"/>
      <c r="C422" s="7"/>
      <c r="D422" s="3">
        <f t="shared" si="62"/>
        <v>0</v>
      </c>
      <c r="E422" s="10"/>
      <c r="F422" s="40"/>
      <c r="G422" s="40"/>
      <c r="H422" s="40"/>
      <c r="I422" s="3" t="str">
        <f t="shared" si="63"/>
        <v/>
      </c>
      <c r="J422" s="3" t="str">
        <f t="shared" si="64"/>
        <v/>
      </c>
      <c r="K422" s="3" t="str">
        <f t="shared" si="65"/>
        <v/>
      </c>
      <c r="L422" s="3"/>
      <c r="M422" s="60" t="e">
        <f t="shared" si="66"/>
        <v>#VALUE!</v>
      </c>
      <c r="N422" s="40"/>
      <c r="O422" s="40"/>
      <c r="P422" s="40"/>
      <c r="Q422" s="40"/>
      <c r="R422" s="40"/>
      <c r="S422" s="40"/>
      <c r="T422" s="61">
        <f t="shared" si="67"/>
        <v>81.800000000000068</v>
      </c>
      <c r="U422" s="40"/>
      <c r="V422" s="40"/>
      <c r="W422" s="40"/>
      <c r="X422" s="40"/>
      <c r="Y422" s="67" t="str">
        <f t="shared" si="68"/>
        <v/>
      </c>
      <c r="AA422" s="71"/>
      <c r="AB422" s="71"/>
      <c r="AC422" s="67" t="str">
        <f t="shared" si="69"/>
        <v/>
      </c>
      <c r="AE422" s="124"/>
      <c r="AF422" s="124"/>
      <c r="AG422" s="121"/>
      <c r="AH422" s="121"/>
      <c r="AI422" s="124"/>
      <c r="AJ422" s="124"/>
    </row>
    <row r="423" spans="2:36" x14ac:dyDescent="0.25">
      <c r="B423" s="117"/>
      <c r="C423" s="7"/>
      <c r="D423" s="3">
        <f t="shared" si="62"/>
        <v>0</v>
      </c>
      <c r="E423" s="10"/>
      <c r="F423" s="40"/>
      <c r="G423" s="40"/>
      <c r="H423" s="40"/>
      <c r="I423" s="3" t="str">
        <f t="shared" si="63"/>
        <v/>
      </c>
      <c r="J423" s="3" t="str">
        <f t="shared" si="64"/>
        <v/>
      </c>
      <c r="K423" s="3" t="str">
        <f t="shared" si="65"/>
        <v/>
      </c>
      <c r="L423" s="3"/>
      <c r="M423" s="60" t="e">
        <f t="shared" si="66"/>
        <v>#VALUE!</v>
      </c>
      <c r="N423" s="40"/>
      <c r="O423" s="40"/>
      <c r="P423" s="40"/>
      <c r="Q423" s="40"/>
      <c r="R423" s="40"/>
      <c r="S423" s="40"/>
      <c r="T423" s="61">
        <f t="shared" si="67"/>
        <v>81.800000000000068</v>
      </c>
      <c r="U423" s="40"/>
      <c r="V423" s="40"/>
      <c r="W423" s="40"/>
      <c r="X423" s="40"/>
      <c r="Y423" s="67" t="str">
        <f t="shared" si="68"/>
        <v/>
      </c>
      <c r="AA423" s="71"/>
      <c r="AB423" s="71"/>
      <c r="AC423" s="67" t="str">
        <f t="shared" si="69"/>
        <v/>
      </c>
      <c r="AE423" s="124"/>
      <c r="AF423" s="124"/>
      <c r="AG423" s="121"/>
      <c r="AH423" s="121"/>
      <c r="AI423" s="124"/>
      <c r="AJ423" s="124"/>
    </row>
    <row r="424" spans="2:36" x14ac:dyDescent="0.25">
      <c r="B424" s="117"/>
      <c r="C424" s="7"/>
      <c r="D424" s="3">
        <f t="shared" si="62"/>
        <v>0</v>
      </c>
      <c r="E424" s="10"/>
      <c r="F424" s="40"/>
      <c r="G424" s="40"/>
      <c r="H424" s="40"/>
      <c r="I424" s="3" t="str">
        <f t="shared" si="63"/>
        <v/>
      </c>
      <c r="J424" s="3" t="str">
        <f t="shared" si="64"/>
        <v/>
      </c>
      <c r="K424" s="3" t="str">
        <f t="shared" si="65"/>
        <v/>
      </c>
      <c r="L424" s="3"/>
      <c r="M424" s="60" t="e">
        <f t="shared" si="66"/>
        <v>#VALUE!</v>
      </c>
      <c r="N424" s="40"/>
      <c r="O424" s="40"/>
      <c r="P424" s="40"/>
      <c r="Q424" s="40"/>
      <c r="R424" s="40"/>
      <c r="S424" s="40"/>
      <c r="T424" s="61">
        <f t="shared" si="67"/>
        <v>81.800000000000068</v>
      </c>
      <c r="U424" s="40"/>
      <c r="V424" s="40"/>
      <c r="W424" s="40"/>
      <c r="X424" s="40"/>
      <c r="Y424" s="67" t="str">
        <f t="shared" si="68"/>
        <v/>
      </c>
      <c r="AA424" s="71"/>
      <c r="AB424" s="71"/>
      <c r="AC424" s="67" t="str">
        <f t="shared" si="69"/>
        <v/>
      </c>
      <c r="AE424" s="124"/>
      <c r="AF424" s="124"/>
      <c r="AG424" s="121"/>
      <c r="AH424" s="121"/>
      <c r="AI424" s="124"/>
      <c r="AJ424" s="124"/>
    </row>
    <row r="425" spans="2:36" x14ac:dyDescent="0.25">
      <c r="B425" s="117"/>
      <c r="C425" s="7"/>
      <c r="D425" s="3">
        <f t="shared" si="62"/>
        <v>0</v>
      </c>
      <c r="E425" s="10"/>
      <c r="F425" s="40"/>
      <c r="G425" s="40"/>
      <c r="H425" s="40"/>
      <c r="I425" s="3" t="str">
        <f t="shared" si="63"/>
        <v/>
      </c>
      <c r="J425" s="3" t="str">
        <f t="shared" si="64"/>
        <v/>
      </c>
      <c r="K425" s="3" t="str">
        <f t="shared" si="65"/>
        <v/>
      </c>
      <c r="L425" s="3"/>
      <c r="M425" s="60" t="e">
        <f t="shared" si="66"/>
        <v>#VALUE!</v>
      </c>
      <c r="N425" s="40"/>
      <c r="O425" s="40"/>
      <c r="P425" s="40"/>
      <c r="Q425" s="40"/>
      <c r="R425" s="40"/>
      <c r="S425" s="40"/>
      <c r="T425" s="61">
        <f t="shared" si="67"/>
        <v>81.800000000000068</v>
      </c>
      <c r="U425" s="40"/>
      <c r="V425" s="40"/>
      <c r="W425" s="40"/>
      <c r="X425" s="40"/>
      <c r="Y425" s="67" t="str">
        <f t="shared" si="68"/>
        <v/>
      </c>
      <c r="AA425" s="71"/>
      <c r="AB425" s="71"/>
      <c r="AC425" s="67" t="str">
        <f t="shared" si="69"/>
        <v/>
      </c>
      <c r="AE425" s="124"/>
      <c r="AF425" s="124"/>
      <c r="AG425" s="121"/>
      <c r="AH425" s="121"/>
      <c r="AI425" s="124"/>
      <c r="AJ425" s="124"/>
    </row>
    <row r="426" spans="2:36" x14ac:dyDescent="0.25">
      <c r="B426" s="117"/>
      <c r="C426" s="7"/>
      <c r="D426" s="3">
        <f t="shared" si="62"/>
        <v>0</v>
      </c>
      <c r="E426" s="10"/>
      <c r="F426" s="40"/>
      <c r="G426" s="40"/>
      <c r="H426" s="40"/>
      <c r="I426" s="3" t="str">
        <f t="shared" si="63"/>
        <v/>
      </c>
      <c r="J426" s="3" t="str">
        <f t="shared" si="64"/>
        <v/>
      </c>
      <c r="K426" s="3" t="str">
        <f t="shared" si="65"/>
        <v/>
      </c>
      <c r="L426" s="3"/>
      <c r="M426" s="60" t="e">
        <f t="shared" si="66"/>
        <v>#VALUE!</v>
      </c>
      <c r="N426" s="40"/>
      <c r="O426" s="40"/>
      <c r="P426" s="40"/>
      <c r="Q426" s="40"/>
      <c r="R426" s="40"/>
      <c r="S426" s="40"/>
      <c r="T426" s="61">
        <f t="shared" si="67"/>
        <v>81.800000000000068</v>
      </c>
      <c r="U426" s="40"/>
      <c r="V426" s="40"/>
      <c r="W426" s="40"/>
      <c r="X426" s="40"/>
      <c r="Y426" s="67" t="str">
        <f t="shared" si="68"/>
        <v/>
      </c>
      <c r="AA426" s="71"/>
      <c r="AB426" s="71"/>
      <c r="AC426" s="67" t="str">
        <f t="shared" si="69"/>
        <v/>
      </c>
      <c r="AE426" s="124"/>
      <c r="AF426" s="124"/>
      <c r="AG426" s="121"/>
      <c r="AH426" s="121"/>
      <c r="AI426" s="124"/>
      <c r="AJ426" s="124"/>
    </row>
    <row r="427" spans="2:36" x14ac:dyDescent="0.25">
      <c r="B427" s="117"/>
      <c r="C427" s="7"/>
      <c r="D427" s="3">
        <f t="shared" si="62"/>
        <v>0</v>
      </c>
      <c r="E427" s="10"/>
      <c r="F427" s="40"/>
      <c r="G427" s="40"/>
      <c r="H427" s="40"/>
      <c r="I427" s="3" t="str">
        <f t="shared" si="63"/>
        <v/>
      </c>
      <c r="J427" s="3" t="str">
        <f t="shared" si="64"/>
        <v/>
      </c>
      <c r="K427" s="3" t="str">
        <f t="shared" si="65"/>
        <v/>
      </c>
      <c r="L427" s="3"/>
      <c r="M427" s="60" t="e">
        <f t="shared" si="66"/>
        <v>#VALUE!</v>
      </c>
      <c r="N427" s="40"/>
      <c r="O427" s="40"/>
      <c r="P427" s="40"/>
      <c r="Q427" s="40"/>
      <c r="R427" s="40"/>
      <c r="S427" s="40"/>
      <c r="T427" s="61">
        <f t="shared" si="67"/>
        <v>81.800000000000068</v>
      </c>
      <c r="U427" s="40"/>
      <c r="V427" s="40"/>
      <c r="W427" s="40"/>
      <c r="X427" s="40"/>
      <c r="Y427" s="67" t="str">
        <f t="shared" si="68"/>
        <v/>
      </c>
      <c r="AA427" s="71"/>
      <c r="AB427" s="71"/>
      <c r="AC427" s="67" t="str">
        <f t="shared" si="69"/>
        <v/>
      </c>
      <c r="AE427" s="124"/>
      <c r="AF427" s="124"/>
      <c r="AG427" s="121"/>
      <c r="AH427" s="121"/>
      <c r="AI427" s="124"/>
      <c r="AJ427" s="124"/>
    </row>
    <row r="428" spans="2:36" x14ac:dyDescent="0.25">
      <c r="B428" s="117"/>
      <c r="C428" s="7"/>
      <c r="D428" s="3">
        <f t="shared" si="62"/>
        <v>0</v>
      </c>
      <c r="E428" s="10"/>
      <c r="F428" s="40"/>
      <c r="G428" s="40"/>
      <c r="H428" s="40"/>
      <c r="I428" s="3" t="str">
        <f t="shared" si="63"/>
        <v/>
      </c>
      <c r="J428" s="3" t="str">
        <f t="shared" si="64"/>
        <v/>
      </c>
      <c r="K428" s="3" t="str">
        <f t="shared" si="65"/>
        <v/>
      </c>
      <c r="L428" s="3"/>
      <c r="M428" s="60" t="e">
        <f t="shared" si="66"/>
        <v>#VALUE!</v>
      </c>
      <c r="N428" s="40"/>
      <c r="O428" s="40"/>
      <c r="P428" s="40"/>
      <c r="Q428" s="40"/>
      <c r="R428" s="40"/>
      <c r="S428" s="40"/>
      <c r="T428" s="61">
        <f t="shared" si="67"/>
        <v>81.800000000000068</v>
      </c>
      <c r="U428" s="40"/>
      <c r="V428" s="40"/>
      <c r="W428" s="40"/>
      <c r="X428" s="40"/>
      <c r="Y428" s="67" t="str">
        <f t="shared" si="68"/>
        <v/>
      </c>
      <c r="AA428" s="71"/>
      <c r="AB428" s="71"/>
      <c r="AC428" s="67" t="str">
        <f t="shared" si="69"/>
        <v/>
      </c>
      <c r="AE428" s="124"/>
      <c r="AF428" s="124"/>
      <c r="AG428" s="121"/>
      <c r="AH428" s="121"/>
      <c r="AI428" s="124"/>
      <c r="AJ428" s="124"/>
    </row>
    <row r="429" spans="2:36" x14ac:dyDescent="0.25">
      <c r="B429" s="117"/>
      <c r="C429" s="7"/>
      <c r="D429" s="3">
        <f t="shared" si="62"/>
        <v>0</v>
      </c>
      <c r="E429" s="10"/>
      <c r="F429" s="40"/>
      <c r="G429" s="40"/>
      <c r="H429" s="40"/>
      <c r="I429" s="3" t="str">
        <f t="shared" si="63"/>
        <v/>
      </c>
      <c r="J429" s="3" t="str">
        <f t="shared" si="64"/>
        <v/>
      </c>
      <c r="K429" s="3" t="str">
        <f t="shared" si="65"/>
        <v/>
      </c>
      <c r="L429" s="3"/>
      <c r="M429" s="60" t="e">
        <f t="shared" si="66"/>
        <v>#VALUE!</v>
      </c>
      <c r="N429" s="40"/>
      <c r="O429" s="40"/>
      <c r="P429" s="40"/>
      <c r="Q429" s="40"/>
      <c r="R429" s="40"/>
      <c r="S429" s="40"/>
      <c r="T429" s="61">
        <f t="shared" si="67"/>
        <v>81.800000000000068</v>
      </c>
      <c r="U429" s="40"/>
      <c r="V429" s="40"/>
      <c r="W429" s="40"/>
      <c r="X429" s="40"/>
      <c r="Y429" s="67" t="str">
        <f t="shared" si="68"/>
        <v/>
      </c>
      <c r="AA429" s="71"/>
      <c r="AB429" s="71"/>
      <c r="AC429" s="67" t="str">
        <f t="shared" si="69"/>
        <v/>
      </c>
      <c r="AE429" s="124"/>
      <c r="AF429" s="124"/>
      <c r="AG429" s="121"/>
      <c r="AH429" s="121"/>
      <c r="AI429" s="124"/>
      <c r="AJ429" s="124"/>
    </row>
    <row r="430" spans="2:36" x14ac:dyDescent="0.25">
      <c r="B430" s="117"/>
      <c r="C430" s="7"/>
      <c r="D430" s="3">
        <f t="shared" si="62"/>
        <v>0</v>
      </c>
      <c r="E430" s="10"/>
      <c r="F430" s="40"/>
      <c r="G430" s="40"/>
      <c r="H430" s="40"/>
      <c r="I430" s="3" t="str">
        <f t="shared" si="63"/>
        <v/>
      </c>
      <c r="J430" s="3" t="str">
        <f t="shared" si="64"/>
        <v/>
      </c>
      <c r="K430" s="3" t="str">
        <f t="shared" si="65"/>
        <v/>
      </c>
      <c r="L430" s="3"/>
      <c r="M430" s="60" t="e">
        <f t="shared" si="66"/>
        <v>#VALUE!</v>
      </c>
      <c r="N430" s="40"/>
      <c r="O430" s="40"/>
      <c r="P430" s="40"/>
      <c r="Q430" s="40"/>
      <c r="R430" s="40"/>
      <c r="S430" s="40"/>
      <c r="T430" s="61">
        <f t="shared" si="67"/>
        <v>81.800000000000068</v>
      </c>
      <c r="U430" s="40"/>
      <c r="V430" s="40"/>
      <c r="W430" s="40"/>
      <c r="X430" s="40"/>
      <c r="Y430" s="67" t="str">
        <f t="shared" si="68"/>
        <v/>
      </c>
      <c r="AA430" s="71"/>
      <c r="AB430" s="71"/>
      <c r="AC430" s="67" t="str">
        <f t="shared" si="69"/>
        <v/>
      </c>
      <c r="AE430" s="124"/>
      <c r="AF430" s="124"/>
      <c r="AG430" s="121"/>
      <c r="AH430" s="121"/>
      <c r="AI430" s="124"/>
      <c r="AJ430" s="124"/>
    </row>
    <row r="431" spans="2:36" x14ac:dyDescent="0.25">
      <c r="B431" s="117"/>
      <c r="C431" s="7"/>
      <c r="D431" s="3">
        <f t="shared" si="62"/>
        <v>0</v>
      </c>
      <c r="E431" s="10"/>
      <c r="F431" s="40"/>
      <c r="G431" s="40"/>
      <c r="H431" s="40"/>
      <c r="I431" s="3" t="str">
        <f t="shared" si="63"/>
        <v/>
      </c>
      <c r="J431" s="3" t="str">
        <f t="shared" si="64"/>
        <v/>
      </c>
      <c r="K431" s="3" t="str">
        <f t="shared" si="65"/>
        <v/>
      </c>
      <c r="L431" s="3"/>
      <c r="M431" s="60" t="e">
        <f t="shared" si="66"/>
        <v>#VALUE!</v>
      </c>
      <c r="N431" s="40"/>
      <c r="O431" s="40"/>
      <c r="P431" s="40"/>
      <c r="Q431" s="40"/>
      <c r="R431" s="40"/>
      <c r="S431" s="40"/>
      <c r="T431" s="61">
        <f t="shared" si="67"/>
        <v>81.800000000000068</v>
      </c>
      <c r="U431" s="40"/>
      <c r="V431" s="40"/>
      <c r="W431" s="40"/>
      <c r="X431" s="40"/>
      <c r="Y431" s="67" t="str">
        <f t="shared" si="68"/>
        <v/>
      </c>
      <c r="AA431" s="71"/>
      <c r="AB431" s="71"/>
      <c r="AC431" s="67" t="str">
        <f t="shared" si="69"/>
        <v/>
      </c>
      <c r="AE431" s="124"/>
      <c r="AF431" s="124"/>
      <c r="AG431" s="121"/>
      <c r="AH431" s="121"/>
      <c r="AI431" s="124"/>
      <c r="AJ431" s="124"/>
    </row>
    <row r="432" spans="2:36" x14ac:dyDescent="0.25">
      <c r="B432" s="117"/>
      <c r="C432" s="7"/>
      <c r="D432" s="3">
        <f t="shared" si="62"/>
        <v>0</v>
      </c>
      <c r="E432" s="10"/>
      <c r="F432" s="40"/>
      <c r="G432" s="40"/>
      <c r="H432" s="40"/>
      <c r="I432" s="3" t="str">
        <f t="shared" si="63"/>
        <v/>
      </c>
      <c r="J432" s="3" t="str">
        <f t="shared" si="64"/>
        <v/>
      </c>
      <c r="K432" s="3" t="str">
        <f t="shared" si="65"/>
        <v/>
      </c>
      <c r="L432" s="3"/>
      <c r="M432" s="60" t="e">
        <f t="shared" si="66"/>
        <v>#VALUE!</v>
      </c>
      <c r="N432" s="40"/>
      <c r="O432" s="40"/>
      <c r="P432" s="40"/>
      <c r="Q432" s="40"/>
      <c r="R432" s="40"/>
      <c r="S432" s="40"/>
      <c r="T432" s="61">
        <f t="shared" si="67"/>
        <v>81.800000000000068</v>
      </c>
      <c r="U432" s="40"/>
      <c r="V432" s="40"/>
      <c r="W432" s="40"/>
      <c r="X432" s="40"/>
      <c r="Y432" s="67" t="str">
        <f t="shared" si="68"/>
        <v/>
      </c>
      <c r="AA432" s="71"/>
      <c r="AB432" s="71"/>
      <c r="AC432" s="67" t="str">
        <f t="shared" si="69"/>
        <v/>
      </c>
      <c r="AE432" s="124"/>
      <c r="AF432" s="124"/>
      <c r="AG432" s="121"/>
      <c r="AH432" s="121"/>
      <c r="AI432" s="124"/>
      <c r="AJ432" s="124"/>
    </row>
    <row r="433" spans="2:36" x14ac:dyDescent="0.25">
      <c r="B433" s="117"/>
      <c r="C433" s="7"/>
      <c r="D433" s="3">
        <f t="shared" si="62"/>
        <v>0</v>
      </c>
      <c r="E433" s="10"/>
      <c r="F433" s="40"/>
      <c r="G433" s="40"/>
      <c r="H433" s="40"/>
      <c r="I433" s="3" t="str">
        <f t="shared" si="63"/>
        <v/>
      </c>
      <c r="J433" s="3" t="str">
        <f t="shared" si="64"/>
        <v/>
      </c>
      <c r="K433" s="3" t="str">
        <f t="shared" si="65"/>
        <v/>
      </c>
      <c r="L433" s="3"/>
      <c r="M433" s="60" t="e">
        <f t="shared" si="66"/>
        <v>#VALUE!</v>
      </c>
      <c r="N433" s="40"/>
      <c r="O433" s="40"/>
      <c r="P433" s="40"/>
      <c r="Q433" s="40"/>
      <c r="R433" s="40"/>
      <c r="S433" s="40"/>
      <c r="T433" s="61">
        <f t="shared" si="67"/>
        <v>81.800000000000068</v>
      </c>
      <c r="U433" s="40"/>
      <c r="V433" s="40"/>
      <c r="W433" s="40"/>
      <c r="X433" s="40"/>
      <c r="Y433" s="67" t="str">
        <f t="shared" si="68"/>
        <v/>
      </c>
      <c r="AA433" s="71"/>
      <c r="AB433" s="71"/>
      <c r="AC433" s="67" t="str">
        <f t="shared" si="69"/>
        <v/>
      </c>
      <c r="AE433" s="124"/>
      <c r="AF433" s="124"/>
      <c r="AG433" s="121"/>
      <c r="AH433" s="121"/>
      <c r="AI433" s="124"/>
      <c r="AJ433" s="124"/>
    </row>
    <row r="434" spans="2:36" x14ac:dyDescent="0.25">
      <c r="B434" s="117"/>
      <c r="C434" s="7"/>
      <c r="D434" s="3">
        <f t="shared" si="62"/>
        <v>0</v>
      </c>
      <c r="E434" s="10"/>
      <c r="F434" s="40"/>
      <c r="G434" s="40"/>
      <c r="H434" s="40"/>
      <c r="I434" s="3" t="str">
        <f t="shared" si="63"/>
        <v/>
      </c>
      <c r="J434" s="3" t="str">
        <f t="shared" si="64"/>
        <v/>
      </c>
      <c r="K434" s="3" t="str">
        <f t="shared" si="65"/>
        <v/>
      </c>
      <c r="L434" s="3"/>
      <c r="M434" s="60" t="e">
        <f t="shared" si="66"/>
        <v>#VALUE!</v>
      </c>
      <c r="N434" s="40"/>
      <c r="O434" s="40"/>
      <c r="P434" s="40"/>
      <c r="Q434" s="40"/>
      <c r="R434" s="40"/>
      <c r="S434" s="40"/>
      <c r="T434" s="61">
        <f t="shared" si="67"/>
        <v>81.800000000000068</v>
      </c>
      <c r="U434" s="40"/>
      <c r="V434" s="40"/>
      <c r="W434" s="40"/>
      <c r="X434" s="40"/>
      <c r="Y434" s="67" t="str">
        <f t="shared" si="68"/>
        <v/>
      </c>
      <c r="AA434" s="71"/>
      <c r="AB434" s="71"/>
      <c r="AC434" s="67" t="str">
        <f t="shared" si="69"/>
        <v/>
      </c>
      <c r="AE434" s="124"/>
      <c r="AF434" s="124"/>
      <c r="AG434" s="121"/>
      <c r="AH434" s="121"/>
      <c r="AI434" s="124"/>
      <c r="AJ434" s="124"/>
    </row>
    <row r="435" spans="2:36" x14ac:dyDescent="0.25">
      <c r="B435" s="117"/>
      <c r="C435" s="7"/>
      <c r="D435" s="3">
        <f t="shared" si="62"/>
        <v>0</v>
      </c>
      <c r="E435" s="10"/>
      <c r="F435" s="40"/>
      <c r="G435" s="40"/>
      <c r="H435" s="40"/>
      <c r="I435" s="3" t="str">
        <f t="shared" si="63"/>
        <v/>
      </c>
      <c r="J435" s="3" t="str">
        <f t="shared" si="64"/>
        <v/>
      </c>
      <c r="K435" s="3" t="str">
        <f t="shared" si="65"/>
        <v/>
      </c>
      <c r="L435" s="3"/>
      <c r="M435" s="60" t="e">
        <f t="shared" si="66"/>
        <v>#VALUE!</v>
      </c>
      <c r="N435" s="40"/>
      <c r="O435" s="40"/>
      <c r="P435" s="40"/>
      <c r="Q435" s="40"/>
      <c r="R435" s="40"/>
      <c r="S435" s="40"/>
      <c r="T435" s="61">
        <f t="shared" si="67"/>
        <v>81.800000000000068</v>
      </c>
      <c r="U435" s="40"/>
      <c r="V435" s="40"/>
      <c r="W435" s="40"/>
      <c r="X435" s="40"/>
      <c r="Y435" s="67" t="str">
        <f t="shared" si="68"/>
        <v/>
      </c>
      <c r="AA435" s="71"/>
      <c r="AB435" s="71"/>
      <c r="AC435" s="67" t="str">
        <f t="shared" si="69"/>
        <v/>
      </c>
      <c r="AE435" s="124"/>
      <c r="AF435" s="124"/>
      <c r="AG435" s="121"/>
      <c r="AH435" s="121"/>
      <c r="AI435" s="124"/>
      <c r="AJ435" s="124"/>
    </row>
    <row r="436" spans="2:36" x14ac:dyDescent="0.25">
      <c r="B436" s="117"/>
      <c r="C436" s="7"/>
      <c r="D436" s="3">
        <f t="shared" si="62"/>
        <v>0</v>
      </c>
      <c r="E436" s="10"/>
      <c r="F436" s="40"/>
      <c r="G436" s="40"/>
      <c r="H436" s="40"/>
      <c r="I436" s="3" t="str">
        <f t="shared" si="63"/>
        <v/>
      </c>
      <c r="J436" s="3" t="str">
        <f t="shared" si="64"/>
        <v/>
      </c>
      <c r="K436" s="3" t="str">
        <f t="shared" si="65"/>
        <v/>
      </c>
      <c r="L436" s="3"/>
      <c r="M436" s="60" t="e">
        <f t="shared" si="66"/>
        <v>#VALUE!</v>
      </c>
      <c r="N436" s="40"/>
      <c r="O436" s="40"/>
      <c r="P436" s="40"/>
      <c r="Q436" s="40"/>
      <c r="R436" s="40"/>
      <c r="S436" s="40"/>
      <c r="T436" s="61">
        <f t="shared" si="67"/>
        <v>81.800000000000068</v>
      </c>
      <c r="U436" s="40"/>
      <c r="V436" s="40"/>
      <c r="W436" s="40"/>
      <c r="X436" s="40"/>
      <c r="Y436" s="67" t="str">
        <f t="shared" si="68"/>
        <v/>
      </c>
      <c r="AA436" s="71"/>
      <c r="AB436" s="71"/>
      <c r="AC436" s="67" t="str">
        <f t="shared" si="69"/>
        <v/>
      </c>
      <c r="AE436" s="124"/>
      <c r="AF436" s="124"/>
      <c r="AG436" s="121"/>
      <c r="AH436" s="121"/>
      <c r="AI436" s="124"/>
      <c r="AJ436" s="124"/>
    </row>
    <row r="437" spans="2:36" x14ac:dyDescent="0.25">
      <c r="B437" s="117"/>
      <c r="C437" s="7"/>
      <c r="D437" s="3">
        <f t="shared" si="62"/>
        <v>0</v>
      </c>
      <c r="E437" s="10"/>
      <c r="F437" s="40"/>
      <c r="G437" s="40"/>
      <c r="H437" s="40"/>
      <c r="I437" s="3" t="str">
        <f t="shared" si="63"/>
        <v/>
      </c>
      <c r="J437" s="3" t="str">
        <f t="shared" si="64"/>
        <v/>
      </c>
      <c r="K437" s="3" t="str">
        <f t="shared" si="65"/>
        <v/>
      </c>
      <c r="L437" s="3"/>
      <c r="M437" s="60" t="e">
        <f t="shared" si="66"/>
        <v>#VALUE!</v>
      </c>
      <c r="N437" s="40"/>
      <c r="O437" s="40"/>
      <c r="P437" s="40"/>
      <c r="Q437" s="40"/>
      <c r="R437" s="40"/>
      <c r="S437" s="40"/>
      <c r="T437" s="61">
        <f t="shared" si="67"/>
        <v>81.800000000000068</v>
      </c>
      <c r="U437" s="40"/>
      <c r="V437" s="40"/>
      <c r="W437" s="40"/>
      <c r="X437" s="40"/>
      <c r="Y437" s="67" t="str">
        <f t="shared" si="68"/>
        <v/>
      </c>
      <c r="AA437" s="71"/>
      <c r="AB437" s="71"/>
      <c r="AC437" s="67" t="str">
        <f t="shared" si="69"/>
        <v/>
      </c>
      <c r="AE437" s="124"/>
      <c r="AF437" s="124"/>
      <c r="AG437" s="121"/>
      <c r="AH437" s="121"/>
      <c r="AI437" s="124"/>
      <c r="AJ437" s="124"/>
    </row>
    <row r="438" spans="2:36" x14ac:dyDescent="0.25">
      <c r="B438" s="117"/>
      <c r="C438" s="7"/>
      <c r="D438" s="3">
        <f t="shared" si="62"/>
        <v>0</v>
      </c>
      <c r="E438" s="10"/>
      <c r="F438" s="40"/>
      <c r="G438" s="40"/>
      <c r="H438" s="40"/>
      <c r="I438" s="3" t="str">
        <f t="shared" si="63"/>
        <v/>
      </c>
      <c r="J438" s="3" t="str">
        <f t="shared" si="64"/>
        <v/>
      </c>
      <c r="K438" s="3" t="str">
        <f t="shared" si="65"/>
        <v/>
      </c>
      <c r="L438" s="3"/>
      <c r="M438" s="60" t="e">
        <f t="shared" si="66"/>
        <v>#VALUE!</v>
      </c>
      <c r="N438" s="40"/>
      <c r="O438" s="40"/>
      <c r="P438" s="40"/>
      <c r="Q438" s="40"/>
      <c r="R438" s="40"/>
      <c r="S438" s="40"/>
      <c r="T438" s="61">
        <f t="shared" si="67"/>
        <v>81.800000000000068</v>
      </c>
      <c r="U438" s="40"/>
      <c r="V438" s="40"/>
      <c r="W438" s="40"/>
      <c r="X438" s="40"/>
      <c r="Y438" s="67" t="str">
        <f t="shared" si="68"/>
        <v/>
      </c>
      <c r="AA438" s="71"/>
      <c r="AB438" s="71"/>
      <c r="AC438" s="67" t="str">
        <f t="shared" si="69"/>
        <v/>
      </c>
      <c r="AE438" s="124"/>
      <c r="AF438" s="124"/>
      <c r="AG438" s="121"/>
      <c r="AH438" s="121"/>
      <c r="AI438" s="124"/>
      <c r="AJ438" s="124"/>
    </row>
    <row r="439" spans="2:36" x14ac:dyDescent="0.25">
      <c r="B439" s="117"/>
      <c r="C439" s="7"/>
      <c r="D439" s="3">
        <f t="shared" si="62"/>
        <v>0</v>
      </c>
      <c r="E439" s="10"/>
      <c r="F439" s="40"/>
      <c r="G439" s="40"/>
      <c r="H439" s="40"/>
      <c r="I439" s="3" t="str">
        <f t="shared" si="63"/>
        <v/>
      </c>
      <c r="J439" s="3" t="str">
        <f t="shared" si="64"/>
        <v/>
      </c>
      <c r="K439" s="3" t="str">
        <f t="shared" si="65"/>
        <v/>
      </c>
      <c r="L439" s="3"/>
      <c r="M439" s="60" t="e">
        <f t="shared" si="66"/>
        <v>#VALUE!</v>
      </c>
      <c r="N439" s="40"/>
      <c r="O439" s="40"/>
      <c r="P439" s="40"/>
      <c r="Q439" s="40"/>
      <c r="R439" s="40"/>
      <c r="S439" s="40"/>
      <c r="T439" s="61">
        <f t="shared" si="67"/>
        <v>81.800000000000068</v>
      </c>
      <c r="U439" s="40"/>
      <c r="V439" s="40"/>
      <c r="W439" s="40"/>
      <c r="X439" s="40"/>
      <c r="Y439" s="67" t="str">
        <f t="shared" si="68"/>
        <v/>
      </c>
      <c r="AA439" s="71"/>
      <c r="AB439" s="71"/>
      <c r="AC439" s="67" t="str">
        <f t="shared" si="69"/>
        <v/>
      </c>
      <c r="AE439" s="124"/>
      <c r="AF439" s="124"/>
      <c r="AG439" s="121"/>
      <c r="AH439" s="121"/>
      <c r="AI439" s="124"/>
      <c r="AJ439" s="124"/>
    </row>
    <row r="440" spans="2:36" x14ac:dyDescent="0.25">
      <c r="B440" s="117"/>
      <c r="C440" s="7"/>
      <c r="D440" s="3">
        <f t="shared" si="62"/>
        <v>0</v>
      </c>
      <c r="E440" s="10"/>
      <c r="F440" s="40"/>
      <c r="G440" s="40"/>
      <c r="H440" s="40"/>
      <c r="I440" s="3" t="str">
        <f t="shared" si="63"/>
        <v/>
      </c>
      <c r="J440" s="3" t="str">
        <f t="shared" si="64"/>
        <v/>
      </c>
      <c r="K440" s="3" t="str">
        <f t="shared" si="65"/>
        <v/>
      </c>
      <c r="L440" s="3"/>
      <c r="M440" s="60" t="e">
        <f t="shared" si="66"/>
        <v>#VALUE!</v>
      </c>
      <c r="N440" s="40"/>
      <c r="O440" s="40"/>
      <c r="P440" s="40"/>
      <c r="Q440" s="40"/>
      <c r="R440" s="40"/>
      <c r="S440" s="40"/>
      <c r="T440" s="61">
        <f t="shared" si="67"/>
        <v>81.800000000000068</v>
      </c>
      <c r="U440" s="40"/>
      <c r="V440" s="40"/>
      <c r="W440" s="40"/>
      <c r="X440" s="40"/>
      <c r="Y440" s="67" t="str">
        <f t="shared" si="68"/>
        <v/>
      </c>
      <c r="AA440" s="71"/>
      <c r="AB440" s="71"/>
      <c r="AC440" s="67" t="str">
        <f t="shared" si="69"/>
        <v/>
      </c>
      <c r="AE440" s="124"/>
      <c r="AF440" s="124"/>
      <c r="AG440" s="121"/>
      <c r="AH440" s="121"/>
      <c r="AI440" s="124"/>
      <c r="AJ440" s="124"/>
    </row>
    <row r="441" spans="2:36" x14ac:dyDescent="0.25">
      <c r="B441" s="117"/>
      <c r="C441" s="7"/>
      <c r="D441" s="3">
        <f t="shared" si="62"/>
        <v>0</v>
      </c>
      <c r="E441" s="10"/>
      <c r="F441" s="40"/>
      <c r="G441" s="40"/>
      <c r="H441" s="40"/>
      <c r="I441" s="3" t="str">
        <f t="shared" si="63"/>
        <v/>
      </c>
      <c r="J441" s="3" t="str">
        <f t="shared" si="64"/>
        <v/>
      </c>
      <c r="K441" s="3" t="str">
        <f t="shared" si="65"/>
        <v/>
      </c>
      <c r="L441" s="3"/>
      <c r="M441" s="60" t="e">
        <f t="shared" si="66"/>
        <v>#VALUE!</v>
      </c>
      <c r="N441" s="40"/>
      <c r="O441" s="40"/>
      <c r="P441" s="40"/>
      <c r="Q441" s="40"/>
      <c r="R441" s="40"/>
      <c r="S441" s="40"/>
      <c r="T441" s="61">
        <f t="shared" si="67"/>
        <v>81.800000000000068</v>
      </c>
      <c r="U441" s="40"/>
      <c r="V441" s="40"/>
      <c r="W441" s="40"/>
      <c r="X441" s="40"/>
      <c r="Y441" s="67" t="str">
        <f t="shared" si="68"/>
        <v/>
      </c>
      <c r="AA441" s="71"/>
      <c r="AB441" s="71"/>
      <c r="AC441" s="67" t="str">
        <f t="shared" si="69"/>
        <v/>
      </c>
      <c r="AE441" s="124"/>
      <c r="AF441" s="124"/>
      <c r="AG441" s="121"/>
      <c r="AH441" s="121"/>
      <c r="AI441" s="124"/>
      <c r="AJ441" s="124"/>
    </row>
    <row r="442" spans="2:36" x14ac:dyDescent="0.25">
      <c r="B442" s="117"/>
      <c r="C442" s="7"/>
      <c r="D442" s="3">
        <f t="shared" si="62"/>
        <v>0</v>
      </c>
      <c r="E442" s="10"/>
      <c r="F442" s="40"/>
      <c r="G442" s="40"/>
      <c r="H442" s="40"/>
      <c r="I442" s="3" t="str">
        <f t="shared" si="63"/>
        <v/>
      </c>
      <c r="J442" s="3" t="str">
        <f t="shared" si="64"/>
        <v/>
      </c>
      <c r="K442" s="3" t="str">
        <f t="shared" si="65"/>
        <v/>
      </c>
      <c r="L442" s="3"/>
      <c r="M442" s="60" t="e">
        <f t="shared" si="66"/>
        <v>#VALUE!</v>
      </c>
      <c r="N442" s="40"/>
      <c r="O442" s="40"/>
      <c r="P442" s="40"/>
      <c r="Q442" s="40"/>
      <c r="R442" s="40"/>
      <c r="S442" s="40"/>
      <c r="T442" s="61">
        <f t="shared" si="67"/>
        <v>81.800000000000068</v>
      </c>
      <c r="U442" s="40"/>
      <c r="V442" s="40"/>
      <c r="W442" s="40"/>
      <c r="X442" s="40"/>
      <c r="Y442" s="67" t="str">
        <f t="shared" si="68"/>
        <v/>
      </c>
      <c r="AA442" s="71"/>
      <c r="AB442" s="71"/>
      <c r="AC442" s="67" t="str">
        <f t="shared" si="69"/>
        <v/>
      </c>
      <c r="AE442" s="124"/>
      <c r="AF442" s="124"/>
      <c r="AG442" s="121"/>
      <c r="AH442" s="121"/>
      <c r="AI442" s="124"/>
      <c r="AJ442" s="124"/>
    </row>
    <row r="443" spans="2:36" x14ac:dyDescent="0.25">
      <c r="B443" s="117"/>
      <c r="C443" s="7"/>
      <c r="D443" s="3">
        <f t="shared" si="62"/>
        <v>0</v>
      </c>
      <c r="E443" s="10"/>
      <c r="F443" s="40"/>
      <c r="G443" s="40"/>
      <c r="H443" s="40"/>
      <c r="I443" s="3" t="str">
        <f t="shared" si="63"/>
        <v/>
      </c>
      <c r="J443" s="3" t="str">
        <f t="shared" si="64"/>
        <v/>
      </c>
      <c r="K443" s="3" t="str">
        <f t="shared" si="65"/>
        <v/>
      </c>
      <c r="L443" s="3"/>
      <c r="M443" s="60" t="e">
        <f t="shared" si="66"/>
        <v>#VALUE!</v>
      </c>
      <c r="N443" s="40"/>
      <c r="O443" s="40"/>
      <c r="P443" s="40"/>
      <c r="Q443" s="40"/>
      <c r="R443" s="40"/>
      <c r="S443" s="40"/>
      <c r="T443" s="61">
        <f t="shared" si="67"/>
        <v>81.800000000000068</v>
      </c>
      <c r="U443" s="40"/>
      <c r="V443" s="40"/>
      <c r="W443" s="40"/>
      <c r="X443" s="40"/>
      <c r="Y443" s="67" t="str">
        <f t="shared" si="68"/>
        <v/>
      </c>
      <c r="AA443" s="71"/>
      <c r="AB443" s="71"/>
      <c r="AC443" s="67" t="str">
        <f t="shared" si="69"/>
        <v/>
      </c>
      <c r="AE443" s="124"/>
      <c r="AF443" s="124"/>
      <c r="AG443" s="121"/>
      <c r="AH443" s="121"/>
      <c r="AI443" s="124"/>
      <c r="AJ443" s="124"/>
    </row>
    <row r="444" spans="2:36" x14ac:dyDescent="0.25">
      <c r="B444" s="117"/>
      <c r="C444" s="7"/>
      <c r="D444" s="3">
        <f t="shared" si="62"/>
        <v>0</v>
      </c>
      <c r="E444" s="10"/>
      <c r="F444" s="40"/>
      <c r="G444" s="40"/>
      <c r="H444" s="40"/>
      <c r="I444" s="3" t="str">
        <f t="shared" si="63"/>
        <v/>
      </c>
      <c r="J444" s="3" t="str">
        <f t="shared" si="64"/>
        <v/>
      </c>
      <c r="K444" s="3" t="str">
        <f t="shared" si="65"/>
        <v/>
      </c>
      <c r="L444" s="3"/>
      <c r="M444" s="60" t="e">
        <f t="shared" si="66"/>
        <v>#VALUE!</v>
      </c>
      <c r="N444" s="40"/>
      <c r="O444" s="40"/>
      <c r="P444" s="40"/>
      <c r="Q444" s="40"/>
      <c r="R444" s="40"/>
      <c r="S444" s="40"/>
      <c r="T444" s="61">
        <f t="shared" si="67"/>
        <v>81.800000000000068</v>
      </c>
      <c r="U444" s="40"/>
      <c r="V444" s="40"/>
      <c r="W444" s="40"/>
      <c r="X444" s="40"/>
      <c r="Y444" s="67" t="str">
        <f t="shared" si="68"/>
        <v/>
      </c>
      <c r="AA444" s="71"/>
      <c r="AB444" s="71"/>
      <c r="AC444" s="67" t="str">
        <f t="shared" si="69"/>
        <v/>
      </c>
      <c r="AE444" s="124"/>
      <c r="AF444" s="124"/>
      <c r="AG444" s="121"/>
      <c r="AH444" s="121"/>
      <c r="AI444" s="124"/>
      <c r="AJ444" s="124"/>
    </row>
    <row r="445" spans="2:36" x14ac:dyDescent="0.25">
      <c r="B445" s="117"/>
      <c r="C445" s="7"/>
      <c r="D445" s="3">
        <f t="shared" si="62"/>
        <v>0</v>
      </c>
      <c r="E445" s="10"/>
      <c r="F445" s="40"/>
      <c r="G445" s="40"/>
      <c r="H445" s="40"/>
      <c r="I445" s="3" t="str">
        <f t="shared" si="63"/>
        <v/>
      </c>
      <c r="J445" s="3" t="str">
        <f t="shared" si="64"/>
        <v/>
      </c>
      <c r="K445" s="3" t="str">
        <f t="shared" si="65"/>
        <v/>
      </c>
      <c r="L445" s="3"/>
      <c r="M445" s="60" t="e">
        <f t="shared" si="66"/>
        <v>#VALUE!</v>
      </c>
      <c r="N445" s="40"/>
      <c r="O445" s="40"/>
      <c r="P445" s="40"/>
      <c r="Q445" s="40"/>
      <c r="R445" s="40"/>
      <c r="S445" s="40"/>
      <c r="T445" s="61">
        <f t="shared" si="67"/>
        <v>81.800000000000068</v>
      </c>
      <c r="U445" s="40"/>
      <c r="V445" s="40"/>
      <c r="W445" s="40"/>
      <c r="X445" s="40"/>
      <c r="Y445" s="67" t="str">
        <f t="shared" si="68"/>
        <v/>
      </c>
      <c r="AA445" s="71"/>
      <c r="AB445" s="71"/>
      <c r="AC445" s="67" t="str">
        <f t="shared" si="69"/>
        <v/>
      </c>
      <c r="AE445" s="124"/>
      <c r="AF445" s="124"/>
      <c r="AG445" s="121"/>
      <c r="AH445" s="121"/>
      <c r="AI445" s="124"/>
      <c r="AJ445" s="124"/>
    </row>
    <row r="446" spans="2:36" x14ac:dyDescent="0.25">
      <c r="B446" s="117"/>
      <c r="C446" s="7"/>
      <c r="D446" s="3">
        <f t="shared" si="62"/>
        <v>0</v>
      </c>
      <c r="E446" s="10"/>
      <c r="F446" s="40"/>
      <c r="G446" s="40"/>
      <c r="H446" s="40"/>
      <c r="I446" s="3" t="str">
        <f t="shared" si="63"/>
        <v/>
      </c>
      <c r="J446" s="3" t="str">
        <f t="shared" si="64"/>
        <v/>
      </c>
      <c r="K446" s="3" t="str">
        <f t="shared" si="65"/>
        <v/>
      </c>
      <c r="L446" s="3"/>
      <c r="M446" s="60" t="e">
        <f t="shared" si="66"/>
        <v>#VALUE!</v>
      </c>
      <c r="N446" s="40"/>
      <c r="O446" s="40"/>
      <c r="P446" s="40"/>
      <c r="Q446" s="40"/>
      <c r="R446" s="40"/>
      <c r="S446" s="40"/>
      <c r="T446" s="61">
        <f t="shared" si="67"/>
        <v>81.800000000000068</v>
      </c>
      <c r="U446" s="40"/>
      <c r="V446" s="40"/>
      <c r="W446" s="40"/>
      <c r="X446" s="40"/>
      <c r="Y446" s="67" t="str">
        <f t="shared" si="68"/>
        <v/>
      </c>
      <c r="AA446" s="71"/>
      <c r="AB446" s="71"/>
      <c r="AC446" s="67" t="str">
        <f t="shared" si="69"/>
        <v/>
      </c>
      <c r="AE446" s="124"/>
      <c r="AF446" s="124"/>
      <c r="AG446" s="121"/>
      <c r="AH446" s="121"/>
      <c r="AI446" s="124"/>
      <c r="AJ446" s="124"/>
    </row>
    <row r="447" spans="2:36" x14ac:dyDescent="0.25">
      <c r="B447" s="117"/>
      <c r="C447" s="7"/>
      <c r="D447" s="3">
        <f t="shared" si="62"/>
        <v>0</v>
      </c>
      <c r="E447" s="10"/>
      <c r="F447" s="40"/>
      <c r="G447" s="40"/>
      <c r="H447" s="40"/>
      <c r="I447" s="3" t="str">
        <f t="shared" si="63"/>
        <v/>
      </c>
      <c r="J447" s="3" t="str">
        <f t="shared" si="64"/>
        <v/>
      </c>
      <c r="K447" s="3" t="str">
        <f t="shared" si="65"/>
        <v/>
      </c>
      <c r="L447" s="3"/>
      <c r="M447" s="60" t="e">
        <f t="shared" si="66"/>
        <v>#VALUE!</v>
      </c>
      <c r="N447" s="40"/>
      <c r="O447" s="40"/>
      <c r="P447" s="40"/>
      <c r="Q447" s="40"/>
      <c r="R447" s="40"/>
      <c r="S447" s="40"/>
      <c r="T447" s="61">
        <f t="shared" si="67"/>
        <v>81.800000000000068</v>
      </c>
      <c r="U447" s="40"/>
      <c r="V447" s="40"/>
      <c r="W447" s="40"/>
      <c r="X447" s="40"/>
      <c r="Y447" s="67" t="str">
        <f t="shared" si="68"/>
        <v/>
      </c>
      <c r="AA447" s="71"/>
      <c r="AB447" s="71"/>
      <c r="AC447" s="67" t="str">
        <f t="shared" si="69"/>
        <v/>
      </c>
      <c r="AE447" s="124"/>
      <c r="AF447" s="124"/>
      <c r="AG447" s="121"/>
      <c r="AH447" s="121"/>
      <c r="AI447" s="124"/>
      <c r="AJ447" s="124"/>
    </row>
    <row r="448" spans="2:36" x14ac:dyDescent="0.25">
      <c r="B448" s="117"/>
      <c r="C448" s="7"/>
      <c r="D448" s="3">
        <f t="shared" si="62"/>
        <v>0</v>
      </c>
      <c r="E448" s="10"/>
      <c r="F448" s="40"/>
      <c r="G448" s="40"/>
      <c r="H448" s="40"/>
      <c r="I448" s="3" t="str">
        <f t="shared" si="63"/>
        <v/>
      </c>
      <c r="J448" s="3" t="str">
        <f t="shared" si="64"/>
        <v/>
      </c>
      <c r="K448" s="3" t="str">
        <f t="shared" si="65"/>
        <v/>
      </c>
      <c r="L448" s="3"/>
      <c r="M448" s="60" t="e">
        <f t="shared" si="66"/>
        <v>#VALUE!</v>
      </c>
      <c r="N448" s="40"/>
      <c r="O448" s="40"/>
      <c r="P448" s="40"/>
      <c r="Q448" s="40"/>
      <c r="R448" s="40"/>
      <c r="S448" s="40"/>
      <c r="T448" s="61">
        <f t="shared" si="67"/>
        <v>81.800000000000068</v>
      </c>
      <c r="U448" s="40"/>
      <c r="V448" s="40"/>
      <c r="W448" s="40"/>
      <c r="X448" s="40"/>
      <c r="Y448" s="67" t="str">
        <f t="shared" si="68"/>
        <v/>
      </c>
      <c r="AA448" s="71"/>
      <c r="AB448" s="71"/>
      <c r="AC448" s="67" t="str">
        <f t="shared" si="69"/>
        <v/>
      </c>
      <c r="AE448" s="124"/>
      <c r="AF448" s="124"/>
      <c r="AG448" s="121"/>
      <c r="AH448" s="121"/>
      <c r="AI448" s="124"/>
      <c r="AJ448" s="124"/>
    </row>
    <row r="449" spans="2:36" x14ac:dyDescent="0.25">
      <c r="B449" s="117"/>
      <c r="C449" s="7"/>
      <c r="D449" s="3">
        <f t="shared" si="62"/>
        <v>0</v>
      </c>
      <c r="E449" s="10"/>
      <c r="F449" s="40"/>
      <c r="G449" s="40"/>
      <c r="H449" s="40"/>
      <c r="I449" s="3" t="str">
        <f t="shared" si="63"/>
        <v/>
      </c>
      <c r="J449" s="3" t="str">
        <f t="shared" si="64"/>
        <v/>
      </c>
      <c r="K449" s="3" t="str">
        <f t="shared" si="65"/>
        <v/>
      </c>
      <c r="L449" s="3"/>
      <c r="M449" s="60" t="e">
        <f t="shared" si="66"/>
        <v>#VALUE!</v>
      </c>
      <c r="N449" s="40"/>
      <c r="O449" s="40"/>
      <c r="P449" s="40"/>
      <c r="Q449" s="40"/>
      <c r="R449" s="40"/>
      <c r="S449" s="40"/>
      <c r="T449" s="61">
        <f t="shared" si="67"/>
        <v>81.800000000000068</v>
      </c>
      <c r="U449" s="40"/>
      <c r="V449" s="40"/>
      <c r="W449" s="40"/>
      <c r="X449" s="40"/>
      <c r="Y449" s="67" t="str">
        <f t="shared" si="68"/>
        <v/>
      </c>
      <c r="AA449" s="71"/>
      <c r="AB449" s="71"/>
      <c r="AC449" s="67" t="str">
        <f t="shared" si="69"/>
        <v/>
      </c>
      <c r="AE449" s="124"/>
      <c r="AF449" s="124"/>
      <c r="AG449" s="121"/>
      <c r="AH449" s="121"/>
      <c r="AI449" s="124"/>
      <c r="AJ449" s="124"/>
    </row>
    <row r="450" spans="2:36" x14ac:dyDescent="0.25">
      <c r="B450" s="117"/>
      <c r="C450" s="7"/>
      <c r="D450" s="3">
        <f t="shared" si="62"/>
        <v>0</v>
      </c>
      <c r="E450" s="10"/>
      <c r="F450" s="40"/>
      <c r="G450" s="40"/>
      <c r="H450" s="40"/>
      <c r="I450" s="3" t="str">
        <f t="shared" si="63"/>
        <v/>
      </c>
      <c r="J450" s="3" t="str">
        <f t="shared" si="64"/>
        <v/>
      </c>
      <c r="K450" s="3" t="str">
        <f t="shared" si="65"/>
        <v/>
      </c>
      <c r="L450" s="3"/>
      <c r="M450" s="60" t="e">
        <f t="shared" si="66"/>
        <v>#VALUE!</v>
      </c>
      <c r="N450" s="40"/>
      <c r="O450" s="40"/>
      <c r="P450" s="40"/>
      <c r="Q450" s="40"/>
      <c r="R450" s="40"/>
      <c r="S450" s="40"/>
      <c r="T450" s="61">
        <f t="shared" si="67"/>
        <v>81.800000000000068</v>
      </c>
      <c r="U450" s="40"/>
      <c r="V450" s="40"/>
      <c r="W450" s="40"/>
      <c r="X450" s="40"/>
      <c r="Y450" s="67" t="str">
        <f t="shared" si="68"/>
        <v/>
      </c>
      <c r="AA450" s="71"/>
      <c r="AB450" s="71"/>
      <c r="AC450" s="67" t="str">
        <f t="shared" si="69"/>
        <v/>
      </c>
      <c r="AE450" s="124"/>
      <c r="AF450" s="124"/>
      <c r="AG450" s="121"/>
      <c r="AH450" s="121"/>
      <c r="AI450" s="124"/>
      <c r="AJ450" s="124"/>
    </row>
    <row r="451" spans="2:36" x14ac:dyDescent="0.25">
      <c r="B451" s="117"/>
      <c r="C451" s="7"/>
      <c r="D451" s="3">
        <f t="shared" si="62"/>
        <v>0</v>
      </c>
      <c r="E451" s="10"/>
      <c r="F451" s="40"/>
      <c r="G451" s="40"/>
      <c r="H451" s="40"/>
      <c r="I451" s="3" t="str">
        <f t="shared" si="63"/>
        <v/>
      </c>
      <c r="J451" s="3" t="str">
        <f t="shared" si="64"/>
        <v/>
      </c>
      <c r="K451" s="3" t="str">
        <f t="shared" si="65"/>
        <v/>
      </c>
      <c r="L451" s="3"/>
      <c r="M451" s="60" t="e">
        <f t="shared" si="66"/>
        <v>#VALUE!</v>
      </c>
      <c r="N451" s="40"/>
      <c r="O451" s="40"/>
      <c r="P451" s="40"/>
      <c r="Q451" s="40"/>
      <c r="R451" s="40"/>
      <c r="S451" s="40"/>
      <c r="T451" s="61">
        <f t="shared" si="67"/>
        <v>81.800000000000068</v>
      </c>
      <c r="U451" s="40"/>
      <c r="V451" s="40"/>
      <c r="W451" s="40"/>
      <c r="X451" s="40"/>
      <c r="Y451" s="67" t="str">
        <f t="shared" si="68"/>
        <v/>
      </c>
      <c r="AA451" s="71"/>
      <c r="AB451" s="71"/>
      <c r="AC451" s="67" t="str">
        <f t="shared" si="69"/>
        <v/>
      </c>
      <c r="AE451" s="124"/>
      <c r="AF451" s="124"/>
      <c r="AG451" s="121"/>
      <c r="AH451" s="121"/>
      <c r="AI451" s="124"/>
      <c r="AJ451" s="124"/>
    </row>
    <row r="452" spans="2:36" x14ac:dyDescent="0.25">
      <c r="B452" s="117"/>
      <c r="C452" s="7"/>
      <c r="D452" s="3">
        <f t="shared" si="62"/>
        <v>0</v>
      </c>
      <c r="E452" s="10"/>
      <c r="F452" s="40"/>
      <c r="G452" s="40"/>
      <c r="H452" s="40"/>
      <c r="I452" s="3" t="str">
        <f t="shared" si="63"/>
        <v/>
      </c>
      <c r="J452" s="3" t="str">
        <f t="shared" si="64"/>
        <v/>
      </c>
      <c r="K452" s="3" t="str">
        <f t="shared" si="65"/>
        <v/>
      </c>
      <c r="L452" s="3"/>
      <c r="M452" s="60" t="e">
        <f t="shared" si="66"/>
        <v>#VALUE!</v>
      </c>
      <c r="N452" s="40"/>
      <c r="O452" s="40"/>
      <c r="P452" s="40"/>
      <c r="Q452" s="40"/>
      <c r="R452" s="40"/>
      <c r="S452" s="40"/>
      <c r="T452" s="61">
        <f t="shared" si="67"/>
        <v>81.800000000000068</v>
      </c>
      <c r="U452" s="40"/>
      <c r="V452" s="40"/>
      <c r="W452" s="40"/>
      <c r="X452" s="40"/>
      <c r="Y452" s="67" t="str">
        <f t="shared" si="68"/>
        <v/>
      </c>
      <c r="AA452" s="71"/>
      <c r="AB452" s="71"/>
      <c r="AC452" s="67" t="str">
        <f t="shared" si="69"/>
        <v/>
      </c>
      <c r="AE452" s="124"/>
      <c r="AF452" s="124"/>
      <c r="AG452" s="121"/>
      <c r="AH452" s="121"/>
      <c r="AI452" s="124"/>
      <c r="AJ452" s="124"/>
    </row>
    <row r="453" spans="2:36" x14ac:dyDescent="0.25">
      <c r="B453" s="117"/>
      <c r="C453" s="7"/>
      <c r="D453" s="3">
        <f t="shared" si="62"/>
        <v>0</v>
      </c>
      <c r="E453" s="10"/>
      <c r="F453" s="40"/>
      <c r="G453" s="40"/>
      <c r="H453" s="40"/>
      <c r="I453" s="3" t="str">
        <f t="shared" si="63"/>
        <v/>
      </c>
      <c r="J453" s="3" t="str">
        <f t="shared" si="64"/>
        <v/>
      </c>
      <c r="K453" s="3" t="str">
        <f t="shared" si="65"/>
        <v/>
      </c>
      <c r="L453" s="3"/>
      <c r="M453" s="60" t="e">
        <f t="shared" si="66"/>
        <v>#VALUE!</v>
      </c>
      <c r="N453" s="40"/>
      <c r="O453" s="40"/>
      <c r="P453" s="40"/>
      <c r="Q453" s="40"/>
      <c r="R453" s="40"/>
      <c r="S453" s="40"/>
      <c r="T453" s="61">
        <f t="shared" si="67"/>
        <v>81.800000000000068</v>
      </c>
      <c r="U453" s="40"/>
      <c r="V453" s="40"/>
      <c r="W453" s="40"/>
      <c r="X453" s="40"/>
      <c r="Y453" s="67" t="str">
        <f t="shared" si="68"/>
        <v/>
      </c>
      <c r="AA453" s="71"/>
      <c r="AB453" s="71"/>
      <c r="AC453" s="67" t="str">
        <f t="shared" si="69"/>
        <v/>
      </c>
      <c r="AE453" s="124"/>
      <c r="AF453" s="124"/>
      <c r="AG453" s="121"/>
      <c r="AH453" s="121"/>
      <c r="AI453" s="124"/>
      <c r="AJ453" s="124"/>
    </row>
    <row r="454" spans="2:36" x14ac:dyDescent="0.25">
      <c r="B454" s="117"/>
      <c r="C454" s="7"/>
      <c r="D454" s="3">
        <f t="shared" si="62"/>
        <v>0</v>
      </c>
      <c r="E454" s="10"/>
      <c r="F454" s="40"/>
      <c r="G454" s="40"/>
      <c r="H454" s="40"/>
      <c r="I454" s="3" t="str">
        <f t="shared" si="63"/>
        <v/>
      </c>
      <c r="J454" s="3" t="str">
        <f t="shared" si="64"/>
        <v/>
      </c>
      <c r="K454" s="3" t="str">
        <f t="shared" si="65"/>
        <v/>
      </c>
      <c r="L454" s="3"/>
      <c r="M454" s="60" t="e">
        <f t="shared" si="66"/>
        <v>#VALUE!</v>
      </c>
      <c r="N454" s="40"/>
      <c r="O454" s="40"/>
      <c r="P454" s="40"/>
      <c r="Q454" s="40"/>
      <c r="R454" s="40"/>
      <c r="S454" s="40"/>
      <c r="T454" s="61">
        <f t="shared" si="67"/>
        <v>81.800000000000068</v>
      </c>
      <c r="U454" s="40"/>
      <c r="V454" s="40"/>
      <c r="W454" s="40"/>
      <c r="X454" s="40"/>
      <c r="Y454" s="67" t="str">
        <f t="shared" si="68"/>
        <v/>
      </c>
      <c r="AA454" s="71"/>
      <c r="AB454" s="71"/>
      <c r="AC454" s="67" t="str">
        <f t="shared" si="69"/>
        <v/>
      </c>
      <c r="AE454" s="124"/>
      <c r="AF454" s="124"/>
      <c r="AG454" s="121"/>
      <c r="AH454" s="121"/>
      <c r="AI454" s="124"/>
      <c r="AJ454" s="124"/>
    </row>
    <row r="455" spans="2:36" x14ac:dyDescent="0.25">
      <c r="B455" s="117"/>
      <c r="C455" s="7"/>
      <c r="D455" s="3">
        <f t="shared" si="62"/>
        <v>0</v>
      </c>
      <c r="E455" s="10"/>
      <c r="F455" s="40"/>
      <c r="G455" s="40"/>
      <c r="H455" s="40"/>
      <c r="I455" s="3" t="str">
        <f t="shared" si="63"/>
        <v/>
      </c>
      <c r="J455" s="3" t="str">
        <f t="shared" si="64"/>
        <v/>
      </c>
      <c r="K455" s="3" t="str">
        <f t="shared" si="65"/>
        <v/>
      </c>
      <c r="L455" s="3"/>
      <c r="M455" s="60" t="e">
        <f t="shared" si="66"/>
        <v>#VALUE!</v>
      </c>
      <c r="N455" s="40"/>
      <c r="O455" s="40"/>
      <c r="P455" s="40"/>
      <c r="Q455" s="40"/>
      <c r="R455" s="40"/>
      <c r="S455" s="40"/>
      <c r="T455" s="61">
        <f t="shared" si="67"/>
        <v>81.800000000000068</v>
      </c>
      <c r="U455" s="40"/>
      <c r="V455" s="40"/>
      <c r="W455" s="40"/>
      <c r="X455" s="40"/>
      <c r="Y455" s="67" t="str">
        <f t="shared" si="68"/>
        <v/>
      </c>
      <c r="AA455" s="71"/>
      <c r="AB455" s="71"/>
      <c r="AC455" s="67" t="str">
        <f t="shared" si="69"/>
        <v/>
      </c>
      <c r="AE455" s="124"/>
      <c r="AF455" s="124"/>
      <c r="AG455" s="121"/>
      <c r="AH455" s="121"/>
      <c r="AI455" s="124"/>
      <c r="AJ455" s="124"/>
    </row>
    <row r="456" spans="2:36" x14ac:dyDescent="0.25">
      <c r="B456" s="117"/>
      <c r="C456" s="7"/>
      <c r="D456" s="3">
        <f t="shared" si="62"/>
        <v>0</v>
      </c>
      <c r="E456" s="10"/>
      <c r="F456" s="40"/>
      <c r="G456" s="40"/>
      <c r="H456" s="40"/>
      <c r="I456" s="3" t="str">
        <f t="shared" si="63"/>
        <v/>
      </c>
      <c r="J456" s="3" t="str">
        <f t="shared" si="64"/>
        <v/>
      </c>
      <c r="K456" s="3" t="str">
        <f t="shared" si="65"/>
        <v/>
      </c>
      <c r="L456" s="3"/>
      <c r="M456" s="60" t="e">
        <f t="shared" si="66"/>
        <v>#VALUE!</v>
      </c>
      <c r="N456" s="40"/>
      <c r="O456" s="40"/>
      <c r="P456" s="40"/>
      <c r="Q456" s="40"/>
      <c r="R456" s="40"/>
      <c r="S456" s="40"/>
      <c r="T456" s="61">
        <f t="shared" si="67"/>
        <v>81.800000000000068</v>
      </c>
      <c r="U456" s="40"/>
      <c r="V456" s="40"/>
      <c r="W456" s="40"/>
      <c r="X456" s="40"/>
      <c r="Y456" s="67" t="str">
        <f t="shared" si="68"/>
        <v/>
      </c>
      <c r="AA456" s="71"/>
      <c r="AB456" s="71"/>
      <c r="AC456" s="67" t="str">
        <f t="shared" si="69"/>
        <v/>
      </c>
      <c r="AE456" s="124"/>
      <c r="AF456" s="124"/>
      <c r="AG456" s="121"/>
      <c r="AH456" s="121"/>
      <c r="AI456" s="124"/>
      <c r="AJ456" s="124"/>
    </row>
    <row r="457" spans="2:36" x14ac:dyDescent="0.25">
      <c r="B457" s="117"/>
      <c r="C457" s="7"/>
      <c r="D457" s="3">
        <f t="shared" si="62"/>
        <v>0</v>
      </c>
      <c r="E457" s="10"/>
      <c r="F457" s="40"/>
      <c r="G457" s="40"/>
      <c r="H457" s="40"/>
      <c r="I457" s="3" t="str">
        <f t="shared" si="63"/>
        <v/>
      </c>
      <c r="J457" s="3" t="str">
        <f t="shared" si="64"/>
        <v/>
      </c>
      <c r="K457" s="3" t="str">
        <f t="shared" si="65"/>
        <v/>
      </c>
      <c r="L457" s="3"/>
      <c r="M457" s="60" t="e">
        <f t="shared" si="66"/>
        <v>#VALUE!</v>
      </c>
      <c r="N457" s="40"/>
      <c r="O457" s="40"/>
      <c r="P457" s="40"/>
      <c r="Q457" s="40"/>
      <c r="R457" s="40"/>
      <c r="S457" s="40"/>
      <c r="T457" s="61">
        <f t="shared" si="67"/>
        <v>81.800000000000068</v>
      </c>
      <c r="U457" s="40"/>
      <c r="V457" s="40"/>
      <c r="W457" s="40"/>
      <c r="X457" s="40"/>
      <c r="Y457" s="67" t="str">
        <f t="shared" si="68"/>
        <v/>
      </c>
      <c r="AA457" s="71"/>
      <c r="AB457" s="71"/>
      <c r="AC457" s="67" t="str">
        <f t="shared" si="69"/>
        <v/>
      </c>
      <c r="AE457" s="124"/>
      <c r="AF457" s="124"/>
      <c r="AG457" s="121"/>
      <c r="AH457" s="121"/>
      <c r="AI457" s="124"/>
      <c r="AJ457" s="124"/>
    </row>
    <row r="458" spans="2:36" x14ac:dyDescent="0.25">
      <c r="B458" s="117"/>
      <c r="C458" s="7"/>
      <c r="D458" s="3">
        <f t="shared" si="62"/>
        <v>0</v>
      </c>
      <c r="E458" s="10"/>
      <c r="F458" s="40"/>
      <c r="G458" s="40"/>
      <c r="H458" s="40"/>
      <c r="I458" s="3" t="str">
        <f t="shared" si="63"/>
        <v/>
      </c>
      <c r="J458" s="3" t="str">
        <f t="shared" si="64"/>
        <v/>
      </c>
      <c r="K458" s="3" t="str">
        <f t="shared" si="65"/>
        <v/>
      </c>
      <c r="L458" s="3"/>
      <c r="M458" s="60" t="e">
        <f t="shared" si="66"/>
        <v>#VALUE!</v>
      </c>
      <c r="N458" s="40"/>
      <c r="O458" s="40"/>
      <c r="P458" s="40"/>
      <c r="Q458" s="40"/>
      <c r="R458" s="40"/>
      <c r="S458" s="40"/>
      <c r="T458" s="61">
        <f t="shared" si="67"/>
        <v>81.800000000000068</v>
      </c>
      <c r="U458" s="40"/>
      <c r="V458" s="40"/>
      <c r="W458" s="40"/>
      <c r="X458" s="40"/>
      <c r="Y458" s="67" t="str">
        <f t="shared" si="68"/>
        <v/>
      </c>
      <c r="AA458" s="71"/>
      <c r="AB458" s="71"/>
      <c r="AC458" s="67" t="str">
        <f t="shared" si="69"/>
        <v/>
      </c>
      <c r="AE458" s="124"/>
      <c r="AF458" s="124"/>
      <c r="AG458" s="121"/>
      <c r="AH458" s="121"/>
      <c r="AI458" s="124"/>
      <c r="AJ458" s="124"/>
    </row>
    <row r="459" spans="2:36" x14ac:dyDescent="0.25">
      <c r="B459" s="117"/>
      <c r="C459" s="7"/>
      <c r="D459" s="3">
        <f t="shared" si="62"/>
        <v>0</v>
      </c>
      <c r="E459" s="10"/>
      <c r="F459" s="40"/>
      <c r="G459" s="40"/>
      <c r="H459" s="40"/>
      <c r="I459" s="3" t="str">
        <f t="shared" si="63"/>
        <v/>
      </c>
      <c r="J459" s="3" t="str">
        <f t="shared" si="64"/>
        <v/>
      </c>
      <c r="K459" s="3" t="str">
        <f t="shared" si="65"/>
        <v/>
      </c>
      <c r="L459" s="3"/>
      <c r="M459" s="60" t="e">
        <f t="shared" si="66"/>
        <v>#VALUE!</v>
      </c>
      <c r="N459" s="40"/>
      <c r="O459" s="40"/>
      <c r="P459" s="40"/>
      <c r="Q459" s="40"/>
      <c r="R459" s="40"/>
      <c r="S459" s="40"/>
      <c r="T459" s="61">
        <f t="shared" si="67"/>
        <v>81.800000000000068</v>
      </c>
      <c r="U459" s="40"/>
      <c r="V459" s="40"/>
      <c r="W459" s="40"/>
      <c r="X459" s="40"/>
      <c r="Y459" s="67" t="str">
        <f t="shared" si="68"/>
        <v/>
      </c>
      <c r="AA459" s="71"/>
      <c r="AB459" s="71"/>
      <c r="AC459" s="67" t="str">
        <f t="shared" si="69"/>
        <v/>
      </c>
      <c r="AE459" s="124"/>
      <c r="AF459" s="124"/>
      <c r="AG459" s="121"/>
      <c r="AH459" s="121"/>
      <c r="AI459" s="124"/>
      <c r="AJ459" s="124"/>
    </row>
    <row r="460" spans="2:36" x14ac:dyDescent="0.25">
      <c r="B460" s="117"/>
      <c r="C460" s="7"/>
      <c r="D460" s="3">
        <f t="shared" si="62"/>
        <v>0</v>
      </c>
      <c r="E460" s="10"/>
      <c r="F460" s="40"/>
      <c r="G460" s="40"/>
      <c r="H460" s="40"/>
      <c r="I460" s="3" t="str">
        <f t="shared" si="63"/>
        <v/>
      </c>
      <c r="J460" s="3" t="str">
        <f t="shared" si="64"/>
        <v/>
      </c>
      <c r="K460" s="3" t="str">
        <f t="shared" si="65"/>
        <v/>
      </c>
      <c r="L460" s="3"/>
      <c r="M460" s="60" t="e">
        <f t="shared" si="66"/>
        <v>#VALUE!</v>
      </c>
      <c r="N460" s="40"/>
      <c r="O460" s="40"/>
      <c r="P460" s="40"/>
      <c r="Q460" s="40"/>
      <c r="R460" s="40"/>
      <c r="S460" s="40"/>
      <c r="T460" s="61">
        <f t="shared" si="67"/>
        <v>81.800000000000068</v>
      </c>
      <c r="U460" s="40"/>
      <c r="V460" s="40"/>
      <c r="W460" s="40"/>
      <c r="X460" s="40"/>
      <c r="Y460" s="67" t="str">
        <f t="shared" si="68"/>
        <v/>
      </c>
      <c r="AA460" s="71"/>
      <c r="AB460" s="71"/>
      <c r="AC460" s="67" t="str">
        <f t="shared" si="69"/>
        <v/>
      </c>
      <c r="AE460" s="124"/>
      <c r="AF460" s="124"/>
      <c r="AG460" s="121"/>
      <c r="AH460" s="121"/>
      <c r="AI460" s="124"/>
      <c r="AJ460" s="124"/>
    </row>
    <row r="461" spans="2:36" x14ac:dyDescent="0.25">
      <c r="B461" s="117"/>
      <c r="C461" s="7"/>
      <c r="D461" s="3">
        <f t="shared" si="62"/>
        <v>0</v>
      </c>
      <c r="E461" s="10"/>
      <c r="F461" s="40"/>
      <c r="G461" s="40"/>
      <c r="H461" s="40"/>
      <c r="I461" s="3" t="str">
        <f t="shared" si="63"/>
        <v/>
      </c>
      <c r="J461" s="3" t="str">
        <f t="shared" si="64"/>
        <v/>
      </c>
      <c r="K461" s="3" t="str">
        <f t="shared" si="65"/>
        <v/>
      </c>
      <c r="L461" s="3"/>
      <c r="M461" s="60" t="e">
        <f t="shared" si="66"/>
        <v>#VALUE!</v>
      </c>
      <c r="N461" s="40"/>
      <c r="O461" s="40"/>
      <c r="P461" s="40"/>
      <c r="Q461" s="40"/>
      <c r="R461" s="40"/>
      <c r="S461" s="40"/>
      <c r="T461" s="61">
        <f t="shared" si="67"/>
        <v>81.800000000000068</v>
      </c>
      <c r="U461" s="40"/>
      <c r="V461" s="40"/>
      <c r="W461" s="40"/>
      <c r="X461" s="40"/>
      <c r="Y461" s="67" t="str">
        <f t="shared" si="68"/>
        <v/>
      </c>
      <c r="AA461" s="71"/>
      <c r="AB461" s="71"/>
      <c r="AC461" s="67" t="str">
        <f t="shared" si="69"/>
        <v/>
      </c>
      <c r="AE461" s="124"/>
      <c r="AF461" s="124"/>
      <c r="AG461" s="121"/>
      <c r="AH461" s="121"/>
      <c r="AI461" s="124"/>
      <c r="AJ461" s="124"/>
    </row>
    <row r="462" spans="2:36" x14ac:dyDescent="0.25">
      <c r="B462" s="117"/>
      <c r="C462" s="7"/>
      <c r="D462" s="3">
        <f t="shared" si="62"/>
        <v>0</v>
      </c>
      <c r="E462" s="10"/>
      <c r="F462" s="40"/>
      <c r="G462" s="40"/>
      <c r="H462" s="40"/>
      <c r="I462" s="3" t="str">
        <f t="shared" si="63"/>
        <v/>
      </c>
      <c r="J462" s="3" t="str">
        <f t="shared" si="64"/>
        <v/>
      </c>
      <c r="K462" s="3" t="str">
        <f t="shared" si="65"/>
        <v/>
      </c>
      <c r="L462" s="3"/>
      <c r="M462" s="60" t="e">
        <f t="shared" si="66"/>
        <v>#VALUE!</v>
      </c>
      <c r="N462" s="40"/>
      <c r="O462" s="40"/>
      <c r="P462" s="40"/>
      <c r="Q462" s="40"/>
      <c r="R462" s="40"/>
      <c r="S462" s="40"/>
      <c r="T462" s="61">
        <f t="shared" si="67"/>
        <v>81.800000000000068</v>
      </c>
      <c r="U462" s="40"/>
      <c r="V462" s="40"/>
      <c r="W462" s="40"/>
      <c r="X462" s="40"/>
      <c r="Y462" s="67" t="str">
        <f t="shared" si="68"/>
        <v/>
      </c>
      <c r="AA462" s="71"/>
      <c r="AB462" s="71"/>
      <c r="AC462" s="67" t="str">
        <f t="shared" si="69"/>
        <v/>
      </c>
      <c r="AE462" s="124"/>
      <c r="AF462" s="124"/>
      <c r="AG462" s="121"/>
      <c r="AH462" s="121"/>
      <c r="AI462" s="124"/>
      <c r="AJ462" s="124"/>
    </row>
    <row r="463" spans="2:36" x14ac:dyDescent="0.25">
      <c r="B463" s="117"/>
      <c r="C463" s="7"/>
      <c r="D463" s="3">
        <f t="shared" si="62"/>
        <v>0</v>
      </c>
      <c r="E463" s="10"/>
      <c r="F463" s="40"/>
      <c r="G463" s="40"/>
      <c r="H463" s="40"/>
      <c r="I463" s="3" t="str">
        <f t="shared" si="63"/>
        <v/>
      </c>
      <c r="J463" s="3" t="str">
        <f t="shared" si="64"/>
        <v/>
      </c>
      <c r="K463" s="3" t="str">
        <f t="shared" si="65"/>
        <v/>
      </c>
      <c r="L463" s="3"/>
      <c r="M463" s="60" t="e">
        <f t="shared" si="66"/>
        <v>#VALUE!</v>
      </c>
      <c r="N463" s="40"/>
      <c r="O463" s="40"/>
      <c r="P463" s="40"/>
      <c r="Q463" s="40"/>
      <c r="R463" s="40"/>
      <c r="S463" s="40"/>
      <c r="T463" s="61">
        <f t="shared" si="67"/>
        <v>81.800000000000068</v>
      </c>
      <c r="U463" s="40"/>
      <c r="V463" s="40"/>
      <c r="W463" s="40"/>
      <c r="X463" s="40"/>
      <c r="Y463" s="67" t="str">
        <f t="shared" si="68"/>
        <v/>
      </c>
      <c r="AA463" s="71"/>
      <c r="AB463" s="71"/>
      <c r="AC463" s="67" t="str">
        <f t="shared" si="69"/>
        <v/>
      </c>
      <c r="AE463" s="124"/>
      <c r="AF463" s="124"/>
      <c r="AG463" s="121"/>
      <c r="AH463" s="121"/>
      <c r="AI463" s="124"/>
      <c r="AJ463" s="124"/>
    </row>
    <row r="464" spans="2:36" x14ac:dyDescent="0.25">
      <c r="B464" s="117"/>
      <c r="C464" s="7"/>
      <c r="D464" s="3">
        <f t="shared" si="62"/>
        <v>0</v>
      </c>
      <c r="E464" s="10"/>
      <c r="F464" s="40"/>
      <c r="G464" s="40"/>
      <c r="H464" s="40"/>
      <c r="I464" s="3" t="str">
        <f t="shared" si="63"/>
        <v/>
      </c>
      <c r="J464" s="3" t="str">
        <f t="shared" si="64"/>
        <v/>
      </c>
      <c r="K464" s="3" t="str">
        <f t="shared" si="65"/>
        <v/>
      </c>
      <c r="L464" s="3"/>
      <c r="M464" s="60" t="e">
        <f t="shared" si="66"/>
        <v>#VALUE!</v>
      </c>
      <c r="N464" s="40"/>
      <c r="O464" s="40"/>
      <c r="P464" s="40"/>
      <c r="Q464" s="40"/>
      <c r="R464" s="40"/>
      <c r="S464" s="40"/>
      <c r="T464" s="61">
        <f t="shared" si="67"/>
        <v>81.800000000000068</v>
      </c>
      <c r="U464" s="40"/>
      <c r="V464" s="40"/>
      <c r="W464" s="40"/>
      <c r="X464" s="40"/>
      <c r="Y464" s="67" t="str">
        <f t="shared" si="68"/>
        <v/>
      </c>
      <c r="AA464" s="71"/>
      <c r="AB464" s="71"/>
      <c r="AC464" s="67" t="str">
        <f t="shared" si="69"/>
        <v/>
      </c>
      <c r="AE464" s="124"/>
      <c r="AF464" s="124"/>
      <c r="AG464" s="121"/>
      <c r="AH464" s="121"/>
      <c r="AI464" s="124"/>
      <c r="AJ464" s="124"/>
    </row>
    <row r="465" spans="2:36" x14ac:dyDescent="0.25">
      <c r="B465" s="117"/>
      <c r="C465" s="7"/>
      <c r="D465" s="3">
        <f t="shared" si="62"/>
        <v>0</v>
      </c>
      <c r="E465" s="10"/>
      <c r="F465" s="40"/>
      <c r="G465" s="40"/>
      <c r="H465" s="40"/>
      <c r="I465" s="3" t="str">
        <f t="shared" si="63"/>
        <v/>
      </c>
      <c r="J465" s="3" t="str">
        <f t="shared" si="64"/>
        <v/>
      </c>
      <c r="K465" s="3" t="str">
        <f t="shared" si="65"/>
        <v/>
      </c>
      <c r="L465" s="3"/>
      <c r="M465" s="60" t="e">
        <f t="shared" si="66"/>
        <v>#VALUE!</v>
      </c>
      <c r="N465" s="40"/>
      <c r="O465" s="40"/>
      <c r="P465" s="40"/>
      <c r="Q465" s="40"/>
      <c r="R465" s="40"/>
      <c r="S465" s="40"/>
      <c r="T465" s="61">
        <f t="shared" si="67"/>
        <v>81.800000000000068</v>
      </c>
      <c r="U465" s="40"/>
      <c r="V465" s="40"/>
      <c r="W465" s="40"/>
      <c r="X465" s="40"/>
      <c r="Y465" s="67" t="str">
        <f t="shared" si="68"/>
        <v/>
      </c>
      <c r="AA465" s="71"/>
      <c r="AB465" s="71"/>
      <c r="AC465" s="67" t="str">
        <f t="shared" si="69"/>
        <v/>
      </c>
      <c r="AE465" s="124"/>
      <c r="AF465" s="124"/>
      <c r="AG465" s="121"/>
      <c r="AH465" s="121"/>
      <c r="AI465" s="124"/>
      <c r="AJ465" s="124"/>
    </row>
    <row r="466" spans="2:36" x14ac:dyDescent="0.25">
      <c r="B466" s="117"/>
      <c r="C466" s="7"/>
      <c r="D466" s="3">
        <f t="shared" si="62"/>
        <v>0</v>
      </c>
      <c r="E466" s="10"/>
      <c r="F466" s="40"/>
      <c r="G466" s="40"/>
      <c r="H466" s="40"/>
      <c r="I466" s="3" t="str">
        <f t="shared" si="63"/>
        <v/>
      </c>
      <c r="J466" s="3" t="str">
        <f t="shared" si="64"/>
        <v/>
      </c>
      <c r="K466" s="3" t="str">
        <f t="shared" si="65"/>
        <v/>
      </c>
      <c r="L466" s="3"/>
      <c r="M466" s="60" t="e">
        <f t="shared" si="66"/>
        <v>#VALUE!</v>
      </c>
      <c r="N466" s="40"/>
      <c r="O466" s="40"/>
      <c r="P466" s="40"/>
      <c r="Q466" s="40"/>
      <c r="R466" s="40"/>
      <c r="S466" s="40"/>
      <c r="T466" s="61">
        <f t="shared" si="67"/>
        <v>81.800000000000068</v>
      </c>
      <c r="U466" s="40"/>
      <c r="V466" s="40"/>
      <c r="W466" s="40"/>
      <c r="X466" s="40"/>
      <c r="Y466" s="67" t="str">
        <f t="shared" si="68"/>
        <v/>
      </c>
      <c r="AA466" s="71"/>
      <c r="AB466" s="71"/>
      <c r="AC466" s="67" t="str">
        <f t="shared" si="69"/>
        <v/>
      </c>
      <c r="AE466" s="124"/>
      <c r="AF466" s="124"/>
      <c r="AG466" s="121"/>
      <c r="AH466" s="121"/>
      <c r="AI466" s="124"/>
      <c r="AJ466" s="124"/>
    </row>
    <row r="467" spans="2:36" x14ac:dyDescent="0.25">
      <c r="B467" s="117"/>
      <c r="C467" s="7"/>
      <c r="D467" s="3">
        <f t="shared" si="62"/>
        <v>0</v>
      </c>
      <c r="E467" s="10"/>
      <c r="F467" s="40"/>
      <c r="G467" s="40"/>
      <c r="H467" s="40"/>
      <c r="I467" s="3" t="str">
        <f t="shared" si="63"/>
        <v/>
      </c>
      <c r="J467" s="3" t="str">
        <f t="shared" si="64"/>
        <v/>
      </c>
      <c r="K467" s="3" t="str">
        <f t="shared" si="65"/>
        <v/>
      </c>
      <c r="L467" s="3"/>
      <c r="M467" s="60" t="e">
        <f t="shared" si="66"/>
        <v>#VALUE!</v>
      </c>
      <c r="N467" s="40"/>
      <c r="O467" s="40"/>
      <c r="P467" s="40"/>
      <c r="Q467" s="40"/>
      <c r="R467" s="40"/>
      <c r="S467" s="40"/>
      <c r="T467" s="61">
        <f t="shared" si="67"/>
        <v>81.800000000000068</v>
      </c>
      <c r="U467" s="40"/>
      <c r="V467" s="40"/>
      <c r="W467" s="40"/>
      <c r="X467" s="40"/>
      <c r="Y467" s="67" t="str">
        <f t="shared" si="68"/>
        <v/>
      </c>
      <c r="AA467" s="71"/>
      <c r="AB467" s="71"/>
      <c r="AC467" s="67" t="str">
        <f t="shared" si="69"/>
        <v/>
      </c>
      <c r="AE467" s="124"/>
      <c r="AF467" s="124"/>
      <c r="AG467" s="121"/>
      <c r="AH467" s="121"/>
      <c r="AI467" s="124"/>
      <c r="AJ467" s="124"/>
    </row>
    <row r="468" spans="2:36" x14ac:dyDescent="0.25">
      <c r="B468" s="117"/>
      <c r="C468" s="7"/>
      <c r="D468" s="3">
        <f t="shared" si="62"/>
        <v>0</v>
      </c>
      <c r="E468" s="10"/>
      <c r="F468" s="40"/>
      <c r="G468" s="40"/>
      <c r="H468" s="40"/>
      <c r="I468" s="3" t="str">
        <f t="shared" si="63"/>
        <v/>
      </c>
      <c r="J468" s="3" t="str">
        <f t="shared" si="64"/>
        <v/>
      </c>
      <c r="K468" s="3" t="str">
        <f t="shared" si="65"/>
        <v/>
      </c>
      <c r="L468" s="3"/>
      <c r="M468" s="60" t="e">
        <f t="shared" si="66"/>
        <v>#VALUE!</v>
      </c>
      <c r="N468" s="40"/>
      <c r="O468" s="40"/>
      <c r="P468" s="40"/>
      <c r="Q468" s="40"/>
      <c r="R468" s="40"/>
      <c r="S468" s="40"/>
      <c r="T468" s="61">
        <f t="shared" si="67"/>
        <v>81.800000000000068</v>
      </c>
      <c r="U468" s="40"/>
      <c r="V468" s="40"/>
      <c r="W468" s="40"/>
      <c r="X468" s="40"/>
      <c r="Y468" s="67" t="str">
        <f t="shared" si="68"/>
        <v/>
      </c>
      <c r="AA468" s="71"/>
      <c r="AB468" s="71"/>
      <c r="AC468" s="67" t="str">
        <f t="shared" si="69"/>
        <v/>
      </c>
      <c r="AE468" s="124"/>
      <c r="AF468" s="124"/>
      <c r="AG468" s="121"/>
      <c r="AH468" s="121"/>
      <c r="AI468" s="124"/>
      <c r="AJ468" s="124"/>
    </row>
    <row r="469" spans="2:36" x14ac:dyDescent="0.25">
      <c r="B469" s="117"/>
      <c r="C469" s="7"/>
      <c r="D469" s="3">
        <f t="shared" si="62"/>
        <v>0</v>
      </c>
      <c r="E469" s="10"/>
      <c r="F469" s="40"/>
      <c r="G469" s="40"/>
      <c r="H469" s="40"/>
      <c r="I469" s="3" t="str">
        <f t="shared" si="63"/>
        <v/>
      </c>
      <c r="J469" s="3" t="str">
        <f t="shared" si="64"/>
        <v/>
      </c>
      <c r="K469" s="3" t="str">
        <f t="shared" si="65"/>
        <v/>
      </c>
      <c r="L469" s="3"/>
      <c r="M469" s="60" t="e">
        <f t="shared" si="66"/>
        <v>#VALUE!</v>
      </c>
      <c r="N469" s="40"/>
      <c r="O469" s="40"/>
      <c r="P469" s="40"/>
      <c r="Q469" s="40"/>
      <c r="R469" s="40"/>
      <c r="S469" s="40"/>
      <c r="T469" s="61">
        <f t="shared" si="67"/>
        <v>81.800000000000068</v>
      </c>
      <c r="U469" s="40"/>
      <c r="V469" s="40"/>
      <c r="W469" s="40"/>
      <c r="X469" s="40"/>
      <c r="Y469" s="67" t="str">
        <f t="shared" si="68"/>
        <v/>
      </c>
      <c r="AA469" s="71"/>
      <c r="AB469" s="71"/>
      <c r="AC469" s="67" t="str">
        <f t="shared" si="69"/>
        <v/>
      </c>
      <c r="AE469" s="124"/>
      <c r="AF469" s="124"/>
      <c r="AG469" s="121"/>
      <c r="AH469" s="121"/>
      <c r="AI469" s="124"/>
      <c r="AJ469" s="124"/>
    </row>
    <row r="470" spans="2:36" x14ac:dyDescent="0.25">
      <c r="B470" s="117"/>
      <c r="C470" s="7"/>
      <c r="D470" s="3">
        <f t="shared" si="62"/>
        <v>0</v>
      </c>
      <c r="E470" s="10"/>
      <c r="F470" s="40"/>
      <c r="G470" s="40"/>
      <c r="H470" s="40"/>
      <c r="I470" s="3" t="str">
        <f t="shared" si="63"/>
        <v/>
      </c>
      <c r="J470" s="3" t="str">
        <f t="shared" si="64"/>
        <v/>
      </c>
      <c r="K470" s="3" t="str">
        <f t="shared" si="65"/>
        <v/>
      </c>
      <c r="L470" s="3"/>
      <c r="M470" s="60" t="e">
        <f t="shared" si="66"/>
        <v>#VALUE!</v>
      </c>
      <c r="N470" s="40"/>
      <c r="O470" s="40"/>
      <c r="P470" s="40"/>
      <c r="Q470" s="40"/>
      <c r="R470" s="40"/>
      <c r="S470" s="40"/>
      <c r="T470" s="61">
        <f t="shared" si="67"/>
        <v>81.800000000000068</v>
      </c>
      <c r="U470" s="40"/>
      <c r="V470" s="40"/>
      <c r="W470" s="40"/>
      <c r="X470" s="40"/>
      <c r="Y470" s="67" t="str">
        <f t="shared" si="68"/>
        <v/>
      </c>
      <c r="AA470" s="71"/>
      <c r="AB470" s="71"/>
      <c r="AC470" s="67" t="str">
        <f t="shared" si="69"/>
        <v/>
      </c>
      <c r="AE470" s="124"/>
      <c r="AF470" s="124"/>
      <c r="AG470" s="121"/>
      <c r="AH470" s="121"/>
      <c r="AI470" s="124"/>
      <c r="AJ470" s="124"/>
    </row>
    <row r="471" spans="2:36" x14ac:dyDescent="0.25">
      <c r="B471" s="117"/>
      <c r="C471" s="7"/>
      <c r="D471" s="3">
        <f t="shared" ref="D471:D534" si="70">+IF((C471-C470)&lt;0,((C471-C470)*24)+24,(C471-C470)*24)</f>
        <v>0</v>
      </c>
      <c r="E471" s="10"/>
      <c r="F471" s="40"/>
      <c r="G471" s="40"/>
      <c r="H471" s="40"/>
      <c r="I471" s="3" t="str">
        <f t="shared" ref="I471:I534" si="71">+IF(F471="","",(F471/24)*D471)</f>
        <v/>
      </c>
      <c r="J471" s="3" t="str">
        <f t="shared" ref="J471:J534" si="72">+IF(G471="","",(G471/24)*D471)</f>
        <v/>
      </c>
      <c r="K471" s="3" t="str">
        <f t="shared" ref="K471:K534" si="73">+IF(H471="","",(H471/24)*D471)</f>
        <v/>
      </c>
      <c r="L471" s="3"/>
      <c r="M471" s="60" t="e">
        <f t="shared" ref="M471:M534" si="74">+IF(D471="","",M470-(I471+J471+K471))</f>
        <v>#VALUE!</v>
      </c>
      <c r="N471" s="40"/>
      <c r="O471" s="40"/>
      <c r="P471" s="40"/>
      <c r="Q471" s="40"/>
      <c r="R471" s="40"/>
      <c r="S471" s="40"/>
      <c r="T471" s="61">
        <f t="shared" ref="T471:T534" si="75">IF(D471="","",(T470+S471)-(N471+O471+P471+Q471+R471))</f>
        <v>81.800000000000068</v>
      </c>
      <c r="U471" s="40"/>
      <c r="V471" s="40"/>
      <c r="W471" s="40"/>
      <c r="X471" s="40"/>
      <c r="Y471" s="67" t="str">
        <f t="shared" ref="Y471:Y534" si="76">IF(W471="","",((Y470+U471+V471)-(W471+X471)))</f>
        <v/>
      </c>
      <c r="AA471" s="71"/>
      <c r="AB471" s="71"/>
      <c r="AC471" s="67" t="str">
        <f t="shared" ref="AC471:AC534" si="77">IF(AA471="","",AA471+AB471)</f>
        <v/>
      </c>
      <c r="AE471" s="124"/>
      <c r="AF471" s="124"/>
      <c r="AG471" s="121"/>
      <c r="AH471" s="121"/>
      <c r="AI471" s="124"/>
      <c r="AJ471" s="124"/>
    </row>
    <row r="472" spans="2:36" x14ac:dyDescent="0.25">
      <c r="B472" s="117"/>
      <c r="C472" s="7"/>
      <c r="D472" s="3">
        <f t="shared" si="70"/>
        <v>0</v>
      </c>
      <c r="E472" s="10"/>
      <c r="F472" s="40"/>
      <c r="G472" s="40"/>
      <c r="H472" s="40"/>
      <c r="I472" s="3" t="str">
        <f t="shared" si="71"/>
        <v/>
      </c>
      <c r="J472" s="3" t="str">
        <f t="shared" si="72"/>
        <v/>
      </c>
      <c r="K472" s="3" t="str">
        <f t="shared" si="73"/>
        <v/>
      </c>
      <c r="L472" s="3"/>
      <c r="M472" s="60" t="e">
        <f t="shared" si="74"/>
        <v>#VALUE!</v>
      </c>
      <c r="N472" s="40"/>
      <c r="O472" s="40"/>
      <c r="P472" s="40"/>
      <c r="Q472" s="40"/>
      <c r="R472" s="40"/>
      <c r="S472" s="40"/>
      <c r="T472" s="61">
        <f t="shared" si="75"/>
        <v>81.800000000000068</v>
      </c>
      <c r="U472" s="40"/>
      <c r="V472" s="40"/>
      <c r="W472" s="40"/>
      <c r="X472" s="40"/>
      <c r="Y472" s="67" t="str">
        <f t="shared" si="76"/>
        <v/>
      </c>
      <c r="AA472" s="71"/>
      <c r="AB472" s="71"/>
      <c r="AC472" s="67" t="str">
        <f t="shared" si="77"/>
        <v/>
      </c>
      <c r="AE472" s="124"/>
      <c r="AF472" s="124"/>
      <c r="AG472" s="121"/>
      <c r="AH472" s="121"/>
      <c r="AI472" s="124"/>
      <c r="AJ472" s="124"/>
    </row>
    <row r="473" spans="2:36" x14ac:dyDescent="0.25">
      <c r="B473" s="117"/>
      <c r="C473" s="7"/>
      <c r="D473" s="3">
        <f t="shared" si="70"/>
        <v>0</v>
      </c>
      <c r="E473" s="10"/>
      <c r="F473" s="40"/>
      <c r="G473" s="40"/>
      <c r="H473" s="40"/>
      <c r="I473" s="3" t="str">
        <f t="shared" si="71"/>
        <v/>
      </c>
      <c r="J473" s="3" t="str">
        <f t="shared" si="72"/>
        <v/>
      </c>
      <c r="K473" s="3" t="str">
        <f t="shared" si="73"/>
        <v/>
      </c>
      <c r="L473" s="3"/>
      <c r="M473" s="60" t="e">
        <f t="shared" si="74"/>
        <v>#VALUE!</v>
      </c>
      <c r="N473" s="40"/>
      <c r="O473" s="40"/>
      <c r="P473" s="40"/>
      <c r="Q473" s="40"/>
      <c r="R473" s="40"/>
      <c r="S473" s="40"/>
      <c r="T473" s="61">
        <f t="shared" si="75"/>
        <v>81.800000000000068</v>
      </c>
      <c r="U473" s="40"/>
      <c r="V473" s="40"/>
      <c r="W473" s="40"/>
      <c r="X473" s="40"/>
      <c r="Y473" s="67" t="str">
        <f t="shared" si="76"/>
        <v/>
      </c>
      <c r="AA473" s="71"/>
      <c r="AB473" s="71"/>
      <c r="AC473" s="67" t="str">
        <f t="shared" si="77"/>
        <v/>
      </c>
      <c r="AE473" s="124"/>
      <c r="AF473" s="124"/>
      <c r="AG473" s="121"/>
      <c r="AH473" s="121"/>
      <c r="AI473" s="124"/>
      <c r="AJ473" s="124"/>
    </row>
    <row r="474" spans="2:36" x14ac:dyDescent="0.25">
      <c r="B474" s="117"/>
      <c r="C474" s="7"/>
      <c r="D474" s="3">
        <f t="shared" si="70"/>
        <v>0</v>
      </c>
      <c r="E474" s="10"/>
      <c r="F474" s="40"/>
      <c r="G474" s="40"/>
      <c r="H474" s="40"/>
      <c r="I474" s="3" t="str">
        <f t="shared" si="71"/>
        <v/>
      </c>
      <c r="J474" s="3" t="str">
        <f t="shared" si="72"/>
        <v/>
      </c>
      <c r="K474" s="3" t="str">
        <f t="shared" si="73"/>
        <v/>
      </c>
      <c r="L474" s="3"/>
      <c r="M474" s="60" t="e">
        <f t="shared" si="74"/>
        <v>#VALUE!</v>
      </c>
      <c r="N474" s="40"/>
      <c r="O474" s="40"/>
      <c r="P474" s="40"/>
      <c r="Q474" s="40"/>
      <c r="R474" s="40"/>
      <c r="S474" s="40"/>
      <c r="T474" s="61">
        <f t="shared" si="75"/>
        <v>81.800000000000068</v>
      </c>
      <c r="U474" s="40"/>
      <c r="V474" s="40"/>
      <c r="W474" s="40"/>
      <c r="X474" s="40"/>
      <c r="Y474" s="67" t="str">
        <f t="shared" si="76"/>
        <v/>
      </c>
      <c r="AA474" s="71"/>
      <c r="AB474" s="71"/>
      <c r="AC474" s="67" t="str">
        <f t="shared" si="77"/>
        <v/>
      </c>
      <c r="AE474" s="124"/>
      <c r="AF474" s="124"/>
      <c r="AG474" s="121"/>
      <c r="AH474" s="121"/>
      <c r="AI474" s="124"/>
      <c r="AJ474" s="124"/>
    </row>
    <row r="475" spans="2:36" x14ac:dyDescent="0.25">
      <c r="B475" s="117"/>
      <c r="C475" s="7"/>
      <c r="D475" s="3">
        <f t="shared" si="70"/>
        <v>0</v>
      </c>
      <c r="E475" s="10"/>
      <c r="F475" s="40"/>
      <c r="G475" s="40"/>
      <c r="H475" s="40"/>
      <c r="I475" s="3" t="str">
        <f t="shared" si="71"/>
        <v/>
      </c>
      <c r="J475" s="3" t="str">
        <f t="shared" si="72"/>
        <v/>
      </c>
      <c r="K475" s="3" t="str">
        <f t="shared" si="73"/>
        <v/>
      </c>
      <c r="L475" s="3"/>
      <c r="M475" s="60" t="e">
        <f t="shared" si="74"/>
        <v>#VALUE!</v>
      </c>
      <c r="N475" s="40"/>
      <c r="O475" s="40"/>
      <c r="P475" s="40"/>
      <c r="Q475" s="40"/>
      <c r="R475" s="40"/>
      <c r="S475" s="40"/>
      <c r="T475" s="61">
        <f t="shared" si="75"/>
        <v>81.800000000000068</v>
      </c>
      <c r="U475" s="40"/>
      <c r="V475" s="40"/>
      <c r="W475" s="40"/>
      <c r="X475" s="40"/>
      <c r="Y475" s="67" t="str">
        <f t="shared" si="76"/>
        <v/>
      </c>
      <c r="AA475" s="71"/>
      <c r="AB475" s="71"/>
      <c r="AC475" s="67" t="str">
        <f t="shared" si="77"/>
        <v/>
      </c>
      <c r="AE475" s="124"/>
      <c r="AF475" s="124"/>
      <c r="AG475" s="121"/>
      <c r="AH475" s="121"/>
      <c r="AI475" s="124"/>
      <c r="AJ475" s="124"/>
    </row>
    <row r="476" spans="2:36" x14ac:dyDescent="0.25">
      <c r="B476" s="117"/>
      <c r="C476" s="7"/>
      <c r="D476" s="3">
        <f t="shared" si="70"/>
        <v>0</v>
      </c>
      <c r="E476" s="10"/>
      <c r="F476" s="40"/>
      <c r="G476" s="40"/>
      <c r="H476" s="40"/>
      <c r="I476" s="3" t="str">
        <f t="shared" si="71"/>
        <v/>
      </c>
      <c r="J476" s="3" t="str">
        <f t="shared" si="72"/>
        <v/>
      </c>
      <c r="K476" s="3" t="str">
        <f t="shared" si="73"/>
        <v/>
      </c>
      <c r="L476" s="3"/>
      <c r="M476" s="60" t="e">
        <f t="shared" si="74"/>
        <v>#VALUE!</v>
      </c>
      <c r="N476" s="40"/>
      <c r="O476" s="40"/>
      <c r="P476" s="40"/>
      <c r="Q476" s="40"/>
      <c r="R476" s="40"/>
      <c r="S476" s="40"/>
      <c r="T476" s="61">
        <f t="shared" si="75"/>
        <v>81.800000000000068</v>
      </c>
      <c r="U476" s="40"/>
      <c r="V476" s="40"/>
      <c r="W476" s="40"/>
      <c r="X476" s="40"/>
      <c r="Y476" s="67" t="str">
        <f t="shared" si="76"/>
        <v/>
      </c>
      <c r="AA476" s="71"/>
      <c r="AB476" s="71"/>
      <c r="AC476" s="67" t="str">
        <f t="shared" si="77"/>
        <v/>
      </c>
      <c r="AE476" s="124"/>
      <c r="AF476" s="124"/>
      <c r="AG476" s="121"/>
      <c r="AH476" s="121"/>
      <c r="AI476" s="124"/>
      <c r="AJ476" s="124"/>
    </row>
    <row r="477" spans="2:36" x14ac:dyDescent="0.25">
      <c r="B477" s="117"/>
      <c r="C477" s="7"/>
      <c r="D477" s="3">
        <f t="shared" si="70"/>
        <v>0</v>
      </c>
      <c r="E477" s="10"/>
      <c r="F477" s="40"/>
      <c r="G477" s="40"/>
      <c r="H477" s="40"/>
      <c r="I477" s="3" t="str">
        <f t="shared" si="71"/>
        <v/>
      </c>
      <c r="J477" s="3" t="str">
        <f t="shared" si="72"/>
        <v/>
      </c>
      <c r="K477" s="3" t="str">
        <f t="shared" si="73"/>
        <v/>
      </c>
      <c r="L477" s="3"/>
      <c r="M477" s="60" t="e">
        <f t="shared" si="74"/>
        <v>#VALUE!</v>
      </c>
      <c r="N477" s="40"/>
      <c r="O477" s="40"/>
      <c r="P477" s="40"/>
      <c r="Q477" s="40"/>
      <c r="R477" s="40"/>
      <c r="S477" s="40"/>
      <c r="T477" s="61">
        <f t="shared" si="75"/>
        <v>81.800000000000068</v>
      </c>
      <c r="U477" s="40"/>
      <c r="V477" s="40"/>
      <c r="W477" s="40"/>
      <c r="X477" s="40"/>
      <c r="Y477" s="67" t="str">
        <f t="shared" si="76"/>
        <v/>
      </c>
      <c r="AA477" s="71"/>
      <c r="AB477" s="71"/>
      <c r="AC477" s="67" t="str">
        <f t="shared" si="77"/>
        <v/>
      </c>
      <c r="AE477" s="124"/>
      <c r="AF477" s="124"/>
      <c r="AG477" s="121"/>
      <c r="AH477" s="121"/>
      <c r="AI477" s="124"/>
      <c r="AJ477" s="124"/>
    </row>
    <row r="478" spans="2:36" x14ac:dyDescent="0.25">
      <c r="B478" s="117"/>
      <c r="C478" s="7"/>
      <c r="D478" s="3">
        <f t="shared" si="70"/>
        <v>0</v>
      </c>
      <c r="E478" s="10"/>
      <c r="F478" s="40"/>
      <c r="G478" s="40"/>
      <c r="H478" s="40"/>
      <c r="I478" s="3" t="str">
        <f t="shared" si="71"/>
        <v/>
      </c>
      <c r="J478" s="3" t="str">
        <f t="shared" si="72"/>
        <v/>
      </c>
      <c r="K478" s="3" t="str">
        <f t="shared" si="73"/>
        <v/>
      </c>
      <c r="L478" s="3"/>
      <c r="M478" s="60" t="e">
        <f t="shared" si="74"/>
        <v>#VALUE!</v>
      </c>
      <c r="N478" s="40"/>
      <c r="O478" s="40"/>
      <c r="P478" s="40"/>
      <c r="Q478" s="40"/>
      <c r="R478" s="40"/>
      <c r="S478" s="40"/>
      <c r="T478" s="61">
        <f t="shared" si="75"/>
        <v>81.800000000000068</v>
      </c>
      <c r="U478" s="40"/>
      <c r="V478" s="40"/>
      <c r="W478" s="40"/>
      <c r="X478" s="40"/>
      <c r="Y478" s="67" t="str">
        <f t="shared" si="76"/>
        <v/>
      </c>
      <c r="AA478" s="71"/>
      <c r="AB478" s="71"/>
      <c r="AC478" s="67" t="str">
        <f t="shared" si="77"/>
        <v/>
      </c>
      <c r="AE478" s="124"/>
      <c r="AF478" s="124"/>
      <c r="AG478" s="121"/>
      <c r="AH478" s="121"/>
      <c r="AI478" s="124"/>
      <c r="AJ478" s="124"/>
    </row>
    <row r="479" spans="2:36" x14ac:dyDescent="0.25">
      <c r="B479" s="117"/>
      <c r="C479" s="7"/>
      <c r="D479" s="3">
        <f t="shared" si="70"/>
        <v>0</v>
      </c>
      <c r="E479" s="10"/>
      <c r="F479" s="40"/>
      <c r="G479" s="40"/>
      <c r="H479" s="40"/>
      <c r="I479" s="3" t="str">
        <f t="shared" si="71"/>
        <v/>
      </c>
      <c r="J479" s="3" t="str">
        <f t="shared" si="72"/>
        <v/>
      </c>
      <c r="K479" s="3" t="str">
        <f t="shared" si="73"/>
        <v/>
      </c>
      <c r="L479" s="3"/>
      <c r="M479" s="60" t="e">
        <f t="shared" si="74"/>
        <v>#VALUE!</v>
      </c>
      <c r="N479" s="40"/>
      <c r="O479" s="40"/>
      <c r="P479" s="40"/>
      <c r="Q479" s="40"/>
      <c r="R479" s="40"/>
      <c r="S479" s="40"/>
      <c r="T479" s="61">
        <f t="shared" si="75"/>
        <v>81.800000000000068</v>
      </c>
      <c r="U479" s="40"/>
      <c r="V479" s="40"/>
      <c r="W479" s="40"/>
      <c r="X479" s="40"/>
      <c r="Y479" s="67" t="str">
        <f t="shared" si="76"/>
        <v/>
      </c>
      <c r="AA479" s="71"/>
      <c r="AB479" s="71"/>
      <c r="AC479" s="67" t="str">
        <f t="shared" si="77"/>
        <v/>
      </c>
      <c r="AE479" s="124"/>
      <c r="AF479" s="124"/>
      <c r="AG479" s="121"/>
      <c r="AH479" s="121"/>
      <c r="AI479" s="124"/>
      <c r="AJ479" s="124"/>
    </row>
    <row r="480" spans="2:36" x14ac:dyDescent="0.25">
      <c r="B480" s="117"/>
      <c r="C480" s="7"/>
      <c r="D480" s="3">
        <f t="shared" si="70"/>
        <v>0</v>
      </c>
      <c r="E480" s="10"/>
      <c r="F480" s="40"/>
      <c r="G480" s="40"/>
      <c r="H480" s="40"/>
      <c r="I480" s="3" t="str">
        <f t="shared" si="71"/>
        <v/>
      </c>
      <c r="J480" s="3" t="str">
        <f t="shared" si="72"/>
        <v/>
      </c>
      <c r="K480" s="3" t="str">
        <f t="shared" si="73"/>
        <v/>
      </c>
      <c r="L480" s="3"/>
      <c r="M480" s="60" t="e">
        <f t="shared" si="74"/>
        <v>#VALUE!</v>
      </c>
      <c r="N480" s="40"/>
      <c r="O480" s="40"/>
      <c r="P480" s="40"/>
      <c r="Q480" s="40"/>
      <c r="R480" s="40"/>
      <c r="S480" s="40"/>
      <c r="T480" s="61">
        <f t="shared" si="75"/>
        <v>81.800000000000068</v>
      </c>
      <c r="U480" s="40"/>
      <c r="V480" s="40"/>
      <c r="W480" s="40"/>
      <c r="X480" s="40"/>
      <c r="Y480" s="67" t="str">
        <f t="shared" si="76"/>
        <v/>
      </c>
      <c r="AA480" s="71"/>
      <c r="AB480" s="71"/>
      <c r="AC480" s="67" t="str">
        <f t="shared" si="77"/>
        <v/>
      </c>
      <c r="AE480" s="124"/>
      <c r="AF480" s="124"/>
      <c r="AG480" s="121"/>
      <c r="AH480" s="121"/>
      <c r="AI480" s="124"/>
      <c r="AJ480" s="124"/>
    </row>
    <row r="481" spans="2:36" x14ac:dyDescent="0.25">
      <c r="B481" s="117"/>
      <c r="C481" s="7"/>
      <c r="D481" s="3">
        <f t="shared" si="70"/>
        <v>0</v>
      </c>
      <c r="E481" s="10"/>
      <c r="F481" s="40"/>
      <c r="G481" s="40"/>
      <c r="H481" s="40"/>
      <c r="I481" s="3" t="str">
        <f t="shared" si="71"/>
        <v/>
      </c>
      <c r="J481" s="3" t="str">
        <f t="shared" si="72"/>
        <v/>
      </c>
      <c r="K481" s="3" t="str">
        <f t="shared" si="73"/>
        <v/>
      </c>
      <c r="L481" s="3"/>
      <c r="M481" s="60" t="e">
        <f t="shared" si="74"/>
        <v>#VALUE!</v>
      </c>
      <c r="N481" s="40"/>
      <c r="O481" s="40"/>
      <c r="P481" s="40"/>
      <c r="Q481" s="40"/>
      <c r="R481" s="40"/>
      <c r="S481" s="40"/>
      <c r="T481" s="61">
        <f t="shared" si="75"/>
        <v>81.800000000000068</v>
      </c>
      <c r="U481" s="40"/>
      <c r="V481" s="40"/>
      <c r="W481" s="40"/>
      <c r="X481" s="40"/>
      <c r="Y481" s="67" t="str">
        <f t="shared" si="76"/>
        <v/>
      </c>
      <c r="AA481" s="71"/>
      <c r="AB481" s="71"/>
      <c r="AC481" s="67" t="str">
        <f t="shared" si="77"/>
        <v/>
      </c>
      <c r="AE481" s="124"/>
      <c r="AF481" s="124"/>
      <c r="AG481" s="121"/>
      <c r="AH481" s="121"/>
      <c r="AI481" s="124"/>
      <c r="AJ481" s="124"/>
    </row>
    <row r="482" spans="2:36" x14ac:dyDescent="0.25">
      <c r="B482" s="117"/>
      <c r="C482" s="7"/>
      <c r="D482" s="3">
        <f t="shared" si="70"/>
        <v>0</v>
      </c>
      <c r="E482" s="10"/>
      <c r="F482" s="40"/>
      <c r="G482" s="40"/>
      <c r="H482" s="40"/>
      <c r="I482" s="3" t="str">
        <f t="shared" si="71"/>
        <v/>
      </c>
      <c r="J482" s="3" t="str">
        <f t="shared" si="72"/>
        <v/>
      </c>
      <c r="K482" s="3" t="str">
        <f t="shared" si="73"/>
        <v/>
      </c>
      <c r="L482" s="3"/>
      <c r="M482" s="60" t="e">
        <f t="shared" si="74"/>
        <v>#VALUE!</v>
      </c>
      <c r="N482" s="40"/>
      <c r="O482" s="40"/>
      <c r="P482" s="40"/>
      <c r="Q482" s="40"/>
      <c r="R482" s="40"/>
      <c r="S482" s="40"/>
      <c r="T482" s="61">
        <f t="shared" si="75"/>
        <v>81.800000000000068</v>
      </c>
      <c r="U482" s="40"/>
      <c r="V482" s="40"/>
      <c r="W482" s="40"/>
      <c r="X482" s="40"/>
      <c r="Y482" s="67" t="str">
        <f t="shared" si="76"/>
        <v/>
      </c>
      <c r="AA482" s="71"/>
      <c r="AB482" s="71"/>
      <c r="AC482" s="67" t="str">
        <f t="shared" si="77"/>
        <v/>
      </c>
      <c r="AE482" s="124"/>
      <c r="AF482" s="124"/>
      <c r="AG482" s="121"/>
      <c r="AH482" s="121"/>
      <c r="AI482" s="124"/>
      <c r="AJ482" s="124"/>
    </row>
    <row r="483" spans="2:36" x14ac:dyDescent="0.25">
      <c r="B483" s="117"/>
      <c r="C483" s="7"/>
      <c r="D483" s="3">
        <f t="shared" si="70"/>
        <v>0</v>
      </c>
      <c r="E483" s="10"/>
      <c r="F483" s="40"/>
      <c r="G483" s="40"/>
      <c r="H483" s="40"/>
      <c r="I483" s="3" t="str">
        <f t="shared" si="71"/>
        <v/>
      </c>
      <c r="J483" s="3" t="str">
        <f t="shared" si="72"/>
        <v/>
      </c>
      <c r="K483" s="3" t="str">
        <f t="shared" si="73"/>
        <v/>
      </c>
      <c r="L483" s="3"/>
      <c r="M483" s="60" t="e">
        <f t="shared" si="74"/>
        <v>#VALUE!</v>
      </c>
      <c r="N483" s="40"/>
      <c r="O483" s="40"/>
      <c r="P483" s="40"/>
      <c r="Q483" s="40"/>
      <c r="R483" s="40"/>
      <c r="S483" s="40"/>
      <c r="T483" s="61">
        <f t="shared" si="75"/>
        <v>81.800000000000068</v>
      </c>
      <c r="U483" s="40"/>
      <c r="V483" s="40"/>
      <c r="W483" s="40"/>
      <c r="X483" s="40"/>
      <c r="Y483" s="67" t="str">
        <f t="shared" si="76"/>
        <v/>
      </c>
      <c r="AA483" s="71"/>
      <c r="AB483" s="71"/>
      <c r="AC483" s="67" t="str">
        <f t="shared" si="77"/>
        <v/>
      </c>
      <c r="AE483" s="124"/>
      <c r="AF483" s="124"/>
      <c r="AG483" s="121"/>
      <c r="AH483" s="121"/>
      <c r="AI483" s="124"/>
      <c r="AJ483" s="124"/>
    </row>
    <row r="484" spans="2:36" x14ac:dyDescent="0.25">
      <c r="B484" s="117"/>
      <c r="C484" s="7"/>
      <c r="D484" s="3">
        <f t="shared" si="70"/>
        <v>0</v>
      </c>
      <c r="E484" s="10"/>
      <c r="F484" s="40"/>
      <c r="G484" s="40"/>
      <c r="H484" s="40"/>
      <c r="I484" s="3" t="str">
        <f t="shared" si="71"/>
        <v/>
      </c>
      <c r="J484" s="3" t="str">
        <f t="shared" si="72"/>
        <v/>
      </c>
      <c r="K484" s="3" t="str">
        <f t="shared" si="73"/>
        <v/>
      </c>
      <c r="L484" s="3"/>
      <c r="M484" s="60" t="e">
        <f t="shared" si="74"/>
        <v>#VALUE!</v>
      </c>
      <c r="N484" s="40"/>
      <c r="O484" s="40"/>
      <c r="P484" s="40"/>
      <c r="Q484" s="40"/>
      <c r="R484" s="40"/>
      <c r="S484" s="40"/>
      <c r="T484" s="61">
        <f t="shared" si="75"/>
        <v>81.800000000000068</v>
      </c>
      <c r="U484" s="40"/>
      <c r="V484" s="40"/>
      <c r="W484" s="40"/>
      <c r="X484" s="40"/>
      <c r="Y484" s="67" t="str">
        <f t="shared" si="76"/>
        <v/>
      </c>
      <c r="AA484" s="71"/>
      <c r="AB484" s="71"/>
      <c r="AC484" s="67" t="str">
        <f t="shared" si="77"/>
        <v/>
      </c>
      <c r="AE484" s="124"/>
      <c r="AF484" s="124"/>
      <c r="AG484" s="121"/>
      <c r="AH484" s="121"/>
      <c r="AI484" s="124"/>
      <c r="AJ484" s="124"/>
    </row>
    <row r="485" spans="2:36" x14ac:dyDescent="0.25">
      <c r="B485" s="117"/>
      <c r="C485" s="7"/>
      <c r="D485" s="3">
        <f t="shared" si="70"/>
        <v>0</v>
      </c>
      <c r="E485" s="10"/>
      <c r="F485" s="40"/>
      <c r="G485" s="40"/>
      <c r="H485" s="40"/>
      <c r="I485" s="3" t="str">
        <f t="shared" si="71"/>
        <v/>
      </c>
      <c r="J485" s="3" t="str">
        <f t="shared" si="72"/>
        <v/>
      </c>
      <c r="K485" s="3" t="str">
        <f t="shared" si="73"/>
        <v/>
      </c>
      <c r="L485" s="3"/>
      <c r="M485" s="60" t="e">
        <f t="shared" si="74"/>
        <v>#VALUE!</v>
      </c>
      <c r="N485" s="40"/>
      <c r="O485" s="40"/>
      <c r="P485" s="40"/>
      <c r="Q485" s="40"/>
      <c r="R485" s="40"/>
      <c r="S485" s="40"/>
      <c r="T485" s="61">
        <f t="shared" si="75"/>
        <v>81.800000000000068</v>
      </c>
      <c r="U485" s="40"/>
      <c r="V485" s="40"/>
      <c r="W485" s="40"/>
      <c r="X485" s="40"/>
      <c r="Y485" s="67" t="str">
        <f t="shared" si="76"/>
        <v/>
      </c>
      <c r="AA485" s="71"/>
      <c r="AB485" s="71"/>
      <c r="AC485" s="67" t="str">
        <f t="shared" si="77"/>
        <v/>
      </c>
      <c r="AE485" s="124"/>
      <c r="AF485" s="124"/>
      <c r="AG485" s="121"/>
      <c r="AH485" s="121"/>
      <c r="AI485" s="124"/>
      <c r="AJ485" s="124"/>
    </row>
    <row r="486" spans="2:36" x14ac:dyDescent="0.25">
      <c r="B486" s="117"/>
      <c r="C486" s="7"/>
      <c r="D486" s="3">
        <f t="shared" si="70"/>
        <v>0</v>
      </c>
      <c r="E486" s="10"/>
      <c r="F486" s="40"/>
      <c r="G486" s="40"/>
      <c r="H486" s="40"/>
      <c r="I486" s="3" t="str">
        <f t="shared" si="71"/>
        <v/>
      </c>
      <c r="J486" s="3" t="str">
        <f t="shared" si="72"/>
        <v/>
      </c>
      <c r="K486" s="3" t="str">
        <f t="shared" si="73"/>
        <v/>
      </c>
      <c r="L486" s="3"/>
      <c r="M486" s="60" t="e">
        <f t="shared" si="74"/>
        <v>#VALUE!</v>
      </c>
      <c r="N486" s="40"/>
      <c r="O486" s="40"/>
      <c r="P486" s="40"/>
      <c r="Q486" s="40"/>
      <c r="R486" s="40"/>
      <c r="S486" s="40"/>
      <c r="T486" s="61">
        <f t="shared" si="75"/>
        <v>81.800000000000068</v>
      </c>
      <c r="U486" s="40"/>
      <c r="V486" s="40"/>
      <c r="W486" s="40"/>
      <c r="X486" s="40"/>
      <c r="Y486" s="67" t="str">
        <f t="shared" si="76"/>
        <v/>
      </c>
      <c r="AA486" s="71"/>
      <c r="AB486" s="71"/>
      <c r="AC486" s="67" t="str">
        <f t="shared" si="77"/>
        <v/>
      </c>
      <c r="AE486" s="124"/>
      <c r="AF486" s="124"/>
      <c r="AG486" s="121"/>
      <c r="AH486" s="121"/>
      <c r="AI486" s="124"/>
      <c r="AJ486" s="124"/>
    </row>
    <row r="487" spans="2:36" x14ac:dyDescent="0.25">
      <c r="B487" s="117"/>
      <c r="C487" s="7"/>
      <c r="D487" s="3">
        <f t="shared" si="70"/>
        <v>0</v>
      </c>
      <c r="E487" s="10"/>
      <c r="F487" s="40"/>
      <c r="G487" s="40"/>
      <c r="H487" s="40"/>
      <c r="I487" s="3" t="str">
        <f t="shared" si="71"/>
        <v/>
      </c>
      <c r="J487" s="3" t="str">
        <f t="shared" si="72"/>
        <v/>
      </c>
      <c r="K487" s="3" t="str">
        <f t="shared" si="73"/>
        <v/>
      </c>
      <c r="L487" s="3"/>
      <c r="M487" s="60" t="e">
        <f t="shared" si="74"/>
        <v>#VALUE!</v>
      </c>
      <c r="N487" s="40"/>
      <c r="O487" s="40"/>
      <c r="P487" s="40"/>
      <c r="Q487" s="40"/>
      <c r="R487" s="40"/>
      <c r="S487" s="40"/>
      <c r="T487" s="61">
        <f t="shared" si="75"/>
        <v>81.800000000000068</v>
      </c>
      <c r="U487" s="40"/>
      <c r="V487" s="40"/>
      <c r="W487" s="40"/>
      <c r="X487" s="40"/>
      <c r="Y487" s="67" t="str">
        <f t="shared" si="76"/>
        <v/>
      </c>
      <c r="AA487" s="71"/>
      <c r="AB487" s="71"/>
      <c r="AC487" s="67" t="str">
        <f t="shared" si="77"/>
        <v/>
      </c>
      <c r="AE487" s="124"/>
      <c r="AF487" s="124"/>
      <c r="AG487" s="121"/>
      <c r="AH487" s="121"/>
      <c r="AI487" s="124"/>
      <c r="AJ487" s="124"/>
    </row>
    <row r="488" spans="2:36" x14ac:dyDescent="0.25">
      <c r="B488" s="117"/>
      <c r="C488" s="7"/>
      <c r="D488" s="3">
        <f t="shared" si="70"/>
        <v>0</v>
      </c>
      <c r="E488" s="10"/>
      <c r="F488" s="40"/>
      <c r="G488" s="40"/>
      <c r="H488" s="40"/>
      <c r="I488" s="3" t="str">
        <f t="shared" si="71"/>
        <v/>
      </c>
      <c r="J488" s="3" t="str">
        <f t="shared" si="72"/>
        <v/>
      </c>
      <c r="K488" s="3" t="str">
        <f t="shared" si="73"/>
        <v/>
      </c>
      <c r="L488" s="3"/>
      <c r="M488" s="60" t="e">
        <f t="shared" si="74"/>
        <v>#VALUE!</v>
      </c>
      <c r="N488" s="40"/>
      <c r="O488" s="40"/>
      <c r="P488" s="40"/>
      <c r="Q488" s="40"/>
      <c r="R488" s="40"/>
      <c r="S488" s="40"/>
      <c r="T488" s="61">
        <f t="shared" si="75"/>
        <v>81.800000000000068</v>
      </c>
      <c r="U488" s="40"/>
      <c r="V488" s="40"/>
      <c r="W488" s="40"/>
      <c r="X488" s="40"/>
      <c r="Y488" s="67" t="str">
        <f t="shared" si="76"/>
        <v/>
      </c>
      <c r="AA488" s="71"/>
      <c r="AB488" s="71"/>
      <c r="AC488" s="67" t="str">
        <f t="shared" si="77"/>
        <v/>
      </c>
      <c r="AE488" s="124"/>
      <c r="AF488" s="124"/>
      <c r="AG488" s="121"/>
      <c r="AH488" s="121"/>
      <c r="AI488" s="124"/>
      <c r="AJ488" s="124"/>
    </row>
    <row r="489" spans="2:36" x14ac:dyDescent="0.25">
      <c r="B489" s="117"/>
      <c r="C489" s="7"/>
      <c r="D489" s="3">
        <f t="shared" si="70"/>
        <v>0</v>
      </c>
      <c r="E489" s="10"/>
      <c r="F489" s="40"/>
      <c r="G489" s="40"/>
      <c r="H489" s="40"/>
      <c r="I489" s="3" t="str">
        <f t="shared" si="71"/>
        <v/>
      </c>
      <c r="J489" s="3" t="str">
        <f t="shared" si="72"/>
        <v/>
      </c>
      <c r="K489" s="3" t="str">
        <f t="shared" si="73"/>
        <v/>
      </c>
      <c r="L489" s="3"/>
      <c r="M489" s="60" t="e">
        <f t="shared" si="74"/>
        <v>#VALUE!</v>
      </c>
      <c r="N489" s="40"/>
      <c r="O489" s="40"/>
      <c r="P489" s="40"/>
      <c r="Q489" s="40"/>
      <c r="R489" s="40"/>
      <c r="S489" s="40"/>
      <c r="T489" s="61">
        <f t="shared" si="75"/>
        <v>81.800000000000068</v>
      </c>
      <c r="U489" s="40"/>
      <c r="V489" s="40"/>
      <c r="W489" s="40"/>
      <c r="X489" s="40"/>
      <c r="Y489" s="67" t="str">
        <f t="shared" si="76"/>
        <v/>
      </c>
      <c r="AA489" s="71"/>
      <c r="AB489" s="71"/>
      <c r="AC489" s="67" t="str">
        <f t="shared" si="77"/>
        <v/>
      </c>
      <c r="AE489" s="124"/>
      <c r="AF489" s="124"/>
      <c r="AG489" s="121"/>
      <c r="AH489" s="121"/>
      <c r="AI489" s="124"/>
      <c r="AJ489" s="124"/>
    </row>
    <row r="490" spans="2:36" x14ac:dyDescent="0.25">
      <c r="B490" s="117"/>
      <c r="C490" s="7"/>
      <c r="D490" s="3">
        <f t="shared" si="70"/>
        <v>0</v>
      </c>
      <c r="E490" s="10"/>
      <c r="F490" s="40"/>
      <c r="G490" s="40"/>
      <c r="H490" s="40"/>
      <c r="I490" s="3" t="str">
        <f t="shared" si="71"/>
        <v/>
      </c>
      <c r="J490" s="3" t="str">
        <f t="shared" si="72"/>
        <v/>
      </c>
      <c r="K490" s="3" t="str">
        <f t="shared" si="73"/>
        <v/>
      </c>
      <c r="L490" s="3"/>
      <c r="M490" s="60" t="e">
        <f t="shared" si="74"/>
        <v>#VALUE!</v>
      </c>
      <c r="N490" s="40"/>
      <c r="O490" s="40"/>
      <c r="P490" s="40"/>
      <c r="Q490" s="40"/>
      <c r="R490" s="40"/>
      <c r="S490" s="40"/>
      <c r="T490" s="61">
        <f t="shared" si="75"/>
        <v>81.800000000000068</v>
      </c>
      <c r="U490" s="40"/>
      <c r="V490" s="40"/>
      <c r="W490" s="40"/>
      <c r="X490" s="40"/>
      <c r="Y490" s="67" t="str">
        <f t="shared" si="76"/>
        <v/>
      </c>
      <c r="AA490" s="71"/>
      <c r="AB490" s="71"/>
      <c r="AC490" s="67" t="str">
        <f t="shared" si="77"/>
        <v/>
      </c>
      <c r="AE490" s="124"/>
      <c r="AF490" s="124"/>
      <c r="AG490" s="121"/>
      <c r="AH490" s="121"/>
      <c r="AI490" s="124"/>
      <c r="AJ490" s="124"/>
    </row>
    <row r="491" spans="2:36" x14ac:dyDescent="0.25">
      <c r="B491" s="117"/>
      <c r="C491" s="7"/>
      <c r="D491" s="3">
        <f t="shared" si="70"/>
        <v>0</v>
      </c>
      <c r="E491" s="10"/>
      <c r="F491" s="40"/>
      <c r="G491" s="40"/>
      <c r="H491" s="40"/>
      <c r="I491" s="3" t="str">
        <f t="shared" si="71"/>
        <v/>
      </c>
      <c r="J491" s="3" t="str">
        <f t="shared" si="72"/>
        <v/>
      </c>
      <c r="K491" s="3" t="str">
        <f t="shared" si="73"/>
        <v/>
      </c>
      <c r="L491" s="3"/>
      <c r="M491" s="60" t="e">
        <f t="shared" si="74"/>
        <v>#VALUE!</v>
      </c>
      <c r="N491" s="40"/>
      <c r="O491" s="40"/>
      <c r="P491" s="40"/>
      <c r="Q491" s="40"/>
      <c r="R491" s="40"/>
      <c r="S491" s="40"/>
      <c r="T491" s="61">
        <f t="shared" si="75"/>
        <v>81.800000000000068</v>
      </c>
      <c r="U491" s="40"/>
      <c r="V491" s="40"/>
      <c r="W491" s="40"/>
      <c r="X491" s="40"/>
      <c r="Y491" s="67" t="str">
        <f t="shared" si="76"/>
        <v/>
      </c>
      <c r="AA491" s="71"/>
      <c r="AB491" s="71"/>
      <c r="AC491" s="67" t="str">
        <f t="shared" si="77"/>
        <v/>
      </c>
      <c r="AE491" s="124"/>
      <c r="AF491" s="124"/>
      <c r="AG491" s="121"/>
      <c r="AH491" s="121"/>
      <c r="AI491" s="124"/>
      <c r="AJ491" s="124"/>
    </row>
    <row r="492" spans="2:36" x14ac:dyDescent="0.25">
      <c r="B492" s="117"/>
      <c r="C492" s="7"/>
      <c r="D492" s="3">
        <f t="shared" si="70"/>
        <v>0</v>
      </c>
      <c r="E492" s="10"/>
      <c r="F492" s="40"/>
      <c r="G492" s="40"/>
      <c r="H492" s="40"/>
      <c r="I492" s="3" t="str">
        <f t="shared" si="71"/>
        <v/>
      </c>
      <c r="J492" s="3" t="str">
        <f t="shared" si="72"/>
        <v/>
      </c>
      <c r="K492" s="3" t="str">
        <f t="shared" si="73"/>
        <v/>
      </c>
      <c r="L492" s="3"/>
      <c r="M492" s="60" t="e">
        <f t="shared" si="74"/>
        <v>#VALUE!</v>
      </c>
      <c r="N492" s="40"/>
      <c r="O492" s="40"/>
      <c r="P492" s="40"/>
      <c r="Q492" s="40"/>
      <c r="R492" s="40"/>
      <c r="S492" s="40"/>
      <c r="T492" s="61">
        <f t="shared" si="75"/>
        <v>81.800000000000068</v>
      </c>
      <c r="U492" s="40"/>
      <c r="V492" s="40"/>
      <c r="W492" s="40"/>
      <c r="X492" s="40"/>
      <c r="Y492" s="67" t="str">
        <f t="shared" si="76"/>
        <v/>
      </c>
      <c r="AA492" s="71"/>
      <c r="AB492" s="71"/>
      <c r="AC492" s="67" t="str">
        <f t="shared" si="77"/>
        <v/>
      </c>
      <c r="AE492" s="124"/>
      <c r="AF492" s="124"/>
      <c r="AG492" s="121"/>
      <c r="AH492" s="121"/>
      <c r="AI492" s="124"/>
      <c r="AJ492" s="124"/>
    </row>
    <row r="493" spans="2:36" x14ac:dyDescent="0.25">
      <c r="B493" s="117"/>
      <c r="C493" s="7"/>
      <c r="D493" s="3">
        <f t="shared" si="70"/>
        <v>0</v>
      </c>
      <c r="E493" s="10"/>
      <c r="F493" s="40"/>
      <c r="G493" s="40"/>
      <c r="H493" s="40"/>
      <c r="I493" s="3" t="str">
        <f t="shared" si="71"/>
        <v/>
      </c>
      <c r="J493" s="3" t="str">
        <f t="shared" si="72"/>
        <v/>
      </c>
      <c r="K493" s="3" t="str">
        <f t="shared" si="73"/>
        <v/>
      </c>
      <c r="L493" s="3"/>
      <c r="M493" s="60" t="e">
        <f t="shared" si="74"/>
        <v>#VALUE!</v>
      </c>
      <c r="N493" s="40"/>
      <c r="O493" s="40"/>
      <c r="P493" s="40"/>
      <c r="Q493" s="40"/>
      <c r="R493" s="40"/>
      <c r="S493" s="40"/>
      <c r="T493" s="61">
        <f t="shared" si="75"/>
        <v>81.800000000000068</v>
      </c>
      <c r="U493" s="40"/>
      <c r="V493" s="40"/>
      <c r="W493" s="40"/>
      <c r="X493" s="40"/>
      <c r="Y493" s="67" t="str">
        <f t="shared" si="76"/>
        <v/>
      </c>
      <c r="AA493" s="71"/>
      <c r="AB493" s="71"/>
      <c r="AC493" s="67" t="str">
        <f t="shared" si="77"/>
        <v/>
      </c>
      <c r="AE493" s="124"/>
      <c r="AF493" s="124"/>
      <c r="AG493" s="121"/>
      <c r="AH493" s="121"/>
      <c r="AI493" s="124"/>
      <c r="AJ493" s="124"/>
    </row>
    <row r="494" spans="2:36" x14ac:dyDescent="0.25">
      <c r="B494" s="117"/>
      <c r="C494" s="7"/>
      <c r="D494" s="3">
        <f t="shared" si="70"/>
        <v>0</v>
      </c>
      <c r="E494" s="10"/>
      <c r="F494" s="40"/>
      <c r="G494" s="40"/>
      <c r="H494" s="40"/>
      <c r="I494" s="3" t="str">
        <f t="shared" si="71"/>
        <v/>
      </c>
      <c r="J494" s="3" t="str">
        <f t="shared" si="72"/>
        <v/>
      </c>
      <c r="K494" s="3" t="str">
        <f t="shared" si="73"/>
        <v/>
      </c>
      <c r="L494" s="3"/>
      <c r="M494" s="60" t="e">
        <f t="shared" si="74"/>
        <v>#VALUE!</v>
      </c>
      <c r="N494" s="40"/>
      <c r="O494" s="40"/>
      <c r="P494" s="40"/>
      <c r="Q494" s="40"/>
      <c r="R494" s="40"/>
      <c r="S494" s="40"/>
      <c r="T494" s="61">
        <f t="shared" si="75"/>
        <v>81.800000000000068</v>
      </c>
      <c r="U494" s="40"/>
      <c r="V494" s="40"/>
      <c r="W494" s="40"/>
      <c r="X494" s="40"/>
      <c r="Y494" s="67" t="str">
        <f t="shared" si="76"/>
        <v/>
      </c>
      <c r="AA494" s="71"/>
      <c r="AB494" s="71"/>
      <c r="AC494" s="67" t="str">
        <f t="shared" si="77"/>
        <v/>
      </c>
      <c r="AE494" s="124"/>
      <c r="AF494" s="124"/>
      <c r="AG494" s="121"/>
      <c r="AH494" s="121"/>
      <c r="AI494" s="124"/>
      <c r="AJ494" s="124"/>
    </row>
    <row r="495" spans="2:36" x14ac:dyDescent="0.25">
      <c r="B495" s="117"/>
      <c r="C495" s="7"/>
      <c r="D495" s="3">
        <f t="shared" si="70"/>
        <v>0</v>
      </c>
      <c r="E495" s="10"/>
      <c r="F495" s="40"/>
      <c r="G495" s="40"/>
      <c r="H495" s="40"/>
      <c r="I495" s="3" t="str">
        <f t="shared" si="71"/>
        <v/>
      </c>
      <c r="J495" s="3" t="str">
        <f t="shared" si="72"/>
        <v/>
      </c>
      <c r="K495" s="3" t="str">
        <f t="shared" si="73"/>
        <v/>
      </c>
      <c r="L495" s="3"/>
      <c r="M495" s="60" t="e">
        <f t="shared" si="74"/>
        <v>#VALUE!</v>
      </c>
      <c r="N495" s="40"/>
      <c r="O495" s="40"/>
      <c r="P495" s="40"/>
      <c r="Q495" s="40"/>
      <c r="R495" s="40"/>
      <c r="S495" s="40"/>
      <c r="T495" s="61">
        <f t="shared" si="75"/>
        <v>81.800000000000068</v>
      </c>
      <c r="U495" s="40"/>
      <c r="V495" s="40"/>
      <c r="W495" s="40"/>
      <c r="X495" s="40"/>
      <c r="Y495" s="67" t="str">
        <f t="shared" si="76"/>
        <v/>
      </c>
      <c r="AA495" s="71"/>
      <c r="AB495" s="71"/>
      <c r="AC495" s="67" t="str">
        <f t="shared" si="77"/>
        <v/>
      </c>
      <c r="AE495" s="124"/>
      <c r="AF495" s="124"/>
      <c r="AG495" s="121"/>
      <c r="AH495" s="121"/>
      <c r="AI495" s="124"/>
      <c r="AJ495" s="124"/>
    </row>
    <row r="496" spans="2:36" x14ac:dyDescent="0.25">
      <c r="B496" s="117"/>
      <c r="C496" s="7"/>
      <c r="D496" s="3">
        <f t="shared" si="70"/>
        <v>0</v>
      </c>
      <c r="E496" s="10"/>
      <c r="F496" s="40"/>
      <c r="G496" s="40"/>
      <c r="H496" s="40"/>
      <c r="I496" s="3" t="str">
        <f t="shared" si="71"/>
        <v/>
      </c>
      <c r="J496" s="3" t="str">
        <f t="shared" si="72"/>
        <v/>
      </c>
      <c r="K496" s="3" t="str">
        <f t="shared" si="73"/>
        <v/>
      </c>
      <c r="L496" s="3"/>
      <c r="M496" s="60" t="e">
        <f t="shared" si="74"/>
        <v>#VALUE!</v>
      </c>
      <c r="N496" s="40"/>
      <c r="O496" s="40"/>
      <c r="P496" s="40"/>
      <c r="Q496" s="40"/>
      <c r="R496" s="40"/>
      <c r="S496" s="40"/>
      <c r="T496" s="61">
        <f t="shared" si="75"/>
        <v>81.800000000000068</v>
      </c>
      <c r="U496" s="40"/>
      <c r="V496" s="40"/>
      <c r="W496" s="40"/>
      <c r="X496" s="40"/>
      <c r="Y496" s="67" t="str">
        <f t="shared" si="76"/>
        <v/>
      </c>
      <c r="AA496" s="71"/>
      <c r="AB496" s="71"/>
      <c r="AC496" s="67" t="str">
        <f t="shared" si="77"/>
        <v/>
      </c>
      <c r="AE496" s="124"/>
      <c r="AF496" s="124"/>
      <c r="AG496" s="121"/>
      <c r="AH496" s="121"/>
      <c r="AI496" s="124"/>
      <c r="AJ496" s="124"/>
    </row>
    <row r="497" spans="2:36" x14ac:dyDescent="0.25">
      <c r="B497" s="117"/>
      <c r="C497" s="7"/>
      <c r="D497" s="3">
        <f t="shared" si="70"/>
        <v>0</v>
      </c>
      <c r="E497" s="10"/>
      <c r="F497" s="40"/>
      <c r="G497" s="40"/>
      <c r="H497" s="40"/>
      <c r="I497" s="3" t="str">
        <f t="shared" si="71"/>
        <v/>
      </c>
      <c r="J497" s="3" t="str">
        <f t="shared" si="72"/>
        <v/>
      </c>
      <c r="K497" s="3" t="str">
        <f t="shared" si="73"/>
        <v/>
      </c>
      <c r="L497" s="3"/>
      <c r="M497" s="60" t="e">
        <f t="shared" si="74"/>
        <v>#VALUE!</v>
      </c>
      <c r="N497" s="40"/>
      <c r="O497" s="40"/>
      <c r="P497" s="40"/>
      <c r="Q497" s="40"/>
      <c r="R497" s="40"/>
      <c r="S497" s="40"/>
      <c r="T497" s="61">
        <f t="shared" si="75"/>
        <v>81.800000000000068</v>
      </c>
      <c r="U497" s="40"/>
      <c r="V497" s="40"/>
      <c r="W497" s="40"/>
      <c r="X497" s="40"/>
      <c r="Y497" s="67" t="str">
        <f t="shared" si="76"/>
        <v/>
      </c>
      <c r="AA497" s="71"/>
      <c r="AB497" s="71"/>
      <c r="AC497" s="67" t="str">
        <f t="shared" si="77"/>
        <v/>
      </c>
      <c r="AE497" s="124"/>
      <c r="AF497" s="124"/>
      <c r="AG497" s="121"/>
      <c r="AH497" s="121"/>
      <c r="AI497" s="124"/>
      <c r="AJ497" s="124"/>
    </row>
    <row r="498" spans="2:36" x14ac:dyDescent="0.25">
      <c r="B498" s="117"/>
      <c r="C498" s="7"/>
      <c r="D498" s="3">
        <f t="shared" si="70"/>
        <v>0</v>
      </c>
      <c r="E498" s="10"/>
      <c r="F498" s="40"/>
      <c r="G498" s="40"/>
      <c r="H498" s="40"/>
      <c r="I498" s="3" t="str">
        <f t="shared" si="71"/>
        <v/>
      </c>
      <c r="J498" s="3" t="str">
        <f t="shared" si="72"/>
        <v/>
      </c>
      <c r="K498" s="3" t="str">
        <f t="shared" si="73"/>
        <v/>
      </c>
      <c r="L498" s="3"/>
      <c r="M498" s="60" t="e">
        <f t="shared" si="74"/>
        <v>#VALUE!</v>
      </c>
      <c r="N498" s="40"/>
      <c r="O498" s="40"/>
      <c r="P498" s="40"/>
      <c r="Q498" s="40"/>
      <c r="R498" s="40"/>
      <c r="S498" s="40"/>
      <c r="T498" s="61">
        <f t="shared" si="75"/>
        <v>81.800000000000068</v>
      </c>
      <c r="U498" s="40"/>
      <c r="V498" s="40"/>
      <c r="W498" s="40"/>
      <c r="X498" s="40"/>
      <c r="Y498" s="67" t="str">
        <f t="shared" si="76"/>
        <v/>
      </c>
      <c r="AA498" s="71"/>
      <c r="AB498" s="71"/>
      <c r="AC498" s="67" t="str">
        <f t="shared" si="77"/>
        <v/>
      </c>
      <c r="AE498" s="124"/>
      <c r="AF498" s="124"/>
      <c r="AG498" s="121"/>
      <c r="AH498" s="121"/>
      <c r="AI498" s="124"/>
      <c r="AJ498" s="124"/>
    </row>
    <row r="499" spans="2:36" x14ac:dyDescent="0.25">
      <c r="B499" s="117"/>
      <c r="C499" s="7"/>
      <c r="D499" s="3">
        <f t="shared" si="70"/>
        <v>0</v>
      </c>
      <c r="E499" s="10"/>
      <c r="F499" s="40"/>
      <c r="G499" s="40"/>
      <c r="H499" s="40"/>
      <c r="I499" s="3" t="str">
        <f t="shared" si="71"/>
        <v/>
      </c>
      <c r="J499" s="3" t="str">
        <f t="shared" si="72"/>
        <v/>
      </c>
      <c r="K499" s="3" t="str">
        <f t="shared" si="73"/>
        <v/>
      </c>
      <c r="L499" s="3"/>
      <c r="M499" s="60" t="e">
        <f t="shared" si="74"/>
        <v>#VALUE!</v>
      </c>
      <c r="N499" s="40"/>
      <c r="O499" s="40"/>
      <c r="P499" s="40"/>
      <c r="Q499" s="40"/>
      <c r="R499" s="40"/>
      <c r="S499" s="40"/>
      <c r="T499" s="61">
        <f t="shared" si="75"/>
        <v>81.800000000000068</v>
      </c>
      <c r="U499" s="40"/>
      <c r="V499" s="40"/>
      <c r="W499" s="40"/>
      <c r="X499" s="40"/>
      <c r="Y499" s="67" t="str">
        <f t="shared" si="76"/>
        <v/>
      </c>
      <c r="AA499" s="71"/>
      <c r="AB499" s="71"/>
      <c r="AC499" s="67" t="str">
        <f t="shared" si="77"/>
        <v/>
      </c>
      <c r="AE499" s="124"/>
      <c r="AF499" s="124"/>
      <c r="AG499" s="121"/>
      <c r="AH499" s="121"/>
      <c r="AI499" s="124"/>
      <c r="AJ499" s="124"/>
    </row>
    <row r="500" spans="2:36" x14ac:dyDescent="0.25">
      <c r="B500" s="117"/>
      <c r="C500" s="7"/>
      <c r="D500" s="3">
        <f t="shared" si="70"/>
        <v>0</v>
      </c>
      <c r="E500" s="10"/>
      <c r="F500" s="40"/>
      <c r="G500" s="40"/>
      <c r="H500" s="40"/>
      <c r="I500" s="3" t="str">
        <f t="shared" si="71"/>
        <v/>
      </c>
      <c r="J500" s="3" t="str">
        <f t="shared" si="72"/>
        <v/>
      </c>
      <c r="K500" s="3" t="str">
        <f t="shared" si="73"/>
        <v/>
      </c>
      <c r="L500" s="3"/>
      <c r="M500" s="60" t="e">
        <f t="shared" si="74"/>
        <v>#VALUE!</v>
      </c>
      <c r="N500" s="40"/>
      <c r="O500" s="40"/>
      <c r="P500" s="40"/>
      <c r="Q500" s="40"/>
      <c r="R500" s="40"/>
      <c r="S500" s="40"/>
      <c r="T500" s="61">
        <f t="shared" si="75"/>
        <v>81.800000000000068</v>
      </c>
      <c r="U500" s="40"/>
      <c r="V500" s="40"/>
      <c r="W500" s="40"/>
      <c r="X500" s="40"/>
      <c r="Y500" s="67" t="str">
        <f t="shared" si="76"/>
        <v/>
      </c>
      <c r="AA500" s="71"/>
      <c r="AB500" s="71"/>
      <c r="AC500" s="67" t="str">
        <f t="shared" si="77"/>
        <v/>
      </c>
      <c r="AE500" s="124"/>
      <c r="AF500" s="124"/>
      <c r="AG500" s="121"/>
      <c r="AH500" s="121"/>
      <c r="AI500" s="124"/>
      <c r="AJ500" s="124"/>
    </row>
    <row r="501" spans="2:36" x14ac:dyDescent="0.25">
      <c r="B501" s="117"/>
      <c r="C501" s="7"/>
      <c r="D501" s="3">
        <f t="shared" si="70"/>
        <v>0</v>
      </c>
      <c r="E501" s="10"/>
      <c r="F501" s="40"/>
      <c r="G501" s="40"/>
      <c r="H501" s="40"/>
      <c r="I501" s="3" t="str">
        <f t="shared" si="71"/>
        <v/>
      </c>
      <c r="J501" s="3" t="str">
        <f t="shared" si="72"/>
        <v/>
      </c>
      <c r="K501" s="3" t="str">
        <f t="shared" si="73"/>
        <v/>
      </c>
      <c r="L501" s="3"/>
      <c r="M501" s="60" t="e">
        <f t="shared" si="74"/>
        <v>#VALUE!</v>
      </c>
      <c r="N501" s="40"/>
      <c r="O501" s="40"/>
      <c r="P501" s="40"/>
      <c r="Q501" s="40"/>
      <c r="R501" s="40"/>
      <c r="S501" s="40"/>
      <c r="T501" s="61">
        <f t="shared" si="75"/>
        <v>81.800000000000068</v>
      </c>
      <c r="U501" s="40"/>
      <c r="V501" s="40"/>
      <c r="W501" s="40"/>
      <c r="X501" s="40"/>
      <c r="Y501" s="67" t="str">
        <f t="shared" si="76"/>
        <v/>
      </c>
      <c r="AA501" s="71"/>
      <c r="AB501" s="71"/>
      <c r="AC501" s="67" t="str">
        <f t="shared" si="77"/>
        <v/>
      </c>
      <c r="AE501" s="124"/>
      <c r="AF501" s="124"/>
      <c r="AG501" s="121"/>
      <c r="AH501" s="121"/>
      <c r="AI501" s="124"/>
      <c r="AJ501" s="124"/>
    </row>
    <row r="502" spans="2:36" x14ac:dyDescent="0.25">
      <c r="B502" s="117"/>
      <c r="C502" s="7"/>
      <c r="D502" s="3">
        <f t="shared" si="70"/>
        <v>0</v>
      </c>
      <c r="E502" s="10"/>
      <c r="F502" s="40"/>
      <c r="G502" s="40"/>
      <c r="H502" s="40"/>
      <c r="I502" s="3" t="str">
        <f t="shared" si="71"/>
        <v/>
      </c>
      <c r="J502" s="3" t="str">
        <f t="shared" si="72"/>
        <v/>
      </c>
      <c r="K502" s="3" t="str">
        <f t="shared" si="73"/>
        <v/>
      </c>
      <c r="L502" s="3"/>
      <c r="M502" s="60" t="e">
        <f t="shared" si="74"/>
        <v>#VALUE!</v>
      </c>
      <c r="N502" s="40"/>
      <c r="O502" s="40"/>
      <c r="P502" s="40"/>
      <c r="Q502" s="40"/>
      <c r="R502" s="40"/>
      <c r="S502" s="40"/>
      <c r="T502" s="61">
        <f t="shared" si="75"/>
        <v>81.800000000000068</v>
      </c>
      <c r="U502" s="40"/>
      <c r="V502" s="40"/>
      <c r="W502" s="40"/>
      <c r="X502" s="40"/>
      <c r="Y502" s="67" t="str">
        <f t="shared" si="76"/>
        <v/>
      </c>
      <c r="AA502" s="71"/>
      <c r="AB502" s="71"/>
      <c r="AC502" s="67" t="str">
        <f t="shared" si="77"/>
        <v/>
      </c>
      <c r="AE502" s="124"/>
      <c r="AF502" s="124"/>
      <c r="AG502" s="121"/>
      <c r="AH502" s="121"/>
      <c r="AI502" s="124"/>
      <c r="AJ502" s="124"/>
    </row>
    <row r="503" spans="2:36" x14ac:dyDescent="0.25">
      <c r="B503" s="117"/>
      <c r="C503" s="7"/>
      <c r="D503" s="3">
        <f t="shared" si="70"/>
        <v>0</v>
      </c>
      <c r="E503" s="10"/>
      <c r="F503" s="40"/>
      <c r="G503" s="40"/>
      <c r="H503" s="40"/>
      <c r="I503" s="3" t="str">
        <f t="shared" si="71"/>
        <v/>
      </c>
      <c r="J503" s="3" t="str">
        <f t="shared" si="72"/>
        <v/>
      </c>
      <c r="K503" s="3" t="str">
        <f t="shared" si="73"/>
        <v/>
      </c>
      <c r="L503" s="3"/>
      <c r="M503" s="60" t="e">
        <f t="shared" si="74"/>
        <v>#VALUE!</v>
      </c>
      <c r="N503" s="40"/>
      <c r="O503" s="40"/>
      <c r="P503" s="40"/>
      <c r="Q503" s="40"/>
      <c r="R503" s="40"/>
      <c r="S503" s="40"/>
      <c r="T503" s="61">
        <f t="shared" si="75"/>
        <v>81.800000000000068</v>
      </c>
      <c r="U503" s="40"/>
      <c r="V503" s="40"/>
      <c r="W503" s="40"/>
      <c r="X503" s="40"/>
      <c r="Y503" s="67" t="str">
        <f t="shared" si="76"/>
        <v/>
      </c>
      <c r="AA503" s="71"/>
      <c r="AB503" s="71"/>
      <c r="AC503" s="67" t="str">
        <f t="shared" si="77"/>
        <v/>
      </c>
      <c r="AE503" s="124"/>
      <c r="AF503" s="124"/>
      <c r="AG503" s="121"/>
      <c r="AH503" s="121"/>
      <c r="AI503" s="124"/>
      <c r="AJ503" s="124"/>
    </row>
    <row r="504" spans="2:36" x14ac:dyDescent="0.25">
      <c r="B504" s="117"/>
      <c r="C504" s="7"/>
      <c r="D504" s="3">
        <f t="shared" si="70"/>
        <v>0</v>
      </c>
      <c r="E504" s="10"/>
      <c r="F504" s="40"/>
      <c r="G504" s="40"/>
      <c r="H504" s="40"/>
      <c r="I504" s="3" t="str">
        <f t="shared" si="71"/>
        <v/>
      </c>
      <c r="J504" s="3" t="str">
        <f t="shared" si="72"/>
        <v/>
      </c>
      <c r="K504" s="3" t="str">
        <f t="shared" si="73"/>
        <v/>
      </c>
      <c r="L504" s="3"/>
      <c r="M504" s="60" t="e">
        <f t="shared" si="74"/>
        <v>#VALUE!</v>
      </c>
      <c r="N504" s="40"/>
      <c r="O504" s="40"/>
      <c r="P504" s="40"/>
      <c r="Q504" s="40"/>
      <c r="R504" s="40"/>
      <c r="S504" s="40"/>
      <c r="T504" s="61">
        <f t="shared" si="75"/>
        <v>81.800000000000068</v>
      </c>
      <c r="U504" s="40"/>
      <c r="V504" s="40"/>
      <c r="W504" s="40"/>
      <c r="X504" s="40"/>
      <c r="Y504" s="67" t="str">
        <f t="shared" si="76"/>
        <v/>
      </c>
      <c r="AA504" s="71"/>
      <c r="AB504" s="71"/>
      <c r="AC504" s="67" t="str">
        <f t="shared" si="77"/>
        <v/>
      </c>
      <c r="AE504" s="124"/>
      <c r="AF504" s="124"/>
      <c r="AG504" s="121"/>
      <c r="AH504" s="121"/>
      <c r="AI504" s="124"/>
      <c r="AJ504" s="124"/>
    </row>
    <row r="505" spans="2:36" x14ac:dyDescent="0.25">
      <c r="B505" s="117"/>
      <c r="C505" s="7"/>
      <c r="D505" s="3">
        <f t="shared" si="70"/>
        <v>0</v>
      </c>
      <c r="E505" s="10"/>
      <c r="F505" s="40"/>
      <c r="G505" s="40"/>
      <c r="H505" s="40"/>
      <c r="I505" s="3" t="str">
        <f t="shared" si="71"/>
        <v/>
      </c>
      <c r="J505" s="3" t="str">
        <f t="shared" si="72"/>
        <v/>
      </c>
      <c r="K505" s="3" t="str">
        <f t="shared" si="73"/>
        <v/>
      </c>
      <c r="L505" s="3"/>
      <c r="M505" s="60" t="e">
        <f t="shared" si="74"/>
        <v>#VALUE!</v>
      </c>
      <c r="N505" s="40"/>
      <c r="O505" s="40"/>
      <c r="P505" s="40"/>
      <c r="Q505" s="40"/>
      <c r="R505" s="40"/>
      <c r="S505" s="40"/>
      <c r="T505" s="61">
        <f t="shared" si="75"/>
        <v>81.800000000000068</v>
      </c>
      <c r="U505" s="40"/>
      <c r="V505" s="40"/>
      <c r="W505" s="40"/>
      <c r="X505" s="40"/>
      <c r="Y505" s="67" t="str">
        <f t="shared" si="76"/>
        <v/>
      </c>
      <c r="AA505" s="71"/>
      <c r="AB505" s="71"/>
      <c r="AC505" s="67" t="str">
        <f t="shared" si="77"/>
        <v/>
      </c>
      <c r="AE505" s="124"/>
      <c r="AF505" s="124"/>
      <c r="AG505" s="121"/>
      <c r="AH505" s="121"/>
      <c r="AI505" s="124"/>
      <c r="AJ505" s="124"/>
    </row>
    <row r="506" spans="2:36" x14ac:dyDescent="0.25">
      <c r="B506" s="117"/>
      <c r="C506" s="7"/>
      <c r="D506" s="3">
        <f t="shared" si="70"/>
        <v>0</v>
      </c>
      <c r="E506" s="10"/>
      <c r="F506" s="40"/>
      <c r="G506" s="40"/>
      <c r="H506" s="40"/>
      <c r="I506" s="3" t="str">
        <f t="shared" si="71"/>
        <v/>
      </c>
      <c r="J506" s="3" t="str">
        <f t="shared" si="72"/>
        <v/>
      </c>
      <c r="K506" s="3" t="str">
        <f t="shared" si="73"/>
        <v/>
      </c>
      <c r="L506" s="3"/>
      <c r="M506" s="60" t="e">
        <f t="shared" si="74"/>
        <v>#VALUE!</v>
      </c>
      <c r="N506" s="40"/>
      <c r="O506" s="40"/>
      <c r="P506" s="40"/>
      <c r="Q506" s="40"/>
      <c r="R506" s="40"/>
      <c r="S506" s="40"/>
      <c r="T506" s="61">
        <f t="shared" si="75"/>
        <v>81.800000000000068</v>
      </c>
      <c r="U506" s="40"/>
      <c r="V506" s="40"/>
      <c r="W506" s="40"/>
      <c r="X506" s="40"/>
      <c r="Y506" s="67" t="str">
        <f t="shared" si="76"/>
        <v/>
      </c>
      <c r="AA506" s="71"/>
      <c r="AB506" s="71"/>
      <c r="AC506" s="67" t="str">
        <f t="shared" si="77"/>
        <v/>
      </c>
      <c r="AE506" s="124"/>
      <c r="AF506" s="124"/>
      <c r="AG506" s="121"/>
      <c r="AH506" s="121"/>
      <c r="AI506" s="124"/>
      <c r="AJ506" s="124"/>
    </row>
    <row r="507" spans="2:36" x14ac:dyDescent="0.25">
      <c r="B507" s="117"/>
      <c r="C507" s="7"/>
      <c r="D507" s="3">
        <f t="shared" si="70"/>
        <v>0</v>
      </c>
      <c r="E507" s="10"/>
      <c r="F507" s="40"/>
      <c r="G507" s="40"/>
      <c r="H507" s="40"/>
      <c r="I507" s="3" t="str">
        <f t="shared" si="71"/>
        <v/>
      </c>
      <c r="J507" s="3" t="str">
        <f t="shared" si="72"/>
        <v/>
      </c>
      <c r="K507" s="3" t="str">
        <f t="shared" si="73"/>
        <v/>
      </c>
      <c r="L507" s="3"/>
      <c r="M507" s="60" t="e">
        <f t="shared" si="74"/>
        <v>#VALUE!</v>
      </c>
      <c r="N507" s="40"/>
      <c r="O507" s="40"/>
      <c r="P507" s="40"/>
      <c r="Q507" s="40"/>
      <c r="R507" s="40"/>
      <c r="S507" s="40"/>
      <c r="T507" s="61">
        <f t="shared" si="75"/>
        <v>81.800000000000068</v>
      </c>
      <c r="U507" s="40"/>
      <c r="V507" s="40"/>
      <c r="W507" s="40"/>
      <c r="X507" s="40"/>
      <c r="Y507" s="67" t="str">
        <f t="shared" si="76"/>
        <v/>
      </c>
      <c r="AA507" s="71"/>
      <c r="AB507" s="71"/>
      <c r="AC507" s="67" t="str">
        <f t="shared" si="77"/>
        <v/>
      </c>
      <c r="AE507" s="124"/>
      <c r="AF507" s="124"/>
      <c r="AG507" s="121"/>
      <c r="AH507" s="121"/>
      <c r="AI507" s="124"/>
      <c r="AJ507" s="124"/>
    </row>
    <row r="508" spans="2:36" x14ac:dyDescent="0.25">
      <c r="B508" s="117"/>
      <c r="C508" s="7"/>
      <c r="D508" s="3">
        <f t="shared" si="70"/>
        <v>0</v>
      </c>
      <c r="E508" s="10"/>
      <c r="F508" s="40"/>
      <c r="G508" s="40"/>
      <c r="H508" s="40"/>
      <c r="I508" s="3" t="str">
        <f t="shared" si="71"/>
        <v/>
      </c>
      <c r="J508" s="3" t="str">
        <f t="shared" si="72"/>
        <v/>
      </c>
      <c r="K508" s="3" t="str">
        <f t="shared" si="73"/>
        <v/>
      </c>
      <c r="L508" s="3"/>
      <c r="M508" s="60" t="e">
        <f t="shared" si="74"/>
        <v>#VALUE!</v>
      </c>
      <c r="N508" s="40"/>
      <c r="O508" s="40"/>
      <c r="P508" s="40"/>
      <c r="Q508" s="40"/>
      <c r="R508" s="40"/>
      <c r="S508" s="40"/>
      <c r="T508" s="61">
        <f t="shared" si="75"/>
        <v>81.800000000000068</v>
      </c>
      <c r="U508" s="40"/>
      <c r="V508" s="40"/>
      <c r="W508" s="40"/>
      <c r="X508" s="40"/>
      <c r="Y508" s="67" t="str">
        <f t="shared" si="76"/>
        <v/>
      </c>
      <c r="AA508" s="71"/>
      <c r="AB508" s="71"/>
      <c r="AC508" s="67" t="str">
        <f t="shared" si="77"/>
        <v/>
      </c>
      <c r="AE508" s="124"/>
      <c r="AF508" s="124"/>
      <c r="AG508" s="121"/>
      <c r="AH508" s="121"/>
      <c r="AI508" s="124"/>
      <c r="AJ508" s="124"/>
    </row>
    <row r="509" spans="2:36" x14ac:dyDescent="0.25">
      <c r="B509" s="117"/>
      <c r="C509" s="7"/>
      <c r="D509" s="3">
        <f t="shared" si="70"/>
        <v>0</v>
      </c>
      <c r="E509" s="10"/>
      <c r="F509" s="40"/>
      <c r="G509" s="40"/>
      <c r="H509" s="40"/>
      <c r="I509" s="3" t="str">
        <f t="shared" si="71"/>
        <v/>
      </c>
      <c r="J509" s="3" t="str">
        <f t="shared" si="72"/>
        <v/>
      </c>
      <c r="K509" s="3" t="str">
        <f t="shared" si="73"/>
        <v/>
      </c>
      <c r="L509" s="3"/>
      <c r="M509" s="60" t="e">
        <f t="shared" si="74"/>
        <v>#VALUE!</v>
      </c>
      <c r="N509" s="40"/>
      <c r="O509" s="40"/>
      <c r="P509" s="40"/>
      <c r="Q509" s="40"/>
      <c r="R509" s="40"/>
      <c r="S509" s="40"/>
      <c r="T509" s="61">
        <f t="shared" si="75"/>
        <v>81.800000000000068</v>
      </c>
      <c r="U509" s="40"/>
      <c r="V509" s="40"/>
      <c r="W509" s="40"/>
      <c r="X509" s="40"/>
      <c r="Y509" s="67" t="str">
        <f t="shared" si="76"/>
        <v/>
      </c>
      <c r="AA509" s="71"/>
      <c r="AB509" s="71"/>
      <c r="AC509" s="67" t="str">
        <f t="shared" si="77"/>
        <v/>
      </c>
      <c r="AE509" s="124"/>
      <c r="AF509" s="124"/>
      <c r="AG509" s="121"/>
      <c r="AH509" s="121"/>
      <c r="AI509" s="124"/>
      <c r="AJ509" s="124"/>
    </row>
    <row r="510" spans="2:36" x14ac:dyDescent="0.25">
      <c r="B510" s="117"/>
      <c r="C510" s="7"/>
      <c r="D510" s="3">
        <f t="shared" si="70"/>
        <v>0</v>
      </c>
      <c r="E510" s="10"/>
      <c r="F510" s="40"/>
      <c r="G510" s="40"/>
      <c r="H510" s="40"/>
      <c r="I510" s="3" t="str">
        <f t="shared" si="71"/>
        <v/>
      </c>
      <c r="J510" s="3" t="str">
        <f t="shared" si="72"/>
        <v/>
      </c>
      <c r="K510" s="3" t="str">
        <f t="shared" si="73"/>
        <v/>
      </c>
      <c r="L510" s="3"/>
      <c r="M510" s="60" t="e">
        <f t="shared" si="74"/>
        <v>#VALUE!</v>
      </c>
      <c r="N510" s="40"/>
      <c r="O510" s="40"/>
      <c r="P510" s="40"/>
      <c r="Q510" s="40"/>
      <c r="R510" s="40"/>
      <c r="S510" s="40"/>
      <c r="T510" s="61">
        <f t="shared" si="75"/>
        <v>81.800000000000068</v>
      </c>
      <c r="U510" s="40"/>
      <c r="V510" s="40"/>
      <c r="W510" s="40"/>
      <c r="X510" s="40"/>
      <c r="Y510" s="67" t="str">
        <f t="shared" si="76"/>
        <v/>
      </c>
      <c r="AA510" s="71"/>
      <c r="AB510" s="71"/>
      <c r="AC510" s="67" t="str">
        <f t="shared" si="77"/>
        <v/>
      </c>
      <c r="AE510" s="124"/>
      <c r="AF510" s="124"/>
      <c r="AG510" s="121"/>
      <c r="AH510" s="121"/>
      <c r="AI510" s="124"/>
      <c r="AJ510" s="124"/>
    </row>
    <row r="511" spans="2:36" x14ac:dyDescent="0.25">
      <c r="B511" s="117"/>
      <c r="C511" s="7"/>
      <c r="D511" s="3">
        <f t="shared" si="70"/>
        <v>0</v>
      </c>
      <c r="E511" s="10"/>
      <c r="F511" s="40"/>
      <c r="G511" s="40"/>
      <c r="H511" s="40"/>
      <c r="I511" s="3" t="str">
        <f t="shared" si="71"/>
        <v/>
      </c>
      <c r="J511" s="3" t="str">
        <f t="shared" si="72"/>
        <v/>
      </c>
      <c r="K511" s="3" t="str">
        <f t="shared" si="73"/>
        <v/>
      </c>
      <c r="L511" s="3"/>
      <c r="M511" s="60" t="e">
        <f t="shared" si="74"/>
        <v>#VALUE!</v>
      </c>
      <c r="N511" s="40"/>
      <c r="O511" s="40"/>
      <c r="P511" s="40"/>
      <c r="Q511" s="40"/>
      <c r="R511" s="40"/>
      <c r="S511" s="40"/>
      <c r="T511" s="61">
        <f t="shared" si="75"/>
        <v>81.800000000000068</v>
      </c>
      <c r="U511" s="40"/>
      <c r="V511" s="40"/>
      <c r="W511" s="40"/>
      <c r="X511" s="40"/>
      <c r="Y511" s="67" t="str">
        <f t="shared" si="76"/>
        <v/>
      </c>
      <c r="AA511" s="71"/>
      <c r="AB511" s="71"/>
      <c r="AC511" s="67" t="str">
        <f t="shared" si="77"/>
        <v/>
      </c>
      <c r="AE511" s="124"/>
      <c r="AF511" s="124"/>
      <c r="AG511" s="121"/>
      <c r="AH511" s="121"/>
      <c r="AI511" s="124"/>
      <c r="AJ511" s="124"/>
    </row>
    <row r="512" spans="2:36" x14ac:dyDescent="0.25">
      <c r="B512" s="117"/>
      <c r="C512" s="7"/>
      <c r="D512" s="3">
        <f t="shared" si="70"/>
        <v>0</v>
      </c>
      <c r="E512" s="10"/>
      <c r="F512" s="40"/>
      <c r="G512" s="40"/>
      <c r="H512" s="40"/>
      <c r="I512" s="3" t="str">
        <f t="shared" si="71"/>
        <v/>
      </c>
      <c r="J512" s="3" t="str">
        <f t="shared" si="72"/>
        <v/>
      </c>
      <c r="K512" s="3" t="str">
        <f t="shared" si="73"/>
        <v/>
      </c>
      <c r="L512" s="3"/>
      <c r="M512" s="60" t="e">
        <f t="shared" si="74"/>
        <v>#VALUE!</v>
      </c>
      <c r="N512" s="40"/>
      <c r="O512" s="40"/>
      <c r="P512" s="40"/>
      <c r="Q512" s="40"/>
      <c r="R512" s="40"/>
      <c r="S512" s="40"/>
      <c r="T512" s="61">
        <f t="shared" si="75"/>
        <v>81.800000000000068</v>
      </c>
      <c r="U512" s="40"/>
      <c r="V512" s="40"/>
      <c r="W512" s="40"/>
      <c r="X512" s="40"/>
      <c r="Y512" s="67" t="str">
        <f t="shared" si="76"/>
        <v/>
      </c>
      <c r="AA512" s="71"/>
      <c r="AB512" s="71"/>
      <c r="AC512" s="67" t="str">
        <f t="shared" si="77"/>
        <v/>
      </c>
      <c r="AE512" s="124"/>
      <c r="AF512" s="124"/>
      <c r="AG512" s="121"/>
      <c r="AH512" s="121"/>
      <c r="AI512" s="124"/>
      <c r="AJ512" s="124"/>
    </row>
    <row r="513" spans="2:36" x14ac:dyDescent="0.25">
      <c r="B513" s="117"/>
      <c r="C513" s="7"/>
      <c r="D513" s="3">
        <f t="shared" si="70"/>
        <v>0</v>
      </c>
      <c r="E513" s="10"/>
      <c r="F513" s="40"/>
      <c r="G513" s="40"/>
      <c r="H513" s="40"/>
      <c r="I513" s="3" t="str">
        <f t="shared" si="71"/>
        <v/>
      </c>
      <c r="J513" s="3" t="str">
        <f t="shared" si="72"/>
        <v/>
      </c>
      <c r="K513" s="3" t="str">
        <f t="shared" si="73"/>
        <v/>
      </c>
      <c r="L513" s="3"/>
      <c r="M513" s="60" t="e">
        <f t="shared" si="74"/>
        <v>#VALUE!</v>
      </c>
      <c r="N513" s="40"/>
      <c r="O513" s="40"/>
      <c r="P513" s="40"/>
      <c r="Q513" s="40"/>
      <c r="R513" s="40"/>
      <c r="S513" s="40"/>
      <c r="T513" s="61">
        <f t="shared" si="75"/>
        <v>81.800000000000068</v>
      </c>
      <c r="U513" s="40"/>
      <c r="V513" s="40"/>
      <c r="W513" s="40"/>
      <c r="X513" s="40"/>
      <c r="Y513" s="67" t="str">
        <f t="shared" si="76"/>
        <v/>
      </c>
      <c r="AA513" s="71"/>
      <c r="AB513" s="71"/>
      <c r="AC513" s="67" t="str">
        <f t="shared" si="77"/>
        <v/>
      </c>
      <c r="AE513" s="124"/>
      <c r="AF513" s="124"/>
      <c r="AG513" s="121"/>
      <c r="AH513" s="121"/>
      <c r="AI513" s="124"/>
      <c r="AJ513" s="124"/>
    </row>
    <row r="514" spans="2:36" x14ac:dyDescent="0.25">
      <c r="B514" s="117"/>
      <c r="C514" s="7"/>
      <c r="D514" s="3">
        <f t="shared" si="70"/>
        <v>0</v>
      </c>
      <c r="E514" s="10"/>
      <c r="F514" s="40"/>
      <c r="G514" s="40"/>
      <c r="H514" s="40"/>
      <c r="I514" s="3" t="str">
        <f t="shared" si="71"/>
        <v/>
      </c>
      <c r="J514" s="3" t="str">
        <f t="shared" si="72"/>
        <v/>
      </c>
      <c r="K514" s="3" t="str">
        <f t="shared" si="73"/>
        <v/>
      </c>
      <c r="L514" s="3"/>
      <c r="M514" s="60" t="e">
        <f t="shared" si="74"/>
        <v>#VALUE!</v>
      </c>
      <c r="N514" s="40"/>
      <c r="O514" s="40"/>
      <c r="P514" s="40"/>
      <c r="Q514" s="40"/>
      <c r="R514" s="40"/>
      <c r="S514" s="40"/>
      <c r="T514" s="61">
        <f t="shared" si="75"/>
        <v>81.800000000000068</v>
      </c>
      <c r="U514" s="40"/>
      <c r="V514" s="40"/>
      <c r="W514" s="40"/>
      <c r="X514" s="40"/>
      <c r="Y514" s="67" t="str">
        <f t="shared" si="76"/>
        <v/>
      </c>
      <c r="AA514" s="71"/>
      <c r="AB514" s="71"/>
      <c r="AC514" s="67" t="str">
        <f t="shared" si="77"/>
        <v/>
      </c>
      <c r="AE514" s="124"/>
      <c r="AF514" s="124"/>
      <c r="AG514" s="121"/>
      <c r="AH514" s="121"/>
      <c r="AI514" s="124"/>
      <c r="AJ514" s="124"/>
    </row>
    <row r="515" spans="2:36" x14ac:dyDescent="0.25">
      <c r="B515" s="117"/>
      <c r="C515" s="7"/>
      <c r="D515" s="3">
        <f t="shared" si="70"/>
        <v>0</v>
      </c>
      <c r="E515" s="10"/>
      <c r="F515" s="40"/>
      <c r="G515" s="40"/>
      <c r="H515" s="40"/>
      <c r="I515" s="3" t="str">
        <f t="shared" si="71"/>
        <v/>
      </c>
      <c r="J515" s="3" t="str">
        <f t="shared" si="72"/>
        <v/>
      </c>
      <c r="K515" s="3" t="str">
        <f t="shared" si="73"/>
        <v/>
      </c>
      <c r="L515" s="3"/>
      <c r="M515" s="60" t="e">
        <f t="shared" si="74"/>
        <v>#VALUE!</v>
      </c>
      <c r="N515" s="40"/>
      <c r="O515" s="40"/>
      <c r="P515" s="40"/>
      <c r="Q515" s="40"/>
      <c r="R515" s="40"/>
      <c r="S515" s="40"/>
      <c r="T515" s="61">
        <f t="shared" si="75"/>
        <v>81.800000000000068</v>
      </c>
      <c r="U515" s="40"/>
      <c r="V515" s="40"/>
      <c r="W515" s="40"/>
      <c r="X515" s="40"/>
      <c r="Y515" s="67" t="str">
        <f t="shared" si="76"/>
        <v/>
      </c>
      <c r="AA515" s="71"/>
      <c r="AB515" s="71"/>
      <c r="AC515" s="67" t="str">
        <f t="shared" si="77"/>
        <v/>
      </c>
      <c r="AE515" s="124"/>
      <c r="AF515" s="124"/>
      <c r="AG515" s="121"/>
      <c r="AH515" s="121"/>
      <c r="AI515" s="124"/>
      <c r="AJ515" s="124"/>
    </row>
    <row r="516" spans="2:36" x14ac:dyDescent="0.25">
      <c r="B516" s="117"/>
      <c r="C516" s="7"/>
      <c r="D516" s="3">
        <f t="shared" si="70"/>
        <v>0</v>
      </c>
      <c r="E516" s="10"/>
      <c r="F516" s="40"/>
      <c r="G516" s="40"/>
      <c r="H516" s="40"/>
      <c r="I516" s="3" t="str">
        <f t="shared" si="71"/>
        <v/>
      </c>
      <c r="J516" s="3" t="str">
        <f t="shared" si="72"/>
        <v/>
      </c>
      <c r="K516" s="3" t="str">
        <f t="shared" si="73"/>
        <v/>
      </c>
      <c r="L516" s="3"/>
      <c r="M516" s="60" t="e">
        <f t="shared" si="74"/>
        <v>#VALUE!</v>
      </c>
      <c r="N516" s="40"/>
      <c r="O516" s="40"/>
      <c r="P516" s="40"/>
      <c r="Q516" s="40"/>
      <c r="R516" s="40"/>
      <c r="S516" s="40"/>
      <c r="T516" s="61">
        <f t="shared" si="75"/>
        <v>81.800000000000068</v>
      </c>
      <c r="U516" s="40"/>
      <c r="V516" s="40"/>
      <c r="W516" s="40"/>
      <c r="X516" s="40"/>
      <c r="Y516" s="67" t="str">
        <f t="shared" si="76"/>
        <v/>
      </c>
      <c r="AA516" s="71"/>
      <c r="AB516" s="71"/>
      <c r="AC516" s="67" t="str">
        <f t="shared" si="77"/>
        <v/>
      </c>
      <c r="AE516" s="124"/>
      <c r="AF516" s="124"/>
      <c r="AG516" s="121"/>
      <c r="AH516" s="121"/>
      <c r="AI516" s="124"/>
      <c r="AJ516" s="124"/>
    </row>
    <row r="517" spans="2:36" x14ac:dyDescent="0.25">
      <c r="B517" s="117"/>
      <c r="C517" s="7"/>
      <c r="D517" s="3">
        <f t="shared" si="70"/>
        <v>0</v>
      </c>
      <c r="E517" s="10"/>
      <c r="F517" s="40"/>
      <c r="G517" s="40"/>
      <c r="H517" s="40"/>
      <c r="I517" s="3" t="str">
        <f t="shared" si="71"/>
        <v/>
      </c>
      <c r="J517" s="3" t="str">
        <f t="shared" si="72"/>
        <v/>
      </c>
      <c r="K517" s="3" t="str">
        <f t="shared" si="73"/>
        <v/>
      </c>
      <c r="L517" s="3"/>
      <c r="M517" s="60" t="e">
        <f t="shared" si="74"/>
        <v>#VALUE!</v>
      </c>
      <c r="N517" s="40"/>
      <c r="O517" s="40"/>
      <c r="P517" s="40"/>
      <c r="Q517" s="40"/>
      <c r="R517" s="40"/>
      <c r="S517" s="40"/>
      <c r="T517" s="61">
        <f t="shared" si="75"/>
        <v>81.800000000000068</v>
      </c>
      <c r="U517" s="40"/>
      <c r="V517" s="40"/>
      <c r="W517" s="40"/>
      <c r="X517" s="40"/>
      <c r="Y517" s="67" t="str">
        <f t="shared" si="76"/>
        <v/>
      </c>
      <c r="AA517" s="71"/>
      <c r="AB517" s="71"/>
      <c r="AC517" s="67" t="str">
        <f t="shared" si="77"/>
        <v/>
      </c>
      <c r="AE517" s="124"/>
      <c r="AF517" s="124"/>
      <c r="AG517" s="121"/>
      <c r="AH517" s="121"/>
      <c r="AI517" s="124"/>
      <c r="AJ517" s="124"/>
    </row>
    <row r="518" spans="2:36" x14ac:dyDescent="0.25">
      <c r="B518" s="117"/>
      <c r="C518" s="7"/>
      <c r="D518" s="3">
        <f t="shared" si="70"/>
        <v>0</v>
      </c>
      <c r="E518" s="10"/>
      <c r="F518" s="40"/>
      <c r="G518" s="40"/>
      <c r="H518" s="40"/>
      <c r="I518" s="3" t="str">
        <f t="shared" si="71"/>
        <v/>
      </c>
      <c r="J518" s="3" t="str">
        <f t="shared" si="72"/>
        <v/>
      </c>
      <c r="K518" s="3" t="str">
        <f t="shared" si="73"/>
        <v/>
      </c>
      <c r="L518" s="3"/>
      <c r="M518" s="60" t="e">
        <f t="shared" si="74"/>
        <v>#VALUE!</v>
      </c>
      <c r="N518" s="40"/>
      <c r="O518" s="40"/>
      <c r="P518" s="40"/>
      <c r="Q518" s="40"/>
      <c r="R518" s="40"/>
      <c r="S518" s="40"/>
      <c r="T518" s="61">
        <f t="shared" si="75"/>
        <v>81.800000000000068</v>
      </c>
      <c r="U518" s="40"/>
      <c r="V518" s="40"/>
      <c r="W518" s="40"/>
      <c r="X518" s="40"/>
      <c r="Y518" s="67" t="str">
        <f t="shared" si="76"/>
        <v/>
      </c>
      <c r="AA518" s="71"/>
      <c r="AB518" s="71"/>
      <c r="AC518" s="67" t="str">
        <f t="shared" si="77"/>
        <v/>
      </c>
      <c r="AE518" s="124"/>
      <c r="AF518" s="124"/>
      <c r="AG518" s="121"/>
      <c r="AH518" s="121"/>
      <c r="AI518" s="124"/>
      <c r="AJ518" s="124"/>
    </row>
    <row r="519" spans="2:36" x14ac:dyDescent="0.25">
      <c r="B519" s="117"/>
      <c r="C519" s="7"/>
      <c r="D519" s="3">
        <f t="shared" si="70"/>
        <v>0</v>
      </c>
      <c r="E519" s="10"/>
      <c r="F519" s="40"/>
      <c r="G519" s="40"/>
      <c r="H519" s="40"/>
      <c r="I519" s="3" t="str">
        <f t="shared" si="71"/>
        <v/>
      </c>
      <c r="J519" s="3" t="str">
        <f t="shared" si="72"/>
        <v/>
      </c>
      <c r="K519" s="3" t="str">
        <f t="shared" si="73"/>
        <v/>
      </c>
      <c r="L519" s="3"/>
      <c r="M519" s="60" t="e">
        <f t="shared" si="74"/>
        <v>#VALUE!</v>
      </c>
      <c r="N519" s="40"/>
      <c r="O519" s="40"/>
      <c r="P519" s="40"/>
      <c r="Q519" s="40"/>
      <c r="R519" s="40"/>
      <c r="S519" s="40"/>
      <c r="T519" s="61">
        <f t="shared" si="75"/>
        <v>81.800000000000068</v>
      </c>
      <c r="U519" s="40"/>
      <c r="V519" s="40"/>
      <c r="W519" s="40"/>
      <c r="X519" s="40"/>
      <c r="Y519" s="67" t="str">
        <f t="shared" si="76"/>
        <v/>
      </c>
      <c r="AA519" s="71"/>
      <c r="AB519" s="71"/>
      <c r="AC519" s="67" t="str">
        <f t="shared" si="77"/>
        <v/>
      </c>
      <c r="AE519" s="124"/>
      <c r="AF519" s="124"/>
      <c r="AG519" s="121"/>
      <c r="AH519" s="121"/>
      <c r="AI519" s="124"/>
      <c r="AJ519" s="124"/>
    </row>
    <row r="520" spans="2:36" x14ac:dyDescent="0.25">
      <c r="B520" s="117"/>
      <c r="C520" s="7"/>
      <c r="D520" s="3">
        <f t="shared" si="70"/>
        <v>0</v>
      </c>
      <c r="E520" s="10"/>
      <c r="F520" s="40"/>
      <c r="G520" s="40"/>
      <c r="H520" s="40"/>
      <c r="I520" s="3" t="str">
        <f t="shared" si="71"/>
        <v/>
      </c>
      <c r="J520" s="3" t="str">
        <f t="shared" si="72"/>
        <v/>
      </c>
      <c r="K520" s="3" t="str">
        <f t="shared" si="73"/>
        <v/>
      </c>
      <c r="L520" s="3"/>
      <c r="M520" s="60" t="e">
        <f t="shared" si="74"/>
        <v>#VALUE!</v>
      </c>
      <c r="N520" s="40"/>
      <c r="O520" s="40"/>
      <c r="P520" s="40"/>
      <c r="Q520" s="40"/>
      <c r="R520" s="40"/>
      <c r="S520" s="40"/>
      <c r="T520" s="61">
        <f t="shared" si="75"/>
        <v>81.800000000000068</v>
      </c>
      <c r="U520" s="40"/>
      <c r="V520" s="40"/>
      <c r="W520" s="40"/>
      <c r="X520" s="40"/>
      <c r="Y520" s="67" t="str">
        <f t="shared" si="76"/>
        <v/>
      </c>
      <c r="AA520" s="71"/>
      <c r="AB520" s="71"/>
      <c r="AC520" s="67" t="str">
        <f t="shared" si="77"/>
        <v/>
      </c>
      <c r="AE520" s="124"/>
      <c r="AF520" s="124"/>
      <c r="AG520" s="121"/>
      <c r="AH520" s="121"/>
      <c r="AI520" s="124"/>
      <c r="AJ520" s="124"/>
    </row>
    <row r="521" spans="2:36" x14ac:dyDescent="0.25">
      <c r="B521" s="117"/>
      <c r="C521" s="7"/>
      <c r="D521" s="3">
        <f t="shared" si="70"/>
        <v>0</v>
      </c>
      <c r="E521" s="10"/>
      <c r="F521" s="40"/>
      <c r="G521" s="40"/>
      <c r="H521" s="40"/>
      <c r="I521" s="3" t="str">
        <f t="shared" si="71"/>
        <v/>
      </c>
      <c r="J521" s="3" t="str">
        <f t="shared" si="72"/>
        <v/>
      </c>
      <c r="K521" s="3" t="str">
        <f t="shared" si="73"/>
        <v/>
      </c>
      <c r="L521" s="3"/>
      <c r="M521" s="60" t="e">
        <f t="shared" si="74"/>
        <v>#VALUE!</v>
      </c>
      <c r="N521" s="40"/>
      <c r="O521" s="40"/>
      <c r="P521" s="40"/>
      <c r="Q521" s="40"/>
      <c r="R521" s="40"/>
      <c r="S521" s="40"/>
      <c r="T521" s="61">
        <f t="shared" si="75"/>
        <v>81.800000000000068</v>
      </c>
      <c r="U521" s="40"/>
      <c r="V521" s="40"/>
      <c r="W521" s="40"/>
      <c r="X521" s="40"/>
      <c r="Y521" s="67" t="str">
        <f t="shared" si="76"/>
        <v/>
      </c>
      <c r="AA521" s="71"/>
      <c r="AB521" s="71"/>
      <c r="AC521" s="67" t="str">
        <f t="shared" si="77"/>
        <v/>
      </c>
      <c r="AE521" s="124"/>
      <c r="AF521" s="124"/>
      <c r="AG521" s="121"/>
      <c r="AH521" s="121"/>
      <c r="AI521" s="124"/>
      <c r="AJ521" s="124"/>
    </row>
    <row r="522" spans="2:36" x14ac:dyDescent="0.25">
      <c r="B522" s="117"/>
      <c r="C522" s="7"/>
      <c r="D522" s="3">
        <f t="shared" si="70"/>
        <v>0</v>
      </c>
      <c r="E522" s="10"/>
      <c r="F522" s="40"/>
      <c r="G522" s="40"/>
      <c r="H522" s="40"/>
      <c r="I522" s="3" t="str">
        <f t="shared" si="71"/>
        <v/>
      </c>
      <c r="J522" s="3" t="str">
        <f t="shared" si="72"/>
        <v/>
      </c>
      <c r="K522" s="3" t="str">
        <f t="shared" si="73"/>
        <v/>
      </c>
      <c r="L522" s="3"/>
      <c r="M522" s="60" t="e">
        <f t="shared" si="74"/>
        <v>#VALUE!</v>
      </c>
      <c r="N522" s="40"/>
      <c r="O522" s="40"/>
      <c r="P522" s="40"/>
      <c r="Q522" s="40"/>
      <c r="R522" s="40"/>
      <c r="S522" s="40"/>
      <c r="T522" s="61">
        <f t="shared" si="75"/>
        <v>81.800000000000068</v>
      </c>
      <c r="U522" s="40"/>
      <c r="V522" s="40"/>
      <c r="W522" s="40"/>
      <c r="X522" s="40"/>
      <c r="Y522" s="67" t="str">
        <f t="shared" si="76"/>
        <v/>
      </c>
      <c r="AA522" s="71"/>
      <c r="AB522" s="71"/>
      <c r="AC522" s="67" t="str">
        <f t="shared" si="77"/>
        <v/>
      </c>
      <c r="AE522" s="124"/>
      <c r="AF522" s="124"/>
      <c r="AG522" s="121"/>
      <c r="AH522" s="121"/>
      <c r="AI522" s="124"/>
      <c r="AJ522" s="124"/>
    </row>
    <row r="523" spans="2:36" x14ac:dyDescent="0.25">
      <c r="B523" s="117"/>
      <c r="C523" s="7"/>
      <c r="D523" s="3">
        <f t="shared" si="70"/>
        <v>0</v>
      </c>
      <c r="E523" s="10"/>
      <c r="F523" s="40"/>
      <c r="G523" s="40"/>
      <c r="H523" s="40"/>
      <c r="I523" s="3" t="str">
        <f t="shared" si="71"/>
        <v/>
      </c>
      <c r="J523" s="3" t="str">
        <f t="shared" si="72"/>
        <v/>
      </c>
      <c r="K523" s="3" t="str">
        <f t="shared" si="73"/>
        <v/>
      </c>
      <c r="L523" s="3"/>
      <c r="M523" s="60" t="e">
        <f t="shared" si="74"/>
        <v>#VALUE!</v>
      </c>
      <c r="N523" s="40"/>
      <c r="O523" s="40"/>
      <c r="P523" s="40"/>
      <c r="Q523" s="40"/>
      <c r="R523" s="40"/>
      <c r="S523" s="40"/>
      <c r="T523" s="61">
        <f t="shared" si="75"/>
        <v>81.800000000000068</v>
      </c>
      <c r="U523" s="40"/>
      <c r="V523" s="40"/>
      <c r="W523" s="40"/>
      <c r="X523" s="40"/>
      <c r="Y523" s="67" t="str">
        <f t="shared" si="76"/>
        <v/>
      </c>
      <c r="AA523" s="71"/>
      <c r="AB523" s="71"/>
      <c r="AC523" s="67" t="str">
        <f t="shared" si="77"/>
        <v/>
      </c>
      <c r="AE523" s="124"/>
      <c r="AF523" s="124"/>
      <c r="AG523" s="121"/>
      <c r="AH523" s="121"/>
      <c r="AI523" s="124"/>
      <c r="AJ523" s="124"/>
    </row>
    <row r="524" spans="2:36" x14ac:dyDescent="0.25">
      <c r="B524" s="117"/>
      <c r="C524" s="7"/>
      <c r="D524" s="3">
        <f t="shared" si="70"/>
        <v>0</v>
      </c>
      <c r="E524" s="10"/>
      <c r="F524" s="40"/>
      <c r="G524" s="40"/>
      <c r="H524" s="40"/>
      <c r="I524" s="3" t="str">
        <f t="shared" si="71"/>
        <v/>
      </c>
      <c r="J524" s="3" t="str">
        <f t="shared" si="72"/>
        <v/>
      </c>
      <c r="K524" s="3" t="str">
        <f t="shared" si="73"/>
        <v/>
      </c>
      <c r="L524" s="3"/>
      <c r="M524" s="60" t="e">
        <f t="shared" si="74"/>
        <v>#VALUE!</v>
      </c>
      <c r="N524" s="40"/>
      <c r="O524" s="40"/>
      <c r="P524" s="40"/>
      <c r="Q524" s="40"/>
      <c r="R524" s="40"/>
      <c r="S524" s="40"/>
      <c r="T524" s="61">
        <f t="shared" si="75"/>
        <v>81.800000000000068</v>
      </c>
      <c r="U524" s="40"/>
      <c r="V524" s="40"/>
      <c r="W524" s="40"/>
      <c r="X524" s="40"/>
      <c r="Y524" s="67" t="str">
        <f t="shared" si="76"/>
        <v/>
      </c>
      <c r="AA524" s="71"/>
      <c r="AB524" s="71"/>
      <c r="AC524" s="67" t="str">
        <f t="shared" si="77"/>
        <v/>
      </c>
      <c r="AE524" s="124"/>
      <c r="AF524" s="124"/>
      <c r="AG524" s="121"/>
      <c r="AH524" s="121"/>
      <c r="AI524" s="124"/>
      <c r="AJ524" s="124"/>
    </row>
    <row r="525" spans="2:36" x14ac:dyDescent="0.25">
      <c r="B525" s="117"/>
      <c r="C525" s="7"/>
      <c r="D525" s="3">
        <f t="shared" si="70"/>
        <v>0</v>
      </c>
      <c r="E525" s="10"/>
      <c r="F525" s="40"/>
      <c r="G525" s="40"/>
      <c r="H525" s="40"/>
      <c r="I525" s="3" t="str">
        <f t="shared" si="71"/>
        <v/>
      </c>
      <c r="J525" s="3" t="str">
        <f t="shared" si="72"/>
        <v/>
      </c>
      <c r="K525" s="3" t="str">
        <f t="shared" si="73"/>
        <v/>
      </c>
      <c r="L525" s="3"/>
      <c r="M525" s="60" t="e">
        <f t="shared" si="74"/>
        <v>#VALUE!</v>
      </c>
      <c r="N525" s="40"/>
      <c r="O525" s="40"/>
      <c r="P525" s="40"/>
      <c r="Q525" s="40"/>
      <c r="R525" s="40"/>
      <c r="S525" s="40"/>
      <c r="T525" s="61">
        <f t="shared" si="75"/>
        <v>81.800000000000068</v>
      </c>
      <c r="U525" s="40"/>
      <c r="V525" s="40"/>
      <c r="W525" s="40"/>
      <c r="X525" s="40"/>
      <c r="Y525" s="67" t="str">
        <f t="shared" si="76"/>
        <v/>
      </c>
      <c r="AA525" s="71"/>
      <c r="AB525" s="71"/>
      <c r="AC525" s="67" t="str">
        <f t="shared" si="77"/>
        <v/>
      </c>
      <c r="AE525" s="124"/>
      <c r="AF525" s="124"/>
      <c r="AG525" s="121"/>
      <c r="AH525" s="121"/>
      <c r="AI525" s="124"/>
      <c r="AJ525" s="124"/>
    </row>
    <row r="526" spans="2:36" x14ac:dyDescent="0.25">
      <c r="B526" s="117"/>
      <c r="C526" s="7"/>
      <c r="D526" s="3">
        <f t="shared" si="70"/>
        <v>0</v>
      </c>
      <c r="E526" s="10"/>
      <c r="F526" s="40"/>
      <c r="G526" s="40"/>
      <c r="H526" s="40"/>
      <c r="I526" s="3" t="str">
        <f t="shared" si="71"/>
        <v/>
      </c>
      <c r="J526" s="3" t="str">
        <f t="shared" si="72"/>
        <v/>
      </c>
      <c r="K526" s="3" t="str">
        <f t="shared" si="73"/>
        <v/>
      </c>
      <c r="L526" s="3"/>
      <c r="M526" s="60" t="e">
        <f t="shared" si="74"/>
        <v>#VALUE!</v>
      </c>
      <c r="N526" s="40"/>
      <c r="O526" s="40"/>
      <c r="P526" s="40"/>
      <c r="Q526" s="40"/>
      <c r="R526" s="40"/>
      <c r="S526" s="40"/>
      <c r="T526" s="61">
        <f t="shared" si="75"/>
        <v>81.800000000000068</v>
      </c>
      <c r="U526" s="40"/>
      <c r="V526" s="40"/>
      <c r="W526" s="40"/>
      <c r="X526" s="40"/>
      <c r="Y526" s="67" t="str">
        <f t="shared" si="76"/>
        <v/>
      </c>
      <c r="AA526" s="71"/>
      <c r="AB526" s="71"/>
      <c r="AC526" s="67" t="str">
        <f t="shared" si="77"/>
        <v/>
      </c>
      <c r="AE526" s="124"/>
      <c r="AF526" s="124"/>
      <c r="AG526" s="121"/>
      <c r="AH526" s="121"/>
      <c r="AI526" s="124"/>
      <c r="AJ526" s="124"/>
    </row>
    <row r="527" spans="2:36" x14ac:dyDescent="0.25">
      <c r="B527" s="117"/>
      <c r="C527" s="7"/>
      <c r="D527" s="3">
        <f t="shared" si="70"/>
        <v>0</v>
      </c>
      <c r="E527" s="10"/>
      <c r="F527" s="40"/>
      <c r="G527" s="40"/>
      <c r="H527" s="40"/>
      <c r="I527" s="3" t="str">
        <f t="shared" si="71"/>
        <v/>
      </c>
      <c r="J527" s="3" t="str">
        <f t="shared" si="72"/>
        <v/>
      </c>
      <c r="K527" s="3" t="str">
        <f t="shared" si="73"/>
        <v/>
      </c>
      <c r="L527" s="3"/>
      <c r="M527" s="60" t="e">
        <f t="shared" si="74"/>
        <v>#VALUE!</v>
      </c>
      <c r="N527" s="40"/>
      <c r="O527" s="40"/>
      <c r="P527" s="40"/>
      <c r="Q527" s="40"/>
      <c r="R527" s="40"/>
      <c r="S527" s="40"/>
      <c r="T527" s="61">
        <f t="shared" si="75"/>
        <v>81.800000000000068</v>
      </c>
      <c r="U527" s="40"/>
      <c r="V527" s="40"/>
      <c r="W527" s="40"/>
      <c r="X527" s="40"/>
      <c r="Y527" s="67" t="str">
        <f t="shared" si="76"/>
        <v/>
      </c>
      <c r="AA527" s="71"/>
      <c r="AB527" s="71"/>
      <c r="AC527" s="67" t="str">
        <f t="shared" si="77"/>
        <v/>
      </c>
      <c r="AE527" s="124"/>
      <c r="AF527" s="124"/>
      <c r="AG527" s="121"/>
      <c r="AH527" s="121"/>
      <c r="AI527" s="124"/>
      <c r="AJ527" s="124"/>
    </row>
    <row r="528" spans="2:36" x14ac:dyDescent="0.25">
      <c r="B528" s="117"/>
      <c r="C528" s="7"/>
      <c r="D528" s="3">
        <f t="shared" si="70"/>
        <v>0</v>
      </c>
      <c r="E528" s="10"/>
      <c r="F528" s="40"/>
      <c r="G528" s="40"/>
      <c r="H528" s="40"/>
      <c r="I528" s="3" t="str">
        <f t="shared" si="71"/>
        <v/>
      </c>
      <c r="J528" s="3" t="str">
        <f t="shared" si="72"/>
        <v/>
      </c>
      <c r="K528" s="3" t="str">
        <f t="shared" si="73"/>
        <v/>
      </c>
      <c r="L528" s="3"/>
      <c r="M528" s="60" t="e">
        <f t="shared" si="74"/>
        <v>#VALUE!</v>
      </c>
      <c r="N528" s="40"/>
      <c r="O528" s="40"/>
      <c r="P528" s="40"/>
      <c r="Q528" s="40"/>
      <c r="R528" s="40"/>
      <c r="S528" s="40"/>
      <c r="T528" s="61">
        <f t="shared" si="75"/>
        <v>81.800000000000068</v>
      </c>
      <c r="U528" s="40"/>
      <c r="V528" s="40"/>
      <c r="W528" s="40"/>
      <c r="X528" s="40"/>
      <c r="Y528" s="67" t="str">
        <f t="shared" si="76"/>
        <v/>
      </c>
      <c r="AA528" s="71"/>
      <c r="AB528" s="71"/>
      <c r="AC528" s="67" t="str">
        <f t="shared" si="77"/>
        <v/>
      </c>
      <c r="AE528" s="124"/>
      <c r="AF528" s="124"/>
      <c r="AG528" s="121"/>
      <c r="AH528" s="121"/>
      <c r="AI528" s="124"/>
      <c r="AJ528" s="124"/>
    </row>
    <row r="529" spans="2:36" x14ac:dyDescent="0.25">
      <c r="B529" s="117"/>
      <c r="C529" s="7"/>
      <c r="D529" s="3">
        <f t="shared" si="70"/>
        <v>0</v>
      </c>
      <c r="E529" s="10"/>
      <c r="F529" s="40"/>
      <c r="G529" s="40"/>
      <c r="H529" s="40"/>
      <c r="I529" s="3" t="str">
        <f t="shared" si="71"/>
        <v/>
      </c>
      <c r="J529" s="3" t="str">
        <f t="shared" si="72"/>
        <v/>
      </c>
      <c r="K529" s="3" t="str">
        <f t="shared" si="73"/>
        <v/>
      </c>
      <c r="L529" s="3"/>
      <c r="M529" s="60" t="e">
        <f t="shared" si="74"/>
        <v>#VALUE!</v>
      </c>
      <c r="N529" s="40"/>
      <c r="O529" s="40"/>
      <c r="P529" s="40"/>
      <c r="Q529" s="40"/>
      <c r="R529" s="40"/>
      <c r="S529" s="40"/>
      <c r="T529" s="61">
        <f t="shared" si="75"/>
        <v>81.800000000000068</v>
      </c>
      <c r="U529" s="40"/>
      <c r="V529" s="40"/>
      <c r="W529" s="40"/>
      <c r="X529" s="40"/>
      <c r="Y529" s="67" t="str">
        <f t="shared" si="76"/>
        <v/>
      </c>
      <c r="AA529" s="71"/>
      <c r="AB529" s="71"/>
      <c r="AC529" s="67" t="str">
        <f t="shared" si="77"/>
        <v/>
      </c>
      <c r="AE529" s="124"/>
      <c r="AF529" s="124"/>
      <c r="AG529" s="121"/>
      <c r="AH529" s="121"/>
      <c r="AI529" s="124"/>
      <c r="AJ529" s="124"/>
    </row>
    <row r="530" spans="2:36" x14ac:dyDescent="0.25">
      <c r="B530" s="117"/>
      <c r="C530" s="7"/>
      <c r="D530" s="3">
        <f t="shared" si="70"/>
        <v>0</v>
      </c>
      <c r="E530" s="10"/>
      <c r="F530" s="40"/>
      <c r="G530" s="40"/>
      <c r="H530" s="40"/>
      <c r="I530" s="3" t="str">
        <f t="shared" si="71"/>
        <v/>
      </c>
      <c r="J530" s="3" t="str">
        <f t="shared" si="72"/>
        <v/>
      </c>
      <c r="K530" s="3" t="str">
        <f t="shared" si="73"/>
        <v/>
      </c>
      <c r="L530" s="3"/>
      <c r="M530" s="60" t="e">
        <f t="shared" si="74"/>
        <v>#VALUE!</v>
      </c>
      <c r="N530" s="40"/>
      <c r="O530" s="40"/>
      <c r="P530" s="40"/>
      <c r="Q530" s="40"/>
      <c r="R530" s="40"/>
      <c r="S530" s="40"/>
      <c r="T530" s="61">
        <f t="shared" si="75"/>
        <v>81.800000000000068</v>
      </c>
      <c r="U530" s="40"/>
      <c r="V530" s="40"/>
      <c r="W530" s="40"/>
      <c r="X530" s="40"/>
      <c r="Y530" s="67" t="str">
        <f t="shared" si="76"/>
        <v/>
      </c>
      <c r="AA530" s="71"/>
      <c r="AB530" s="71"/>
      <c r="AC530" s="67" t="str">
        <f t="shared" si="77"/>
        <v/>
      </c>
      <c r="AE530" s="124"/>
      <c r="AF530" s="124"/>
      <c r="AG530" s="121"/>
      <c r="AH530" s="121"/>
      <c r="AI530" s="124"/>
      <c r="AJ530" s="124"/>
    </row>
    <row r="531" spans="2:36" x14ac:dyDescent="0.25">
      <c r="B531" s="117"/>
      <c r="C531" s="7"/>
      <c r="D531" s="3">
        <f t="shared" si="70"/>
        <v>0</v>
      </c>
      <c r="E531" s="10"/>
      <c r="F531" s="40"/>
      <c r="G531" s="40"/>
      <c r="H531" s="40"/>
      <c r="I531" s="3" t="str">
        <f t="shared" si="71"/>
        <v/>
      </c>
      <c r="J531" s="3" t="str">
        <f t="shared" si="72"/>
        <v/>
      </c>
      <c r="K531" s="3" t="str">
        <f t="shared" si="73"/>
        <v/>
      </c>
      <c r="L531" s="3"/>
      <c r="M531" s="60" t="e">
        <f t="shared" si="74"/>
        <v>#VALUE!</v>
      </c>
      <c r="N531" s="40"/>
      <c r="O531" s="40"/>
      <c r="P531" s="40"/>
      <c r="Q531" s="40"/>
      <c r="R531" s="40"/>
      <c r="S531" s="40"/>
      <c r="T531" s="61">
        <f t="shared" si="75"/>
        <v>81.800000000000068</v>
      </c>
      <c r="U531" s="40"/>
      <c r="V531" s="40"/>
      <c r="W531" s="40"/>
      <c r="X531" s="40"/>
      <c r="Y531" s="67" t="str">
        <f t="shared" si="76"/>
        <v/>
      </c>
      <c r="AA531" s="71"/>
      <c r="AB531" s="71"/>
      <c r="AC531" s="67" t="str">
        <f t="shared" si="77"/>
        <v/>
      </c>
      <c r="AE531" s="124"/>
      <c r="AF531" s="124"/>
      <c r="AG531" s="121"/>
      <c r="AH531" s="121"/>
      <c r="AI531" s="124"/>
      <c r="AJ531" s="124"/>
    </row>
    <row r="532" spans="2:36" x14ac:dyDescent="0.25">
      <c r="B532" s="117"/>
      <c r="C532" s="7"/>
      <c r="D532" s="3">
        <f t="shared" si="70"/>
        <v>0</v>
      </c>
      <c r="E532" s="10"/>
      <c r="F532" s="40"/>
      <c r="G532" s="40"/>
      <c r="H532" s="40"/>
      <c r="I532" s="3" t="str">
        <f t="shared" si="71"/>
        <v/>
      </c>
      <c r="J532" s="3" t="str">
        <f t="shared" si="72"/>
        <v/>
      </c>
      <c r="K532" s="3" t="str">
        <f t="shared" si="73"/>
        <v/>
      </c>
      <c r="L532" s="3"/>
      <c r="M532" s="60" t="e">
        <f t="shared" si="74"/>
        <v>#VALUE!</v>
      </c>
      <c r="N532" s="40"/>
      <c r="O532" s="40"/>
      <c r="P532" s="40"/>
      <c r="Q532" s="40"/>
      <c r="R532" s="40"/>
      <c r="S532" s="40"/>
      <c r="T532" s="61">
        <f t="shared" si="75"/>
        <v>81.800000000000068</v>
      </c>
      <c r="U532" s="40"/>
      <c r="V532" s="40"/>
      <c r="W532" s="40"/>
      <c r="X532" s="40"/>
      <c r="Y532" s="67" t="str">
        <f t="shared" si="76"/>
        <v/>
      </c>
      <c r="AA532" s="71"/>
      <c r="AB532" s="71"/>
      <c r="AC532" s="67" t="str">
        <f t="shared" si="77"/>
        <v/>
      </c>
      <c r="AE532" s="124"/>
      <c r="AF532" s="124"/>
      <c r="AG532" s="121"/>
      <c r="AH532" s="121"/>
      <c r="AI532" s="124"/>
      <c r="AJ532" s="124"/>
    </row>
    <row r="533" spans="2:36" x14ac:dyDescent="0.25">
      <c r="B533" s="117"/>
      <c r="C533" s="7"/>
      <c r="D533" s="3">
        <f t="shared" si="70"/>
        <v>0</v>
      </c>
      <c r="E533" s="10"/>
      <c r="F533" s="40"/>
      <c r="G533" s="40"/>
      <c r="H533" s="40"/>
      <c r="I533" s="3" t="str">
        <f t="shared" si="71"/>
        <v/>
      </c>
      <c r="J533" s="3" t="str">
        <f t="shared" si="72"/>
        <v/>
      </c>
      <c r="K533" s="3" t="str">
        <f t="shared" si="73"/>
        <v/>
      </c>
      <c r="L533" s="3"/>
      <c r="M533" s="60" t="e">
        <f t="shared" si="74"/>
        <v>#VALUE!</v>
      </c>
      <c r="N533" s="40"/>
      <c r="O533" s="40"/>
      <c r="P533" s="40"/>
      <c r="Q533" s="40"/>
      <c r="R533" s="40"/>
      <c r="S533" s="40"/>
      <c r="T533" s="61">
        <f t="shared" si="75"/>
        <v>81.800000000000068</v>
      </c>
      <c r="U533" s="40"/>
      <c r="V533" s="40"/>
      <c r="W533" s="40"/>
      <c r="X533" s="40"/>
      <c r="Y533" s="67" t="str">
        <f t="shared" si="76"/>
        <v/>
      </c>
      <c r="AA533" s="71"/>
      <c r="AB533" s="71"/>
      <c r="AC533" s="67" t="str">
        <f t="shared" si="77"/>
        <v/>
      </c>
      <c r="AE533" s="124"/>
      <c r="AF533" s="124"/>
      <c r="AG533" s="121"/>
      <c r="AH533" s="121"/>
      <c r="AI533" s="124"/>
      <c r="AJ533" s="124"/>
    </row>
    <row r="534" spans="2:36" x14ac:dyDescent="0.25">
      <c r="B534" s="117"/>
      <c r="C534" s="7"/>
      <c r="D534" s="3">
        <f t="shared" si="70"/>
        <v>0</v>
      </c>
      <c r="E534" s="10"/>
      <c r="F534" s="40"/>
      <c r="G534" s="40"/>
      <c r="H534" s="40"/>
      <c r="I534" s="3" t="str">
        <f t="shared" si="71"/>
        <v/>
      </c>
      <c r="J534" s="3" t="str">
        <f t="shared" si="72"/>
        <v/>
      </c>
      <c r="K534" s="3" t="str">
        <f t="shared" si="73"/>
        <v/>
      </c>
      <c r="L534" s="3"/>
      <c r="M534" s="60" t="e">
        <f t="shared" si="74"/>
        <v>#VALUE!</v>
      </c>
      <c r="N534" s="40"/>
      <c r="O534" s="40"/>
      <c r="P534" s="40"/>
      <c r="Q534" s="40"/>
      <c r="R534" s="40"/>
      <c r="S534" s="40"/>
      <c r="T534" s="61">
        <f t="shared" si="75"/>
        <v>81.800000000000068</v>
      </c>
      <c r="U534" s="40"/>
      <c r="V534" s="40"/>
      <c r="W534" s="40"/>
      <c r="X534" s="40"/>
      <c r="Y534" s="67" t="str">
        <f t="shared" si="76"/>
        <v/>
      </c>
      <c r="AA534" s="71"/>
      <c r="AB534" s="71"/>
      <c r="AC534" s="67" t="str">
        <f t="shared" si="77"/>
        <v/>
      </c>
      <c r="AE534" s="124"/>
      <c r="AF534" s="124"/>
      <c r="AG534" s="121"/>
      <c r="AH534" s="121"/>
      <c r="AI534" s="124"/>
      <c r="AJ534" s="124"/>
    </row>
    <row r="535" spans="2:36" x14ac:dyDescent="0.25">
      <c r="B535" s="117"/>
      <c r="C535" s="7"/>
      <c r="D535" s="3">
        <f t="shared" ref="D535:D597" si="78">+IF((C535-C534)&lt;0,((C535-C534)*24)+24,(C535-C534)*24)</f>
        <v>0</v>
      </c>
      <c r="E535" s="10"/>
      <c r="F535" s="40"/>
      <c r="G535" s="40"/>
      <c r="H535" s="40"/>
      <c r="I535" s="3" t="str">
        <f t="shared" ref="I535:I597" si="79">+IF(F535="","",(F535/24)*D535)</f>
        <v/>
      </c>
      <c r="J535" s="3" t="str">
        <f t="shared" ref="J535:J597" si="80">+IF(G535="","",(G535/24)*D535)</f>
        <v/>
      </c>
      <c r="K535" s="3" t="str">
        <f t="shared" ref="K535:K597" si="81">+IF(H535="","",(H535/24)*D535)</f>
        <v/>
      </c>
      <c r="L535" s="3"/>
      <c r="M535" s="60" t="e">
        <f t="shared" ref="M535:M597" si="82">+IF(D535="","",M534-(I535+J535+K535))</f>
        <v>#VALUE!</v>
      </c>
      <c r="N535" s="40"/>
      <c r="O535" s="40"/>
      <c r="P535" s="40"/>
      <c r="Q535" s="40"/>
      <c r="R535" s="40"/>
      <c r="S535" s="40"/>
      <c r="T535" s="61">
        <f t="shared" ref="T535:T597" si="83">IF(D535="","",(T534+S535)-(N535+O535+P535+Q535+R535))</f>
        <v>81.800000000000068</v>
      </c>
      <c r="U535" s="40"/>
      <c r="V535" s="40"/>
      <c r="W535" s="40"/>
      <c r="X535" s="40"/>
      <c r="Y535" s="67" t="str">
        <f t="shared" ref="Y535:Y597" si="84">IF(W535="","",((Y534+U535+V535)-(W535+X535)))</f>
        <v/>
      </c>
      <c r="AA535" s="71"/>
      <c r="AB535" s="71"/>
      <c r="AC535" s="67" t="str">
        <f t="shared" ref="AC535:AC597" si="85">IF(AA535="","",AA535+AB535)</f>
        <v/>
      </c>
      <c r="AE535" s="124"/>
      <c r="AF535" s="124"/>
      <c r="AG535" s="121"/>
      <c r="AH535" s="121"/>
      <c r="AI535" s="124"/>
      <c r="AJ535" s="124"/>
    </row>
    <row r="536" spans="2:36" x14ac:dyDescent="0.25">
      <c r="B536" s="117"/>
      <c r="C536" s="7"/>
      <c r="D536" s="3">
        <f t="shared" si="78"/>
        <v>0</v>
      </c>
      <c r="E536" s="10"/>
      <c r="F536" s="40"/>
      <c r="G536" s="40"/>
      <c r="H536" s="40"/>
      <c r="I536" s="3" t="str">
        <f t="shared" si="79"/>
        <v/>
      </c>
      <c r="J536" s="3" t="str">
        <f t="shared" si="80"/>
        <v/>
      </c>
      <c r="K536" s="3" t="str">
        <f t="shared" si="81"/>
        <v/>
      </c>
      <c r="L536" s="3"/>
      <c r="M536" s="60" t="e">
        <f t="shared" si="82"/>
        <v>#VALUE!</v>
      </c>
      <c r="N536" s="40"/>
      <c r="O536" s="40"/>
      <c r="P536" s="40"/>
      <c r="Q536" s="40"/>
      <c r="R536" s="40"/>
      <c r="S536" s="40"/>
      <c r="T536" s="61">
        <f t="shared" si="83"/>
        <v>81.800000000000068</v>
      </c>
      <c r="U536" s="40"/>
      <c r="V536" s="40"/>
      <c r="W536" s="40"/>
      <c r="X536" s="40"/>
      <c r="Y536" s="67" t="str">
        <f t="shared" si="84"/>
        <v/>
      </c>
      <c r="AA536" s="71"/>
      <c r="AB536" s="71"/>
      <c r="AC536" s="67" t="str">
        <f t="shared" si="85"/>
        <v/>
      </c>
      <c r="AE536" s="124"/>
      <c r="AF536" s="124"/>
      <c r="AG536" s="121"/>
      <c r="AH536" s="121"/>
      <c r="AI536" s="124"/>
      <c r="AJ536" s="124"/>
    </row>
    <row r="537" spans="2:36" x14ac:dyDescent="0.25">
      <c r="B537" s="117"/>
      <c r="C537" s="7"/>
      <c r="D537" s="3">
        <f t="shared" si="78"/>
        <v>0</v>
      </c>
      <c r="E537" s="10"/>
      <c r="F537" s="40"/>
      <c r="G537" s="40"/>
      <c r="H537" s="40"/>
      <c r="I537" s="3" t="str">
        <f t="shared" si="79"/>
        <v/>
      </c>
      <c r="J537" s="3" t="str">
        <f t="shared" si="80"/>
        <v/>
      </c>
      <c r="K537" s="3" t="str">
        <f t="shared" si="81"/>
        <v/>
      </c>
      <c r="L537" s="3"/>
      <c r="M537" s="60" t="e">
        <f t="shared" si="82"/>
        <v>#VALUE!</v>
      </c>
      <c r="N537" s="40"/>
      <c r="O537" s="40"/>
      <c r="P537" s="40"/>
      <c r="Q537" s="40"/>
      <c r="R537" s="40"/>
      <c r="S537" s="40"/>
      <c r="T537" s="61">
        <f t="shared" si="83"/>
        <v>81.800000000000068</v>
      </c>
      <c r="U537" s="40"/>
      <c r="V537" s="40"/>
      <c r="W537" s="40"/>
      <c r="X537" s="40"/>
      <c r="Y537" s="67" t="str">
        <f t="shared" si="84"/>
        <v/>
      </c>
      <c r="AA537" s="71"/>
      <c r="AB537" s="71"/>
      <c r="AC537" s="67" t="str">
        <f t="shared" si="85"/>
        <v/>
      </c>
      <c r="AE537" s="124"/>
      <c r="AF537" s="124"/>
      <c r="AG537" s="121"/>
      <c r="AH537" s="121"/>
      <c r="AI537" s="124"/>
      <c r="AJ537" s="124"/>
    </row>
    <row r="538" spans="2:36" x14ac:dyDescent="0.25">
      <c r="B538" s="117"/>
      <c r="C538" s="7"/>
      <c r="D538" s="3">
        <f t="shared" si="78"/>
        <v>0</v>
      </c>
      <c r="E538" s="10"/>
      <c r="F538" s="40"/>
      <c r="G538" s="40"/>
      <c r="H538" s="40"/>
      <c r="I538" s="3" t="str">
        <f t="shared" si="79"/>
        <v/>
      </c>
      <c r="J538" s="3" t="str">
        <f t="shared" si="80"/>
        <v/>
      </c>
      <c r="K538" s="3" t="str">
        <f t="shared" si="81"/>
        <v/>
      </c>
      <c r="L538" s="3"/>
      <c r="M538" s="60" t="e">
        <f t="shared" si="82"/>
        <v>#VALUE!</v>
      </c>
      <c r="N538" s="40"/>
      <c r="O538" s="40"/>
      <c r="P538" s="40"/>
      <c r="Q538" s="40"/>
      <c r="R538" s="40"/>
      <c r="S538" s="40"/>
      <c r="T538" s="61">
        <f t="shared" si="83"/>
        <v>81.800000000000068</v>
      </c>
      <c r="U538" s="40"/>
      <c r="V538" s="40"/>
      <c r="W538" s="40"/>
      <c r="X538" s="40"/>
      <c r="Y538" s="67" t="str">
        <f t="shared" si="84"/>
        <v/>
      </c>
      <c r="AA538" s="71"/>
      <c r="AB538" s="71"/>
      <c r="AC538" s="67" t="str">
        <f t="shared" si="85"/>
        <v/>
      </c>
      <c r="AE538" s="124"/>
      <c r="AF538" s="124"/>
      <c r="AG538" s="121"/>
      <c r="AH538" s="121"/>
      <c r="AI538" s="124"/>
      <c r="AJ538" s="124"/>
    </row>
    <row r="539" spans="2:36" x14ac:dyDescent="0.25">
      <c r="B539" s="117"/>
      <c r="C539" s="7"/>
      <c r="D539" s="3">
        <f t="shared" si="78"/>
        <v>0</v>
      </c>
      <c r="E539" s="10"/>
      <c r="F539" s="40"/>
      <c r="G539" s="40"/>
      <c r="H539" s="40"/>
      <c r="I539" s="3" t="str">
        <f t="shared" si="79"/>
        <v/>
      </c>
      <c r="J539" s="3" t="str">
        <f t="shared" si="80"/>
        <v/>
      </c>
      <c r="K539" s="3" t="str">
        <f t="shared" si="81"/>
        <v/>
      </c>
      <c r="L539" s="3"/>
      <c r="M539" s="60" t="e">
        <f t="shared" si="82"/>
        <v>#VALUE!</v>
      </c>
      <c r="N539" s="40"/>
      <c r="O539" s="40"/>
      <c r="P539" s="40"/>
      <c r="Q539" s="40"/>
      <c r="R539" s="40"/>
      <c r="S539" s="40"/>
      <c r="T539" s="61">
        <f t="shared" si="83"/>
        <v>81.800000000000068</v>
      </c>
      <c r="U539" s="40"/>
      <c r="V539" s="40"/>
      <c r="W539" s="40"/>
      <c r="X539" s="40"/>
      <c r="Y539" s="67" t="str">
        <f t="shared" si="84"/>
        <v/>
      </c>
      <c r="AA539" s="71"/>
      <c r="AB539" s="71"/>
      <c r="AC539" s="67" t="str">
        <f t="shared" si="85"/>
        <v/>
      </c>
      <c r="AE539" s="124"/>
      <c r="AF539" s="124"/>
      <c r="AG539" s="121"/>
      <c r="AH539" s="121"/>
      <c r="AI539" s="124"/>
      <c r="AJ539" s="124"/>
    </row>
    <row r="540" spans="2:36" x14ac:dyDescent="0.25">
      <c r="B540" s="117"/>
      <c r="C540" s="7"/>
      <c r="D540" s="3">
        <f t="shared" si="78"/>
        <v>0</v>
      </c>
      <c r="E540" s="10"/>
      <c r="F540" s="40"/>
      <c r="G540" s="40"/>
      <c r="H540" s="40"/>
      <c r="I540" s="3" t="str">
        <f t="shared" si="79"/>
        <v/>
      </c>
      <c r="J540" s="3" t="str">
        <f t="shared" si="80"/>
        <v/>
      </c>
      <c r="K540" s="3" t="str">
        <f t="shared" si="81"/>
        <v/>
      </c>
      <c r="L540" s="3"/>
      <c r="M540" s="60" t="e">
        <f t="shared" si="82"/>
        <v>#VALUE!</v>
      </c>
      <c r="N540" s="40"/>
      <c r="O540" s="40"/>
      <c r="P540" s="40"/>
      <c r="Q540" s="40"/>
      <c r="R540" s="40"/>
      <c r="S540" s="40"/>
      <c r="T540" s="61">
        <f t="shared" si="83"/>
        <v>81.800000000000068</v>
      </c>
      <c r="U540" s="40"/>
      <c r="V540" s="40"/>
      <c r="W540" s="40"/>
      <c r="X540" s="40"/>
      <c r="Y540" s="67" t="str">
        <f t="shared" si="84"/>
        <v/>
      </c>
      <c r="AA540" s="71"/>
      <c r="AB540" s="71"/>
      <c r="AC540" s="67" t="str">
        <f t="shared" si="85"/>
        <v/>
      </c>
      <c r="AE540" s="124"/>
      <c r="AF540" s="124"/>
      <c r="AG540" s="121"/>
      <c r="AH540" s="121"/>
      <c r="AI540" s="124"/>
      <c r="AJ540" s="124"/>
    </row>
    <row r="541" spans="2:36" x14ac:dyDescent="0.25">
      <c r="B541" s="117"/>
      <c r="C541" s="7"/>
      <c r="D541" s="3">
        <f t="shared" si="78"/>
        <v>0</v>
      </c>
      <c r="E541" s="10"/>
      <c r="F541" s="40"/>
      <c r="G541" s="40"/>
      <c r="H541" s="40"/>
      <c r="I541" s="3" t="str">
        <f t="shared" si="79"/>
        <v/>
      </c>
      <c r="J541" s="3" t="str">
        <f t="shared" si="80"/>
        <v/>
      </c>
      <c r="K541" s="3" t="str">
        <f t="shared" si="81"/>
        <v/>
      </c>
      <c r="L541" s="3"/>
      <c r="M541" s="60" t="e">
        <f t="shared" si="82"/>
        <v>#VALUE!</v>
      </c>
      <c r="N541" s="40"/>
      <c r="O541" s="40"/>
      <c r="P541" s="40"/>
      <c r="Q541" s="40"/>
      <c r="R541" s="40"/>
      <c r="S541" s="40"/>
      <c r="T541" s="61">
        <f t="shared" si="83"/>
        <v>81.800000000000068</v>
      </c>
      <c r="U541" s="40"/>
      <c r="V541" s="40"/>
      <c r="W541" s="40"/>
      <c r="X541" s="40"/>
      <c r="Y541" s="67" t="str">
        <f t="shared" si="84"/>
        <v/>
      </c>
      <c r="AA541" s="71"/>
      <c r="AB541" s="71"/>
      <c r="AC541" s="67" t="str">
        <f t="shared" si="85"/>
        <v/>
      </c>
      <c r="AE541" s="124"/>
      <c r="AF541" s="124"/>
      <c r="AG541" s="121"/>
      <c r="AH541" s="121"/>
      <c r="AI541" s="124"/>
      <c r="AJ541" s="124"/>
    </row>
    <row r="542" spans="2:36" x14ac:dyDescent="0.25">
      <c r="B542" s="117"/>
      <c r="C542" s="7"/>
      <c r="D542" s="3">
        <f t="shared" si="78"/>
        <v>0</v>
      </c>
      <c r="E542" s="10"/>
      <c r="F542" s="40"/>
      <c r="G542" s="40"/>
      <c r="H542" s="40"/>
      <c r="I542" s="3" t="str">
        <f t="shared" si="79"/>
        <v/>
      </c>
      <c r="J542" s="3" t="str">
        <f t="shared" si="80"/>
        <v/>
      </c>
      <c r="K542" s="3" t="str">
        <f t="shared" si="81"/>
        <v/>
      </c>
      <c r="L542" s="3"/>
      <c r="M542" s="60" t="e">
        <f t="shared" si="82"/>
        <v>#VALUE!</v>
      </c>
      <c r="N542" s="40"/>
      <c r="O542" s="40"/>
      <c r="P542" s="40"/>
      <c r="Q542" s="40"/>
      <c r="R542" s="40"/>
      <c r="S542" s="40"/>
      <c r="T542" s="61">
        <f t="shared" si="83"/>
        <v>81.800000000000068</v>
      </c>
      <c r="U542" s="40"/>
      <c r="V542" s="40"/>
      <c r="W542" s="40"/>
      <c r="X542" s="40"/>
      <c r="Y542" s="67" t="str">
        <f t="shared" si="84"/>
        <v/>
      </c>
      <c r="AA542" s="71"/>
      <c r="AB542" s="71"/>
      <c r="AC542" s="67" t="str">
        <f t="shared" si="85"/>
        <v/>
      </c>
      <c r="AE542" s="124"/>
      <c r="AF542" s="124"/>
      <c r="AG542" s="121"/>
      <c r="AH542" s="121"/>
      <c r="AI542" s="124"/>
      <c r="AJ542" s="124"/>
    </row>
    <row r="543" spans="2:36" x14ac:dyDescent="0.25">
      <c r="B543" s="117"/>
      <c r="C543" s="7"/>
      <c r="D543" s="3">
        <f t="shared" si="78"/>
        <v>0</v>
      </c>
      <c r="E543" s="10"/>
      <c r="F543" s="40"/>
      <c r="G543" s="40"/>
      <c r="H543" s="40"/>
      <c r="I543" s="3" t="str">
        <f t="shared" si="79"/>
        <v/>
      </c>
      <c r="J543" s="3" t="str">
        <f t="shared" si="80"/>
        <v/>
      </c>
      <c r="K543" s="3" t="str">
        <f t="shared" si="81"/>
        <v/>
      </c>
      <c r="L543" s="3"/>
      <c r="M543" s="60" t="e">
        <f t="shared" si="82"/>
        <v>#VALUE!</v>
      </c>
      <c r="N543" s="40"/>
      <c r="O543" s="40"/>
      <c r="P543" s="40"/>
      <c r="Q543" s="40"/>
      <c r="R543" s="40"/>
      <c r="S543" s="40"/>
      <c r="T543" s="61">
        <f t="shared" si="83"/>
        <v>81.800000000000068</v>
      </c>
      <c r="U543" s="40"/>
      <c r="V543" s="40"/>
      <c r="W543" s="40"/>
      <c r="X543" s="40"/>
      <c r="Y543" s="67" t="str">
        <f t="shared" si="84"/>
        <v/>
      </c>
      <c r="AA543" s="71"/>
      <c r="AB543" s="71"/>
      <c r="AC543" s="67" t="str">
        <f t="shared" si="85"/>
        <v/>
      </c>
      <c r="AE543" s="124"/>
      <c r="AF543" s="124"/>
      <c r="AG543" s="121"/>
      <c r="AH543" s="121"/>
      <c r="AI543" s="124"/>
      <c r="AJ543" s="124"/>
    </row>
    <row r="544" spans="2:36" x14ac:dyDescent="0.25">
      <c r="B544" s="117"/>
      <c r="C544" s="7"/>
      <c r="D544" s="3">
        <f t="shared" si="78"/>
        <v>0</v>
      </c>
      <c r="E544" s="10"/>
      <c r="F544" s="40"/>
      <c r="G544" s="40"/>
      <c r="H544" s="40"/>
      <c r="I544" s="3" t="str">
        <f t="shared" si="79"/>
        <v/>
      </c>
      <c r="J544" s="3" t="str">
        <f t="shared" si="80"/>
        <v/>
      </c>
      <c r="K544" s="3" t="str">
        <f t="shared" si="81"/>
        <v/>
      </c>
      <c r="L544" s="3"/>
      <c r="M544" s="60" t="e">
        <f t="shared" si="82"/>
        <v>#VALUE!</v>
      </c>
      <c r="N544" s="40"/>
      <c r="O544" s="40"/>
      <c r="P544" s="40"/>
      <c r="Q544" s="40"/>
      <c r="R544" s="40"/>
      <c r="S544" s="40"/>
      <c r="T544" s="61">
        <f t="shared" si="83"/>
        <v>81.800000000000068</v>
      </c>
      <c r="U544" s="40"/>
      <c r="V544" s="40"/>
      <c r="W544" s="40"/>
      <c r="X544" s="40"/>
      <c r="Y544" s="67" t="str">
        <f t="shared" si="84"/>
        <v/>
      </c>
      <c r="AA544" s="71"/>
      <c r="AB544" s="71"/>
      <c r="AC544" s="67" t="str">
        <f t="shared" si="85"/>
        <v/>
      </c>
      <c r="AE544" s="124"/>
      <c r="AF544" s="124"/>
      <c r="AG544" s="121"/>
      <c r="AH544" s="121"/>
      <c r="AI544" s="124"/>
      <c r="AJ544" s="124"/>
    </row>
    <row r="545" spans="2:36" x14ac:dyDescent="0.25">
      <c r="B545" s="117"/>
      <c r="C545" s="7"/>
      <c r="D545" s="3">
        <f t="shared" si="78"/>
        <v>0</v>
      </c>
      <c r="E545" s="10"/>
      <c r="F545" s="40"/>
      <c r="G545" s="40"/>
      <c r="H545" s="40"/>
      <c r="I545" s="3" t="str">
        <f t="shared" si="79"/>
        <v/>
      </c>
      <c r="J545" s="3" t="str">
        <f t="shared" si="80"/>
        <v/>
      </c>
      <c r="K545" s="3" t="str">
        <f t="shared" si="81"/>
        <v/>
      </c>
      <c r="L545" s="3"/>
      <c r="M545" s="60" t="e">
        <f t="shared" si="82"/>
        <v>#VALUE!</v>
      </c>
      <c r="N545" s="40"/>
      <c r="O545" s="40"/>
      <c r="P545" s="40"/>
      <c r="Q545" s="40"/>
      <c r="R545" s="40"/>
      <c r="S545" s="40"/>
      <c r="T545" s="61">
        <f t="shared" si="83"/>
        <v>81.800000000000068</v>
      </c>
      <c r="U545" s="40"/>
      <c r="V545" s="40"/>
      <c r="W545" s="40"/>
      <c r="X545" s="40"/>
      <c r="Y545" s="67" t="str">
        <f t="shared" si="84"/>
        <v/>
      </c>
      <c r="AA545" s="71"/>
      <c r="AB545" s="71"/>
      <c r="AC545" s="67" t="str">
        <f t="shared" si="85"/>
        <v/>
      </c>
      <c r="AE545" s="124"/>
      <c r="AF545" s="124"/>
      <c r="AG545" s="121"/>
      <c r="AH545" s="121"/>
      <c r="AI545" s="124"/>
      <c r="AJ545" s="124"/>
    </row>
    <row r="546" spans="2:36" x14ac:dyDescent="0.25">
      <c r="B546" s="117"/>
      <c r="C546" s="7"/>
      <c r="D546" s="3">
        <f t="shared" si="78"/>
        <v>0</v>
      </c>
      <c r="E546" s="10"/>
      <c r="F546" s="40"/>
      <c r="G546" s="40"/>
      <c r="H546" s="40"/>
      <c r="I546" s="3" t="str">
        <f t="shared" si="79"/>
        <v/>
      </c>
      <c r="J546" s="3" t="str">
        <f t="shared" si="80"/>
        <v/>
      </c>
      <c r="K546" s="3" t="str">
        <f t="shared" si="81"/>
        <v/>
      </c>
      <c r="L546" s="3"/>
      <c r="M546" s="60" t="e">
        <f t="shared" si="82"/>
        <v>#VALUE!</v>
      </c>
      <c r="N546" s="40"/>
      <c r="O546" s="40"/>
      <c r="P546" s="40"/>
      <c r="Q546" s="40"/>
      <c r="R546" s="40"/>
      <c r="S546" s="40"/>
      <c r="T546" s="61">
        <f t="shared" si="83"/>
        <v>81.800000000000068</v>
      </c>
      <c r="U546" s="40"/>
      <c r="V546" s="40"/>
      <c r="W546" s="40"/>
      <c r="X546" s="40"/>
      <c r="Y546" s="67" t="str">
        <f t="shared" si="84"/>
        <v/>
      </c>
      <c r="AA546" s="71"/>
      <c r="AB546" s="71"/>
      <c r="AC546" s="67" t="str">
        <f t="shared" si="85"/>
        <v/>
      </c>
      <c r="AE546" s="124"/>
      <c r="AF546" s="124"/>
      <c r="AG546" s="121"/>
      <c r="AH546" s="121"/>
      <c r="AI546" s="124"/>
      <c r="AJ546" s="124"/>
    </row>
    <row r="547" spans="2:36" x14ac:dyDescent="0.25">
      <c r="B547" s="117"/>
      <c r="C547" s="7"/>
      <c r="D547" s="3">
        <f t="shared" si="78"/>
        <v>0</v>
      </c>
      <c r="E547" s="10"/>
      <c r="F547" s="40"/>
      <c r="G547" s="40"/>
      <c r="H547" s="40"/>
      <c r="I547" s="3" t="str">
        <f t="shared" si="79"/>
        <v/>
      </c>
      <c r="J547" s="3" t="str">
        <f t="shared" si="80"/>
        <v/>
      </c>
      <c r="K547" s="3" t="str">
        <f t="shared" si="81"/>
        <v/>
      </c>
      <c r="L547" s="3"/>
      <c r="M547" s="60" t="e">
        <f t="shared" si="82"/>
        <v>#VALUE!</v>
      </c>
      <c r="N547" s="40"/>
      <c r="O547" s="40"/>
      <c r="P547" s="40"/>
      <c r="Q547" s="40"/>
      <c r="R547" s="40"/>
      <c r="S547" s="40"/>
      <c r="T547" s="61">
        <f t="shared" si="83"/>
        <v>81.800000000000068</v>
      </c>
      <c r="U547" s="40"/>
      <c r="V547" s="40"/>
      <c r="W547" s="40"/>
      <c r="X547" s="40"/>
      <c r="Y547" s="67" t="str">
        <f t="shared" si="84"/>
        <v/>
      </c>
      <c r="AA547" s="71"/>
      <c r="AB547" s="71"/>
      <c r="AC547" s="67" t="str">
        <f t="shared" si="85"/>
        <v/>
      </c>
      <c r="AE547" s="124"/>
      <c r="AF547" s="124"/>
      <c r="AG547" s="121"/>
      <c r="AH547" s="121"/>
      <c r="AI547" s="124"/>
      <c r="AJ547" s="124"/>
    </row>
    <row r="548" spans="2:36" x14ac:dyDescent="0.25">
      <c r="B548" s="117"/>
      <c r="C548" s="7"/>
      <c r="D548" s="3">
        <f t="shared" si="78"/>
        <v>0</v>
      </c>
      <c r="E548" s="10"/>
      <c r="F548" s="40"/>
      <c r="G548" s="40"/>
      <c r="H548" s="40"/>
      <c r="I548" s="3" t="str">
        <f t="shared" si="79"/>
        <v/>
      </c>
      <c r="J548" s="3" t="str">
        <f t="shared" si="80"/>
        <v/>
      </c>
      <c r="K548" s="3" t="str">
        <f t="shared" si="81"/>
        <v/>
      </c>
      <c r="L548" s="3"/>
      <c r="M548" s="60" t="e">
        <f t="shared" si="82"/>
        <v>#VALUE!</v>
      </c>
      <c r="N548" s="40"/>
      <c r="O548" s="40"/>
      <c r="P548" s="40"/>
      <c r="Q548" s="40"/>
      <c r="R548" s="40"/>
      <c r="S548" s="40"/>
      <c r="T548" s="61">
        <f t="shared" si="83"/>
        <v>81.800000000000068</v>
      </c>
      <c r="U548" s="40"/>
      <c r="V548" s="40"/>
      <c r="W548" s="40"/>
      <c r="X548" s="40"/>
      <c r="Y548" s="67" t="str">
        <f t="shared" si="84"/>
        <v/>
      </c>
      <c r="AA548" s="71"/>
      <c r="AB548" s="71"/>
      <c r="AC548" s="67" t="str">
        <f t="shared" si="85"/>
        <v/>
      </c>
      <c r="AE548" s="124"/>
      <c r="AF548" s="124"/>
      <c r="AG548" s="121"/>
      <c r="AH548" s="121"/>
      <c r="AI548" s="124"/>
      <c r="AJ548" s="124"/>
    </row>
    <row r="549" spans="2:36" x14ac:dyDescent="0.25">
      <c r="B549" s="117"/>
      <c r="C549" s="7"/>
      <c r="D549" s="3">
        <f t="shared" si="78"/>
        <v>0</v>
      </c>
      <c r="E549" s="10"/>
      <c r="F549" s="40"/>
      <c r="G549" s="40"/>
      <c r="H549" s="40"/>
      <c r="I549" s="3" t="str">
        <f t="shared" si="79"/>
        <v/>
      </c>
      <c r="J549" s="3" t="str">
        <f t="shared" si="80"/>
        <v/>
      </c>
      <c r="K549" s="3" t="str">
        <f t="shared" si="81"/>
        <v/>
      </c>
      <c r="L549" s="3"/>
      <c r="M549" s="60" t="e">
        <f t="shared" si="82"/>
        <v>#VALUE!</v>
      </c>
      <c r="N549" s="40"/>
      <c r="O549" s="40"/>
      <c r="P549" s="40"/>
      <c r="Q549" s="40"/>
      <c r="R549" s="40"/>
      <c r="S549" s="40"/>
      <c r="T549" s="61">
        <f t="shared" si="83"/>
        <v>81.800000000000068</v>
      </c>
      <c r="U549" s="40"/>
      <c r="V549" s="40"/>
      <c r="W549" s="40"/>
      <c r="X549" s="40"/>
      <c r="Y549" s="67" t="str">
        <f t="shared" si="84"/>
        <v/>
      </c>
      <c r="AA549" s="71"/>
      <c r="AB549" s="71"/>
      <c r="AC549" s="67" t="str">
        <f t="shared" si="85"/>
        <v/>
      </c>
      <c r="AE549" s="124"/>
      <c r="AF549" s="124"/>
      <c r="AG549" s="121"/>
      <c r="AH549" s="121"/>
      <c r="AI549" s="124"/>
      <c r="AJ549" s="124"/>
    </row>
    <row r="550" spans="2:36" x14ac:dyDescent="0.25">
      <c r="B550" s="117"/>
      <c r="C550" s="7"/>
      <c r="D550" s="3">
        <f t="shared" si="78"/>
        <v>0</v>
      </c>
      <c r="E550" s="10"/>
      <c r="F550" s="40"/>
      <c r="G550" s="40"/>
      <c r="H550" s="40"/>
      <c r="I550" s="3" t="str">
        <f t="shared" si="79"/>
        <v/>
      </c>
      <c r="J550" s="3" t="str">
        <f t="shared" si="80"/>
        <v/>
      </c>
      <c r="K550" s="3" t="str">
        <f t="shared" si="81"/>
        <v/>
      </c>
      <c r="L550" s="3"/>
      <c r="M550" s="60" t="e">
        <f t="shared" si="82"/>
        <v>#VALUE!</v>
      </c>
      <c r="N550" s="40"/>
      <c r="O550" s="40"/>
      <c r="P550" s="40"/>
      <c r="Q550" s="40"/>
      <c r="R550" s="40"/>
      <c r="S550" s="40"/>
      <c r="T550" s="61">
        <f t="shared" si="83"/>
        <v>81.800000000000068</v>
      </c>
      <c r="U550" s="40"/>
      <c r="V550" s="40"/>
      <c r="W550" s="40"/>
      <c r="X550" s="40"/>
      <c r="Y550" s="67" t="str">
        <f t="shared" si="84"/>
        <v/>
      </c>
      <c r="AA550" s="71"/>
      <c r="AB550" s="71"/>
      <c r="AC550" s="67" t="str">
        <f t="shared" si="85"/>
        <v/>
      </c>
      <c r="AE550" s="124"/>
      <c r="AF550" s="124"/>
      <c r="AG550" s="121"/>
      <c r="AH550" s="121"/>
      <c r="AI550" s="124"/>
      <c r="AJ550" s="124"/>
    </row>
    <row r="551" spans="2:36" x14ac:dyDescent="0.25">
      <c r="B551" s="117"/>
      <c r="C551" s="7"/>
      <c r="D551" s="3">
        <f t="shared" si="78"/>
        <v>0</v>
      </c>
      <c r="E551" s="10"/>
      <c r="F551" s="40"/>
      <c r="G551" s="40"/>
      <c r="H551" s="40"/>
      <c r="I551" s="3" t="str">
        <f t="shared" si="79"/>
        <v/>
      </c>
      <c r="J551" s="3" t="str">
        <f t="shared" si="80"/>
        <v/>
      </c>
      <c r="K551" s="3" t="str">
        <f t="shared" si="81"/>
        <v/>
      </c>
      <c r="L551" s="3"/>
      <c r="M551" s="60" t="e">
        <f t="shared" si="82"/>
        <v>#VALUE!</v>
      </c>
      <c r="N551" s="40"/>
      <c r="O551" s="40"/>
      <c r="P551" s="40"/>
      <c r="Q551" s="40"/>
      <c r="R551" s="40"/>
      <c r="S551" s="40"/>
      <c r="T551" s="61">
        <f t="shared" si="83"/>
        <v>81.800000000000068</v>
      </c>
      <c r="U551" s="40"/>
      <c r="V551" s="40"/>
      <c r="W551" s="40"/>
      <c r="X551" s="40"/>
      <c r="Y551" s="67" t="str">
        <f t="shared" si="84"/>
        <v/>
      </c>
      <c r="AA551" s="71"/>
      <c r="AB551" s="71"/>
      <c r="AC551" s="67" t="str">
        <f t="shared" si="85"/>
        <v/>
      </c>
      <c r="AE551" s="124"/>
      <c r="AF551" s="124"/>
      <c r="AG551" s="121"/>
      <c r="AH551" s="121"/>
      <c r="AI551" s="124"/>
      <c r="AJ551" s="124"/>
    </row>
    <row r="552" spans="2:36" x14ac:dyDescent="0.25">
      <c r="B552" s="117"/>
      <c r="C552" s="7"/>
      <c r="D552" s="3">
        <f t="shared" si="78"/>
        <v>0</v>
      </c>
      <c r="E552" s="10"/>
      <c r="F552" s="40"/>
      <c r="G552" s="40"/>
      <c r="H552" s="40"/>
      <c r="I552" s="3" t="str">
        <f t="shared" si="79"/>
        <v/>
      </c>
      <c r="J552" s="3" t="str">
        <f t="shared" si="80"/>
        <v/>
      </c>
      <c r="K552" s="3" t="str">
        <f t="shared" si="81"/>
        <v/>
      </c>
      <c r="L552" s="3"/>
      <c r="M552" s="60" t="e">
        <f t="shared" si="82"/>
        <v>#VALUE!</v>
      </c>
      <c r="N552" s="40"/>
      <c r="O552" s="40"/>
      <c r="P552" s="40"/>
      <c r="Q552" s="40"/>
      <c r="R552" s="40"/>
      <c r="S552" s="40"/>
      <c r="T552" s="61">
        <f t="shared" si="83"/>
        <v>81.800000000000068</v>
      </c>
      <c r="U552" s="40"/>
      <c r="V552" s="40"/>
      <c r="W552" s="40"/>
      <c r="X552" s="40"/>
      <c r="Y552" s="67" t="str">
        <f t="shared" si="84"/>
        <v/>
      </c>
      <c r="AA552" s="71"/>
      <c r="AB552" s="71"/>
      <c r="AC552" s="67" t="str">
        <f t="shared" si="85"/>
        <v/>
      </c>
      <c r="AE552" s="124"/>
      <c r="AF552" s="124"/>
      <c r="AG552" s="121"/>
      <c r="AH552" s="121"/>
      <c r="AI552" s="124"/>
      <c r="AJ552" s="124"/>
    </row>
    <row r="553" spans="2:36" x14ac:dyDescent="0.25">
      <c r="B553" s="117"/>
      <c r="C553" s="7"/>
      <c r="D553" s="3">
        <f t="shared" si="78"/>
        <v>0</v>
      </c>
      <c r="E553" s="10"/>
      <c r="F553" s="40"/>
      <c r="G553" s="40"/>
      <c r="H553" s="40"/>
      <c r="I553" s="3" t="str">
        <f t="shared" si="79"/>
        <v/>
      </c>
      <c r="J553" s="3" t="str">
        <f t="shared" si="80"/>
        <v/>
      </c>
      <c r="K553" s="3" t="str">
        <f t="shared" si="81"/>
        <v/>
      </c>
      <c r="L553" s="3"/>
      <c r="M553" s="60" t="e">
        <f t="shared" si="82"/>
        <v>#VALUE!</v>
      </c>
      <c r="N553" s="40"/>
      <c r="O553" s="40"/>
      <c r="P553" s="40"/>
      <c r="Q553" s="40"/>
      <c r="R553" s="40"/>
      <c r="S553" s="40"/>
      <c r="T553" s="61">
        <f t="shared" si="83"/>
        <v>81.800000000000068</v>
      </c>
      <c r="U553" s="40"/>
      <c r="V553" s="40"/>
      <c r="W553" s="40"/>
      <c r="X553" s="40"/>
      <c r="Y553" s="67" t="str">
        <f t="shared" si="84"/>
        <v/>
      </c>
      <c r="AA553" s="71"/>
      <c r="AB553" s="71"/>
      <c r="AC553" s="67" t="str">
        <f t="shared" si="85"/>
        <v/>
      </c>
      <c r="AE553" s="124"/>
      <c r="AF553" s="124"/>
      <c r="AG553" s="121"/>
      <c r="AH553" s="121"/>
      <c r="AI553" s="124"/>
      <c r="AJ553" s="124"/>
    </row>
    <row r="554" spans="2:36" x14ac:dyDescent="0.25">
      <c r="B554" s="117"/>
      <c r="C554" s="7"/>
      <c r="D554" s="3">
        <f t="shared" si="78"/>
        <v>0</v>
      </c>
      <c r="E554" s="10"/>
      <c r="F554" s="40"/>
      <c r="G554" s="40"/>
      <c r="H554" s="40"/>
      <c r="I554" s="3" t="str">
        <f t="shared" si="79"/>
        <v/>
      </c>
      <c r="J554" s="3" t="str">
        <f t="shared" si="80"/>
        <v/>
      </c>
      <c r="K554" s="3" t="str">
        <f t="shared" si="81"/>
        <v/>
      </c>
      <c r="L554" s="3"/>
      <c r="M554" s="60" t="e">
        <f t="shared" si="82"/>
        <v>#VALUE!</v>
      </c>
      <c r="N554" s="40"/>
      <c r="O554" s="40"/>
      <c r="P554" s="40"/>
      <c r="Q554" s="40"/>
      <c r="R554" s="40"/>
      <c r="S554" s="40"/>
      <c r="T554" s="61">
        <f t="shared" si="83"/>
        <v>81.800000000000068</v>
      </c>
      <c r="U554" s="40"/>
      <c r="V554" s="40"/>
      <c r="W554" s="40"/>
      <c r="X554" s="40"/>
      <c r="Y554" s="67" t="str">
        <f t="shared" si="84"/>
        <v/>
      </c>
      <c r="AA554" s="71"/>
      <c r="AB554" s="71"/>
      <c r="AC554" s="67" t="str">
        <f t="shared" si="85"/>
        <v/>
      </c>
      <c r="AE554" s="124"/>
      <c r="AF554" s="124"/>
      <c r="AG554" s="121"/>
      <c r="AH554" s="121"/>
      <c r="AI554" s="124"/>
      <c r="AJ554" s="124"/>
    </row>
    <row r="555" spans="2:36" x14ac:dyDescent="0.25">
      <c r="B555" s="117"/>
      <c r="C555" s="7"/>
      <c r="D555" s="3">
        <f t="shared" si="78"/>
        <v>0</v>
      </c>
      <c r="E555" s="10"/>
      <c r="F555" s="40"/>
      <c r="G555" s="40"/>
      <c r="H555" s="40"/>
      <c r="I555" s="3" t="str">
        <f t="shared" si="79"/>
        <v/>
      </c>
      <c r="J555" s="3" t="str">
        <f t="shared" si="80"/>
        <v/>
      </c>
      <c r="K555" s="3" t="str">
        <f t="shared" si="81"/>
        <v/>
      </c>
      <c r="L555" s="3"/>
      <c r="M555" s="60" t="e">
        <f t="shared" si="82"/>
        <v>#VALUE!</v>
      </c>
      <c r="N555" s="40"/>
      <c r="O555" s="40"/>
      <c r="P555" s="40"/>
      <c r="Q555" s="40"/>
      <c r="R555" s="40"/>
      <c r="S555" s="40"/>
      <c r="T555" s="61">
        <f t="shared" si="83"/>
        <v>81.800000000000068</v>
      </c>
      <c r="U555" s="40"/>
      <c r="V555" s="40"/>
      <c r="W555" s="40"/>
      <c r="X555" s="40"/>
      <c r="Y555" s="67" t="str">
        <f t="shared" si="84"/>
        <v/>
      </c>
      <c r="AA555" s="71"/>
      <c r="AB555" s="71"/>
      <c r="AC555" s="67" t="str">
        <f t="shared" si="85"/>
        <v/>
      </c>
      <c r="AE555" s="124"/>
      <c r="AF555" s="124"/>
      <c r="AG555" s="121"/>
      <c r="AH555" s="121"/>
      <c r="AI555" s="124"/>
      <c r="AJ555" s="124"/>
    </row>
    <row r="556" spans="2:36" x14ac:dyDescent="0.25">
      <c r="B556" s="117"/>
      <c r="C556" s="7"/>
      <c r="D556" s="3">
        <f t="shared" si="78"/>
        <v>0</v>
      </c>
      <c r="E556" s="10"/>
      <c r="F556" s="40"/>
      <c r="G556" s="40"/>
      <c r="H556" s="40"/>
      <c r="I556" s="3" t="str">
        <f t="shared" si="79"/>
        <v/>
      </c>
      <c r="J556" s="3" t="str">
        <f t="shared" si="80"/>
        <v/>
      </c>
      <c r="K556" s="3" t="str">
        <f t="shared" si="81"/>
        <v/>
      </c>
      <c r="L556" s="3"/>
      <c r="M556" s="60" t="e">
        <f t="shared" si="82"/>
        <v>#VALUE!</v>
      </c>
      <c r="N556" s="40"/>
      <c r="O556" s="40"/>
      <c r="P556" s="40"/>
      <c r="Q556" s="40"/>
      <c r="R556" s="40"/>
      <c r="S556" s="40"/>
      <c r="T556" s="61">
        <f t="shared" si="83"/>
        <v>81.800000000000068</v>
      </c>
      <c r="U556" s="40"/>
      <c r="V556" s="40"/>
      <c r="W556" s="40"/>
      <c r="X556" s="40"/>
      <c r="Y556" s="67" t="str">
        <f t="shared" si="84"/>
        <v/>
      </c>
      <c r="AA556" s="71"/>
      <c r="AB556" s="71"/>
      <c r="AC556" s="67" t="str">
        <f t="shared" si="85"/>
        <v/>
      </c>
      <c r="AE556" s="124"/>
      <c r="AF556" s="124"/>
      <c r="AG556" s="121"/>
      <c r="AH556" s="121"/>
      <c r="AI556" s="124"/>
      <c r="AJ556" s="124"/>
    </row>
    <row r="557" spans="2:36" x14ac:dyDescent="0.25">
      <c r="B557" s="117"/>
      <c r="C557" s="7"/>
      <c r="D557" s="3">
        <f t="shared" si="78"/>
        <v>0</v>
      </c>
      <c r="E557" s="10"/>
      <c r="F557" s="40"/>
      <c r="G557" s="40"/>
      <c r="H557" s="40"/>
      <c r="I557" s="3" t="str">
        <f t="shared" si="79"/>
        <v/>
      </c>
      <c r="J557" s="3" t="str">
        <f t="shared" si="80"/>
        <v/>
      </c>
      <c r="K557" s="3" t="str">
        <f t="shared" si="81"/>
        <v/>
      </c>
      <c r="L557" s="3"/>
      <c r="M557" s="60" t="e">
        <f t="shared" si="82"/>
        <v>#VALUE!</v>
      </c>
      <c r="N557" s="40"/>
      <c r="O557" s="40"/>
      <c r="P557" s="40"/>
      <c r="Q557" s="40"/>
      <c r="R557" s="40"/>
      <c r="S557" s="40"/>
      <c r="T557" s="61">
        <f t="shared" si="83"/>
        <v>81.800000000000068</v>
      </c>
      <c r="U557" s="40"/>
      <c r="V557" s="40"/>
      <c r="W557" s="40"/>
      <c r="X557" s="40"/>
      <c r="Y557" s="67" t="str">
        <f t="shared" si="84"/>
        <v/>
      </c>
      <c r="AA557" s="71"/>
      <c r="AB557" s="71"/>
      <c r="AC557" s="67" t="str">
        <f t="shared" si="85"/>
        <v/>
      </c>
      <c r="AE557" s="124"/>
      <c r="AF557" s="124"/>
      <c r="AG557" s="121"/>
      <c r="AH557" s="121"/>
      <c r="AI557" s="124"/>
      <c r="AJ557" s="124"/>
    </row>
    <row r="558" spans="2:36" x14ac:dyDescent="0.25">
      <c r="B558" s="117"/>
      <c r="C558" s="7"/>
      <c r="D558" s="3">
        <f t="shared" si="78"/>
        <v>0</v>
      </c>
      <c r="E558" s="10"/>
      <c r="F558" s="40"/>
      <c r="G558" s="40"/>
      <c r="H558" s="40"/>
      <c r="I558" s="3" t="str">
        <f t="shared" si="79"/>
        <v/>
      </c>
      <c r="J558" s="3" t="str">
        <f t="shared" si="80"/>
        <v/>
      </c>
      <c r="K558" s="3" t="str">
        <f t="shared" si="81"/>
        <v/>
      </c>
      <c r="L558" s="3"/>
      <c r="M558" s="60" t="e">
        <f t="shared" si="82"/>
        <v>#VALUE!</v>
      </c>
      <c r="N558" s="40"/>
      <c r="O558" s="40"/>
      <c r="P558" s="40"/>
      <c r="Q558" s="40"/>
      <c r="R558" s="40"/>
      <c r="S558" s="40"/>
      <c r="T558" s="61">
        <f t="shared" si="83"/>
        <v>81.800000000000068</v>
      </c>
      <c r="U558" s="40"/>
      <c r="V558" s="40"/>
      <c r="W558" s="40"/>
      <c r="X558" s="40"/>
      <c r="Y558" s="67" t="str">
        <f t="shared" si="84"/>
        <v/>
      </c>
      <c r="AA558" s="71"/>
      <c r="AB558" s="71"/>
      <c r="AC558" s="67" t="str">
        <f t="shared" si="85"/>
        <v/>
      </c>
      <c r="AE558" s="124"/>
      <c r="AF558" s="124"/>
      <c r="AG558" s="121"/>
      <c r="AH558" s="121"/>
      <c r="AI558" s="124"/>
      <c r="AJ558" s="124"/>
    </row>
    <row r="559" spans="2:36" x14ac:dyDescent="0.25">
      <c r="B559" s="117"/>
      <c r="C559" s="7"/>
      <c r="D559" s="3">
        <f t="shared" si="78"/>
        <v>0</v>
      </c>
      <c r="E559" s="10"/>
      <c r="F559" s="40"/>
      <c r="G559" s="40"/>
      <c r="H559" s="40"/>
      <c r="I559" s="3" t="str">
        <f t="shared" si="79"/>
        <v/>
      </c>
      <c r="J559" s="3" t="str">
        <f t="shared" si="80"/>
        <v/>
      </c>
      <c r="K559" s="3" t="str">
        <f t="shared" si="81"/>
        <v/>
      </c>
      <c r="L559" s="3"/>
      <c r="M559" s="60" t="e">
        <f t="shared" si="82"/>
        <v>#VALUE!</v>
      </c>
      <c r="N559" s="40"/>
      <c r="O559" s="40"/>
      <c r="P559" s="40"/>
      <c r="Q559" s="40"/>
      <c r="R559" s="40"/>
      <c r="S559" s="40"/>
      <c r="T559" s="61">
        <f t="shared" si="83"/>
        <v>81.800000000000068</v>
      </c>
      <c r="U559" s="40"/>
      <c r="V559" s="40"/>
      <c r="W559" s="40"/>
      <c r="X559" s="40"/>
      <c r="Y559" s="67" t="str">
        <f t="shared" si="84"/>
        <v/>
      </c>
      <c r="AA559" s="71"/>
      <c r="AB559" s="71"/>
      <c r="AC559" s="67" t="str">
        <f t="shared" si="85"/>
        <v/>
      </c>
      <c r="AE559" s="124"/>
      <c r="AF559" s="124"/>
      <c r="AG559" s="121"/>
      <c r="AH559" s="121"/>
      <c r="AI559" s="124"/>
      <c r="AJ559" s="124"/>
    </row>
    <row r="560" spans="2:36" x14ac:dyDescent="0.25">
      <c r="B560" s="117"/>
      <c r="C560" s="7"/>
      <c r="D560" s="3">
        <f t="shared" si="78"/>
        <v>0</v>
      </c>
      <c r="E560" s="10"/>
      <c r="F560" s="40"/>
      <c r="G560" s="40"/>
      <c r="H560" s="40"/>
      <c r="I560" s="3" t="str">
        <f t="shared" si="79"/>
        <v/>
      </c>
      <c r="J560" s="3" t="str">
        <f t="shared" si="80"/>
        <v/>
      </c>
      <c r="K560" s="3" t="str">
        <f t="shared" si="81"/>
        <v/>
      </c>
      <c r="L560" s="3"/>
      <c r="M560" s="60" t="e">
        <f t="shared" si="82"/>
        <v>#VALUE!</v>
      </c>
      <c r="N560" s="40"/>
      <c r="O560" s="40"/>
      <c r="P560" s="40"/>
      <c r="Q560" s="40"/>
      <c r="R560" s="40"/>
      <c r="S560" s="40"/>
      <c r="T560" s="61">
        <f t="shared" si="83"/>
        <v>81.800000000000068</v>
      </c>
      <c r="U560" s="40"/>
      <c r="V560" s="40"/>
      <c r="W560" s="40"/>
      <c r="X560" s="40"/>
      <c r="Y560" s="67" t="str">
        <f t="shared" si="84"/>
        <v/>
      </c>
      <c r="AA560" s="71"/>
      <c r="AB560" s="71"/>
      <c r="AC560" s="67" t="str">
        <f t="shared" si="85"/>
        <v/>
      </c>
      <c r="AE560" s="124"/>
      <c r="AF560" s="124"/>
      <c r="AG560" s="121"/>
      <c r="AH560" s="121"/>
      <c r="AI560" s="124"/>
      <c r="AJ560" s="124"/>
    </row>
    <row r="561" spans="2:36" x14ac:dyDescent="0.25">
      <c r="B561" s="117"/>
      <c r="C561" s="7"/>
      <c r="D561" s="3">
        <f t="shared" si="78"/>
        <v>0</v>
      </c>
      <c r="E561" s="10"/>
      <c r="F561" s="40"/>
      <c r="G561" s="40"/>
      <c r="H561" s="40"/>
      <c r="I561" s="3" t="str">
        <f t="shared" si="79"/>
        <v/>
      </c>
      <c r="J561" s="3" t="str">
        <f t="shared" si="80"/>
        <v/>
      </c>
      <c r="K561" s="3" t="str">
        <f t="shared" si="81"/>
        <v/>
      </c>
      <c r="L561" s="3"/>
      <c r="M561" s="60" t="e">
        <f t="shared" si="82"/>
        <v>#VALUE!</v>
      </c>
      <c r="N561" s="40"/>
      <c r="O561" s="40"/>
      <c r="P561" s="40"/>
      <c r="Q561" s="40"/>
      <c r="R561" s="40"/>
      <c r="S561" s="40"/>
      <c r="T561" s="61">
        <f t="shared" si="83"/>
        <v>81.800000000000068</v>
      </c>
      <c r="U561" s="40"/>
      <c r="V561" s="40"/>
      <c r="W561" s="40"/>
      <c r="X561" s="40"/>
      <c r="Y561" s="67" t="str">
        <f t="shared" si="84"/>
        <v/>
      </c>
      <c r="AA561" s="71"/>
      <c r="AB561" s="71"/>
      <c r="AC561" s="67" t="str">
        <f t="shared" si="85"/>
        <v/>
      </c>
      <c r="AE561" s="124"/>
      <c r="AF561" s="124"/>
      <c r="AG561" s="121"/>
      <c r="AH561" s="121"/>
      <c r="AI561" s="124"/>
      <c r="AJ561" s="124"/>
    </row>
    <row r="562" spans="2:36" x14ac:dyDescent="0.25">
      <c r="B562" s="117"/>
      <c r="C562" s="7"/>
      <c r="D562" s="3">
        <f t="shared" si="78"/>
        <v>0</v>
      </c>
      <c r="E562" s="10"/>
      <c r="F562" s="40"/>
      <c r="G562" s="40"/>
      <c r="H562" s="40"/>
      <c r="I562" s="3" t="str">
        <f t="shared" si="79"/>
        <v/>
      </c>
      <c r="J562" s="3" t="str">
        <f t="shared" si="80"/>
        <v/>
      </c>
      <c r="K562" s="3" t="str">
        <f t="shared" si="81"/>
        <v/>
      </c>
      <c r="L562" s="3"/>
      <c r="M562" s="60" t="e">
        <f t="shared" si="82"/>
        <v>#VALUE!</v>
      </c>
      <c r="N562" s="40"/>
      <c r="O562" s="40"/>
      <c r="P562" s="40"/>
      <c r="Q562" s="40"/>
      <c r="R562" s="40"/>
      <c r="S562" s="40"/>
      <c r="T562" s="61">
        <f t="shared" si="83"/>
        <v>81.800000000000068</v>
      </c>
      <c r="U562" s="40"/>
      <c r="V562" s="40"/>
      <c r="W562" s="40"/>
      <c r="X562" s="40"/>
      <c r="Y562" s="67" t="str">
        <f t="shared" si="84"/>
        <v/>
      </c>
      <c r="AA562" s="71"/>
      <c r="AB562" s="71"/>
      <c r="AC562" s="67" t="str">
        <f t="shared" si="85"/>
        <v/>
      </c>
      <c r="AE562" s="124"/>
      <c r="AF562" s="124"/>
      <c r="AG562" s="121"/>
      <c r="AH562" s="121"/>
      <c r="AI562" s="124"/>
      <c r="AJ562" s="124"/>
    </row>
    <row r="563" spans="2:36" x14ac:dyDescent="0.25">
      <c r="B563" s="117"/>
      <c r="C563" s="7"/>
      <c r="D563" s="3">
        <f t="shared" si="78"/>
        <v>0</v>
      </c>
      <c r="E563" s="10"/>
      <c r="F563" s="40"/>
      <c r="G563" s="40"/>
      <c r="H563" s="40"/>
      <c r="I563" s="3" t="str">
        <f t="shared" si="79"/>
        <v/>
      </c>
      <c r="J563" s="3" t="str">
        <f t="shared" si="80"/>
        <v/>
      </c>
      <c r="K563" s="3" t="str">
        <f t="shared" si="81"/>
        <v/>
      </c>
      <c r="L563" s="3"/>
      <c r="M563" s="60" t="e">
        <f t="shared" si="82"/>
        <v>#VALUE!</v>
      </c>
      <c r="N563" s="40"/>
      <c r="O563" s="40"/>
      <c r="P563" s="40"/>
      <c r="Q563" s="40"/>
      <c r="R563" s="40"/>
      <c r="S563" s="40"/>
      <c r="T563" s="61">
        <f t="shared" si="83"/>
        <v>81.800000000000068</v>
      </c>
      <c r="U563" s="40"/>
      <c r="V563" s="40"/>
      <c r="W563" s="40"/>
      <c r="X563" s="40"/>
      <c r="Y563" s="67" t="str">
        <f t="shared" si="84"/>
        <v/>
      </c>
      <c r="AA563" s="71"/>
      <c r="AB563" s="71"/>
      <c r="AC563" s="67" t="str">
        <f t="shared" si="85"/>
        <v/>
      </c>
      <c r="AE563" s="124"/>
      <c r="AF563" s="124"/>
      <c r="AG563" s="121"/>
      <c r="AH563" s="121"/>
      <c r="AI563" s="124"/>
      <c r="AJ563" s="124"/>
    </row>
    <row r="564" spans="2:36" x14ac:dyDescent="0.25">
      <c r="B564" s="117"/>
      <c r="C564" s="7"/>
      <c r="D564" s="3">
        <f t="shared" si="78"/>
        <v>0</v>
      </c>
      <c r="E564" s="10"/>
      <c r="F564" s="40"/>
      <c r="G564" s="40"/>
      <c r="H564" s="40"/>
      <c r="I564" s="3" t="str">
        <f t="shared" si="79"/>
        <v/>
      </c>
      <c r="J564" s="3" t="str">
        <f t="shared" si="80"/>
        <v/>
      </c>
      <c r="K564" s="3" t="str">
        <f t="shared" si="81"/>
        <v/>
      </c>
      <c r="L564" s="3"/>
      <c r="M564" s="60" t="e">
        <f t="shared" si="82"/>
        <v>#VALUE!</v>
      </c>
      <c r="N564" s="40"/>
      <c r="O564" s="40"/>
      <c r="P564" s="40"/>
      <c r="Q564" s="40"/>
      <c r="R564" s="40"/>
      <c r="S564" s="40"/>
      <c r="T564" s="61">
        <f t="shared" si="83"/>
        <v>81.800000000000068</v>
      </c>
      <c r="U564" s="40"/>
      <c r="V564" s="40"/>
      <c r="W564" s="40"/>
      <c r="X564" s="40"/>
      <c r="Y564" s="67" t="str">
        <f t="shared" si="84"/>
        <v/>
      </c>
      <c r="AA564" s="71"/>
      <c r="AB564" s="71"/>
      <c r="AC564" s="67" t="str">
        <f t="shared" si="85"/>
        <v/>
      </c>
      <c r="AE564" s="124"/>
      <c r="AF564" s="124"/>
      <c r="AG564" s="121"/>
      <c r="AH564" s="121"/>
      <c r="AI564" s="124"/>
      <c r="AJ564" s="124"/>
    </row>
    <row r="565" spans="2:36" x14ac:dyDescent="0.25">
      <c r="B565" s="117"/>
      <c r="C565" s="7"/>
      <c r="D565" s="3">
        <f t="shared" si="78"/>
        <v>0</v>
      </c>
      <c r="E565" s="10"/>
      <c r="F565" s="40"/>
      <c r="G565" s="40"/>
      <c r="H565" s="40"/>
      <c r="I565" s="3" t="str">
        <f t="shared" si="79"/>
        <v/>
      </c>
      <c r="J565" s="3" t="str">
        <f t="shared" si="80"/>
        <v/>
      </c>
      <c r="K565" s="3" t="str">
        <f t="shared" si="81"/>
        <v/>
      </c>
      <c r="L565" s="3"/>
      <c r="M565" s="60" t="e">
        <f t="shared" si="82"/>
        <v>#VALUE!</v>
      </c>
      <c r="N565" s="40"/>
      <c r="O565" s="40"/>
      <c r="P565" s="40"/>
      <c r="Q565" s="40"/>
      <c r="R565" s="40"/>
      <c r="S565" s="40"/>
      <c r="T565" s="61">
        <f t="shared" si="83"/>
        <v>81.800000000000068</v>
      </c>
      <c r="U565" s="40"/>
      <c r="V565" s="40"/>
      <c r="W565" s="40"/>
      <c r="X565" s="40"/>
      <c r="Y565" s="67" t="str">
        <f t="shared" si="84"/>
        <v/>
      </c>
      <c r="AA565" s="71"/>
      <c r="AB565" s="71"/>
      <c r="AC565" s="67" t="str">
        <f t="shared" si="85"/>
        <v/>
      </c>
      <c r="AE565" s="124"/>
      <c r="AF565" s="124"/>
      <c r="AG565" s="121"/>
      <c r="AH565" s="121"/>
      <c r="AI565" s="124"/>
      <c r="AJ565" s="124"/>
    </row>
    <row r="566" spans="2:36" x14ac:dyDescent="0.25">
      <c r="B566" s="117"/>
      <c r="C566" s="7"/>
      <c r="D566" s="3">
        <f t="shared" si="78"/>
        <v>0</v>
      </c>
      <c r="E566" s="10"/>
      <c r="F566" s="40"/>
      <c r="G566" s="40"/>
      <c r="H566" s="40"/>
      <c r="I566" s="3" t="str">
        <f t="shared" si="79"/>
        <v/>
      </c>
      <c r="J566" s="3" t="str">
        <f t="shared" si="80"/>
        <v/>
      </c>
      <c r="K566" s="3" t="str">
        <f t="shared" si="81"/>
        <v/>
      </c>
      <c r="L566" s="3"/>
      <c r="M566" s="60" t="e">
        <f t="shared" si="82"/>
        <v>#VALUE!</v>
      </c>
      <c r="N566" s="40"/>
      <c r="O566" s="40"/>
      <c r="P566" s="40"/>
      <c r="Q566" s="40"/>
      <c r="R566" s="40"/>
      <c r="S566" s="40"/>
      <c r="T566" s="61">
        <f t="shared" si="83"/>
        <v>81.800000000000068</v>
      </c>
      <c r="U566" s="40"/>
      <c r="V566" s="40"/>
      <c r="W566" s="40"/>
      <c r="X566" s="40"/>
      <c r="Y566" s="67" t="str">
        <f t="shared" si="84"/>
        <v/>
      </c>
      <c r="AA566" s="71"/>
      <c r="AB566" s="71"/>
      <c r="AC566" s="67" t="str">
        <f t="shared" si="85"/>
        <v/>
      </c>
      <c r="AE566" s="124"/>
      <c r="AF566" s="124"/>
      <c r="AG566" s="121"/>
      <c r="AH566" s="121"/>
      <c r="AI566" s="124"/>
      <c r="AJ566" s="124"/>
    </row>
    <row r="567" spans="2:36" x14ac:dyDescent="0.25">
      <c r="B567" s="117"/>
      <c r="C567" s="7"/>
      <c r="D567" s="3">
        <f t="shared" si="78"/>
        <v>0</v>
      </c>
      <c r="E567" s="10"/>
      <c r="F567" s="40"/>
      <c r="G567" s="40"/>
      <c r="H567" s="40"/>
      <c r="I567" s="3" t="str">
        <f t="shared" si="79"/>
        <v/>
      </c>
      <c r="J567" s="3" t="str">
        <f t="shared" si="80"/>
        <v/>
      </c>
      <c r="K567" s="3" t="str">
        <f t="shared" si="81"/>
        <v/>
      </c>
      <c r="L567" s="3"/>
      <c r="M567" s="60" t="e">
        <f t="shared" si="82"/>
        <v>#VALUE!</v>
      </c>
      <c r="N567" s="40"/>
      <c r="O567" s="40"/>
      <c r="P567" s="40"/>
      <c r="Q567" s="40"/>
      <c r="R567" s="40"/>
      <c r="S567" s="40"/>
      <c r="T567" s="61">
        <f t="shared" si="83"/>
        <v>81.800000000000068</v>
      </c>
      <c r="U567" s="40"/>
      <c r="V567" s="40"/>
      <c r="W567" s="40"/>
      <c r="X567" s="40"/>
      <c r="Y567" s="67" t="str">
        <f t="shared" si="84"/>
        <v/>
      </c>
      <c r="AA567" s="71"/>
      <c r="AB567" s="71"/>
      <c r="AC567" s="67" t="str">
        <f t="shared" si="85"/>
        <v/>
      </c>
      <c r="AE567" s="124"/>
      <c r="AF567" s="124"/>
      <c r="AG567" s="121"/>
      <c r="AH567" s="121"/>
      <c r="AI567" s="124"/>
      <c r="AJ567" s="124"/>
    </row>
    <row r="568" spans="2:36" x14ac:dyDescent="0.25">
      <c r="B568" s="117"/>
      <c r="C568" s="7"/>
      <c r="D568" s="3">
        <f t="shared" si="78"/>
        <v>0</v>
      </c>
      <c r="E568" s="10"/>
      <c r="F568" s="40"/>
      <c r="G568" s="40"/>
      <c r="H568" s="40"/>
      <c r="I568" s="3" t="str">
        <f t="shared" si="79"/>
        <v/>
      </c>
      <c r="J568" s="3" t="str">
        <f t="shared" si="80"/>
        <v/>
      </c>
      <c r="K568" s="3" t="str">
        <f t="shared" si="81"/>
        <v/>
      </c>
      <c r="L568" s="3"/>
      <c r="M568" s="60" t="e">
        <f t="shared" si="82"/>
        <v>#VALUE!</v>
      </c>
      <c r="N568" s="40"/>
      <c r="O568" s="40"/>
      <c r="P568" s="40"/>
      <c r="Q568" s="40"/>
      <c r="R568" s="40"/>
      <c r="S568" s="40"/>
      <c r="T568" s="61">
        <f t="shared" si="83"/>
        <v>81.800000000000068</v>
      </c>
      <c r="U568" s="40"/>
      <c r="V568" s="40"/>
      <c r="W568" s="40"/>
      <c r="X568" s="40"/>
      <c r="Y568" s="67" t="str">
        <f t="shared" si="84"/>
        <v/>
      </c>
      <c r="AA568" s="71"/>
      <c r="AB568" s="71"/>
      <c r="AC568" s="67" t="str">
        <f t="shared" si="85"/>
        <v/>
      </c>
      <c r="AE568" s="124"/>
      <c r="AF568" s="124"/>
      <c r="AG568" s="121"/>
      <c r="AH568" s="121"/>
      <c r="AI568" s="124"/>
      <c r="AJ568" s="124"/>
    </row>
    <row r="569" spans="2:36" x14ac:dyDescent="0.25">
      <c r="B569" s="117"/>
      <c r="C569" s="7"/>
      <c r="D569" s="3">
        <f t="shared" si="78"/>
        <v>0</v>
      </c>
      <c r="E569" s="10"/>
      <c r="F569" s="40"/>
      <c r="G569" s="40"/>
      <c r="H569" s="40"/>
      <c r="I569" s="3" t="str">
        <f t="shared" si="79"/>
        <v/>
      </c>
      <c r="J569" s="3" t="str">
        <f t="shared" si="80"/>
        <v/>
      </c>
      <c r="K569" s="3" t="str">
        <f t="shared" si="81"/>
        <v/>
      </c>
      <c r="L569" s="3"/>
      <c r="M569" s="60" t="e">
        <f t="shared" si="82"/>
        <v>#VALUE!</v>
      </c>
      <c r="N569" s="40"/>
      <c r="O569" s="40"/>
      <c r="P569" s="40"/>
      <c r="Q569" s="40"/>
      <c r="R569" s="40"/>
      <c r="S569" s="40"/>
      <c r="T569" s="61">
        <f t="shared" si="83"/>
        <v>81.800000000000068</v>
      </c>
      <c r="U569" s="40"/>
      <c r="V569" s="40"/>
      <c r="W569" s="40"/>
      <c r="X569" s="40"/>
      <c r="Y569" s="67" t="str">
        <f t="shared" si="84"/>
        <v/>
      </c>
      <c r="AA569" s="71"/>
      <c r="AB569" s="71"/>
      <c r="AC569" s="67" t="str">
        <f t="shared" si="85"/>
        <v/>
      </c>
      <c r="AE569" s="124"/>
      <c r="AF569" s="124"/>
      <c r="AG569" s="121"/>
      <c r="AH569" s="121"/>
      <c r="AI569" s="124"/>
      <c r="AJ569" s="124"/>
    </row>
    <row r="570" spans="2:36" x14ac:dyDescent="0.25">
      <c r="B570" s="117"/>
      <c r="C570" s="7"/>
      <c r="D570" s="3">
        <f t="shared" si="78"/>
        <v>0</v>
      </c>
      <c r="E570" s="10"/>
      <c r="F570" s="40"/>
      <c r="G570" s="40"/>
      <c r="H570" s="40"/>
      <c r="I570" s="3" t="str">
        <f t="shared" si="79"/>
        <v/>
      </c>
      <c r="J570" s="3" t="str">
        <f t="shared" si="80"/>
        <v/>
      </c>
      <c r="K570" s="3" t="str">
        <f t="shared" si="81"/>
        <v/>
      </c>
      <c r="L570" s="3"/>
      <c r="M570" s="60" t="e">
        <f t="shared" si="82"/>
        <v>#VALUE!</v>
      </c>
      <c r="N570" s="40"/>
      <c r="O570" s="40"/>
      <c r="P570" s="40"/>
      <c r="Q570" s="40"/>
      <c r="R570" s="40"/>
      <c r="S570" s="40"/>
      <c r="T570" s="61">
        <f t="shared" si="83"/>
        <v>81.800000000000068</v>
      </c>
      <c r="U570" s="40"/>
      <c r="V570" s="40"/>
      <c r="W570" s="40"/>
      <c r="X570" s="40"/>
      <c r="Y570" s="67" t="str">
        <f t="shared" si="84"/>
        <v/>
      </c>
      <c r="AA570" s="71"/>
      <c r="AB570" s="71"/>
      <c r="AC570" s="67" t="str">
        <f t="shared" si="85"/>
        <v/>
      </c>
      <c r="AE570" s="124"/>
      <c r="AF570" s="124"/>
      <c r="AG570" s="121"/>
      <c r="AH570" s="121"/>
      <c r="AI570" s="124"/>
      <c r="AJ570" s="124"/>
    </row>
    <row r="571" spans="2:36" x14ac:dyDescent="0.25">
      <c r="B571" s="117"/>
      <c r="C571" s="7"/>
      <c r="D571" s="3">
        <f t="shared" si="78"/>
        <v>0</v>
      </c>
      <c r="E571" s="10"/>
      <c r="F571" s="40"/>
      <c r="G571" s="40"/>
      <c r="H571" s="40"/>
      <c r="I571" s="3" t="str">
        <f t="shared" si="79"/>
        <v/>
      </c>
      <c r="J571" s="3" t="str">
        <f t="shared" si="80"/>
        <v/>
      </c>
      <c r="K571" s="3" t="str">
        <f t="shared" si="81"/>
        <v/>
      </c>
      <c r="L571" s="3"/>
      <c r="M571" s="60" t="e">
        <f t="shared" si="82"/>
        <v>#VALUE!</v>
      </c>
      <c r="N571" s="40"/>
      <c r="O571" s="40"/>
      <c r="P571" s="40"/>
      <c r="Q571" s="40"/>
      <c r="R571" s="40"/>
      <c r="S571" s="40"/>
      <c r="T571" s="61">
        <f t="shared" si="83"/>
        <v>81.800000000000068</v>
      </c>
      <c r="U571" s="40"/>
      <c r="V571" s="40"/>
      <c r="W571" s="40"/>
      <c r="X571" s="40"/>
      <c r="Y571" s="67" t="str">
        <f t="shared" si="84"/>
        <v/>
      </c>
      <c r="AA571" s="71"/>
      <c r="AB571" s="71"/>
      <c r="AC571" s="67" t="str">
        <f t="shared" si="85"/>
        <v/>
      </c>
      <c r="AE571" s="124"/>
      <c r="AF571" s="124"/>
      <c r="AG571" s="121"/>
      <c r="AH571" s="121"/>
      <c r="AI571" s="124"/>
      <c r="AJ571" s="124"/>
    </row>
    <row r="572" spans="2:36" x14ac:dyDescent="0.25">
      <c r="B572" s="117"/>
      <c r="C572" s="7"/>
      <c r="D572" s="3">
        <f t="shared" si="78"/>
        <v>0</v>
      </c>
      <c r="E572" s="10"/>
      <c r="F572" s="40"/>
      <c r="G572" s="40"/>
      <c r="H572" s="40"/>
      <c r="I572" s="3" t="str">
        <f t="shared" si="79"/>
        <v/>
      </c>
      <c r="J572" s="3" t="str">
        <f t="shared" si="80"/>
        <v/>
      </c>
      <c r="K572" s="3" t="str">
        <f t="shared" si="81"/>
        <v/>
      </c>
      <c r="L572" s="3"/>
      <c r="M572" s="60" t="e">
        <f t="shared" si="82"/>
        <v>#VALUE!</v>
      </c>
      <c r="N572" s="40"/>
      <c r="O572" s="40"/>
      <c r="P572" s="40"/>
      <c r="Q572" s="40"/>
      <c r="R572" s="40"/>
      <c r="S572" s="40"/>
      <c r="T572" s="61">
        <f t="shared" si="83"/>
        <v>81.800000000000068</v>
      </c>
      <c r="U572" s="40"/>
      <c r="V572" s="40"/>
      <c r="W572" s="40"/>
      <c r="X572" s="40"/>
      <c r="Y572" s="67" t="str">
        <f t="shared" si="84"/>
        <v/>
      </c>
      <c r="AA572" s="71"/>
      <c r="AB572" s="71"/>
      <c r="AC572" s="67" t="str">
        <f t="shared" si="85"/>
        <v/>
      </c>
      <c r="AE572" s="124"/>
      <c r="AF572" s="124"/>
      <c r="AG572" s="121"/>
      <c r="AH572" s="121"/>
      <c r="AI572" s="124"/>
      <c r="AJ572" s="124"/>
    </row>
    <row r="573" spans="2:36" x14ac:dyDescent="0.25">
      <c r="B573" s="117"/>
      <c r="C573" s="7"/>
      <c r="D573" s="3">
        <f t="shared" si="78"/>
        <v>0</v>
      </c>
      <c r="E573" s="10"/>
      <c r="F573" s="40"/>
      <c r="G573" s="40"/>
      <c r="H573" s="40"/>
      <c r="I573" s="3" t="str">
        <f t="shared" si="79"/>
        <v/>
      </c>
      <c r="J573" s="3" t="str">
        <f t="shared" si="80"/>
        <v/>
      </c>
      <c r="K573" s="3" t="str">
        <f t="shared" si="81"/>
        <v/>
      </c>
      <c r="L573" s="3"/>
      <c r="M573" s="60" t="e">
        <f t="shared" si="82"/>
        <v>#VALUE!</v>
      </c>
      <c r="N573" s="40"/>
      <c r="O573" s="40"/>
      <c r="P573" s="40"/>
      <c r="Q573" s="40"/>
      <c r="R573" s="40"/>
      <c r="S573" s="40"/>
      <c r="T573" s="61">
        <f t="shared" si="83"/>
        <v>81.800000000000068</v>
      </c>
      <c r="U573" s="40"/>
      <c r="V573" s="40"/>
      <c r="W573" s="40"/>
      <c r="X573" s="40"/>
      <c r="Y573" s="67" t="str">
        <f t="shared" si="84"/>
        <v/>
      </c>
      <c r="AA573" s="71"/>
      <c r="AB573" s="71"/>
      <c r="AC573" s="67" t="str">
        <f t="shared" si="85"/>
        <v/>
      </c>
      <c r="AE573" s="124"/>
      <c r="AF573" s="124"/>
      <c r="AG573" s="121"/>
      <c r="AH573" s="121"/>
      <c r="AI573" s="124"/>
      <c r="AJ573" s="124"/>
    </row>
    <row r="574" spans="2:36" x14ac:dyDescent="0.25">
      <c r="B574" s="117"/>
      <c r="C574" s="7"/>
      <c r="D574" s="3">
        <f t="shared" si="78"/>
        <v>0</v>
      </c>
      <c r="E574" s="10"/>
      <c r="F574" s="40"/>
      <c r="G574" s="40"/>
      <c r="H574" s="40"/>
      <c r="I574" s="3" t="str">
        <f t="shared" si="79"/>
        <v/>
      </c>
      <c r="J574" s="3" t="str">
        <f t="shared" si="80"/>
        <v/>
      </c>
      <c r="K574" s="3" t="str">
        <f t="shared" si="81"/>
        <v/>
      </c>
      <c r="L574" s="3"/>
      <c r="M574" s="60" t="e">
        <f t="shared" si="82"/>
        <v>#VALUE!</v>
      </c>
      <c r="N574" s="40"/>
      <c r="O574" s="40"/>
      <c r="P574" s="40"/>
      <c r="Q574" s="40"/>
      <c r="R574" s="40"/>
      <c r="S574" s="40"/>
      <c r="T574" s="61">
        <f t="shared" si="83"/>
        <v>81.800000000000068</v>
      </c>
      <c r="U574" s="40"/>
      <c r="V574" s="40"/>
      <c r="W574" s="40"/>
      <c r="X574" s="40"/>
      <c r="Y574" s="67" t="str">
        <f t="shared" si="84"/>
        <v/>
      </c>
      <c r="AA574" s="71"/>
      <c r="AB574" s="71"/>
      <c r="AC574" s="67" t="str">
        <f t="shared" si="85"/>
        <v/>
      </c>
      <c r="AE574" s="124"/>
      <c r="AF574" s="124"/>
      <c r="AG574" s="121"/>
      <c r="AH574" s="121"/>
      <c r="AI574" s="124"/>
      <c r="AJ574" s="124"/>
    </row>
    <row r="575" spans="2:36" x14ac:dyDescent="0.25">
      <c r="B575" s="117"/>
      <c r="C575" s="7"/>
      <c r="D575" s="3">
        <f t="shared" si="78"/>
        <v>0</v>
      </c>
      <c r="E575" s="10"/>
      <c r="F575" s="40"/>
      <c r="G575" s="40"/>
      <c r="H575" s="40"/>
      <c r="I575" s="3" t="str">
        <f t="shared" si="79"/>
        <v/>
      </c>
      <c r="J575" s="3" t="str">
        <f t="shared" si="80"/>
        <v/>
      </c>
      <c r="K575" s="3" t="str">
        <f t="shared" si="81"/>
        <v/>
      </c>
      <c r="L575" s="3"/>
      <c r="M575" s="60" t="e">
        <f t="shared" si="82"/>
        <v>#VALUE!</v>
      </c>
      <c r="N575" s="40"/>
      <c r="O575" s="40"/>
      <c r="P575" s="40"/>
      <c r="Q575" s="40"/>
      <c r="R575" s="40"/>
      <c r="S575" s="40"/>
      <c r="T575" s="61">
        <f t="shared" si="83"/>
        <v>81.800000000000068</v>
      </c>
      <c r="U575" s="40"/>
      <c r="V575" s="40"/>
      <c r="W575" s="40"/>
      <c r="X575" s="40"/>
      <c r="Y575" s="67" t="str">
        <f t="shared" si="84"/>
        <v/>
      </c>
      <c r="AA575" s="71"/>
      <c r="AB575" s="71"/>
      <c r="AC575" s="67" t="str">
        <f t="shared" si="85"/>
        <v/>
      </c>
      <c r="AE575" s="124"/>
      <c r="AF575" s="124"/>
      <c r="AG575" s="121"/>
      <c r="AH575" s="121"/>
      <c r="AI575" s="124"/>
      <c r="AJ575" s="124"/>
    </row>
    <row r="576" spans="2:36" x14ac:dyDescent="0.25">
      <c r="B576" s="117"/>
      <c r="C576" s="7"/>
      <c r="D576" s="3">
        <f t="shared" si="78"/>
        <v>0</v>
      </c>
      <c r="E576" s="10"/>
      <c r="F576" s="40"/>
      <c r="G576" s="40"/>
      <c r="H576" s="40"/>
      <c r="I576" s="3" t="str">
        <f t="shared" si="79"/>
        <v/>
      </c>
      <c r="J576" s="3" t="str">
        <f t="shared" si="80"/>
        <v/>
      </c>
      <c r="K576" s="3" t="str">
        <f t="shared" si="81"/>
        <v/>
      </c>
      <c r="L576" s="3"/>
      <c r="M576" s="60" t="e">
        <f t="shared" si="82"/>
        <v>#VALUE!</v>
      </c>
      <c r="N576" s="40"/>
      <c r="O576" s="40"/>
      <c r="P576" s="40"/>
      <c r="Q576" s="40"/>
      <c r="R576" s="40"/>
      <c r="S576" s="40"/>
      <c r="T576" s="61">
        <f t="shared" si="83"/>
        <v>81.800000000000068</v>
      </c>
      <c r="U576" s="40"/>
      <c r="V576" s="40"/>
      <c r="W576" s="40"/>
      <c r="X576" s="40"/>
      <c r="Y576" s="67" t="str">
        <f t="shared" si="84"/>
        <v/>
      </c>
      <c r="AA576" s="71"/>
      <c r="AB576" s="71"/>
      <c r="AC576" s="67" t="str">
        <f t="shared" si="85"/>
        <v/>
      </c>
      <c r="AE576" s="124"/>
      <c r="AF576" s="124"/>
      <c r="AG576" s="121"/>
      <c r="AH576" s="121"/>
      <c r="AI576" s="124"/>
      <c r="AJ576" s="124"/>
    </row>
    <row r="577" spans="2:36" x14ac:dyDescent="0.25">
      <c r="B577" s="117"/>
      <c r="C577" s="7"/>
      <c r="D577" s="3">
        <f t="shared" si="78"/>
        <v>0</v>
      </c>
      <c r="E577" s="10"/>
      <c r="F577" s="40"/>
      <c r="G577" s="40"/>
      <c r="H577" s="40"/>
      <c r="I577" s="3" t="str">
        <f t="shared" si="79"/>
        <v/>
      </c>
      <c r="J577" s="3" t="str">
        <f t="shared" si="80"/>
        <v/>
      </c>
      <c r="K577" s="3" t="str">
        <f t="shared" si="81"/>
        <v/>
      </c>
      <c r="L577" s="3"/>
      <c r="M577" s="60" t="e">
        <f t="shared" si="82"/>
        <v>#VALUE!</v>
      </c>
      <c r="N577" s="40"/>
      <c r="O577" s="40"/>
      <c r="P577" s="40"/>
      <c r="Q577" s="40"/>
      <c r="R577" s="40"/>
      <c r="S577" s="40"/>
      <c r="T577" s="61">
        <f t="shared" si="83"/>
        <v>81.800000000000068</v>
      </c>
      <c r="U577" s="40"/>
      <c r="V577" s="40"/>
      <c r="W577" s="40"/>
      <c r="X577" s="40"/>
      <c r="Y577" s="67" t="str">
        <f t="shared" si="84"/>
        <v/>
      </c>
      <c r="AA577" s="71"/>
      <c r="AB577" s="71"/>
      <c r="AC577" s="67" t="str">
        <f t="shared" si="85"/>
        <v/>
      </c>
      <c r="AE577" s="124"/>
      <c r="AF577" s="124"/>
      <c r="AG577" s="121"/>
      <c r="AH577" s="121"/>
      <c r="AI577" s="124"/>
      <c r="AJ577" s="124"/>
    </row>
    <row r="578" spans="2:36" x14ac:dyDescent="0.25">
      <c r="B578" s="117"/>
      <c r="C578" s="7"/>
      <c r="D578" s="3">
        <f t="shared" si="78"/>
        <v>0</v>
      </c>
      <c r="E578" s="10"/>
      <c r="F578" s="40"/>
      <c r="G578" s="40"/>
      <c r="H578" s="40"/>
      <c r="I578" s="3" t="str">
        <f t="shared" si="79"/>
        <v/>
      </c>
      <c r="J578" s="3" t="str">
        <f t="shared" si="80"/>
        <v/>
      </c>
      <c r="K578" s="3" t="str">
        <f t="shared" si="81"/>
        <v/>
      </c>
      <c r="L578" s="3"/>
      <c r="M578" s="60" t="e">
        <f t="shared" si="82"/>
        <v>#VALUE!</v>
      </c>
      <c r="N578" s="40"/>
      <c r="O578" s="40"/>
      <c r="P578" s="40"/>
      <c r="Q578" s="40"/>
      <c r="R578" s="40"/>
      <c r="S578" s="40"/>
      <c r="T578" s="61">
        <f t="shared" si="83"/>
        <v>81.800000000000068</v>
      </c>
      <c r="U578" s="40"/>
      <c r="V578" s="40"/>
      <c r="W578" s="40"/>
      <c r="X578" s="40"/>
      <c r="Y578" s="67" t="str">
        <f t="shared" si="84"/>
        <v/>
      </c>
      <c r="AA578" s="71"/>
      <c r="AB578" s="71"/>
      <c r="AC578" s="67" t="str">
        <f t="shared" si="85"/>
        <v/>
      </c>
      <c r="AE578" s="124"/>
      <c r="AF578" s="124"/>
      <c r="AG578" s="121"/>
      <c r="AH578" s="121"/>
      <c r="AI578" s="124"/>
      <c r="AJ578" s="124"/>
    </row>
    <row r="579" spans="2:36" x14ac:dyDescent="0.25">
      <c r="B579" s="117"/>
      <c r="C579" s="7"/>
      <c r="D579" s="3">
        <f t="shared" si="78"/>
        <v>0</v>
      </c>
      <c r="E579" s="10"/>
      <c r="F579" s="40"/>
      <c r="G579" s="40"/>
      <c r="H579" s="40"/>
      <c r="I579" s="3" t="str">
        <f t="shared" si="79"/>
        <v/>
      </c>
      <c r="J579" s="3" t="str">
        <f t="shared" si="80"/>
        <v/>
      </c>
      <c r="K579" s="3" t="str">
        <f t="shared" si="81"/>
        <v/>
      </c>
      <c r="L579" s="3"/>
      <c r="M579" s="60" t="e">
        <f t="shared" si="82"/>
        <v>#VALUE!</v>
      </c>
      <c r="N579" s="40"/>
      <c r="O579" s="40"/>
      <c r="P579" s="40"/>
      <c r="Q579" s="40"/>
      <c r="R579" s="40"/>
      <c r="S579" s="40"/>
      <c r="T579" s="61">
        <f t="shared" si="83"/>
        <v>81.800000000000068</v>
      </c>
      <c r="U579" s="40"/>
      <c r="V579" s="40"/>
      <c r="W579" s="40"/>
      <c r="X579" s="40"/>
      <c r="Y579" s="67" t="str">
        <f t="shared" si="84"/>
        <v/>
      </c>
      <c r="AA579" s="71"/>
      <c r="AB579" s="71"/>
      <c r="AC579" s="67" t="str">
        <f t="shared" si="85"/>
        <v/>
      </c>
      <c r="AE579" s="124"/>
      <c r="AF579" s="124"/>
      <c r="AG579" s="121"/>
      <c r="AH579" s="121"/>
      <c r="AI579" s="124"/>
      <c r="AJ579" s="124"/>
    </row>
    <row r="580" spans="2:36" x14ac:dyDescent="0.25">
      <c r="B580" s="117"/>
      <c r="C580" s="7"/>
      <c r="D580" s="3">
        <f t="shared" si="78"/>
        <v>0</v>
      </c>
      <c r="E580" s="10"/>
      <c r="F580" s="40"/>
      <c r="G580" s="40"/>
      <c r="H580" s="40"/>
      <c r="I580" s="3" t="str">
        <f t="shared" si="79"/>
        <v/>
      </c>
      <c r="J580" s="3" t="str">
        <f t="shared" si="80"/>
        <v/>
      </c>
      <c r="K580" s="3" t="str">
        <f t="shared" si="81"/>
        <v/>
      </c>
      <c r="L580" s="3"/>
      <c r="M580" s="60" t="e">
        <f t="shared" si="82"/>
        <v>#VALUE!</v>
      </c>
      <c r="N580" s="40"/>
      <c r="O580" s="40"/>
      <c r="P580" s="40"/>
      <c r="Q580" s="40"/>
      <c r="R580" s="40"/>
      <c r="S580" s="40"/>
      <c r="T580" s="61">
        <f t="shared" si="83"/>
        <v>81.800000000000068</v>
      </c>
      <c r="U580" s="40"/>
      <c r="V580" s="40"/>
      <c r="W580" s="40"/>
      <c r="X580" s="40"/>
      <c r="Y580" s="67" t="str">
        <f t="shared" si="84"/>
        <v/>
      </c>
      <c r="AA580" s="71"/>
      <c r="AB580" s="71"/>
      <c r="AC580" s="67" t="str">
        <f t="shared" si="85"/>
        <v/>
      </c>
      <c r="AE580" s="124"/>
      <c r="AF580" s="124"/>
      <c r="AG580" s="121"/>
      <c r="AH580" s="121"/>
      <c r="AI580" s="124"/>
      <c r="AJ580" s="124"/>
    </row>
    <row r="581" spans="2:36" x14ac:dyDescent="0.25">
      <c r="B581" s="117"/>
      <c r="C581" s="7"/>
      <c r="D581" s="3">
        <f t="shared" si="78"/>
        <v>0</v>
      </c>
      <c r="E581" s="10"/>
      <c r="F581" s="40"/>
      <c r="G581" s="40"/>
      <c r="H581" s="40"/>
      <c r="I581" s="3" t="str">
        <f t="shared" si="79"/>
        <v/>
      </c>
      <c r="J581" s="3" t="str">
        <f t="shared" si="80"/>
        <v/>
      </c>
      <c r="K581" s="3" t="str">
        <f t="shared" si="81"/>
        <v/>
      </c>
      <c r="L581" s="3"/>
      <c r="M581" s="60" t="e">
        <f t="shared" si="82"/>
        <v>#VALUE!</v>
      </c>
      <c r="N581" s="40"/>
      <c r="O581" s="40"/>
      <c r="P581" s="40"/>
      <c r="Q581" s="40"/>
      <c r="R581" s="40"/>
      <c r="S581" s="40"/>
      <c r="T581" s="61">
        <f t="shared" si="83"/>
        <v>81.800000000000068</v>
      </c>
      <c r="U581" s="40"/>
      <c r="V581" s="40"/>
      <c r="W581" s="40"/>
      <c r="X581" s="40"/>
      <c r="Y581" s="67" t="str">
        <f t="shared" si="84"/>
        <v/>
      </c>
      <c r="AA581" s="71"/>
      <c r="AB581" s="71"/>
      <c r="AC581" s="67" t="str">
        <f t="shared" si="85"/>
        <v/>
      </c>
      <c r="AE581" s="124"/>
      <c r="AF581" s="124"/>
      <c r="AG581" s="121"/>
      <c r="AH581" s="121"/>
      <c r="AI581" s="124"/>
      <c r="AJ581" s="124"/>
    </row>
    <row r="582" spans="2:36" x14ac:dyDescent="0.25">
      <c r="B582" s="117"/>
      <c r="C582" s="7"/>
      <c r="D582" s="3">
        <f t="shared" si="78"/>
        <v>0</v>
      </c>
      <c r="E582" s="10"/>
      <c r="F582" s="40"/>
      <c r="G582" s="40"/>
      <c r="H582" s="40"/>
      <c r="I582" s="3" t="str">
        <f t="shared" si="79"/>
        <v/>
      </c>
      <c r="J582" s="3" t="str">
        <f t="shared" si="80"/>
        <v/>
      </c>
      <c r="K582" s="3" t="str">
        <f t="shared" si="81"/>
        <v/>
      </c>
      <c r="L582" s="3"/>
      <c r="M582" s="60" t="e">
        <f t="shared" si="82"/>
        <v>#VALUE!</v>
      </c>
      <c r="N582" s="40"/>
      <c r="O582" s="40"/>
      <c r="P582" s="40"/>
      <c r="Q582" s="40"/>
      <c r="R582" s="40"/>
      <c r="S582" s="40"/>
      <c r="T582" s="61">
        <f t="shared" si="83"/>
        <v>81.800000000000068</v>
      </c>
      <c r="U582" s="40"/>
      <c r="V582" s="40"/>
      <c r="W582" s="40"/>
      <c r="X582" s="40"/>
      <c r="Y582" s="67" t="str">
        <f t="shared" si="84"/>
        <v/>
      </c>
      <c r="AA582" s="71"/>
      <c r="AB582" s="71"/>
      <c r="AC582" s="67" t="str">
        <f t="shared" si="85"/>
        <v/>
      </c>
      <c r="AE582" s="124"/>
      <c r="AF582" s="124"/>
      <c r="AG582" s="121"/>
      <c r="AH582" s="121"/>
      <c r="AI582" s="124"/>
      <c r="AJ582" s="124"/>
    </row>
    <row r="583" spans="2:36" x14ac:dyDescent="0.25">
      <c r="B583" s="117"/>
      <c r="C583" s="7"/>
      <c r="D583" s="3">
        <f t="shared" si="78"/>
        <v>0</v>
      </c>
      <c r="E583" s="10"/>
      <c r="F583" s="40"/>
      <c r="G583" s="40"/>
      <c r="H583" s="40"/>
      <c r="I583" s="3" t="str">
        <f t="shared" si="79"/>
        <v/>
      </c>
      <c r="J583" s="3" t="str">
        <f t="shared" si="80"/>
        <v/>
      </c>
      <c r="K583" s="3" t="str">
        <f t="shared" si="81"/>
        <v/>
      </c>
      <c r="L583" s="3"/>
      <c r="M583" s="60" t="e">
        <f t="shared" si="82"/>
        <v>#VALUE!</v>
      </c>
      <c r="N583" s="40"/>
      <c r="O583" s="40"/>
      <c r="P583" s="40"/>
      <c r="Q583" s="40"/>
      <c r="R583" s="40"/>
      <c r="S583" s="40"/>
      <c r="T583" s="61">
        <f t="shared" si="83"/>
        <v>81.800000000000068</v>
      </c>
      <c r="U583" s="40"/>
      <c r="V583" s="40"/>
      <c r="W583" s="40"/>
      <c r="X583" s="40"/>
      <c r="Y583" s="67" t="str">
        <f t="shared" si="84"/>
        <v/>
      </c>
      <c r="AA583" s="71"/>
      <c r="AB583" s="71"/>
      <c r="AC583" s="67" t="str">
        <f t="shared" si="85"/>
        <v/>
      </c>
      <c r="AE583" s="124"/>
      <c r="AF583" s="124"/>
      <c r="AG583" s="121"/>
      <c r="AH583" s="121"/>
      <c r="AI583" s="124"/>
      <c r="AJ583" s="124"/>
    </row>
    <row r="584" spans="2:36" x14ac:dyDescent="0.25">
      <c r="B584" s="117"/>
      <c r="C584" s="7"/>
      <c r="D584" s="3">
        <f t="shared" si="78"/>
        <v>0</v>
      </c>
      <c r="E584" s="10"/>
      <c r="F584" s="40"/>
      <c r="G584" s="40"/>
      <c r="H584" s="40"/>
      <c r="I584" s="3" t="str">
        <f t="shared" si="79"/>
        <v/>
      </c>
      <c r="J584" s="3" t="str">
        <f t="shared" si="80"/>
        <v/>
      </c>
      <c r="K584" s="3" t="str">
        <f t="shared" si="81"/>
        <v/>
      </c>
      <c r="L584" s="3"/>
      <c r="M584" s="60" t="e">
        <f t="shared" si="82"/>
        <v>#VALUE!</v>
      </c>
      <c r="N584" s="40"/>
      <c r="O584" s="40"/>
      <c r="P584" s="40"/>
      <c r="Q584" s="40"/>
      <c r="R584" s="40"/>
      <c r="S584" s="40"/>
      <c r="T584" s="61">
        <f t="shared" si="83"/>
        <v>81.800000000000068</v>
      </c>
      <c r="U584" s="40"/>
      <c r="V584" s="40"/>
      <c r="W584" s="40"/>
      <c r="X584" s="40"/>
      <c r="Y584" s="67" t="str">
        <f t="shared" si="84"/>
        <v/>
      </c>
      <c r="AA584" s="71"/>
      <c r="AB584" s="71"/>
      <c r="AC584" s="67" t="str">
        <f t="shared" si="85"/>
        <v/>
      </c>
      <c r="AE584" s="124"/>
      <c r="AF584" s="124"/>
      <c r="AG584" s="121"/>
      <c r="AH584" s="121"/>
      <c r="AI584" s="124"/>
      <c r="AJ584" s="124"/>
    </row>
    <row r="585" spans="2:36" x14ac:dyDescent="0.25">
      <c r="B585" s="117"/>
      <c r="C585" s="7"/>
      <c r="D585" s="3">
        <f t="shared" si="78"/>
        <v>0</v>
      </c>
      <c r="E585" s="10"/>
      <c r="F585" s="40"/>
      <c r="G585" s="40"/>
      <c r="H585" s="40"/>
      <c r="I585" s="3" t="str">
        <f t="shared" si="79"/>
        <v/>
      </c>
      <c r="J585" s="3" t="str">
        <f t="shared" si="80"/>
        <v/>
      </c>
      <c r="K585" s="3" t="str">
        <f t="shared" si="81"/>
        <v/>
      </c>
      <c r="L585" s="3"/>
      <c r="M585" s="60" t="e">
        <f t="shared" si="82"/>
        <v>#VALUE!</v>
      </c>
      <c r="N585" s="40"/>
      <c r="O585" s="40"/>
      <c r="P585" s="40"/>
      <c r="Q585" s="40"/>
      <c r="R585" s="40"/>
      <c r="S585" s="40"/>
      <c r="T585" s="61">
        <f t="shared" si="83"/>
        <v>81.800000000000068</v>
      </c>
      <c r="U585" s="40"/>
      <c r="V585" s="40"/>
      <c r="W585" s="40"/>
      <c r="X585" s="40"/>
      <c r="Y585" s="67" t="str">
        <f t="shared" si="84"/>
        <v/>
      </c>
      <c r="AA585" s="71"/>
      <c r="AB585" s="71"/>
      <c r="AC585" s="67" t="str">
        <f t="shared" si="85"/>
        <v/>
      </c>
      <c r="AE585" s="124"/>
      <c r="AF585" s="124"/>
      <c r="AG585" s="121"/>
      <c r="AH585" s="121"/>
      <c r="AI585" s="124"/>
      <c r="AJ585" s="124"/>
    </row>
    <row r="586" spans="2:36" x14ac:dyDescent="0.25">
      <c r="B586" s="117"/>
      <c r="C586" s="7"/>
      <c r="D586" s="3">
        <f t="shared" si="78"/>
        <v>0</v>
      </c>
      <c r="E586" s="10"/>
      <c r="F586" s="40"/>
      <c r="G586" s="40"/>
      <c r="H586" s="40"/>
      <c r="I586" s="3" t="str">
        <f t="shared" si="79"/>
        <v/>
      </c>
      <c r="J586" s="3" t="str">
        <f t="shared" si="80"/>
        <v/>
      </c>
      <c r="K586" s="3" t="str">
        <f t="shared" si="81"/>
        <v/>
      </c>
      <c r="L586" s="3"/>
      <c r="M586" s="60" t="e">
        <f t="shared" si="82"/>
        <v>#VALUE!</v>
      </c>
      <c r="N586" s="40"/>
      <c r="O586" s="40"/>
      <c r="P586" s="40"/>
      <c r="Q586" s="40"/>
      <c r="R586" s="40"/>
      <c r="S586" s="40"/>
      <c r="T586" s="61">
        <f t="shared" si="83"/>
        <v>81.800000000000068</v>
      </c>
      <c r="U586" s="40"/>
      <c r="V586" s="40"/>
      <c r="W586" s="40"/>
      <c r="X586" s="40"/>
      <c r="Y586" s="67" t="str">
        <f t="shared" si="84"/>
        <v/>
      </c>
      <c r="AA586" s="71"/>
      <c r="AB586" s="71"/>
      <c r="AC586" s="67" t="str">
        <f t="shared" si="85"/>
        <v/>
      </c>
      <c r="AE586" s="124"/>
      <c r="AF586" s="124"/>
      <c r="AG586" s="121"/>
      <c r="AH586" s="121"/>
      <c r="AI586" s="124"/>
      <c r="AJ586" s="124"/>
    </row>
    <row r="587" spans="2:36" x14ac:dyDescent="0.25">
      <c r="B587" s="117"/>
      <c r="C587" s="7"/>
      <c r="D587" s="3">
        <f t="shared" si="78"/>
        <v>0</v>
      </c>
      <c r="E587" s="10"/>
      <c r="F587" s="40"/>
      <c r="G587" s="40"/>
      <c r="H587" s="40"/>
      <c r="I587" s="3" t="str">
        <f t="shared" si="79"/>
        <v/>
      </c>
      <c r="J587" s="3" t="str">
        <f t="shared" si="80"/>
        <v/>
      </c>
      <c r="K587" s="3" t="str">
        <f t="shared" si="81"/>
        <v/>
      </c>
      <c r="L587" s="3"/>
      <c r="M587" s="60" t="e">
        <f t="shared" si="82"/>
        <v>#VALUE!</v>
      </c>
      <c r="N587" s="40"/>
      <c r="O587" s="40"/>
      <c r="P587" s="40"/>
      <c r="Q587" s="40"/>
      <c r="R587" s="40"/>
      <c r="S587" s="40"/>
      <c r="T587" s="61">
        <f t="shared" si="83"/>
        <v>81.800000000000068</v>
      </c>
      <c r="U587" s="40"/>
      <c r="V587" s="40"/>
      <c r="W587" s="40"/>
      <c r="X587" s="40"/>
      <c r="Y587" s="67" t="str">
        <f t="shared" si="84"/>
        <v/>
      </c>
      <c r="AA587" s="71"/>
      <c r="AB587" s="71"/>
      <c r="AC587" s="67" t="str">
        <f t="shared" si="85"/>
        <v/>
      </c>
      <c r="AE587" s="124"/>
      <c r="AF587" s="124"/>
      <c r="AG587" s="121"/>
      <c r="AH587" s="121"/>
      <c r="AI587" s="124"/>
      <c r="AJ587" s="124"/>
    </row>
    <row r="588" spans="2:36" x14ac:dyDescent="0.25">
      <c r="B588" s="117"/>
      <c r="C588" s="7"/>
      <c r="D588" s="3">
        <f t="shared" si="78"/>
        <v>0</v>
      </c>
      <c r="E588" s="10"/>
      <c r="F588" s="40"/>
      <c r="G588" s="40"/>
      <c r="H588" s="40"/>
      <c r="I588" s="3" t="str">
        <f t="shared" si="79"/>
        <v/>
      </c>
      <c r="J588" s="3" t="str">
        <f t="shared" si="80"/>
        <v/>
      </c>
      <c r="K588" s="3" t="str">
        <f t="shared" si="81"/>
        <v/>
      </c>
      <c r="L588" s="3"/>
      <c r="M588" s="60" t="e">
        <f t="shared" si="82"/>
        <v>#VALUE!</v>
      </c>
      <c r="N588" s="40"/>
      <c r="O588" s="40"/>
      <c r="P588" s="40"/>
      <c r="Q588" s="40"/>
      <c r="R588" s="40"/>
      <c r="S588" s="40"/>
      <c r="T588" s="61">
        <f t="shared" si="83"/>
        <v>81.800000000000068</v>
      </c>
      <c r="U588" s="40"/>
      <c r="V588" s="40"/>
      <c r="W588" s="40"/>
      <c r="X588" s="40"/>
      <c r="Y588" s="67" t="str">
        <f t="shared" si="84"/>
        <v/>
      </c>
      <c r="AA588" s="71"/>
      <c r="AB588" s="71"/>
      <c r="AC588" s="67" t="str">
        <f t="shared" si="85"/>
        <v/>
      </c>
      <c r="AE588" s="124"/>
      <c r="AF588" s="124"/>
      <c r="AG588" s="121"/>
      <c r="AH588" s="121"/>
      <c r="AI588" s="124"/>
      <c r="AJ588" s="124"/>
    </row>
    <row r="589" spans="2:36" x14ac:dyDescent="0.25">
      <c r="B589" s="117"/>
      <c r="C589" s="7"/>
      <c r="D589" s="3">
        <f t="shared" si="78"/>
        <v>0</v>
      </c>
      <c r="E589" s="10"/>
      <c r="F589" s="40"/>
      <c r="G589" s="40"/>
      <c r="H589" s="40"/>
      <c r="I589" s="3" t="str">
        <f t="shared" si="79"/>
        <v/>
      </c>
      <c r="J589" s="3" t="str">
        <f t="shared" si="80"/>
        <v/>
      </c>
      <c r="K589" s="3" t="str">
        <f t="shared" si="81"/>
        <v/>
      </c>
      <c r="L589" s="3"/>
      <c r="M589" s="60" t="e">
        <f t="shared" si="82"/>
        <v>#VALUE!</v>
      </c>
      <c r="N589" s="40"/>
      <c r="O589" s="40"/>
      <c r="P589" s="40"/>
      <c r="Q589" s="40"/>
      <c r="R589" s="40"/>
      <c r="S589" s="40"/>
      <c r="T589" s="61">
        <f t="shared" si="83"/>
        <v>81.800000000000068</v>
      </c>
      <c r="U589" s="40"/>
      <c r="V589" s="40"/>
      <c r="W589" s="40"/>
      <c r="X589" s="40"/>
      <c r="Y589" s="67" t="str">
        <f t="shared" si="84"/>
        <v/>
      </c>
      <c r="AA589" s="71"/>
      <c r="AB589" s="71"/>
      <c r="AC589" s="67" t="str">
        <f t="shared" si="85"/>
        <v/>
      </c>
      <c r="AE589" s="124"/>
      <c r="AF589" s="124"/>
      <c r="AG589" s="121"/>
      <c r="AH589" s="121"/>
      <c r="AI589" s="124"/>
      <c r="AJ589" s="124"/>
    </row>
    <row r="590" spans="2:36" x14ac:dyDescent="0.25">
      <c r="B590" s="117"/>
      <c r="C590" s="7"/>
      <c r="D590" s="3">
        <f t="shared" si="78"/>
        <v>0</v>
      </c>
      <c r="E590" s="10"/>
      <c r="F590" s="40"/>
      <c r="G590" s="40"/>
      <c r="H590" s="40"/>
      <c r="I590" s="3" t="str">
        <f t="shared" si="79"/>
        <v/>
      </c>
      <c r="J590" s="3" t="str">
        <f t="shared" si="80"/>
        <v/>
      </c>
      <c r="K590" s="3" t="str">
        <f t="shared" si="81"/>
        <v/>
      </c>
      <c r="L590" s="3"/>
      <c r="M590" s="60" t="e">
        <f t="shared" si="82"/>
        <v>#VALUE!</v>
      </c>
      <c r="N590" s="40"/>
      <c r="O590" s="40"/>
      <c r="P590" s="40"/>
      <c r="Q590" s="40"/>
      <c r="R590" s="40"/>
      <c r="S590" s="40"/>
      <c r="T590" s="61">
        <f t="shared" si="83"/>
        <v>81.800000000000068</v>
      </c>
      <c r="U590" s="40"/>
      <c r="V590" s="40"/>
      <c r="W590" s="40"/>
      <c r="X590" s="40"/>
      <c r="Y590" s="67" t="str">
        <f t="shared" si="84"/>
        <v/>
      </c>
      <c r="AA590" s="71"/>
      <c r="AB590" s="71"/>
      <c r="AC590" s="67" t="str">
        <f t="shared" si="85"/>
        <v/>
      </c>
      <c r="AE590" s="124"/>
      <c r="AF590" s="124"/>
      <c r="AG590" s="121"/>
      <c r="AH590" s="121"/>
      <c r="AI590" s="124"/>
      <c r="AJ590" s="124"/>
    </row>
    <row r="591" spans="2:36" x14ac:dyDescent="0.25">
      <c r="B591" s="117"/>
      <c r="C591" s="7"/>
      <c r="D591" s="3">
        <f t="shared" si="78"/>
        <v>0</v>
      </c>
      <c r="E591" s="10"/>
      <c r="F591" s="40"/>
      <c r="G591" s="40"/>
      <c r="H591" s="40"/>
      <c r="I591" s="3" t="str">
        <f t="shared" si="79"/>
        <v/>
      </c>
      <c r="J591" s="3" t="str">
        <f t="shared" si="80"/>
        <v/>
      </c>
      <c r="K591" s="3" t="str">
        <f t="shared" si="81"/>
        <v/>
      </c>
      <c r="L591" s="3"/>
      <c r="M591" s="60" t="e">
        <f t="shared" si="82"/>
        <v>#VALUE!</v>
      </c>
      <c r="N591" s="40"/>
      <c r="O591" s="40"/>
      <c r="P591" s="40"/>
      <c r="Q591" s="40"/>
      <c r="R591" s="40"/>
      <c r="S591" s="40"/>
      <c r="T591" s="61">
        <f t="shared" si="83"/>
        <v>81.800000000000068</v>
      </c>
      <c r="U591" s="40"/>
      <c r="V591" s="40"/>
      <c r="W591" s="40"/>
      <c r="X591" s="40"/>
      <c r="Y591" s="67" t="str">
        <f t="shared" si="84"/>
        <v/>
      </c>
      <c r="AA591" s="71"/>
      <c r="AB591" s="71"/>
      <c r="AC591" s="67" t="str">
        <f t="shared" si="85"/>
        <v/>
      </c>
      <c r="AE591" s="124"/>
      <c r="AF591" s="124"/>
      <c r="AG591" s="121"/>
      <c r="AH591" s="121"/>
      <c r="AI591" s="124"/>
      <c r="AJ591" s="124"/>
    </row>
    <row r="592" spans="2:36" x14ac:dyDescent="0.25">
      <c r="B592" s="117"/>
      <c r="C592" s="7"/>
      <c r="D592" s="3">
        <f t="shared" si="78"/>
        <v>0</v>
      </c>
      <c r="E592" s="10"/>
      <c r="F592" s="40"/>
      <c r="G592" s="40"/>
      <c r="H592" s="40"/>
      <c r="I592" s="3" t="str">
        <f t="shared" si="79"/>
        <v/>
      </c>
      <c r="J592" s="3" t="str">
        <f t="shared" si="80"/>
        <v/>
      </c>
      <c r="K592" s="3" t="str">
        <f t="shared" si="81"/>
        <v/>
      </c>
      <c r="L592" s="3"/>
      <c r="M592" s="60" t="e">
        <f t="shared" si="82"/>
        <v>#VALUE!</v>
      </c>
      <c r="N592" s="40"/>
      <c r="O592" s="40"/>
      <c r="P592" s="40"/>
      <c r="Q592" s="40"/>
      <c r="R592" s="40"/>
      <c r="S592" s="40"/>
      <c r="T592" s="61">
        <f t="shared" si="83"/>
        <v>81.800000000000068</v>
      </c>
      <c r="U592" s="40"/>
      <c r="V592" s="40"/>
      <c r="W592" s="40"/>
      <c r="X592" s="40"/>
      <c r="Y592" s="67" t="str">
        <f t="shared" si="84"/>
        <v/>
      </c>
      <c r="AA592" s="71"/>
      <c r="AB592" s="71"/>
      <c r="AC592" s="67" t="str">
        <f t="shared" si="85"/>
        <v/>
      </c>
      <c r="AE592" s="124"/>
      <c r="AF592" s="124"/>
      <c r="AG592" s="121"/>
      <c r="AH592" s="121"/>
      <c r="AI592" s="124"/>
      <c r="AJ592" s="124"/>
    </row>
    <row r="593" spans="2:36" x14ac:dyDescent="0.25">
      <c r="B593" s="117"/>
      <c r="C593" s="7"/>
      <c r="D593" s="3">
        <f t="shared" si="78"/>
        <v>0</v>
      </c>
      <c r="E593" s="10"/>
      <c r="F593" s="40"/>
      <c r="G593" s="40"/>
      <c r="H593" s="40"/>
      <c r="I593" s="3" t="str">
        <f t="shared" si="79"/>
        <v/>
      </c>
      <c r="J593" s="3" t="str">
        <f t="shared" si="80"/>
        <v/>
      </c>
      <c r="K593" s="3" t="str">
        <f t="shared" si="81"/>
        <v/>
      </c>
      <c r="L593" s="3"/>
      <c r="M593" s="60" t="e">
        <f t="shared" si="82"/>
        <v>#VALUE!</v>
      </c>
      <c r="N593" s="40"/>
      <c r="O593" s="40"/>
      <c r="P593" s="40"/>
      <c r="Q593" s="40"/>
      <c r="R593" s="40"/>
      <c r="S593" s="40"/>
      <c r="T593" s="61">
        <f t="shared" si="83"/>
        <v>81.800000000000068</v>
      </c>
      <c r="U593" s="40"/>
      <c r="V593" s="40"/>
      <c r="W593" s="40"/>
      <c r="X593" s="40"/>
      <c r="Y593" s="67" t="str">
        <f t="shared" si="84"/>
        <v/>
      </c>
      <c r="AA593" s="71"/>
      <c r="AB593" s="71"/>
      <c r="AC593" s="67" t="str">
        <f t="shared" si="85"/>
        <v/>
      </c>
      <c r="AE593" s="124"/>
      <c r="AF593" s="124"/>
      <c r="AG593" s="121"/>
      <c r="AH593" s="121"/>
      <c r="AI593" s="124"/>
      <c r="AJ593" s="124"/>
    </row>
    <row r="594" spans="2:36" x14ac:dyDescent="0.25">
      <c r="B594" s="117"/>
      <c r="C594" s="7"/>
      <c r="D594" s="3">
        <f t="shared" si="78"/>
        <v>0</v>
      </c>
      <c r="E594" s="10"/>
      <c r="F594" s="40"/>
      <c r="G594" s="40"/>
      <c r="H594" s="40"/>
      <c r="I594" s="3" t="str">
        <f t="shared" si="79"/>
        <v/>
      </c>
      <c r="J594" s="3" t="str">
        <f t="shared" si="80"/>
        <v/>
      </c>
      <c r="K594" s="3" t="str">
        <f t="shared" si="81"/>
        <v/>
      </c>
      <c r="L594" s="3"/>
      <c r="M594" s="60" t="e">
        <f t="shared" si="82"/>
        <v>#VALUE!</v>
      </c>
      <c r="N594" s="40"/>
      <c r="O594" s="40"/>
      <c r="P594" s="40"/>
      <c r="Q594" s="40"/>
      <c r="R594" s="40"/>
      <c r="S594" s="40"/>
      <c r="T594" s="61">
        <f t="shared" si="83"/>
        <v>81.800000000000068</v>
      </c>
      <c r="U594" s="40"/>
      <c r="V594" s="40"/>
      <c r="W594" s="40"/>
      <c r="X594" s="40"/>
      <c r="Y594" s="67" t="str">
        <f t="shared" si="84"/>
        <v/>
      </c>
      <c r="AA594" s="71"/>
      <c r="AB594" s="71"/>
      <c r="AC594" s="67" t="str">
        <f t="shared" si="85"/>
        <v/>
      </c>
      <c r="AE594" s="124"/>
      <c r="AF594" s="124"/>
      <c r="AG594" s="121"/>
      <c r="AH594" s="121"/>
      <c r="AI594" s="124"/>
      <c r="AJ594" s="124"/>
    </row>
    <row r="595" spans="2:36" x14ac:dyDescent="0.25">
      <c r="B595" s="117"/>
      <c r="C595" s="7"/>
      <c r="D595" s="3">
        <f t="shared" si="78"/>
        <v>0</v>
      </c>
      <c r="E595" s="10"/>
      <c r="F595" s="40"/>
      <c r="G595" s="40"/>
      <c r="H595" s="40"/>
      <c r="I595" s="3" t="str">
        <f t="shared" si="79"/>
        <v/>
      </c>
      <c r="J595" s="3" t="str">
        <f t="shared" si="80"/>
        <v/>
      </c>
      <c r="K595" s="3" t="str">
        <f t="shared" si="81"/>
        <v/>
      </c>
      <c r="L595" s="3"/>
      <c r="M595" s="60" t="e">
        <f t="shared" si="82"/>
        <v>#VALUE!</v>
      </c>
      <c r="N595" s="40"/>
      <c r="O595" s="40"/>
      <c r="P595" s="40"/>
      <c r="Q595" s="40"/>
      <c r="R595" s="40"/>
      <c r="S595" s="40"/>
      <c r="T595" s="61">
        <f t="shared" si="83"/>
        <v>81.800000000000068</v>
      </c>
      <c r="U595" s="40"/>
      <c r="V595" s="40"/>
      <c r="W595" s="40"/>
      <c r="X595" s="40"/>
      <c r="Y595" s="67" t="str">
        <f t="shared" si="84"/>
        <v/>
      </c>
      <c r="AA595" s="71"/>
      <c r="AB595" s="71"/>
      <c r="AC595" s="67" t="str">
        <f t="shared" si="85"/>
        <v/>
      </c>
      <c r="AE595" s="124"/>
      <c r="AF595" s="124"/>
      <c r="AG595" s="121"/>
      <c r="AH595" s="121"/>
      <c r="AI595" s="124"/>
      <c r="AJ595" s="124"/>
    </row>
    <row r="596" spans="2:36" x14ac:dyDescent="0.25">
      <c r="B596" s="117"/>
      <c r="C596" s="7"/>
      <c r="D596" s="3">
        <f t="shared" si="78"/>
        <v>0</v>
      </c>
      <c r="E596" s="10"/>
      <c r="F596" s="40"/>
      <c r="G596" s="40"/>
      <c r="H596" s="40"/>
      <c r="I596" s="3" t="str">
        <f t="shared" si="79"/>
        <v/>
      </c>
      <c r="J596" s="3" t="str">
        <f t="shared" si="80"/>
        <v/>
      </c>
      <c r="K596" s="3" t="str">
        <f t="shared" si="81"/>
        <v/>
      </c>
      <c r="L596" s="3"/>
      <c r="M596" s="60" t="e">
        <f t="shared" si="82"/>
        <v>#VALUE!</v>
      </c>
      <c r="N596" s="40"/>
      <c r="O596" s="40"/>
      <c r="P596" s="40"/>
      <c r="Q596" s="40"/>
      <c r="R596" s="40"/>
      <c r="S596" s="40"/>
      <c r="T596" s="61">
        <f t="shared" si="83"/>
        <v>81.800000000000068</v>
      </c>
      <c r="U596" s="40"/>
      <c r="V596" s="40"/>
      <c r="W596" s="40"/>
      <c r="X596" s="40"/>
      <c r="Y596" s="67" t="str">
        <f t="shared" si="84"/>
        <v/>
      </c>
      <c r="AA596" s="71"/>
      <c r="AB596" s="71"/>
      <c r="AC596" s="67" t="str">
        <f t="shared" si="85"/>
        <v/>
      </c>
      <c r="AE596" s="124"/>
      <c r="AF596" s="124"/>
      <c r="AG596" s="121"/>
      <c r="AH596" s="121"/>
      <c r="AI596" s="124"/>
      <c r="AJ596" s="124"/>
    </row>
    <row r="597" spans="2:36" x14ac:dyDescent="0.25">
      <c r="B597" s="117"/>
      <c r="C597" s="7"/>
      <c r="D597" s="3">
        <f t="shared" si="78"/>
        <v>0</v>
      </c>
      <c r="E597" s="10"/>
      <c r="F597" s="40"/>
      <c r="G597" s="40"/>
      <c r="H597" s="40"/>
      <c r="I597" s="3" t="str">
        <f t="shared" si="79"/>
        <v/>
      </c>
      <c r="J597" s="3" t="str">
        <f t="shared" si="80"/>
        <v/>
      </c>
      <c r="K597" s="3" t="str">
        <f t="shared" si="81"/>
        <v/>
      </c>
      <c r="L597" s="3"/>
      <c r="M597" s="60" t="e">
        <f t="shared" si="82"/>
        <v>#VALUE!</v>
      </c>
      <c r="N597" s="40"/>
      <c r="O597" s="40"/>
      <c r="P597" s="40"/>
      <c r="Q597" s="40"/>
      <c r="R597" s="40"/>
      <c r="S597" s="40"/>
      <c r="T597" s="61">
        <f t="shared" si="83"/>
        <v>81.800000000000068</v>
      </c>
      <c r="U597" s="40"/>
      <c r="V597" s="40"/>
      <c r="W597" s="40"/>
      <c r="X597" s="40"/>
      <c r="Y597" s="67" t="str">
        <f t="shared" si="84"/>
        <v/>
      </c>
      <c r="AA597" s="71"/>
      <c r="AB597" s="71"/>
      <c r="AC597" s="67" t="str">
        <f t="shared" si="85"/>
        <v/>
      </c>
      <c r="AE597" s="124"/>
      <c r="AF597" s="124"/>
      <c r="AG597" s="121"/>
      <c r="AH597" s="121"/>
      <c r="AI597" s="124"/>
      <c r="AJ597" s="124"/>
    </row>
    <row r="598" spans="2:36" x14ac:dyDescent="0.25">
      <c r="AE598" s="120"/>
      <c r="AF598" s="120"/>
      <c r="AG598" s="120"/>
      <c r="AH598" s="120"/>
      <c r="AI598" s="120"/>
      <c r="AJ598" s="120"/>
    </row>
    <row r="599" spans="2:36" x14ac:dyDescent="0.25">
      <c r="AE599" s="120"/>
      <c r="AF599" s="120"/>
      <c r="AG599" s="120"/>
      <c r="AH599" s="120"/>
      <c r="AI599" s="120"/>
      <c r="AJ599" s="120"/>
    </row>
    <row r="600" spans="2:36" x14ac:dyDescent="0.25">
      <c r="AE600" s="120"/>
      <c r="AF600" s="120"/>
      <c r="AG600" s="120"/>
      <c r="AH600" s="120"/>
      <c r="AI600" s="120"/>
      <c r="AJ600" s="120"/>
    </row>
    <row r="601" spans="2:36" x14ac:dyDescent="0.25">
      <c r="AE601" s="120"/>
      <c r="AF601" s="120"/>
      <c r="AG601" s="120"/>
      <c r="AH601" s="120"/>
      <c r="AI601" s="120"/>
      <c r="AJ601" s="120"/>
    </row>
    <row r="602" spans="2:36" x14ac:dyDescent="0.25">
      <c r="AE602" s="120"/>
      <c r="AF602" s="120"/>
      <c r="AG602" s="120"/>
      <c r="AH602" s="120"/>
      <c r="AI602" s="120"/>
      <c r="AJ602" s="120"/>
    </row>
    <row r="603" spans="2:36" x14ac:dyDescent="0.25">
      <c r="AE603" s="120"/>
      <c r="AF603" s="120"/>
      <c r="AG603" s="120"/>
      <c r="AH603" s="120"/>
      <c r="AI603" s="120"/>
      <c r="AJ603" s="120"/>
    </row>
    <row r="604" spans="2:36" x14ac:dyDescent="0.25">
      <c r="AE604" s="120"/>
      <c r="AF604" s="120"/>
      <c r="AG604" s="120"/>
      <c r="AH604" s="120"/>
      <c r="AI604" s="120"/>
      <c r="AJ604" s="120"/>
    </row>
    <row r="605" spans="2:36" x14ac:dyDescent="0.25">
      <c r="AE605" s="120"/>
      <c r="AF605" s="120"/>
      <c r="AG605" s="120"/>
      <c r="AH605" s="120"/>
      <c r="AI605" s="120"/>
      <c r="AJ605" s="120"/>
    </row>
    <row r="606" spans="2:36" x14ac:dyDescent="0.25">
      <c r="AE606" s="120"/>
      <c r="AF606" s="120"/>
      <c r="AG606" s="120"/>
      <c r="AH606" s="120"/>
      <c r="AI606" s="120"/>
      <c r="AJ606" s="120"/>
    </row>
    <row r="607" spans="2:36" x14ac:dyDescent="0.25">
      <c r="AE607" s="120"/>
      <c r="AF607" s="120"/>
      <c r="AG607" s="120"/>
      <c r="AH607" s="120"/>
      <c r="AI607" s="120"/>
      <c r="AJ607" s="120"/>
    </row>
    <row r="608" spans="2:36" x14ac:dyDescent="0.25">
      <c r="AE608" s="120"/>
      <c r="AF608" s="120"/>
      <c r="AG608" s="120"/>
      <c r="AH608" s="120"/>
      <c r="AI608" s="120"/>
      <c r="AJ608" s="120"/>
    </row>
    <row r="609" spans="31:36" x14ac:dyDescent="0.25">
      <c r="AE609" s="120"/>
      <c r="AF609" s="120"/>
      <c r="AG609" s="120"/>
      <c r="AH609" s="120"/>
      <c r="AI609" s="120"/>
      <c r="AJ609" s="120"/>
    </row>
    <row r="610" spans="31:36" x14ac:dyDescent="0.25">
      <c r="AE610" s="120"/>
      <c r="AF610" s="120"/>
      <c r="AG610" s="120"/>
      <c r="AH610" s="120"/>
      <c r="AI610" s="120"/>
      <c r="AJ610" s="120"/>
    </row>
    <row r="611" spans="31:36" x14ac:dyDescent="0.25">
      <c r="AE611" s="120"/>
      <c r="AF611" s="120"/>
      <c r="AG611" s="120"/>
      <c r="AH611" s="120"/>
      <c r="AI611" s="120"/>
      <c r="AJ611" s="120"/>
    </row>
    <row r="612" spans="31:36" x14ac:dyDescent="0.25">
      <c r="AE612" s="120"/>
      <c r="AF612" s="120"/>
      <c r="AG612" s="120"/>
      <c r="AH612" s="120"/>
      <c r="AI612" s="120"/>
      <c r="AJ612" s="120"/>
    </row>
    <row r="613" spans="31:36" x14ac:dyDescent="0.25">
      <c r="AE613" s="120"/>
      <c r="AF613" s="120"/>
      <c r="AG613" s="120"/>
      <c r="AH613" s="120"/>
      <c r="AI613" s="120"/>
      <c r="AJ613" s="120"/>
    </row>
    <row r="614" spans="31:36" x14ac:dyDescent="0.25">
      <c r="AE614" s="120"/>
      <c r="AF614" s="120"/>
      <c r="AG614" s="120"/>
      <c r="AH614" s="120"/>
      <c r="AI614" s="120"/>
      <c r="AJ614" s="120"/>
    </row>
    <row r="615" spans="31:36" x14ac:dyDescent="0.25">
      <c r="AE615" s="120"/>
      <c r="AF615" s="120"/>
      <c r="AG615" s="120"/>
      <c r="AH615" s="120"/>
      <c r="AI615" s="120"/>
      <c r="AJ615" s="120"/>
    </row>
    <row r="616" spans="31:36" x14ac:dyDescent="0.25">
      <c r="AE616" s="120"/>
      <c r="AF616" s="120"/>
      <c r="AG616" s="120"/>
      <c r="AH616" s="120"/>
      <c r="AI616" s="120"/>
      <c r="AJ616" s="120"/>
    </row>
    <row r="617" spans="31:36" x14ac:dyDescent="0.25">
      <c r="AE617" s="120"/>
      <c r="AF617" s="120"/>
      <c r="AG617" s="120"/>
      <c r="AH617" s="120"/>
      <c r="AI617" s="120"/>
      <c r="AJ617" s="120"/>
    </row>
    <row r="618" spans="31:36" x14ac:dyDescent="0.25">
      <c r="AE618" s="120"/>
      <c r="AF618" s="120"/>
      <c r="AG618" s="120"/>
      <c r="AH618" s="120"/>
      <c r="AI618" s="120"/>
      <c r="AJ618" s="120"/>
    </row>
    <row r="619" spans="31:36" x14ac:dyDescent="0.25">
      <c r="AE619" s="120"/>
      <c r="AF619" s="120"/>
      <c r="AG619" s="120"/>
      <c r="AH619" s="120"/>
      <c r="AI619" s="120"/>
      <c r="AJ619" s="120"/>
    </row>
    <row r="620" spans="31:36" x14ac:dyDescent="0.25">
      <c r="AE620" s="120"/>
      <c r="AF620" s="120"/>
      <c r="AG620" s="120"/>
      <c r="AH620" s="120"/>
      <c r="AI620" s="120"/>
      <c r="AJ620" s="120"/>
    </row>
    <row r="621" spans="31:36" x14ac:dyDescent="0.25">
      <c r="AE621" s="120"/>
      <c r="AF621" s="120"/>
      <c r="AG621" s="120"/>
      <c r="AH621" s="120"/>
      <c r="AI621" s="120"/>
      <c r="AJ621" s="120"/>
    </row>
    <row r="622" spans="31:36" x14ac:dyDescent="0.25">
      <c r="AE622" s="120"/>
      <c r="AF622" s="120"/>
      <c r="AG622" s="120"/>
      <c r="AH622" s="120"/>
      <c r="AI622" s="120"/>
      <c r="AJ622" s="120"/>
    </row>
    <row r="623" spans="31:36" x14ac:dyDescent="0.25">
      <c r="AE623" s="120"/>
      <c r="AF623" s="120"/>
      <c r="AG623" s="120"/>
      <c r="AH623" s="120"/>
      <c r="AI623" s="120"/>
      <c r="AJ623" s="120"/>
    </row>
    <row r="624" spans="31:36" x14ac:dyDescent="0.25">
      <c r="AE624" s="120"/>
      <c r="AF624" s="120"/>
      <c r="AG624" s="120"/>
      <c r="AH624" s="120"/>
      <c r="AI624" s="120"/>
      <c r="AJ624" s="120"/>
    </row>
    <row r="625" spans="31:36" x14ac:dyDescent="0.25">
      <c r="AE625" s="120"/>
      <c r="AF625" s="120"/>
      <c r="AG625" s="120"/>
      <c r="AH625" s="120"/>
      <c r="AI625" s="120"/>
      <c r="AJ625" s="120"/>
    </row>
    <row r="626" spans="31:36" x14ac:dyDescent="0.25">
      <c r="AE626" s="120"/>
      <c r="AF626" s="120"/>
      <c r="AG626" s="120"/>
      <c r="AH626" s="120"/>
      <c r="AI626" s="120"/>
      <c r="AJ626" s="120"/>
    </row>
    <row r="627" spans="31:36" x14ac:dyDescent="0.25">
      <c r="AE627" s="120"/>
      <c r="AF627" s="120"/>
      <c r="AG627" s="120"/>
      <c r="AH627" s="120"/>
      <c r="AI627" s="120"/>
      <c r="AJ627" s="120"/>
    </row>
    <row r="628" spans="31:36" x14ac:dyDescent="0.25">
      <c r="AE628" s="120"/>
      <c r="AF628" s="120"/>
      <c r="AG628" s="120"/>
      <c r="AH628" s="120"/>
      <c r="AI628" s="120"/>
      <c r="AJ628" s="120"/>
    </row>
    <row r="629" spans="31:36" x14ac:dyDescent="0.25">
      <c r="AE629" s="120"/>
      <c r="AF629" s="120"/>
      <c r="AG629" s="120"/>
      <c r="AH629" s="120"/>
      <c r="AI629" s="120"/>
      <c r="AJ629" s="120"/>
    </row>
    <row r="630" spans="31:36" x14ac:dyDescent="0.25">
      <c r="AE630" s="120"/>
      <c r="AF630" s="120"/>
      <c r="AG630" s="120"/>
      <c r="AH630" s="120"/>
      <c r="AI630" s="120"/>
      <c r="AJ630" s="120"/>
    </row>
    <row r="631" spans="31:36" x14ac:dyDescent="0.25">
      <c r="AE631" s="120"/>
      <c r="AF631" s="120"/>
      <c r="AG631" s="120"/>
      <c r="AH631" s="120"/>
      <c r="AI631" s="120"/>
      <c r="AJ631" s="120"/>
    </row>
    <row r="632" spans="31:36" x14ac:dyDescent="0.25">
      <c r="AE632" s="120"/>
      <c r="AF632" s="120"/>
      <c r="AG632" s="120"/>
      <c r="AH632" s="120"/>
      <c r="AI632" s="120"/>
      <c r="AJ632" s="120"/>
    </row>
    <row r="633" spans="31:36" x14ac:dyDescent="0.25">
      <c r="AE633" s="120"/>
      <c r="AF633" s="120"/>
      <c r="AG633" s="120"/>
      <c r="AH633" s="120"/>
      <c r="AI633" s="120"/>
      <c r="AJ633" s="120"/>
    </row>
    <row r="634" spans="31:36" x14ac:dyDescent="0.25">
      <c r="AE634" s="120"/>
      <c r="AF634" s="120"/>
      <c r="AG634" s="120"/>
      <c r="AH634" s="120"/>
      <c r="AI634" s="120"/>
      <c r="AJ634" s="120"/>
    </row>
    <row r="635" spans="31:36" x14ac:dyDescent="0.25">
      <c r="AE635" s="120"/>
      <c r="AF635" s="120"/>
      <c r="AG635" s="120"/>
      <c r="AH635" s="120"/>
      <c r="AI635" s="120"/>
      <c r="AJ635" s="120"/>
    </row>
    <row r="636" spans="31:36" x14ac:dyDescent="0.25">
      <c r="AE636" s="120"/>
      <c r="AF636" s="120"/>
      <c r="AG636" s="120"/>
      <c r="AH636" s="120"/>
      <c r="AI636" s="120"/>
      <c r="AJ636" s="120"/>
    </row>
    <row r="637" spans="31:36" x14ac:dyDescent="0.25">
      <c r="AE637" s="120"/>
      <c r="AF637" s="120"/>
      <c r="AG637" s="120"/>
      <c r="AH637" s="120"/>
      <c r="AI637" s="120"/>
      <c r="AJ637" s="120"/>
    </row>
    <row r="638" spans="31:36" x14ac:dyDescent="0.25">
      <c r="AE638" s="120"/>
      <c r="AF638" s="120"/>
      <c r="AG638" s="120"/>
      <c r="AH638" s="120"/>
      <c r="AI638" s="120"/>
      <c r="AJ638" s="120"/>
    </row>
    <row r="639" spans="31:36" x14ac:dyDescent="0.25">
      <c r="AE639" s="120"/>
      <c r="AF639" s="120"/>
      <c r="AG639" s="120"/>
      <c r="AH639" s="120"/>
      <c r="AI639" s="120"/>
      <c r="AJ639" s="120"/>
    </row>
    <row r="640" spans="31:36" x14ac:dyDescent="0.25">
      <c r="AE640" s="120"/>
      <c r="AF640" s="120"/>
      <c r="AG640" s="120"/>
      <c r="AH640" s="120"/>
      <c r="AI640" s="120"/>
      <c r="AJ640" s="120"/>
    </row>
    <row r="641" spans="31:36" x14ac:dyDescent="0.25">
      <c r="AE641" s="120"/>
      <c r="AF641" s="120"/>
      <c r="AG641" s="120"/>
      <c r="AH641" s="120"/>
      <c r="AI641" s="120"/>
      <c r="AJ641" s="120"/>
    </row>
    <row r="642" spans="31:36" x14ac:dyDescent="0.25">
      <c r="AE642" s="120"/>
      <c r="AF642" s="120"/>
      <c r="AG642" s="120"/>
      <c r="AH642" s="120"/>
      <c r="AI642" s="120"/>
      <c r="AJ642" s="120"/>
    </row>
    <row r="643" spans="31:36" x14ac:dyDescent="0.25">
      <c r="AE643" s="120"/>
      <c r="AF643" s="120"/>
      <c r="AG643" s="120"/>
      <c r="AH643" s="120"/>
      <c r="AI643" s="120"/>
      <c r="AJ643" s="120"/>
    </row>
    <row r="644" spans="31:36" x14ac:dyDescent="0.25">
      <c r="AE644" s="120"/>
      <c r="AF644" s="120"/>
      <c r="AG644" s="120"/>
      <c r="AH644" s="120"/>
      <c r="AI644" s="120"/>
      <c r="AJ644" s="120"/>
    </row>
    <row r="645" spans="31:36" x14ac:dyDescent="0.25">
      <c r="AE645" s="120"/>
      <c r="AF645" s="120"/>
      <c r="AG645" s="120"/>
      <c r="AH645" s="120"/>
      <c r="AI645" s="120"/>
      <c r="AJ645" s="120"/>
    </row>
    <row r="646" spans="31:36" x14ac:dyDescent="0.25">
      <c r="AE646" s="120"/>
      <c r="AF646" s="120"/>
      <c r="AG646" s="120"/>
      <c r="AH646" s="120"/>
      <c r="AI646" s="120"/>
      <c r="AJ646" s="120"/>
    </row>
    <row r="647" spans="31:36" x14ac:dyDescent="0.25">
      <c r="AE647" s="120"/>
      <c r="AF647" s="120"/>
      <c r="AG647" s="120"/>
      <c r="AH647" s="120"/>
      <c r="AI647" s="120"/>
      <c r="AJ647" s="120"/>
    </row>
    <row r="648" spans="31:36" x14ac:dyDescent="0.25">
      <c r="AE648" s="120"/>
      <c r="AF648" s="120"/>
      <c r="AG648" s="120"/>
      <c r="AH648" s="120"/>
      <c r="AI648" s="120"/>
      <c r="AJ648" s="120"/>
    </row>
    <row r="649" spans="31:36" x14ac:dyDescent="0.25">
      <c r="AE649" s="120"/>
      <c r="AF649" s="120"/>
      <c r="AG649" s="120"/>
      <c r="AH649" s="120"/>
      <c r="AI649" s="120"/>
      <c r="AJ649" s="120"/>
    </row>
    <row r="650" spans="31:36" x14ac:dyDescent="0.25">
      <c r="AE650" s="120"/>
      <c r="AF650" s="120"/>
      <c r="AG650" s="120"/>
      <c r="AH650" s="120"/>
      <c r="AI650" s="120"/>
      <c r="AJ650" s="120"/>
    </row>
    <row r="651" spans="31:36" x14ac:dyDescent="0.25">
      <c r="AE651" s="120"/>
      <c r="AF651" s="120"/>
      <c r="AG651" s="120"/>
      <c r="AH651" s="120"/>
      <c r="AI651" s="120"/>
      <c r="AJ651" s="120"/>
    </row>
    <row r="652" spans="31:36" x14ac:dyDescent="0.25">
      <c r="AE652" s="120"/>
      <c r="AF652" s="120"/>
      <c r="AG652" s="120"/>
      <c r="AH652" s="120"/>
      <c r="AI652" s="120"/>
      <c r="AJ652" s="120"/>
    </row>
    <row r="653" spans="31:36" x14ac:dyDescent="0.25">
      <c r="AE653" s="120"/>
      <c r="AF653" s="120"/>
      <c r="AG653" s="120"/>
      <c r="AH653" s="120"/>
      <c r="AI653" s="120"/>
      <c r="AJ653" s="120"/>
    </row>
    <row r="654" spans="31:36" x14ac:dyDescent="0.25">
      <c r="AE654" s="120"/>
      <c r="AF654" s="120"/>
      <c r="AG654" s="120"/>
      <c r="AH654" s="120"/>
      <c r="AI654" s="120"/>
      <c r="AJ654" s="120"/>
    </row>
    <row r="655" spans="31:36" x14ac:dyDescent="0.25">
      <c r="AE655" s="120"/>
      <c r="AF655" s="120"/>
      <c r="AG655" s="120"/>
      <c r="AH655" s="120"/>
      <c r="AI655" s="120"/>
      <c r="AJ655" s="120"/>
    </row>
    <row r="656" spans="31:36" x14ac:dyDescent="0.25">
      <c r="AE656" s="120"/>
      <c r="AF656" s="120"/>
      <c r="AG656" s="120"/>
      <c r="AH656" s="120"/>
      <c r="AI656" s="120"/>
      <c r="AJ656" s="120"/>
    </row>
    <row r="657" spans="31:36" x14ac:dyDescent="0.25">
      <c r="AE657" s="120"/>
      <c r="AF657" s="120"/>
      <c r="AG657" s="120"/>
      <c r="AH657" s="120"/>
      <c r="AI657" s="120"/>
      <c r="AJ657" s="120"/>
    </row>
    <row r="658" spans="31:36" x14ac:dyDescent="0.25">
      <c r="AE658" s="120"/>
      <c r="AF658" s="120"/>
      <c r="AG658" s="120"/>
      <c r="AH658" s="120"/>
      <c r="AI658" s="120"/>
      <c r="AJ658" s="120"/>
    </row>
    <row r="659" spans="31:36" x14ac:dyDescent="0.25">
      <c r="AE659" s="120"/>
      <c r="AF659" s="120"/>
      <c r="AG659" s="120"/>
      <c r="AH659" s="120"/>
      <c r="AI659" s="120"/>
      <c r="AJ659" s="120"/>
    </row>
    <row r="660" spans="31:36" x14ac:dyDescent="0.25">
      <c r="AE660" s="120"/>
      <c r="AF660" s="120"/>
      <c r="AG660" s="120"/>
      <c r="AH660" s="120"/>
      <c r="AI660" s="120"/>
      <c r="AJ660" s="120"/>
    </row>
    <row r="661" spans="31:36" x14ac:dyDescent="0.25">
      <c r="AE661" s="120"/>
      <c r="AF661" s="120"/>
      <c r="AG661" s="120"/>
      <c r="AH661" s="120"/>
      <c r="AI661" s="120"/>
      <c r="AJ661" s="120"/>
    </row>
    <row r="662" spans="31:36" x14ac:dyDescent="0.25">
      <c r="AE662" s="120"/>
      <c r="AF662" s="120"/>
      <c r="AG662" s="120"/>
      <c r="AH662" s="120"/>
      <c r="AI662" s="120"/>
      <c r="AJ662" s="120"/>
    </row>
    <row r="663" spans="31:36" x14ac:dyDescent="0.25">
      <c r="AE663" s="120"/>
      <c r="AF663" s="120"/>
      <c r="AG663" s="120"/>
      <c r="AH663" s="120"/>
      <c r="AI663" s="120"/>
      <c r="AJ663" s="120"/>
    </row>
    <row r="664" spans="31:36" x14ac:dyDescent="0.25">
      <c r="AE664" s="120"/>
      <c r="AF664" s="120"/>
      <c r="AG664" s="120"/>
      <c r="AH664" s="120"/>
      <c r="AI664" s="120"/>
      <c r="AJ664" s="120"/>
    </row>
    <row r="665" spans="31:36" x14ac:dyDescent="0.25">
      <c r="AE665" s="120"/>
      <c r="AF665" s="120"/>
      <c r="AG665" s="120"/>
      <c r="AH665" s="120"/>
      <c r="AI665" s="120"/>
      <c r="AJ665" s="120"/>
    </row>
    <row r="666" spans="31:36" x14ac:dyDescent="0.25">
      <c r="AE666" s="120"/>
      <c r="AF666" s="120"/>
      <c r="AG666" s="120"/>
      <c r="AH666" s="120"/>
      <c r="AI666" s="120"/>
      <c r="AJ666" s="120"/>
    </row>
    <row r="667" spans="31:36" x14ac:dyDescent="0.25">
      <c r="AE667" s="120"/>
      <c r="AF667" s="120"/>
      <c r="AG667" s="120"/>
      <c r="AH667" s="120"/>
      <c r="AI667" s="120"/>
      <c r="AJ667" s="120"/>
    </row>
    <row r="668" spans="31:36" x14ac:dyDescent="0.25">
      <c r="AE668" s="120"/>
      <c r="AF668" s="120"/>
      <c r="AG668" s="120"/>
      <c r="AH668" s="120"/>
      <c r="AI668" s="120"/>
      <c r="AJ668" s="120"/>
    </row>
    <row r="669" spans="31:36" x14ac:dyDescent="0.25">
      <c r="AE669" s="120"/>
      <c r="AF669" s="120"/>
      <c r="AG669" s="120"/>
      <c r="AH669" s="120"/>
      <c r="AI669" s="120"/>
      <c r="AJ669" s="120"/>
    </row>
    <row r="670" spans="31:36" x14ac:dyDescent="0.25">
      <c r="AE670" s="120"/>
      <c r="AF670" s="120"/>
      <c r="AG670" s="120"/>
      <c r="AH670" s="120"/>
      <c r="AI670" s="120"/>
      <c r="AJ670" s="120"/>
    </row>
    <row r="671" spans="31:36" x14ac:dyDescent="0.25">
      <c r="AE671" s="120"/>
      <c r="AF671" s="120"/>
      <c r="AG671" s="120"/>
      <c r="AH671" s="120"/>
      <c r="AI671" s="120"/>
      <c r="AJ671" s="120"/>
    </row>
    <row r="672" spans="31:36" x14ac:dyDescent="0.25">
      <c r="AE672" s="120"/>
      <c r="AF672" s="120"/>
      <c r="AG672" s="120"/>
      <c r="AH672" s="120"/>
      <c r="AI672" s="120"/>
      <c r="AJ672" s="120"/>
    </row>
    <row r="673" spans="31:36" x14ac:dyDescent="0.25">
      <c r="AE673" s="120"/>
      <c r="AF673" s="120"/>
      <c r="AG673" s="120"/>
      <c r="AH673" s="120"/>
      <c r="AI673" s="120"/>
      <c r="AJ673" s="120"/>
    </row>
    <row r="674" spans="31:36" x14ac:dyDescent="0.25">
      <c r="AE674" s="120"/>
      <c r="AF674" s="120"/>
      <c r="AG674" s="120"/>
      <c r="AH674" s="120"/>
      <c r="AI674" s="120"/>
      <c r="AJ674" s="120"/>
    </row>
    <row r="675" spans="31:36" x14ac:dyDescent="0.25">
      <c r="AE675" s="120"/>
      <c r="AF675" s="120"/>
      <c r="AG675" s="120"/>
      <c r="AH675" s="120"/>
      <c r="AI675" s="120"/>
      <c r="AJ675" s="120"/>
    </row>
    <row r="676" spans="31:36" x14ac:dyDescent="0.25">
      <c r="AE676" s="120"/>
      <c r="AF676" s="120"/>
      <c r="AG676" s="120"/>
      <c r="AH676" s="120"/>
      <c r="AI676" s="120"/>
      <c r="AJ676" s="120"/>
    </row>
    <row r="677" spans="31:36" x14ac:dyDescent="0.25">
      <c r="AE677" s="120"/>
      <c r="AF677" s="120"/>
      <c r="AG677" s="120"/>
      <c r="AH677" s="120"/>
      <c r="AI677" s="120"/>
      <c r="AJ677" s="120"/>
    </row>
    <row r="678" spans="31:36" x14ac:dyDescent="0.25">
      <c r="AE678" s="120"/>
      <c r="AF678" s="120"/>
      <c r="AG678" s="120"/>
      <c r="AH678" s="120"/>
      <c r="AI678" s="120"/>
      <c r="AJ678" s="120"/>
    </row>
    <row r="679" spans="31:36" x14ac:dyDescent="0.25">
      <c r="AE679" s="120"/>
      <c r="AF679" s="120"/>
      <c r="AG679" s="120"/>
      <c r="AH679" s="120"/>
      <c r="AI679" s="120"/>
      <c r="AJ679" s="120"/>
    </row>
    <row r="680" spans="31:36" x14ac:dyDescent="0.25">
      <c r="AE680" s="120"/>
      <c r="AF680" s="120"/>
      <c r="AG680" s="120"/>
      <c r="AH680" s="120"/>
      <c r="AI680" s="120"/>
      <c r="AJ680" s="120"/>
    </row>
    <row r="681" spans="31:36" x14ac:dyDescent="0.25">
      <c r="AE681" s="120"/>
      <c r="AF681" s="120"/>
      <c r="AG681" s="120"/>
      <c r="AH681" s="120"/>
      <c r="AI681" s="120"/>
      <c r="AJ681" s="120"/>
    </row>
    <row r="682" spans="31:36" x14ac:dyDescent="0.25">
      <c r="AE682" s="120"/>
      <c r="AF682" s="120"/>
      <c r="AG682" s="120"/>
      <c r="AH682" s="120"/>
      <c r="AI682" s="120"/>
      <c r="AJ682" s="120"/>
    </row>
    <row r="683" spans="31:36" x14ac:dyDescent="0.25">
      <c r="AE683" s="120"/>
      <c r="AF683" s="120"/>
      <c r="AG683" s="120"/>
      <c r="AH683" s="120"/>
      <c r="AI683" s="120"/>
      <c r="AJ683" s="120"/>
    </row>
    <row r="684" spans="31:36" x14ac:dyDescent="0.25">
      <c r="AE684" s="120"/>
      <c r="AF684" s="120"/>
      <c r="AG684" s="120"/>
      <c r="AH684" s="120"/>
      <c r="AI684" s="120"/>
      <c r="AJ684" s="120"/>
    </row>
    <row r="685" spans="31:36" x14ac:dyDescent="0.25">
      <c r="AE685" s="120"/>
      <c r="AF685" s="120"/>
      <c r="AG685" s="120"/>
      <c r="AH685" s="120"/>
      <c r="AI685" s="120"/>
      <c r="AJ685" s="120"/>
    </row>
    <row r="686" spans="31:36" x14ac:dyDescent="0.25">
      <c r="AE686" s="120"/>
      <c r="AF686" s="120"/>
      <c r="AG686" s="120"/>
      <c r="AH686" s="120"/>
      <c r="AI686" s="120"/>
      <c r="AJ686" s="120"/>
    </row>
    <row r="687" spans="31:36" x14ac:dyDescent="0.25">
      <c r="AE687" s="120"/>
      <c r="AF687" s="120"/>
      <c r="AG687" s="120"/>
      <c r="AH687" s="120"/>
      <c r="AI687" s="120"/>
      <c r="AJ687" s="120"/>
    </row>
    <row r="688" spans="31:36" x14ac:dyDescent="0.25">
      <c r="AE688" s="120"/>
      <c r="AF688" s="120"/>
      <c r="AG688" s="120"/>
      <c r="AH688" s="120"/>
      <c r="AI688" s="120"/>
      <c r="AJ688" s="120"/>
    </row>
    <row r="689" spans="31:36" x14ac:dyDescent="0.25">
      <c r="AE689" s="120"/>
      <c r="AF689" s="120"/>
      <c r="AG689" s="120"/>
      <c r="AH689" s="120"/>
      <c r="AI689" s="120"/>
      <c r="AJ689" s="120"/>
    </row>
    <row r="690" spans="31:36" x14ac:dyDescent="0.25">
      <c r="AE690" s="120"/>
      <c r="AF690" s="120"/>
      <c r="AG690" s="120"/>
      <c r="AH690" s="120"/>
      <c r="AI690" s="120"/>
      <c r="AJ690" s="120"/>
    </row>
    <row r="691" spans="31:36" x14ac:dyDescent="0.25">
      <c r="AE691" s="120"/>
      <c r="AF691" s="120"/>
      <c r="AG691" s="120"/>
      <c r="AH691" s="120"/>
      <c r="AI691" s="120"/>
      <c r="AJ691" s="120"/>
    </row>
    <row r="692" spans="31:36" x14ac:dyDescent="0.25">
      <c r="AE692" s="120"/>
      <c r="AF692" s="120"/>
      <c r="AG692" s="120"/>
      <c r="AH692" s="120"/>
      <c r="AI692" s="120"/>
      <c r="AJ692" s="120"/>
    </row>
    <row r="693" spans="31:36" x14ac:dyDescent="0.25">
      <c r="AE693" s="120"/>
      <c r="AF693" s="120"/>
      <c r="AG693" s="120"/>
      <c r="AH693" s="120"/>
      <c r="AI693" s="120"/>
      <c r="AJ693" s="120"/>
    </row>
    <row r="694" spans="31:36" x14ac:dyDescent="0.25">
      <c r="AE694" s="120"/>
      <c r="AF694" s="120"/>
      <c r="AG694" s="120"/>
      <c r="AH694" s="120"/>
      <c r="AI694" s="120"/>
      <c r="AJ694" s="120"/>
    </row>
    <row r="695" spans="31:36" x14ac:dyDescent="0.25">
      <c r="AE695" s="120"/>
      <c r="AF695" s="120"/>
      <c r="AG695" s="120"/>
      <c r="AH695" s="120"/>
      <c r="AI695" s="120"/>
      <c r="AJ695" s="120"/>
    </row>
    <row r="696" spans="31:36" x14ac:dyDescent="0.25">
      <c r="AE696" s="120"/>
      <c r="AF696" s="120"/>
      <c r="AG696" s="120"/>
      <c r="AH696" s="120"/>
      <c r="AI696" s="120"/>
      <c r="AJ696" s="120"/>
    </row>
    <row r="697" spans="31:36" x14ac:dyDescent="0.25">
      <c r="AE697" s="120"/>
      <c r="AF697" s="120"/>
      <c r="AG697" s="120"/>
      <c r="AH697" s="120"/>
      <c r="AI697" s="120"/>
      <c r="AJ697" s="120"/>
    </row>
    <row r="698" spans="31:36" x14ac:dyDescent="0.25">
      <c r="AE698" s="120"/>
      <c r="AF698" s="120"/>
      <c r="AG698" s="120"/>
      <c r="AH698" s="120"/>
      <c r="AI698" s="120"/>
      <c r="AJ698" s="120"/>
    </row>
    <row r="699" spans="31:36" x14ac:dyDescent="0.25">
      <c r="AE699" s="120"/>
      <c r="AF699" s="120"/>
      <c r="AG699" s="120"/>
      <c r="AH699" s="120"/>
      <c r="AI699" s="120"/>
      <c r="AJ699" s="120"/>
    </row>
    <row r="700" spans="31:36" x14ac:dyDescent="0.25">
      <c r="AE700" s="120"/>
      <c r="AF700" s="120"/>
      <c r="AG700" s="120"/>
      <c r="AH700" s="120"/>
      <c r="AI700" s="120"/>
      <c r="AJ700" s="120"/>
    </row>
    <row r="701" spans="31:36" x14ac:dyDescent="0.25">
      <c r="AE701" s="120"/>
      <c r="AF701" s="120"/>
      <c r="AG701" s="120"/>
      <c r="AH701" s="120"/>
      <c r="AI701" s="120"/>
      <c r="AJ701" s="120"/>
    </row>
    <row r="702" spans="31:36" x14ac:dyDescent="0.25">
      <c r="AE702" s="120"/>
      <c r="AF702" s="120"/>
      <c r="AG702" s="120"/>
      <c r="AH702" s="120"/>
      <c r="AI702" s="120"/>
      <c r="AJ702" s="120"/>
    </row>
    <row r="703" spans="31:36" x14ac:dyDescent="0.25">
      <c r="AE703" s="120"/>
      <c r="AF703" s="120"/>
      <c r="AG703" s="120"/>
      <c r="AH703" s="120"/>
      <c r="AI703" s="120"/>
      <c r="AJ703" s="120"/>
    </row>
    <row r="704" spans="31:36" x14ac:dyDescent="0.25">
      <c r="AE704" s="120"/>
      <c r="AF704" s="120"/>
      <c r="AG704" s="120"/>
      <c r="AH704" s="120"/>
      <c r="AI704" s="120"/>
      <c r="AJ704" s="120"/>
    </row>
    <row r="705" spans="31:36" x14ac:dyDescent="0.25">
      <c r="AE705" s="120"/>
      <c r="AF705" s="120"/>
      <c r="AG705" s="120"/>
      <c r="AH705" s="120"/>
      <c r="AI705" s="120"/>
      <c r="AJ705" s="120"/>
    </row>
    <row r="706" spans="31:36" x14ac:dyDescent="0.25">
      <c r="AE706" s="120"/>
      <c r="AF706" s="120"/>
      <c r="AG706" s="120"/>
      <c r="AH706" s="120"/>
      <c r="AI706" s="120"/>
      <c r="AJ706" s="120"/>
    </row>
    <row r="707" spans="31:36" x14ac:dyDescent="0.25">
      <c r="AE707" s="120"/>
      <c r="AF707" s="120"/>
      <c r="AG707" s="120"/>
      <c r="AH707" s="120"/>
      <c r="AI707" s="120"/>
      <c r="AJ707" s="120"/>
    </row>
    <row r="708" spans="31:36" x14ac:dyDescent="0.25">
      <c r="AE708" s="120"/>
      <c r="AF708" s="120"/>
      <c r="AG708" s="120"/>
      <c r="AH708" s="120"/>
      <c r="AI708" s="120"/>
      <c r="AJ708" s="120"/>
    </row>
    <row r="709" spans="31:36" x14ac:dyDescent="0.25">
      <c r="AE709" s="120"/>
      <c r="AF709" s="120"/>
      <c r="AG709" s="120"/>
      <c r="AH709" s="120"/>
      <c r="AI709" s="120"/>
      <c r="AJ709" s="120"/>
    </row>
    <row r="710" spans="31:36" x14ac:dyDescent="0.25">
      <c r="AE710" s="120"/>
      <c r="AF710" s="120"/>
      <c r="AG710" s="120"/>
      <c r="AH710" s="120"/>
      <c r="AI710" s="120"/>
      <c r="AJ710" s="120"/>
    </row>
    <row r="711" spans="31:36" x14ac:dyDescent="0.25">
      <c r="AE711" s="120"/>
      <c r="AF711" s="120"/>
      <c r="AG711" s="120"/>
      <c r="AH711" s="120"/>
      <c r="AI711" s="120"/>
      <c r="AJ711" s="120"/>
    </row>
    <row r="712" spans="31:36" x14ac:dyDescent="0.25">
      <c r="AE712" s="120"/>
      <c r="AF712" s="120"/>
      <c r="AG712" s="120"/>
      <c r="AH712" s="120"/>
      <c r="AI712" s="120"/>
      <c r="AJ712" s="120"/>
    </row>
    <row r="713" spans="31:36" x14ac:dyDescent="0.25">
      <c r="AE713" s="120"/>
      <c r="AF713" s="120"/>
      <c r="AG713" s="120"/>
      <c r="AH713" s="120"/>
      <c r="AI713" s="120"/>
      <c r="AJ713" s="120"/>
    </row>
    <row r="714" spans="31:36" x14ac:dyDescent="0.25">
      <c r="AE714" s="120"/>
      <c r="AF714" s="120"/>
      <c r="AG714" s="120"/>
      <c r="AH714" s="120"/>
      <c r="AI714" s="120"/>
      <c r="AJ714" s="120"/>
    </row>
    <row r="715" spans="31:36" x14ac:dyDescent="0.25">
      <c r="AE715" s="120"/>
      <c r="AF715" s="120"/>
      <c r="AG715" s="120"/>
      <c r="AH715" s="120"/>
      <c r="AI715" s="120"/>
      <c r="AJ715" s="120"/>
    </row>
    <row r="716" spans="31:36" x14ac:dyDescent="0.25">
      <c r="AE716" s="120"/>
      <c r="AF716" s="120"/>
      <c r="AG716" s="120"/>
      <c r="AH716" s="120"/>
      <c r="AI716" s="120"/>
      <c r="AJ716" s="120"/>
    </row>
    <row r="717" spans="31:36" x14ac:dyDescent="0.25">
      <c r="AE717" s="120"/>
      <c r="AF717" s="120"/>
      <c r="AG717" s="120"/>
      <c r="AH717" s="120"/>
      <c r="AI717" s="120"/>
      <c r="AJ717" s="120"/>
    </row>
    <row r="718" spans="31:36" x14ac:dyDescent="0.25">
      <c r="AE718" s="120"/>
      <c r="AF718" s="120"/>
      <c r="AG718" s="120"/>
      <c r="AH718" s="120"/>
      <c r="AI718" s="120"/>
      <c r="AJ718" s="120"/>
    </row>
    <row r="719" spans="31:36" x14ac:dyDescent="0.25">
      <c r="AE719" s="120"/>
      <c r="AF719" s="120"/>
      <c r="AG719" s="120"/>
      <c r="AH719" s="120"/>
      <c r="AI719" s="120"/>
      <c r="AJ719" s="120"/>
    </row>
    <row r="720" spans="31:36" x14ac:dyDescent="0.25">
      <c r="AE720" s="120"/>
      <c r="AF720" s="120"/>
      <c r="AG720" s="120"/>
      <c r="AH720" s="120"/>
      <c r="AI720" s="120"/>
      <c r="AJ720" s="120"/>
    </row>
    <row r="721" spans="31:36" x14ac:dyDescent="0.25">
      <c r="AE721" s="120"/>
      <c r="AF721" s="120"/>
      <c r="AG721" s="120"/>
      <c r="AH721" s="120"/>
      <c r="AI721" s="120"/>
      <c r="AJ721" s="120"/>
    </row>
    <row r="722" spans="31:36" x14ac:dyDescent="0.25">
      <c r="AE722" s="120"/>
      <c r="AF722" s="120"/>
      <c r="AG722" s="120"/>
      <c r="AH722" s="120"/>
      <c r="AI722" s="120"/>
      <c r="AJ722" s="120"/>
    </row>
    <row r="723" spans="31:36" x14ac:dyDescent="0.25">
      <c r="AE723" s="120"/>
      <c r="AF723" s="120"/>
      <c r="AG723" s="120"/>
      <c r="AH723" s="120"/>
      <c r="AI723" s="120"/>
      <c r="AJ723" s="120"/>
    </row>
    <row r="724" spans="31:36" x14ac:dyDescent="0.25">
      <c r="AE724" s="120"/>
      <c r="AF724" s="120"/>
      <c r="AG724" s="120"/>
      <c r="AH724" s="120"/>
      <c r="AI724" s="120"/>
      <c r="AJ724" s="120"/>
    </row>
    <row r="725" spans="31:36" x14ac:dyDescent="0.25">
      <c r="AE725" s="120"/>
      <c r="AF725" s="120"/>
      <c r="AG725" s="120"/>
      <c r="AH725" s="120"/>
      <c r="AI725" s="120"/>
      <c r="AJ725" s="120"/>
    </row>
    <row r="726" spans="31:36" x14ac:dyDescent="0.25">
      <c r="AE726" s="120"/>
      <c r="AF726" s="120"/>
      <c r="AG726" s="120"/>
      <c r="AH726" s="120"/>
      <c r="AI726" s="120"/>
      <c r="AJ726" s="120"/>
    </row>
    <row r="727" spans="31:36" x14ac:dyDescent="0.25">
      <c r="AE727" s="120"/>
      <c r="AF727" s="120"/>
      <c r="AG727" s="120"/>
      <c r="AH727" s="120"/>
      <c r="AI727" s="120"/>
      <c r="AJ727" s="120"/>
    </row>
    <row r="728" spans="31:36" x14ac:dyDescent="0.25">
      <c r="AE728" s="120"/>
      <c r="AF728" s="120"/>
      <c r="AG728" s="120"/>
      <c r="AH728" s="120"/>
      <c r="AI728" s="120"/>
      <c r="AJ728" s="120"/>
    </row>
    <row r="729" spans="31:36" x14ac:dyDescent="0.25">
      <c r="AE729" s="120"/>
      <c r="AF729" s="120"/>
      <c r="AG729" s="120"/>
      <c r="AH729" s="120"/>
      <c r="AI729" s="120"/>
      <c r="AJ729" s="120"/>
    </row>
    <row r="730" spans="31:36" x14ac:dyDescent="0.25">
      <c r="AE730" s="120"/>
      <c r="AF730" s="120"/>
      <c r="AG730" s="120"/>
      <c r="AH730" s="120"/>
      <c r="AI730" s="120"/>
      <c r="AJ730" s="120"/>
    </row>
    <row r="731" spans="31:36" x14ac:dyDescent="0.25">
      <c r="AE731" s="120"/>
      <c r="AF731" s="120"/>
      <c r="AG731" s="120"/>
      <c r="AH731" s="120"/>
      <c r="AI731" s="120"/>
      <c r="AJ731" s="120"/>
    </row>
    <row r="732" spans="31:36" x14ac:dyDescent="0.25">
      <c r="AE732" s="120"/>
      <c r="AF732" s="120"/>
      <c r="AG732" s="120"/>
      <c r="AH732" s="120"/>
      <c r="AI732" s="120"/>
      <c r="AJ732" s="120"/>
    </row>
    <row r="733" spans="31:36" x14ac:dyDescent="0.25">
      <c r="AE733" s="120"/>
      <c r="AF733" s="120"/>
      <c r="AG733" s="120"/>
      <c r="AH733" s="120"/>
      <c r="AI733" s="120"/>
      <c r="AJ733" s="120"/>
    </row>
    <row r="734" spans="31:36" x14ac:dyDescent="0.25">
      <c r="AE734" s="120"/>
      <c r="AF734" s="120"/>
      <c r="AG734" s="120"/>
      <c r="AH734" s="120"/>
      <c r="AI734" s="120"/>
      <c r="AJ734" s="120"/>
    </row>
    <row r="735" spans="31:36" x14ac:dyDescent="0.25">
      <c r="AE735" s="120"/>
      <c r="AF735" s="120"/>
      <c r="AG735" s="120"/>
      <c r="AH735" s="120"/>
      <c r="AI735" s="120"/>
      <c r="AJ735" s="120"/>
    </row>
    <row r="736" spans="31:36" x14ac:dyDescent="0.25">
      <c r="AE736" s="120"/>
      <c r="AF736" s="120"/>
      <c r="AG736" s="120"/>
      <c r="AH736" s="120"/>
      <c r="AI736" s="120"/>
      <c r="AJ736" s="120"/>
    </row>
    <row r="737" spans="31:36" x14ac:dyDescent="0.25">
      <c r="AE737" s="120"/>
      <c r="AF737" s="120"/>
      <c r="AG737" s="120"/>
      <c r="AH737" s="120"/>
      <c r="AI737" s="120"/>
      <c r="AJ737" s="120"/>
    </row>
    <row r="738" spans="31:36" x14ac:dyDescent="0.25">
      <c r="AE738" s="120"/>
      <c r="AF738" s="120"/>
      <c r="AG738" s="120"/>
      <c r="AH738" s="120"/>
      <c r="AI738" s="120"/>
      <c r="AJ738" s="120"/>
    </row>
    <row r="739" spans="31:36" x14ac:dyDescent="0.25">
      <c r="AE739" s="120"/>
      <c r="AF739" s="120"/>
      <c r="AG739" s="120"/>
      <c r="AH739" s="120"/>
      <c r="AI739" s="120"/>
      <c r="AJ739" s="120"/>
    </row>
    <row r="740" spans="31:36" x14ac:dyDescent="0.25">
      <c r="AE740" s="120"/>
      <c r="AF740" s="120"/>
      <c r="AG740" s="120"/>
      <c r="AH740" s="120"/>
      <c r="AI740" s="120"/>
      <c r="AJ740" s="120"/>
    </row>
    <row r="741" spans="31:36" x14ac:dyDescent="0.25">
      <c r="AE741" s="120"/>
      <c r="AF741" s="120"/>
      <c r="AG741" s="120"/>
      <c r="AH741" s="120"/>
      <c r="AI741" s="120"/>
      <c r="AJ741" s="120"/>
    </row>
    <row r="742" spans="31:36" x14ac:dyDescent="0.25">
      <c r="AE742" s="120"/>
      <c r="AF742" s="120"/>
      <c r="AG742" s="120"/>
      <c r="AH742" s="120"/>
      <c r="AI742" s="120"/>
      <c r="AJ742" s="120"/>
    </row>
    <row r="743" spans="31:36" x14ac:dyDescent="0.25">
      <c r="AE743" s="120"/>
      <c r="AF743" s="120"/>
      <c r="AG743" s="120"/>
      <c r="AH743" s="120"/>
      <c r="AI743" s="120"/>
      <c r="AJ743" s="120"/>
    </row>
    <row r="744" spans="31:36" x14ac:dyDescent="0.25">
      <c r="AE744" s="120"/>
      <c r="AF744" s="120"/>
      <c r="AG744" s="120"/>
      <c r="AH744" s="120"/>
      <c r="AI744" s="120"/>
      <c r="AJ744" s="120"/>
    </row>
    <row r="745" spans="31:36" x14ac:dyDescent="0.25">
      <c r="AE745" s="120"/>
      <c r="AF745" s="120"/>
      <c r="AG745" s="120"/>
      <c r="AH745" s="120"/>
      <c r="AI745" s="120"/>
      <c r="AJ745" s="120"/>
    </row>
    <row r="746" spans="31:36" x14ac:dyDescent="0.25">
      <c r="AE746" s="120"/>
      <c r="AF746" s="120"/>
      <c r="AG746" s="120"/>
      <c r="AH746" s="120"/>
      <c r="AI746" s="120"/>
      <c r="AJ746" s="120"/>
    </row>
    <row r="747" spans="31:36" x14ac:dyDescent="0.25">
      <c r="AE747" s="120"/>
      <c r="AF747" s="120"/>
      <c r="AG747" s="120"/>
      <c r="AH747" s="120"/>
      <c r="AI747" s="120"/>
      <c r="AJ747" s="120"/>
    </row>
    <row r="748" spans="31:36" x14ac:dyDescent="0.25">
      <c r="AE748" s="120"/>
      <c r="AF748" s="120"/>
      <c r="AG748" s="120"/>
      <c r="AH748" s="120"/>
      <c r="AI748" s="120"/>
      <c r="AJ748" s="120"/>
    </row>
    <row r="749" spans="31:36" x14ac:dyDescent="0.25">
      <c r="AE749" s="120"/>
      <c r="AF749" s="120"/>
      <c r="AG749" s="120"/>
      <c r="AH749" s="120"/>
      <c r="AI749" s="120"/>
      <c r="AJ749" s="120"/>
    </row>
    <row r="750" spans="31:36" x14ac:dyDescent="0.25">
      <c r="AE750" s="120"/>
      <c r="AF750" s="120"/>
      <c r="AG750" s="120"/>
      <c r="AH750" s="120"/>
      <c r="AI750" s="120"/>
      <c r="AJ750" s="120"/>
    </row>
    <row r="751" spans="31:36" x14ac:dyDescent="0.25">
      <c r="AE751" s="120"/>
      <c r="AF751" s="120"/>
      <c r="AG751" s="120"/>
      <c r="AH751" s="120"/>
      <c r="AI751" s="120"/>
      <c r="AJ751" s="120"/>
    </row>
    <row r="752" spans="31:36" x14ac:dyDescent="0.25">
      <c r="AE752" s="120"/>
      <c r="AF752" s="120"/>
      <c r="AG752" s="120"/>
      <c r="AH752" s="120"/>
      <c r="AI752" s="120"/>
      <c r="AJ752" s="120"/>
    </row>
    <row r="753" spans="31:36" x14ac:dyDescent="0.25">
      <c r="AE753" s="120"/>
      <c r="AF753" s="120"/>
      <c r="AG753" s="120"/>
      <c r="AH753" s="120"/>
      <c r="AI753" s="120"/>
      <c r="AJ753" s="120"/>
    </row>
    <row r="754" spans="31:36" x14ac:dyDescent="0.25">
      <c r="AE754" s="120"/>
      <c r="AF754" s="120"/>
      <c r="AG754" s="120"/>
      <c r="AH754" s="120"/>
      <c r="AI754" s="120"/>
      <c r="AJ754" s="120"/>
    </row>
    <row r="755" spans="31:36" x14ac:dyDescent="0.25">
      <c r="AE755" s="120"/>
      <c r="AF755" s="120"/>
      <c r="AG755" s="120"/>
      <c r="AH755" s="120"/>
      <c r="AI755" s="120"/>
      <c r="AJ755" s="120"/>
    </row>
    <row r="756" spans="31:36" x14ac:dyDescent="0.25">
      <c r="AE756" s="120"/>
      <c r="AF756" s="120"/>
      <c r="AG756" s="120"/>
      <c r="AH756" s="120"/>
      <c r="AI756" s="120"/>
      <c r="AJ756" s="120"/>
    </row>
    <row r="757" spans="31:36" x14ac:dyDescent="0.25">
      <c r="AE757" s="120"/>
      <c r="AF757" s="120"/>
      <c r="AG757" s="120"/>
      <c r="AH757" s="120"/>
      <c r="AI757" s="120"/>
      <c r="AJ757" s="120"/>
    </row>
    <row r="758" spans="31:36" x14ac:dyDescent="0.25">
      <c r="AE758" s="120"/>
      <c r="AF758" s="120"/>
      <c r="AG758" s="120"/>
      <c r="AH758" s="120"/>
      <c r="AI758" s="120"/>
      <c r="AJ758" s="120"/>
    </row>
    <row r="759" spans="31:36" x14ac:dyDescent="0.25">
      <c r="AE759" s="120"/>
      <c r="AF759" s="120"/>
      <c r="AG759" s="120"/>
      <c r="AH759" s="120"/>
      <c r="AI759" s="120"/>
      <c r="AJ759" s="120"/>
    </row>
    <row r="760" spans="31:36" x14ac:dyDescent="0.25">
      <c r="AE760" s="120"/>
      <c r="AF760" s="120"/>
      <c r="AG760" s="120"/>
      <c r="AH760" s="120"/>
      <c r="AI760" s="120"/>
      <c r="AJ760" s="120"/>
    </row>
    <row r="761" spans="31:36" x14ac:dyDescent="0.25">
      <c r="AE761" s="120"/>
      <c r="AF761" s="120"/>
      <c r="AG761" s="120"/>
      <c r="AH761" s="120"/>
      <c r="AI761" s="120"/>
      <c r="AJ761" s="120"/>
    </row>
    <row r="762" spans="31:36" x14ac:dyDescent="0.25">
      <c r="AE762" s="120"/>
      <c r="AF762" s="120"/>
      <c r="AG762" s="120"/>
      <c r="AH762" s="120"/>
      <c r="AI762" s="120"/>
      <c r="AJ762" s="120"/>
    </row>
    <row r="763" spans="31:36" x14ac:dyDescent="0.25">
      <c r="AE763" s="120"/>
      <c r="AF763" s="120"/>
      <c r="AG763" s="120"/>
      <c r="AH763" s="120"/>
      <c r="AI763" s="120"/>
      <c r="AJ763" s="120"/>
    </row>
    <row r="764" spans="31:36" x14ac:dyDescent="0.25">
      <c r="AE764" s="120"/>
      <c r="AF764" s="120"/>
      <c r="AG764" s="120"/>
      <c r="AH764" s="120"/>
      <c r="AI764" s="120"/>
      <c r="AJ764" s="120"/>
    </row>
    <row r="765" spans="31:36" x14ac:dyDescent="0.25">
      <c r="AE765" s="120"/>
      <c r="AF765" s="120"/>
      <c r="AG765" s="120"/>
      <c r="AH765" s="120"/>
      <c r="AI765" s="120"/>
      <c r="AJ765" s="120"/>
    </row>
    <row r="766" spans="31:36" x14ac:dyDescent="0.25">
      <c r="AE766" s="120"/>
      <c r="AF766" s="120"/>
      <c r="AG766" s="120"/>
      <c r="AH766" s="120"/>
      <c r="AI766" s="120"/>
      <c r="AJ766" s="120"/>
    </row>
    <row r="767" spans="31:36" x14ac:dyDescent="0.25">
      <c r="AE767" s="120"/>
      <c r="AF767" s="120"/>
      <c r="AG767" s="120"/>
      <c r="AH767" s="120"/>
      <c r="AI767" s="120"/>
      <c r="AJ767" s="120"/>
    </row>
    <row r="768" spans="31:36" x14ac:dyDescent="0.25">
      <c r="AE768" s="120"/>
      <c r="AF768" s="120"/>
      <c r="AG768" s="120"/>
      <c r="AH768" s="120"/>
      <c r="AI768" s="120"/>
      <c r="AJ768" s="120"/>
    </row>
    <row r="769" spans="31:36" x14ac:dyDescent="0.25">
      <c r="AE769" s="120"/>
      <c r="AF769" s="120"/>
      <c r="AG769" s="120"/>
      <c r="AH769" s="120"/>
      <c r="AI769" s="120"/>
      <c r="AJ769" s="120"/>
    </row>
    <row r="770" spans="31:36" x14ac:dyDescent="0.25">
      <c r="AE770" s="120"/>
      <c r="AF770" s="120"/>
      <c r="AG770" s="120"/>
      <c r="AH770" s="120"/>
      <c r="AI770" s="120"/>
      <c r="AJ770" s="120"/>
    </row>
    <row r="771" spans="31:36" x14ac:dyDescent="0.25">
      <c r="AE771" s="120"/>
      <c r="AF771" s="120"/>
      <c r="AG771" s="120"/>
      <c r="AH771" s="120"/>
      <c r="AI771" s="120"/>
      <c r="AJ771" s="120"/>
    </row>
    <row r="772" spans="31:36" x14ac:dyDescent="0.25">
      <c r="AE772" s="120"/>
      <c r="AF772" s="120"/>
      <c r="AG772" s="120"/>
      <c r="AH772" s="120"/>
      <c r="AI772" s="120"/>
      <c r="AJ772" s="120"/>
    </row>
    <row r="773" spans="31:36" x14ac:dyDescent="0.25">
      <c r="AE773" s="120"/>
      <c r="AF773" s="120"/>
      <c r="AG773" s="120"/>
      <c r="AH773" s="120"/>
      <c r="AI773" s="120"/>
      <c r="AJ773" s="120"/>
    </row>
    <row r="774" spans="31:36" x14ac:dyDescent="0.25">
      <c r="AE774" s="120"/>
      <c r="AF774" s="120"/>
      <c r="AG774" s="120"/>
      <c r="AH774" s="120"/>
      <c r="AI774" s="120"/>
      <c r="AJ774" s="120"/>
    </row>
    <row r="775" spans="31:36" x14ac:dyDescent="0.25">
      <c r="AE775" s="120"/>
      <c r="AF775" s="120"/>
      <c r="AG775" s="120"/>
      <c r="AH775" s="120"/>
      <c r="AI775" s="120"/>
      <c r="AJ775" s="120"/>
    </row>
    <row r="776" spans="31:36" x14ac:dyDescent="0.25">
      <c r="AE776" s="120"/>
      <c r="AF776" s="120"/>
      <c r="AG776" s="120"/>
      <c r="AH776" s="120"/>
      <c r="AI776" s="120"/>
      <c r="AJ776" s="120"/>
    </row>
    <row r="777" spans="31:36" x14ac:dyDescent="0.25">
      <c r="AE777" s="120"/>
      <c r="AF777" s="120"/>
      <c r="AG777" s="120"/>
      <c r="AH777" s="120"/>
      <c r="AI777" s="120"/>
      <c r="AJ777" s="120"/>
    </row>
    <row r="778" spans="31:36" x14ac:dyDescent="0.25">
      <c r="AE778" s="120"/>
      <c r="AF778" s="120"/>
      <c r="AG778" s="120"/>
      <c r="AH778" s="120"/>
      <c r="AI778" s="120"/>
      <c r="AJ778" s="120"/>
    </row>
    <row r="779" spans="31:36" x14ac:dyDescent="0.25">
      <c r="AE779" s="120"/>
      <c r="AF779" s="120"/>
      <c r="AG779" s="120"/>
      <c r="AH779" s="120"/>
      <c r="AI779" s="120"/>
      <c r="AJ779" s="120"/>
    </row>
    <row r="780" spans="31:36" x14ac:dyDescent="0.25">
      <c r="AE780" s="120"/>
      <c r="AF780" s="120"/>
      <c r="AG780" s="120"/>
      <c r="AH780" s="120"/>
      <c r="AI780" s="120"/>
      <c r="AJ780" s="120"/>
    </row>
    <row r="781" spans="31:36" x14ac:dyDescent="0.25">
      <c r="AE781" s="120"/>
      <c r="AF781" s="120"/>
      <c r="AG781" s="120"/>
      <c r="AH781" s="120"/>
      <c r="AI781" s="120"/>
      <c r="AJ781" s="120"/>
    </row>
    <row r="782" spans="31:36" x14ac:dyDescent="0.25">
      <c r="AE782" s="120"/>
      <c r="AF782" s="120"/>
      <c r="AG782" s="120"/>
      <c r="AH782" s="120"/>
      <c r="AI782" s="120"/>
      <c r="AJ782" s="120"/>
    </row>
    <row r="783" spans="31:36" x14ac:dyDescent="0.25">
      <c r="AE783" s="120"/>
      <c r="AF783" s="120"/>
      <c r="AG783" s="120"/>
      <c r="AH783" s="120"/>
      <c r="AI783" s="120"/>
      <c r="AJ783" s="120"/>
    </row>
    <row r="784" spans="31:36" x14ac:dyDescent="0.25">
      <c r="AE784" s="120"/>
      <c r="AF784" s="120"/>
      <c r="AG784" s="120"/>
      <c r="AH784" s="120"/>
      <c r="AI784" s="120"/>
      <c r="AJ784" s="120"/>
    </row>
    <row r="785" spans="31:36" x14ac:dyDescent="0.25">
      <c r="AE785" s="120"/>
      <c r="AF785" s="120"/>
      <c r="AG785" s="120"/>
      <c r="AH785" s="120"/>
      <c r="AI785" s="120"/>
      <c r="AJ785" s="120"/>
    </row>
    <row r="786" spans="31:36" x14ac:dyDescent="0.25">
      <c r="AE786" s="120"/>
      <c r="AF786" s="120"/>
      <c r="AG786" s="120"/>
      <c r="AH786" s="120"/>
      <c r="AI786" s="120"/>
      <c r="AJ786" s="120"/>
    </row>
    <row r="787" spans="31:36" x14ac:dyDescent="0.25">
      <c r="AE787" s="120"/>
      <c r="AF787" s="120"/>
      <c r="AG787" s="120"/>
      <c r="AH787" s="120"/>
      <c r="AI787" s="120"/>
      <c r="AJ787" s="120"/>
    </row>
    <row r="788" spans="31:36" x14ac:dyDescent="0.25">
      <c r="AE788" s="120"/>
      <c r="AF788" s="120"/>
      <c r="AG788" s="120"/>
      <c r="AH788" s="120"/>
      <c r="AI788" s="120"/>
      <c r="AJ788" s="120"/>
    </row>
    <row r="789" spans="31:36" x14ac:dyDescent="0.25">
      <c r="AE789" s="120"/>
      <c r="AF789" s="120"/>
      <c r="AG789" s="120"/>
      <c r="AH789" s="120"/>
      <c r="AI789" s="120"/>
      <c r="AJ789" s="120"/>
    </row>
    <row r="790" spans="31:36" x14ac:dyDescent="0.25">
      <c r="AE790" s="120"/>
      <c r="AF790" s="120"/>
      <c r="AG790" s="120"/>
      <c r="AH790" s="120"/>
      <c r="AI790" s="120"/>
      <c r="AJ790" s="120"/>
    </row>
    <row r="791" spans="31:36" x14ac:dyDescent="0.25">
      <c r="AE791" s="120"/>
      <c r="AF791" s="120"/>
      <c r="AG791" s="120"/>
      <c r="AH791" s="120"/>
      <c r="AI791" s="120"/>
      <c r="AJ791" s="120"/>
    </row>
    <row r="792" spans="31:36" x14ac:dyDescent="0.25">
      <c r="AE792" s="120"/>
      <c r="AF792" s="120"/>
      <c r="AG792" s="120"/>
      <c r="AH792" s="120"/>
      <c r="AI792" s="120"/>
      <c r="AJ792" s="120"/>
    </row>
    <row r="793" spans="31:36" x14ac:dyDescent="0.25">
      <c r="AE793" s="120"/>
      <c r="AF793" s="120"/>
      <c r="AG793" s="120"/>
      <c r="AH793" s="120"/>
      <c r="AI793" s="120"/>
      <c r="AJ793" s="120"/>
    </row>
    <row r="794" spans="31:36" x14ac:dyDescent="0.25">
      <c r="AE794" s="120"/>
      <c r="AF794" s="120"/>
      <c r="AG794" s="120"/>
      <c r="AH794" s="120"/>
      <c r="AI794" s="120"/>
      <c r="AJ794" s="120"/>
    </row>
    <row r="795" spans="31:36" x14ac:dyDescent="0.25">
      <c r="AE795" s="120"/>
      <c r="AF795" s="120"/>
      <c r="AG795" s="120"/>
      <c r="AH795" s="120"/>
      <c r="AI795" s="120"/>
      <c r="AJ795" s="120"/>
    </row>
    <row r="796" spans="31:36" x14ac:dyDescent="0.25">
      <c r="AE796" s="120"/>
      <c r="AF796" s="120"/>
      <c r="AG796" s="120"/>
      <c r="AH796" s="120"/>
      <c r="AI796" s="120"/>
      <c r="AJ796" s="120"/>
    </row>
    <row r="797" spans="31:36" x14ac:dyDescent="0.25">
      <c r="AE797" s="120"/>
      <c r="AF797" s="120"/>
      <c r="AG797" s="120"/>
      <c r="AH797" s="120"/>
      <c r="AI797" s="120"/>
      <c r="AJ797" s="120"/>
    </row>
    <row r="798" spans="31:36" x14ac:dyDescent="0.25">
      <c r="AE798" s="120"/>
      <c r="AF798" s="120"/>
      <c r="AG798" s="120"/>
      <c r="AH798" s="120"/>
      <c r="AI798" s="120"/>
      <c r="AJ798" s="120"/>
    </row>
    <row r="799" spans="31:36" x14ac:dyDescent="0.25">
      <c r="AE799" s="120"/>
      <c r="AF799" s="120"/>
      <c r="AG799" s="120"/>
      <c r="AH799" s="120"/>
      <c r="AI799" s="120"/>
      <c r="AJ799" s="120"/>
    </row>
    <row r="800" spans="31:36" x14ac:dyDescent="0.25">
      <c r="AE800" s="120"/>
      <c r="AF800" s="120"/>
      <c r="AG800" s="120"/>
      <c r="AH800" s="120"/>
      <c r="AI800" s="120"/>
      <c r="AJ800" s="120"/>
    </row>
    <row r="801" spans="31:36" x14ac:dyDescent="0.25">
      <c r="AE801" s="120"/>
      <c r="AF801" s="120"/>
      <c r="AG801" s="120"/>
      <c r="AH801" s="120"/>
      <c r="AI801" s="120"/>
      <c r="AJ801" s="120"/>
    </row>
    <row r="802" spans="31:36" x14ac:dyDescent="0.25">
      <c r="AE802" s="120"/>
      <c r="AF802" s="120"/>
      <c r="AG802" s="120"/>
      <c r="AH802" s="120"/>
      <c r="AI802" s="120"/>
      <c r="AJ802" s="120"/>
    </row>
    <row r="803" spans="31:36" x14ac:dyDescent="0.25">
      <c r="AE803" s="120"/>
      <c r="AF803" s="120"/>
      <c r="AG803" s="120"/>
      <c r="AH803" s="120"/>
      <c r="AI803" s="120"/>
      <c r="AJ803" s="120"/>
    </row>
    <row r="804" spans="31:36" x14ac:dyDescent="0.25">
      <c r="AE804" s="120"/>
      <c r="AF804" s="120"/>
      <c r="AG804" s="120"/>
      <c r="AH804" s="120"/>
      <c r="AI804" s="120"/>
      <c r="AJ804" s="120"/>
    </row>
    <row r="805" spans="31:36" x14ac:dyDescent="0.25">
      <c r="AE805" s="120"/>
      <c r="AF805" s="120"/>
      <c r="AG805" s="120"/>
      <c r="AH805" s="120"/>
      <c r="AI805" s="120"/>
      <c r="AJ805" s="120"/>
    </row>
    <row r="806" spans="31:36" x14ac:dyDescent="0.25">
      <c r="AE806" s="120"/>
      <c r="AF806" s="120"/>
      <c r="AG806" s="120"/>
      <c r="AH806" s="120"/>
      <c r="AI806" s="120"/>
      <c r="AJ806" s="120"/>
    </row>
    <row r="807" spans="31:36" x14ac:dyDescent="0.25">
      <c r="AE807" s="120"/>
      <c r="AF807" s="120"/>
      <c r="AG807" s="120"/>
      <c r="AH807" s="120"/>
      <c r="AI807" s="120"/>
      <c r="AJ807" s="120"/>
    </row>
    <row r="808" spans="31:36" x14ac:dyDescent="0.25">
      <c r="AE808" s="120"/>
      <c r="AF808" s="120"/>
      <c r="AG808" s="120"/>
      <c r="AH808" s="120"/>
      <c r="AI808" s="120"/>
      <c r="AJ808" s="120"/>
    </row>
    <row r="809" spans="31:36" x14ac:dyDescent="0.25">
      <c r="AE809" s="120"/>
      <c r="AF809" s="120"/>
      <c r="AG809" s="120"/>
      <c r="AH809" s="120"/>
      <c r="AI809" s="120"/>
      <c r="AJ809" s="120"/>
    </row>
    <row r="810" spans="31:36" x14ac:dyDescent="0.25">
      <c r="AE810" s="120"/>
      <c r="AF810" s="120"/>
      <c r="AG810" s="120"/>
      <c r="AH810" s="120"/>
      <c r="AI810" s="120"/>
      <c r="AJ810" s="120"/>
    </row>
    <row r="811" spans="31:36" x14ac:dyDescent="0.25">
      <c r="AE811" s="120"/>
      <c r="AF811" s="120"/>
      <c r="AG811" s="120"/>
      <c r="AH811" s="120"/>
      <c r="AI811" s="120"/>
      <c r="AJ811" s="120"/>
    </row>
    <row r="812" spans="31:36" x14ac:dyDescent="0.25">
      <c r="AE812" s="120"/>
      <c r="AF812" s="120"/>
      <c r="AG812" s="120"/>
      <c r="AH812" s="120"/>
      <c r="AI812" s="120"/>
      <c r="AJ812" s="120"/>
    </row>
    <row r="813" spans="31:36" x14ac:dyDescent="0.25">
      <c r="AE813" s="120"/>
      <c r="AF813" s="120"/>
      <c r="AG813" s="120"/>
      <c r="AH813" s="120"/>
      <c r="AI813" s="120"/>
      <c r="AJ813" s="120"/>
    </row>
    <row r="814" spans="31:36" x14ac:dyDescent="0.25">
      <c r="AE814" s="120"/>
      <c r="AF814" s="120"/>
      <c r="AG814" s="120"/>
      <c r="AH814" s="120"/>
      <c r="AI814" s="120"/>
      <c r="AJ814" s="120"/>
    </row>
    <row r="815" spans="31:36" x14ac:dyDescent="0.25">
      <c r="AE815" s="120"/>
      <c r="AF815" s="120"/>
      <c r="AG815" s="120"/>
      <c r="AH815" s="120"/>
      <c r="AI815" s="120"/>
      <c r="AJ815" s="120"/>
    </row>
    <row r="816" spans="31:36" x14ac:dyDescent="0.25">
      <c r="AE816" s="120"/>
      <c r="AF816" s="120"/>
      <c r="AG816" s="120"/>
      <c r="AH816" s="120"/>
      <c r="AI816" s="120"/>
      <c r="AJ816" s="120"/>
    </row>
    <row r="817" spans="31:36" x14ac:dyDescent="0.25">
      <c r="AE817" s="120"/>
      <c r="AF817" s="120"/>
      <c r="AG817" s="120"/>
      <c r="AH817" s="120"/>
      <c r="AI817" s="120"/>
      <c r="AJ817" s="120"/>
    </row>
    <row r="818" spans="31:36" x14ac:dyDescent="0.25">
      <c r="AE818" s="120"/>
      <c r="AF818" s="120"/>
      <c r="AG818" s="120"/>
      <c r="AH818" s="120"/>
      <c r="AI818" s="120"/>
      <c r="AJ818" s="120"/>
    </row>
    <row r="819" spans="31:36" x14ac:dyDescent="0.25">
      <c r="AE819" s="120"/>
      <c r="AF819" s="120"/>
      <c r="AG819" s="120"/>
      <c r="AH819" s="120"/>
      <c r="AI819" s="120"/>
      <c r="AJ819" s="120"/>
    </row>
    <row r="820" spans="31:36" x14ac:dyDescent="0.25">
      <c r="AE820" s="120"/>
      <c r="AF820" s="120"/>
      <c r="AG820" s="120"/>
      <c r="AH820" s="120"/>
      <c r="AI820" s="120"/>
      <c r="AJ820" s="120"/>
    </row>
    <row r="821" spans="31:36" x14ac:dyDescent="0.25">
      <c r="AE821" s="120"/>
      <c r="AF821" s="120"/>
      <c r="AG821" s="120"/>
      <c r="AH821" s="120"/>
      <c r="AI821" s="120"/>
      <c r="AJ821" s="120"/>
    </row>
    <row r="822" spans="31:36" x14ac:dyDescent="0.25">
      <c r="AE822" s="120"/>
      <c r="AF822" s="120"/>
      <c r="AG822" s="120"/>
      <c r="AH822" s="120"/>
      <c r="AI822" s="120"/>
      <c r="AJ822" s="120"/>
    </row>
    <row r="823" spans="31:36" x14ac:dyDescent="0.25">
      <c r="AE823" s="120"/>
      <c r="AF823" s="120"/>
      <c r="AG823" s="120"/>
      <c r="AH823" s="120"/>
      <c r="AI823" s="120"/>
      <c r="AJ823" s="120"/>
    </row>
    <row r="824" spans="31:36" x14ac:dyDescent="0.25">
      <c r="AE824" s="120"/>
      <c r="AF824" s="120"/>
      <c r="AG824" s="120"/>
      <c r="AH824" s="120"/>
      <c r="AI824" s="120"/>
      <c r="AJ824" s="120"/>
    </row>
    <row r="825" spans="31:36" x14ac:dyDescent="0.25">
      <c r="AE825" s="120"/>
      <c r="AF825" s="120"/>
      <c r="AG825" s="120"/>
      <c r="AH825" s="120"/>
      <c r="AI825" s="120"/>
      <c r="AJ825" s="120"/>
    </row>
    <row r="826" spans="31:36" x14ac:dyDescent="0.25">
      <c r="AE826" s="120"/>
      <c r="AF826" s="120"/>
      <c r="AG826" s="120"/>
      <c r="AH826" s="120"/>
      <c r="AI826" s="120"/>
      <c r="AJ826" s="120"/>
    </row>
    <row r="827" spans="31:36" x14ac:dyDescent="0.25">
      <c r="AE827" s="120"/>
      <c r="AF827" s="120"/>
      <c r="AG827" s="120"/>
      <c r="AH827" s="120"/>
      <c r="AI827" s="120"/>
      <c r="AJ827" s="120"/>
    </row>
    <row r="828" spans="31:36" x14ac:dyDescent="0.25">
      <c r="AE828" s="120"/>
      <c r="AF828" s="120"/>
      <c r="AG828" s="120"/>
      <c r="AH828" s="120"/>
      <c r="AI828" s="120"/>
      <c r="AJ828" s="120"/>
    </row>
    <row r="829" spans="31:36" x14ac:dyDescent="0.25">
      <c r="AE829" s="120"/>
      <c r="AF829" s="120"/>
      <c r="AG829" s="120"/>
      <c r="AH829" s="120"/>
      <c r="AI829" s="120"/>
      <c r="AJ829" s="120"/>
    </row>
    <row r="830" spans="31:36" x14ac:dyDescent="0.25">
      <c r="AE830" s="120"/>
      <c r="AF830" s="120"/>
      <c r="AG830" s="120"/>
      <c r="AH830" s="120"/>
      <c r="AI830" s="120"/>
      <c r="AJ830" s="120"/>
    </row>
    <row r="831" spans="31:36" x14ac:dyDescent="0.25">
      <c r="AE831" s="120"/>
      <c r="AF831" s="120"/>
      <c r="AG831" s="120"/>
      <c r="AH831" s="120"/>
      <c r="AI831" s="120"/>
      <c r="AJ831" s="120"/>
    </row>
    <row r="832" spans="31:36" x14ac:dyDescent="0.25">
      <c r="AE832" s="120"/>
      <c r="AF832" s="120"/>
      <c r="AG832" s="120"/>
      <c r="AH832" s="120"/>
      <c r="AI832" s="120"/>
      <c r="AJ832" s="120"/>
    </row>
    <row r="833" spans="31:36" x14ac:dyDescent="0.25">
      <c r="AE833" s="120"/>
      <c r="AF833" s="120"/>
      <c r="AG833" s="120"/>
      <c r="AH833" s="120"/>
      <c r="AI833" s="120"/>
      <c r="AJ833" s="120"/>
    </row>
    <row r="834" spans="31:36" x14ac:dyDescent="0.25">
      <c r="AE834" s="120"/>
      <c r="AF834" s="120"/>
      <c r="AG834" s="120"/>
      <c r="AH834" s="120"/>
      <c r="AI834" s="120"/>
      <c r="AJ834" s="120"/>
    </row>
    <row r="835" spans="31:36" x14ac:dyDescent="0.25">
      <c r="AE835" s="120"/>
      <c r="AF835" s="120"/>
      <c r="AG835" s="120"/>
      <c r="AH835" s="120"/>
      <c r="AI835" s="120"/>
      <c r="AJ835" s="120"/>
    </row>
    <row r="836" spans="31:36" x14ac:dyDescent="0.25">
      <c r="AE836" s="120"/>
      <c r="AF836" s="120"/>
      <c r="AG836" s="120"/>
      <c r="AH836" s="120"/>
      <c r="AI836" s="120"/>
      <c r="AJ836" s="120"/>
    </row>
    <row r="837" spans="31:36" x14ac:dyDescent="0.25">
      <c r="AE837" s="120"/>
      <c r="AF837" s="120"/>
      <c r="AG837" s="120"/>
      <c r="AH837" s="120"/>
      <c r="AI837" s="120"/>
      <c r="AJ837" s="120"/>
    </row>
    <row r="838" spans="31:36" x14ac:dyDescent="0.25">
      <c r="AE838" s="120"/>
      <c r="AF838" s="120"/>
      <c r="AG838" s="120"/>
      <c r="AH838" s="120"/>
      <c r="AI838" s="120"/>
      <c r="AJ838" s="120"/>
    </row>
    <row r="839" spans="31:36" x14ac:dyDescent="0.25">
      <c r="AE839" s="120"/>
      <c r="AF839" s="120"/>
      <c r="AG839" s="120"/>
      <c r="AH839" s="120"/>
      <c r="AI839" s="120"/>
      <c r="AJ839" s="120"/>
    </row>
    <row r="840" spans="31:36" x14ac:dyDescent="0.25">
      <c r="AE840" s="120"/>
      <c r="AF840" s="120"/>
      <c r="AG840" s="120"/>
      <c r="AH840" s="120"/>
      <c r="AI840" s="120"/>
      <c r="AJ840" s="120"/>
    </row>
    <row r="841" spans="31:36" x14ac:dyDescent="0.25">
      <c r="AE841" s="120"/>
      <c r="AF841" s="120"/>
      <c r="AG841" s="120"/>
      <c r="AH841" s="120"/>
      <c r="AI841" s="120"/>
      <c r="AJ841" s="120"/>
    </row>
    <row r="842" spans="31:36" x14ac:dyDescent="0.25">
      <c r="AE842" s="120"/>
      <c r="AF842" s="120"/>
      <c r="AG842" s="120"/>
      <c r="AH842" s="120"/>
      <c r="AI842" s="120"/>
      <c r="AJ842" s="120"/>
    </row>
    <row r="843" spans="31:36" x14ac:dyDescent="0.25">
      <c r="AE843" s="120"/>
      <c r="AF843" s="120"/>
      <c r="AG843" s="120"/>
      <c r="AH843" s="120"/>
      <c r="AI843" s="120"/>
      <c r="AJ843" s="120"/>
    </row>
    <row r="844" spans="31:36" x14ac:dyDescent="0.25">
      <c r="AE844" s="120"/>
      <c r="AF844" s="120"/>
      <c r="AG844" s="120"/>
      <c r="AH844" s="120"/>
      <c r="AI844" s="120"/>
      <c r="AJ844" s="120"/>
    </row>
    <row r="845" spans="31:36" x14ac:dyDescent="0.25">
      <c r="AE845" s="120"/>
      <c r="AF845" s="120"/>
      <c r="AG845" s="120"/>
      <c r="AH845" s="120"/>
      <c r="AI845" s="120"/>
      <c r="AJ845" s="120"/>
    </row>
    <row r="846" spans="31:36" x14ac:dyDescent="0.25">
      <c r="AE846" s="120"/>
      <c r="AF846" s="120"/>
      <c r="AG846" s="120"/>
      <c r="AH846" s="120"/>
      <c r="AI846" s="120"/>
      <c r="AJ846" s="120"/>
    </row>
    <row r="847" spans="31:36" x14ac:dyDescent="0.25">
      <c r="AE847" s="120"/>
      <c r="AF847" s="120"/>
      <c r="AG847" s="120"/>
      <c r="AH847" s="120"/>
      <c r="AI847" s="120"/>
      <c r="AJ847" s="120"/>
    </row>
    <row r="848" spans="31:36" x14ac:dyDescent="0.25">
      <c r="AE848" s="120"/>
      <c r="AF848" s="120"/>
      <c r="AG848" s="120"/>
      <c r="AH848" s="120"/>
      <c r="AI848" s="120"/>
      <c r="AJ848" s="120"/>
    </row>
    <row r="849" spans="31:36" x14ac:dyDescent="0.25">
      <c r="AE849" s="120"/>
      <c r="AF849" s="120"/>
      <c r="AG849" s="120"/>
      <c r="AH849" s="120"/>
      <c r="AI849" s="120"/>
      <c r="AJ849" s="120"/>
    </row>
    <row r="850" spans="31:36" x14ac:dyDescent="0.25">
      <c r="AE850" s="120"/>
      <c r="AF850" s="120"/>
      <c r="AG850" s="120"/>
      <c r="AH850" s="120"/>
      <c r="AI850" s="120"/>
      <c r="AJ850" s="120"/>
    </row>
    <row r="851" spans="31:36" x14ac:dyDescent="0.25">
      <c r="AE851" s="120"/>
      <c r="AF851" s="120"/>
      <c r="AG851" s="120"/>
      <c r="AH851" s="120"/>
      <c r="AI851" s="120"/>
      <c r="AJ851" s="120"/>
    </row>
    <row r="852" spans="31:36" x14ac:dyDescent="0.25">
      <c r="AE852" s="120"/>
      <c r="AF852" s="120"/>
      <c r="AG852" s="120"/>
      <c r="AH852" s="120"/>
      <c r="AI852" s="120"/>
      <c r="AJ852" s="120"/>
    </row>
    <row r="853" spans="31:36" x14ac:dyDescent="0.25">
      <c r="AE853" s="120"/>
      <c r="AF853" s="120"/>
      <c r="AG853" s="120"/>
      <c r="AH853" s="120"/>
      <c r="AI853" s="120"/>
      <c r="AJ853" s="120"/>
    </row>
    <row r="854" spans="31:36" x14ac:dyDescent="0.25">
      <c r="AE854" s="120"/>
      <c r="AF854" s="120"/>
      <c r="AG854" s="120"/>
      <c r="AH854" s="120"/>
      <c r="AI854" s="120"/>
      <c r="AJ854" s="120"/>
    </row>
    <row r="855" spans="31:36" x14ac:dyDescent="0.25">
      <c r="AE855" s="120"/>
      <c r="AF855" s="120"/>
      <c r="AG855" s="120"/>
      <c r="AH855" s="120"/>
      <c r="AI855" s="120"/>
      <c r="AJ855" s="120"/>
    </row>
    <row r="856" spans="31:36" x14ac:dyDescent="0.25">
      <c r="AE856" s="120"/>
      <c r="AF856" s="120"/>
      <c r="AG856" s="120"/>
      <c r="AH856" s="120"/>
      <c r="AI856" s="120"/>
      <c r="AJ856" s="120"/>
    </row>
    <row r="857" spans="31:36" x14ac:dyDescent="0.25">
      <c r="AE857" s="120"/>
      <c r="AF857" s="120"/>
      <c r="AG857" s="120"/>
      <c r="AH857" s="120"/>
      <c r="AI857" s="120"/>
      <c r="AJ857" s="120"/>
    </row>
    <row r="858" spans="31:36" x14ac:dyDescent="0.25">
      <c r="AE858" s="120"/>
      <c r="AF858" s="120"/>
      <c r="AG858" s="120"/>
      <c r="AH858" s="120"/>
      <c r="AI858" s="120"/>
      <c r="AJ858" s="120"/>
    </row>
    <row r="859" spans="31:36" x14ac:dyDescent="0.25">
      <c r="AE859" s="120"/>
      <c r="AF859" s="120"/>
      <c r="AG859" s="120"/>
      <c r="AH859" s="120"/>
      <c r="AI859" s="120"/>
      <c r="AJ859" s="120"/>
    </row>
    <row r="860" spans="31:36" x14ac:dyDescent="0.25">
      <c r="AE860" s="120"/>
      <c r="AF860" s="120"/>
      <c r="AG860" s="120"/>
      <c r="AH860" s="120"/>
      <c r="AI860" s="120"/>
      <c r="AJ860" s="120"/>
    </row>
    <row r="861" spans="31:36" x14ac:dyDescent="0.25">
      <c r="AE861" s="120"/>
      <c r="AF861" s="120"/>
      <c r="AG861" s="120"/>
      <c r="AH861" s="120"/>
      <c r="AI861" s="120"/>
      <c r="AJ861" s="120"/>
    </row>
    <row r="862" spans="31:36" x14ac:dyDescent="0.25">
      <c r="AE862" s="120"/>
      <c r="AF862" s="120"/>
      <c r="AG862" s="120"/>
      <c r="AH862" s="120"/>
      <c r="AI862" s="120"/>
      <c r="AJ862" s="120"/>
    </row>
    <row r="863" spans="31:36" x14ac:dyDescent="0.25">
      <c r="AE863" s="120"/>
      <c r="AF863" s="120"/>
      <c r="AG863" s="120"/>
      <c r="AH863" s="120"/>
      <c r="AI863" s="120"/>
      <c r="AJ863" s="120"/>
    </row>
    <row r="864" spans="31:36" x14ac:dyDescent="0.25">
      <c r="AE864" s="120"/>
      <c r="AF864" s="120"/>
      <c r="AG864" s="120"/>
      <c r="AH864" s="120"/>
      <c r="AI864" s="120"/>
      <c r="AJ864" s="120"/>
    </row>
    <row r="865" spans="31:36" x14ac:dyDescent="0.25">
      <c r="AE865" s="120"/>
      <c r="AF865" s="120"/>
      <c r="AG865" s="120"/>
      <c r="AH865" s="120"/>
      <c r="AI865" s="120"/>
      <c r="AJ865" s="120"/>
    </row>
    <row r="866" spans="31:36" x14ac:dyDescent="0.25">
      <c r="AE866" s="120"/>
      <c r="AF866" s="120"/>
      <c r="AG866" s="120"/>
      <c r="AH866" s="120"/>
      <c r="AI866" s="120"/>
      <c r="AJ866" s="120"/>
    </row>
    <row r="867" spans="31:36" x14ac:dyDescent="0.25">
      <c r="AE867" s="120"/>
      <c r="AF867" s="120"/>
      <c r="AG867" s="120"/>
      <c r="AH867" s="120"/>
      <c r="AI867" s="120"/>
      <c r="AJ867" s="120"/>
    </row>
    <row r="868" spans="31:36" x14ac:dyDescent="0.25">
      <c r="AE868" s="120"/>
      <c r="AF868" s="120"/>
      <c r="AG868" s="120"/>
      <c r="AH868" s="120"/>
      <c r="AI868" s="120"/>
      <c r="AJ868" s="120"/>
    </row>
    <row r="869" spans="31:36" x14ac:dyDescent="0.25">
      <c r="AE869" s="120"/>
      <c r="AF869" s="120"/>
      <c r="AG869" s="120"/>
      <c r="AH869" s="120"/>
      <c r="AI869" s="120"/>
      <c r="AJ869" s="120"/>
    </row>
    <row r="870" spans="31:36" x14ac:dyDescent="0.25">
      <c r="AE870" s="120"/>
      <c r="AF870" s="120"/>
      <c r="AG870" s="120"/>
      <c r="AH870" s="120"/>
      <c r="AI870" s="120"/>
      <c r="AJ870" s="120"/>
    </row>
    <row r="871" spans="31:36" x14ac:dyDescent="0.25">
      <c r="AE871" s="120"/>
      <c r="AF871" s="120"/>
      <c r="AG871" s="120"/>
      <c r="AH871" s="120"/>
      <c r="AI871" s="120"/>
      <c r="AJ871" s="120"/>
    </row>
    <row r="872" spans="31:36" x14ac:dyDescent="0.25">
      <c r="AE872" s="120"/>
      <c r="AF872" s="120"/>
      <c r="AG872" s="120"/>
      <c r="AH872" s="120"/>
      <c r="AI872" s="120"/>
      <c r="AJ872" s="120"/>
    </row>
    <row r="873" spans="31:36" x14ac:dyDescent="0.25">
      <c r="AE873" s="120"/>
      <c r="AF873" s="120"/>
      <c r="AG873" s="120"/>
      <c r="AH873" s="120"/>
      <c r="AI873" s="120"/>
      <c r="AJ873" s="120"/>
    </row>
    <row r="874" spans="31:36" x14ac:dyDescent="0.25">
      <c r="AE874" s="120"/>
      <c r="AF874" s="120"/>
      <c r="AG874" s="120"/>
      <c r="AH874" s="120"/>
      <c r="AI874" s="120"/>
      <c r="AJ874" s="120"/>
    </row>
    <row r="875" spans="31:36" x14ac:dyDescent="0.25">
      <c r="AE875" s="120"/>
      <c r="AF875" s="120"/>
      <c r="AG875" s="120"/>
      <c r="AH875" s="120"/>
      <c r="AI875" s="120"/>
      <c r="AJ875" s="120"/>
    </row>
    <row r="876" spans="31:36" x14ac:dyDescent="0.25">
      <c r="AE876" s="120"/>
      <c r="AF876" s="120"/>
      <c r="AG876" s="120"/>
      <c r="AH876" s="120"/>
      <c r="AI876" s="120"/>
      <c r="AJ876" s="120"/>
    </row>
    <row r="877" spans="31:36" x14ac:dyDescent="0.25">
      <c r="AE877" s="120"/>
      <c r="AF877" s="120"/>
      <c r="AG877" s="120"/>
      <c r="AH877" s="120"/>
      <c r="AI877" s="120"/>
      <c r="AJ877" s="120"/>
    </row>
    <row r="878" spans="31:36" x14ac:dyDescent="0.25">
      <c r="AE878" s="120"/>
      <c r="AF878" s="120"/>
      <c r="AG878" s="120"/>
      <c r="AH878" s="120"/>
      <c r="AI878" s="120"/>
      <c r="AJ878" s="120"/>
    </row>
    <row r="879" spans="31:36" x14ac:dyDescent="0.25">
      <c r="AE879" s="120"/>
      <c r="AF879" s="120"/>
      <c r="AG879" s="120"/>
      <c r="AH879" s="120"/>
      <c r="AI879" s="120"/>
      <c r="AJ879" s="120"/>
    </row>
    <row r="880" spans="31:36" x14ac:dyDescent="0.25">
      <c r="AE880" s="120"/>
      <c r="AF880" s="120"/>
      <c r="AG880" s="120"/>
      <c r="AH880" s="120"/>
      <c r="AI880" s="120"/>
      <c r="AJ880" s="120"/>
    </row>
    <row r="881" spans="31:36" x14ac:dyDescent="0.25">
      <c r="AE881" s="120"/>
      <c r="AF881" s="120"/>
      <c r="AG881" s="120"/>
      <c r="AH881" s="120"/>
      <c r="AI881" s="120"/>
      <c r="AJ881" s="120"/>
    </row>
    <row r="882" spans="31:36" x14ac:dyDescent="0.25">
      <c r="AE882" s="120"/>
      <c r="AF882" s="120"/>
      <c r="AG882" s="120"/>
      <c r="AH882" s="120"/>
      <c r="AI882" s="120"/>
      <c r="AJ882" s="120"/>
    </row>
    <row r="883" spans="31:36" x14ac:dyDescent="0.25">
      <c r="AE883" s="120"/>
      <c r="AF883" s="120"/>
      <c r="AG883" s="120"/>
      <c r="AH883" s="120"/>
      <c r="AI883" s="120"/>
      <c r="AJ883" s="120"/>
    </row>
    <row r="884" spans="31:36" x14ac:dyDescent="0.25">
      <c r="AE884" s="120"/>
      <c r="AF884" s="120"/>
      <c r="AG884" s="120"/>
      <c r="AH884" s="120"/>
      <c r="AI884" s="120"/>
      <c r="AJ884" s="120"/>
    </row>
    <row r="885" spans="31:36" x14ac:dyDescent="0.25">
      <c r="AE885" s="120"/>
      <c r="AF885" s="120"/>
      <c r="AG885" s="120"/>
      <c r="AH885" s="120"/>
      <c r="AI885" s="120"/>
      <c r="AJ885" s="120"/>
    </row>
    <row r="886" spans="31:36" x14ac:dyDescent="0.25">
      <c r="AE886" s="120"/>
      <c r="AF886" s="120"/>
      <c r="AG886" s="120"/>
      <c r="AH886" s="120"/>
      <c r="AI886" s="120"/>
      <c r="AJ886" s="120"/>
    </row>
    <row r="887" spans="31:36" x14ac:dyDescent="0.25">
      <c r="AE887" s="120"/>
      <c r="AF887" s="120"/>
      <c r="AG887" s="120"/>
      <c r="AH887" s="120"/>
      <c r="AI887" s="120"/>
      <c r="AJ887" s="120"/>
    </row>
    <row r="888" spans="31:36" x14ac:dyDescent="0.25">
      <c r="AE888" s="120"/>
      <c r="AF888" s="120"/>
      <c r="AG888" s="120"/>
      <c r="AH888" s="120"/>
      <c r="AI888" s="120"/>
      <c r="AJ888" s="120"/>
    </row>
    <row r="889" spans="31:36" x14ac:dyDescent="0.25">
      <c r="AE889" s="120"/>
      <c r="AF889" s="120"/>
      <c r="AG889" s="120"/>
      <c r="AH889" s="120"/>
      <c r="AI889" s="120"/>
      <c r="AJ889" s="120"/>
    </row>
    <row r="890" spans="31:36" x14ac:dyDescent="0.25">
      <c r="AE890" s="120"/>
      <c r="AF890" s="120"/>
      <c r="AG890" s="120"/>
      <c r="AH890" s="120"/>
      <c r="AI890" s="120"/>
      <c r="AJ890" s="120"/>
    </row>
    <row r="891" spans="31:36" x14ac:dyDescent="0.25">
      <c r="AE891" s="120"/>
      <c r="AF891" s="120"/>
      <c r="AG891" s="120"/>
      <c r="AH891" s="120"/>
      <c r="AI891" s="120"/>
      <c r="AJ891" s="120"/>
    </row>
    <row r="892" spans="31:36" x14ac:dyDescent="0.25">
      <c r="AE892" s="120"/>
      <c r="AF892" s="120"/>
      <c r="AG892" s="120"/>
      <c r="AH892" s="120"/>
      <c r="AI892" s="120"/>
      <c r="AJ892" s="120"/>
    </row>
    <row r="893" spans="31:36" x14ac:dyDescent="0.25">
      <c r="AE893" s="120"/>
      <c r="AF893" s="120"/>
      <c r="AG893" s="120"/>
      <c r="AH893" s="120"/>
      <c r="AI893" s="120"/>
      <c r="AJ893" s="120"/>
    </row>
    <row r="894" spans="31:36" x14ac:dyDescent="0.25">
      <c r="AE894" s="120"/>
      <c r="AF894" s="120"/>
      <c r="AG894" s="120"/>
      <c r="AH894" s="120"/>
      <c r="AI894" s="120"/>
      <c r="AJ894" s="120"/>
    </row>
    <row r="895" spans="31:36" x14ac:dyDescent="0.25">
      <c r="AE895" s="120"/>
      <c r="AF895" s="120"/>
      <c r="AG895" s="120"/>
      <c r="AH895" s="120"/>
      <c r="AI895" s="120"/>
      <c r="AJ895" s="120"/>
    </row>
    <row r="896" spans="31:36" x14ac:dyDescent="0.25">
      <c r="AE896" s="120"/>
      <c r="AF896" s="120"/>
      <c r="AG896" s="120"/>
      <c r="AH896" s="120"/>
      <c r="AI896" s="120"/>
      <c r="AJ896" s="120"/>
    </row>
    <row r="897" spans="31:36" x14ac:dyDescent="0.25">
      <c r="AE897" s="120"/>
      <c r="AF897" s="120"/>
      <c r="AG897" s="120"/>
      <c r="AH897" s="120"/>
      <c r="AI897" s="120"/>
      <c r="AJ897" s="120"/>
    </row>
    <row r="898" spans="31:36" x14ac:dyDescent="0.25">
      <c r="AE898" s="120"/>
      <c r="AF898" s="120"/>
      <c r="AG898" s="120"/>
      <c r="AH898" s="120"/>
      <c r="AI898" s="120"/>
      <c r="AJ898" s="120"/>
    </row>
    <row r="899" spans="31:36" x14ac:dyDescent="0.25">
      <c r="AE899" s="120"/>
      <c r="AF899" s="120"/>
      <c r="AG899" s="120"/>
      <c r="AH899" s="120"/>
      <c r="AI899" s="120"/>
      <c r="AJ899" s="120"/>
    </row>
    <row r="900" spans="31:36" x14ac:dyDescent="0.25">
      <c r="AE900" s="120"/>
      <c r="AF900" s="120"/>
      <c r="AG900" s="120"/>
      <c r="AH900" s="120"/>
      <c r="AI900" s="120"/>
      <c r="AJ900" s="120"/>
    </row>
    <row r="901" spans="31:36" x14ac:dyDescent="0.25">
      <c r="AE901" s="120"/>
      <c r="AF901" s="120"/>
      <c r="AG901" s="120"/>
      <c r="AH901" s="120"/>
      <c r="AI901" s="120"/>
      <c r="AJ901" s="120"/>
    </row>
    <row r="902" spans="31:36" x14ac:dyDescent="0.25">
      <c r="AE902" s="120"/>
      <c r="AF902" s="120"/>
      <c r="AG902" s="120"/>
      <c r="AH902" s="120"/>
      <c r="AI902" s="120"/>
      <c r="AJ902" s="120"/>
    </row>
    <row r="903" spans="31:36" x14ac:dyDescent="0.25">
      <c r="AE903" s="120"/>
      <c r="AF903" s="120"/>
      <c r="AG903" s="120"/>
      <c r="AH903" s="120"/>
      <c r="AI903" s="120"/>
      <c r="AJ903" s="120"/>
    </row>
    <row r="904" spans="31:36" x14ac:dyDescent="0.25">
      <c r="AE904" s="120"/>
      <c r="AF904" s="120"/>
      <c r="AG904" s="120"/>
      <c r="AH904" s="120"/>
      <c r="AI904" s="120"/>
      <c r="AJ904" s="120"/>
    </row>
    <row r="905" spans="31:36" x14ac:dyDescent="0.25">
      <c r="AE905" s="120"/>
      <c r="AF905" s="120"/>
      <c r="AG905" s="120"/>
      <c r="AH905" s="120"/>
      <c r="AI905" s="120"/>
      <c r="AJ905" s="120"/>
    </row>
    <row r="906" spans="31:36" x14ac:dyDescent="0.25">
      <c r="AE906" s="120"/>
      <c r="AF906" s="120"/>
      <c r="AG906" s="120"/>
      <c r="AH906" s="120"/>
      <c r="AI906" s="120"/>
      <c r="AJ906" s="120"/>
    </row>
    <row r="907" spans="31:36" x14ac:dyDescent="0.25">
      <c r="AE907" s="120"/>
      <c r="AF907" s="120"/>
      <c r="AG907" s="120"/>
      <c r="AH907" s="120"/>
      <c r="AI907" s="120"/>
      <c r="AJ907" s="120"/>
    </row>
    <row r="908" spans="31:36" x14ac:dyDescent="0.25">
      <c r="AE908" s="120"/>
      <c r="AF908" s="120"/>
      <c r="AG908" s="120"/>
      <c r="AH908" s="120"/>
      <c r="AI908" s="120"/>
      <c r="AJ908" s="120"/>
    </row>
    <row r="909" spans="31:36" x14ac:dyDescent="0.25">
      <c r="AE909" s="120"/>
      <c r="AF909" s="120"/>
      <c r="AG909" s="120"/>
      <c r="AH909" s="120"/>
      <c r="AI909" s="120"/>
      <c r="AJ909" s="120"/>
    </row>
    <row r="910" spans="31:36" x14ac:dyDescent="0.25">
      <c r="AE910" s="120"/>
      <c r="AF910" s="120"/>
      <c r="AG910" s="120"/>
      <c r="AH910" s="120"/>
      <c r="AI910" s="120"/>
      <c r="AJ910" s="120"/>
    </row>
    <row r="911" spans="31:36" x14ac:dyDescent="0.25">
      <c r="AE911" s="120"/>
      <c r="AF911" s="120"/>
      <c r="AG911" s="120"/>
      <c r="AH911" s="120"/>
      <c r="AI911" s="120"/>
      <c r="AJ911" s="120"/>
    </row>
    <row r="912" spans="31:36" x14ac:dyDescent="0.25">
      <c r="AE912" s="120"/>
      <c r="AF912" s="120"/>
      <c r="AG912" s="120"/>
      <c r="AH912" s="120"/>
      <c r="AI912" s="120"/>
      <c r="AJ912" s="120"/>
    </row>
    <row r="913" spans="31:36" x14ac:dyDescent="0.25">
      <c r="AE913" s="120"/>
      <c r="AF913" s="120"/>
      <c r="AG913" s="120"/>
      <c r="AH913" s="120"/>
      <c r="AI913" s="120"/>
      <c r="AJ913" s="120"/>
    </row>
    <row r="914" spans="31:36" x14ac:dyDescent="0.25">
      <c r="AE914" s="120"/>
      <c r="AF914" s="120"/>
      <c r="AG914" s="120"/>
      <c r="AH914" s="120"/>
      <c r="AI914" s="120"/>
      <c r="AJ914" s="120"/>
    </row>
    <row r="915" spans="31:36" x14ac:dyDescent="0.25">
      <c r="AE915" s="120"/>
      <c r="AF915" s="120"/>
      <c r="AG915" s="120"/>
      <c r="AH915" s="120"/>
      <c r="AI915" s="120"/>
      <c r="AJ915" s="120"/>
    </row>
    <row r="916" spans="31:36" x14ac:dyDescent="0.25">
      <c r="AE916" s="120"/>
      <c r="AF916" s="120"/>
      <c r="AG916" s="120"/>
      <c r="AH916" s="120"/>
      <c r="AI916" s="120"/>
      <c r="AJ916" s="120"/>
    </row>
    <row r="917" spans="31:36" x14ac:dyDescent="0.25">
      <c r="AE917" s="120"/>
      <c r="AF917" s="120"/>
      <c r="AG917" s="120"/>
      <c r="AH917" s="120"/>
      <c r="AI917" s="120"/>
      <c r="AJ917" s="120"/>
    </row>
    <row r="918" spans="31:36" x14ac:dyDescent="0.25">
      <c r="AE918" s="120"/>
      <c r="AF918" s="120"/>
      <c r="AG918" s="120"/>
      <c r="AH918" s="120"/>
      <c r="AI918" s="120"/>
      <c r="AJ918" s="120"/>
    </row>
    <row r="919" spans="31:36" x14ac:dyDescent="0.25">
      <c r="AE919" s="120"/>
      <c r="AF919" s="120"/>
      <c r="AG919" s="120"/>
      <c r="AH919" s="120"/>
      <c r="AI919" s="120"/>
      <c r="AJ919" s="120"/>
    </row>
    <row r="920" spans="31:36" x14ac:dyDescent="0.25">
      <c r="AE920" s="120"/>
      <c r="AF920" s="120"/>
      <c r="AG920" s="120"/>
      <c r="AH920" s="120"/>
      <c r="AI920" s="120"/>
      <c r="AJ920" s="120"/>
    </row>
    <row r="921" spans="31:36" x14ac:dyDescent="0.25">
      <c r="AE921" s="120"/>
      <c r="AF921" s="120"/>
      <c r="AG921" s="120"/>
      <c r="AH921" s="120"/>
      <c r="AI921" s="120"/>
      <c r="AJ921" s="120"/>
    </row>
    <row r="922" spans="31:36" x14ac:dyDescent="0.25">
      <c r="AE922" s="120"/>
      <c r="AF922" s="120"/>
      <c r="AG922" s="120"/>
      <c r="AH922" s="120"/>
      <c r="AI922" s="120"/>
      <c r="AJ922" s="120"/>
    </row>
    <row r="923" spans="31:36" x14ac:dyDescent="0.25">
      <c r="AE923" s="120"/>
      <c r="AF923" s="120"/>
      <c r="AG923" s="120"/>
      <c r="AH923" s="120"/>
      <c r="AI923" s="120"/>
      <c r="AJ923" s="120"/>
    </row>
    <row r="924" spans="31:36" x14ac:dyDescent="0.25">
      <c r="AE924" s="120"/>
      <c r="AF924" s="120"/>
      <c r="AG924" s="120"/>
      <c r="AH924" s="120"/>
      <c r="AI924" s="120"/>
      <c r="AJ924" s="120"/>
    </row>
    <row r="925" spans="31:36" x14ac:dyDescent="0.25">
      <c r="AE925" s="120"/>
      <c r="AF925" s="120"/>
      <c r="AG925" s="120"/>
      <c r="AH925" s="120"/>
      <c r="AI925" s="120"/>
      <c r="AJ925" s="120"/>
    </row>
    <row r="926" spans="31:36" x14ac:dyDescent="0.25">
      <c r="AE926" s="120"/>
      <c r="AF926" s="120"/>
      <c r="AG926" s="120"/>
      <c r="AH926" s="120"/>
      <c r="AI926" s="120"/>
      <c r="AJ926" s="120"/>
    </row>
    <row r="927" spans="31:36" x14ac:dyDescent="0.25">
      <c r="AE927" s="120"/>
      <c r="AF927" s="120"/>
      <c r="AG927" s="120"/>
      <c r="AH927" s="120"/>
      <c r="AI927" s="120"/>
      <c r="AJ927" s="120"/>
    </row>
    <row r="928" spans="31:36" x14ac:dyDescent="0.25">
      <c r="AE928" s="120"/>
      <c r="AF928" s="120"/>
      <c r="AG928" s="120"/>
      <c r="AH928" s="120"/>
      <c r="AI928" s="120"/>
      <c r="AJ928" s="120"/>
    </row>
    <row r="929" spans="31:36" x14ac:dyDescent="0.25">
      <c r="AE929" s="120"/>
      <c r="AF929" s="120"/>
      <c r="AG929" s="120"/>
      <c r="AH929" s="120"/>
      <c r="AI929" s="120"/>
      <c r="AJ929" s="120"/>
    </row>
    <row r="930" spans="31:36" x14ac:dyDescent="0.25">
      <c r="AE930" s="120"/>
      <c r="AF930" s="120"/>
      <c r="AG930" s="120"/>
      <c r="AH930" s="120"/>
      <c r="AI930" s="120"/>
      <c r="AJ930" s="120"/>
    </row>
    <row r="931" spans="31:36" x14ac:dyDescent="0.25">
      <c r="AE931" s="120"/>
      <c r="AF931" s="120"/>
      <c r="AG931" s="120"/>
      <c r="AH931" s="120"/>
      <c r="AI931" s="120"/>
      <c r="AJ931" s="120"/>
    </row>
    <row r="932" spans="31:36" x14ac:dyDescent="0.25">
      <c r="AE932" s="120"/>
      <c r="AF932" s="120"/>
      <c r="AG932" s="120"/>
      <c r="AH932" s="120"/>
      <c r="AI932" s="120"/>
      <c r="AJ932" s="120"/>
    </row>
    <row r="933" spans="31:36" x14ac:dyDescent="0.25">
      <c r="AE933" s="120"/>
      <c r="AF933" s="120"/>
      <c r="AG933" s="120"/>
      <c r="AH933" s="120"/>
      <c r="AI933" s="120"/>
      <c r="AJ933" s="120"/>
    </row>
    <row r="934" spans="31:36" x14ac:dyDescent="0.25">
      <c r="AE934" s="120"/>
      <c r="AF934" s="120"/>
      <c r="AG934" s="120"/>
      <c r="AH934" s="120"/>
      <c r="AI934" s="120"/>
      <c r="AJ934" s="120"/>
    </row>
    <row r="935" spans="31:36" x14ac:dyDescent="0.25">
      <c r="AE935" s="120"/>
      <c r="AF935" s="120"/>
      <c r="AG935" s="120"/>
      <c r="AH935" s="120"/>
      <c r="AI935" s="120"/>
      <c r="AJ935" s="120"/>
    </row>
    <row r="936" spans="31:36" x14ac:dyDescent="0.25">
      <c r="AE936" s="120"/>
      <c r="AF936" s="120"/>
      <c r="AG936" s="120"/>
      <c r="AH936" s="120"/>
      <c r="AI936" s="120"/>
      <c r="AJ936" s="120"/>
    </row>
    <row r="937" spans="31:36" x14ac:dyDescent="0.25">
      <c r="AE937" s="120"/>
      <c r="AF937" s="120"/>
      <c r="AG937" s="120"/>
      <c r="AH937" s="120"/>
      <c r="AI937" s="120"/>
      <c r="AJ937" s="120"/>
    </row>
    <row r="938" spans="31:36" x14ac:dyDescent="0.25">
      <c r="AE938" s="120"/>
      <c r="AF938" s="120"/>
      <c r="AG938" s="120"/>
      <c r="AH938" s="120"/>
      <c r="AI938" s="120"/>
      <c r="AJ938" s="120"/>
    </row>
    <row r="939" spans="31:36" x14ac:dyDescent="0.25">
      <c r="AE939" s="120"/>
      <c r="AF939" s="120"/>
      <c r="AG939" s="120"/>
      <c r="AH939" s="120"/>
      <c r="AI939" s="120"/>
      <c r="AJ939" s="120"/>
    </row>
    <row r="940" spans="31:36" x14ac:dyDescent="0.25">
      <c r="AE940" s="120"/>
      <c r="AF940" s="120"/>
      <c r="AG940" s="120"/>
      <c r="AH940" s="120"/>
      <c r="AI940" s="120"/>
      <c r="AJ940" s="120"/>
    </row>
    <row r="941" spans="31:36" x14ac:dyDescent="0.25">
      <c r="AE941" s="120"/>
      <c r="AF941" s="120"/>
      <c r="AG941" s="120"/>
      <c r="AH941" s="120"/>
      <c r="AI941" s="120"/>
      <c r="AJ941" s="120"/>
    </row>
    <row r="942" spans="31:36" x14ac:dyDescent="0.25">
      <c r="AE942" s="120"/>
      <c r="AF942" s="120"/>
      <c r="AG942" s="120"/>
      <c r="AH942" s="120"/>
      <c r="AI942" s="120"/>
      <c r="AJ942" s="120"/>
    </row>
    <row r="943" spans="31:36" x14ac:dyDescent="0.25">
      <c r="AE943" s="120"/>
      <c r="AF943" s="120"/>
      <c r="AG943" s="120"/>
      <c r="AH943" s="120"/>
      <c r="AI943" s="120"/>
      <c r="AJ943" s="120"/>
    </row>
    <row r="944" spans="31:36" x14ac:dyDescent="0.25">
      <c r="AE944" s="120"/>
      <c r="AF944" s="120"/>
      <c r="AG944" s="120"/>
      <c r="AH944" s="120"/>
      <c r="AI944" s="120"/>
      <c r="AJ944" s="120"/>
    </row>
    <row r="945" spans="31:36" x14ac:dyDescent="0.25">
      <c r="AE945" s="120"/>
      <c r="AF945" s="120"/>
      <c r="AG945" s="120"/>
      <c r="AH945" s="120"/>
      <c r="AI945" s="120"/>
      <c r="AJ945" s="120"/>
    </row>
    <row r="946" spans="31:36" x14ac:dyDescent="0.25">
      <c r="AE946" s="120"/>
      <c r="AF946" s="120"/>
      <c r="AG946" s="120"/>
      <c r="AH946" s="120"/>
      <c r="AI946" s="120"/>
      <c r="AJ946" s="120"/>
    </row>
    <row r="947" spans="31:36" x14ac:dyDescent="0.25">
      <c r="AE947" s="120"/>
      <c r="AF947" s="120"/>
      <c r="AG947" s="120"/>
      <c r="AH947" s="120"/>
      <c r="AI947" s="120"/>
      <c r="AJ947" s="120"/>
    </row>
    <row r="948" spans="31:36" x14ac:dyDescent="0.25">
      <c r="AE948" s="120"/>
      <c r="AF948" s="120"/>
      <c r="AG948" s="120"/>
      <c r="AH948" s="120"/>
      <c r="AI948" s="120"/>
      <c r="AJ948" s="120"/>
    </row>
    <row r="949" spans="31:36" x14ac:dyDescent="0.25">
      <c r="AE949" s="120"/>
      <c r="AF949" s="120"/>
      <c r="AG949" s="120"/>
      <c r="AH949" s="120"/>
      <c r="AI949" s="120"/>
      <c r="AJ949" s="120"/>
    </row>
    <row r="950" spans="31:36" x14ac:dyDescent="0.25">
      <c r="AE950" s="120"/>
      <c r="AF950" s="120"/>
      <c r="AG950" s="120"/>
      <c r="AH950" s="120"/>
      <c r="AI950" s="120"/>
      <c r="AJ950" s="120"/>
    </row>
    <row r="951" spans="31:36" x14ac:dyDescent="0.25">
      <c r="AE951" s="120"/>
      <c r="AF951" s="120"/>
      <c r="AG951" s="120"/>
      <c r="AH951" s="120"/>
      <c r="AI951" s="120"/>
      <c r="AJ951" s="120"/>
    </row>
    <row r="952" spans="31:36" x14ac:dyDescent="0.25">
      <c r="AE952" s="120"/>
      <c r="AF952" s="120"/>
      <c r="AG952" s="120"/>
      <c r="AH952" s="120"/>
      <c r="AI952" s="120"/>
      <c r="AJ952" s="120"/>
    </row>
    <row r="953" spans="31:36" x14ac:dyDescent="0.25">
      <c r="AE953" s="120"/>
      <c r="AF953" s="120"/>
      <c r="AG953" s="120"/>
      <c r="AH953" s="120"/>
      <c r="AI953" s="120"/>
      <c r="AJ953" s="120"/>
    </row>
    <row r="954" spans="31:36" x14ac:dyDescent="0.25">
      <c r="AE954" s="120"/>
      <c r="AF954" s="120"/>
      <c r="AG954" s="120"/>
      <c r="AH954" s="120"/>
      <c r="AI954" s="120"/>
      <c r="AJ954" s="120"/>
    </row>
    <row r="955" spans="31:36" x14ac:dyDescent="0.25">
      <c r="AE955" s="120"/>
      <c r="AF955" s="120"/>
      <c r="AG955" s="120"/>
      <c r="AH955" s="120"/>
      <c r="AI955" s="120"/>
      <c r="AJ955" s="120"/>
    </row>
    <row r="956" spans="31:36" x14ac:dyDescent="0.25">
      <c r="AE956" s="120"/>
      <c r="AF956" s="120"/>
      <c r="AG956" s="120"/>
      <c r="AH956" s="120"/>
      <c r="AI956" s="120"/>
      <c r="AJ956" s="120"/>
    </row>
    <row r="957" spans="31:36" x14ac:dyDescent="0.25">
      <c r="AE957" s="120"/>
      <c r="AF957" s="120"/>
      <c r="AG957" s="120"/>
      <c r="AH957" s="120"/>
      <c r="AI957" s="120"/>
      <c r="AJ957" s="120"/>
    </row>
    <row r="958" spans="31:36" x14ac:dyDescent="0.25">
      <c r="AE958" s="120"/>
      <c r="AF958" s="120"/>
      <c r="AG958" s="120"/>
      <c r="AH958" s="120"/>
      <c r="AI958" s="120"/>
      <c r="AJ958" s="120"/>
    </row>
    <row r="959" spans="31:36" x14ac:dyDescent="0.25">
      <c r="AE959" s="120"/>
      <c r="AF959" s="120"/>
      <c r="AG959" s="120"/>
      <c r="AH959" s="120"/>
      <c r="AI959" s="120"/>
      <c r="AJ959" s="120"/>
    </row>
    <row r="960" spans="31:36" x14ac:dyDescent="0.25">
      <c r="AE960" s="120"/>
      <c r="AF960" s="120"/>
      <c r="AG960" s="120"/>
      <c r="AH960" s="120"/>
      <c r="AI960" s="120"/>
      <c r="AJ960" s="120"/>
    </row>
    <row r="961" spans="31:36" x14ac:dyDescent="0.25">
      <c r="AE961" s="120"/>
      <c r="AF961" s="120"/>
      <c r="AG961" s="120"/>
      <c r="AH961" s="120"/>
      <c r="AI961" s="120"/>
      <c r="AJ961" s="120"/>
    </row>
    <row r="962" spans="31:36" x14ac:dyDescent="0.25">
      <c r="AE962" s="120"/>
      <c r="AF962" s="120"/>
      <c r="AG962" s="120"/>
      <c r="AH962" s="120"/>
      <c r="AI962" s="120"/>
      <c r="AJ962" s="120"/>
    </row>
    <row r="963" spans="31:36" x14ac:dyDescent="0.25">
      <c r="AE963" s="120"/>
      <c r="AF963" s="120"/>
      <c r="AG963" s="120"/>
      <c r="AH963" s="120"/>
      <c r="AI963" s="120"/>
      <c r="AJ963" s="120"/>
    </row>
    <row r="964" spans="31:36" x14ac:dyDescent="0.25">
      <c r="AE964" s="120"/>
      <c r="AF964" s="120"/>
      <c r="AG964" s="120"/>
      <c r="AH964" s="120"/>
      <c r="AI964" s="120"/>
      <c r="AJ964" s="120"/>
    </row>
    <row r="965" spans="31:36" x14ac:dyDescent="0.25">
      <c r="AE965" s="120"/>
      <c r="AF965" s="120"/>
      <c r="AG965" s="120"/>
      <c r="AH965" s="120"/>
      <c r="AI965" s="120"/>
      <c r="AJ965" s="120"/>
    </row>
    <row r="966" spans="31:36" x14ac:dyDescent="0.25">
      <c r="AE966" s="120"/>
      <c r="AF966" s="120"/>
      <c r="AG966" s="120"/>
      <c r="AH966" s="120"/>
      <c r="AI966" s="120"/>
      <c r="AJ966" s="120"/>
    </row>
    <row r="967" spans="31:36" x14ac:dyDescent="0.25">
      <c r="AE967" s="120"/>
      <c r="AF967" s="120"/>
      <c r="AG967" s="120"/>
      <c r="AH967" s="120"/>
      <c r="AI967" s="120"/>
      <c r="AJ967" s="120"/>
    </row>
    <row r="968" spans="31:36" x14ac:dyDescent="0.25">
      <c r="AE968" s="120"/>
      <c r="AF968" s="120"/>
      <c r="AG968" s="120"/>
      <c r="AH968" s="120"/>
      <c r="AI968" s="120"/>
      <c r="AJ968" s="120"/>
    </row>
    <row r="969" spans="31:36" x14ac:dyDescent="0.25">
      <c r="AE969" s="120"/>
      <c r="AF969" s="120"/>
      <c r="AG969" s="120"/>
      <c r="AH969" s="120"/>
      <c r="AI969" s="120"/>
      <c r="AJ969" s="120"/>
    </row>
    <row r="970" spans="31:36" x14ac:dyDescent="0.25">
      <c r="AE970" s="120"/>
      <c r="AF970" s="120"/>
      <c r="AG970" s="120"/>
      <c r="AH970" s="120"/>
      <c r="AI970" s="120"/>
      <c r="AJ970" s="120"/>
    </row>
    <row r="971" spans="31:36" x14ac:dyDescent="0.25">
      <c r="AE971" s="120"/>
      <c r="AF971" s="120"/>
      <c r="AG971" s="120"/>
      <c r="AH971" s="120"/>
      <c r="AI971" s="120"/>
      <c r="AJ971" s="120"/>
    </row>
    <row r="972" spans="31:36" x14ac:dyDescent="0.25">
      <c r="AE972" s="120"/>
      <c r="AF972" s="120"/>
      <c r="AG972" s="120"/>
      <c r="AH972" s="120"/>
      <c r="AI972" s="120"/>
      <c r="AJ972" s="120"/>
    </row>
    <row r="973" spans="31:36" x14ac:dyDescent="0.25">
      <c r="AE973" s="120"/>
      <c r="AF973" s="120"/>
      <c r="AG973" s="120"/>
      <c r="AH973" s="120"/>
      <c r="AI973" s="120"/>
      <c r="AJ973" s="120"/>
    </row>
    <row r="974" spans="31:36" x14ac:dyDescent="0.25">
      <c r="AE974" s="120"/>
      <c r="AF974" s="120"/>
      <c r="AG974" s="120"/>
      <c r="AH974" s="120"/>
      <c r="AI974" s="120"/>
      <c r="AJ974" s="120"/>
    </row>
    <row r="975" spans="31:36" x14ac:dyDescent="0.25">
      <c r="AE975" s="120"/>
      <c r="AF975" s="120"/>
      <c r="AG975" s="120"/>
      <c r="AH975" s="120"/>
      <c r="AI975" s="120"/>
      <c r="AJ975" s="120"/>
    </row>
    <row r="976" spans="31:36" x14ac:dyDescent="0.25">
      <c r="AE976" s="120"/>
      <c r="AF976" s="120"/>
      <c r="AG976" s="120"/>
      <c r="AH976" s="120"/>
      <c r="AI976" s="120"/>
      <c r="AJ976" s="120"/>
    </row>
    <row r="977" spans="31:36" x14ac:dyDescent="0.25">
      <c r="AE977" s="120"/>
      <c r="AF977" s="120"/>
      <c r="AG977" s="120"/>
      <c r="AH977" s="120"/>
      <c r="AI977" s="120"/>
      <c r="AJ977" s="120"/>
    </row>
    <row r="978" spans="31:36" x14ac:dyDescent="0.25">
      <c r="AE978" s="120"/>
      <c r="AF978" s="120"/>
      <c r="AG978" s="120"/>
      <c r="AH978" s="120"/>
      <c r="AI978" s="120"/>
      <c r="AJ978" s="120"/>
    </row>
    <row r="979" spans="31:36" x14ac:dyDescent="0.25">
      <c r="AE979" s="120"/>
      <c r="AF979" s="120"/>
      <c r="AG979" s="120"/>
      <c r="AH979" s="120"/>
      <c r="AI979" s="120"/>
      <c r="AJ979" s="120"/>
    </row>
    <row r="980" spans="31:36" x14ac:dyDescent="0.25">
      <c r="AE980" s="120"/>
      <c r="AF980" s="120"/>
      <c r="AG980" s="120"/>
      <c r="AH980" s="120"/>
      <c r="AI980" s="120"/>
      <c r="AJ980" s="120"/>
    </row>
    <row r="981" spans="31:36" x14ac:dyDescent="0.25">
      <c r="AE981" s="120"/>
      <c r="AF981" s="120"/>
      <c r="AG981" s="120"/>
      <c r="AH981" s="120"/>
      <c r="AI981" s="120"/>
      <c r="AJ981" s="120"/>
    </row>
    <row r="982" spans="31:36" x14ac:dyDescent="0.25">
      <c r="AE982" s="120"/>
      <c r="AF982" s="120"/>
      <c r="AG982" s="120"/>
      <c r="AH982" s="120"/>
      <c r="AI982" s="120"/>
      <c r="AJ982" s="120"/>
    </row>
    <row r="983" spans="31:36" x14ac:dyDescent="0.25">
      <c r="AE983" s="120"/>
      <c r="AF983" s="120"/>
      <c r="AG983" s="120"/>
      <c r="AH983" s="120"/>
      <c r="AI983" s="120"/>
      <c r="AJ983" s="120"/>
    </row>
    <row r="984" spans="31:36" x14ac:dyDescent="0.25">
      <c r="AE984" s="120"/>
      <c r="AF984" s="120"/>
      <c r="AG984" s="120"/>
      <c r="AH984" s="120"/>
      <c r="AI984" s="120"/>
      <c r="AJ984" s="120"/>
    </row>
    <row r="985" spans="31:36" x14ac:dyDescent="0.25">
      <c r="AE985" s="120"/>
      <c r="AF985" s="120"/>
      <c r="AG985" s="120"/>
      <c r="AH985" s="120"/>
      <c r="AI985" s="120"/>
      <c r="AJ985" s="120"/>
    </row>
    <row r="986" spans="31:36" x14ac:dyDescent="0.25">
      <c r="AE986" s="120"/>
      <c r="AF986" s="120"/>
      <c r="AG986" s="120"/>
      <c r="AH986" s="120"/>
      <c r="AI986" s="120"/>
      <c r="AJ986" s="120"/>
    </row>
    <row r="987" spans="31:36" x14ac:dyDescent="0.25">
      <c r="AE987" s="120"/>
      <c r="AF987" s="120"/>
      <c r="AG987" s="120"/>
      <c r="AH987" s="120"/>
      <c r="AI987" s="120"/>
      <c r="AJ987" s="120"/>
    </row>
    <row r="988" spans="31:36" x14ac:dyDescent="0.25">
      <c r="AE988" s="120"/>
      <c r="AF988" s="120"/>
      <c r="AG988" s="120"/>
      <c r="AH988" s="120"/>
      <c r="AI988" s="120"/>
      <c r="AJ988" s="120"/>
    </row>
    <row r="989" spans="31:36" x14ac:dyDescent="0.25">
      <c r="AE989" s="120"/>
      <c r="AF989" s="120"/>
      <c r="AG989" s="120"/>
      <c r="AH989" s="120"/>
      <c r="AI989" s="120"/>
      <c r="AJ989" s="120"/>
    </row>
    <row r="990" spans="31:36" x14ac:dyDescent="0.25">
      <c r="AE990" s="120"/>
      <c r="AF990" s="120"/>
      <c r="AG990" s="120"/>
      <c r="AH990" s="120"/>
      <c r="AI990" s="120"/>
      <c r="AJ990" s="120"/>
    </row>
    <row r="991" spans="31:36" x14ac:dyDescent="0.25">
      <c r="AE991" s="120"/>
      <c r="AF991" s="120"/>
      <c r="AG991" s="120"/>
      <c r="AH991" s="120"/>
      <c r="AI991" s="120"/>
      <c r="AJ991" s="120"/>
    </row>
    <row r="992" spans="31:36" x14ac:dyDescent="0.25">
      <c r="AE992" s="120"/>
      <c r="AF992" s="120"/>
      <c r="AG992" s="120"/>
      <c r="AH992" s="120"/>
      <c r="AI992" s="120"/>
      <c r="AJ992" s="120"/>
    </row>
    <row r="993" spans="31:36" x14ac:dyDescent="0.25">
      <c r="AE993" s="120"/>
      <c r="AF993" s="120"/>
      <c r="AG993" s="120"/>
      <c r="AH993" s="120"/>
      <c r="AI993" s="120"/>
      <c r="AJ993" s="120"/>
    </row>
    <row r="994" spans="31:36" x14ac:dyDescent="0.25">
      <c r="AE994" s="120"/>
      <c r="AF994" s="120"/>
      <c r="AG994" s="120"/>
      <c r="AH994" s="120"/>
      <c r="AI994" s="120"/>
      <c r="AJ994" s="120"/>
    </row>
    <row r="995" spans="31:36" x14ac:dyDescent="0.25">
      <c r="AE995" s="120"/>
      <c r="AF995" s="120"/>
      <c r="AG995" s="120"/>
      <c r="AH995" s="120"/>
      <c r="AI995" s="120"/>
      <c r="AJ995" s="120"/>
    </row>
    <row r="996" spans="31:36" x14ac:dyDescent="0.25">
      <c r="AE996" s="120"/>
      <c r="AF996" s="120"/>
      <c r="AG996" s="120"/>
      <c r="AH996" s="120"/>
      <c r="AI996" s="120"/>
      <c r="AJ996" s="120"/>
    </row>
    <row r="997" spans="31:36" x14ac:dyDescent="0.25">
      <c r="AE997" s="120"/>
      <c r="AF997" s="120"/>
      <c r="AG997" s="120"/>
      <c r="AH997" s="120"/>
      <c r="AI997" s="120"/>
      <c r="AJ997" s="120"/>
    </row>
    <row r="998" spans="31:36" x14ac:dyDescent="0.25">
      <c r="AE998" s="120"/>
      <c r="AF998" s="120"/>
      <c r="AG998" s="120"/>
      <c r="AH998" s="120"/>
      <c r="AI998" s="120"/>
      <c r="AJ998" s="120"/>
    </row>
    <row r="999" spans="31:36" x14ac:dyDescent="0.25">
      <c r="AE999" s="120"/>
      <c r="AF999" s="120"/>
      <c r="AG999" s="120"/>
      <c r="AH999" s="120"/>
      <c r="AI999" s="120"/>
      <c r="AJ999" s="120"/>
    </row>
    <row r="1000" spans="31:36" x14ac:dyDescent="0.25">
      <c r="AE1000" s="120"/>
      <c r="AF1000" s="120"/>
      <c r="AG1000" s="120"/>
      <c r="AH1000" s="120"/>
      <c r="AI1000" s="120"/>
      <c r="AJ1000" s="120"/>
    </row>
    <row r="1001" spans="31:36" x14ac:dyDescent="0.25">
      <c r="AE1001" s="120"/>
      <c r="AF1001" s="120"/>
      <c r="AG1001" s="120"/>
      <c r="AH1001" s="120"/>
      <c r="AI1001" s="120"/>
      <c r="AJ1001" s="120"/>
    </row>
    <row r="1002" spans="31:36" x14ac:dyDescent="0.25">
      <c r="AE1002" s="120"/>
      <c r="AF1002" s="120"/>
      <c r="AG1002" s="120"/>
      <c r="AH1002" s="120"/>
      <c r="AI1002" s="120"/>
      <c r="AJ1002" s="120"/>
    </row>
    <row r="1003" spans="31:36" x14ac:dyDescent="0.25">
      <c r="AE1003" s="120"/>
      <c r="AF1003" s="120"/>
      <c r="AG1003" s="120"/>
      <c r="AH1003" s="120"/>
      <c r="AI1003" s="120"/>
      <c r="AJ1003" s="120"/>
    </row>
    <row r="1004" spans="31:36" x14ac:dyDescent="0.25">
      <c r="AE1004" s="120"/>
      <c r="AF1004" s="120"/>
      <c r="AG1004" s="120"/>
      <c r="AH1004" s="120"/>
      <c r="AI1004" s="120"/>
      <c r="AJ1004" s="120"/>
    </row>
    <row r="1005" spans="31:36" x14ac:dyDescent="0.25">
      <c r="AE1005" s="120"/>
      <c r="AF1005" s="120"/>
      <c r="AG1005" s="120"/>
      <c r="AH1005" s="120"/>
      <c r="AI1005" s="120"/>
      <c r="AJ1005" s="120"/>
    </row>
    <row r="1006" spans="31:36" x14ac:dyDescent="0.25">
      <c r="AE1006" s="120"/>
      <c r="AF1006" s="120"/>
      <c r="AG1006" s="120"/>
      <c r="AH1006" s="120"/>
      <c r="AI1006" s="120"/>
      <c r="AJ1006" s="120"/>
    </row>
    <row r="1007" spans="31:36" x14ac:dyDescent="0.25">
      <c r="AE1007" s="120"/>
      <c r="AF1007" s="120"/>
      <c r="AG1007" s="120"/>
      <c r="AH1007" s="120"/>
      <c r="AI1007" s="120"/>
      <c r="AJ1007" s="120"/>
    </row>
    <row r="1008" spans="31:36" x14ac:dyDescent="0.25">
      <c r="AE1008" s="120"/>
      <c r="AF1008" s="120"/>
      <c r="AG1008" s="120"/>
      <c r="AH1008" s="120"/>
      <c r="AI1008" s="120"/>
      <c r="AJ1008" s="120"/>
    </row>
    <row r="1009" spans="31:36" x14ac:dyDescent="0.25">
      <c r="AE1009" s="120"/>
      <c r="AF1009" s="120"/>
      <c r="AG1009" s="120"/>
      <c r="AH1009" s="120"/>
      <c r="AI1009" s="120"/>
      <c r="AJ1009" s="120"/>
    </row>
    <row r="1010" spans="31:36" x14ac:dyDescent="0.25">
      <c r="AE1010" s="120"/>
      <c r="AF1010" s="120"/>
      <c r="AG1010" s="120"/>
      <c r="AH1010" s="120"/>
      <c r="AI1010" s="120"/>
      <c r="AJ1010" s="120"/>
    </row>
    <row r="1011" spans="31:36" x14ac:dyDescent="0.25">
      <c r="AE1011" s="120"/>
      <c r="AF1011" s="120"/>
      <c r="AG1011" s="120"/>
      <c r="AH1011" s="120"/>
      <c r="AI1011" s="120"/>
      <c r="AJ1011" s="120"/>
    </row>
    <row r="1012" spans="31:36" x14ac:dyDescent="0.25">
      <c r="AE1012" s="120"/>
      <c r="AF1012" s="120"/>
      <c r="AG1012" s="120"/>
      <c r="AH1012" s="120"/>
      <c r="AI1012" s="120"/>
      <c r="AJ1012" s="120"/>
    </row>
    <row r="1013" spans="31:36" x14ac:dyDescent="0.25">
      <c r="AE1013" s="120"/>
      <c r="AF1013" s="120"/>
      <c r="AG1013" s="120"/>
      <c r="AH1013" s="120"/>
      <c r="AI1013" s="120"/>
      <c r="AJ1013" s="120"/>
    </row>
    <row r="1014" spans="31:36" x14ac:dyDescent="0.25">
      <c r="AE1014" s="120"/>
      <c r="AF1014" s="120"/>
      <c r="AG1014" s="120"/>
      <c r="AH1014" s="120"/>
      <c r="AI1014" s="120"/>
      <c r="AJ1014" s="120"/>
    </row>
    <row r="1015" spans="31:36" x14ac:dyDescent="0.25">
      <c r="AE1015" s="120"/>
      <c r="AF1015" s="120"/>
      <c r="AG1015" s="120"/>
      <c r="AH1015" s="120"/>
      <c r="AI1015" s="120"/>
      <c r="AJ1015" s="120"/>
    </row>
    <row r="1016" spans="31:36" x14ac:dyDescent="0.25">
      <c r="AE1016" s="120"/>
      <c r="AF1016" s="120"/>
      <c r="AG1016" s="120"/>
      <c r="AH1016" s="120"/>
      <c r="AI1016" s="120"/>
      <c r="AJ1016" s="120"/>
    </row>
    <row r="1017" spans="31:36" x14ac:dyDescent="0.25">
      <c r="AE1017" s="120"/>
      <c r="AF1017" s="120"/>
      <c r="AG1017" s="120"/>
      <c r="AH1017" s="120"/>
      <c r="AI1017" s="120"/>
      <c r="AJ1017" s="120"/>
    </row>
    <row r="1018" spans="31:36" x14ac:dyDescent="0.25">
      <c r="AE1018" s="120"/>
      <c r="AF1018" s="120"/>
      <c r="AG1018" s="120"/>
      <c r="AH1018" s="120"/>
      <c r="AI1018" s="120"/>
      <c r="AJ1018" s="120"/>
    </row>
    <row r="1019" spans="31:36" x14ac:dyDescent="0.25">
      <c r="AE1019" s="120"/>
      <c r="AF1019" s="120"/>
      <c r="AG1019" s="120"/>
      <c r="AH1019" s="120"/>
      <c r="AI1019" s="120"/>
      <c r="AJ1019" s="120"/>
    </row>
    <row r="1020" spans="31:36" x14ac:dyDescent="0.25">
      <c r="AE1020" s="120"/>
      <c r="AF1020" s="120"/>
      <c r="AG1020" s="120"/>
      <c r="AH1020" s="120"/>
      <c r="AI1020" s="120"/>
      <c r="AJ1020" s="120"/>
    </row>
    <row r="1021" spans="31:36" x14ac:dyDescent="0.25">
      <c r="AE1021" s="120"/>
      <c r="AF1021" s="120"/>
      <c r="AG1021" s="120"/>
      <c r="AH1021" s="120"/>
      <c r="AI1021" s="120"/>
      <c r="AJ1021" s="120"/>
    </row>
    <row r="1022" spans="31:36" x14ac:dyDescent="0.25">
      <c r="AE1022" s="120"/>
      <c r="AF1022" s="120"/>
      <c r="AG1022" s="120"/>
      <c r="AH1022" s="120"/>
      <c r="AI1022" s="120"/>
      <c r="AJ1022" s="120"/>
    </row>
    <row r="1023" spans="31:36" x14ac:dyDescent="0.25">
      <c r="AE1023" s="120"/>
      <c r="AF1023" s="120"/>
      <c r="AG1023" s="120"/>
      <c r="AH1023" s="120"/>
      <c r="AI1023" s="120"/>
      <c r="AJ1023" s="120"/>
    </row>
    <row r="1024" spans="31:36" x14ac:dyDescent="0.25">
      <c r="AE1024" s="120"/>
      <c r="AF1024" s="120"/>
      <c r="AG1024" s="120"/>
      <c r="AH1024" s="120"/>
      <c r="AI1024" s="120"/>
      <c r="AJ1024" s="120"/>
    </row>
    <row r="1025" spans="31:36" x14ac:dyDescent="0.25">
      <c r="AE1025" s="120"/>
      <c r="AF1025" s="120"/>
      <c r="AG1025" s="120"/>
      <c r="AH1025" s="120"/>
      <c r="AI1025" s="120"/>
      <c r="AJ1025" s="120"/>
    </row>
    <row r="1026" spans="31:36" x14ac:dyDescent="0.25">
      <c r="AE1026" s="120"/>
      <c r="AF1026" s="120"/>
      <c r="AG1026" s="120"/>
      <c r="AH1026" s="120"/>
      <c r="AI1026" s="120"/>
      <c r="AJ1026" s="120"/>
    </row>
    <row r="1027" spans="31:36" x14ac:dyDescent="0.25">
      <c r="AE1027" s="120"/>
      <c r="AF1027" s="120"/>
      <c r="AG1027" s="120"/>
      <c r="AH1027" s="120"/>
      <c r="AI1027" s="120"/>
      <c r="AJ1027" s="120"/>
    </row>
    <row r="1028" spans="31:36" x14ac:dyDescent="0.25">
      <c r="AE1028" s="120"/>
      <c r="AF1028" s="120"/>
      <c r="AG1028" s="120"/>
      <c r="AH1028" s="120"/>
      <c r="AI1028" s="120"/>
      <c r="AJ1028" s="120"/>
    </row>
    <row r="1029" spans="31:36" x14ac:dyDescent="0.25">
      <c r="AE1029" s="120"/>
      <c r="AF1029" s="120"/>
      <c r="AG1029" s="120"/>
      <c r="AH1029" s="120"/>
      <c r="AI1029" s="120"/>
      <c r="AJ1029" s="120"/>
    </row>
    <row r="1030" spans="31:36" x14ac:dyDescent="0.25">
      <c r="AE1030" s="120"/>
      <c r="AF1030" s="120"/>
      <c r="AG1030" s="120"/>
      <c r="AH1030" s="120"/>
      <c r="AI1030" s="120"/>
      <c r="AJ1030" s="120"/>
    </row>
    <row r="1031" spans="31:36" x14ac:dyDescent="0.25">
      <c r="AE1031" s="120"/>
      <c r="AF1031" s="120"/>
      <c r="AG1031" s="120"/>
      <c r="AH1031" s="120"/>
      <c r="AI1031" s="120"/>
      <c r="AJ1031" s="120"/>
    </row>
    <row r="1032" spans="31:36" x14ac:dyDescent="0.25">
      <c r="AE1032" s="120"/>
      <c r="AF1032" s="120"/>
      <c r="AG1032" s="120"/>
      <c r="AH1032" s="120"/>
      <c r="AI1032" s="120"/>
      <c r="AJ1032" s="120"/>
    </row>
    <row r="1033" spans="31:36" x14ac:dyDescent="0.25">
      <c r="AE1033" s="120"/>
      <c r="AF1033" s="120"/>
      <c r="AG1033" s="120"/>
      <c r="AH1033" s="120"/>
      <c r="AI1033" s="120"/>
      <c r="AJ1033" s="120"/>
    </row>
    <row r="1034" spans="31:36" x14ac:dyDescent="0.25">
      <c r="AE1034" s="120"/>
      <c r="AF1034" s="120"/>
      <c r="AG1034" s="120"/>
      <c r="AH1034" s="120"/>
      <c r="AI1034" s="120"/>
      <c r="AJ1034" s="120"/>
    </row>
    <row r="1035" spans="31:36" x14ac:dyDescent="0.25">
      <c r="AE1035" s="120"/>
      <c r="AF1035" s="120"/>
      <c r="AG1035" s="120"/>
      <c r="AH1035" s="120"/>
      <c r="AI1035" s="120"/>
      <c r="AJ1035" s="120"/>
    </row>
    <row r="1036" spans="31:36" x14ac:dyDescent="0.25">
      <c r="AE1036" s="120"/>
      <c r="AF1036" s="120"/>
      <c r="AG1036" s="120"/>
      <c r="AH1036" s="120"/>
      <c r="AI1036" s="120"/>
      <c r="AJ1036" s="120"/>
    </row>
    <row r="1037" spans="31:36" x14ac:dyDescent="0.25">
      <c r="AE1037" s="120"/>
      <c r="AF1037" s="120"/>
      <c r="AG1037" s="120"/>
      <c r="AH1037" s="120"/>
      <c r="AI1037" s="120"/>
      <c r="AJ1037" s="120"/>
    </row>
    <row r="1038" spans="31:36" x14ac:dyDescent="0.25">
      <c r="AE1038" s="120"/>
      <c r="AF1038" s="120"/>
      <c r="AG1038" s="120"/>
      <c r="AH1038" s="120"/>
      <c r="AI1038" s="120"/>
      <c r="AJ1038" s="120"/>
    </row>
    <row r="1039" spans="31:36" x14ac:dyDescent="0.25">
      <c r="AE1039" s="120"/>
      <c r="AF1039" s="120"/>
      <c r="AG1039" s="120"/>
      <c r="AH1039" s="120"/>
      <c r="AI1039" s="120"/>
      <c r="AJ1039" s="120"/>
    </row>
    <row r="1040" spans="31:36" x14ac:dyDescent="0.25">
      <c r="AE1040" s="120"/>
      <c r="AF1040" s="120"/>
      <c r="AG1040" s="120"/>
      <c r="AH1040" s="120"/>
      <c r="AI1040" s="120"/>
      <c r="AJ1040" s="120"/>
    </row>
    <row r="1041" spans="31:36" x14ac:dyDescent="0.25">
      <c r="AE1041" s="120"/>
      <c r="AF1041" s="120"/>
      <c r="AG1041" s="120"/>
      <c r="AH1041" s="120"/>
      <c r="AI1041" s="120"/>
      <c r="AJ1041" s="120"/>
    </row>
    <row r="1042" spans="31:36" x14ac:dyDescent="0.25">
      <c r="AE1042" s="120"/>
      <c r="AF1042" s="120"/>
      <c r="AG1042" s="120"/>
      <c r="AH1042" s="120"/>
      <c r="AI1042" s="120"/>
      <c r="AJ1042" s="120"/>
    </row>
    <row r="1043" spans="31:36" x14ac:dyDescent="0.25">
      <c r="AE1043" s="120"/>
      <c r="AF1043" s="120"/>
      <c r="AG1043" s="120"/>
      <c r="AH1043" s="120"/>
      <c r="AI1043" s="120"/>
      <c r="AJ1043" s="120"/>
    </row>
    <row r="1044" spans="31:36" x14ac:dyDescent="0.25">
      <c r="AE1044" s="120"/>
      <c r="AF1044" s="120"/>
      <c r="AG1044" s="120"/>
      <c r="AH1044" s="120"/>
      <c r="AI1044" s="120"/>
      <c r="AJ1044" s="120"/>
    </row>
    <row r="1045" spans="31:36" x14ac:dyDescent="0.25">
      <c r="AE1045" s="120"/>
      <c r="AF1045" s="120"/>
      <c r="AG1045" s="120"/>
      <c r="AH1045" s="120"/>
      <c r="AI1045" s="120"/>
      <c r="AJ1045" s="120"/>
    </row>
    <row r="1046" spans="31:36" x14ac:dyDescent="0.25">
      <c r="AE1046" s="120"/>
      <c r="AF1046" s="120"/>
      <c r="AG1046" s="120"/>
      <c r="AH1046" s="120"/>
      <c r="AI1046" s="120"/>
      <c r="AJ1046" s="120"/>
    </row>
    <row r="1047" spans="31:36" x14ac:dyDescent="0.25">
      <c r="AE1047" s="120"/>
      <c r="AF1047" s="120"/>
      <c r="AG1047" s="120"/>
      <c r="AH1047" s="120"/>
      <c r="AI1047" s="120"/>
      <c r="AJ1047" s="120"/>
    </row>
    <row r="1048" spans="31:36" x14ac:dyDescent="0.25">
      <c r="AE1048" s="120"/>
      <c r="AF1048" s="120"/>
      <c r="AG1048" s="120"/>
      <c r="AH1048" s="120"/>
      <c r="AI1048" s="120"/>
      <c r="AJ1048" s="120"/>
    </row>
    <row r="1049" spans="31:36" x14ac:dyDescent="0.25">
      <c r="AE1049" s="120"/>
      <c r="AF1049" s="120"/>
      <c r="AG1049" s="120"/>
      <c r="AH1049" s="120"/>
      <c r="AI1049" s="120"/>
      <c r="AJ1049" s="120"/>
    </row>
    <row r="1050" spans="31:36" x14ac:dyDescent="0.25">
      <c r="AE1050" s="120"/>
      <c r="AF1050" s="120"/>
      <c r="AG1050" s="120"/>
      <c r="AH1050" s="120"/>
      <c r="AI1050" s="120"/>
      <c r="AJ1050" s="120"/>
    </row>
    <row r="1051" spans="31:36" x14ac:dyDescent="0.25">
      <c r="AE1051" s="120"/>
      <c r="AF1051" s="120"/>
      <c r="AG1051" s="120"/>
      <c r="AH1051" s="120"/>
      <c r="AI1051" s="120"/>
      <c r="AJ1051" s="120"/>
    </row>
    <row r="1052" spans="31:36" x14ac:dyDescent="0.25">
      <c r="AE1052" s="120"/>
      <c r="AF1052" s="120"/>
      <c r="AG1052" s="120"/>
      <c r="AH1052" s="120"/>
      <c r="AI1052" s="120"/>
      <c r="AJ1052" s="120"/>
    </row>
    <row r="1053" spans="31:36" x14ac:dyDescent="0.25">
      <c r="AE1053" s="120"/>
      <c r="AF1053" s="120"/>
      <c r="AG1053" s="120"/>
      <c r="AH1053" s="120"/>
      <c r="AI1053" s="120"/>
      <c r="AJ1053" s="120"/>
    </row>
    <row r="1054" spans="31:36" x14ac:dyDescent="0.25">
      <c r="AE1054" s="120"/>
      <c r="AF1054" s="120"/>
      <c r="AG1054" s="120"/>
      <c r="AH1054" s="120"/>
      <c r="AI1054" s="120"/>
      <c r="AJ1054" s="120"/>
    </row>
    <row r="1055" spans="31:36" x14ac:dyDescent="0.25">
      <c r="AE1055" s="120"/>
      <c r="AF1055" s="120"/>
      <c r="AG1055" s="120"/>
      <c r="AH1055" s="120"/>
      <c r="AI1055" s="120"/>
      <c r="AJ1055" s="120"/>
    </row>
    <row r="1056" spans="31:36" x14ac:dyDescent="0.25">
      <c r="AE1056" s="120"/>
      <c r="AF1056" s="120"/>
      <c r="AG1056" s="120"/>
      <c r="AH1056" s="120"/>
      <c r="AI1056" s="120"/>
      <c r="AJ1056" s="120"/>
    </row>
    <row r="1057" spans="31:36" x14ac:dyDescent="0.25">
      <c r="AE1057" s="120"/>
      <c r="AF1057" s="120"/>
      <c r="AG1057" s="120"/>
      <c r="AH1057" s="120"/>
      <c r="AI1057" s="120"/>
      <c r="AJ1057" s="120"/>
    </row>
    <row r="1058" spans="31:36" x14ac:dyDescent="0.25">
      <c r="AE1058" s="120"/>
      <c r="AF1058" s="120"/>
      <c r="AG1058" s="120"/>
      <c r="AH1058" s="120"/>
      <c r="AI1058" s="120"/>
      <c r="AJ1058" s="120"/>
    </row>
    <row r="1059" spans="31:36" x14ac:dyDescent="0.25">
      <c r="AE1059" s="120"/>
      <c r="AF1059" s="120"/>
      <c r="AG1059" s="120"/>
      <c r="AH1059" s="120"/>
      <c r="AI1059" s="120"/>
      <c r="AJ1059" s="120"/>
    </row>
    <row r="1060" spans="31:36" x14ac:dyDescent="0.25">
      <c r="AE1060" s="120"/>
      <c r="AF1060" s="120"/>
      <c r="AG1060" s="120"/>
      <c r="AH1060" s="120"/>
      <c r="AI1060" s="120"/>
      <c r="AJ1060" s="120"/>
    </row>
    <row r="1061" spans="31:36" x14ac:dyDescent="0.25">
      <c r="AE1061" s="120"/>
      <c r="AF1061" s="120"/>
      <c r="AG1061" s="120"/>
      <c r="AH1061" s="120"/>
      <c r="AI1061" s="120"/>
      <c r="AJ1061" s="120"/>
    </row>
    <row r="1062" spans="31:36" x14ac:dyDescent="0.25">
      <c r="AE1062" s="120"/>
      <c r="AF1062" s="120"/>
      <c r="AG1062" s="120"/>
      <c r="AH1062" s="120"/>
      <c r="AI1062" s="120"/>
      <c r="AJ1062" s="120"/>
    </row>
    <row r="1063" spans="31:36" x14ac:dyDescent="0.25">
      <c r="AE1063" s="120"/>
      <c r="AF1063" s="120"/>
      <c r="AG1063" s="120"/>
      <c r="AH1063" s="120"/>
      <c r="AI1063" s="120"/>
      <c r="AJ1063" s="120"/>
    </row>
    <row r="1064" spans="31:36" x14ac:dyDescent="0.25">
      <c r="AE1064" s="120"/>
      <c r="AF1064" s="120"/>
      <c r="AG1064" s="120"/>
      <c r="AH1064" s="120"/>
      <c r="AI1064" s="120"/>
      <c r="AJ1064" s="120"/>
    </row>
    <row r="1065" spans="31:36" x14ac:dyDescent="0.25">
      <c r="AE1065" s="120"/>
      <c r="AF1065" s="120"/>
      <c r="AG1065" s="120"/>
      <c r="AH1065" s="120"/>
      <c r="AI1065" s="120"/>
      <c r="AJ1065" s="120"/>
    </row>
    <row r="1066" spans="31:36" x14ac:dyDescent="0.25">
      <c r="AE1066" s="120"/>
      <c r="AF1066" s="120"/>
      <c r="AG1066" s="120"/>
      <c r="AH1066" s="120"/>
      <c r="AI1066" s="120"/>
      <c r="AJ1066" s="120"/>
    </row>
    <row r="1067" spans="31:36" x14ac:dyDescent="0.25">
      <c r="AE1067" s="120"/>
      <c r="AF1067" s="120"/>
      <c r="AG1067" s="120"/>
      <c r="AH1067" s="120"/>
      <c r="AI1067" s="120"/>
      <c r="AJ1067" s="120"/>
    </row>
    <row r="1068" spans="31:36" x14ac:dyDescent="0.25">
      <c r="AE1068" s="120"/>
      <c r="AF1068" s="120"/>
      <c r="AG1068" s="120"/>
      <c r="AH1068" s="120"/>
      <c r="AI1068" s="120"/>
      <c r="AJ1068" s="120"/>
    </row>
    <row r="1069" spans="31:36" x14ac:dyDescent="0.25">
      <c r="AE1069" s="120"/>
      <c r="AF1069" s="120"/>
      <c r="AG1069" s="120"/>
      <c r="AH1069" s="120"/>
      <c r="AI1069" s="120"/>
      <c r="AJ1069" s="120"/>
    </row>
    <row r="1070" spans="31:36" x14ac:dyDescent="0.25">
      <c r="AE1070" s="120"/>
      <c r="AF1070" s="120"/>
      <c r="AG1070" s="120"/>
      <c r="AH1070" s="120"/>
      <c r="AI1070" s="120"/>
      <c r="AJ1070" s="120"/>
    </row>
    <row r="1071" spans="31:36" x14ac:dyDescent="0.25">
      <c r="AE1071" s="120"/>
      <c r="AF1071" s="120"/>
      <c r="AG1071" s="120"/>
      <c r="AH1071" s="120"/>
      <c r="AI1071" s="120"/>
      <c r="AJ1071" s="120"/>
    </row>
    <row r="1072" spans="31:36" x14ac:dyDescent="0.25">
      <c r="AE1072" s="120"/>
      <c r="AF1072" s="120"/>
      <c r="AG1072" s="120"/>
      <c r="AH1072" s="120"/>
      <c r="AI1072" s="120"/>
      <c r="AJ1072" s="120"/>
    </row>
    <row r="1073" spans="31:36" x14ac:dyDescent="0.25">
      <c r="AE1073" s="120"/>
      <c r="AF1073" s="120"/>
      <c r="AG1073" s="120"/>
      <c r="AH1073" s="120"/>
      <c r="AI1073" s="120"/>
      <c r="AJ1073" s="120"/>
    </row>
    <row r="1074" spans="31:36" x14ac:dyDescent="0.25">
      <c r="AE1074" s="120"/>
      <c r="AF1074" s="120"/>
      <c r="AG1074" s="120"/>
      <c r="AH1074" s="120"/>
      <c r="AI1074" s="120"/>
      <c r="AJ1074" s="120"/>
    </row>
    <row r="1075" spans="31:36" x14ac:dyDescent="0.25">
      <c r="AE1075" s="120"/>
      <c r="AF1075" s="120"/>
      <c r="AG1075" s="120"/>
      <c r="AH1075" s="120"/>
      <c r="AI1075" s="120"/>
      <c r="AJ1075" s="120"/>
    </row>
    <row r="1076" spans="31:36" x14ac:dyDescent="0.25">
      <c r="AE1076" s="120"/>
      <c r="AF1076" s="120"/>
      <c r="AG1076" s="120"/>
      <c r="AH1076" s="120"/>
      <c r="AI1076" s="120"/>
      <c r="AJ1076" s="120"/>
    </row>
    <row r="1077" spans="31:36" x14ac:dyDescent="0.25">
      <c r="AE1077" s="120"/>
      <c r="AF1077" s="120"/>
      <c r="AG1077" s="120"/>
      <c r="AH1077" s="120"/>
      <c r="AI1077" s="120"/>
      <c r="AJ1077" s="120"/>
    </row>
    <row r="1078" spans="31:36" x14ac:dyDescent="0.25">
      <c r="AE1078" s="120"/>
      <c r="AF1078" s="120"/>
      <c r="AG1078" s="120"/>
      <c r="AH1078" s="120"/>
      <c r="AI1078" s="120"/>
      <c r="AJ1078" s="120"/>
    </row>
    <row r="1079" spans="31:36" x14ac:dyDescent="0.25">
      <c r="AE1079" s="120"/>
      <c r="AF1079" s="120"/>
      <c r="AG1079" s="120"/>
      <c r="AH1079" s="120"/>
      <c r="AI1079" s="120"/>
      <c r="AJ1079" s="120"/>
    </row>
    <row r="1080" spans="31:36" x14ac:dyDescent="0.25">
      <c r="AE1080" s="120"/>
      <c r="AF1080" s="120"/>
      <c r="AG1080" s="120"/>
      <c r="AH1080" s="120"/>
      <c r="AI1080" s="120"/>
      <c r="AJ1080" s="120"/>
    </row>
    <row r="1081" spans="31:36" x14ac:dyDescent="0.25">
      <c r="AE1081" s="120"/>
      <c r="AF1081" s="120"/>
      <c r="AG1081" s="120"/>
      <c r="AH1081" s="120"/>
      <c r="AI1081" s="120"/>
      <c r="AJ1081" s="120"/>
    </row>
    <row r="1082" spans="31:36" x14ac:dyDescent="0.25">
      <c r="AE1082" s="120"/>
      <c r="AF1082" s="120"/>
      <c r="AG1082" s="120"/>
      <c r="AH1082" s="120"/>
      <c r="AI1082" s="120"/>
      <c r="AJ1082" s="120"/>
    </row>
    <row r="1083" spans="31:36" x14ac:dyDescent="0.25">
      <c r="AE1083" s="120"/>
      <c r="AF1083" s="120"/>
      <c r="AG1083" s="120"/>
      <c r="AH1083" s="120"/>
      <c r="AI1083" s="120"/>
      <c r="AJ1083" s="120"/>
    </row>
    <row r="1084" spans="31:36" x14ac:dyDescent="0.25">
      <c r="AE1084" s="120"/>
      <c r="AF1084" s="120"/>
      <c r="AG1084" s="120"/>
      <c r="AH1084" s="120"/>
      <c r="AI1084" s="120"/>
      <c r="AJ1084" s="120"/>
    </row>
    <row r="1085" spans="31:36" x14ac:dyDescent="0.25">
      <c r="AE1085" s="120"/>
      <c r="AF1085" s="120"/>
      <c r="AG1085" s="120"/>
      <c r="AH1085" s="120"/>
      <c r="AI1085" s="120"/>
      <c r="AJ1085" s="120"/>
    </row>
    <row r="1086" spans="31:36" x14ac:dyDescent="0.25">
      <c r="AE1086" s="120"/>
      <c r="AF1086" s="120"/>
      <c r="AG1086" s="120"/>
      <c r="AH1086" s="120"/>
      <c r="AI1086" s="120"/>
      <c r="AJ1086" s="120"/>
    </row>
    <row r="1087" spans="31:36" x14ac:dyDescent="0.25">
      <c r="AE1087" s="120"/>
      <c r="AF1087" s="120"/>
      <c r="AG1087" s="120"/>
      <c r="AH1087" s="120"/>
      <c r="AI1087" s="120"/>
      <c r="AJ1087" s="120"/>
    </row>
    <row r="1088" spans="31:36" x14ac:dyDescent="0.25">
      <c r="AE1088" s="120"/>
      <c r="AF1088" s="120"/>
      <c r="AG1088" s="120"/>
      <c r="AH1088" s="120"/>
      <c r="AI1088" s="120"/>
      <c r="AJ1088" s="120"/>
    </row>
    <row r="1089" spans="31:36" x14ac:dyDescent="0.25">
      <c r="AE1089" s="120"/>
      <c r="AF1089" s="120"/>
      <c r="AG1089" s="120"/>
      <c r="AH1089" s="120"/>
      <c r="AI1089" s="120"/>
      <c r="AJ1089" s="120"/>
    </row>
    <row r="1090" spans="31:36" x14ac:dyDescent="0.25">
      <c r="AE1090" s="120"/>
      <c r="AF1090" s="120"/>
      <c r="AG1090" s="120"/>
      <c r="AH1090" s="120"/>
      <c r="AI1090" s="120"/>
      <c r="AJ1090" s="120"/>
    </row>
    <row r="1091" spans="31:36" x14ac:dyDescent="0.25">
      <c r="AE1091" s="120"/>
      <c r="AF1091" s="120"/>
      <c r="AG1091" s="120"/>
      <c r="AH1091" s="120"/>
      <c r="AI1091" s="120"/>
      <c r="AJ1091" s="120"/>
    </row>
    <row r="1092" spans="31:36" x14ac:dyDescent="0.25">
      <c r="AE1092" s="120"/>
      <c r="AF1092" s="120"/>
      <c r="AG1092" s="120"/>
      <c r="AH1092" s="120"/>
      <c r="AI1092" s="120"/>
      <c r="AJ1092" s="120"/>
    </row>
    <row r="1093" spans="31:36" x14ac:dyDescent="0.25">
      <c r="AE1093" s="120"/>
      <c r="AF1093" s="120"/>
      <c r="AG1093" s="120"/>
      <c r="AH1093" s="120"/>
      <c r="AI1093" s="120"/>
      <c r="AJ1093" s="120"/>
    </row>
    <row r="1094" spans="31:36" x14ac:dyDescent="0.25">
      <c r="AE1094" s="120"/>
      <c r="AF1094" s="120"/>
      <c r="AG1094" s="120"/>
      <c r="AH1094" s="120"/>
      <c r="AI1094" s="120"/>
      <c r="AJ1094" s="120"/>
    </row>
    <row r="1095" spans="31:36" x14ac:dyDescent="0.25">
      <c r="AE1095" s="120"/>
      <c r="AF1095" s="120"/>
      <c r="AG1095" s="120"/>
      <c r="AH1095" s="120"/>
      <c r="AI1095" s="120"/>
      <c r="AJ1095" s="120"/>
    </row>
    <row r="1096" spans="31:36" x14ac:dyDescent="0.25">
      <c r="AE1096" s="120"/>
      <c r="AF1096" s="120"/>
      <c r="AG1096" s="120"/>
      <c r="AH1096" s="120"/>
      <c r="AI1096" s="120"/>
      <c r="AJ1096" s="120"/>
    </row>
    <row r="1097" spans="31:36" x14ac:dyDescent="0.25">
      <c r="AE1097" s="120"/>
      <c r="AF1097" s="120"/>
      <c r="AG1097" s="120"/>
      <c r="AH1097" s="120"/>
      <c r="AI1097" s="120"/>
      <c r="AJ1097" s="120"/>
    </row>
    <row r="1098" spans="31:36" x14ac:dyDescent="0.25">
      <c r="AE1098" s="120"/>
      <c r="AF1098" s="120"/>
      <c r="AG1098" s="120"/>
      <c r="AH1098" s="120"/>
      <c r="AI1098" s="120"/>
      <c r="AJ1098" s="120"/>
    </row>
    <row r="1099" spans="31:36" x14ac:dyDescent="0.25">
      <c r="AE1099" s="120"/>
      <c r="AF1099" s="120"/>
      <c r="AG1099" s="120"/>
      <c r="AH1099" s="120"/>
      <c r="AI1099" s="120"/>
      <c r="AJ1099" s="120"/>
    </row>
    <row r="1100" spans="31:36" x14ac:dyDescent="0.25">
      <c r="AE1100" s="120"/>
      <c r="AF1100" s="120"/>
      <c r="AG1100" s="120"/>
      <c r="AH1100" s="120"/>
      <c r="AI1100" s="120"/>
      <c r="AJ1100" s="120"/>
    </row>
    <row r="1101" spans="31:36" x14ac:dyDescent="0.25">
      <c r="AE1101" s="120"/>
      <c r="AF1101" s="120"/>
      <c r="AG1101" s="120"/>
      <c r="AH1101" s="120"/>
      <c r="AI1101" s="120"/>
      <c r="AJ1101" s="120"/>
    </row>
    <row r="1102" spans="31:36" x14ac:dyDescent="0.25">
      <c r="AE1102" s="120"/>
      <c r="AF1102" s="120"/>
      <c r="AG1102" s="120"/>
      <c r="AH1102" s="120"/>
      <c r="AI1102" s="120"/>
      <c r="AJ1102" s="120"/>
    </row>
    <row r="1103" spans="31:36" x14ac:dyDescent="0.25">
      <c r="AE1103" s="120"/>
      <c r="AF1103" s="120"/>
      <c r="AG1103" s="120"/>
      <c r="AH1103" s="120"/>
      <c r="AI1103" s="120"/>
      <c r="AJ1103" s="120"/>
    </row>
    <row r="1104" spans="31:36" x14ac:dyDescent="0.25">
      <c r="AE1104" s="120"/>
      <c r="AF1104" s="120"/>
      <c r="AG1104" s="120"/>
      <c r="AH1104" s="120"/>
      <c r="AI1104" s="120"/>
      <c r="AJ1104" s="120"/>
    </row>
    <row r="1105" spans="31:36" x14ac:dyDescent="0.25">
      <c r="AE1105" s="120"/>
      <c r="AF1105" s="120"/>
      <c r="AG1105" s="120"/>
      <c r="AH1105" s="120"/>
      <c r="AI1105" s="120"/>
      <c r="AJ1105" s="120"/>
    </row>
    <row r="1106" spans="31:36" x14ac:dyDescent="0.25">
      <c r="AE1106" s="120"/>
      <c r="AF1106" s="120"/>
      <c r="AG1106" s="120"/>
      <c r="AH1106" s="120"/>
      <c r="AI1106" s="120"/>
      <c r="AJ1106" s="120"/>
    </row>
    <row r="1107" spans="31:36" x14ac:dyDescent="0.25">
      <c r="AE1107" s="120"/>
      <c r="AF1107" s="120"/>
      <c r="AG1107" s="120"/>
      <c r="AH1107" s="120"/>
      <c r="AI1107" s="120"/>
      <c r="AJ1107" s="120"/>
    </row>
    <row r="1108" spans="31:36" x14ac:dyDescent="0.25">
      <c r="AE1108" s="120"/>
      <c r="AF1108" s="120"/>
      <c r="AG1108" s="120"/>
      <c r="AH1108" s="120"/>
      <c r="AI1108" s="120"/>
      <c r="AJ1108" s="120"/>
    </row>
    <row r="1109" spans="31:36" x14ac:dyDescent="0.25">
      <c r="AE1109" s="120"/>
      <c r="AF1109" s="120"/>
      <c r="AG1109" s="120"/>
      <c r="AH1109" s="120"/>
      <c r="AI1109" s="120"/>
      <c r="AJ1109" s="120"/>
    </row>
    <row r="1110" spans="31:36" x14ac:dyDescent="0.25">
      <c r="AE1110" s="120"/>
      <c r="AF1110" s="120"/>
      <c r="AG1110" s="120"/>
      <c r="AH1110" s="120"/>
      <c r="AI1110" s="120"/>
      <c r="AJ1110" s="120"/>
    </row>
    <row r="1111" spans="31:36" x14ac:dyDescent="0.25">
      <c r="AE1111" s="120"/>
      <c r="AF1111" s="120"/>
      <c r="AG1111" s="120"/>
      <c r="AH1111" s="120"/>
      <c r="AI1111" s="120"/>
      <c r="AJ1111" s="120"/>
    </row>
    <row r="1112" spans="31:36" x14ac:dyDescent="0.25">
      <c r="AE1112" s="120"/>
      <c r="AF1112" s="120"/>
      <c r="AG1112" s="120"/>
      <c r="AH1112" s="120"/>
      <c r="AI1112" s="120"/>
      <c r="AJ1112" s="120"/>
    </row>
    <row r="1113" spans="31:36" x14ac:dyDescent="0.25">
      <c r="AE1113" s="120"/>
      <c r="AF1113" s="120"/>
      <c r="AG1113" s="120"/>
      <c r="AH1113" s="120"/>
      <c r="AI1113" s="120"/>
      <c r="AJ1113" s="120"/>
    </row>
    <row r="1114" spans="31:36" x14ac:dyDescent="0.25">
      <c r="AE1114" s="120"/>
      <c r="AF1114" s="120"/>
      <c r="AG1114" s="120"/>
      <c r="AH1114" s="120"/>
      <c r="AI1114" s="120"/>
      <c r="AJ1114" s="120"/>
    </row>
    <row r="1115" spans="31:36" x14ac:dyDescent="0.25">
      <c r="AE1115" s="120"/>
      <c r="AF1115" s="120"/>
      <c r="AG1115" s="120"/>
      <c r="AH1115" s="120"/>
      <c r="AI1115" s="120"/>
      <c r="AJ1115" s="120"/>
    </row>
    <row r="1116" spans="31:36" x14ac:dyDescent="0.25">
      <c r="AE1116" s="120"/>
      <c r="AF1116" s="120"/>
      <c r="AG1116" s="120"/>
      <c r="AH1116" s="120"/>
      <c r="AI1116" s="120"/>
      <c r="AJ1116" s="120"/>
    </row>
    <row r="1117" spans="31:36" x14ac:dyDescent="0.25">
      <c r="AE1117" s="120"/>
      <c r="AF1117" s="120"/>
      <c r="AG1117" s="120"/>
      <c r="AH1117" s="120"/>
      <c r="AI1117" s="120"/>
      <c r="AJ1117" s="120"/>
    </row>
    <row r="1118" spans="31:36" x14ac:dyDescent="0.25">
      <c r="AE1118" s="120"/>
      <c r="AF1118" s="120"/>
      <c r="AG1118" s="120"/>
      <c r="AH1118" s="120"/>
      <c r="AI1118" s="120"/>
      <c r="AJ1118" s="120"/>
    </row>
    <row r="1119" spans="31:36" x14ac:dyDescent="0.25">
      <c r="AE1119" s="120"/>
      <c r="AF1119" s="120"/>
      <c r="AG1119" s="120"/>
      <c r="AH1119" s="120"/>
      <c r="AI1119" s="120"/>
      <c r="AJ1119" s="120"/>
    </row>
    <row r="1120" spans="31:36" x14ac:dyDescent="0.25">
      <c r="AE1120" s="120"/>
      <c r="AF1120" s="120"/>
      <c r="AG1120" s="120"/>
      <c r="AH1120" s="120"/>
      <c r="AI1120" s="120"/>
      <c r="AJ1120" s="120"/>
    </row>
    <row r="1121" spans="31:36" x14ac:dyDescent="0.25">
      <c r="AE1121" s="120"/>
      <c r="AF1121" s="120"/>
      <c r="AG1121" s="120"/>
      <c r="AH1121" s="120"/>
      <c r="AI1121" s="120"/>
      <c r="AJ1121" s="120"/>
    </row>
    <row r="1122" spans="31:36" x14ac:dyDescent="0.25">
      <c r="AE1122" s="120"/>
      <c r="AF1122" s="120"/>
      <c r="AG1122" s="120"/>
      <c r="AH1122" s="120"/>
      <c r="AI1122" s="120"/>
      <c r="AJ1122" s="120"/>
    </row>
    <row r="1123" spans="31:36" x14ac:dyDescent="0.25">
      <c r="AE1123" s="120"/>
      <c r="AF1123" s="120"/>
      <c r="AG1123" s="120"/>
      <c r="AH1123" s="120"/>
      <c r="AI1123" s="120"/>
      <c r="AJ1123" s="120"/>
    </row>
    <row r="1124" spans="31:36" x14ac:dyDescent="0.25">
      <c r="AE1124" s="120"/>
      <c r="AF1124" s="120"/>
      <c r="AG1124" s="120"/>
      <c r="AH1124" s="120"/>
      <c r="AI1124" s="120"/>
      <c r="AJ1124" s="120"/>
    </row>
    <row r="1125" spans="31:36" x14ac:dyDescent="0.25">
      <c r="AE1125" s="120"/>
      <c r="AF1125" s="120"/>
      <c r="AG1125" s="120"/>
      <c r="AH1125" s="120"/>
      <c r="AI1125" s="120"/>
      <c r="AJ1125" s="120"/>
    </row>
    <row r="1126" spans="31:36" x14ac:dyDescent="0.25">
      <c r="AE1126" s="120"/>
      <c r="AF1126" s="120"/>
      <c r="AG1126" s="120"/>
      <c r="AH1126" s="120"/>
      <c r="AI1126" s="120"/>
      <c r="AJ1126" s="120"/>
    </row>
    <row r="1127" spans="31:36" x14ac:dyDescent="0.25">
      <c r="AE1127" s="120"/>
      <c r="AF1127" s="120"/>
      <c r="AG1127" s="120"/>
      <c r="AH1127" s="120"/>
      <c r="AI1127" s="120"/>
      <c r="AJ1127" s="120"/>
    </row>
    <row r="1128" spans="31:36" x14ac:dyDescent="0.25">
      <c r="AE1128" s="120"/>
      <c r="AF1128" s="120"/>
      <c r="AG1128" s="120"/>
      <c r="AH1128" s="120"/>
      <c r="AI1128" s="120"/>
      <c r="AJ1128" s="120"/>
    </row>
    <row r="1129" spans="31:36" x14ac:dyDescent="0.25">
      <c r="AE1129" s="120"/>
      <c r="AF1129" s="120"/>
      <c r="AG1129" s="120"/>
      <c r="AH1129" s="120"/>
      <c r="AI1129" s="120"/>
      <c r="AJ1129" s="120"/>
    </row>
    <row r="1130" spans="31:36" x14ac:dyDescent="0.25">
      <c r="AE1130" s="120"/>
      <c r="AF1130" s="120"/>
      <c r="AG1130" s="120"/>
      <c r="AH1130" s="120"/>
      <c r="AI1130" s="120"/>
      <c r="AJ1130" s="120"/>
    </row>
    <row r="1131" spans="31:36" x14ac:dyDescent="0.25">
      <c r="AE1131" s="120"/>
      <c r="AF1131" s="120"/>
      <c r="AG1131" s="120"/>
      <c r="AH1131" s="120"/>
      <c r="AI1131" s="120"/>
      <c r="AJ1131" s="120"/>
    </row>
    <row r="1132" spans="31:36" x14ac:dyDescent="0.25">
      <c r="AE1132" s="120"/>
      <c r="AF1132" s="120"/>
      <c r="AG1132" s="120"/>
      <c r="AH1132" s="120"/>
      <c r="AI1132" s="120"/>
      <c r="AJ1132" s="120"/>
    </row>
    <row r="1133" spans="31:36" x14ac:dyDescent="0.25">
      <c r="AE1133" s="120"/>
      <c r="AF1133" s="120"/>
      <c r="AG1133" s="120"/>
      <c r="AH1133" s="120"/>
      <c r="AI1133" s="120"/>
      <c r="AJ1133" s="120"/>
    </row>
    <row r="1134" spans="31:36" x14ac:dyDescent="0.25">
      <c r="AE1134" s="120"/>
      <c r="AF1134" s="120"/>
      <c r="AG1134" s="120"/>
      <c r="AH1134" s="120"/>
      <c r="AI1134" s="120"/>
      <c r="AJ1134" s="120"/>
    </row>
    <row r="1135" spans="31:36" x14ac:dyDescent="0.25">
      <c r="AE1135" s="120"/>
      <c r="AF1135" s="120"/>
      <c r="AG1135" s="120"/>
      <c r="AH1135" s="120"/>
      <c r="AI1135" s="120"/>
      <c r="AJ1135" s="120"/>
    </row>
    <row r="1136" spans="31:36" x14ac:dyDescent="0.25">
      <c r="AE1136" s="120"/>
      <c r="AF1136" s="120"/>
      <c r="AG1136" s="120"/>
      <c r="AH1136" s="120"/>
      <c r="AI1136" s="120"/>
      <c r="AJ1136" s="120"/>
    </row>
    <row r="1137" spans="31:36" x14ac:dyDescent="0.25">
      <c r="AE1137" s="120"/>
      <c r="AF1137" s="120"/>
      <c r="AG1137" s="120"/>
      <c r="AH1137" s="120"/>
      <c r="AI1137" s="120"/>
      <c r="AJ1137" s="120"/>
    </row>
    <row r="1138" spans="31:36" x14ac:dyDescent="0.25">
      <c r="AE1138" s="120"/>
      <c r="AF1138" s="120"/>
      <c r="AG1138" s="120"/>
      <c r="AH1138" s="120"/>
      <c r="AI1138" s="120"/>
      <c r="AJ1138" s="120"/>
    </row>
    <row r="1139" spans="31:36" x14ac:dyDescent="0.25">
      <c r="AE1139" s="120"/>
      <c r="AF1139" s="120"/>
      <c r="AG1139" s="120"/>
      <c r="AH1139" s="120"/>
      <c r="AI1139" s="120"/>
      <c r="AJ1139" s="120"/>
    </row>
    <row r="1140" spans="31:36" x14ac:dyDescent="0.25">
      <c r="AE1140" s="120"/>
      <c r="AF1140" s="120"/>
      <c r="AG1140" s="120"/>
      <c r="AH1140" s="120"/>
      <c r="AI1140" s="120"/>
      <c r="AJ1140" s="120"/>
    </row>
    <row r="1141" spans="31:36" x14ac:dyDescent="0.25">
      <c r="AE1141" s="120"/>
      <c r="AF1141" s="120"/>
      <c r="AG1141" s="120"/>
      <c r="AH1141" s="120"/>
      <c r="AI1141" s="120"/>
      <c r="AJ1141" s="120"/>
    </row>
    <row r="1142" spans="31:36" x14ac:dyDescent="0.25">
      <c r="AE1142" s="120"/>
      <c r="AF1142" s="120"/>
      <c r="AG1142" s="120"/>
      <c r="AH1142" s="120"/>
      <c r="AI1142" s="120"/>
      <c r="AJ1142" s="120"/>
    </row>
    <row r="1143" spans="31:36" x14ac:dyDescent="0.25">
      <c r="AE1143" s="120"/>
      <c r="AF1143" s="120"/>
      <c r="AG1143" s="120"/>
      <c r="AH1143" s="120"/>
      <c r="AI1143" s="120"/>
      <c r="AJ1143" s="120"/>
    </row>
    <row r="1144" spans="31:36" x14ac:dyDescent="0.25">
      <c r="AE1144" s="120"/>
      <c r="AF1144" s="120"/>
      <c r="AG1144" s="120"/>
      <c r="AH1144" s="120"/>
      <c r="AI1144" s="120"/>
      <c r="AJ1144" s="120"/>
    </row>
    <row r="1145" spans="31:36" x14ac:dyDescent="0.25">
      <c r="AE1145" s="120"/>
      <c r="AF1145" s="120"/>
      <c r="AG1145" s="120"/>
      <c r="AH1145" s="120"/>
      <c r="AI1145" s="120"/>
      <c r="AJ1145" s="120"/>
    </row>
    <row r="1146" spans="31:36" x14ac:dyDescent="0.25">
      <c r="AE1146" s="120"/>
      <c r="AF1146" s="120"/>
      <c r="AG1146" s="120"/>
      <c r="AH1146" s="120"/>
      <c r="AI1146" s="120"/>
      <c r="AJ1146" s="120"/>
    </row>
    <row r="1147" spans="31:36" x14ac:dyDescent="0.25">
      <c r="AE1147" s="120"/>
      <c r="AF1147" s="120"/>
      <c r="AG1147" s="120"/>
      <c r="AH1147" s="120"/>
      <c r="AI1147" s="120"/>
      <c r="AJ1147" s="120"/>
    </row>
    <row r="1148" spans="31:36" x14ac:dyDescent="0.25">
      <c r="AE1148" s="120"/>
      <c r="AF1148" s="120"/>
      <c r="AG1148" s="120"/>
      <c r="AH1148" s="120"/>
      <c r="AI1148" s="120"/>
      <c r="AJ1148" s="120"/>
    </row>
    <row r="1149" spans="31:36" x14ac:dyDescent="0.25">
      <c r="AE1149" s="120"/>
      <c r="AF1149" s="120"/>
      <c r="AG1149" s="120"/>
      <c r="AH1149" s="120"/>
      <c r="AI1149" s="120"/>
      <c r="AJ1149" s="120"/>
    </row>
    <row r="1150" spans="31:36" x14ac:dyDescent="0.25">
      <c r="AE1150" s="120"/>
      <c r="AF1150" s="120"/>
      <c r="AG1150" s="120"/>
      <c r="AH1150" s="120"/>
      <c r="AI1150" s="120"/>
      <c r="AJ1150" s="120"/>
    </row>
    <row r="1151" spans="31:36" x14ac:dyDescent="0.25">
      <c r="AE1151" s="120"/>
      <c r="AF1151" s="120"/>
      <c r="AG1151" s="120"/>
      <c r="AH1151" s="120"/>
      <c r="AI1151" s="120"/>
      <c r="AJ1151" s="120"/>
    </row>
    <row r="1152" spans="31:36" x14ac:dyDescent="0.25">
      <c r="AE1152" s="120"/>
      <c r="AF1152" s="120"/>
      <c r="AG1152" s="120"/>
      <c r="AH1152" s="120"/>
      <c r="AI1152" s="120"/>
      <c r="AJ1152" s="120"/>
    </row>
    <row r="1153" spans="31:36" x14ac:dyDescent="0.25">
      <c r="AE1153" s="120"/>
      <c r="AF1153" s="120"/>
      <c r="AG1153" s="120"/>
      <c r="AH1153" s="120"/>
      <c r="AI1153" s="120"/>
      <c r="AJ1153" s="120"/>
    </row>
    <row r="1154" spans="31:36" x14ac:dyDescent="0.25">
      <c r="AE1154" s="120"/>
      <c r="AF1154" s="120"/>
      <c r="AG1154" s="120"/>
      <c r="AH1154" s="120"/>
      <c r="AI1154" s="120"/>
      <c r="AJ1154" s="120"/>
    </row>
    <row r="1155" spans="31:36" x14ac:dyDescent="0.25">
      <c r="AE1155" s="120"/>
      <c r="AF1155" s="120"/>
      <c r="AG1155" s="120"/>
      <c r="AH1155" s="120"/>
      <c r="AI1155" s="120"/>
      <c r="AJ1155" s="120"/>
    </row>
    <row r="1156" spans="31:36" x14ac:dyDescent="0.25">
      <c r="AE1156" s="120"/>
      <c r="AF1156" s="120"/>
      <c r="AG1156" s="120"/>
      <c r="AH1156" s="120"/>
      <c r="AI1156" s="120"/>
      <c r="AJ1156" s="120"/>
    </row>
    <row r="1157" spans="31:36" x14ac:dyDescent="0.25">
      <c r="AE1157" s="120"/>
      <c r="AF1157" s="120"/>
      <c r="AG1157" s="120"/>
      <c r="AH1157" s="120"/>
      <c r="AI1157" s="120"/>
      <c r="AJ1157" s="120"/>
    </row>
    <row r="1158" spans="31:36" x14ac:dyDescent="0.25">
      <c r="AE1158" s="120"/>
      <c r="AF1158" s="120"/>
      <c r="AG1158" s="120"/>
      <c r="AH1158" s="120"/>
      <c r="AI1158" s="120"/>
      <c r="AJ1158" s="120"/>
    </row>
    <row r="1159" spans="31:36" x14ac:dyDescent="0.25">
      <c r="AE1159" s="120"/>
      <c r="AF1159" s="120"/>
      <c r="AG1159" s="120"/>
      <c r="AH1159" s="120"/>
      <c r="AI1159" s="120"/>
      <c r="AJ1159" s="120"/>
    </row>
    <row r="1160" spans="31:36" x14ac:dyDescent="0.25">
      <c r="AE1160" s="120"/>
      <c r="AF1160" s="120"/>
      <c r="AG1160" s="120"/>
      <c r="AH1160" s="120"/>
      <c r="AI1160" s="120"/>
      <c r="AJ1160" s="120"/>
    </row>
    <row r="1161" spans="31:36" x14ac:dyDescent="0.25">
      <c r="AE1161" s="120"/>
      <c r="AF1161" s="120"/>
      <c r="AG1161" s="120"/>
      <c r="AH1161" s="120"/>
      <c r="AI1161" s="120"/>
      <c r="AJ1161" s="120"/>
    </row>
    <row r="1162" spans="31:36" x14ac:dyDescent="0.25">
      <c r="AE1162" s="120"/>
      <c r="AF1162" s="120"/>
      <c r="AG1162" s="120"/>
      <c r="AH1162" s="120"/>
      <c r="AI1162" s="120"/>
      <c r="AJ1162" s="120"/>
    </row>
    <row r="1163" spans="31:36" x14ac:dyDescent="0.25">
      <c r="AE1163" s="120"/>
      <c r="AF1163" s="120"/>
      <c r="AG1163" s="120"/>
      <c r="AH1163" s="120"/>
      <c r="AI1163" s="120"/>
      <c r="AJ1163" s="120"/>
    </row>
    <row r="1164" spans="31:36" x14ac:dyDescent="0.25">
      <c r="AE1164" s="120"/>
      <c r="AF1164" s="120"/>
      <c r="AG1164" s="120"/>
      <c r="AH1164" s="120"/>
      <c r="AI1164" s="120"/>
      <c r="AJ1164" s="120"/>
    </row>
    <row r="1165" spans="31:36" x14ac:dyDescent="0.25">
      <c r="AE1165" s="120"/>
      <c r="AF1165" s="120"/>
      <c r="AG1165" s="120"/>
      <c r="AH1165" s="120"/>
      <c r="AI1165" s="120"/>
      <c r="AJ1165" s="120"/>
    </row>
    <row r="1166" spans="31:36" x14ac:dyDescent="0.25">
      <c r="AE1166" s="120"/>
      <c r="AF1166" s="120"/>
      <c r="AG1166" s="120"/>
      <c r="AH1166" s="120"/>
      <c r="AI1166" s="120"/>
      <c r="AJ1166" s="120"/>
    </row>
    <row r="1167" spans="31:36" x14ac:dyDescent="0.25">
      <c r="AE1167" s="120"/>
      <c r="AF1167" s="120"/>
      <c r="AG1167" s="120"/>
      <c r="AH1167" s="120"/>
      <c r="AI1167" s="120"/>
      <c r="AJ1167" s="120"/>
    </row>
    <row r="1168" spans="31:36" x14ac:dyDescent="0.25">
      <c r="AE1168" s="120"/>
      <c r="AF1168" s="120"/>
      <c r="AG1168" s="120"/>
      <c r="AH1168" s="120"/>
      <c r="AI1168" s="120"/>
      <c r="AJ1168" s="120"/>
    </row>
    <row r="1169" spans="31:36" x14ac:dyDescent="0.25">
      <c r="AE1169" s="120"/>
      <c r="AF1169" s="120"/>
      <c r="AG1169" s="120"/>
      <c r="AH1169" s="120"/>
      <c r="AI1169" s="120"/>
      <c r="AJ1169" s="120"/>
    </row>
    <row r="1170" spans="31:36" x14ac:dyDescent="0.25">
      <c r="AE1170" s="120"/>
      <c r="AF1170" s="120"/>
      <c r="AG1170" s="120"/>
      <c r="AH1170" s="120"/>
      <c r="AI1170" s="120"/>
      <c r="AJ1170" s="120"/>
    </row>
    <row r="1171" spans="31:36" x14ac:dyDescent="0.25">
      <c r="AE1171" s="120"/>
      <c r="AF1171" s="120"/>
      <c r="AG1171" s="120"/>
      <c r="AH1171" s="120"/>
      <c r="AI1171" s="120"/>
      <c r="AJ1171" s="120"/>
    </row>
    <row r="1172" spans="31:36" x14ac:dyDescent="0.25">
      <c r="AE1172" s="120"/>
      <c r="AF1172" s="120"/>
      <c r="AG1172" s="120"/>
      <c r="AH1172" s="120"/>
      <c r="AI1172" s="120"/>
      <c r="AJ1172" s="120"/>
    </row>
    <row r="1173" spans="31:36" x14ac:dyDescent="0.25">
      <c r="AE1173" s="120"/>
      <c r="AF1173" s="120"/>
      <c r="AG1173" s="120"/>
      <c r="AH1173" s="120"/>
      <c r="AI1173" s="120"/>
      <c r="AJ1173" s="120"/>
    </row>
    <row r="1174" spans="31:36" x14ac:dyDescent="0.25">
      <c r="AE1174" s="120"/>
      <c r="AF1174" s="120"/>
      <c r="AG1174" s="120"/>
      <c r="AH1174" s="120"/>
      <c r="AI1174" s="120"/>
      <c r="AJ1174" s="120"/>
    </row>
    <row r="1175" spans="31:36" x14ac:dyDescent="0.25">
      <c r="AE1175" s="120"/>
      <c r="AF1175" s="120"/>
      <c r="AG1175" s="120"/>
      <c r="AH1175" s="120"/>
      <c r="AI1175" s="120"/>
      <c r="AJ1175" s="120"/>
    </row>
    <row r="1176" spans="31:36" x14ac:dyDescent="0.25">
      <c r="AE1176" s="120"/>
      <c r="AF1176" s="120"/>
      <c r="AG1176" s="120"/>
      <c r="AH1176" s="120"/>
      <c r="AI1176" s="120"/>
      <c r="AJ1176" s="120"/>
    </row>
    <row r="1177" spans="31:36" x14ac:dyDescent="0.25">
      <c r="AE1177" s="120"/>
      <c r="AF1177" s="120"/>
      <c r="AG1177" s="120"/>
      <c r="AH1177" s="120"/>
      <c r="AI1177" s="120"/>
      <c r="AJ1177" s="120"/>
    </row>
    <row r="1178" spans="31:36" x14ac:dyDescent="0.25">
      <c r="AE1178" s="120"/>
      <c r="AF1178" s="120"/>
      <c r="AG1178" s="120"/>
      <c r="AH1178" s="120"/>
      <c r="AI1178" s="120"/>
      <c r="AJ1178" s="120"/>
    </row>
    <row r="1179" spans="31:36" x14ac:dyDescent="0.25">
      <c r="AE1179" s="120"/>
      <c r="AF1179" s="120"/>
      <c r="AG1179" s="120"/>
      <c r="AH1179" s="120"/>
      <c r="AI1179" s="120"/>
      <c r="AJ1179" s="120"/>
    </row>
    <row r="1180" spans="31:36" x14ac:dyDescent="0.25">
      <c r="AE1180" s="120"/>
      <c r="AF1180" s="120"/>
      <c r="AG1180" s="120"/>
      <c r="AH1180" s="120"/>
      <c r="AI1180" s="120"/>
      <c r="AJ1180" s="120"/>
    </row>
    <row r="1181" spans="31:36" x14ac:dyDescent="0.25">
      <c r="AE1181" s="120"/>
      <c r="AF1181" s="120"/>
      <c r="AG1181" s="120"/>
      <c r="AH1181" s="120"/>
      <c r="AI1181" s="120"/>
      <c r="AJ1181" s="120"/>
    </row>
    <row r="1182" spans="31:36" x14ac:dyDescent="0.25">
      <c r="AE1182" s="120"/>
      <c r="AF1182" s="120"/>
      <c r="AG1182" s="120"/>
      <c r="AH1182" s="120"/>
      <c r="AI1182" s="120"/>
      <c r="AJ1182" s="120"/>
    </row>
    <row r="1183" spans="31:36" x14ac:dyDescent="0.25">
      <c r="AE1183" s="120"/>
      <c r="AF1183" s="120"/>
      <c r="AG1183" s="120"/>
      <c r="AH1183" s="120"/>
      <c r="AI1183" s="120"/>
      <c r="AJ1183" s="120"/>
    </row>
    <row r="1184" spans="31:36" x14ac:dyDescent="0.25">
      <c r="AE1184" s="120"/>
      <c r="AF1184" s="120"/>
      <c r="AG1184" s="120"/>
      <c r="AH1184" s="120"/>
      <c r="AI1184" s="120"/>
      <c r="AJ1184" s="120"/>
    </row>
    <row r="1185" spans="31:36" x14ac:dyDescent="0.25">
      <c r="AE1185" s="120"/>
      <c r="AF1185" s="120"/>
      <c r="AG1185" s="120"/>
      <c r="AH1185" s="120"/>
      <c r="AI1185" s="120"/>
      <c r="AJ1185" s="120"/>
    </row>
    <row r="1186" spans="31:36" x14ac:dyDescent="0.25">
      <c r="AE1186" s="120"/>
      <c r="AF1186" s="120"/>
      <c r="AG1186" s="120"/>
      <c r="AH1186" s="120"/>
      <c r="AI1186" s="120"/>
      <c r="AJ1186" s="120"/>
    </row>
    <row r="1187" spans="31:36" x14ac:dyDescent="0.25">
      <c r="AE1187" s="120"/>
      <c r="AF1187" s="120"/>
      <c r="AG1187" s="120"/>
      <c r="AH1187" s="120"/>
      <c r="AI1187" s="120"/>
      <c r="AJ1187" s="120"/>
    </row>
    <row r="1188" spans="31:36" x14ac:dyDescent="0.25">
      <c r="AE1188" s="120"/>
      <c r="AF1188" s="120"/>
      <c r="AG1188" s="120"/>
      <c r="AH1188" s="120"/>
      <c r="AI1188" s="120"/>
      <c r="AJ1188" s="120"/>
    </row>
    <row r="1189" spans="31:36" x14ac:dyDescent="0.25">
      <c r="AE1189" s="120"/>
      <c r="AF1189" s="120"/>
      <c r="AG1189" s="120"/>
      <c r="AH1189" s="120"/>
      <c r="AI1189" s="120"/>
      <c r="AJ1189" s="120"/>
    </row>
    <row r="1190" spans="31:36" x14ac:dyDescent="0.25">
      <c r="AE1190" s="120"/>
      <c r="AF1190" s="120"/>
      <c r="AG1190" s="120"/>
      <c r="AH1190" s="120"/>
      <c r="AI1190" s="120"/>
      <c r="AJ1190" s="120"/>
    </row>
    <row r="1191" spans="31:36" x14ac:dyDescent="0.25">
      <c r="AE1191" s="120"/>
      <c r="AF1191" s="120"/>
      <c r="AG1191" s="120"/>
      <c r="AH1191" s="120"/>
      <c r="AI1191" s="120"/>
      <c r="AJ1191" s="120"/>
    </row>
    <row r="1192" spans="31:36" x14ac:dyDescent="0.25">
      <c r="AE1192" s="120"/>
      <c r="AF1192" s="120"/>
      <c r="AG1192" s="120"/>
      <c r="AH1192" s="120"/>
      <c r="AI1192" s="120"/>
      <c r="AJ1192" s="120"/>
    </row>
    <row r="1193" spans="31:36" x14ac:dyDescent="0.25">
      <c r="AE1193" s="120"/>
      <c r="AF1193" s="120"/>
      <c r="AG1193" s="120"/>
      <c r="AH1193" s="120"/>
      <c r="AI1193" s="120"/>
      <c r="AJ1193" s="120"/>
    </row>
    <row r="1194" spans="31:36" x14ac:dyDescent="0.25">
      <c r="AE1194" s="120"/>
      <c r="AF1194" s="120"/>
      <c r="AG1194" s="120"/>
      <c r="AH1194" s="120"/>
      <c r="AI1194" s="120"/>
      <c r="AJ1194" s="120"/>
    </row>
    <row r="1195" spans="31:36" x14ac:dyDescent="0.25">
      <c r="AE1195" s="120"/>
      <c r="AF1195" s="120"/>
      <c r="AG1195" s="120"/>
      <c r="AH1195" s="120"/>
      <c r="AI1195" s="120"/>
      <c r="AJ1195" s="120"/>
    </row>
    <row r="1196" spans="31:36" x14ac:dyDescent="0.25">
      <c r="AE1196" s="120"/>
      <c r="AF1196" s="120"/>
      <c r="AG1196" s="120"/>
      <c r="AH1196" s="120"/>
      <c r="AI1196" s="120"/>
      <c r="AJ1196" s="120"/>
    </row>
    <row r="1197" spans="31:36" x14ac:dyDescent="0.25">
      <c r="AE1197" s="120"/>
      <c r="AF1197" s="120"/>
      <c r="AG1197" s="120"/>
      <c r="AH1197" s="120"/>
      <c r="AI1197" s="120"/>
      <c r="AJ1197" s="120"/>
    </row>
    <row r="1198" spans="31:36" x14ac:dyDescent="0.25">
      <c r="AE1198" s="120"/>
      <c r="AF1198" s="120"/>
      <c r="AG1198" s="120"/>
      <c r="AH1198" s="120"/>
      <c r="AI1198" s="120"/>
      <c r="AJ1198" s="120"/>
    </row>
    <row r="1199" spans="31:36" x14ac:dyDescent="0.25">
      <c r="AE1199" s="120"/>
      <c r="AF1199" s="120"/>
      <c r="AG1199" s="120"/>
      <c r="AH1199" s="120"/>
      <c r="AI1199" s="120"/>
      <c r="AJ1199" s="120"/>
    </row>
    <row r="1200" spans="31:36" x14ac:dyDescent="0.25">
      <c r="AE1200" s="120"/>
      <c r="AF1200" s="120"/>
      <c r="AG1200" s="120"/>
      <c r="AH1200" s="120"/>
      <c r="AI1200" s="120"/>
      <c r="AJ1200" s="120"/>
    </row>
    <row r="1201" spans="31:36" x14ac:dyDescent="0.25">
      <c r="AE1201" s="120"/>
      <c r="AF1201" s="120"/>
      <c r="AG1201" s="120"/>
      <c r="AH1201" s="120"/>
      <c r="AI1201" s="120"/>
      <c r="AJ1201" s="120"/>
    </row>
    <row r="1202" spans="31:36" x14ac:dyDescent="0.25">
      <c r="AE1202" s="120"/>
      <c r="AF1202" s="120"/>
      <c r="AG1202" s="120"/>
      <c r="AH1202" s="120"/>
      <c r="AI1202" s="120"/>
      <c r="AJ1202" s="120"/>
    </row>
    <row r="1203" spans="31:36" x14ac:dyDescent="0.25">
      <c r="AE1203" s="120"/>
      <c r="AF1203" s="120"/>
      <c r="AG1203" s="120"/>
      <c r="AH1203" s="120"/>
      <c r="AI1203" s="120"/>
      <c r="AJ1203" s="120"/>
    </row>
    <row r="1204" spans="31:36" x14ac:dyDescent="0.25">
      <c r="AE1204" s="120"/>
      <c r="AF1204" s="120"/>
      <c r="AG1204" s="120"/>
      <c r="AH1204" s="120"/>
      <c r="AI1204" s="120"/>
      <c r="AJ1204" s="120"/>
    </row>
    <row r="1205" spans="31:36" x14ac:dyDescent="0.25">
      <c r="AE1205" s="120"/>
      <c r="AF1205" s="120"/>
      <c r="AG1205" s="120"/>
      <c r="AH1205" s="120"/>
      <c r="AI1205" s="120"/>
      <c r="AJ1205" s="120"/>
    </row>
    <row r="1206" spans="31:36" x14ac:dyDescent="0.25">
      <c r="AE1206" s="120"/>
      <c r="AF1206" s="120"/>
      <c r="AG1206" s="120"/>
      <c r="AH1206" s="120"/>
      <c r="AI1206" s="120"/>
      <c r="AJ1206" s="120"/>
    </row>
    <row r="1207" spans="31:36" x14ac:dyDescent="0.25">
      <c r="AE1207" s="120"/>
      <c r="AF1207" s="120"/>
      <c r="AG1207" s="120"/>
      <c r="AH1207" s="120"/>
      <c r="AI1207" s="120"/>
      <c r="AJ1207" s="120"/>
    </row>
    <row r="1208" spans="31:36" x14ac:dyDescent="0.25">
      <c r="AE1208" s="120"/>
      <c r="AF1208" s="120"/>
      <c r="AG1208" s="120"/>
      <c r="AH1208" s="120"/>
      <c r="AI1208" s="120"/>
      <c r="AJ1208" s="120"/>
    </row>
    <row r="1209" spans="31:36" x14ac:dyDescent="0.25">
      <c r="AE1209" s="120"/>
      <c r="AF1209" s="120"/>
      <c r="AG1209" s="120"/>
      <c r="AH1209" s="120"/>
      <c r="AI1209" s="120"/>
      <c r="AJ1209" s="120"/>
    </row>
    <row r="1210" spans="31:36" x14ac:dyDescent="0.25">
      <c r="AE1210" s="120"/>
      <c r="AF1210" s="120"/>
      <c r="AG1210" s="120"/>
      <c r="AH1210" s="120"/>
      <c r="AI1210" s="120"/>
      <c r="AJ1210" s="120"/>
    </row>
    <row r="1211" spans="31:36" x14ac:dyDescent="0.25">
      <c r="AE1211" s="120"/>
      <c r="AF1211" s="120"/>
      <c r="AG1211" s="120"/>
      <c r="AH1211" s="120"/>
      <c r="AI1211" s="120"/>
      <c r="AJ1211" s="120"/>
    </row>
    <row r="1212" spans="31:36" x14ac:dyDescent="0.25">
      <c r="AE1212" s="120"/>
      <c r="AF1212" s="120"/>
      <c r="AG1212" s="120"/>
      <c r="AH1212" s="120"/>
      <c r="AI1212" s="120"/>
      <c r="AJ1212" s="120"/>
    </row>
    <row r="1213" spans="31:36" x14ac:dyDescent="0.25">
      <c r="AE1213" s="120"/>
      <c r="AF1213" s="120"/>
      <c r="AG1213" s="120"/>
      <c r="AH1213" s="120"/>
      <c r="AI1213" s="120"/>
      <c r="AJ1213" s="120"/>
    </row>
    <row r="1214" spans="31:36" x14ac:dyDescent="0.25">
      <c r="AE1214" s="120"/>
      <c r="AF1214" s="120"/>
      <c r="AG1214" s="120"/>
      <c r="AH1214" s="120"/>
      <c r="AI1214" s="120"/>
      <c r="AJ1214" s="120"/>
    </row>
    <row r="1215" spans="31:36" x14ac:dyDescent="0.25">
      <c r="AE1215" s="120"/>
      <c r="AF1215" s="120"/>
      <c r="AG1215" s="120"/>
      <c r="AH1215" s="120"/>
      <c r="AI1215" s="120"/>
      <c r="AJ1215" s="120"/>
    </row>
    <row r="1216" spans="31:36" x14ac:dyDescent="0.25">
      <c r="AE1216" s="120"/>
      <c r="AF1216" s="120"/>
      <c r="AG1216" s="120"/>
      <c r="AH1216" s="120"/>
      <c r="AI1216" s="120"/>
      <c r="AJ1216" s="120"/>
    </row>
    <row r="1217" spans="31:36" x14ac:dyDescent="0.25">
      <c r="AE1217" s="120"/>
      <c r="AF1217" s="120"/>
      <c r="AG1217" s="120"/>
      <c r="AH1217" s="120"/>
      <c r="AI1217" s="120"/>
      <c r="AJ1217" s="120"/>
    </row>
    <row r="1218" spans="31:36" x14ac:dyDescent="0.25">
      <c r="AE1218" s="120"/>
      <c r="AF1218" s="120"/>
      <c r="AG1218" s="120"/>
      <c r="AH1218" s="120"/>
      <c r="AI1218" s="120"/>
      <c r="AJ1218" s="120"/>
    </row>
    <row r="1219" spans="31:36" x14ac:dyDescent="0.25">
      <c r="AE1219" s="120"/>
      <c r="AF1219" s="120"/>
      <c r="AG1219" s="120"/>
      <c r="AH1219" s="120"/>
      <c r="AI1219" s="120"/>
      <c r="AJ1219" s="120"/>
    </row>
    <row r="1220" spans="31:36" x14ac:dyDescent="0.25">
      <c r="AE1220" s="120"/>
      <c r="AF1220" s="120"/>
      <c r="AG1220" s="120"/>
      <c r="AH1220" s="120"/>
      <c r="AI1220" s="120"/>
      <c r="AJ1220" s="120"/>
    </row>
    <row r="1221" spans="31:36" x14ac:dyDescent="0.25">
      <c r="AE1221" s="120"/>
      <c r="AF1221" s="120"/>
      <c r="AG1221" s="120"/>
      <c r="AH1221" s="120"/>
      <c r="AI1221" s="120"/>
      <c r="AJ1221" s="120"/>
    </row>
    <row r="1222" spans="31:36" x14ac:dyDescent="0.25">
      <c r="AE1222" s="120"/>
      <c r="AF1222" s="120"/>
      <c r="AG1222" s="120"/>
      <c r="AH1222" s="120"/>
      <c r="AI1222" s="120"/>
      <c r="AJ1222" s="120"/>
    </row>
    <row r="1223" spans="31:36" x14ac:dyDescent="0.25">
      <c r="AE1223" s="120"/>
      <c r="AF1223" s="120"/>
      <c r="AG1223" s="120"/>
      <c r="AH1223" s="120"/>
      <c r="AI1223" s="120"/>
      <c r="AJ1223" s="120"/>
    </row>
    <row r="1224" spans="31:36" x14ac:dyDescent="0.25">
      <c r="AE1224" s="120"/>
      <c r="AF1224" s="120"/>
      <c r="AG1224" s="120"/>
      <c r="AH1224" s="120"/>
      <c r="AI1224" s="120"/>
      <c r="AJ1224" s="120"/>
    </row>
    <row r="1225" spans="31:36" x14ac:dyDescent="0.25">
      <c r="AE1225" s="120"/>
      <c r="AF1225" s="120"/>
      <c r="AG1225" s="120"/>
      <c r="AH1225" s="120"/>
      <c r="AI1225" s="120"/>
      <c r="AJ1225" s="120"/>
    </row>
    <row r="1226" spans="31:36" x14ac:dyDescent="0.25">
      <c r="AE1226" s="120"/>
      <c r="AF1226" s="120"/>
      <c r="AG1226" s="120"/>
      <c r="AH1226" s="120"/>
      <c r="AI1226" s="120"/>
      <c r="AJ1226" s="120"/>
    </row>
    <row r="1227" spans="31:36" x14ac:dyDescent="0.25">
      <c r="AE1227" s="120"/>
      <c r="AF1227" s="120"/>
      <c r="AG1227" s="120"/>
      <c r="AH1227" s="120"/>
      <c r="AI1227" s="120"/>
      <c r="AJ1227" s="120"/>
    </row>
    <row r="1228" spans="31:36" x14ac:dyDescent="0.25">
      <c r="AE1228" s="120"/>
      <c r="AF1228" s="120"/>
      <c r="AG1228" s="120"/>
      <c r="AH1228" s="120"/>
      <c r="AI1228" s="120"/>
      <c r="AJ1228" s="120"/>
    </row>
    <row r="1229" spans="31:36" x14ac:dyDescent="0.25">
      <c r="AE1229" s="120"/>
      <c r="AF1229" s="120"/>
      <c r="AG1229" s="120"/>
      <c r="AH1229" s="120"/>
      <c r="AI1229" s="120"/>
      <c r="AJ1229" s="120"/>
    </row>
    <row r="1230" spans="31:36" x14ac:dyDescent="0.25">
      <c r="AE1230" s="120"/>
      <c r="AF1230" s="120"/>
      <c r="AG1230" s="120"/>
      <c r="AH1230" s="120"/>
      <c r="AI1230" s="120"/>
      <c r="AJ1230" s="120"/>
    </row>
    <row r="1231" spans="31:36" x14ac:dyDescent="0.25">
      <c r="AE1231" s="120"/>
      <c r="AF1231" s="120"/>
      <c r="AG1231" s="120"/>
      <c r="AH1231" s="120"/>
      <c r="AI1231" s="120"/>
      <c r="AJ1231" s="120"/>
    </row>
    <row r="1232" spans="31:36" x14ac:dyDescent="0.25">
      <c r="AE1232" s="120"/>
      <c r="AF1232" s="120"/>
      <c r="AG1232" s="120"/>
      <c r="AH1232" s="120"/>
      <c r="AI1232" s="120"/>
      <c r="AJ1232" s="120"/>
    </row>
    <row r="1233" spans="31:36" x14ac:dyDescent="0.25">
      <c r="AE1233" s="120"/>
      <c r="AF1233" s="120"/>
      <c r="AG1233" s="120"/>
      <c r="AH1233" s="120"/>
      <c r="AI1233" s="120"/>
      <c r="AJ1233" s="120"/>
    </row>
    <row r="1234" spans="31:36" x14ac:dyDescent="0.25">
      <c r="AE1234" s="120"/>
      <c r="AF1234" s="120"/>
      <c r="AG1234" s="120"/>
      <c r="AH1234" s="120"/>
      <c r="AI1234" s="120"/>
      <c r="AJ1234" s="120"/>
    </row>
    <row r="1235" spans="31:36" x14ac:dyDescent="0.25">
      <c r="AE1235" s="120"/>
      <c r="AF1235" s="120"/>
      <c r="AG1235" s="120"/>
      <c r="AH1235" s="120"/>
      <c r="AI1235" s="120"/>
      <c r="AJ1235" s="120"/>
    </row>
    <row r="1236" spans="31:36" x14ac:dyDescent="0.25">
      <c r="AE1236" s="120"/>
      <c r="AF1236" s="120"/>
      <c r="AG1236" s="120"/>
      <c r="AH1236" s="120"/>
      <c r="AI1236" s="120"/>
      <c r="AJ1236" s="120"/>
    </row>
    <row r="1237" spans="31:36" x14ac:dyDescent="0.25">
      <c r="AE1237" s="120"/>
      <c r="AF1237" s="120"/>
      <c r="AG1237" s="120"/>
      <c r="AH1237" s="120"/>
      <c r="AI1237" s="120"/>
      <c r="AJ1237" s="120"/>
    </row>
    <row r="1238" spans="31:36" x14ac:dyDescent="0.25">
      <c r="AE1238" s="120"/>
      <c r="AF1238" s="120"/>
      <c r="AG1238" s="120"/>
      <c r="AH1238" s="120"/>
      <c r="AI1238" s="120"/>
      <c r="AJ1238" s="120"/>
    </row>
    <row r="1239" spans="31:36" x14ac:dyDescent="0.25">
      <c r="AE1239" s="120"/>
      <c r="AF1239" s="120"/>
      <c r="AG1239" s="120"/>
      <c r="AH1239" s="120"/>
      <c r="AI1239" s="120"/>
      <c r="AJ1239" s="120"/>
    </row>
    <row r="1240" spans="31:36" x14ac:dyDescent="0.25">
      <c r="AE1240" s="120"/>
      <c r="AF1240" s="120"/>
      <c r="AG1240" s="120"/>
      <c r="AH1240" s="120"/>
      <c r="AI1240" s="120"/>
      <c r="AJ1240" s="120"/>
    </row>
    <row r="1241" spans="31:36" x14ac:dyDescent="0.25">
      <c r="AE1241" s="120"/>
      <c r="AF1241" s="120"/>
      <c r="AG1241" s="120"/>
      <c r="AH1241" s="120"/>
      <c r="AI1241" s="120"/>
      <c r="AJ1241" s="120"/>
    </row>
    <row r="1242" spans="31:36" x14ac:dyDescent="0.25">
      <c r="AE1242" s="120"/>
      <c r="AF1242" s="120"/>
      <c r="AG1242" s="120"/>
      <c r="AH1242" s="120"/>
      <c r="AI1242" s="120"/>
      <c r="AJ1242" s="120"/>
    </row>
    <row r="1243" spans="31:36" x14ac:dyDescent="0.25">
      <c r="AE1243" s="120"/>
      <c r="AF1243" s="120"/>
      <c r="AG1243" s="120"/>
      <c r="AH1243" s="120"/>
      <c r="AI1243" s="120"/>
      <c r="AJ1243" s="120"/>
    </row>
    <row r="1244" spans="31:36" x14ac:dyDescent="0.25">
      <c r="AE1244" s="120"/>
      <c r="AF1244" s="120"/>
      <c r="AG1244" s="120"/>
      <c r="AH1244" s="120"/>
      <c r="AI1244" s="120"/>
      <c r="AJ1244" s="120"/>
    </row>
    <row r="1245" spans="31:36" x14ac:dyDescent="0.25">
      <c r="AE1245" s="120"/>
      <c r="AF1245" s="120"/>
      <c r="AG1245" s="120"/>
      <c r="AH1245" s="120"/>
      <c r="AI1245" s="120"/>
      <c r="AJ1245" s="120"/>
    </row>
    <row r="1246" spans="31:36" x14ac:dyDescent="0.25">
      <c r="AE1246" s="120"/>
      <c r="AF1246" s="120"/>
      <c r="AG1246" s="120"/>
      <c r="AH1246" s="120"/>
      <c r="AI1246" s="120"/>
      <c r="AJ1246" s="120"/>
    </row>
    <row r="1247" spans="31:36" x14ac:dyDescent="0.25">
      <c r="AE1247" s="120"/>
      <c r="AF1247" s="120"/>
      <c r="AG1247" s="120"/>
      <c r="AH1247" s="120"/>
      <c r="AI1247" s="120"/>
      <c r="AJ1247" s="120"/>
    </row>
    <row r="1248" spans="31:36" x14ac:dyDescent="0.25">
      <c r="AE1248" s="120"/>
      <c r="AF1248" s="120"/>
      <c r="AG1248" s="120"/>
      <c r="AH1248" s="120"/>
      <c r="AI1248" s="120"/>
      <c r="AJ1248" s="120"/>
    </row>
  </sheetData>
  <mergeCells count="6">
    <mergeCell ref="AE3:AF3"/>
    <mergeCell ref="B2:T2"/>
    <mergeCell ref="F3:M3"/>
    <mergeCell ref="N3:T3"/>
    <mergeCell ref="U3:Y3"/>
    <mergeCell ref="AA3:AC3"/>
  </mergeCells>
  <pageMargins left="0.7" right="0.7" top="0.75" bottom="0.75" header="0.3" footer="0.3"/>
  <pageSetup orientation="portrait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95"/>
  <sheetViews>
    <sheetView zoomScale="75" zoomScaleNormal="75" workbookViewId="0">
      <pane ySplit="4" topLeftCell="A5" activePane="bottomLeft" state="frozen"/>
      <selection pane="bottomLeft" activeCell="A5" sqref="A5"/>
    </sheetView>
  </sheetViews>
  <sheetFormatPr baseColWidth="10" defaultColWidth="9.140625" defaultRowHeight="15" x14ac:dyDescent="0.25"/>
  <cols>
    <col min="2" max="2" width="11" customWidth="1"/>
    <col min="3" max="3" width="9.140625" style="8"/>
    <col min="4" max="4" width="18.42578125" style="17" customWidth="1"/>
    <col min="5" max="7" width="10.42578125" style="8" customWidth="1"/>
    <col min="8" max="8" width="9.85546875" style="8" customWidth="1"/>
    <col min="9" max="12" width="9.42578125" style="8" customWidth="1"/>
    <col min="13" max="13" width="10.140625" style="8" customWidth="1"/>
    <col min="14" max="14" width="10.85546875" style="8" customWidth="1"/>
    <col min="15" max="15" width="10.140625" style="8" customWidth="1"/>
    <col min="16" max="18" width="9.140625" style="8"/>
    <col min="19" max="19" width="9.42578125" style="8" bestFit="1" customWidth="1"/>
    <col min="20" max="21" width="9.85546875" style="8" customWidth="1"/>
    <col min="22" max="24" width="9.140625" style="8"/>
    <col min="25" max="25" width="2.42578125" customWidth="1"/>
    <col min="28" max="28" width="9.140625" style="8"/>
  </cols>
  <sheetData>
    <row r="1" spans="1:28" ht="15.75" thickBot="1" x14ac:dyDescent="0.3"/>
    <row r="2" spans="1:28" ht="16.5" thickBot="1" x14ac:dyDescent="0.3">
      <c r="A2" s="364" t="s">
        <v>22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72"/>
    </row>
    <row r="3" spans="1:28" ht="15.75" thickBot="1" x14ac:dyDescent="0.3">
      <c r="E3" s="354" t="s">
        <v>15</v>
      </c>
      <c r="F3" s="355"/>
      <c r="G3" s="355"/>
      <c r="H3" s="355"/>
      <c r="I3" s="355"/>
      <c r="J3" s="355"/>
      <c r="K3" s="356"/>
      <c r="L3" s="357"/>
      <c r="M3" s="354" t="s">
        <v>16</v>
      </c>
      <c r="N3" s="355"/>
      <c r="O3" s="355"/>
      <c r="P3" s="355"/>
      <c r="Q3" s="355"/>
      <c r="R3" s="356"/>
      <c r="S3" s="357"/>
      <c r="T3" s="361" t="s">
        <v>28</v>
      </c>
      <c r="U3" s="362"/>
      <c r="V3" s="362"/>
      <c r="W3" s="362"/>
      <c r="X3" s="363"/>
      <c r="Z3" s="353" t="s">
        <v>32</v>
      </c>
      <c r="AA3" s="353"/>
      <c r="AB3" s="353"/>
    </row>
    <row r="4" spans="1:28" ht="44.25" customHeight="1" thickBot="1" x14ac:dyDescent="0.3">
      <c r="A4" s="27" t="s">
        <v>0</v>
      </c>
      <c r="B4" s="28" t="s">
        <v>1</v>
      </c>
      <c r="C4" s="34" t="s">
        <v>135</v>
      </c>
      <c r="D4" s="29" t="s">
        <v>60</v>
      </c>
      <c r="E4" s="30" t="s">
        <v>3</v>
      </c>
      <c r="F4" s="30" t="s">
        <v>4</v>
      </c>
      <c r="G4" s="30" t="s">
        <v>5</v>
      </c>
      <c r="H4" s="30" t="s">
        <v>6</v>
      </c>
      <c r="I4" s="30" t="s">
        <v>7</v>
      </c>
      <c r="J4" s="30" t="s">
        <v>8</v>
      </c>
      <c r="K4" s="30" t="s">
        <v>27</v>
      </c>
      <c r="L4" s="21" t="s">
        <v>2</v>
      </c>
      <c r="M4" s="31" t="s">
        <v>11</v>
      </c>
      <c r="N4" s="31" t="s">
        <v>12</v>
      </c>
      <c r="O4" s="31" t="s">
        <v>13</v>
      </c>
      <c r="P4" s="32" t="s">
        <v>20</v>
      </c>
      <c r="Q4" s="32" t="s">
        <v>21</v>
      </c>
      <c r="R4" s="32" t="s">
        <v>27</v>
      </c>
      <c r="S4" s="33" t="s">
        <v>14</v>
      </c>
      <c r="T4" s="14" t="s">
        <v>24</v>
      </c>
      <c r="U4" s="14" t="s">
        <v>27</v>
      </c>
      <c r="V4" s="14" t="s">
        <v>25</v>
      </c>
      <c r="W4" s="14" t="s">
        <v>26</v>
      </c>
      <c r="X4" s="15" t="s">
        <v>23</v>
      </c>
      <c r="Z4" s="11" t="s">
        <v>29</v>
      </c>
      <c r="AA4" s="11" t="s">
        <v>30</v>
      </c>
      <c r="AB4" s="11" t="s">
        <v>31</v>
      </c>
    </row>
    <row r="5" spans="1:28" ht="14.25" customHeight="1" x14ac:dyDescent="0.25">
      <c r="A5" s="23"/>
      <c r="B5" s="24"/>
      <c r="C5" s="23"/>
      <c r="D5" s="25"/>
      <c r="E5" s="39"/>
      <c r="F5" s="39"/>
      <c r="G5" s="39"/>
      <c r="H5" s="26" t="str">
        <f t="shared" ref="H5:H68" si="0">+IF(E5="","",(E5/24)*C5)</f>
        <v/>
      </c>
      <c r="I5" s="26" t="str">
        <f t="shared" ref="I5:I68" si="1">+IF(F5="","",(F5/24)*C5)</f>
        <v/>
      </c>
      <c r="J5" s="26" t="str">
        <f t="shared" ref="J5:J68" si="2">+IF(G5="","",(G5/24)*C5)</f>
        <v/>
      </c>
      <c r="K5" s="18"/>
      <c r="L5" s="77" t="str">
        <f t="shared" ref="L5:L68" si="3">+IF(C5="","",L4-(H5+I5+J5))</f>
        <v/>
      </c>
      <c r="M5" s="39"/>
      <c r="N5" s="39"/>
      <c r="O5" s="39"/>
      <c r="P5" s="41"/>
      <c r="Q5" s="41"/>
      <c r="R5" s="42"/>
      <c r="S5" s="74" t="str">
        <f t="shared" ref="S5:S39" si="4">IF(C5="","",S4-(M5+N5+O5+P5+Q5))</f>
        <v/>
      </c>
      <c r="T5" s="70"/>
      <c r="U5" s="70"/>
      <c r="V5" s="70"/>
      <c r="W5" s="70"/>
      <c r="X5" s="76" t="str">
        <f t="shared" ref="X5:X6" si="5">IF(V5="","",((X4+T5+U5)-(V5+W5)))</f>
        <v/>
      </c>
      <c r="Z5" s="70"/>
      <c r="AA5" s="70"/>
      <c r="AB5" s="11" t="str">
        <f t="shared" ref="AB5:AB68" si="6">IF(Z5="","",Z5+AA5)</f>
        <v/>
      </c>
    </row>
    <row r="6" spans="1:28" ht="14.25" customHeight="1" x14ac:dyDescent="0.25">
      <c r="A6" s="5"/>
      <c r="B6" s="6"/>
      <c r="C6" s="59"/>
      <c r="D6" s="10"/>
      <c r="E6" s="40"/>
      <c r="F6" s="40"/>
      <c r="G6" s="40"/>
      <c r="H6" s="59" t="str">
        <f t="shared" si="0"/>
        <v/>
      </c>
      <c r="I6" s="13" t="str">
        <f t="shared" si="1"/>
        <v/>
      </c>
      <c r="J6" s="13" t="str">
        <f t="shared" si="2"/>
        <v/>
      </c>
      <c r="K6" s="13"/>
      <c r="L6" s="60" t="str">
        <f t="shared" si="3"/>
        <v/>
      </c>
      <c r="M6" s="40"/>
      <c r="N6" s="40"/>
      <c r="O6" s="40"/>
      <c r="P6" s="40"/>
      <c r="Q6" s="40"/>
      <c r="R6" s="40"/>
      <c r="S6" s="61" t="str">
        <f t="shared" si="4"/>
        <v/>
      </c>
      <c r="T6" s="40"/>
      <c r="U6" s="40"/>
      <c r="V6" s="40"/>
      <c r="W6" s="40"/>
      <c r="X6" s="67" t="str">
        <f t="shared" si="5"/>
        <v/>
      </c>
      <c r="Z6" s="71"/>
      <c r="AA6" s="71"/>
      <c r="AB6" s="67" t="str">
        <f t="shared" si="6"/>
        <v/>
      </c>
    </row>
    <row r="7" spans="1:28" x14ac:dyDescent="0.25">
      <c r="A7" s="59"/>
      <c r="B7" s="7"/>
      <c r="C7" s="59"/>
      <c r="D7" s="10"/>
      <c r="E7" s="40"/>
      <c r="F7" s="40"/>
      <c r="G7" s="40"/>
      <c r="H7" s="3" t="str">
        <f t="shared" si="0"/>
        <v/>
      </c>
      <c r="I7" s="3" t="str">
        <f t="shared" si="1"/>
        <v/>
      </c>
      <c r="J7" s="3" t="str">
        <f t="shared" si="2"/>
        <v/>
      </c>
      <c r="K7" s="3"/>
      <c r="L7" s="60" t="str">
        <f t="shared" si="3"/>
        <v/>
      </c>
      <c r="M7" s="40"/>
      <c r="N7" s="40"/>
      <c r="O7" s="40"/>
      <c r="P7" s="40"/>
      <c r="Q7" s="40"/>
      <c r="R7" s="40"/>
      <c r="S7" s="61" t="str">
        <f t="shared" si="4"/>
        <v/>
      </c>
      <c r="T7" s="40"/>
      <c r="U7" s="40"/>
      <c r="V7" s="40"/>
      <c r="W7" s="40"/>
      <c r="X7" s="67" t="str">
        <f>IF(V7="","",((X6+T7+U7)-(V7+W7)))</f>
        <v/>
      </c>
      <c r="Z7" s="71"/>
      <c r="AA7" s="71"/>
      <c r="AB7" s="67" t="str">
        <f t="shared" si="6"/>
        <v/>
      </c>
    </row>
    <row r="8" spans="1:28" x14ac:dyDescent="0.25">
      <c r="A8" s="59"/>
      <c r="B8" s="7"/>
      <c r="C8" s="59"/>
      <c r="D8" s="10"/>
      <c r="E8" s="40"/>
      <c r="F8" s="40"/>
      <c r="G8" s="40"/>
      <c r="H8" s="3" t="str">
        <f t="shared" si="0"/>
        <v/>
      </c>
      <c r="I8" s="3" t="str">
        <f t="shared" si="1"/>
        <v/>
      </c>
      <c r="J8" s="3" t="str">
        <f t="shared" si="2"/>
        <v/>
      </c>
      <c r="K8" s="3"/>
      <c r="L8" s="60" t="str">
        <f t="shared" si="3"/>
        <v/>
      </c>
      <c r="M8" s="40"/>
      <c r="N8" s="40"/>
      <c r="O8" s="40"/>
      <c r="P8" s="40"/>
      <c r="Q8" s="40"/>
      <c r="R8" s="40"/>
      <c r="S8" s="61" t="str">
        <f t="shared" si="4"/>
        <v/>
      </c>
      <c r="T8" s="40"/>
      <c r="U8" s="40"/>
      <c r="V8" s="40"/>
      <c r="W8" s="40"/>
      <c r="X8" s="67" t="str">
        <f t="shared" ref="X8:X71" si="7">IF(V8="","",((X7+T8+U8)-(V8+W8)))</f>
        <v/>
      </c>
      <c r="Z8" s="40"/>
      <c r="AA8" s="40"/>
      <c r="AB8" s="67" t="str">
        <f t="shared" si="6"/>
        <v/>
      </c>
    </row>
    <row r="9" spans="1:28" x14ac:dyDescent="0.25">
      <c r="A9" s="59"/>
      <c r="B9" s="7"/>
      <c r="C9" s="59"/>
      <c r="D9" s="10"/>
      <c r="E9" s="40"/>
      <c r="F9" s="40"/>
      <c r="G9" s="40"/>
      <c r="H9" s="3" t="str">
        <f t="shared" si="0"/>
        <v/>
      </c>
      <c r="I9" s="3" t="str">
        <f t="shared" si="1"/>
        <v/>
      </c>
      <c r="J9" s="3" t="str">
        <f t="shared" si="2"/>
        <v/>
      </c>
      <c r="K9" s="3"/>
      <c r="L9" s="60" t="str">
        <f t="shared" si="3"/>
        <v/>
      </c>
      <c r="M9" s="40"/>
      <c r="N9" s="40"/>
      <c r="O9" s="40"/>
      <c r="P9" s="40"/>
      <c r="Q9" s="40"/>
      <c r="R9" s="40"/>
      <c r="S9" s="61" t="str">
        <f t="shared" si="4"/>
        <v/>
      </c>
      <c r="T9" s="40"/>
      <c r="U9" s="40"/>
      <c r="V9" s="40"/>
      <c r="W9" s="40"/>
      <c r="X9" s="67" t="str">
        <f t="shared" si="7"/>
        <v/>
      </c>
      <c r="Z9" s="71"/>
      <c r="AA9" s="71"/>
      <c r="AB9" s="67" t="str">
        <f t="shared" si="6"/>
        <v/>
      </c>
    </row>
    <row r="10" spans="1:28" x14ac:dyDescent="0.25">
      <c r="A10" s="59"/>
      <c r="B10" s="7"/>
      <c r="C10" s="59"/>
      <c r="D10" s="10"/>
      <c r="E10" s="40"/>
      <c r="F10" s="40"/>
      <c r="G10" s="40"/>
      <c r="H10" s="3" t="str">
        <f t="shared" si="0"/>
        <v/>
      </c>
      <c r="I10" s="3" t="str">
        <f t="shared" si="1"/>
        <v/>
      </c>
      <c r="J10" s="3" t="str">
        <f t="shared" si="2"/>
        <v/>
      </c>
      <c r="K10" s="3"/>
      <c r="L10" s="60" t="str">
        <f t="shared" si="3"/>
        <v/>
      </c>
      <c r="M10" s="40"/>
      <c r="N10" s="40"/>
      <c r="O10" s="40"/>
      <c r="P10" s="40"/>
      <c r="Q10" s="40"/>
      <c r="R10" s="40"/>
      <c r="S10" s="75" t="str">
        <f t="shared" si="4"/>
        <v/>
      </c>
      <c r="T10" s="40"/>
      <c r="U10" s="40"/>
      <c r="V10" s="40"/>
      <c r="W10" s="40"/>
      <c r="X10" s="67" t="str">
        <f t="shared" si="7"/>
        <v/>
      </c>
      <c r="Z10" s="40"/>
      <c r="AA10" s="40"/>
      <c r="AB10" s="67" t="str">
        <f t="shared" si="6"/>
        <v/>
      </c>
    </row>
    <row r="11" spans="1:28" x14ac:dyDescent="0.25">
      <c r="A11" s="59"/>
      <c r="B11" s="7"/>
      <c r="C11" s="59"/>
      <c r="D11" s="10"/>
      <c r="E11" s="40"/>
      <c r="F11" s="40"/>
      <c r="G11" s="40"/>
      <c r="H11" s="3" t="str">
        <f t="shared" si="0"/>
        <v/>
      </c>
      <c r="I11" s="3" t="str">
        <f t="shared" si="1"/>
        <v/>
      </c>
      <c r="J11" s="3" t="str">
        <f t="shared" si="2"/>
        <v/>
      </c>
      <c r="K11" s="3"/>
      <c r="L11" s="60" t="str">
        <f t="shared" si="3"/>
        <v/>
      </c>
      <c r="M11" s="40"/>
      <c r="N11" s="40"/>
      <c r="O11" s="40"/>
      <c r="P11" s="40"/>
      <c r="Q11" s="40"/>
      <c r="R11" s="40"/>
      <c r="S11" s="61" t="str">
        <f t="shared" si="4"/>
        <v/>
      </c>
      <c r="T11" s="40"/>
      <c r="U11" s="40"/>
      <c r="V11" s="40"/>
      <c r="W11" s="40"/>
      <c r="X11" s="67" t="str">
        <f t="shared" si="7"/>
        <v/>
      </c>
      <c r="Z11" s="71"/>
      <c r="AA11" s="71"/>
      <c r="AB11" s="67" t="str">
        <f t="shared" si="6"/>
        <v/>
      </c>
    </row>
    <row r="12" spans="1:28" x14ac:dyDescent="0.25">
      <c r="A12" s="59"/>
      <c r="B12" s="7"/>
      <c r="C12" s="59"/>
      <c r="D12" s="10"/>
      <c r="E12" s="40"/>
      <c r="F12" s="40"/>
      <c r="G12" s="40"/>
      <c r="H12" s="3" t="str">
        <f t="shared" si="0"/>
        <v/>
      </c>
      <c r="I12" s="3" t="str">
        <f t="shared" si="1"/>
        <v/>
      </c>
      <c r="J12" s="3" t="str">
        <f t="shared" si="2"/>
        <v/>
      </c>
      <c r="K12" s="3"/>
      <c r="L12" s="60" t="str">
        <f t="shared" si="3"/>
        <v/>
      </c>
      <c r="M12" s="40"/>
      <c r="N12" s="40"/>
      <c r="O12" s="40"/>
      <c r="P12" s="40"/>
      <c r="Q12" s="40"/>
      <c r="R12" s="40"/>
      <c r="S12" s="61" t="str">
        <f t="shared" si="4"/>
        <v/>
      </c>
      <c r="T12" s="40"/>
      <c r="U12" s="40"/>
      <c r="V12" s="40"/>
      <c r="W12" s="40"/>
      <c r="X12" s="67" t="str">
        <f t="shared" si="7"/>
        <v/>
      </c>
      <c r="Z12" s="71"/>
      <c r="AA12" s="71"/>
      <c r="AB12" s="67" t="str">
        <f t="shared" si="6"/>
        <v/>
      </c>
    </row>
    <row r="13" spans="1:28" x14ac:dyDescent="0.25">
      <c r="A13" s="59"/>
      <c r="B13" s="7"/>
      <c r="C13" s="59"/>
      <c r="D13" s="10"/>
      <c r="E13" s="40"/>
      <c r="F13" s="40"/>
      <c r="G13" s="40"/>
      <c r="H13" s="3" t="str">
        <f t="shared" si="0"/>
        <v/>
      </c>
      <c r="I13" s="3" t="str">
        <f t="shared" si="1"/>
        <v/>
      </c>
      <c r="J13" s="3" t="str">
        <f t="shared" si="2"/>
        <v/>
      </c>
      <c r="K13" s="3"/>
      <c r="L13" s="60" t="str">
        <f t="shared" si="3"/>
        <v/>
      </c>
      <c r="M13" s="40"/>
      <c r="N13" s="40"/>
      <c r="O13" s="40"/>
      <c r="P13" s="40"/>
      <c r="Q13" s="40"/>
      <c r="R13" s="40"/>
      <c r="S13" s="61" t="str">
        <f t="shared" si="4"/>
        <v/>
      </c>
      <c r="T13" s="40"/>
      <c r="U13" s="40"/>
      <c r="V13" s="40"/>
      <c r="W13" s="40"/>
      <c r="X13" s="67" t="str">
        <f t="shared" si="7"/>
        <v/>
      </c>
      <c r="Z13" s="71"/>
      <c r="AA13" s="71"/>
      <c r="AB13" s="67" t="str">
        <f t="shared" si="6"/>
        <v/>
      </c>
    </row>
    <row r="14" spans="1:28" x14ac:dyDescent="0.25">
      <c r="A14" s="59"/>
      <c r="B14" s="7"/>
      <c r="C14" s="59"/>
      <c r="D14" s="10"/>
      <c r="E14" s="40"/>
      <c r="F14" s="40"/>
      <c r="G14" s="40"/>
      <c r="H14" s="3" t="str">
        <f t="shared" si="0"/>
        <v/>
      </c>
      <c r="I14" s="3" t="str">
        <f t="shared" si="1"/>
        <v/>
      </c>
      <c r="J14" s="3" t="str">
        <f t="shared" si="2"/>
        <v/>
      </c>
      <c r="K14" s="3"/>
      <c r="L14" s="60" t="str">
        <f t="shared" si="3"/>
        <v/>
      </c>
      <c r="M14" s="40"/>
      <c r="N14" s="40"/>
      <c r="O14" s="40"/>
      <c r="P14" s="40"/>
      <c r="Q14" s="40"/>
      <c r="R14" s="40"/>
      <c r="S14" s="61" t="str">
        <f t="shared" si="4"/>
        <v/>
      </c>
      <c r="T14" s="40"/>
      <c r="U14" s="40"/>
      <c r="V14" s="40"/>
      <c r="W14" s="40"/>
      <c r="X14" s="67" t="str">
        <f t="shared" si="7"/>
        <v/>
      </c>
      <c r="Z14" s="71"/>
      <c r="AA14" s="71"/>
      <c r="AB14" s="67" t="str">
        <f t="shared" si="6"/>
        <v/>
      </c>
    </row>
    <row r="15" spans="1:28" x14ac:dyDescent="0.25">
      <c r="A15" s="59"/>
      <c r="B15" s="7"/>
      <c r="C15" s="59"/>
      <c r="D15" s="10"/>
      <c r="E15" s="40"/>
      <c r="F15" s="40"/>
      <c r="G15" s="40"/>
      <c r="H15" s="3" t="str">
        <f t="shared" si="0"/>
        <v/>
      </c>
      <c r="I15" s="3" t="str">
        <f t="shared" si="1"/>
        <v/>
      </c>
      <c r="J15" s="3" t="str">
        <f t="shared" si="2"/>
        <v/>
      </c>
      <c r="K15" s="3"/>
      <c r="L15" s="60" t="str">
        <f t="shared" si="3"/>
        <v/>
      </c>
      <c r="M15" s="40"/>
      <c r="N15" s="40"/>
      <c r="O15" s="40"/>
      <c r="P15" s="40"/>
      <c r="Q15" s="40"/>
      <c r="R15" s="40"/>
      <c r="S15" s="61" t="str">
        <f t="shared" si="4"/>
        <v/>
      </c>
      <c r="T15" s="40"/>
      <c r="U15" s="40"/>
      <c r="V15" s="40"/>
      <c r="W15" s="40"/>
      <c r="X15" s="67" t="str">
        <f t="shared" si="7"/>
        <v/>
      </c>
      <c r="Z15" s="71"/>
      <c r="AA15" s="71"/>
      <c r="AB15" s="67" t="str">
        <f t="shared" si="6"/>
        <v/>
      </c>
    </row>
    <row r="16" spans="1:28" x14ac:dyDescent="0.25">
      <c r="A16" s="59"/>
      <c r="B16" s="7"/>
      <c r="C16" s="59"/>
      <c r="D16" s="10"/>
      <c r="E16" s="40"/>
      <c r="F16" s="40"/>
      <c r="G16" s="40"/>
      <c r="H16" s="3" t="str">
        <f t="shared" si="0"/>
        <v/>
      </c>
      <c r="I16" s="3" t="str">
        <f t="shared" si="1"/>
        <v/>
      </c>
      <c r="J16" s="3" t="str">
        <f t="shared" si="2"/>
        <v/>
      </c>
      <c r="K16" s="3"/>
      <c r="L16" s="60" t="str">
        <f t="shared" si="3"/>
        <v/>
      </c>
      <c r="M16" s="40"/>
      <c r="N16" s="40"/>
      <c r="O16" s="40"/>
      <c r="P16" s="40"/>
      <c r="Q16" s="40"/>
      <c r="R16" s="40"/>
      <c r="S16" s="61" t="str">
        <f t="shared" si="4"/>
        <v/>
      </c>
      <c r="T16" s="40"/>
      <c r="U16" s="40"/>
      <c r="V16" s="40"/>
      <c r="W16" s="40"/>
      <c r="X16" s="67" t="str">
        <f t="shared" si="7"/>
        <v/>
      </c>
      <c r="Z16" s="71"/>
      <c r="AA16" s="71"/>
      <c r="AB16" s="67" t="str">
        <f t="shared" si="6"/>
        <v/>
      </c>
    </row>
    <row r="17" spans="1:28" x14ac:dyDescent="0.25">
      <c r="A17" s="19"/>
      <c r="B17" s="7"/>
      <c r="C17" s="59"/>
      <c r="D17" s="10"/>
      <c r="E17" s="40"/>
      <c r="F17" s="40"/>
      <c r="G17" s="40"/>
      <c r="H17" s="3" t="str">
        <f t="shared" si="0"/>
        <v/>
      </c>
      <c r="I17" s="3" t="str">
        <f t="shared" si="1"/>
        <v/>
      </c>
      <c r="J17" s="3" t="str">
        <f t="shared" si="2"/>
        <v/>
      </c>
      <c r="K17" s="3"/>
      <c r="L17" s="60" t="str">
        <f t="shared" si="3"/>
        <v/>
      </c>
      <c r="M17" s="40"/>
      <c r="N17" s="40"/>
      <c r="O17" s="40"/>
      <c r="P17" s="40"/>
      <c r="Q17" s="40"/>
      <c r="R17" s="40"/>
      <c r="S17" s="61" t="str">
        <f t="shared" si="4"/>
        <v/>
      </c>
      <c r="T17" s="40"/>
      <c r="U17" s="40"/>
      <c r="V17" s="40"/>
      <c r="W17" s="40"/>
      <c r="X17" s="67" t="str">
        <f t="shared" si="7"/>
        <v/>
      </c>
      <c r="Z17" s="71"/>
      <c r="AA17" s="71"/>
      <c r="AB17" s="67" t="str">
        <f t="shared" si="6"/>
        <v/>
      </c>
    </row>
    <row r="18" spans="1:28" x14ac:dyDescent="0.25">
      <c r="A18" s="59"/>
      <c r="B18" s="7"/>
      <c r="C18" s="59"/>
      <c r="D18" s="10"/>
      <c r="E18" s="40"/>
      <c r="F18" s="40"/>
      <c r="G18" s="40"/>
      <c r="H18" s="3" t="str">
        <f t="shared" si="0"/>
        <v/>
      </c>
      <c r="I18" s="3" t="str">
        <f t="shared" si="1"/>
        <v/>
      </c>
      <c r="J18" s="3" t="str">
        <f t="shared" si="2"/>
        <v/>
      </c>
      <c r="K18" s="20"/>
      <c r="L18" s="60" t="str">
        <f t="shared" si="3"/>
        <v/>
      </c>
      <c r="M18" s="40"/>
      <c r="N18" s="40"/>
      <c r="O18" s="40"/>
      <c r="P18" s="40"/>
      <c r="Q18" s="40"/>
      <c r="R18" s="40"/>
      <c r="S18" s="61" t="str">
        <f t="shared" si="4"/>
        <v/>
      </c>
      <c r="T18" s="40"/>
      <c r="U18" s="40"/>
      <c r="V18" s="40"/>
      <c r="W18" s="40"/>
      <c r="X18" s="67" t="str">
        <f t="shared" si="7"/>
        <v/>
      </c>
      <c r="Z18" s="71"/>
      <c r="AA18" s="71"/>
      <c r="AB18" s="67" t="str">
        <f t="shared" si="6"/>
        <v/>
      </c>
    </row>
    <row r="19" spans="1:28" x14ac:dyDescent="0.25">
      <c r="A19" s="59"/>
      <c r="B19" s="7"/>
      <c r="C19" s="59"/>
      <c r="D19" s="10"/>
      <c r="E19" s="40"/>
      <c r="F19" s="40"/>
      <c r="G19" s="40"/>
      <c r="H19" s="3" t="str">
        <f t="shared" si="0"/>
        <v/>
      </c>
      <c r="I19" s="3" t="str">
        <f t="shared" si="1"/>
        <v/>
      </c>
      <c r="J19" s="3" t="str">
        <f t="shared" si="2"/>
        <v/>
      </c>
      <c r="K19" s="3"/>
      <c r="L19" s="60" t="str">
        <f t="shared" si="3"/>
        <v/>
      </c>
      <c r="M19" s="40"/>
      <c r="N19" s="40"/>
      <c r="O19" s="40"/>
      <c r="P19" s="40"/>
      <c r="Q19" s="40"/>
      <c r="R19" s="40"/>
      <c r="S19" s="61" t="str">
        <f t="shared" si="4"/>
        <v/>
      </c>
      <c r="T19" s="40"/>
      <c r="U19" s="40"/>
      <c r="V19" s="40"/>
      <c r="W19" s="40"/>
      <c r="X19" s="67" t="str">
        <f t="shared" si="7"/>
        <v/>
      </c>
      <c r="Z19" s="71"/>
      <c r="AA19" s="71"/>
      <c r="AB19" s="67" t="str">
        <f t="shared" si="6"/>
        <v/>
      </c>
    </row>
    <row r="20" spans="1:28" x14ac:dyDescent="0.25">
      <c r="A20" s="59"/>
      <c r="B20" s="7"/>
      <c r="C20" s="59"/>
      <c r="D20" s="10"/>
      <c r="E20" s="40"/>
      <c r="F20" s="40"/>
      <c r="G20" s="40"/>
      <c r="H20" s="3" t="str">
        <f t="shared" si="0"/>
        <v/>
      </c>
      <c r="I20" s="3" t="str">
        <f t="shared" si="1"/>
        <v/>
      </c>
      <c r="J20" s="3" t="str">
        <f t="shared" si="2"/>
        <v/>
      </c>
      <c r="K20" s="3"/>
      <c r="L20" s="60" t="str">
        <f t="shared" si="3"/>
        <v/>
      </c>
      <c r="M20" s="40"/>
      <c r="N20" s="40"/>
      <c r="O20" s="40"/>
      <c r="P20" s="40"/>
      <c r="Q20" s="40"/>
      <c r="R20" s="40"/>
      <c r="S20" s="75" t="str">
        <f t="shared" si="4"/>
        <v/>
      </c>
      <c r="T20" s="40"/>
      <c r="U20" s="40"/>
      <c r="V20" s="40"/>
      <c r="W20" s="40"/>
      <c r="X20" s="67" t="str">
        <f t="shared" si="7"/>
        <v/>
      </c>
      <c r="Z20" s="71"/>
      <c r="AA20" s="71"/>
      <c r="AB20" s="67" t="str">
        <f t="shared" si="6"/>
        <v/>
      </c>
    </row>
    <row r="21" spans="1:28" x14ac:dyDescent="0.25">
      <c r="A21" s="59"/>
      <c r="B21" s="7"/>
      <c r="C21" s="59"/>
      <c r="D21" s="10"/>
      <c r="E21" s="40"/>
      <c r="F21" s="40"/>
      <c r="G21" s="40"/>
      <c r="H21" s="3" t="str">
        <f t="shared" si="0"/>
        <v/>
      </c>
      <c r="I21" s="3" t="str">
        <f t="shared" si="1"/>
        <v/>
      </c>
      <c r="J21" s="3" t="str">
        <f t="shared" si="2"/>
        <v/>
      </c>
      <c r="K21" s="3"/>
      <c r="L21" s="60" t="str">
        <f t="shared" si="3"/>
        <v/>
      </c>
      <c r="M21" s="40"/>
      <c r="N21" s="40"/>
      <c r="O21" s="40"/>
      <c r="P21" s="40"/>
      <c r="Q21" s="40"/>
      <c r="R21" s="40"/>
      <c r="S21" s="75" t="str">
        <f t="shared" si="4"/>
        <v/>
      </c>
      <c r="T21" s="40"/>
      <c r="U21" s="40"/>
      <c r="V21" s="40"/>
      <c r="W21" s="40"/>
      <c r="X21" s="67" t="str">
        <f t="shared" si="7"/>
        <v/>
      </c>
      <c r="Z21" s="71"/>
      <c r="AA21" s="71"/>
      <c r="AB21" s="67" t="str">
        <f t="shared" si="6"/>
        <v/>
      </c>
    </row>
    <row r="22" spans="1:28" x14ac:dyDescent="0.25">
      <c r="A22" s="59"/>
      <c r="B22" s="7"/>
      <c r="C22" s="59"/>
      <c r="D22" s="10"/>
      <c r="E22" s="40"/>
      <c r="F22" s="40"/>
      <c r="G22" s="40"/>
      <c r="H22" s="3" t="str">
        <f t="shared" si="0"/>
        <v/>
      </c>
      <c r="I22" s="3" t="str">
        <f t="shared" si="1"/>
        <v/>
      </c>
      <c r="J22" s="3" t="str">
        <f t="shared" si="2"/>
        <v/>
      </c>
      <c r="K22" s="3"/>
      <c r="L22" s="60" t="str">
        <f t="shared" si="3"/>
        <v/>
      </c>
      <c r="M22" s="40"/>
      <c r="N22" s="40"/>
      <c r="O22" s="40"/>
      <c r="P22" s="40"/>
      <c r="Q22" s="40"/>
      <c r="R22" s="40"/>
      <c r="S22" s="61" t="str">
        <f t="shared" si="4"/>
        <v/>
      </c>
      <c r="T22" s="40"/>
      <c r="U22" s="40"/>
      <c r="V22" s="40"/>
      <c r="W22" s="40"/>
      <c r="X22" s="67" t="str">
        <f t="shared" si="7"/>
        <v/>
      </c>
      <c r="Z22" s="71"/>
      <c r="AA22" s="71"/>
      <c r="AB22" s="67" t="str">
        <f t="shared" si="6"/>
        <v/>
      </c>
    </row>
    <row r="23" spans="1:28" x14ac:dyDescent="0.25">
      <c r="A23" s="59"/>
      <c r="B23" s="7"/>
      <c r="C23" s="59"/>
      <c r="D23" s="10"/>
      <c r="E23" s="40"/>
      <c r="F23" s="40"/>
      <c r="G23" s="40"/>
      <c r="H23" s="3" t="str">
        <f t="shared" si="0"/>
        <v/>
      </c>
      <c r="I23" s="3" t="str">
        <f t="shared" si="1"/>
        <v/>
      </c>
      <c r="J23" s="3" t="str">
        <f t="shared" si="2"/>
        <v/>
      </c>
      <c r="K23" s="3"/>
      <c r="L23" s="60" t="str">
        <f t="shared" si="3"/>
        <v/>
      </c>
      <c r="M23" s="40"/>
      <c r="N23" s="40"/>
      <c r="O23" s="40"/>
      <c r="P23" s="40"/>
      <c r="Q23" s="40"/>
      <c r="R23" s="40"/>
      <c r="S23" s="61" t="str">
        <f t="shared" si="4"/>
        <v/>
      </c>
      <c r="T23" s="40"/>
      <c r="U23" s="40"/>
      <c r="V23" s="40"/>
      <c r="W23" s="40"/>
      <c r="X23" s="67" t="str">
        <f t="shared" si="7"/>
        <v/>
      </c>
      <c r="Z23" s="71"/>
      <c r="AA23" s="71"/>
      <c r="AB23" s="67" t="str">
        <f t="shared" si="6"/>
        <v/>
      </c>
    </row>
    <row r="24" spans="1:28" x14ac:dyDescent="0.25">
      <c r="A24" s="59"/>
      <c r="B24" s="7"/>
      <c r="C24" s="59"/>
      <c r="D24" s="10"/>
      <c r="E24" s="40"/>
      <c r="F24" s="40"/>
      <c r="G24" s="40"/>
      <c r="H24" s="3" t="str">
        <f t="shared" si="0"/>
        <v/>
      </c>
      <c r="I24" s="3" t="str">
        <f t="shared" si="1"/>
        <v/>
      </c>
      <c r="J24" s="3" t="str">
        <f t="shared" si="2"/>
        <v/>
      </c>
      <c r="K24" s="3"/>
      <c r="L24" s="60" t="str">
        <f t="shared" si="3"/>
        <v/>
      </c>
      <c r="M24" s="40"/>
      <c r="N24" s="40"/>
      <c r="O24" s="40"/>
      <c r="P24" s="40"/>
      <c r="Q24" s="40"/>
      <c r="R24" s="40"/>
      <c r="S24" s="61" t="str">
        <f t="shared" si="4"/>
        <v/>
      </c>
      <c r="T24" s="40"/>
      <c r="U24" s="40"/>
      <c r="V24" s="40"/>
      <c r="W24" s="40"/>
      <c r="X24" s="67" t="str">
        <f t="shared" si="7"/>
        <v/>
      </c>
      <c r="Z24" s="71"/>
      <c r="AA24" s="71"/>
      <c r="AB24" s="67" t="str">
        <f t="shared" si="6"/>
        <v/>
      </c>
    </row>
    <row r="25" spans="1:28" x14ac:dyDescent="0.25">
      <c r="A25" s="59"/>
      <c r="B25" s="7"/>
      <c r="C25" s="59"/>
      <c r="D25" s="10"/>
      <c r="E25" s="40"/>
      <c r="F25" s="40"/>
      <c r="G25" s="40"/>
      <c r="H25" s="3" t="str">
        <f t="shared" si="0"/>
        <v/>
      </c>
      <c r="I25" s="3" t="str">
        <f t="shared" si="1"/>
        <v/>
      </c>
      <c r="J25" s="3" t="str">
        <f t="shared" si="2"/>
        <v/>
      </c>
      <c r="K25" s="3"/>
      <c r="L25" s="60" t="str">
        <f t="shared" si="3"/>
        <v/>
      </c>
      <c r="M25" s="40"/>
      <c r="N25" s="40"/>
      <c r="O25" s="40"/>
      <c r="P25" s="40"/>
      <c r="Q25" s="40"/>
      <c r="R25" s="40"/>
      <c r="S25" s="61" t="str">
        <f t="shared" si="4"/>
        <v/>
      </c>
      <c r="T25" s="40"/>
      <c r="U25" s="40"/>
      <c r="V25" s="40"/>
      <c r="W25" s="40"/>
      <c r="X25" s="67" t="str">
        <f t="shared" si="7"/>
        <v/>
      </c>
      <c r="Z25" s="71"/>
      <c r="AA25" s="71"/>
      <c r="AB25" s="67" t="str">
        <f t="shared" si="6"/>
        <v/>
      </c>
    </row>
    <row r="26" spans="1:28" x14ac:dyDescent="0.25">
      <c r="A26" s="59"/>
      <c r="B26" s="7"/>
      <c r="C26" s="59"/>
      <c r="D26" s="10"/>
      <c r="E26" s="40"/>
      <c r="F26" s="40"/>
      <c r="G26" s="40"/>
      <c r="H26" s="3" t="str">
        <f t="shared" si="0"/>
        <v/>
      </c>
      <c r="I26" s="3" t="str">
        <f t="shared" si="1"/>
        <v/>
      </c>
      <c r="J26" s="3" t="str">
        <f t="shared" si="2"/>
        <v/>
      </c>
      <c r="K26" s="3"/>
      <c r="L26" s="60" t="str">
        <f t="shared" si="3"/>
        <v/>
      </c>
      <c r="M26" s="40"/>
      <c r="N26" s="40"/>
      <c r="O26" s="40"/>
      <c r="P26" s="40"/>
      <c r="Q26" s="40"/>
      <c r="R26" s="40"/>
      <c r="S26" s="61" t="str">
        <f t="shared" si="4"/>
        <v/>
      </c>
      <c r="T26" s="40"/>
      <c r="U26" s="40"/>
      <c r="V26" s="40"/>
      <c r="W26" s="40"/>
      <c r="X26" s="67" t="str">
        <f t="shared" si="7"/>
        <v/>
      </c>
      <c r="Z26" s="71"/>
      <c r="AA26" s="71"/>
      <c r="AB26" s="67" t="str">
        <f t="shared" si="6"/>
        <v/>
      </c>
    </row>
    <row r="27" spans="1:28" x14ac:dyDescent="0.25">
      <c r="A27" s="59"/>
      <c r="B27" s="7"/>
      <c r="C27" s="59"/>
      <c r="D27" s="10"/>
      <c r="E27" s="40"/>
      <c r="F27" s="40"/>
      <c r="G27" s="40"/>
      <c r="H27" s="3" t="str">
        <f t="shared" si="0"/>
        <v/>
      </c>
      <c r="I27" s="3" t="str">
        <f t="shared" si="1"/>
        <v/>
      </c>
      <c r="J27" s="3" t="str">
        <f t="shared" si="2"/>
        <v/>
      </c>
      <c r="K27" s="3"/>
      <c r="L27" s="60" t="str">
        <f t="shared" si="3"/>
        <v/>
      </c>
      <c r="M27" s="40"/>
      <c r="N27" s="40"/>
      <c r="O27" s="40"/>
      <c r="P27" s="40"/>
      <c r="Q27" s="40"/>
      <c r="R27" s="40"/>
      <c r="S27" s="61" t="str">
        <f t="shared" si="4"/>
        <v/>
      </c>
      <c r="T27" s="40"/>
      <c r="U27" s="40"/>
      <c r="V27" s="40"/>
      <c r="W27" s="40"/>
      <c r="X27" s="67" t="str">
        <f t="shared" si="7"/>
        <v/>
      </c>
      <c r="Z27" s="71"/>
      <c r="AA27" s="71"/>
      <c r="AB27" s="67" t="str">
        <f t="shared" si="6"/>
        <v/>
      </c>
    </row>
    <row r="28" spans="1:28" x14ac:dyDescent="0.25">
      <c r="A28" s="19"/>
      <c r="B28" s="7"/>
      <c r="C28" s="59"/>
      <c r="D28" s="10"/>
      <c r="E28" s="40"/>
      <c r="F28" s="40"/>
      <c r="G28" s="40"/>
      <c r="H28" s="3" t="str">
        <f t="shared" si="0"/>
        <v/>
      </c>
      <c r="I28" s="3" t="str">
        <f t="shared" si="1"/>
        <v/>
      </c>
      <c r="J28" s="3" t="str">
        <f t="shared" si="2"/>
        <v/>
      </c>
      <c r="K28" s="3"/>
      <c r="L28" s="60" t="str">
        <f t="shared" si="3"/>
        <v/>
      </c>
      <c r="M28" s="40"/>
      <c r="N28" s="40"/>
      <c r="O28" s="40"/>
      <c r="P28" s="40"/>
      <c r="Q28" s="40"/>
      <c r="R28" s="40"/>
      <c r="S28" s="61" t="str">
        <f t="shared" si="4"/>
        <v/>
      </c>
      <c r="T28" s="40"/>
      <c r="U28" s="40"/>
      <c r="V28" s="40"/>
      <c r="W28" s="40"/>
      <c r="X28" s="67" t="str">
        <f t="shared" si="7"/>
        <v/>
      </c>
      <c r="Z28" s="71"/>
      <c r="AA28" s="71"/>
      <c r="AB28" s="67" t="str">
        <f t="shared" si="6"/>
        <v/>
      </c>
    </row>
    <row r="29" spans="1:28" x14ac:dyDescent="0.25">
      <c r="A29" s="19"/>
      <c r="B29" s="7"/>
      <c r="C29" s="59"/>
      <c r="D29" s="10"/>
      <c r="E29" s="40"/>
      <c r="F29" s="40"/>
      <c r="G29" s="40"/>
      <c r="H29" s="3" t="str">
        <f t="shared" si="0"/>
        <v/>
      </c>
      <c r="I29" s="3" t="str">
        <f t="shared" si="1"/>
        <v/>
      </c>
      <c r="J29" s="3" t="str">
        <f t="shared" si="2"/>
        <v/>
      </c>
      <c r="K29" s="3"/>
      <c r="L29" s="60" t="str">
        <f t="shared" si="3"/>
        <v/>
      </c>
      <c r="M29" s="40"/>
      <c r="N29" s="40"/>
      <c r="O29" s="40"/>
      <c r="P29" s="40"/>
      <c r="Q29" s="40"/>
      <c r="R29" s="40"/>
      <c r="S29" s="61" t="str">
        <f t="shared" si="4"/>
        <v/>
      </c>
      <c r="T29" s="40"/>
      <c r="U29" s="40"/>
      <c r="V29" s="40"/>
      <c r="W29" s="40"/>
      <c r="X29" s="67" t="str">
        <f t="shared" si="7"/>
        <v/>
      </c>
      <c r="Z29" s="71"/>
      <c r="AA29" s="71"/>
      <c r="AB29" s="67" t="str">
        <f t="shared" si="6"/>
        <v/>
      </c>
    </row>
    <row r="30" spans="1:28" x14ac:dyDescent="0.25">
      <c r="A30" s="19"/>
      <c r="B30" s="7"/>
      <c r="C30" s="59"/>
      <c r="D30" s="10"/>
      <c r="E30" s="40"/>
      <c r="F30" s="40"/>
      <c r="G30" s="40"/>
      <c r="H30" s="3" t="str">
        <f t="shared" si="0"/>
        <v/>
      </c>
      <c r="I30" s="3" t="str">
        <f t="shared" si="1"/>
        <v/>
      </c>
      <c r="J30" s="3" t="str">
        <f t="shared" si="2"/>
        <v/>
      </c>
      <c r="K30" s="3"/>
      <c r="L30" s="60" t="str">
        <f t="shared" si="3"/>
        <v/>
      </c>
      <c r="M30" s="40"/>
      <c r="N30" s="40"/>
      <c r="O30" s="40"/>
      <c r="P30" s="40"/>
      <c r="Q30" s="40"/>
      <c r="R30" s="40"/>
      <c r="S30" s="61" t="str">
        <f t="shared" si="4"/>
        <v/>
      </c>
      <c r="T30" s="40"/>
      <c r="U30" s="40"/>
      <c r="V30" s="40"/>
      <c r="W30" s="40"/>
      <c r="X30" s="67" t="str">
        <f t="shared" si="7"/>
        <v/>
      </c>
      <c r="Y30" s="22"/>
      <c r="Z30" s="71"/>
      <c r="AA30" s="71"/>
      <c r="AB30" s="67" t="str">
        <f t="shared" si="6"/>
        <v/>
      </c>
    </row>
    <row r="31" spans="1:28" x14ac:dyDescent="0.25">
      <c r="A31" s="59"/>
      <c r="B31" s="7"/>
      <c r="C31" s="59"/>
      <c r="D31" s="10"/>
      <c r="E31" s="40"/>
      <c r="F31" s="40"/>
      <c r="G31" s="40"/>
      <c r="H31" s="3" t="str">
        <f t="shared" si="0"/>
        <v/>
      </c>
      <c r="I31" s="3" t="str">
        <f t="shared" si="1"/>
        <v/>
      </c>
      <c r="J31" s="3" t="str">
        <f t="shared" si="2"/>
        <v/>
      </c>
      <c r="K31" s="3"/>
      <c r="L31" s="60" t="str">
        <f t="shared" si="3"/>
        <v/>
      </c>
      <c r="M31" s="40"/>
      <c r="N31" s="40"/>
      <c r="O31" s="40"/>
      <c r="P31" s="40"/>
      <c r="Q31" s="40"/>
      <c r="R31" s="40"/>
      <c r="S31" s="61" t="str">
        <f t="shared" si="4"/>
        <v/>
      </c>
      <c r="T31" s="40"/>
      <c r="U31" s="40"/>
      <c r="V31" s="40"/>
      <c r="W31" s="40"/>
      <c r="X31" s="67" t="str">
        <f t="shared" si="7"/>
        <v/>
      </c>
      <c r="Z31" s="71"/>
      <c r="AA31" s="71"/>
      <c r="AB31" s="67" t="str">
        <f t="shared" si="6"/>
        <v/>
      </c>
    </row>
    <row r="32" spans="1:28" x14ac:dyDescent="0.25">
      <c r="A32" s="59"/>
      <c r="B32" s="7"/>
      <c r="C32" s="59"/>
      <c r="D32" s="10"/>
      <c r="E32" s="40"/>
      <c r="F32" s="40"/>
      <c r="G32" s="40"/>
      <c r="H32" s="3" t="str">
        <f t="shared" si="0"/>
        <v/>
      </c>
      <c r="I32" s="3" t="str">
        <f t="shared" si="1"/>
        <v/>
      </c>
      <c r="J32" s="3" t="str">
        <f t="shared" si="2"/>
        <v/>
      </c>
      <c r="K32" s="3"/>
      <c r="L32" s="60" t="str">
        <f t="shared" si="3"/>
        <v/>
      </c>
      <c r="M32" s="40"/>
      <c r="N32" s="40"/>
      <c r="O32" s="40"/>
      <c r="P32" s="40"/>
      <c r="Q32" s="40"/>
      <c r="R32" s="40"/>
      <c r="S32" s="61" t="str">
        <f t="shared" si="4"/>
        <v/>
      </c>
      <c r="T32" s="40"/>
      <c r="U32" s="40"/>
      <c r="V32" s="40"/>
      <c r="W32" s="40"/>
      <c r="X32" s="67" t="str">
        <f t="shared" si="7"/>
        <v/>
      </c>
      <c r="Z32" s="71"/>
      <c r="AA32" s="71"/>
      <c r="AB32" s="67" t="str">
        <f t="shared" si="6"/>
        <v/>
      </c>
    </row>
    <row r="33" spans="1:28" x14ac:dyDescent="0.25">
      <c r="A33" s="59"/>
      <c r="B33" s="7"/>
      <c r="C33" s="59"/>
      <c r="D33" s="10"/>
      <c r="E33" s="40"/>
      <c r="F33" s="40"/>
      <c r="G33" s="40"/>
      <c r="H33" s="3" t="str">
        <f t="shared" si="0"/>
        <v/>
      </c>
      <c r="I33" s="3" t="str">
        <f t="shared" si="1"/>
        <v/>
      </c>
      <c r="J33" s="3" t="str">
        <f t="shared" si="2"/>
        <v/>
      </c>
      <c r="K33" s="3"/>
      <c r="L33" s="60" t="str">
        <f t="shared" si="3"/>
        <v/>
      </c>
      <c r="M33" s="40"/>
      <c r="N33" s="40"/>
      <c r="O33" s="40"/>
      <c r="P33" s="40"/>
      <c r="Q33" s="40"/>
      <c r="R33" s="40"/>
      <c r="S33" s="61" t="str">
        <f t="shared" si="4"/>
        <v/>
      </c>
      <c r="T33" s="40"/>
      <c r="U33" s="40"/>
      <c r="V33" s="40"/>
      <c r="W33" s="40"/>
      <c r="X33" s="67" t="str">
        <f t="shared" si="7"/>
        <v/>
      </c>
      <c r="Z33" s="71"/>
      <c r="AA33" s="71"/>
      <c r="AB33" s="67" t="str">
        <f t="shared" si="6"/>
        <v/>
      </c>
    </row>
    <row r="34" spans="1:28" x14ac:dyDescent="0.25">
      <c r="A34" s="59"/>
      <c r="B34" s="7"/>
      <c r="C34" s="59"/>
      <c r="D34" s="10"/>
      <c r="E34" s="40"/>
      <c r="F34" s="40"/>
      <c r="G34" s="40"/>
      <c r="H34" s="3" t="str">
        <f t="shared" si="0"/>
        <v/>
      </c>
      <c r="I34" s="3" t="str">
        <f t="shared" si="1"/>
        <v/>
      </c>
      <c r="J34" s="3" t="str">
        <f t="shared" si="2"/>
        <v/>
      </c>
      <c r="K34" s="3"/>
      <c r="L34" s="60" t="str">
        <f t="shared" si="3"/>
        <v/>
      </c>
      <c r="M34" s="40"/>
      <c r="N34" s="40"/>
      <c r="O34" s="40"/>
      <c r="P34" s="40"/>
      <c r="Q34" s="40"/>
      <c r="R34" s="40"/>
      <c r="S34" s="61" t="str">
        <f t="shared" si="4"/>
        <v/>
      </c>
      <c r="T34" s="40"/>
      <c r="U34" s="40"/>
      <c r="V34" s="40"/>
      <c r="W34" s="40"/>
      <c r="X34" s="67" t="str">
        <f t="shared" si="7"/>
        <v/>
      </c>
      <c r="Z34" s="71"/>
      <c r="AA34" s="71"/>
      <c r="AB34" s="67" t="str">
        <f t="shared" si="6"/>
        <v/>
      </c>
    </row>
    <row r="35" spans="1:28" x14ac:dyDescent="0.25">
      <c r="A35" s="59"/>
      <c r="B35" s="7"/>
      <c r="C35" s="59"/>
      <c r="D35" s="10"/>
      <c r="E35" s="40"/>
      <c r="F35" s="40"/>
      <c r="G35" s="40"/>
      <c r="H35" s="3" t="str">
        <f t="shared" si="0"/>
        <v/>
      </c>
      <c r="I35" s="3" t="str">
        <f t="shared" si="1"/>
        <v/>
      </c>
      <c r="J35" s="3" t="str">
        <f t="shared" si="2"/>
        <v/>
      </c>
      <c r="K35" s="3"/>
      <c r="L35" s="60" t="str">
        <f t="shared" si="3"/>
        <v/>
      </c>
      <c r="M35" s="40"/>
      <c r="N35" s="40"/>
      <c r="O35" s="40"/>
      <c r="P35" s="40"/>
      <c r="Q35" s="40"/>
      <c r="R35" s="40"/>
      <c r="S35" s="61" t="str">
        <f t="shared" si="4"/>
        <v/>
      </c>
      <c r="T35" s="40"/>
      <c r="U35" s="40"/>
      <c r="V35" s="40"/>
      <c r="W35" s="40"/>
      <c r="X35" s="67" t="str">
        <f t="shared" si="7"/>
        <v/>
      </c>
      <c r="Z35" s="71"/>
      <c r="AA35" s="71"/>
      <c r="AB35" s="67" t="str">
        <f t="shared" si="6"/>
        <v/>
      </c>
    </row>
    <row r="36" spans="1:28" x14ac:dyDescent="0.25">
      <c r="A36" s="59"/>
      <c r="B36" s="7"/>
      <c r="C36" s="59"/>
      <c r="D36" s="10"/>
      <c r="E36" s="40"/>
      <c r="F36" s="40"/>
      <c r="G36" s="40"/>
      <c r="H36" s="3" t="str">
        <f t="shared" si="0"/>
        <v/>
      </c>
      <c r="I36" s="3" t="str">
        <f t="shared" si="1"/>
        <v/>
      </c>
      <c r="J36" s="3" t="str">
        <f t="shared" si="2"/>
        <v/>
      </c>
      <c r="K36" s="3"/>
      <c r="L36" s="60" t="str">
        <f t="shared" si="3"/>
        <v/>
      </c>
      <c r="M36" s="40"/>
      <c r="N36" s="40"/>
      <c r="O36" s="40"/>
      <c r="P36" s="40"/>
      <c r="Q36" s="40"/>
      <c r="R36" s="40"/>
      <c r="S36" s="61" t="str">
        <f t="shared" si="4"/>
        <v/>
      </c>
      <c r="T36" s="40"/>
      <c r="U36" s="40"/>
      <c r="V36" s="40"/>
      <c r="W36" s="40"/>
      <c r="X36" s="67" t="str">
        <f t="shared" si="7"/>
        <v/>
      </c>
      <c r="Z36" s="71"/>
      <c r="AA36" s="71"/>
      <c r="AB36" s="67" t="str">
        <f t="shared" si="6"/>
        <v/>
      </c>
    </row>
    <row r="37" spans="1:28" x14ac:dyDescent="0.25">
      <c r="A37" s="59"/>
      <c r="B37" s="7"/>
      <c r="C37" s="59"/>
      <c r="D37" s="10"/>
      <c r="E37" s="40"/>
      <c r="F37" s="40"/>
      <c r="G37" s="40"/>
      <c r="H37" s="3" t="str">
        <f t="shared" si="0"/>
        <v/>
      </c>
      <c r="I37" s="3" t="str">
        <f t="shared" si="1"/>
        <v/>
      </c>
      <c r="J37" s="3" t="str">
        <f t="shared" si="2"/>
        <v/>
      </c>
      <c r="K37" s="3"/>
      <c r="L37" s="60" t="str">
        <f t="shared" si="3"/>
        <v/>
      </c>
      <c r="M37" s="40"/>
      <c r="N37" s="40"/>
      <c r="O37" s="40"/>
      <c r="P37" s="40"/>
      <c r="Q37" s="40"/>
      <c r="R37" s="40"/>
      <c r="S37" s="61" t="str">
        <f t="shared" si="4"/>
        <v/>
      </c>
      <c r="T37" s="40"/>
      <c r="U37" s="40"/>
      <c r="V37" s="40"/>
      <c r="W37" s="40"/>
      <c r="X37" s="67" t="str">
        <f t="shared" si="7"/>
        <v/>
      </c>
      <c r="Z37" s="71"/>
      <c r="AA37" s="71"/>
      <c r="AB37" s="67" t="str">
        <f t="shared" si="6"/>
        <v/>
      </c>
    </row>
    <row r="38" spans="1:28" x14ac:dyDescent="0.25">
      <c r="A38" s="59"/>
      <c r="B38" s="7"/>
      <c r="C38" s="59"/>
      <c r="D38" s="10"/>
      <c r="E38" s="40"/>
      <c r="F38" s="40"/>
      <c r="G38" s="40"/>
      <c r="H38" s="3" t="str">
        <f t="shared" si="0"/>
        <v/>
      </c>
      <c r="I38" s="3" t="str">
        <f t="shared" si="1"/>
        <v/>
      </c>
      <c r="J38" s="3" t="str">
        <f t="shared" si="2"/>
        <v/>
      </c>
      <c r="K38" s="3"/>
      <c r="L38" s="60" t="str">
        <f t="shared" si="3"/>
        <v/>
      </c>
      <c r="M38" s="40"/>
      <c r="N38" s="40"/>
      <c r="O38" s="40"/>
      <c r="P38" s="40"/>
      <c r="Q38" s="40"/>
      <c r="R38" s="40"/>
      <c r="S38" s="61" t="str">
        <f t="shared" si="4"/>
        <v/>
      </c>
      <c r="T38" s="40"/>
      <c r="U38" s="40"/>
      <c r="V38" s="40"/>
      <c r="W38" s="40"/>
      <c r="X38" s="67" t="str">
        <f t="shared" si="7"/>
        <v/>
      </c>
      <c r="Z38" s="71"/>
      <c r="AA38" s="71"/>
      <c r="AB38" s="67" t="str">
        <f t="shared" si="6"/>
        <v/>
      </c>
    </row>
    <row r="39" spans="1:28" x14ac:dyDescent="0.25">
      <c r="A39" s="59"/>
      <c r="B39" s="7"/>
      <c r="C39" s="59"/>
      <c r="D39" s="10"/>
      <c r="E39" s="40"/>
      <c r="F39" s="40"/>
      <c r="G39" s="40"/>
      <c r="H39" s="3" t="str">
        <f t="shared" si="0"/>
        <v/>
      </c>
      <c r="I39" s="3" t="str">
        <f t="shared" si="1"/>
        <v/>
      </c>
      <c r="J39" s="3" t="str">
        <f t="shared" si="2"/>
        <v/>
      </c>
      <c r="K39" s="3"/>
      <c r="L39" s="60" t="str">
        <f t="shared" si="3"/>
        <v/>
      </c>
      <c r="M39" s="40"/>
      <c r="N39" s="40"/>
      <c r="O39" s="40"/>
      <c r="P39" s="40"/>
      <c r="Q39" s="40"/>
      <c r="R39" s="40"/>
      <c r="S39" s="61" t="str">
        <f t="shared" si="4"/>
        <v/>
      </c>
      <c r="T39" s="40"/>
      <c r="U39" s="40"/>
      <c r="V39" s="40"/>
      <c r="W39" s="40"/>
      <c r="X39" s="67" t="str">
        <f t="shared" si="7"/>
        <v/>
      </c>
      <c r="Z39" s="71"/>
      <c r="AA39" s="71"/>
      <c r="AB39" s="67" t="str">
        <f t="shared" si="6"/>
        <v/>
      </c>
    </row>
    <row r="40" spans="1:28" x14ac:dyDescent="0.25">
      <c r="A40" s="59"/>
      <c r="B40" s="7"/>
      <c r="C40" s="59"/>
      <c r="D40" s="10"/>
      <c r="E40" s="40"/>
      <c r="F40" s="40"/>
      <c r="G40" s="40"/>
      <c r="H40" s="3" t="str">
        <f t="shared" si="0"/>
        <v/>
      </c>
      <c r="I40" s="3" t="str">
        <f t="shared" si="1"/>
        <v/>
      </c>
      <c r="J40" s="3" t="str">
        <f t="shared" si="2"/>
        <v/>
      </c>
      <c r="K40" s="3"/>
      <c r="L40" s="60" t="str">
        <f t="shared" si="3"/>
        <v/>
      </c>
      <c r="M40" s="40"/>
      <c r="N40" s="40"/>
      <c r="O40" s="40"/>
      <c r="P40" s="40"/>
      <c r="Q40" s="40"/>
      <c r="R40" s="40"/>
      <c r="S40" s="61" t="str">
        <f>IF(C40="","",(S39+R40)-(M40+N40+O40+P40+Q40))</f>
        <v/>
      </c>
      <c r="T40" s="40"/>
      <c r="U40" s="40"/>
      <c r="V40" s="40"/>
      <c r="W40" s="40"/>
      <c r="X40" s="67" t="str">
        <f t="shared" si="7"/>
        <v/>
      </c>
      <c r="Z40" s="71"/>
      <c r="AA40" s="71"/>
      <c r="AB40" s="67" t="str">
        <f t="shared" si="6"/>
        <v/>
      </c>
    </row>
    <row r="41" spans="1:28" x14ac:dyDescent="0.25">
      <c r="A41" s="59"/>
      <c r="B41" s="7"/>
      <c r="C41" s="59"/>
      <c r="D41" s="10"/>
      <c r="E41" s="40"/>
      <c r="F41" s="40"/>
      <c r="G41" s="40"/>
      <c r="H41" s="3" t="str">
        <f t="shared" si="0"/>
        <v/>
      </c>
      <c r="I41" s="3" t="str">
        <f t="shared" si="1"/>
        <v/>
      </c>
      <c r="J41" s="3" t="str">
        <f t="shared" si="2"/>
        <v/>
      </c>
      <c r="K41" s="3"/>
      <c r="L41" s="60" t="str">
        <f t="shared" si="3"/>
        <v/>
      </c>
      <c r="M41" s="40"/>
      <c r="N41" s="40"/>
      <c r="O41" s="40"/>
      <c r="P41" s="40"/>
      <c r="Q41" s="40"/>
      <c r="R41" s="40"/>
      <c r="S41" s="61" t="str">
        <f t="shared" ref="S41:S102" si="8">IF(C41="","",(S40+R41)-(M41+N41+O41+P41+Q41))</f>
        <v/>
      </c>
      <c r="T41" s="40"/>
      <c r="U41" s="40"/>
      <c r="V41" s="40"/>
      <c r="W41" s="40"/>
      <c r="X41" s="67" t="str">
        <f t="shared" si="7"/>
        <v/>
      </c>
      <c r="Z41" s="71"/>
      <c r="AA41" s="71"/>
      <c r="AB41" s="67" t="str">
        <f t="shared" si="6"/>
        <v/>
      </c>
    </row>
    <row r="42" spans="1:28" x14ac:dyDescent="0.25">
      <c r="A42" s="59"/>
      <c r="B42" s="7"/>
      <c r="C42" s="59"/>
      <c r="D42" s="10"/>
      <c r="E42" s="40"/>
      <c r="F42" s="40"/>
      <c r="G42" s="40"/>
      <c r="H42" s="3" t="str">
        <f t="shared" si="0"/>
        <v/>
      </c>
      <c r="I42" s="3" t="str">
        <f t="shared" si="1"/>
        <v/>
      </c>
      <c r="J42" s="3" t="str">
        <f t="shared" si="2"/>
        <v/>
      </c>
      <c r="K42" s="3"/>
      <c r="L42" s="60" t="str">
        <f t="shared" si="3"/>
        <v/>
      </c>
      <c r="M42" s="40"/>
      <c r="N42" s="40"/>
      <c r="O42" s="40"/>
      <c r="P42" s="40"/>
      <c r="Q42" s="40"/>
      <c r="R42" s="40"/>
      <c r="S42" s="61" t="str">
        <f t="shared" si="8"/>
        <v/>
      </c>
      <c r="T42" s="40"/>
      <c r="U42" s="40"/>
      <c r="V42" s="40"/>
      <c r="W42" s="40"/>
      <c r="X42" s="67" t="str">
        <f t="shared" si="7"/>
        <v/>
      </c>
      <c r="Z42" s="71"/>
      <c r="AA42" s="71"/>
      <c r="AB42" s="67" t="str">
        <f t="shared" si="6"/>
        <v/>
      </c>
    </row>
    <row r="43" spans="1:28" x14ac:dyDescent="0.25">
      <c r="A43" s="59"/>
      <c r="B43" s="7"/>
      <c r="C43" s="59"/>
      <c r="D43" s="10"/>
      <c r="E43" s="40"/>
      <c r="F43" s="40"/>
      <c r="G43" s="40"/>
      <c r="H43" s="3" t="str">
        <f t="shared" si="0"/>
        <v/>
      </c>
      <c r="I43" s="3" t="str">
        <f t="shared" si="1"/>
        <v/>
      </c>
      <c r="J43" s="3" t="str">
        <f t="shared" si="2"/>
        <v/>
      </c>
      <c r="K43" s="3"/>
      <c r="L43" s="60" t="str">
        <f t="shared" si="3"/>
        <v/>
      </c>
      <c r="M43" s="40"/>
      <c r="N43" s="40"/>
      <c r="O43" s="40"/>
      <c r="P43" s="40"/>
      <c r="Q43" s="40"/>
      <c r="R43" s="40"/>
      <c r="S43" s="61" t="str">
        <f t="shared" si="8"/>
        <v/>
      </c>
      <c r="T43" s="40"/>
      <c r="U43" s="40"/>
      <c r="V43" s="40"/>
      <c r="W43" s="40"/>
      <c r="X43" s="67" t="str">
        <f t="shared" si="7"/>
        <v/>
      </c>
      <c r="Z43" s="71"/>
      <c r="AA43" s="71"/>
      <c r="AB43" s="67" t="str">
        <f t="shared" si="6"/>
        <v/>
      </c>
    </row>
    <row r="44" spans="1:28" x14ac:dyDescent="0.25">
      <c r="A44" s="19"/>
      <c r="B44" s="7"/>
      <c r="C44" s="59"/>
      <c r="D44" s="10"/>
      <c r="E44" s="40"/>
      <c r="F44" s="40"/>
      <c r="G44" s="40"/>
      <c r="H44" s="3" t="str">
        <f t="shared" si="0"/>
        <v/>
      </c>
      <c r="I44" s="3" t="str">
        <f t="shared" si="1"/>
        <v/>
      </c>
      <c r="J44" s="3" t="str">
        <f t="shared" si="2"/>
        <v/>
      </c>
      <c r="K44" s="3"/>
      <c r="L44" s="60" t="str">
        <f t="shared" si="3"/>
        <v/>
      </c>
      <c r="M44" s="40"/>
      <c r="N44" s="40"/>
      <c r="O44" s="40"/>
      <c r="P44" s="40"/>
      <c r="Q44" s="40"/>
      <c r="R44" s="40"/>
      <c r="S44" s="61" t="str">
        <f t="shared" si="8"/>
        <v/>
      </c>
      <c r="T44" s="40"/>
      <c r="U44" s="40"/>
      <c r="V44" s="40"/>
      <c r="W44" s="40"/>
      <c r="X44" s="67" t="str">
        <f t="shared" si="7"/>
        <v/>
      </c>
      <c r="Z44" s="71"/>
      <c r="AA44" s="71"/>
      <c r="AB44" s="67" t="str">
        <f t="shared" si="6"/>
        <v/>
      </c>
    </row>
    <row r="45" spans="1:28" x14ac:dyDescent="0.25">
      <c r="A45" s="59"/>
      <c r="B45" s="7"/>
      <c r="C45" s="59"/>
      <c r="D45" s="10"/>
      <c r="E45" s="40"/>
      <c r="F45" s="40"/>
      <c r="G45" s="40"/>
      <c r="H45" s="3" t="str">
        <f t="shared" si="0"/>
        <v/>
      </c>
      <c r="I45" s="3" t="str">
        <f t="shared" si="1"/>
        <v/>
      </c>
      <c r="J45" s="3" t="str">
        <f t="shared" si="2"/>
        <v/>
      </c>
      <c r="K45" s="3"/>
      <c r="L45" s="60" t="str">
        <f t="shared" si="3"/>
        <v/>
      </c>
      <c r="M45" s="40"/>
      <c r="N45" s="40"/>
      <c r="O45" s="40"/>
      <c r="P45" s="40"/>
      <c r="Q45" s="40"/>
      <c r="R45" s="40"/>
      <c r="S45" s="61" t="str">
        <f t="shared" si="8"/>
        <v/>
      </c>
      <c r="T45" s="40"/>
      <c r="U45" s="40"/>
      <c r="V45" s="40"/>
      <c r="W45" s="40"/>
      <c r="X45" s="67" t="str">
        <f t="shared" si="7"/>
        <v/>
      </c>
      <c r="Z45" s="71"/>
      <c r="AA45" s="71"/>
      <c r="AB45" s="67" t="str">
        <f t="shared" si="6"/>
        <v/>
      </c>
    </row>
    <row r="46" spans="1:28" x14ac:dyDescent="0.25">
      <c r="A46" s="59"/>
      <c r="B46" s="7"/>
      <c r="C46" s="59"/>
      <c r="D46" s="10"/>
      <c r="E46" s="40"/>
      <c r="F46" s="40"/>
      <c r="G46" s="40"/>
      <c r="H46" s="3" t="str">
        <f t="shared" si="0"/>
        <v/>
      </c>
      <c r="I46" s="3" t="str">
        <f t="shared" si="1"/>
        <v/>
      </c>
      <c r="J46" s="3" t="str">
        <f t="shared" si="2"/>
        <v/>
      </c>
      <c r="K46" s="3"/>
      <c r="L46" s="60" t="str">
        <f t="shared" si="3"/>
        <v/>
      </c>
      <c r="M46" s="40"/>
      <c r="N46" s="40"/>
      <c r="O46" s="40"/>
      <c r="P46" s="40"/>
      <c r="Q46" s="40"/>
      <c r="R46" s="40"/>
      <c r="S46" s="61" t="str">
        <f t="shared" si="8"/>
        <v/>
      </c>
      <c r="T46" s="40"/>
      <c r="U46" s="40"/>
      <c r="V46" s="40"/>
      <c r="W46" s="40"/>
      <c r="X46" s="67" t="str">
        <f t="shared" si="7"/>
        <v/>
      </c>
      <c r="Z46" s="71"/>
      <c r="AA46" s="71"/>
      <c r="AB46" s="67" t="str">
        <f t="shared" si="6"/>
        <v/>
      </c>
    </row>
    <row r="47" spans="1:28" x14ac:dyDescent="0.25">
      <c r="A47" s="59"/>
      <c r="B47" s="7"/>
      <c r="C47" s="59"/>
      <c r="D47" s="10"/>
      <c r="E47" s="40"/>
      <c r="F47" s="40"/>
      <c r="G47" s="40"/>
      <c r="H47" s="3" t="str">
        <f t="shared" si="0"/>
        <v/>
      </c>
      <c r="I47" s="3" t="str">
        <f t="shared" si="1"/>
        <v/>
      </c>
      <c r="J47" s="3" t="str">
        <f t="shared" si="2"/>
        <v/>
      </c>
      <c r="K47" s="3"/>
      <c r="L47" s="60" t="str">
        <f t="shared" si="3"/>
        <v/>
      </c>
      <c r="M47" s="40"/>
      <c r="N47" s="40"/>
      <c r="O47" s="40"/>
      <c r="P47" s="40"/>
      <c r="Q47" s="40"/>
      <c r="R47" s="40"/>
      <c r="S47" s="61" t="str">
        <f t="shared" si="8"/>
        <v/>
      </c>
      <c r="T47" s="40"/>
      <c r="U47" s="40"/>
      <c r="V47" s="40"/>
      <c r="W47" s="40"/>
      <c r="X47" s="67" t="str">
        <f t="shared" si="7"/>
        <v/>
      </c>
      <c r="Z47" s="71"/>
      <c r="AA47" s="71"/>
      <c r="AB47" s="67" t="str">
        <f t="shared" si="6"/>
        <v/>
      </c>
    </row>
    <row r="48" spans="1:28" x14ac:dyDescent="0.25">
      <c r="A48" s="59"/>
      <c r="B48" s="7"/>
      <c r="C48" s="59"/>
      <c r="D48" s="10"/>
      <c r="E48" s="40"/>
      <c r="F48" s="40"/>
      <c r="G48" s="40"/>
      <c r="H48" s="3" t="str">
        <f t="shared" si="0"/>
        <v/>
      </c>
      <c r="I48" s="3" t="str">
        <f t="shared" si="1"/>
        <v/>
      </c>
      <c r="J48" s="3" t="str">
        <f t="shared" si="2"/>
        <v/>
      </c>
      <c r="K48" s="3"/>
      <c r="L48" s="60" t="str">
        <f t="shared" si="3"/>
        <v/>
      </c>
      <c r="M48" s="40"/>
      <c r="N48" s="40"/>
      <c r="O48" s="40"/>
      <c r="P48" s="40"/>
      <c r="Q48" s="40"/>
      <c r="R48" s="40"/>
      <c r="S48" s="61" t="str">
        <f t="shared" si="8"/>
        <v/>
      </c>
      <c r="T48" s="40"/>
      <c r="U48" s="40"/>
      <c r="V48" s="40"/>
      <c r="W48" s="40"/>
      <c r="X48" s="67" t="str">
        <f t="shared" si="7"/>
        <v/>
      </c>
      <c r="Z48" s="71"/>
      <c r="AA48" s="71"/>
      <c r="AB48" s="67" t="str">
        <f t="shared" si="6"/>
        <v/>
      </c>
    </row>
    <row r="49" spans="1:28" x14ac:dyDescent="0.25">
      <c r="A49" s="59"/>
      <c r="B49" s="7"/>
      <c r="C49" s="59"/>
      <c r="D49" s="10"/>
      <c r="E49" s="40"/>
      <c r="F49" s="40"/>
      <c r="G49" s="40"/>
      <c r="H49" s="3" t="str">
        <f t="shared" si="0"/>
        <v/>
      </c>
      <c r="I49" s="3" t="str">
        <f t="shared" si="1"/>
        <v/>
      </c>
      <c r="J49" s="3" t="str">
        <f t="shared" si="2"/>
        <v/>
      </c>
      <c r="K49" s="3"/>
      <c r="L49" s="60" t="str">
        <f t="shared" si="3"/>
        <v/>
      </c>
      <c r="M49" s="40"/>
      <c r="N49" s="40"/>
      <c r="O49" s="40"/>
      <c r="P49" s="40"/>
      <c r="Q49" s="40"/>
      <c r="R49" s="40"/>
      <c r="S49" s="61" t="str">
        <f t="shared" si="8"/>
        <v/>
      </c>
      <c r="T49" s="40"/>
      <c r="U49" s="40"/>
      <c r="V49" s="40"/>
      <c r="W49" s="40"/>
      <c r="X49" s="67" t="str">
        <f t="shared" si="7"/>
        <v/>
      </c>
      <c r="Z49" s="71"/>
      <c r="AA49" s="71"/>
      <c r="AB49" s="67" t="str">
        <f t="shared" si="6"/>
        <v/>
      </c>
    </row>
    <row r="50" spans="1:28" x14ac:dyDescent="0.25">
      <c r="A50" s="59"/>
      <c r="B50" s="7"/>
      <c r="C50" s="59"/>
      <c r="D50" s="10"/>
      <c r="E50" s="40"/>
      <c r="F50" s="40"/>
      <c r="G50" s="40"/>
      <c r="H50" s="3" t="str">
        <f t="shared" si="0"/>
        <v/>
      </c>
      <c r="I50" s="3" t="str">
        <f t="shared" si="1"/>
        <v/>
      </c>
      <c r="J50" s="3" t="str">
        <f t="shared" si="2"/>
        <v/>
      </c>
      <c r="K50" s="3"/>
      <c r="L50" s="60" t="str">
        <f t="shared" si="3"/>
        <v/>
      </c>
      <c r="M50" s="40"/>
      <c r="N50" s="40"/>
      <c r="O50" s="40"/>
      <c r="P50" s="40"/>
      <c r="Q50" s="40"/>
      <c r="R50" s="40"/>
      <c r="S50" s="61" t="str">
        <f t="shared" si="8"/>
        <v/>
      </c>
      <c r="T50" s="40"/>
      <c r="U50" s="40"/>
      <c r="V50" s="40"/>
      <c r="W50" s="40"/>
      <c r="X50" s="67" t="str">
        <f t="shared" si="7"/>
        <v/>
      </c>
      <c r="Z50" s="71"/>
      <c r="AA50" s="71"/>
      <c r="AB50" s="67" t="str">
        <f t="shared" si="6"/>
        <v/>
      </c>
    </row>
    <row r="51" spans="1:28" x14ac:dyDescent="0.25">
      <c r="A51" s="59"/>
      <c r="B51" s="7"/>
      <c r="C51" s="59"/>
      <c r="D51" s="10"/>
      <c r="E51" s="40"/>
      <c r="F51" s="40"/>
      <c r="G51" s="40"/>
      <c r="H51" s="3" t="str">
        <f t="shared" si="0"/>
        <v/>
      </c>
      <c r="I51" s="3" t="str">
        <f t="shared" si="1"/>
        <v/>
      </c>
      <c r="J51" s="3" t="str">
        <f t="shared" si="2"/>
        <v/>
      </c>
      <c r="K51" s="3"/>
      <c r="L51" s="60" t="str">
        <f t="shared" si="3"/>
        <v/>
      </c>
      <c r="M51" s="40"/>
      <c r="N51" s="40"/>
      <c r="O51" s="40"/>
      <c r="P51" s="40"/>
      <c r="Q51" s="40"/>
      <c r="R51" s="40"/>
      <c r="S51" s="61" t="str">
        <f t="shared" si="8"/>
        <v/>
      </c>
      <c r="T51" s="40"/>
      <c r="U51" s="40"/>
      <c r="V51" s="40"/>
      <c r="W51" s="40"/>
      <c r="X51" s="67" t="str">
        <f t="shared" si="7"/>
        <v/>
      </c>
      <c r="Z51" s="71"/>
      <c r="AA51" s="71"/>
      <c r="AB51" s="67" t="str">
        <f t="shared" si="6"/>
        <v/>
      </c>
    </row>
    <row r="52" spans="1:28" x14ac:dyDescent="0.25">
      <c r="A52" s="59"/>
      <c r="B52" s="7"/>
      <c r="C52" s="59"/>
      <c r="D52" s="10"/>
      <c r="E52" s="40"/>
      <c r="F52" s="40"/>
      <c r="G52" s="40"/>
      <c r="H52" s="3" t="str">
        <f t="shared" si="0"/>
        <v/>
      </c>
      <c r="I52" s="3" t="str">
        <f t="shared" si="1"/>
        <v/>
      </c>
      <c r="J52" s="3" t="str">
        <f t="shared" si="2"/>
        <v/>
      </c>
      <c r="K52" s="3"/>
      <c r="L52" s="60" t="str">
        <f t="shared" si="3"/>
        <v/>
      </c>
      <c r="M52" s="40"/>
      <c r="N52" s="40"/>
      <c r="O52" s="40"/>
      <c r="P52" s="40"/>
      <c r="Q52" s="40"/>
      <c r="R52" s="40"/>
      <c r="S52" s="61" t="str">
        <f t="shared" si="8"/>
        <v/>
      </c>
      <c r="T52" s="40"/>
      <c r="U52" s="40"/>
      <c r="V52" s="40"/>
      <c r="W52" s="40"/>
      <c r="X52" s="67" t="str">
        <f t="shared" si="7"/>
        <v/>
      </c>
      <c r="Z52" s="71"/>
      <c r="AA52" s="71"/>
      <c r="AB52" s="67" t="str">
        <f t="shared" si="6"/>
        <v/>
      </c>
    </row>
    <row r="53" spans="1:28" x14ac:dyDescent="0.25">
      <c r="A53" s="59"/>
      <c r="B53" s="7"/>
      <c r="C53" s="59"/>
      <c r="D53" s="10"/>
      <c r="E53" s="40"/>
      <c r="F53" s="40"/>
      <c r="G53" s="40"/>
      <c r="H53" s="3" t="str">
        <f t="shared" si="0"/>
        <v/>
      </c>
      <c r="I53" s="3" t="str">
        <f t="shared" si="1"/>
        <v/>
      </c>
      <c r="J53" s="3" t="str">
        <f t="shared" si="2"/>
        <v/>
      </c>
      <c r="K53" s="3"/>
      <c r="L53" s="60" t="str">
        <f t="shared" si="3"/>
        <v/>
      </c>
      <c r="M53" s="40"/>
      <c r="N53" s="40"/>
      <c r="O53" s="40"/>
      <c r="P53" s="40"/>
      <c r="Q53" s="40"/>
      <c r="R53" s="40"/>
      <c r="S53" s="61" t="str">
        <f t="shared" si="8"/>
        <v/>
      </c>
      <c r="T53" s="40"/>
      <c r="U53" s="40"/>
      <c r="V53" s="40"/>
      <c r="W53" s="40"/>
      <c r="X53" s="67" t="str">
        <f t="shared" si="7"/>
        <v/>
      </c>
      <c r="Z53" s="71"/>
      <c r="AA53" s="71"/>
      <c r="AB53" s="67" t="str">
        <f t="shared" si="6"/>
        <v/>
      </c>
    </row>
    <row r="54" spans="1:28" x14ac:dyDescent="0.25">
      <c r="A54" s="59"/>
      <c r="B54" s="7"/>
      <c r="C54" s="59"/>
      <c r="D54" s="10"/>
      <c r="E54" s="40"/>
      <c r="F54" s="40"/>
      <c r="G54" s="40"/>
      <c r="H54" s="3" t="str">
        <f t="shared" si="0"/>
        <v/>
      </c>
      <c r="I54" s="3" t="str">
        <f t="shared" si="1"/>
        <v/>
      </c>
      <c r="J54" s="3" t="str">
        <f t="shared" si="2"/>
        <v/>
      </c>
      <c r="K54" s="3"/>
      <c r="L54" s="60" t="str">
        <f t="shared" si="3"/>
        <v/>
      </c>
      <c r="M54" s="40"/>
      <c r="N54" s="40"/>
      <c r="O54" s="40"/>
      <c r="P54" s="40"/>
      <c r="Q54" s="40"/>
      <c r="R54" s="40"/>
      <c r="S54" s="61" t="str">
        <f t="shared" si="8"/>
        <v/>
      </c>
      <c r="T54" s="40"/>
      <c r="U54" s="40"/>
      <c r="V54" s="40"/>
      <c r="W54" s="40"/>
      <c r="X54" s="67" t="str">
        <f t="shared" si="7"/>
        <v/>
      </c>
      <c r="Z54" s="71"/>
      <c r="AA54" s="71"/>
      <c r="AB54" s="67" t="str">
        <f t="shared" si="6"/>
        <v/>
      </c>
    </row>
    <row r="55" spans="1:28" x14ac:dyDescent="0.25">
      <c r="A55" s="59"/>
      <c r="B55" s="7"/>
      <c r="C55" s="59"/>
      <c r="D55" s="10"/>
      <c r="E55" s="40"/>
      <c r="F55" s="40"/>
      <c r="G55" s="40"/>
      <c r="H55" s="3" t="str">
        <f t="shared" si="0"/>
        <v/>
      </c>
      <c r="I55" s="3" t="str">
        <f t="shared" si="1"/>
        <v/>
      </c>
      <c r="J55" s="3" t="str">
        <f t="shared" si="2"/>
        <v/>
      </c>
      <c r="K55" s="3"/>
      <c r="L55" s="60" t="str">
        <f t="shared" si="3"/>
        <v/>
      </c>
      <c r="M55" s="40"/>
      <c r="N55" s="40"/>
      <c r="O55" s="40"/>
      <c r="P55" s="40"/>
      <c r="Q55" s="40"/>
      <c r="R55" s="40"/>
      <c r="S55" s="61" t="str">
        <f t="shared" si="8"/>
        <v/>
      </c>
      <c r="T55" s="40"/>
      <c r="U55" s="40"/>
      <c r="V55" s="40"/>
      <c r="W55" s="40"/>
      <c r="X55" s="67" t="str">
        <f t="shared" si="7"/>
        <v/>
      </c>
      <c r="Z55" s="71"/>
      <c r="AA55" s="71"/>
      <c r="AB55" s="67" t="str">
        <f t="shared" si="6"/>
        <v/>
      </c>
    </row>
    <row r="56" spans="1:28" x14ac:dyDescent="0.25">
      <c r="A56" s="59"/>
      <c r="B56" s="7"/>
      <c r="C56" s="59"/>
      <c r="D56" s="10"/>
      <c r="E56" s="40"/>
      <c r="F56" s="40"/>
      <c r="G56" s="40"/>
      <c r="H56" s="3" t="str">
        <f t="shared" si="0"/>
        <v/>
      </c>
      <c r="I56" s="3" t="str">
        <f t="shared" si="1"/>
        <v/>
      </c>
      <c r="J56" s="3" t="str">
        <f t="shared" si="2"/>
        <v/>
      </c>
      <c r="K56" s="3"/>
      <c r="L56" s="60" t="str">
        <f t="shared" si="3"/>
        <v/>
      </c>
      <c r="M56" s="40"/>
      <c r="N56" s="40"/>
      <c r="O56" s="40"/>
      <c r="P56" s="40"/>
      <c r="Q56" s="40"/>
      <c r="R56" s="40"/>
      <c r="S56" s="61" t="str">
        <f t="shared" si="8"/>
        <v/>
      </c>
      <c r="T56" s="40"/>
      <c r="U56" s="40"/>
      <c r="V56" s="40"/>
      <c r="W56" s="40"/>
      <c r="X56" s="67" t="str">
        <f t="shared" si="7"/>
        <v/>
      </c>
      <c r="Z56" s="71"/>
      <c r="AA56" s="71"/>
      <c r="AB56" s="67" t="str">
        <f t="shared" si="6"/>
        <v/>
      </c>
    </row>
    <row r="57" spans="1:28" x14ac:dyDescent="0.25">
      <c r="A57" s="59"/>
      <c r="B57" s="7"/>
      <c r="C57" s="59"/>
      <c r="D57" s="10"/>
      <c r="E57" s="40"/>
      <c r="F57" s="40"/>
      <c r="G57" s="40"/>
      <c r="H57" s="3" t="str">
        <f t="shared" si="0"/>
        <v/>
      </c>
      <c r="I57" s="3" t="str">
        <f t="shared" si="1"/>
        <v/>
      </c>
      <c r="J57" s="3" t="str">
        <f t="shared" si="2"/>
        <v/>
      </c>
      <c r="K57" s="3"/>
      <c r="L57" s="60" t="str">
        <f t="shared" si="3"/>
        <v/>
      </c>
      <c r="M57" s="40"/>
      <c r="N57" s="40"/>
      <c r="O57" s="40"/>
      <c r="P57" s="40"/>
      <c r="Q57" s="40"/>
      <c r="R57" s="40"/>
      <c r="S57" s="61" t="str">
        <f t="shared" si="8"/>
        <v/>
      </c>
      <c r="T57" s="40"/>
      <c r="U57" s="40"/>
      <c r="V57" s="40"/>
      <c r="W57" s="40"/>
      <c r="X57" s="67" t="str">
        <f t="shared" si="7"/>
        <v/>
      </c>
      <c r="Z57" s="71"/>
      <c r="AA57" s="71"/>
      <c r="AB57" s="67" t="str">
        <f t="shared" si="6"/>
        <v/>
      </c>
    </row>
    <row r="58" spans="1:28" x14ac:dyDescent="0.25">
      <c r="A58" s="59"/>
      <c r="B58" s="7"/>
      <c r="C58" s="59"/>
      <c r="D58" s="10"/>
      <c r="E58" s="40"/>
      <c r="F58" s="40"/>
      <c r="G58" s="40"/>
      <c r="H58" s="3" t="str">
        <f t="shared" si="0"/>
        <v/>
      </c>
      <c r="I58" s="3" t="str">
        <f t="shared" si="1"/>
        <v/>
      </c>
      <c r="J58" s="3" t="str">
        <f t="shared" si="2"/>
        <v/>
      </c>
      <c r="K58" s="3"/>
      <c r="L58" s="60" t="str">
        <f t="shared" si="3"/>
        <v/>
      </c>
      <c r="M58" s="40"/>
      <c r="N58" s="40"/>
      <c r="O58" s="40"/>
      <c r="P58" s="40"/>
      <c r="Q58" s="40"/>
      <c r="R58" s="40"/>
      <c r="S58" s="61"/>
      <c r="T58" s="40"/>
      <c r="U58" s="40"/>
      <c r="V58" s="40"/>
      <c r="W58" s="40"/>
      <c r="X58" s="67"/>
      <c r="Z58" s="71"/>
      <c r="AA58" s="71"/>
      <c r="AB58" s="67" t="str">
        <f t="shared" si="6"/>
        <v/>
      </c>
    </row>
    <row r="59" spans="1:28" x14ac:dyDescent="0.25">
      <c r="A59" s="59"/>
      <c r="B59" s="7"/>
      <c r="C59" s="59"/>
      <c r="D59" s="10"/>
      <c r="E59" s="40"/>
      <c r="F59" s="40"/>
      <c r="G59" s="40"/>
      <c r="H59" s="3" t="str">
        <f t="shared" si="0"/>
        <v/>
      </c>
      <c r="I59" s="3" t="str">
        <f t="shared" si="1"/>
        <v/>
      </c>
      <c r="J59" s="3" t="str">
        <f t="shared" si="2"/>
        <v/>
      </c>
      <c r="K59" s="3"/>
      <c r="L59" s="60" t="str">
        <f t="shared" si="3"/>
        <v/>
      </c>
      <c r="M59" s="40"/>
      <c r="N59" s="40"/>
      <c r="O59" s="40"/>
      <c r="P59" s="40"/>
      <c r="Q59" s="40"/>
      <c r="R59" s="40"/>
      <c r="S59" s="61" t="str">
        <f>IF(C59="","",(S57+R59)-(M59+N59+O59+P59+Q59))</f>
        <v/>
      </c>
      <c r="T59" s="40"/>
      <c r="U59" s="40"/>
      <c r="V59" s="40"/>
      <c r="W59" s="40"/>
      <c r="X59" s="67" t="str">
        <f>IF(V59="","",((X57+T59+U59)-(V59+W59)))</f>
        <v/>
      </c>
      <c r="Z59" s="71"/>
      <c r="AA59" s="71"/>
      <c r="AB59" s="67" t="str">
        <f t="shared" si="6"/>
        <v/>
      </c>
    </row>
    <row r="60" spans="1:28" x14ac:dyDescent="0.25">
      <c r="A60" s="59"/>
      <c r="B60" s="7"/>
      <c r="C60" s="59"/>
      <c r="D60" s="10"/>
      <c r="E60" s="40"/>
      <c r="F60" s="40"/>
      <c r="G60" s="40"/>
      <c r="H60" s="3" t="str">
        <f t="shared" si="0"/>
        <v/>
      </c>
      <c r="I60" s="3" t="str">
        <f t="shared" si="1"/>
        <v/>
      </c>
      <c r="J60" s="3" t="str">
        <f t="shared" si="2"/>
        <v/>
      </c>
      <c r="K60" s="3"/>
      <c r="L60" s="60" t="str">
        <f t="shared" si="3"/>
        <v/>
      </c>
      <c r="M60" s="40"/>
      <c r="N60" s="40"/>
      <c r="O60" s="40"/>
      <c r="P60" s="40"/>
      <c r="Q60" s="43"/>
      <c r="R60" s="40"/>
      <c r="S60" s="61" t="str">
        <f t="shared" si="8"/>
        <v/>
      </c>
      <c r="T60" s="40"/>
      <c r="U60" s="40"/>
      <c r="V60" s="40"/>
      <c r="W60" s="40"/>
      <c r="X60" s="67" t="str">
        <f t="shared" si="7"/>
        <v/>
      </c>
      <c r="Z60" s="71"/>
      <c r="AA60" s="71"/>
      <c r="AB60" s="67" t="str">
        <f t="shared" si="6"/>
        <v/>
      </c>
    </row>
    <row r="61" spans="1:28" x14ac:dyDescent="0.25">
      <c r="A61" s="59"/>
      <c r="B61" s="7"/>
      <c r="C61" s="59"/>
      <c r="D61" s="10"/>
      <c r="E61" s="40"/>
      <c r="F61" s="40"/>
      <c r="G61" s="40"/>
      <c r="H61" s="3" t="str">
        <f t="shared" si="0"/>
        <v/>
      </c>
      <c r="I61" s="3" t="str">
        <f t="shared" si="1"/>
        <v/>
      </c>
      <c r="J61" s="3" t="str">
        <f t="shared" si="2"/>
        <v/>
      </c>
      <c r="K61" s="3"/>
      <c r="L61" s="60" t="str">
        <f t="shared" si="3"/>
        <v/>
      </c>
      <c r="M61" s="40"/>
      <c r="N61" s="40"/>
      <c r="O61" s="40"/>
      <c r="P61" s="40"/>
      <c r="Q61" s="40"/>
      <c r="R61" s="40"/>
      <c r="S61" s="61" t="str">
        <f t="shared" si="8"/>
        <v/>
      </c>
      <c r="T61" s="40"/>
      <c r="U61" s="40"/>
      <c r="V61" s="40"/>
      <c r="W61" s="40"/>
      <c r="X61" s="67" t="str">
        <f t="shared" si="7"/>
        <v/>
      </c>
      <c r="Z61" s="71"/>
      <c r="AA61" s="71"/>
      <c r="AB61" s="67" t="str">
        <f t="shared" si="6"/>
        <v/>
      </c>
    </row>
    <row r="62" spans="1:28" x14ac:dyDescent="0.25">
      <c r="A62" s="59"/>
      <c r="B62" s="7"/>
      <c r="C62" s="59"/>
      <c r="D62" s="10"/>
      <c r="E62" s="40"/>
      <c r="F62" s="40"/>
      <c r="G62" s="40"/>
      <c r="H62" s="3" t="str">
        <f t="shared" si="0"/>
        <v/>
      </c>
      <c r="I62" s="3" t="str">
        <f t="shared" si="1"/>
        <v/>
      </c>
      <c r="J62" s="3" t="str">
        <f t="shared" si="2"/>
        <v/>
      </c>
      <c r="K62" s="3"/>
      <c r="L62" s="60" t="str">
        <f t="shared" si="3"/>
        <v/>
      </c>
      <c r="M62" s="40"/>
      <c r="N62" s="40"/>
      <c r="O62" s="40"/>
      <c r="P62" s="40"/>
      <c r="Q62" s="40"/>
      <c r="R62" s="40"/>
      <c r="S62" s="61" t="str">
        <f t="shared" si="8"/>
        <v/>
      </c>
      <c r="T62" s="40"/>
      <c r="U62" s="40"/>
      <c r="V62" s="40"/>
      <c r="W62" s="40"/>
      <c r="X62" s="67" t="str">
        <f t="shared" si="7"/>
        <v/>
      </c>
      <c r="Z62" s="71"/>
      <c r="AA62" s="71"/>
      <c r="AB62" s="67" t="str">
        <f t="shared" si="6"/>
        <v/>
      </c>
    </row>
    <row r="63" spans="1:28" x14ac:dyDescent="0.25">
      <c r="A63" s="59"/>
      <c r="B63" s="7"/>
      <c r="C63" s="59"/>
      <c r="D63" s="10"/>
      <c r="E63" s="40"/>
      <c r="F63" s="40"/>
      <c r="G63" s="40"/>
      <c r="H63" s="3" t="str">
        <f t="shared" si="0"/>
        <v/>
      </c>
      <c r="I63" s="3" t="str">
        <f t="shared" si="1"/>
        <v/>
      </c>
      <c r="J63" s="3" t="str">
        <f t="shared" si="2"/>
        <v/>
      </c>
      <c r="K63" s="3"/>
      <c r="L63" s="60" t="str">
        <f t="shared" si="3"/>
        <v/>
      </c>
      <c r="M63" s="40"/>
      <c r="N63" s="40"/>
      <c r="O63" s="40"/>
      <c r="P63" s="40"/>
      <c r="Q63" s="40"/>
      <c r="R63" s="40"/>
      <c r="S63" s="61" t="str">
        <f t="shared" si="8"/>
        <v/>
      </c>
      <c r="T63" s="40"/>
      <c r="U63" s="40"/>
      <c r="V63" s="40"/>
      <c r="W63" s="40"/>
      <c r="X63" s="67" t="str">
        <f t="shared" si="7"/>
        <v/>
      </c>
      <c r="Z63" s="71"/>
      <c r="AA63" s="71"/>
      <c r="AB63" s="67" t="str">
        <f t="shared" si="6"/>
        <v/>
      </c>
    </row>
    <row r="64" spans="1:28" x14ac:dyDescent="0.25">
      <c r="A64" s="59"/>
      <c r="B64" s="7"/>
      <c r="C64" s="59"/>
      <c r="D64" s="10"/>
      <c r="E64" s="40"/>
      <c r="F64" s="40"/>
      <c r="G64" s="40"/>
      <c r="H64" s="3" t="str">
        <f t="shared" si="0"/>
        <v/>
      </c>
      <c r="I64" s="3" t="str">
        <f t="shared" si="1"/>
        <v/>
      </c>
      <c r="J64" s="3" t="str">
        <f t="shared" si="2"/>
        <v/>
      </c>
      <c r="K64" s="3"/>
      <c r="L64" s="60" t="str">
        <f t="shared" si="3"/>
        <v/>
      </c>
      <c r="M64" s="40"/>
      <c r="N64" s="40"/>
      <c r="O64" s="40"/>
      <c r="P64" s="40"/>
      <c r="Q64" s="40"/>
      <c r="R64" s="40"/>
      <c r="S64" s="61" t="str">
        <f t="shared" si="8"/>
        <v/>
      </c>
      <c r="T64" s="40"/>
      <c r="U64" s="40"/>
      <c r="V64" s="40"/>
      <c r="W64" s="40"/>
      <c r="X64" s="67" t="str">
        <f t="shared" si="7"/>
        <v/>
      </c>
      <c r="Z64" s="71"/>
      <c r="AA64" s="71"/>
      <c r="AB64" s="67" t="str">
        <f t="shared" si="6"/>
        <v/>
      </c>
    </row>
    <row r="65" spans="1:28" x14ac:dyDescent="0.25">
      <c r="A65" s="59"/>
      <c r="B65" s="7"/>
      <c r="C65" s="59"/>
      <c r="D65" s="10"/>
      <c r="E65" s="40"/>
      <c r="F65" s="40"/>
      <c r="G65" s="40"/>
      <c r="H65" s="3" t="str">
        <f t="shared" si="0"/>
        <v/>
      </c>
      <c r="I65" s="3" t="str">
        <f t="shared" si="1"/>
        <v/>
      </c>
      <c r="J65" s="3" t="str">
        <f t="shared" si="2"/>
        <v/>
      </c>
      <c r="K65" s="3"/>
      <c r="L65" s="60" t="str">
        <f t="shared" si="3"/>
        <v/>
      </c>
      <c r="M65" s="40"/>
      <c r="N65" s="40"/>
      <c r="O65" s="40"/>
      <c r="P65" s="40"/>
      <c r="Q65" s="40"/>
      <c r="R65" s="40"/>
      <c r="S65" s="61" t="str">
        <f t="shared" si="8"/>
        <v/>
      </c>
      <c r="T65" s="40"/>
      <c r="U65" s="40"/>
      <c r="V65" s="40"/>
      <c r="W65" s="40"/>
      <c r="X65" s="67" t="str">
        <f t="shared" si="7"/>
        <v/>
      </c>
      <c r="Z65" s="71"/>
      <c r="AA65" s="71"/>
      <c r="AB65" s="67" t="str">
        <f t="shared" si="6"/>
        <v/>
      </c>
    </row>
    <row r="66" spans="1:28" x14ac:dyDescent="0.25">
      <c r="A66" s="59"/>
      <c r="B66" s="7"/>
      <c r="C66" s="59"/>
      <c r="D66" s="10"/>
      <c r="E66" s="40"/>
      <c r="F66" s="40"/>
      <c r="G66" s="40"/>
      <c r="H66" s="3" t="str">
        <f t="shared" si="0"/>
        <v/>
      </c>
      <c r="I66" s="3" t="str">
        <f t="shared" si="1"/>
        <v/>
      </c>
      <c r="J66" s="3" t="str">
        <f t="shared" si="2"/>
        <v/>
      </c>
      <c r="K66" s="3"/>
      <c r="L66" s="60" t="str">
        <f t="shared" si="3"/>
        <v/>
      </c>
      <c r="M66" s="40"/>
      <c r="N66" s="40"/>
      <c r="O66" s="40"/>
      <c r="P66" s="40"/>
      <c r="Q66" s="43"/>
      <c r="R66" s="40"/>
      <c r="S66" s="61" t="str">
        <f t="shared" si="8"/>
        <v/>
      </c>
      <c r="T66" s="40"/>
      <c r="U66" s="40"/>
      <c r="V66" s="40"/>
      <c r="W66" s="40"/>
      <c r="X66" s="67" t="str">
        <f t="shared" si="7"/>
        <v/>
      </c>
      <c r="Z66" s="71"/>
      <c r="AA66" s="71"/>
      <c r="AB66" s="67" t="str">
        <f t="shared" si="6"/>
        <v/>
      </c>
    </row>
    <row r="67" spans="1:28" x14ac:dyDescent="0.25">
      <c r="A67" s="59"/>
      <c r="B67" s="7"/>
      <c r="C67" s="59"/>
      <c r="D67" s="10"/>
      <c r="E67" s="40"/>
      <c r="F67" s="40"/>
      <c r="G67" s="40"/>
      <c r="H67" s="3" t="str">
        <f t="shared" si="0"/>
        <v/>
      </c>
      <c r="I67" s="3" t="str">
        <f t="shared" si="1"/>
        <v/>
      </c>
      <c r="J67" s="3" t="str">
        <f t="shared" si="2"/>
        <v/>
      </c>
      <c r="K67" s="3"/>
      <c r="L67" s="60" t="str">
        <f t="shared" si="3"/>
        <v/>
      </c>
      <c r="M67" s="40"/>
      <c r="N67" s="40"/>
      <c r="O67" s="40"/>
      <c r="P67" s="40"/>
      <c r="Q67" s="40"/>
      <c r="R67" s="40"/>
      <c r="S67" s="61" t="str">
        <f t="shared" si="8"/>
        <v/>
      </c>
      <c r="T67" s="40"/>
      <c r="U67" s="40"/>
      <c r="V67" s="40"/>
      <c r="W67" s="40"/>
      <c r="X67" s="67" t="str">
        <f t="shared" si="7"/>
        <v/>
      </c>
      <c r="Z67" s="71"/>
      <c r="AA67" s="71"/>
      <c r="AB67" s="67" t="str">
        <f t="shared" si="6"/>
        <v/>
      </c>
    </row>
    <row r="68" spans="1:28" x14ac:dyDescent="0.25">
      <c r="A68" s="59"/>
      <c r="B68" s="7"/>
      <c r="C68" s="59"/>
      <c r="D68" s="10"/>
      <c r="E68" s="40"/>
      <c r="F68" s="40"/>
      <c r="G68" s="40"/>
      <c r="H68" s="3" t="str">
        <f t="shared" si="0"/>
        <v/>
      </c>
      <c r="I68" s="3" t="str">
        <f t="shared" si="1"/>
        <v/>
      </c>
      <c r="J68" s="3" t="str">
        <f t="shared" si="2"/>
        <v/>
      </c>
      <c r="K68" s="3"/>
      <c r="L68" s="60" t="str">
        <f t="shared" si="3"/>
        <v/>
      </c>
      <c r="M68" s="40"/>
      <c r="N68" s="40"/>
      <c r="O68" s="40"/>
      <c r="P68" s="40"/>
      <c r="Q68" s="40"/>
      <c r="R68" s="40"/>
      <c r="S68" s="61" t="str">
        <f t="shared" si="8"/>
        <v/>
      </c>
      <c r="T68" s="40"/>
      <c r="U68" s="40"/>
      <c r="V68" s="40"/>
      <c r="W68" s="40"/>
      <c r="X68" s="67" t="str">
        <f t="shared" si="7"/>
        <v/>
      </c>
      <c r="Z68" s="71"/>
      <c r="AA68" s="71"/>
      <c r="AB68" s="67" t="str">
        <f t="shared" si="6"/>
        <v/>
      </c>
    </row>
    <row r="69" spans="1:28" x14ac:dyDescent="0.25">
      <c r="A69" s="59"/>
      <c r="B69" s="7"/>
      <c r="C69" s="59"/>
      <c r="D69" s="10"/>
      <c r="E69" s="40"/>
      <c r="F69" s="40"/>
      <c r="G69" s="40"/>
      <c r="H69" s="3" t="str">
        <f t="shared" ref="H69:H132" si="9">+IF(E69="","",(E69/24)*C69)</f>
        <v/>
      </c>
      <c r="I69" s="3" t="str">
        <f t="shared" ref="I69:I132" si="10">+IF(F69="","",(F69/24)*C69)</f>
        <v/>
      </c>
      <c r="J69" s="3" t="str">
        <f t="shared" ref="J69:J132" si="11">+IF(G69="","",(G69/24)*C69)</f>
        <v/>
      </c>
      <c r="K69" s="3"/>
      <c r="L69" s="60" t="str">
        <f t="shared" ref="L69:L132" si="12">+IF(C69="","",L68-(H69+I69+J69))</f>
        <v/>
      </c>
      <c r="M69" s="40"/>
      <c r="N69" s="40"/>
      <c r="O69" s="40"/>
      <c r="P69" s="40"/>
      <c r="Q69" s="40"/>
      <c r="R69" s="40"/>
      <c r="S69" s="61" t="str">
        <f t="shared" si="8"/>
        <v/>
      </c>
      <c r="T69" s="40"/>
      <c r="U69" s="40"/>
      <c r="V69" s="40"/>
      <c r="W69" s="40"/>
      <c r="X69" s="67" t="str">
        <f t="shared" si="7"/>
        <v/>
      </c>
      <c r="Z69" s="71"/>
      <c r="AA69" s="71"/>
      <c r="AB69" s="67" t="str">
        <f t="shared" ref="AB69:AB132" si="13">IF(Z69="","",Z69+AA69)</f>
        <v/>
      </c>
    </row>
    <row r="70" spans="1:28" x14ac:dyDescent="0.25">
      <c r="A70" s="59"/>
      <c r="B70" s="7"/>
      <c r="C70" s="59"/>
      <c r="D70" s="10"/>
      <c r="E70" s="40"/>
      <c r="F70" s="40"/>
      <c r="G70" s="40"/>
      <c r="H70" s="3" t="str">
        <f t="shared" si="9"/>
        <v/>
      </c>
      <c r="I70" s="3" t="str">
        <f t="shared" si="10"/>
        <v/>
      </c>
      <c r="J70" s="3" t="str">
        <f t="shared" si="11"/>
        <v/>
      </c>
      <c r="K70" s="3"/>
      <c r="L70" s="60" t="str">
        <f t="shared" si="12"/>
        <v/>
      </c>
      <c r="M70" s="40"/>
      <c r="N70" s="40"/>
      <c r="O70" s="40"/>
      <c r="P70" s="40"/>
      <c r="Q70" s="40"/>
      <c r="R70" s="40"/>
      <c r="S70" s="61" t="str">
        <f t="shared" si="8"/>
        <v/>
      </c>
      <c r="T70" s="40"/>
      <c r="U70" s="40"/>
      <c r="V70" s="40"/>
      <c r="W70" s="40"/>
      <c r="X70" s="67" t="str">
        <f t="shared" si="7"/>
        <v/>
      </c>
      <c r="Z70" s="71"/>
      <c r="AA70" s="71"/>
      <c r="AB70" s="67" t="str">
        <f t="shared" si="13"/>
        <v/>
      </c>
    </row>
    <row r="71" spans="1:28" x14ac:dyDescent="0.25">
      <c r="A71" s="59"/>
      <c r="B71" s="7"/>
      <c r="C71" s="59"/>
      <c r="D71" s="10"/>
      <c r="E71" s="40"/>
      <c r="F71" s="40"/>
      <c r="G71" s="40"/>
      <c r="H71" s="3" t="str">
        <f t="shared" si="9"/>
        <v/>
      </c>
      <c r="I71" s="3" t="str">
        <f t="shared" si="10"/>
        <v/>
      </c>
      <c r="J71" s="3" t="str">
        <f t="shared" si="11"/>
        <v/>
      </c>
      <c r="K71" s="3"/>
      <c r="L71" s="60" t="str">
        <f t="shared" si="12"/>
        <v/>
      </c>
      <c r="M71" s="40"/>
      <c r="N71" s="40"/>
      <c r="O71" s="40"/>
      <c r="P71" s="40"/>
      <c r="Q71" s="40"/>
      <c r="R71" s="40"/>
      <c r="S71" s="61" t="str">
        <f t="shared" si="8"/>
        <v/>
      </c>
      <c r="T71" s="40"/>
      <c r="U71" s="40"/>
      <c r="V71" s="40"/>
      <c r="W71" s="40"/>
      <c r="X71" s="67" t="str">
        <f t="shared" si="7"/>
        <v/>
      </c>
      <c r="Z71" s="71"/>
      <c r="AA71" s="71"/>
      <c r="AB71" s="67" t="str">
        <f t="shared" si="13"/>
        <v/>
      </c>
    </row>
    <row r="72" spans="1:28" x14ac:dyDescent="0.25">
      <c r="A72" s="59"/>
      <c r="B72" s="7"/>
      <c r="C72" s="59"/>
      <c r="D72" s="10"/>
      <c r="E72" s="40"/>
      <c r="F72" s="40"/>
      <c r="G72" s="40"/>
      <c r="H72" s="3" t="str">
        <f t="shared" si="9"/>
        <v/>
      </c>
      <c r="I72" s="3" t="str">
        <f t="shared" si="10"/>
        <v/>
      </c>
      <c r="J72" s="3" t="str">
        <f t="shared" si="11"/>
        <v/>
      </c>
      <c r="K72" s="3"/>
      <c r="L72" s="60" t="str">
        <f t="shared" si="12"/>
        <v/>
      </c>
      <c r="M72" s="40"/>
      <c r="N72" s="40"/>
      <c r="O72" s="40"/>
      <c r="P72" s="40"/>
      <c r="Q72" s="40"/>
      <c r="R72" s="40"/>
      <c r="S72" s="61" t="str">
        <f t="shared" si="8"/>
        <v/>
      </c>
      <c r="T72" s="40"/>
      <c r="U72" s="40"/>
      <c r="V72" s="40"/>
      <c r="W72" s="40"/>
      <c r="X72" s="67" t="str">
        <f t="shared" ref="X72:X135" si="14">IF(V72="","",((X71+T72+U72)-(V72+W72)))</f>
        <v/>
      </c>
      <c r="Z72" s="71"/>
      <c r="AA72" s="71"/>
      <c r="AB72" s="67" t="str">
        <f t="shared" si="13"/>
        <v/>
      </c>
    </row>
    <row r="73" spans="1:28" x14ac:dyDescent="0.25">
      <c r="A73" s="59"/>
      <c r="B73" s="7"/>
      <c r="C73" s="59"/>
      <c r="D73" s="10"/>
      <c r="E73" s="40"/>
      <c r="F73" s="40"/>
      <c r="G73" s="40"/>
      <c r="H73" s="3" t="str">
        <f t="shared" si="9"/>
        <v/>
      </c>
      <c r="I73" s="3" t="str">
        <f t="shared" si="10"/>
        <v/>
      </c>
      <c r="J73" s="3" t="str">
        <f t="shared" si="11"/>
        <v/>
      </c>
      <c r="K73" s="3"/>
      <c r="L73" s="60" t="str">
        <f t="shared" si="12"/>
        <v/>
      </c>
      <c r="M73" s="40"/>
      <c r="N73" s="40"/>
      <c r="O73" s="40"/>
      <c r="P73" s="40"/>
      <c r="Q73" s="40"/>
      <c r="R73" s="40"/>
      <c r="S73" s="61" t="str">
        <f t="shared" si="8"/>
        <v/>
      </c>
      <c r="T73" s="40"/>
      <c r="U73" s="40"/>
      <c r="V73" s="40"/>
      <c r="W73" s="40"/>
      <c r="X73" s="67" t="str">
        <f t="shared" si="14"/>
        <v/>
      </c>
      <c r="Z73" s="71"/>
      <c r="AA73" s="71"/>
      <c r="AB73" s="67" t="str">
        <f t="shared" si="13"/>
        <v/>
      </c>
    </row>
    <row r="74" spans="1:28" x14ac:dyDescent="0.25">
      <c r="A74" s="59"/>
      <c r="B74" s="7"/>
      <c r="C74" s="59"/>
      <c r="D74" s="10"/>
      <c r="E74" s="40"/>
      <c r="F74" s="40"/>
      <c r="G74" s="40"/>
      <c r="H74" s="3" t="str">
        <f t="shared" si="9"/>
        <v/>
      </c>
      <c r="I74" s="3" t="str">
        <f t="shared" si="10"/>
        <v/>
      </c>
      <c r="J74" s="3" t="str">
        <f t="shared" si="11"/>
        <v/>
      </c>
      <c r="K74" s="3"/>
      <c r="L74" s="60" t="str">
        <f t="shared" si="12"/>
        <v/>
      </c>
      <c r="M74" s="40"/>
      <c r="N74" s="40"/>
      <c r="O74" s="40"/>
      <c r="P74" s="40"/>
      <c r="Q74" s="40"/>
      <c r="R74" s="40"/>
      <c r="S74" s="61" t="str">
        <f t="shared" si="8"/>
        <v/>
      </c>
      <c r="T74" s="40"/>
      <c r="U74" s="40"/>
      <c r="V74" s="40"/>
      <c r="W74" s="40"/>
      <c r="X74" s="67" t="str">
        <f t="shared" si="14"/>
        <v/>
      </c>
      <c r="Z74" s="71"/>
      <c r="AA74" s="71"/>
      <c r="AB74" s="67" t="str">
        <f t="shared" si="13"/>
        <v/>
      </c>
    </row>
    <row r="75" spans="1:28" x14ac:dyDescent="0.25">
      <c r="A75" s="59"/>
      <c r="B75" s="7"/>
      <c r="C75" s="59"/>
      <c r="D75" s="10"/>
      <c r="E75" s="40"/>
      <c r="F75" s="40"/>
      <c r="G75" s="40"/>
      <c r="H75" s="3" t="str">
        <f t="shared" si="9"/>
        <v/>
      </c>
      <c r="I75" s="3" t="str">
        <f t="shared" si="10"/>
        <v/>
      </c>
      <c r="J75" s="3" t="str">
        <f t="shared" si="11"/>
        <v/>
      </c>
      <c r="K75" s="3"/>
      <c r="L75" s="60" t="str">
        <f t="shared" si="12"/>
        <v/>
      </c>
      <c r="M75" s="40"/>
      <c r="N75" s="40"/>
      <c r="O75" s="40"/>
      <c r="P75" s="40"/>
      <c r="Q75" s="40"/>
      <c r="R75" s="40"/>
      <c r="S75" s="61" t="str">
        <f t="shared" si="8"/>
        <v/>
      </c>
      <c r="T75" s="40"/>
      <c r="U75" s="40"/>
      <c r="V75" s="40"/>
      <c r="W75" s="40"/>
      <c r="X75" s="67" t="str">
        <f t="shared" si="14"/>
        <v/>
      </c>
      <c r="Z75" s="71"/>
      <c r="AA75" s="71"/>
      <c r="AB75" s="67" t="str">
        <f t="shared" si="13"/>
        <v/>
      </c>
    </row>
    <row r="76" spans="1:28" x14ac:dyDescent="0.25">
      <c r="A76" s="19"/>
      <c r="B76" s="7"/>
      <c r="C76" s="59"/>
      <c r="D76" s="10"/>
      <c r="E76" s="40"/>
      <c r="F76" s="40"/>
      <c r="G76" s="40"/>
      <c r="H76" s="3" t="str">
        <f t="shared" si="9"/>
        <v/>
      </c>
      <c r="I76" s="3" t="str">
        <f t="shared" si="10"/>
        <v/>
      </c>
      <c r="J76" s="3" t="str">
        <f t="shared" si="11"/>
        <v/>
      </c>
      <c r="K76" s="3"/>
      <c r="L76" s="60" t="str">
        <f t="shared" si="12"/>
        <v/>
      </c>
      <c r="M76" s="40"/>
      <c r="N76" s="40"/>
      <c r="O76" s="40"/>
      <c r="P76" s="40"/>
      <c r="Q76" s="40"/>
      <c r="R76" s="40"/>
      <c r="S76" s="75" t="str">
        <f t="shared" si="8"/>
        <v/>
      </c>
      <c r="T76" s="40"/>
      <c r="U76" s="40"/>
      <c r="V76" s="40"/>
      <c r="W76" s="40"/>
      <c r="X76" s="67" t="str">
        <f t="shared" si="14"/>
        <v/>
      </c>
      <c r="Z76" s="71"/>
      <c r="AA76" s="71"/>
      <c r="AB76" s="67" t="str">
        <f t="shared" si="13"/>
        <v/>
      </c>
    </row>
    <row r="77" spans="1:28" x14ac:dyDescent="0.25">
      <c r="A77" s="59"/>
      <c r="B77" s="7"/>
      <c r="C77" s="59"/>
      <c r="D77" s="10"/>
      <c r="E77" s="40"/>
      <c r="F77" s="40"/>
      <c r="G77" s="40"/>
      <c r="H77" s="3" t="str">
        <f t="shared" si="9"/>
        <v/>
      </c>
      <c r="I77" s="3" t="str">
        <f t="shared" si="10"/>
        <v/>
      </c>
      <c r="J77" s="3" t="str">
        <f t="shared" si="11"/>
        <v/>
      </c>
      <c r="K77" s="3"/>
      <c r="L77" s="60" t="str">
        <f t="shared" si="12"/>
        <v/>
      </c>
      <c r="M77" s="40"/>
      <c r="N77" s="40"/>
      <c r="O77" s="40"/>
      <c r="P77" s="40"/>
      <c r="Q77" s="40"/>
      <c r="R77" s="40"/>
      <c r="S77" s="61" t="str">
        <f t="shared" si="8"/>
        <v/>
      </c>
      <c r="T77" s="40"/>
      <c r="U77" s="40"/>
      <c r="V77" s="40"/>
      <c r="W77" s="40"/>
      <c r="X77" s="67" t="str">
        <f t="shared" si="14"/>
        <v/>
      </c>
      <c r="Z77" s="71"/>
      <c r="AA77" s="71"/>
      <c r="AB77" s="67" t="str">
        <f t="shared" si="13"/>
        <v/>
      </c>
    </row>
    <row r="78" spans="1:28" x14ac:dyDescent="0.25">
      <c r="A78" s="59"/>
      <c r="B78" s="7"/>
      <c r="C78" s="59"/>
      <c r="D78" s="10"/>
      <c r="E78" s="40"/>
      <c r="F78" s="40"/>
      <c r="G78" s="40"/>
      <c r="H78" s="3" t="str">
        <f t="shared" si="9"/>
        <v/>
      </c>
      <c r="I78" s="3" t="str">
        <f t="shared" si="10"/>
        <v/>
      </c>
      <c r="J78" s="3" t="str">
        <f t="shared" si="11"/>
        <v/>
      </c>
      <c r="K78" s="3"/>
      <c r="L78" s="60" t="str">
        <f t="shared" si="12"/>
        <v/>
      </c>
      <c r="M78" s="40"/>
      <c r="N78" s="40"/>
      <c r="O78" s="40"/>
      <c r="P78" s="40"/>
      <c r="Q78" s="40"/>
      <c r="R78" s="40"/>
      <c r="S78" s="61" t="str">
        <f t="shared" si="8"/>
        <v/>
      </c>
      <c r="T78" s="40"/>
      <c r="U78" s="40"/>
      <c r="V78" s="40"/>
      <c r="W78" s="40"/>
      <c r="X78" s="67" t="str">
        <f t="shared" si="14"/>
        <v/>
      </c>
      <c r="Z78" s="71"/>
      <c r="AA78" s="71"/>
      <c r="AB78" s="67" t="str">
        <f t="shared" si="13"/>
        <v/>
      </c>
    </row>
    <row r="79" spans="1:28" x14ac:dyDescent="0.25">
      <c r="A79" s="59"/>
      <c r="B79" s="7"/>
      <c r="C79" s="59"/>
      <c r="D79" s="10"/>
      <c r="E79" s="40"/>
      <c r="F79" s="40"/>
      <c r="G79" s="40"/>
      <c r="H79" s="3" t="str">
        <f t="shared" si="9"/>
        <v/>
      </c>
      <c r="I79" s="3" t="str">
        <f t="shared" si="10"/>
        <v/>
      </c>
      <c r="J79" s="3" t="str">
        <f t="shared" si="11"/>
        <v/>
      </c>
      <c r="K79" s="3"/>
      <c r="L79" s="60" t="str">
        <f t="shared" si="12"/>
        <v/>
      </c>
      <c r="M79" s="40"/>
      <c r="N79" s="40"/>
      <c r="O79" s="40"/>
      <c r="P79" s="40"/>
      <c r="Q79" s="40"/>
      <c r="R79" s="40"/>
      <c r="S79" s="61" t="str">
        <f t="shared" si="8"/>
        <v/>
      </c>
      <c r="T79" s="40"/>
      <c r="U79" s="40"/>
      <c r="V79" s="40"/>
      <c r="W79" s="40"/>
      <c r="X79" s="67" t="str">
        <f t="shared" si="14"/>
        <v/>
      </c>
      <c r="Z79" s="71"/>
      <c r="AA79" s="71"/>
      <c r="AB79" s="67" t="str">
        <f t="shared" si="13"/>
        <v/>
      </c>
    </row>
    <row r="80" spans="1:28" x14ac:dyDescent="0.25">
      <c r="A80" s="59"/>
      <c r="B80" s="7"/>
      <c r="C80" s="59"/>
      <c r="D80" s="10"/>
      <c r="E80" s="40"/>
      <c r="F80" s="40"/>
      <c r="G80" s="40"/>
      <c r="H80" s="3" t="str">
        <f t="shared" si="9"/>
        <v/>
      </c>
      <c r="I80" s="3" t="str">
        <f t="shared" si="10"/>
        <v/>
      </c>
      <c r="J80" s="3" t="str">
        <f t="shared" si="11"/>
        <v/>
      </c>
      <c r="K80" s="3"/>
      <c r="L80" s="60" t="str">
        <f t="shared" si="12"/>
        <v/>
      </c>
      <c r="M80" s="40"/>
      <c r="N80" s="40"/>
      <c r="O80" s="40"/>
      <c r="P80" s="40"/>
      <c r="Q80" s="40"/>
      <c r="R80" s="40"/>
      <c r="S80" s="61" t="str">
        <f t="shared" si="8"/>
        <v/>
      </c>
      <c r="T80" s="40"/>
      <c r="U80" s="40"/>
      <c r="V80" s="40"/>
      <c r="W80" s="40"/>
      <c r="X80" s="67" t="str">
        <f t="shared" si="14"/>
        <v/>
      </c>
      <c r="Z80" s="71"/>
      <c r="AA80" s="71"/>
      <c r="AB80" s="67" t="str">
        <f t="shared" si="13"/>
        <v/>
      </c>
    </row>
    <row r="81" spans="1:28" x14ac:dyDescent="0.25">
      <c r="A81" s="59"/>
      <c r="B81" s="7"/>
      <c r="C81" s="59"/>
      <c r="D81" s="10"/>
      <c r="E81" s="40"/>
      <c r="F81" s="40"/>
      <c r="G81" s="40"/>
      <c r="H81" s="3" t="str">
        <f t="shared" si="9"/>
        <v/>
      </c>
      <c r="I81" s="3" t="str">
        <f t="shared" si="10"/>
        <v/>
      </c>
      <c r="J81" s="3" t="str">
        <f t="shared" si="11"/>
        <v/>
      </c>
      <c r="K81" s="3"/>
      <c r="L81" s="60" t="str">
        <f t="shared" si="12"/>
        <v/>
      </c>
      <c r="M81" s="40"/>
      <c r="N81" s="40"/>
      <c r="O81" s="40"/>
      <c r="P81" s="40"/>
      <c r="Q81" s="40"/>
      <c r="R81" s="40"/>
      <c r="S81" s="61" t="str">
        <f t="shared" si="8"/>
        <v/>
      </c>
      <c r="T81" s="40"/>
      <c r="U81" s="40"/>
      <c r="V81" s="40"/>
      <c r="W81" s="40"/>
      <c r="X81" s="67" t="str">
        <f t="shared" si="14"/>
        <v/>
      </c>
      <c r="Z81" s="71"/>
      <c r="AA81" s="71"/>
      <c r="AB81" s="67" t="str">
        <f t="shared" si="13"/>
        <v/>
      </c>
    </row>
    <row r="82" spans="1:28" x14ac:dyDescent="0.25">
      <c r="A82" s="59"/>
      <c r="B82" s="7"/>
      <c r="C82" s="59"/>
      <c r="D82" s="10"/>
      <c r="E82" s="40"/>
      <c r="F82" s="40"/>
      <c r="G82" s="40"/>
      <c r="H82" s="3" t="str">
        <f t="shared" si="9"/>
        <v/>
      </c>
      <c r="I82" s="3" t="str">
        <f t="shared" si="10"/>
        <v/>
      </c>
      <c r="J82" s="3" t="str">
        <f t="shared" si="11"/>
        <v/>
      </c>
      <c r="K82" s="3"/>
      <c r="L82" s="60" t="str">
        <f t="shared" si="12"/>
        <v/>
      </c>
      <c r="M82" s="40"/>
      <c r="N82" s="40"/>
      <c r="O82" s="40"/>
      <c r="P82" s="40"/>
      <c r="Q82" s="40"/>
      <c r="R82" s="40"/>
      <c r="S82" s="61" t="str">
        <f t="shared" si="8"/>
        <v/>
      </c>
      <c r="T82" s="40"/>
      <c r="U82" s="40"/>
      <c r="V82" s="40"/>
      <c r="W82" s="40"/>
      <c r="X82" s="67" t="str">
        <f t="shared" si="14"/>
        <v/>
      </c>
      <c r="Z82" s="71"/>
      <c r="AA82" s="71"/>
      <c r="AB82" s="67" t="str">
        <f t="shared" si="13"/>
        <v/>
      </c>
    </row>
    <row r="83" spans="1:28" x14ac:dyDescent="0.25">
      <c r="A83" s="59"/>
      <c r="B83" s="7"/>
      <c r="C83" s="59"/>
      <c r="D83" s="10"/>
      <c r="E83" s="40"/>
      <c r="F83" s="40"/>
      <c r="G83" s="40"/>
      <c r="H83" s="3" t="str">
        <f t="shared" si="9"/>
        <v/>
      </c>
      <c r="I83" s="3" t="str">
        <f t="shared" si="10"/>
        <v/>
      </c>
      <c r="J83" s="3" t="str">
        <f t="shared" si="11"/>
        <v/>
      </c>
      <c r="K83" s="3"/>
      <c r="L83" s="60" t="str">
        <f t="shared" si="12"/>
        <v/>
      </c>
      <c r="M83" s="40"/>
      <c r="N83" s="40"/>
      <c r="O83" s="40"/>
      <c r="P83" s="40"/>
      <c r="Q83" s="40"/>
      <c r="R83" s="40"/>
      <c r="S83" s="61" t="str">
        <f t="shared" si="8"/>
        <v/>
      </c>
      <c r="T83" s="40"/>
      <c r="U83" s="40"/>
      <c r="V83" s="40"/>
      <c r="W83" s="40"/>
      <c r="X83" s="67" t="str">
        <f t="shared" si="14"/>
        <v/>
      </c>
      <c r="Z83" s="71"/>
      <c r="AA83" s="71"/>
      <c r="AB83" s="67" t="str">
        <f t="shared" si="13"/>
        <v/>
      </c>
    </row>
    <row r="84" spans="1:28" x14ac:dyDescent="0.25">
      <c r="A84" s="59"/>
      <c r="B84" s="7"/>
      <c r="C84" s="59"/>
      <c r="D84" s="10"/>
      <c r="E84" s="40"/>
      <c r="F84" s="40"/>
      <c r="G84" s="40"/>
      <c r="H84" s="3" t="str">
        <f t="shared" si="9"/>
        <v/>
      </c>
      <c r="I84" s="3" t="str">
        <f t="shared" si="10"/>
        <v/>
      </c>
      <c r="J84" s="3" t="str">
        <f t="shared" si="11"/>
        <v/>
      </c>
      <c r="K84" s="3"/>
      <c r="L84" s="60" t="str">
        <f t="shared" si="12"/>
        <v/>
      </c>
      <c r="M84" s="40"/>
      <c r="N84" s="40"/>
      <c r="O84" s="40"/>
      <c r="P84" s="40"/>
      <c r="Q84" s="40"/>
      <c r="R84" s="40"/>
      <c r="S84" s="61" t="str">
        <f t="shared" si="8"/>
        <v/>
      </c>
      <c r="T84" s="40"/>
      <c r="U84" s="40"/>
      <c r="V84" s="40"/>
      <c r="W84" s="40"/>
      <c r="X84" s="67" t="str">
        <f t="shared" si="14"/>
        <v/>
      </c>
      <c r="Z84" s="71"/>
      <c r="AA84" s="71"/>
      <c r="AB84" s="67" t="str">
        <f t="shared" si="13"/>
        <v/>
      </c>
    </row>
    <row r="85" spans="1:28" x14ac:dyDescent="0.25">
      <c r="A85" s="59"/>
      <c r="B85" s="7"/>
      <c r="C85" s="59"/>
      <c r="D85" s="10"/>
      <c r="E85" s="40"/>
      <c r="F85" s="40"/>
      <c r="G85" s="40"/>
      <c r="H85" s="3" t="str">
        <f t="shared" si="9"/>
        <v/>
      </c>
      <c r="I85" s="3" t="str">
        <f t="shared" si="10"/>
        <v/>
      </c>
      <c r="J85" s="3" t="str">
        <f t="shared" si="11"/>
        <v/>
      </c>
      <c r="K85" s="3"/>
      <c r="L85" s="60" t="str">
        <f t="shared" si="12"/>
        <v/>
      </c>
      <c r="M85" s="40"/>
      <c r="N85" s="40"/>
      <c r="O85" s="40"/>
      <c r="P85" s="40"/>
      <c r="Q85" s="40"/>
      <c r="R85" s="40"/>
      <c r="S85" s="61" t="str">
        <f t="shared" si="8"/>
        <v/>
      </c>
      <c r="T85" s="40"/>
      <c r="U85" s="40"/>
      <c r="V85" s="40"/>
      <c r="W85" s="40"/>
      <c r="X85" s="67" t="str">
        <f t="shared" si="14"/>
        <v/>
      </c>
      <c r="Z85" s="71"/>
      <c r="AA85" s="71"/>
      <c r="AB85" s="67" t="str">
        <f t="shared" si="13"/>
        <v/>
      </c>
    </row>
    <row r="86" spans="1:28" x14ac:dyDescent="0.25">
      <c r="A86" s="59"/>
      <c r="B86" s="7"/>
      <c r="C86" s="59"/>
      <c r="D86" s="10"/>
      <c r="E86" s="40"/>
      <c r="F86" s="40"/>
      <c r="G86" s="40"/>
      <c r="H86" s="3" t="str">
        <f t="shared" si="9"/>
        <v/>
      </c>
      <c r="I86" s="3" t="str">
        <f t="shared" si="10"/>
        <v/>
      </c>
      <c r="J86" s="3" t="str">
        <f t="shared" si="11"/>
        <v/>
      </c>
      <c r="K86" s="3"/>
      <c r="L86" s="60" t="str">
        <f t="shared" si="12"/>
        <v/>
      </c>
      <c r="M86" s="40"/>
      <c r="N86" s="40"/>
      <c r="O86" s="40"/>
      <c r="P86" s="40"/>
      <c r="Q86" s="40"/>
      <c r="R86" s="40"/>
      <c r="S86" s="61" t="str">
        <f t="shared" si="8"/>
        <v/>
      </c>
      <c r="T86" s="40"/>
      <c r="U86" s="40"/>
      <c r="V86" s="40"/>
      <c r="W86" s="40"/>
      <c r="X86" s="67" t="str">
        <f t="shared" si="14"/>
        <v/>
      </c>
      <c r="Z86" s="71"/>
      <c r="AA86" s="71"/>
      <c r="AB86" s="67" t="str">
        <f t="shared" si="13"/>
        <v/>
      </c>
    </row>
    <row r="87" spans="1:28" x14ac:dyDescent="0.25">
      <c r="A87" s="59"/>
      <c r="B87" s="7"/>
      <c r="C87" s="59"/>
      <c r="D87" s="10"/>
      <c r="E87" s="40"/>
      <c r="F87" s="40"/>
      <c r="G87" s="40"/>
      <c r="H87" s="3" t="str">
        <f t="shared" si="9"/>
        <v/>
      </c>
      <c r="I87" s="3" t="str">
        <f t="shared" si="10"/>
        <v/>
      </c>
      <c r="J87" s="3" t="str">
        <f t="shared" si="11"/>
        <v/>
      </c>
      <c r="K87" s="3"/>
      <c r="L87" s="60" t="str">
        <f t="shared" si="12"/>
        <v/>
      </c>
      <c r="M87" s="40"/>
      <c r="N87" s="40"/>
      <c r="O87" s="40"/>
      <c r="P87" s="40"/>
      <c r="Q87" s="40"/>
      <c r="R87" s="40"/>
      <c r="S87" s="61" t="str">
        <f t="shared" si="8"/>
        <v/>
      </c>
      <c r="T87" s="40"/>
      <c r="U87" s="40"/>
      <c r="V87" s="40"/>
      <c r="W87" s="40"/>
      <c r="X87" s="67" t="str">
        <f t="shared" si="14"/>
        <v/>
      </c>
      <c r="Z87" s="71"/>
      <c r="AA87" s="71"/>
      <c r="AB87" s="67" t="str">
        <f t="shared" si="13"/>
        <v/>
      </c>
    </row>
    <row r="88" spans="1:28" x14ac:dyDescent="0.25">
      <c r="A88" s="59"/>
      <c r="B88" s="7"/>
      <c r="C88" s="59"/>
      <c r="D88" s="10"/>
      <c r="E88" s="40"/>
      <c r="F88" s="40"/>
      <c r="G88" s="40"/>
      <c r="H88" s="3" t="str">
        <f t="shared" si="9"/>
        <v/>
      </c>
      <c r="I88" s="3" t="str">
        <f t="shared" si="10"/>
        <v/>
      </c>
      <c r="J88" s="3" t="str">
        <f t="shared" si="11"/>
        <v/>
      </c>
      <c r="K88" s="3"/>
      <c r="L88" s="60" t="str">
        <f t="shared" si="12"/>
        <v/>
      </c>
      <c r="M88" s="40"/>
      <c r="N88" s="40"/>
      <c r="O88" s="40"/>
      <c r="P88" s="40"/>
      <c r="Q88" s="40"/>
      <c r="R88" s="40"/>
      <c r="S88" s="61" t="str">
        <f t="shared" si="8"/>
        <v/>
      </c>
      <c r="T88" s="40"/>
      <c r="U88" s="40"/>
      <c r="V88" s="40"/>
      <c r="W88" s="40"/>
      <c r="X88" s="67" t="str">
        <f t="shared" si="14"/>
        <v/>
      </c>
      <c r="Z88" s="71"/>
      <c r="AA88" s="71"/>
      <c r="AB88" s="67" t="str">
        <f t="shared" si="13"/>
        <v/>
      </c>
    </row>
    <row r="89" spans="1:28" x14ac:dyDescent="0.25">
      <c r="A89" s="59"/>
      <c r="B89" s="7"/>
      <c r="C89" s="59"/>
      <c r="D89" s="10"/>
      <c r="E89" s="40"/>
      <c r="F89" s="40"/>
      <c r="G89" s="40"/>
      <c r="H89" s="3" t="str">
        <f t="shared" si="9"/>
        <v/>
      </c>
      <c r="I89" s="3" t="str">
        <f t="shared" si="10"/>
        <v/>
      </c>
      <c r="J89" s="3" t="str">
        <f t="shared" si="11"/>
        <v/>
      </c>
      <c r="K89" s="3"/>
      <c r="L89" s="60" t="str">
        <f t="shared" si="12"/>
        <v/>
      </c>
      <c r="M89" s="40"/>
      <c r="N89" s="40"/>
      <c r="O89" s="40"/>
      <c r="P89" s="40"/>
      <c r="Q89" s="40"/>
      <c r="R89" s="40"/>
      <c r="S89" s="61" t="str">
        <f t="shared" si="8"/>
        <v/>
      </c>
      <c r="T89" s="40"/>
      <c r="U89" s="40"/>
      <c r="V89" s="40"/>
      <c r="W89" s="40"/>
      <c r="X89" s="67" t="str">
        <f t="shared" si="14"/>
        <v/>
      </c>
      <c r="Z89" s="71"/>
      <c r="AA89" s="71"/>
      <c r="AB89" s="67" t="str">
        <f t="shared" si="13"/>
        <v/>
      </c>
    </row>
    <row r="90" spans="1:28" x14ac:dyDescent="0.25">
      <c r="A90" s="59"/>
      <c r="B90" s="7"/>
      <c r="C90" s="59"/>
      <c r="D90" s="10"/>
      <c r="E90" s="40"/>
      <c r="F90" s="40"/>
      <c r="G90" s="40"/>
      <c r="H90" s="3" t="str">
        <f t="shared" si="9"/>
        <v/>
      </c>
      <c r="I90" s="3" t="str">
        <f t="shared" si="10"/>
        <v/>
      </c>
      <c r="J90" s="3" t="str">
        <f t="shared" si="11"/>
        <v/>
      </c>
      <c r="K90" s="3"/>
      <c r="L90" s="60" t="str">
        <f t="shared" si="12"/>
        <v/>
      </c>
      <c r="M90" s="40"/>
      <c r="N90" s="40"/>
      <c r="O90" s="40"/>
      <c r="P90" s="40"/>
      <c r="Q90" s="40"/>
      <c r="R90" s="40"/>
      <c r="S90" s="61" t="str">
        <f t="shared" si="8"/>
        <v/>
      </c>
      <c r="T90" s="40"/>
      <c r="U90" s="40"/>
      <c r="V90" s="40"/>
      <c r="W90" s="40"/>
      <c r="X90" s="67" t="str">
        <f t="shared" si="14"/>
        <v/>
      </c>
      <c r="Z90" s="71"/>
      <c r="AA90" s="71"/>
      <c r="AB90" s="67" t="str">
        <f t="shared" si="13"/>
        <v/>
      </c>
    </row>
    <row r="91" spans="1:28" x14ac:dyDescent="0.25">
      <c r="A91" s="59"/>
      <c r="B91" s="7"/>
      <c r="C91" s="59"/>
      <c r="D91" s="10"/>
      <c r="E91" s="40"/>
      <c r="F91" s="40"/>
      <c r="G91" s="40"/>
      <c r="H91" s="3" t="str">
        <f t="shared" si="9"/>
        <v/>
      </c>
      <c r="I91" s="3" t="str">
        <f t="shared" si="10"/>
        <v/>
      </c>
      <c r="J91" s="3" t="str">
        <f t="shared" si="11"/>
        <v/>
      </c>
      <c r="K91" s="3"/>
      <c r="L91" s="60" t="str">
        <f t="shared" si="12"/>
        <v/>
      </c>
      <c r="M91" s="40"/>
      <c r="N91" s="40"/>
      <c r="O91" s="40"/>
      <c r="P91" s="40"/>
      <c r="Q91" s="40"/>
      <c r="R91" s="40"/>
      <c r="S91" s="61" t="str">
        <f t="shared" si="8"/>
        <v/>
      </c>
      <c r="T91" s="40"/>
      <c r="U91" s="40"/>
      <c r="V91" s="40"/>
      <c r="W91" s="40"/>
      <c r="X91" s="67" t="str">
        <f t="shared" si="14"/>
        <v/>
      </c>
      <c r="Z91" s="71"/>
      <c r="AA91" s="71"/>
      <c r="AB91" s="67" t="str">
        <f t="shared" si="13"/>
        <v/>
      </c>
    </row>
    <row r="92" spans="1:28" x14ac:dyDescent="0.25">
      <c r="A92" s="59"/>
      <c r="B92" s="7"/>
      <c r="C92" s="59"/>
      <c r="D92" s="10"/>
      <c r="E92" s="40"/>
      <c r="F92" s="40"/>
      <c r="G92" s="40"/>
      <c r="H92" s="3" t="str">
        <f t="shared" si="9"/>
        <v/>
      </c>
      <c r="I92" s="3" t="str">
        <f t="shared" si="10"/>
        <v/>
      </c>
      <c r="J92" s="3" t="str">
        <f t="shared" si="11"/>
        <v/>
      </c>
      <c r="K92" s="3"/>
      <c r="L92" s="60" t="str">
        <f t="shared" si="12"/>
        <v/>
      </c>
      <c r="M92" s="40"/>
      <c r="N92" s="40"/>
      <c r="O92" s="40"/>
      <c r="P92" s="40"/>
      <c r="Q92" s="40"/>
      <c r="R92" s="40"/>
      <c r="S92" s="61" t="str">
        <f t="shared" si="8"/>
        <v/>
      </c>
      <c r="T92" s="40"/>
      <c r="U92" s="40"/>
      <c r="V92" s="40"/>
      <c r="W92" s="40"/>
      <c r="X92" s="67" t="str">
        <f t="shared" si="14"/>
        <v/>
      </c>
      <c r="Z92" s="71"/>
      <c r="AA92" s="71"/>
      <c r="AB92" s="67" t="str">
        <f t="shared" si="13"/>
        <v/>
      </c>
    </row>
    <row r="93" spans="1:28" x14ac:dyDescent="0.25">
      <c r="A93" s="59"/>
      <c r="B93" s="7"/>
      <c r="C93" s="59"/>
      <c r="D93" s="10"/>
      <c r="E93" s="40"/>
      <c r="F93" s="40"/>
      <c r="G93" s="40"/>
      <c r="H93" s="3" t="str">
        <f t="shared" si="9"/>
        <v/>
      </c>
      <c r="I93" s="3" t="str">
        <f t="shared" si="10"/>
        <v/>
      </c>
      <c r="J93" s="3" t="str">
        <f t="shared" si="11"/>
        <v/>
      </c>
      <c r="K93" s="3"/>
      <c r="L93" s="60" t="str">
        <f t="shared" si="12"/>
        <v/>
      </c>
      <c r="M93" s="40"/>
      <c r="N93" s="40"/>
      <c r="O93" s="40"/>
      <c r="P93" s="40"/>
      <c r="Q93" s="40"/>
      <c r="R93" s="40"/>
      <c r="S93" s="61" t="str">
        <f t="shared" si="8"/>
        <v/>
      </c>
      <c r="T93" s="40"/>
      <c r="U93" s="40"/>
      <c r="V93" s="40"/>
      <c r="W93" s="40"/>
      <c r="X93" s="67" t="str">
        <f t="shared" si="14"/>
        <v/>
      </c>
      <c r="Z93" s="71"/>
      <c r="AA93" s="71"/>
      <c r="AB93" s="67" t="str">
        <f t="shared" si="13"/>
        <v/>
      </c>
    </row>
    <row r="94" spans="1:28" x14ac:dyDescent="0.25">
      <c r="A94" s="59"/>
      <c r="B94" s="7"/>
      <c r="C94" s="59"/>
      <c r="D94" s="10"/>
      <c r="E94" s="40"/>
      <c r="F94" s="40"/>
      <c r="G94" s="40"/>
      <c r="H94" s="3" t="str">
        <f t="shared" si="9"/>
        <v/>
      </c>
      <c r="I94" s="3" t="str">
        <f t="shared" si="10"/>
        <v/>
      </c>
      <c r="J94" s="3" t="str">
        <f t="shared" si="11"/>
        <v/>
      </c>
      <c r="K94" s="3"/>
      <c r="L94" s="60" t="str">
        <f t="shared" si="12"/>
        <v/>
      </c>
      <c r="M94" s="40"/>
      <c r="N94" s="40"/>
      <c r="O94" s="40"/>
      <c r="P94" s="40"/>
      <c r="Q94" s="40"/>
      <c r="R94" s="40"/>
      <c r="S94" s="61" t="str">
        <f t="shared" si="8"/>
        <v/>
      </c>
      <c r="T94" s="40"/>
      <c r="U94" s="40"/>
      <c r="V94" s="40"/>
      <c r="W94" s="40"/>
      <c r="X94" s="67" t="str">
        <f t="shared" si="14"/>
        <v/>
      </c>
      <c r="Z94" s="71"/>
      <c r="AA94" s="71"/>
      <c r="AB94" s="67" t="str">
        <f t="shared" si="13"/>
        <v/>
      </c>
    </row>
    <row r="95" spans="1:28" x14ac:dyDescent="0.25">
      <c r="A95" s="59"/>
      <c r="B95" s="7"/>
      <c r="C95" s="59"/>
      <c r="D95" s="10"/>
      <c r="E95" s="40"/>
      <c r="F95" s="40"/>
      <c r="G95" s="40"/>
      <c r="H95" s="3" t="str">
        <f t="shared" si="9"/>
        <v/>
      </c>
      <c r="I95" s="3" t="str">
        <f t="shared" si="10"/>
        <v/>
      </c>
      <c r="J95" s="3" t="str">
        <f t="shared" si="11"/>
        <v/>
      </c>
      <c r="K95" s="3"/>
      <c r="L95" s="60" t="str">
        <f t="shared" si="12"/>
        <v/>
      </c>
      <c r="M95" s="40"/>
      <c r="N95" s="40"/>
      <c r="O95" s="40"/>
      <c r="P95" s="40"/>
      <c r="Q95" s="40"/>
      <c r="R95" s="40"/>
      <c r="S95" s="61" t="str">
        <f t="shared" si="8"/>
        <v/>
      </c>
      <c r="T95" s="40"/>
      <c r="U95" s="40"/>
      <c r="V95" s="40"/>
      <c r="W95" s="40"/>
      <c r="X95" s="67" t="str">
        <f t="shared" si="14"/>
        <v/>
      </c>
      <c r="Z95" s="71"/>
      <c r="AA95" s="71"/>
      <c r="AB95" s="67" t="str">
        <f t="shared" si="13"/>
        <v/>
      </c>
    </row>
    <row r="96" spans="1:28" x14ac:dyDescent="0.25">
      <c r="A96" s="59"/>
      <c r="B96" s="7"/>
      <c r="C96" s="59"/>
      <c r="D96" s="10"/>
      <c r="E96" s="40"/>
      <c r="F96" s="40"/>
      <c r="G96" s="40"/>
      <c r="H96" s="3" t="str">
        <f t="shared" si="9"/>
        <v/>
      </c>
      <c r="I96" s="3" t="str">
        <f t="shared" si="10"/>
        <v/>
      </c>
      <c r="J96" s="3" t="str">
        <f t="shared" si="11"/>
        <v/>
      </c>
      <c r="K96" s="3"/>
      <c r="L96" s="60" t="str">
        <f t="shared" si="12"/>
        <v/>
      </c>
      <c r="M96" s="40"/>
      <c r="N96" s="40"/>
      <c r="O96" s="40"/>
      <c r="P96" s="40"/>
      <c r="Q96" s="40"/>
      <c r="R96" s="40"/>
      <c r="S96" s="61" t="str">
        <f t="shared" si="8"/>
        <v/>
      </c>
      <c r="T96" s="40"/>
      <c r="U96" s="40"/>
      <c r="V96" s="40"/>
      <c r="W96" s="40"/>
      <c r="X96" s="67" t="str">
        <f t="shared" si="14"/>
        <v/>
      </c>
      <c r="Z96" s="71"/>
      <c r="AA96" s="71"/>
      <c r="AB96" s="67" t="str">
        <f t="shared" si="13"/>
        <v/>
      </c>
    </row>
    <row r="97" spans="1:28" x14ac:dyDescent="0.25">
      <c r="A97" s="59"/>
      <c r="B97" s="7"/>
      <c r="C97" s="59"/>
      <c r="D97" s="10"/>
      <c r="E97" s="40"/>
      <c r="F97" s="40"/>
      <c r="G97" s="40"/>
      <c r="H97" s="3" t="str">
        <f t="shared" si="9"/>
        <v/>
      </c>
      <c r="I97" s="3" t="str">
        <f t="shared" si="10"/>
        <v/>
      </c>
      <c r="J97" s="3" t="str">
        <f t="shared" si="11"/>
        <v/>
      </c>
      <c r="K97" s="3"/>
      <c r="L97" s="60" t="str">
        <f t="shared" si="12"/>
        <v/>
      </c>
      <c r="M97" s="40"/>
      <c r="N97" s="40"/>
      <c r="O97" s="40"/>
      <c r="P97" s="40"/>
      <c r="Q97" s="40"/>
      <c r="R97" s="40"/>
      <c r="S97" s="61" t="str">
        <f t="shared" si="8"/>
        <v/>
      </c>
      <c r="T97" s="40"/>
      <c r="U97" s="40"/>
      <c r="V97" s="40"/>
      <c r="W97" s="40"/>
      <c r="X97" s="67" t="str">
        <f t="shared" si="14"/>
        <v/>
      </c>
      <c r="Z97" s="71"/>
      <c r="AA97" s="71"/>
      <c r="AB97" s="67" t="str">
        <f t="shared" si="13"/>
        <v/>
      </c>
    </row>
    <row r="98" spans="1:28" x14ac:dyDescent="0.25">
      <c r="A98" s="59"/>
      <c r="B98" s="7"/>
      <c r="C98" s="59"/>
      <c r="D98" s="10"/>
      <c r="E98" s="40"/>
      <c r="F98" s="40"/>
      <c r="G98" s="40"/>
      <c r="H98" s="3" t="str">
        <f t="shared" si="9"/>
        <v/>
      </c>
      <c r="I98" s="3" t="str">
        <f t="shared" si="10"/>
        <v/>
      </c>
      <c r="J98" s="3" t="str">
        <f t="shared" si="11"/>
        <v/>
      </c>
      <c r="K98" s="3"/>
      <c r="L98" s="60" t="str">
        <f t="shared" si="12"/>
        <v/>
      </c>
      <c r="M98" s="40"/>
      <c r="N98" s="40"/>
      <c r="O98" s="40"/>
      <c r="P98" s="40"/>
      <c r="Q98" s="40"/>
      <c r="R98" s="40"/>
      <c r="S98" s="61" t="str">
        <f t="shared" si="8"/>
        <v/>
      </c>
      <c r="T98" s="40"/>
      <c r="U98" s="40"/>
      <c r="V98" s="40"/>
      <c r="W98" s="40"/>
      <c r="X98" s="67" t="str">
        <f t="shared" si="14"/>
        <v/>
      </c>
      <c r="Z98" s="71"/>
      <c r="AA98" s="71"/>
      <c r="AB98" s="67" t="str">
        <f t="shared" si="13"/>
        <v/>
      </c>
    </row>
    <row r="99" spans="1:28" x14ac:dyDescent="0.25">
      <c r="A99" s="59"/>
      <c r="B99" s="7"/>
      <c r="C99" s="59"/>
      <c r="D99" s="10"/>
      <c r="E99" s="40"/>
      <c r="F99" s="40"/>
      <c r="G99" s="40"/>
      <c r="H99" s="3" t="str">
        <f t="shared" si="9"/>
        <v/>
      </c>
      <c r="I99" s="3" t="str">
        <f t="shared" si="10"/>
        <v/>
      </c>
      <c r="J99" s="3" t="str">
        <f t="shared" si="11"/>
        <v/>
      </c>
      <c r="K99" s="3"/>
      <c r="L99" s="60" t="str">
        <f t="shared" si="12"/>
        <v/>
      </c>
      <c r="M99" s="40"/>
      <c r="N99" s="40"/>
      <c r="O99" s="40"/>
      <c r="P99" s="40"/>
      <c r="Q99" s="40"/>
      <c r="R99" s="40"/>
      <c r="S99" s="61" t="str">
        <f t="shared" si="8"/>
        <v/>
      </c>
      <c r="T99" s="40"/>
      <c r="U99" s="40"/>
      <c r="V99" s="40"/>
      <c r="W99" s="40"/>
      <c r="X99" s="67" t="str">
        <f t="shared" si="14"/>
        <v/>
      </c>
      <c r="Z99" s="71"/>
      <c r="AA99" s="71"/>
      <c r="AB99" s="67" t="str">
        <f t="shared" si="13"/>
        <v/>
      </c>
    </row>
    <row r="100" spans="1:28" x14ac:dyDescent="0.25">
      <c r="A100" s="59"/>
      <c r="B100" s="7"/>
      <c r="C100" s="59"/>
      <c r="D100" s="10"/>
      <c r="E100" s="40"/>
      <c r="F100" s="40"/>
      <c r="G100" s="40"/>
      <c r="H100" s="3" t="str">
        <f t="shared" si="9"/>
        <v/>
      </c>
      <c r="I100" s="3" t="str">
        <f t="shared" si="10"/>
        <v/>
      </c>
      <c r="J100" s="3" t="str">
        <f t="shared" si="11"/>
        <v/>
      </c>
      <c r="K100" s="3"/>
      <c r="L100" s="60" t="str">
        <f t="shared" si="12"/>
        <v/>
      </c>
      <c r="M100" s="40"/>
      <c r="N100" s="40"/>
      <c r="O100" s="40"/>
      <c r="P100" s="40"/>
      <c r="Q100" s="40"/>
      <c r="R100" s="40"/>
      <c r="S100" s="61" t="str">
        <f t="shared" si="8"/>
        <v/>
      </c>
      <c r="T100" s="40"/>
      <c r="U100" s="40"/>
      <c r="V100" s="40"/>
      <c r="W100" s="40"/>
      <c r="X100" s="67" t="str">
        <f t="shared" si="14"/>
        <v/>
      </c>
      <c r="Z100" s="71"/>
      <c r="AA100" s="71"/>
      <c r="AB100" s="67" t="str">
        <f t="shared" si="13"/>
        <v/>
      </c>
    </row>
    <row r="101" spans="1:28" x14ac:dyDescent="0.25">
      <c r="A101" s="59"/>
      <c r="B101" s="7"/>
      <c r="C101" s="59"/>
      <c r="D101" s="10"/>
      <c r="E101" s="40"/>
      <c r="F101" s="40"/>
      <c r="G101" s="40"/>
      <c r="H101" s="3" t="str">
        <f t="shared" si="9"/>
        <v/>
      </c>
      <c r="I101" s="3" t="str">
        <f t="shared" si="10"/>
        <v/>
      </c>
      <c r="J101" s="3" t="str">
        <f t="shared" si="11"/>
        <v/>
      </c>
      <c r="K101" s="3"/>
      <c r="L101" s="60" t="str">
        <f t="shared" si="12"/>
        <v/>
      </c>
      <c r="M101" s="40"/>
      <c r="N101" s="40"/>
      <c r="O101" s="40"/>
      <c r="P101" s="40"/>
      <c r="Q101" s="40"/>
      <c r="R101" s="40"/>
      <c r="S101" s="61" t="str">
        <f t="shared" si="8"/>
        <v/>
      </c>
      <c r="T101" s="40"/>
      <c r="U101" s="40"/>
      <c r="V101" s="40"/>
      <c r="W101" s="40"/>
      <c r="X101" s="67" t="str">
        <f t="shared" si="14"/>
        <v/>
      </c>
      <c r="Z101" s="71"/>
      <c r="AA101" s="71"/>
      <c r="AB101" s="67" t="str">
        <f t="shared" si="13"/>
        <v/>
      </c>
    </row>
    <row r="102" spans="1:28" x14ac:dyDescent="0.25">
      <c r="A102" s="59"/>
      <c r="B102" s="7"/>
      <c r="C102" s="59"/>
      <c r="D102" s="10"/>
      <c r="E102" s="40"/>
      <c r="F102" s="40"/>
      <c r="G102" s="40"/>
      <c r="H102" s="3" t="str">
        <f t="shared" si="9"/>
        <v/>
      </c>
      <c r="I102" s="3" t="str">
        <f t="shared" si="10"/>
        <v/>
      </c>
      <c r="J102" s="3" t="str">
        <f t="shared" si="11"/>
        <v/>
      </c>
      <c r="K102" s="3"/>
      <c r="L102" s="60" t="str">
        <f t="shared" si="12"/>
        <v/>
      </c>
      <c r="M102" s="40"/>
      <c r="N102" s="40"/>
      <c r="O102" s="40"/>
      <c r="P102" s="40"/>
      <c r="Q102" s="40"/>
      <c r="R102" s="40"/>
      <c r="S102" s="61" t="str">
        <f t="shared" si="8"/>
        <v/>
      </c>
      <c r="T102" s="40"/>
      <c r="U102" s="40"/>
      <c r="V102" s="40"/>
      <c r="W102" s="40"/>
      <c r="X102" s="67" t="str">
        <f t="shared" si="14"/>
        <v/>
      </c>
      <c r="Z102" s="71"/>
      <c r="AA102" s="71"/>
      <c r="AB102" s="67" t="str">
        <f t="shared" si="13"/>
        <v/>
      </c>
    </row>
    <row r="103" spans="1:28" x14ac:dyDescent="0.25">
      <c r="A103" s="59"/>
      <c r="B103" s="7"/>
      <c r="C103" s="59"/>
      <c r="D103" s="10"/>
      <c r="E103" s="40"/>
      <c r="F103" s="40"/>
      <c r="G103" s="40"/>
      <c r="H103" s="3" t="str">
        <f t="shared" si="9"/>
        <v/>
      </c>
      <c r="I103" s="3" t="str">
        <f t="shared" si="10"/>
        <v/>
      </c>
      <c r="J103" s="3" t="str">
        <f t="shared" si="11"/>
        <v/>
      </c>
      <c r="K103" s="3"/>
      <c r="L103" s="60" t="str">
        <f t="shared" si="12"/>
        <v/>
      </c>
      <c r="M103" s="40"/>
      <c r="N103" s="40"/>
      <c r="O103" s="40"/>
      <c r="P103" s="40"/>
      <c r="Q103" s="40"/>
      <c r="R103" s="40"/>
      <c r="S103" s="61"/>
      <c r="T103" s="40"/>
      <c r="U103" s="40"/>
      <c r="V103" s="40"/>
      <c r="W103" s="40"/>
      <c r="X103" s="67"/>
      <c r="Z103" s="71"/>
      <c r="AA103" s="71"/>
      <c r="AB103" s="67" t="str">
        <f t="shared" si="13"/>
        <v/>
      </c>
    </row>
    <row r="104" spans="1:28" x14ac:dyDescent="0.25">
      <c r="A104" s="59"/>
      <c r="B104" s="7"/>
      <c r="C104" s="59"/>
      <c r="D104" s="10"/>
      <c r="E104" s="40"/>
      <c r="F104" s="40"/>
      <c r="G104" s="40"/>
      <c r="H104" s="3" t="str">
        <f t="shared" si="9"/>
        <v/>
      </c>
      <c r="I104" s="3" t="str">
        <f t="shared" si="10"/>
        <v/>
      </c>
      <c r="J104" s="3" t="str">
        <f t="shared" si="11"/>
        <v/>
      </c>
      <c r="K104" s="3"/>
      <c r="L104" s="60" t="str">
        <f t="shared" si="12"/>
        <v/>
      </c>
      <c r="M104" s="40"/>
      <c r="N104" s="40"/>
      <c r="O104" s="40"/>
      <c r="P104" s="40"/>
      <c r="Q104" s="40"/>
      <c r="R104" s="40"/>
      <c r="S104" s="61" t="str">
        <f>IF(C104="","",(S102+R104)-(M104+N104+O104+P104+Q104))</f>
        <v/>
      </c>
      <c r="T104" s="40"/>
      <c r="U104" s="40"/>
      <c r="V104" s="40"/>
      <c r="W104" s="40"/>
      <c r="X104" s="67" t="str">
        <f>IF(V104="","",((X102+T104+U104)-(V104+W104)))</f>
        <v/>
      </c>
      <c r="Z104" s="71"/>
      <c r="AA104" s="71"/>
      <c r="AB104" s="67" t="str">
        <f t="shared" si="13"/>
        <v/>
      </c>
    </row>
    <row r="105" spans="1:28" x14ac:dyDescent="0.25">
      <c r="A105" s="59"/>
      <c r="B105" s="7"/>
      <c r="C105" s="59"/>
      <c r="D105" s="10"/>
      <c r="E105" s="40"/>
      <c r="F105" s="40"/>
      <c r="G105" s="40"/>
      <c r="H105" s="3" t="str">
        <f t="shared" si="9"/>
        <v/>
      </c>
      <c r="I105" s="3" t="str">
        <f t="shared" si="10"/>
        <v/>
      </c>
      <c r="J105" s="3" t="str">
        <f t="shared" si="11"/>
        <v/>
      </c>
      <c r="K105" s="3"/>
      <c r="L105" s="60" t="str">
        <f t="shared" si="12"/>
        <v/>
      </c>
      <c r="M105" s="40"/>
      <c r="N105" s="40"/>
      <c r="O105" s="40"/>
      <c r="P105" s="40"/>
      <c r="Q105" s="40"/>
      <c r="R105" s="40"/>
      <c r="S105" s="61" t="str">
        <f t="shared" ref="S105:S168" si="15">IF(C105="","",(S104+R105)-(M105+N105+O105+P105+Q105))</f>
        <v/>
      </c>
      <c r="T105" s="40"/>
      <c r="U105" s="40"/>
      <c r="V105" s="40"/>
      <c r="W105" s="40"/>
      <c r="X105" s="67" t="str">
        <f t="shared" si="14"/>
        <v/>
      </c>
      <c r="Z105" s="71"/>
      <c r="AA105" s="71"/>
      <c r="AB105" s="67" t="str">
        <f t="shared" si="13"/>
        <v/>
      </c>
    </row>
    <row r="106" spans="1:28" x14ac:dyDescent="0.25">
      <c r="A106" s="59"/>
      <c r="B106" s="7"/>
      <c r="C106" s="59"/>
      <c r="D106" s="10"/>
      <c r="E106" s="40"/>
      <c r="F106" s="40"/>
      <c r="G106" s="40"/>
      <c r="H106" s="3" t="str">
        <f t="shared" si="9"/>
        <v/>
      </c>
      <c r="I106" s="3" t="str">
        <f t="shared" si="10"/>
        <v/>
      </c>
      <c r="J106" s="3" t="str">
        <f t="shared" si="11"/>
        <v/>
      </c>
      <c r="K106" s="3"/>
      <c r="L106" s="60" t="str">
        <f t="shared" si="12"/>
        <v/>
      </c>
      <c r="M106" s="40"/>
      <c r="N106" s="40"/>
      <c r="O106" s="40"/>
      <c r="P106" s="40"/>
      <c r="Q106" s="40"/>
      <c r="R106" s="40"/>
      <c r="S106" s="61" t="str">
        <f t="shared" si="15"/>
        <v/>
      </c>
      <c r="T106" s="40"/>
      <c r="U106" s="40"/>
      <c r="V106" s="40"/>
      <c r="W106" s="40"/>
      <c r="X106" s="67" t="str">
        <f t="shared" si="14"/>
        <v/>
      </c>
      <c r="Z106" s="71"/>
      <c r="AA106" s="71"/>
      <c r="AB106" s="67" t="str">
        <f t="shared" si="13"/>
        <v/>
      </c>
    </row>
    <row r="107" spans="1:28" x14ac:dyDescent="0.25">
      <c r="A107" s="59"/>
      <c r="B107" s="7"/>
      <c r="C107" s="59"/>
      <c r="D107" s="10"/>
      <c r="E107" s="40"/>
      <c r="F107" s="40"/>
      <c r="G107" s="40"/>
      <c r="H107" s="3" t="str">
        <f t="shared" si="9"/>
        <v/>
      </c>
      <c r="I107" s="3" t="str">
        <f t="shared" si="10"/>
        <v/>
      </c>
      <c r="J107" s="3" t="str">
        <f t="shared" si="11"/>
        <v/>
      </c>
      <c r="K107" s="3"/>
      <c r="L107" s="60" t="str">
        <f t="shared" si="12"/>
        <v/>
      </c>
      <c r="M107" s="40"/>
      <c r="N107" s="40"/>
      <c r="O107" s="40"/>
      <c r="P107" s="40"/>
      <c r="Q107" s="40"/>
      <c r="R107" s="40"/>
      <c r="S107" s="61" t="str">
        <f t="shared" si="15"/>
        <v/>
      </c>
      <c r="T107" s="40"/>
      <c r="U107" s="40"/>
      <c r="V107" s="40"/>
      <c r="W107" s="40"/>
      <c r="X107" s="67" t="str">
        <f t="shared" si="14"/>
        <v/>
      </c>
      <c r="Z107" s="71"/>
      <c r="AA107" s="71"/>
      <c r="AB107" s="67" t="str">
        <f t="shared" si="13"/>
        <v/>
      </c>
    </row>
    <row r="108" spans="1:28" x14ac:dyDescent="0.25">
      <c r="A108" s="59"/>
      <c r="B108" s="7"/>
      <c r="C108" s="59"/>
      <c r="D108" s="10"/>
      <c r="E108" s="40"/>
      <c r="F108" s="40"/>
      <c r="G108" s="40"/>
      <c r="H108" s="3" t="str">
        <f t="shared" si="9"/>
        <v/>
      </c>
      <c r="I108" s="3" t="str">
        <f t="shared" si="10"/>
        <v/>
      </c>
      <c r="J108" s="3" t="str">
        <f t="shared" si="11"/>
        <v/>
      </c>
      <c r="K108" s="3"/>
      <c r="L108" s="60" t="str">
        <f t="shared" si="12"/>
        <v/>
      </c>
      <c r="M108" s="40"/>
      <c r="N108" s="40"/>
      <c r="O108" s="40"/>
      <c r="P108" s="40"/>
      <c r="Q108" s="40"/>
      <c r="R108" s="40"/>
      <c r="S108" s="61" t="str">
        <f t="shared" si="15"/>
        <v/>
      </c>
      <c r="T108" s="40"/>
      <c r="U108" s="40"/>
      <c r="V108" s="40"/>
      <c r="W108" s="40"/>
      <c r="X108" s="67" t="str">
        <f t="shared" si="14"/>
        <v/>
      </c>
      <c r="Z108" s="71"/>
      <c r="AA108" s="71"/>
      <c r="AB108" s="67" t="str">
        <f t="shared" si="13"/>
        <v/>
      </c>
    </row>
    <row r="109" spans="1:28" x14ac:dyDescent="0.25">
      <c r="A109" s="59"/>
      <c r="B109" s="7"/>
      <c r="C109" s="59"/>
      <c r="D109" s="10"/>
      <c r="E109" s="40"/>
      <c r="F109" s="40"/>
      <c r="G109" s="40"/>
      <c r="H109" s="3" t="str">
        <f t="shared" si="9"/>
        <v/>
      </c>
      <c r="I109" s="3" t="str">
        <f t="shared" si="10"/>
        <v/>
      </c>
      <c r="J109" s="3" t="str">
        <f t="shared" si="11"/>
        <v/>
      </c>
      <c r="K109" s="3"/>
      <c r="L109" s="60" t="str">
        <f t="shared" si="12"/>
        <v/>
      </c>
      <c r="M109" s="40"/>
      <c r="N109" s="40"/>
      <c r="O109" s="40"/>
      <c r="P109" s="40"/>
      <c r="Q109" s="40"/>
      <c r="R109" s="40"/>
      <c r="S109" s="61" t="str">
        <f t="shared" si="15"/>
        <v/>
      </c>
      <c r="T109" s="40"/>
      <c r="U109" s="40"/>
      <c r="V109" s="40"/>
      <c r="W109" s="40"/>
      <c r="X109" s="67" t="str">
        <f t="shared" si="14"/>
        <v/>
      </c>
      <c r="Z109" s="71"/>
      <c r="AA109" s="71"/>
      <c r="AB109" s="67" t="str">
        <f t="shared" si="13"/>
        <v/>
      </c>
    </row>
    <row r="110" spans="1:28" x14ac:dyDescent="0.25">
      <c r="A110" s="59"/>
      <c r="B110" s="7"/>
      <c r="C110" s="59"/>
      <c r="D110" s="10"/>
      <c r="E110" s="40"/>
      <c r="F110" s="40"/>
      <c r="G110" s="40"/>
      <c r="H110" s="3" t="str">
        <f t="shared" si="9"/>
        <v/>
      </c>
      <c r="I110" s="3" t="str">
        <f t="shared" si="10"/>
        <v/>
      </c>
      <c r="J110" s="3" t="str">
        <f t="shared" si="11"/>
        <v/>
      </c>
      <c r="K110" s="3"/>
      <c r="L110" s="60" t="str">
        <f t="shared" si="12"/>
        <v/>
      </c>
      <c r="M110" s="40"/>
      <c r="N110" s="40"/>
      <c r="O110" s="40"/>
      <c r="P110" s="40"/>
      <c r="Q110" s="40"/>
      <c r="R110" s="40"/>
      <c r="S110" s="61" t="str">
        <f t="shared" si="15"/>
        <v/>
      </c>
      <c r="T110" s="40"/>
      <c r="U110" s="40"/>
      <c r="V110" s="40"/>
      <c r="W110" s="40"/>
      <c r="X110" s="67" t="str">
        <f t="shared" si="14"/>
        <v/>
      </c>
      <c r="Z110" s="71"/>
      <c r="AA110" s="71"/>
      <c r="AB110" s="67" t="str">
        <f t="shared" si="13"/>
        <v/>
      </c>
    </row>
    <row r="111" spans="1:28" x14ac:dyDescent="0.25">
      <c r="A111" s="59"/>
      <c r="B111" s="7"/>
      <c r="C111" s="59"/>
      <c r="D111" s="10"/>
      <c r="E111" s="40"/>
      <c r="F111" s="40"/>
      <c r="G111" s="40"/>
      <c r="H111" s="3" t="str">
        <f t="shared" si="9"/>
        <v/>
      </c>
      <c r="I111" s="3" t="str">
        <f t="shared" si="10"/>
        <v/>
      </c>
      <c r="J111" s="3" t="str">
        <f t="shared" si="11"/>
        <v/>
      </c>
      <c r="K111" s="3"/>
      <c r="L111" s="60" t="str">
        <f t="shared" si="12"/>
        <v/>
      </c>
      <c r="M111" s="40"/>
      <c r="N111" s="40"/>
      <c r="O111" s="40"/>
      <c r="P111" s="40"/>
      <c r="Q111" s="40"/>
      <c r="R111" s="40"/>
      <c r="S111" s="61" t="str">
        <f t="shared" si="15"/>
        <v/>
      </c>
      <c r="T111" s="40"/>
      <c r="U111" s="40"/>
      <c r="V111" s="40"/>
      <c r="W111" s="40"/>
      <c r="X111" s="67" t="str">
        <f t="shared" si="14"/>
        <v/>
      </c>
      <c r="Z111" s="71"/>
      <c r="AA111" s="71"/>
      <c r="AB111" s="67" t="str">
        <f t="shared" si="13"/>
        <v/>
      </c>
    </row>
    <row r="112" spans="1:28" x14ac:dyDescent="0.25">
      <c r="A112" s="59"/>
      <c r="B112" s="7"/>
      <c r="C112" s="59"/>
      <c r="D112" s="10"/>
      <c r="E112" s="40"/>
      <c r="F112" s="40"/>
      <c r="G112" s="40"/>
      <c r="H112" s="3" t="str">
        <f t="shared" si="9"/>
        <v/>
      </c>
      <c r="I112" s="3" t="str">
        <f t="shared" si="10"/>
        <v/>
      </c>
      <c r="J112" s="3" t="str">
        <f t="shared" si="11"/>
        <v/>
      </c>
      <c r="K112" s="3"/>
      <c r="L112" s="60" t="str">
        <f t="shared" si="12"/>
        <v/>
      </c>
      <c r="M112" s="40"/>
      <c r="N112" s="40"/>
      <c r="O112" s="40"/>
      <c r="P112" s="40"/>
      <c r="Q112" s="40"/>
      <c r="R112" s="40"/>
      <c r="S112" s="61" t="str">
        <f t="shared" si="15"/>
        <v/>
      </c>
      <c r="T112" s="40"/>
      <c r="U112" s="40"/>
      <c r="V112" s="40"/>
      <c r="W112" s="40"/>
      <c r="X112" s="67" t="str">
        <f t="shared" si="14"/>
        <v/>
      </c>
      <c r="Z112" s="71"/>
      <c r="AA112" s="71"/>
      <c r="AB112" s="67" t="str">
        <f t="shared" si="13"/>
        <v/>
      </c>
    </row>
    <row r="113" spans="1:28" x14ac:dyDescent="0.25">
      <c r="A113" s="59"/>
      <c r="B113" s="7"/>
      <c r="C113" s="59"/>
      <c r="D113" s="10"/>
      <c r="E113" s="40"/>
      <c r="F113" s="40"/>
      <c r="G113" s="40"/>
      <c r="H113" s="3" t="str">
        <f t="shared" si="9"/>
        <v/>
      </c>
      <c r="I113" s="3" t="str">
        <f t="shared" si="10"/>
        <v/>
      </c>
      <c r="J113" s="3" t="str">
        <f t="shared" si="11"/>
        <v/>
      </c>
      <c r="K113" s="3"/>
      <c r="L113" s="60" t="str">
        <f t="shared" si="12"/>
        <v/>
      </c>
      <c r="M113" s="40"/>
      <c r="N113" s="40"/>
      <c r="O113" s="40"/>
      <c r="P113" s="40"/>
      <c r="Q113" s="40"/>
      <c r="R113" s="40"/>
      <c r="S113" s="61" t="str">
        <f t="shared" si="15"/>
        <v/>
      </c>
      <c r="T113" s="40"/>
      <c r="U113" s="40"/>
      <c r="V113" s="40"/>
      <c r="W113" s="40"/>
      <c r="X113" s="67" t="str">
        <f t="shared" si="14"/>
        <v/>
      </c>
      <c r="Z113" s="71"/>
      <c r="AA113" s="71"/>
      <c r="AB113" s="67" t="str">
        <f t="shared" si="13"/>
        <v/>
      </c>
    </row>
    <row r="114" spans="1:28" x14ac:dyDescent="0.25">
      <c r="A114" s="59"/>
      <c r="B114" s="7"/>
      <c r="C114" s="59"/>
      <c r="D114" s="10"/>
      <c r="E114" s="40"/>
      <c r="F114" s="40"/>
      <c r="G114" s="40"/>
      <c r="H114" s="3" t="str">
        <f t="shared" si="9"/>
        <v/>
      </c>
      <c r="I114" s="3" t="str">
        <f t="shared" si="10"/>
        <v/>
      </c>
      <c r="J114" s="3" t="str">
        <f t="shared" si="11"/>
        <v/>
      </c>
      <c r="K114" s="3"/>
      <c r="L114" s="60" t="str">
        <f t="shared" si="12"/>
        <v/>
      </c>
      <c r="M114" s="40"/>
      <c r="N114" s="40"/>
      <c r="O114" s="40"/>
      <c r="P114" s="40"/>
      <c r="Q114" s="40"/>
      <c r="R114" s="40"/>
      <c r="S114" s="61" t="str">
        <f t="shared" si="15"/>
        <v/>
      </c>
      <c r="T114" s="40"/>
      <c r="U114" s="40"/>
      <c r="V114" s="40"/>
      <c r="W114" s="40"/>
      <c r="X114" s="67" t="str">
        <f t="shared" si="14"/>
        <v/>
      </c>
      <c r="Z114" s="71"/>
      <c r="AA114" s="71"/>
      <c r="AB114" s="67" t="str">
        <f t="shared" si="13"/>
        <v/>
      </c>
    </row>
    <row r="115" spans="1:28" x14ac:dyDescent="0.25">
      <c r="A115" s="59"/>
      <c r="B115" s="7"/>
      <c r="C115" s="59"/>
      <c r="D115" s="10"/>
      <c r="E115" s="40"/>
      <c r="F115" s="40"/>
      <c r="G115" s="40"/>
      <c r="H115" s="3" t="str">
        <f t="shared" si="9"/>
        <v/>
      </c>
      <c r="I115" s="3" t="str">
        <f t="shared" si="10"/>
        <v/>
      </c>
      <c r="J115" s="3" t="str">
        <f t="shared" si="11"/>
        <v/>
      </c>
      <c r="K115" s="3"/>
      <c r="L115" s="60" t="str">
        <f t="shared" si="12"/>
        <v/>
      </c>
      <c r="M115" s="40"/>
      <c r="N115" s="40"/>
      <c r="O115" s="40"/>
      <c r="P115" s="40"/>
      <c r="Q115" s="40"/>
      <c r="R115" s="40"/>
      <c r="S115" s="61" t="str">
        <f t="shared" si="15"/>
        <v/>
      </c>
      <c r="T115" s="40"/>
      <c r="U115" s="40"/>
      <c r="V115" s="40"/>
      <c r="W115" s="40"/>
      <c r="X115" s="67" t="str">
        <f t="shared" si="14"/>
        <v/>
      </c>
      <c r="Z115" s="71"/>
      <c r="AA115" s="71"/>
      <c r="AB115" s="67" t="str">
        <f t="shared" si="13"/>
        <v/>
      </c>
    </row>
    <row r="116" spans="1:28" x14ac:dyDescent="0.25">
      <c r="A116" s="59"/>
      <c r="B116" s="7"/>
      <c r="C116" s="59"/>
      <c r="D116" s="10"/>
      <c r="E116" s="40"/>
      <c r="F116" s="40"/>
      <c r="G116" s="40"/>
      <c r="H116" s="3" t="str">
        <f t="shared" si="9"/>
        <v/>
      </c>
      <c r="I116" s="3" t="str">
        <f t="shared" si="10"/>
        <v/>
      </c>
      <c r="J116" s="3" t="str">
        <f t="shared" si="11"/>
        <v/>
      </c>
      <c r="K116" s="3"/>
      <c r="L116" s="60" t="str">
        <f t="shared" si="12"/>
        <v/>
      </c>
      <c r="M116" s="40"/>
      <c r="N116" s="40"/>
      <c r="O116" s="40"/>
      <c r="P116" s="40"/>
      <c r="Q116" s="40"/>
      <c r="R116" s="40"/>
      <c r="S116" s="61" t="str">
        <f t="shared" si="15"/>
        <v/>
      </c>
      <c r="T116" s="40"/>
      <c r="U116" s="40"/>
      <c r="V116" s="40"/>
      <c r="W116" s="40"/>
      <c r="X116" s="67" t="str">
        <f t="shared" si="14"/>
        <v/>
      </c>
      <c r="Z116" s="71"/>
      <c r="AA116" s="71"/>
      <c r="AB116" s="67" t="str">
        <f t="shared" si="13"/>
        <v/>
      </c>
    </row>
    <row r="117" spans="1:28" x14ac:dyDescent="0.25">
      <c r="A117" s="59"/>
      <c r="B117" s="7"/>
      <c r="C117" s="59"/>
      <c r="D117" s="10"/>
      <c r="E117" s="40"/>
      <c r="F117" s="40"/>
      <c r="G117" s="40"/>
      <c r="H117" s="3" t="str">
        <f t="shared" si="9"/>
        <v/>
      </c>
      <c r="I117" s="3" t="str">
        <f t="shared" si="10"/>
        <v/>
      </c>
      <c r="J117" s="3" t="str">
        <f t="shared" si="11"/>
        <v/>
      </c>
      <c r="K117" s="3"/>
      <c r="L117" s="60" t="str">
        <f t="shared" si="12"/>
        <v/>
      </c>
      <c r="M117" s="40"/>
      <c r="N117" s="40"/>
      <c r="O117" s="40"/>
      <c r="P117" s="40"/>
      <c r="Q117" s="40"/>
      <c r="R117" s="40"/>
      <c r="S117" s="61" t="str">
        <f t="shared" si="15"/>
        <v/>
      </c>
      <c r="T117" s="40"/>
      <c r="U117" s="40"/>
      <c r="V117" s="40"/>
      <c r="W117" s="40"/>
      <c r="X117" s="67" t="str">
        <f t="shared" si="14"/>
        <v/>
      </c>
      <c r="Z117" s="71"/>
      <c r="AA117" s="71"/>
      <c r="AB117" s="67" t="str">
        <f t="shared" si="13"/>
        <v/>
      </c>
    </row>
    <row r="118" spans="1:28" x14ac:dyDescent="0.25">
      <c r="A118" s="59"/>
      <c r="B118" s="7"/>
      <c r="C118" s="59"/>
      <c r="D118" s="10"/>
      <c r="E118" s="40"/>
      <c r="F118" s="40"/>
      <c r="G118" s="40"/>
      <c r="H118" s="3" t="str">
        <f t="shared" si="9"/>
        <v/>
      </c>
      <c r="I118" s="3" t="str">
        <f t="shared" si="10"/>
        <v/>
      </c>
      <c r="J118" s="3" t="str">
        <f t="shared" si="11"/>
        <v/>
      </c>
      <c r="K118" s="3"/>
      <c r="L118" s="60" t="str">
        <f t="shared" si="12"/>
        <v/>
      </c>
      <c r="M118" s="40"/>
      <c r="N118" s="40"/>
      <c r="O118" s="40"/>
      <c r="P118" s="40"/>
      <c r="Q118" s="40"/>
      <c r="R118" s="40"/>
      <c r="S118" s="61" t="str">
        <f t="shared" si="15"/>
        <v/>
      </c>
      <c r="T118" s="40"/>
      <c r="U118" s="40"/>
      <c r="V118" s="40"/>
      <c r="W118" s="40"/>
      <c r="X118" s="67" t="str">
        <f t="shared" si="14"/>
        <v/>
      </c>
      <c r="Z118" s="71"/>
      <c r="AA118" s="71"/>
      <c r="AB118" s="67" t="str">
        <f t="shared" si="13"/>
        <v/>
      </c>
    </row>
    <row r="119" spans="1:28" x14ac:dyDescent="0.25">
      <c r="A119" s="59"/>
      <c r="B119" s="7"/>
      <c r="C119" s="59"/>
      <c r="D119" s="10"/>
      <c r="E119" s="40"/>
      <c r="F119" s="40"/>
      <c r="G119" s="40"/>
      <c r="H119" s="3" t="str">
        <f t="shared" si="9"/>
        <v/>
      </c>
      <c r="I119" s="3" t="str">
        <f t="shared" si="10"/>
        <v/>
      </c>
      <c r="J119" s="3" t="str">
        <f t="shared" si="11"/>
        <v/>
      </c>
      <c r="K119" s="3"/>
      <c r="L119" s="60" t="str">
        <f t="shared" si="12"/>
        <v/>
      </c>
      <c r="M119" s="40"/>
      <c r="N119" s="40"/>
      <c r="O119" s="40"/>
      <c r="P119" s="40"/>
      <c r="Q119" s="40"/>
      <c r="R119" s="40"/>
      <c r="S119" s="61" t="str">
        <f t="shared" si="15"/>
        <v/>
      </c>
      <c r="T119" s="40"/>
      <c r="U119" s="40"/>
      <c r="V119" s="40"/>
      <c r="W119" s="40"/>
      <c r="X119" s="67" t="str">
        <f t="shared" si="14"/>
        <v/>
      </c>
      <c r="Z119" s="71"/>
      <c r="AA119" s="71"/>
      <c r="AB119" s="67" t="str">
        <f t="shared" si="13"/>
        <v/>
      </c>
    </row>
    <row r="120" spans="1:28" x14ac:dyDescent="0.25">
      <c r="A120" s="59"/>
      <c r="B120" s="7"/>
      <c r="C120" s="59"/>
      <c r="D120" s="10"/>
      <c r="E120" s="40"/>
      <c r="F120" s="40"/>
      <c r="G120" s="40"/>
      <c r="H120" s="3" t="str">
        <f t="shared" si="9"/>
        <v/>
      </c>
      <c r="I120" s="3" t="str">
        <f t="shared" si="10"/>
        <v/>
      </c>
      <c r="J120" s="3" t="str">
        <f t="shared" si="11"/>
        <v/>
      </c>
      <c r="K120" s="3"/>
      <c r="L120" s="60" t="str">
        <f t="shared" si="12"/>
        <v/>
      </c>
      <c r="M120" s="40"/>
      <c r="N120" s="40"/>
      <c r="O120" s="40"/>
      <c r="P120" s="40"/>
      <c r="Q120" s="40"/>
      <c r="R120" s="40"/>
      <c r="S120" s="61" t="str">
        <f t="shared" si="15"/>
        <v/>
      </c>
      <c r="T120" s="40"/>
      <c r="U120" s="40"/>
      <c r="V120" s="40"/>
      <c r="W120" s="40"/>
      <c r="X120" s="67" t="str">
        <f t="shared" si="14"/>
        <v/>
      </c>
      <c r="Z120" s="71"/>
      <c r="AA120" s="71"/>
      <c r="AB120" s="67" t="str">
        <f t="shared" si="13"/>
        <v/>
      </c>
    </row>
    <row r="121" spans="1:28" x14ac:dyDescent="0.25">
      <c r="A121" s="59"/>
      <c r="B121" s="7"/>
      <c r="C121" s="59"/>
      <c r="D121" s="10"/>
      <c r="E121" s="40"/>
      <c r="F121" s="40"/>
      <c r="G121" s="40"/>
      <c r="H121" s="3" t="str">
        <f t="shared" si="9"/>
        <v/>
      </c>
      <c r="I121" s="3" t="str">
        <f t="shared" si="10"/>
        <v/>
      </c>
      <c r="J121" s="3" t="str">
        <f t="shared" si="11"/>
        <v/>
      </c>
      <c r="K121" s="3"/>
      <c r="L121" s="60" t="str">
        <f t="shared" si="12"/>
        <v/>
      </c>
      <c r="M121" s="40"/>
      <c r="N121" s="40"/>
      <c r="O121" s="40"/>
      <c r="P121" s="40"/>
      <c r="Q121" s="40"/>
      <c r="R121" s="40"/>
      <c r="S121" s="61" t="str">
        <f t="shared" si="15"/>
        <v/>
      </c>
      <c r="T121" s="40"/>
      <c r="U121" s="40"/>
      <c r="V121" s="40"/>
      <c r="W121" s="40"/>
      <c r="X121" s="67" t="str">
        <f t="shared" si="14"/>
        <v/>
      </c>
      <c r="Z121" s="71"/>
      <c r="AA121" s="71"/>
      <c r="AB121" s="67" t="str">
        <f t="shared" si="13"/>
        <v/>
      </c>
    </row>
    <row r="122" spans="1:28" x14ac:dyDescent="0.25">
      <c r="A122" s="59"/>
      <c r="B122" s="7"/>
      <c r="C122" s="59"/>
      <c r="D122" s="10"/>
      <c r="E122" s="40"/>
      <c r="F122" s="40"/>
      <c r="G122" s="40"/>
      <c r="H122" s="3" t="str">
        <f t="shared" si="9"/>
        <v/>
      </c>
      <c r="I122" s="3" t="str">
        <f t="shared" si="10"/>
        <v/>
      </c>
      <c r="J122" s="3" t="str">
        <f t="shared" si="11"/>
        <v/>
      </c>
      <c r="K122" s="3"/>
      <c r="L122" s="60" t="str">
        <f t="shared" si="12"/>
        <v/>
      </c>
      <c r="M122" s="40"/>
      <c r="N122" s="40"/>
      <c r="O122" s="40"/>
      <c r="P122" s="40"/>
      <c r="Q122" s="40"/>
      <c r="R122" s="40"/>
      <c r="S122" s="61" t="str">
        <f t="shared" si="15"/>
        <v/>
      </c>
      <c r="T122" s="40"/>
      <c r="U122" s="40"/>
      <c r="V122" s="40"/>
      <c r="W122" s="40"/>
      <c r="X122" s="67" t="str">
        <f t="shared" si="14"/>
        <v/>
      </c>
      <c r="Z122" s="71"/>
      <c r="AA122" s="71"/>
      <c r="AB122" s="67" t="str">
        <f t="shared" si="13"/>
        <v/>
      </c>
    </row>
    <row r="123" spans="1:28" x14ac:dyDescent="0.25">
      <c r="A123" s="59"/>
      <c r="B123" s="7"/>
      <c r="C123" s="59"/>
      <c r="D123" s="10"/>
      <c r="E123" s="40"/>
      <c r="F123" s="40"/>
      <c r="G123" s="40"/>
      <c r="H123" s="3" t="str">
        <f t="shared" si="9"/>
        <v/>
      </c>
      <c r="I123" s="3" t="str">
        <f t="shared" si="10"/>
        <v/>
      </c>
      <c r="J123" s="3" t="str">
        <f t="shared" si="11"/>
        <v/>
      </c>
      <c r="K123" s="3"/>
      <c r="L123" s="60" t="str">
        <f t="shared" si="12"/>
        <v/>
      </c>
      <c r="M123" s="40"/>
      <c r="N123" s="40"/>
      <c r="O123" s="40"/>
      <c r="P123" s="40"/>
      <c r="Q123" s="40"/>
      <c r="R123" s="40"/>
      <c r="S123" s="61" t="str">
        <f t="shared" si="15"/>
        <v/>
      </c>
      <c r="T123" s="40"/>
      <c r="U123" s="40"/>
      <c r="V123" s="40"/>
      <c r="W123" s="40"/>
      <c r="X123" s="67" t="str">
        <f t="shared" si="14"/>
        <v/>
      </c>
      <c r="Z123" s="71"/>
      <c r="AA123" s="71"/>
      <c r="AB123" s="67" t="str">
        <f t="shared" si="13"/>
        <v/>
      </c>
    </row>
    <row r="124" spans="1:28" x14ac:dyDescent="0.25">
      <c r="A124" s="59"/>
      <c r="B124" s="7"/>
      <c r="C124" s="59"/>
      <c r="D124" s="10"/>
      <c r="E124" s="40"/>
      <c r="F124" s="40"/>
      <c r="G124" s="40"/>
      <c r="H124" s="3" t="str">
        <f t="shared" si="9"/>
        <v/>
      </c>
      <c r="I124" s="3" t="str">
        <f t="shared" si="10"/>
        <v/>
      </c>
      <c r="J124" s="3" t="str">
        <f t="shared" si="11"/>
        <v/>
      </c>
      <c r="K124" s="3"/>
      <c r="L124" s="60" t="str">
        <f t="shared" si="12"/>
        <v/>
      </c>
      <c r="M124" s="40"/>
      <c r="N124" s="40"/>
      <c r="O124" s="40"/>
      <c r="P124" s="40"/>
      <c r="Q124" s="40"/>
      <c r="R124" s="40"/>
      <c r="S124" s="61" t="str">
        <f t="shared" si="15"/>
        <v/>
      </c>
      <c r="T124" s="40"/>
      <c r="U124" s="40"/>
      <c r="V124" s="40"/>
      <c r="W124" s="40"/>
      <c r="X124" s="67" t="str">
        <f t="shared" si="14"/>
        <v/>
      </c>
      <c r="Z124" s="71"/>
      <c r="AA124" s="71"/>
      <c r="AB124" s="67" t="str">
        <f t="shared" si="13"/>
        <v/>
      </c>
    </row>
    <row r="125" spans="1:28" x14ac:dyDescent="0.25">
      <c r="A125" s="59"/>
      <c r="B125" s="7"/>
      <c r="C125" s="59"/>
      <c r="D125" s="10"/>
      <c r="E125" s="40"/>
      <c r="F125" s="40"/>
      <c r="G125" s="40"/>
      <c r="H125" s="3" t="str">
        <f t="shared" si="9"/>
        <v/>
      </c>
      <c r="I125" s="3" t="str">
        <f t="shared" si="10"/>
        <v/>
      </c>
      <c r="J125" s="3" t="str">
        <f t="shared" si="11"/>
        <v/>
      </c>
      <c r="K125" s="3"/>
      <c r="L125" s="60" t="str">
        <f t="shared" si="12"/>
        <v/>
      </c>
      <c r="M125" s="40"/>
      <c r="N125" s="40"/>
      <c r="O125" s="40"/>
      <c r="P125" s="40"/>
      <c r="Q125" s="40"/>
      <c r="R125" s="40"/>
      <c r="S125" s="61" t="str">
        <f t="shared" si="15"/>
        <v/>
      </c>
      <c r="T125" s="40"/>
      <c r="U125" s="40"/>
      <c r="V125" s="40"/>
      <c r="W125" s="40"/>
      <c r="X125" s="67" t="str">
        <f t="shared" si="14"/>
        <v/>
      </c>
      <c r="Z125" s="71"/>
      <c r="AA125" s="71"/>
      <c r="AB125" s="67" t="str">
        <f t="shared" si="13"/>
        <v/>
      </c>
    </row>
    <row r="126" spans="1:28" x14ac:dyDescent="0.25">
      <c r="A126" s="59"/>
      <c r="B126" s="7"/>
      <c r="C126" s="59"/>
      <c r="D126" s="10"/>
      <c r="E126" s="40"/>
      <c r="F126" s="40"/>
      <c r="G126" s="40"/>
      <c r="H126" s="3" t="str">
        <f t="shared" si="9"/>
        <v/>
      </c>
      <c r="I126" s="3" t="str">
        <f t="shared" si="10"/>
        <v/>
      </c>
      <c r="J126" s="3" t="str">
        <f t="shared" si="11"/>
        <v/>
      </c>
      <c r="K126" s="3"/>
      <c r="L126" s="60" t="str">
        <f t="shared" si="12"/>
        <v/>
      </c>
      <c r="M126" s="40"/>
      <c r="N126" s="40"/>
      <c r="O126" s="40"/>
      <c r="P126" s="40"/>
      <c r="Q126" s="40"/>
      <c r="R126" s="40"/>
      <c r="S126" s="61" t="str">
        <f t="shared" si="15"/>
        <v/>
      </c>
      <c r="T126" s="40"/>
      <c r="U126" s="40"/>
      <c r="V126" s="40"/>
      <c r="W126" s="40"/>
      <c r="X126" s="67" t="str">
        <f t="shared" si="14"/>
        <v/>
      </c>
      <c r="Z126" s="71"/>
      <c r="AA126" s="71"/>
      <c r="AB126" s="67" t="str">
        <f t="shared" si="13"/>
        <v/>
      </c>
    </row>
    <row r="127" spans="1:28" x14ac:dyDescent="0.25">
      <c r="A127" s="59"/>
      <c r="B127" s="7"/>
      <c r="C127" s="59"/>
      <c r="D127" s="10"/>
      <c r="E127" s="40"/>
      <c r="F127" s="40"/>
      <c r="G127" s="40"/>
      <c r="H127" s="3" t="str">
        <f t="shared" si="9"/>
        <v/>
      </c>
      <c r="I127" s="3" t="str">
        <f t="shared" si="10"/>
        <v/>
      </c>
      <c r="J127" s="3" t="str">
        <f t="shared" si="11"/>
        <v/>
      </c>
      <c r="K127" s="3"/>
      <c r="L127" s="60" t="str">
        <f t="shared" si="12"/>
        <v/>
      </c>
      <c r="M127" s="40"/>
      <c r="N127" s="40"/>
      <c r="O127" s="40"/>
      <c r="P127" s="40"/>
      <c r="Q127" s="40"/>
      <c r="R127" s="40"/>
      <c r="S127" s="61" t="str">
        <f t="shared" si="15"/>
        <v/>
      </c>
      <c r="T127" s="40"/>
      <c r="U127" s="40"/>
      <c r="V127" s="40"/>
      <c r="W127" s="40"/>
      <c r="X127" s="67" t="str">
        <f t="shared" si="14"/>
        <v/>
      </c>
      <c r="Z127" s="71"/>
      <c r="AA127" s="71"/>
      <c r="AB127" s="67" t="str">
        <f t="shared" si="13"/>
        <v/>
      </c>
    </row>
    <row r="128" spans="1:28" x14ac:dyDescent="0.25">
      <c r="A128" s="59"/>
      <c r="B128" s="7"/>
      <c r="C128" s="59"/>
      <c r="D128" s="10"/>
      <c r="E128" s="40"/>
      <c r="F128" s="40"/>
      <c r="G128" s="40"/>
      <c r="H128" s="3" t="str">
        <f t="shared" si="9"/>
        <v/>
      </c>
      <c r="I128" s="3" t="str">
        <f t="shared" si="10"/>
        <v/>
      </c>
      <c r="J128" s="3" t="str">
        <f t="shared" si="11"/>
        <v/>
      </c>
      <c r="K128" s="3"/>
      <c r="L128" s="60" t="str">
        <f t="shared" si="12"/>
        <v/>
      </c>
      <c r="M128" s="40"/>
      <c r="N128" s="40"/>
      <c r="O128" s="40"/>
      <c r="P128" s="40"/>
      <c r="Q128" s="40"/>
      <c r="R128" s="40"/>
      <c r="S128" s="61" t="str">
        <f t="shared" si="15"/>
        <v/>
      </c>
      <c r="T128" s="40"/>
      <c r="U128" s="40"/>
      <c r="V128" s="40"/>
      <c r="W128" s="40"/>
      <c r="X128" s="67" t="str">
        <f t="shared" si="14"/>
        <v/>
      </c>
      <c r="Z128" s="71"/>
      <c r="AA128" s="71"/>
      <c r="AB128" s="67" t="str">
        <f t="shared" si="13"/>
        <v/>
      </c>
    </row>
    <row r="129" spans="1:28" x14ac:dyDescent="0.25">
      <c r="A129" s="59"/>
      <c r="B129" s="7"/>
      <c r="C129" s="59"/>
      <c r="D129" s="10"/>
      <c r="E129" s="40"/>
      <c r="F129" s="40"/>
      <c r="G129" s="40"/>
      <c r="H129" s="3" t="str">
        <f t="shared" si="9"/>
        <v/>
      </c>
      <c r="I129" s="3" t="str">
        <f t="shared" si="10"/>
        <v/>
      </c>
      <c r="J129" s="3" t="str">
        <f t="shared" si="11"/>
        <v/>
      </c>
      <c r="K129" s="3"/>
      <c r="L129" s="60" t="str">
        <f t="shared" si="12"/>
        <v/>
      </c>
      <c r="M129" s="40"/>
      <c r="N129" s="40"/>
      <c r="O129" s="40"/>
      <c r="P129" s="40"/>
      <c r="Q129" s="40"/>
      <c r="R129" s="40"/>
      <c r="S129" s="61" t="str">
        <f t="shared" si="15"/>
        <v/>
      </c>
      <c r="T129" s="40"/>
      <c r="U129" s="40"/>
      <c r="V129" s="40"/>
      <c r="W129" s="40"/>
      <c r="X129" s="67" t="str">
        <f t="shared" si="14"/>
        <v/>
      </c>
      <c r="Z129" s="71"/>
      <c r="AA129" s="71"/>
      <c r="AB129" s="67" t="str">
        <f t="shared" si="13"/>
        <v/>
      </c>
    </row>
    <row r="130" spans="1:28" x14ac:dyDescent="0.25">
      <c r="A130" s="59"/>
      <c r="B130" s="7"/>
      <c r="C130" s="59"/>
      <c r="D130" s="10"/>
      <c r="E130" s="40"/>
      <c r="F130" s="40"/>
      <c r="G130" s="40"/>
      <c r="H130" s="3" t="str">
        <f t="shared" si="9"/>
        <v/>
      </c>
      <c r="I130" s="3" t="str">
        <f t="shared" si="10"/>
        <v/>
      </c>
      <c r="J130" s="3" t="str">
        <f t="shared" si="11"/>
        <v/>
      </c>
      <c r="K130" s="3"/>
      <c r="L130" s="60" t="str">
        <f t="shared" si="12"/>
        <v/>
      </c>
      <c r="M130" s="40"/>
      <c r="N130" s="40"/>
      <c r="O130" s="40"/>
      <c r="P130" s="40"/>
      <c r="Q130" s="40"/>
      <c r="R130" s="40"/>
      <c r="S130" s="61" t="str">
        <f t="shared" si="15"/>
        <v/>
      </c>
      <c r="T130" s="40"/>
      <c r="U130" s="40"/>
      <c r="V130" s="40"/>
      <c r="W130" s="40"/>
      <c r="X130" s="67" t="str">
        <f t="shared" si="14"/>
        <v/>
      </c>
      <c r="Z130" s="71"/>
      <c r="AA130" s="71"/>
      <c r="AB130" s="67" t="str">
        <f t="shared" si="13"/>
        <v/>
      </c>
    </row>
    <row r="131" spans="1:28" x14ac:dyDescent="0.25">
      <c r="A131" s="59"/>
      <c r="B131" s="7"/>
      <c r="C131" s="59"/>
      <c r="D131" s="10"/>
      <c r="E131" s="40"/>
      <c r="F131" s="40"/>
      <c r="G131" s="40"/>
      <c r="H131" s="3" t="str">
        <f t="shared" si="9"/>
        <v/>
      </c>
      <c r="I131" s="3" t="str">
        <f t="shared" si="10"/>
        <v/>
      </c>
      <c r="J131" s="3" t="str">
        <f t="shared" si="11"/>
        <v/>
      </c>
      <c r="K131" s="3"/>
      <c r="L131" s="60" t="str">
        <f t="shared" si="12"/>
        <v/>
      </c>
      <c r="M131" s="40"/>
      <c r="N131" s="40"/>
      <c r="O131" s="40"/>
      <c r="P131" s="40"/>
      <c r="Q131" s="40"/>
      <c r="R131" s="40"/>
      <c r="S131" s="61" t="str">
        <f t="shared" si="15"/>
        <v/>
      </c>
      <c r="T131" s="40"/>
      <c r="U131" s="40"/>
      <c r="V131" s="40"/>
      <c r="W131" s="40"/>
      <c r="X131" s="67" t="str">
        <f t="shared" si="14"/>
        <v/>
      </c>
      <c r="Z131" s="71"/>
      <c r="AA131" s="71"/>
      <c r="AB131" s="67" t="str">
        <f t="shared" si="13"/>
        <v/>
      </c>
    </row>
    <row r="132" spans="1:28" x14ac:dyDescent="0.25">
      <c r="A132" s="35"/>
      <c r="B132" s="7"/>
      <c r="C132" s="59"/>
      <c r="D132" s="10"/>
      <c r="E132" s="40"/>
      <c r="F132" s="40"/>
      <c r="G132" s="40"/>
      <c r="H132" s="3" t="str">
        <f t="shared" si="9"/>
        <v/>
      </c>
      <c r="I132" s="3" t="str">
        <f t="shared" si="10"/>
        <v/>
      </c>
      <c r="J132" s="3" t="str">
        <f t="shared" si="11"/>
        <v/>
      </c>
      <c r="K132" s="3"/>
      <c r="L132" s="60" t="str">
        <f t="shared" si="12"/>
        <v/>
      </c>
      <c r="M132" s="40"/>
      <c r="N132" s="40"/>
      <c r="O132" s="40"/>
      <c r="P132" s="40"/>
      <c r="Q132" s="40"/>
      <c r="R132" s="40"/>
      <c r="S132" s="61" t="str">
        <f t="shared" si="15"/>
        <v/>
      </c>
      <c r="T132" s="40"/>
      <c r="U132" s="40"/>
      <c r="V132" s="40"/>
      <c r="W132" s="40"/>
      <c r="X132" s="67" t="str">
        <f t="shared" si="14"/>
        <v/>
      </c>
      <c r="Z132" s="71"/>
      <c r="AA132" s="71"/>
      <c r="AB132" s="67" t="str">
        <f t="shared" si="13"/>
        <v/>
      </c>
    </row>
    <row r="133" spans="1:28" x14ac:dyDescent="0.25">
      <c r="A133" s="59"/>
      <c r="B133" s="7"/>
      <c r="C133" s="59"/>
      <c r="D133" s="10"/>
      <c r="E133" s="40"/>
      <c r="F133" s="40"/>
      <c r="G133" s="40"/>
      <c r="H133" s="3" t="str">
        <f t="shared" ref="H133:H196" si="16">+IF(E133="","",(E133/24)*C133)</f>
        <v/>
      </c>
      <c r="I133" s="3" t="str">
        <f t="shared" ref="I133:I196" si="17">+IF(F133="","",(F133/24)*C133)</f>
        <v/>
      </c>
      <c r="J133" s="3" t="str">
        <f t="shared" ref="J133:J196" si="18">+IF(G133="","",(G133/24)*C133)</f>
        <v/>
      </c>
      <c r="K133" s="3"/>
      <c r="L133" s="60" t="str">
        <f t="shared" ref="L133:L196" si="19">+IF(C133="","",L132-(H133+I133+J133))</f>
        <v/>
      </c>
      <c r="M133" s="40"/>
      <c r="N133" s="40"/>
      <c r="O133" s="40"/>
      <c r="P133" s="40"/>
      <c r="Q133" s="40"/>
      <c r="R133" s="40"/>
      <c r="S133" s="61" t="str">
        <f t="shared" si="15"/>
        <v/>
      </c>
      <c r="T133" s="40"/>
      <c r="U133" s="40"/>
      <c r="V133" s="40"/>
      <c r="W133" s="40"/>
      <c r="X133" s="67" t="str">
        <f t="shared" si="14"/>
        <v/>
      </c>
      <c r="Z133" s="71"/>
      <c r="AA133" s="71"/>
      <c r="AB133" s="67" t="str">
        <f t="shared" ref="AB133:AB196" si="20">IF(Z133="","",Z133+AA133)</f>
        <v/>
      </c>
    </row>
    <row r="134" spans="1:28" x14ac:dyDescent="0.25">
      <c r="A134" s="59"/>
      <c r="B134" s="7"/>
      <c r="C134" s="59"/>
      <c r="D134" s="10"/>
      <c r="E134" s="40"/>
      <c r="F134" s="40"/>
      <c r="G134" s="40"/>
      <c r="H134" s="3" t="str">
        <f t="shared" si="16"/>
        <v/>
      </c>
      <c r="I134" s="3" t="str">
        <f t="shared" si="17"/>
        <v/>
      </c>
      <c r="J134" s="3" t="str">
        <f t="shared" si="18"/>
        <v/>
      </c>
      <c r="K134" s="3"/>
      <c r="L134" s="60" t="str">
        <f t="shared" si="19"/>
        <v/>
      </c>
      <c r="M134" s="40"/>
      <c r="N134" s="40"/>
      <c r="O134" s="40"/>
      <c r="P134" s="40"/>
      <c r="Q134" s="40"/>
      <c r="R134" s="40"/>
      <c r="S134" s="61" t="str">
        <f t="shared" si="15"/>
        <v/>
      </c>
      <c r="T134" s="40"/>
      <c r="U134" s="40"/>
      <c r="V134" s="40"/>
      <c r="W134" s="40"/>
      <c r="X134" s="67" t="str">
        <f t="shared" si="14"/>
        <v/>
      </c>
      <c r="Z134" s="71"/>
      <c r="AA134" s="71"/>
      <c r="AB134" s="67" t="str">
        <f t="shared" si="20"/>
        <v/>
      </c>
    </row>
    <row r="135" spans="1:28" x14ac:dyDescent="0.25">
      <c r="A135" s="59"/>
      <c r="B135" s="7"/>
      <c r="C135" s="59"/>
      <c r="D135" s="10"/>
      <c r="E135" s="40"/>
      <c r="F135" s="40"/>
      <c r="G135" s="40"/>
      <c r="H135" s="3" t="str">
        <f t="shared" si="16"/>
        <v/>
      </c>
      <c r="I135" s="3" t="str">
        <f t="shared" si="17"/>
        <v/>
      </c>
      <c r="J135" s="3" t="str">
        <f t="shared" si="18"/>
        <v/>
      </c>
      <c r="K135" s="3"/>
      <c r="L135" s="60" t="str">
        <f t="shared" si="19"/>
        <v/>
      </c>
      <c r="M135" s="40"/>
      <c r="N135" s="40"/>
      <c r="O135" s="40"/>
      <c r="P135" s="40"/>
      <c r="Q135" s="40"/>
      <c r="R135" s="40"/>
      <c r="S135" s="61" t="str">
        <f t="shared" si="15"/>
        <v/>
      </c>
      <c r="T135" s="40"/>
      <c r="U135" s="40"/>
      <c r="V135" s="40"/>
      <c r="W135" s="40"/>
      <c r="X135" s="67" t="str">
        <f t="shared" si="14"/>
        <v/>
      </c>
      <c r="Z135" s="71"/>
      <c r="AA135" s="71"/>
      <c r="AB135" s="67" t="str">
        <f t="shared" si="20"/>
        <v/>
      </c>
    </row>
    <row r="136" spans="1:28" x14ac:dyDescent="0.25">
      <c r="A136" s="59"/>
      <c r="B136" s="7"/>
      <c r="C136" s="59"/>
      <c r="D136" s="10"/>
      <c r="E136" s="40"/>
      <c r="F136" s="40"/>
      <c r="G136" s="40"/>
      <c r="H136" s="3" t="str">
        <f t="shared" si="16"/>
        <v/>
      </c>
      <c r="I136" s="3" t="str">
        <f t="shared" si="17"/>
        <v/>
      </c>
      <c r="J136" s="3" t="str">
        <f t="shared" si="18"/>
        <v/>
      </c>
      <c r="K136" s="3"/>
      <c r="L136" s="60" t="str">
        <f t="shared" si="19"/>
        <v/>
      </c>
      <c r="M136" s="40"/>
      <c r="N136" s="40"/>
      <c r="O136" s="40"/>
      <c r="P136" s="40"/>
      <c r="Q136" s="40"/>
      <c r="R136" s="40"/>
      <c r="S136" s="61" t="str">
        <f t="shared" si="15"/>
        <v/>
      </c>
      <c r="T136" s="40"/>
      <c r="U136" s="40"/>
      <c r="V136" s="40"/>
      <c r="W136" s="40"/>
      <c r="X136" s="67" t="str">
        <f t="shared" ref="X136:X199" si="21">IF(V136="","",((X135+T136+U136)-(V136+W136)))</f>
        <v/>
      </c>
      <c r="Z136" s="71"/>
      <c r="AA136" s="71"/>
      <c r="AB136" s="67" t="str">
        <f t="shared" si="20"/>
        <v/>
      </c>
    </row>
    <row r="137" spans="1:28" x14ac:dyDescent="0.25">
      <c r="A137" s="59"/>
      <c r="B137" s="7"/>
      <c r="C137" s="59"/>
      <c r="D137" s="10"/>
      <c r="E137" s="40"/>
      <c r="F137" s="40"/>
      <c r="G137" s="40"/>
      <c r="H137" s="3" t="str">
        <f t="shared" si="16"/>
        <v/>
      </c>
      <c r="I137" s="3" t="str">
        <f t="shared" si="17"/>
        <v/>
      </c>
      <c r="J137" s="3" t="str">
        <f t="shared" si="18"/>
        <v/>
      </c>
      <c r="K137" s="3"/>
      <c r="L137" s="60" t="str">
        <f t="shared" si="19"/>
        <v/>
      </c>
      <c r="M137" s="40"/>
      <c r="N137" s="40"/>
      <c r="O137" s="40"/>
      <c r="P137" s="40"/>
      <c r="Q137" s="40"/>
      <c r="R137" s="40"/>
      <c r="S137" s="61" t="str">
        <f t="shared" si="15"/>
        <v/>
      </c>
      <c r="T137" s="40"/>
      <c r="U137" s="40"/>
      <c r="V137" s="40"/>
      <c r="W137" s="40"/>
      <c r="X137" s="67" t="str">
        <f t="shared" si="21"/>
        <v/>
      </c>
      <c r="Z137" s="71"/>
      <c r="AA137" s="71"/>
      <c r="AB137" s="67" t="str">
        <f t="shared" si="20"/>
        <v/>
      </c>
    </row>
    <row r="138" spans="1:28" x14ac:dyDescent="0.25">
      <c r="A138" s="36"/>
      <c r="B138" s="7"/>
      <c r="C138" s="59"/>
      <c r="D138" s="10"/>
      <c r="E138" s="40"/>
      <c r="F138" s="40"/>
      <c r="G138" s="40"/>
      <c r="H138" s="3" t="str">
        <f t="shared" si="16"/>
        <v/>
      </c>
      <c r="I138" s="3" t="str">
        <f t="shared" si="17"/>
        <v/>
      </c>
      <c r="J138" s="3" t="str">
        <f t="shared" si="18"/>
        <v/>
      </c>
      <c r="K138" s="3"/>
      <c r="L138" s="60" t="str">
        <f t="shared" si="19"/>
        <v/>
      </c>
      <c r="M138" s="40"/>
      <c r="N138" s="40"/>
      <c r="O138" s="40"/>
      <c r="P138" s="40"/>
      <c r="Q138" s="40"/>
      <c r="R138" s="40"/>
      <c r="S138" s="61" t="str">
        <f t="shared" si="15"/>
        <v/>
      </c>
      <c r="T138" s="40"/>
      <c r="U138" s="40"/>
      <c r="V138" s="40"/>
      <c r="W138" s="40"/>
      <c r="X138" s="67" t="str">
        <f t="shared" si="21"/>
        <v/>
      </c>
      <c r="Z138" s="71"/>
      <c r="AA138" s="71"/>
      <c r="AB138" s="67" t="str">
        <f t="shared" si="20"/>
        <v/>
      </c>
    </row>
    <row r="139" spans="1:28" x14ac:dyDescent="0.25">
      <c r="A139" s="36"/>
      <c r="B139" s="7"/>
      <c r="C139" s="59"/>
      <c r="D139" s="10"/>
      <c r="E139" s="40"/>
      <c r="F139" s="40"/>
      <c r="G139" s="40"/>
      <c r="H139" s="3" t="str">
        <f t="shared" si="16"/>
        <v/>
      </c>
      <c r="I139" s="3" t="str">
        <f t="shared" si="17"/>
        <v/>
      </c>
      <c r="J139" s="3" t="str">
        <f t="shared" si="18"/>
        <v/>
      </c>
      <c r="K139" s="3"/>
      <c r="L139" s="60" t="str">
        <f t="shared" si="19"/>
        <v/>
      </c>
      <c r="M139" s="40"/>
      <c r="N139" s="40"/>
      <c r="O139" s="40"/>
      <c r="P139" s="40"/>
      <c r="Q139" s="40"/>
      <c r="R139" s="40"/>
      <c r="S139" s="61" t="str">
        <f t="shared" si="15"/>
        <v/>
      </c>
      <c r="T139" s="40"/>
      <c r="U139" s="40"/>
      <c r="V139" s="40"/>
      <c r="W139" s="40"/>
      <c r="X139" s="67" t="str">
        <f t="shared" si="21"/>
        <v/>
      </c>
      <c r="Z139" s="71"/>
      <c r="AA139" s="71"/>
      <c r="AB139" s="67" t="str">
        <f t="shared" si="20"/>
        <v/>
      </c>
    </row>
    <row r="140" spans="1:28" x14ac:dyDescent="0.25">
      <c r="A140" s="59"/>
      <c r="B140" s="7"/>
      <c r="C140" s="59"/>
      <c r="D140" s="10"/>
      <c r="E140" s="40"/>
      <c r="F140" s="40"/>
      <c r="G140" s="40"/>
      <c r="H140" s="3" t="str">
        <f t="shared" si="16"/>
        <v/>
      </c>
      <c r="I140" s="3" t="str">
        <f t="shared" si="17"/>
        <v/>
      </c>
      <c r="J140" s="3" t="str">
        <f t="shared" si="18"/>
        <v/>
      </c>
      <c r="K140" s="3"/>
      <c r="L140" s="60" t="str">
        <f t="shared" si="19"/>
        <v/>
      </c>
      <c r="M140" s="40"/>
      <c r="N140" s="40"/>
      <c r="O140" s="40"/>
      <c r="P140" s="40"/>
      <c r="Q140" s="40"/>
      <c r="R140" s="40"/>
      <c r="S140" s="61" t="str">
        <f t="shared" si="15"/>
        <v/>
      </c>
      <c r="T140" s="40"/>
      <c r="U140" s="40"/>
      <c r="V140" s="40"/>
      <c r="W140" s="40"/>
      <c r="X140" s="67" t="str">
        <f t="shared" si="21"/>
        <v/>
      </c>
      <c r="Z140" s="71"/>
      <c r="AA140" s="71"/>
      <c r="AB140" s="67" t="str">
        <f t="shared" si="20"/>
        <v/>
      </c>
    </row>
    <row r="141" spans="1:28" x14ac:dyDescent="0.25">
      <c r="A141" s="59"/>
      <c r="B141" s="7"/>
      <c r="C141" s="59"/>
      <c r="D141" s="10"/>
      <c r="E141" s="40"/>
      <c r="F141" s="40"/>
      <c r="G141" s="40"/>
      <c r="H141" s="3" t="str">
        <f t="shared" si="16"/>
        <v/>
      </c>
      <c r="I141" s="3" t="str">
        <f t="shared" si="17"/>
        <v/>
      </c>
      <c r="J141" s="3" t="str">
        <f t="shared" si="18"/>
        <v/>
      </c>
      <c r="K141" s="3"/>
      <c r="L141" s="60" t="str">
        <f t="shared" si="19"/>
        <v/>
      </c>
      <c r="M141" s="40"/>
      <c r="N141" s="40"/>
      <c r="O141" s="40"/>
      <c r="P141" s="40"/>
      <c r="Q141" s="40"/>
      <c r="R141" s="40"/>
      <c r="S141" s="61" t="str">
        <f t="shared" si="15"/>
        <v/>
      </c>
      <c r="T141" s="40"/>
      <c r="U141" s="40"/>
      <c r="V141" s="40"/>
      <c r="W141" s="40"/>
      <c r="X141" s="67" t="str">
        <f t="shared" si="21"/>
        <v/>
      </c>
      <c r="Z141" s="71"/>
      <c r="AA141" s="71"/>
      <c r="AB141" s="67" t="str">
        <f t="shared" si="20"/>
        <v/>
      </c>
    </row>
    <row r="142" spans="1:28" x14ac:dyDescent="0.25">
      <c r="A142" s="59"/>
      <c r="B142" s="7"/>
      <c r="C142" s="59"/>
      <c r="D142" s="10"/>
      <c r="E142" s="40"/>
      <c r="F142" s="40"/>
      <c r="G142" s="40"/>
      <c r="H142" s="3" t="str">
        <f t="shared" si="16"/>
        <v/>
      </c>
      <c r="I142" s="3" t="str">
        <f t="shared" si="17"/>
        <v/>
      </c>
      <c r="J142" s="3" t="str">
        <f t="shared" si="18"/>
        <v/>
      </c>
      <c r="K142" s="3"/>
      <c r="L142" s="60" t="str">
        <f t="shared" si="19"/>
        <v/>
      </c>
      <c r="M142" s="40"/>
      <c r="N142" s="40"/>
      <c r="O142" s="40"/>
      <c r="P142" s="40"/>
      <c r="Q142" s="40"/>
      <c r="R142" s="40"/>
      <c r="S142" s="61" t="str">
        <f t="shared" si="15"/>
        <v/>
      </c>
      <c r="T142" s="40"/>
      <c r="U142" s="40"/>
      <c r="V142" s="40"/>
      <c r="W142" s="40"/>
      <c r="X142" s="67" t="str">
        <f t="shared" si="21"/>
        <v/>
      </c>
      <c r="Z142" s="71"/>
      <c r="AA142" s="71"/>
      <c r="AB142" s="67" t="str">
        <f t="shared" si="20"/>
        <v/>
      </c>
    </row>
    <row r="143" spans="1:28" x14ac:dyDescent="0.25">
      <c r="A143" s="59"/>
      <c r="B143" s="7"/>
      <c r="C143" s="59"/>
      <c r="D143" s="10"/>
      <c r="E143" s="40"/>
      <c r="F143" s="40"/>
      <c r="G143" s="40"/>
      <c r="H143" s="3" t="str">
        <f t="shared" si="16"/>
        <v/>
      </c>
      <c r="I143" s="3" t="str">
        <f t="shared" si="17"/>
        <v/>
      </c>
      <c r="J143" s="3" t="str">
        <f t="shared" si="18"/>
        <v/>
      </c>
      <c r="K143" s="3"/>
      <c r="L143" s="60" t="str">
        <f t="shared" si="19"/>
        <v/>
      </c>
      <c r="M143" s="40"/>
      <c r="N143" s="40"/>
      <c r="O143" s="40"/>
      <c r="P143" s="40"/>
      <c r="Q143" s="40"/>
      <c r="R143" s="40"/>
      <c r="S143" s="61" t="str">
        <f t="shared" si="15"/>
        <v/>
      </c>
      <c r="T143" s="40"/>
      <c r="U143" s="40"/>
      <c r="V143" s="40"/>
      <c r="W143" s="40"/>
      <c r="X143" s="67" t="str">
        <f t="shared" si="21"/>
        <v/>
      </c>
      <c r="Z143" s="71"/>
      <c r="AA143" s="71"/>
      <c r="AB143" s="67" t="str">
        <f t="shared" si="20"/>
        <v/>
      </c>
    </row>
    <row r="144" spans="1:28" x14ac:dyDescent="0.25">
      <c r="A144" s="59"/>
      <c r="B144" s="7"/>
      <c r="C144" s="59"/>
      <c r="D144" s="10"/>
      <c r="E144" s="40"/>
      <c r="F144" s="40"/>
      <c r="G144" s="40"/>
      <c r="H144" s="3" t="str">
        <f t="shared" si="16"/>
        <v/>
      </c>
      <c r="I144" s="3" t="str">
        <f t="shared" si="17"/>
        <v/>
      </c>
      <c r="J144" s="3" t="str">
        <f t="shared" si="18"/>
        <v/>
      </c>
      <c r="K144" s="3"/>
      <c r="L144" s="60" t="str">
        <f t="shared" si="19"/>
        <v/>
      </c>
      <c r="M144" s="40"/>
      <c r="N144" s="40"/>
      <c r="O144" s="40"/>
      <c r="P144" s="40"/>
      <c r="Q144" s="40"/>
      <c r="R144" s="40"/>
      <c r="S144" s="61" t="str">
        <f t="shared" si="15"/>
        <v/>
      </c>
      <c r="T144" s="40"/>
      <c r="U144" s="40"/>
      <c r="V144" s="40"/>
      <c r="W144" s="40"/>
      <c r="X144" s="67" t="str">
        <f t="shared" si="21"/>
        <v/>
      </c>
      <c r="Z144" s="71"/>
      <c r="AA144" s="71"/>
      <c r="AB144" s="67" t="str">
        <f t="shared" si="20"/>
        <v/>
      </c>
    </row>
    <row r="145" spans="1:28" x14ac:dyDescent="0.25">
      <c r="A145" s="59"/>
      <c r="B145" s="7"/>
      <c r="C145" s="59"/>
      <c r="D145" s="10"/>
      <c r="E145" s="40"/>
      <c r="F145" s="40"/>
      <c r="G145" s="40"/>
      <c r="H145" s="3" t="str">
        <f t="shared" si="16"/>
        <v/>
      </c>
      <c r="I145" s="3" t="str">
        <f t="shared" si="17"/>
        <v/>
      </c>
      <c r="J145" s="3" t="str">
        <f t="shared" si="18"/>
        <v/>
      </c>
      <c r="K145" s="3"/>
      <c r="L145" s="60" t="str">
        <f t="shared" si="19"/>
        <v/>
      </c>
      <c r="M145" s="40"/>
      <c r="N145" s="40"/>
      <c r="O145" s="40"/>
      <c r="P145" s="40"/>
      <c r="Q145" s="40"/>
      <c r="R145" s="40"/>
      <c r="S145" s="61" t="str">
        <f t="shared" si="15"/>
        <v/>
      </c>
      <c r="T145" s="40"/>
      <c r="U145" s="40"/>
      <c r="V145" s="40"/>
      <c r="W145" s="40"/>
      <c r="X145" s="67" t="str">
        <f t="shared" si="21"/>
        <v/>
      </c>
      <c r="Z145" s="71"/>
      <c r="AA145" s="71"/>
      <c r="AB145" s="67" t="str">
        <f t="shared" si="20"/>
        <v/>
      </c>
    </row>
    <row r="146" spans="1:28" x14ac:dyDescent="0.25">
      <c r="A146" s="59"/>
      <c r="B146" s="7"/>
      <c r="C146" s="59"/>
      <c r="D146" s="10"/>
      <c r="E146" s="40"/>
      <c r="F146" s="40"/>
      <c r="G146" s="40"/>
      <c r="H146" s="3" t="str">
        <f t="shared" si="16"/>
        <v/>
      </c>
      <c r="I146" s="3" t="str">
        <f t="shared" si="17"/>
        <v/>
      </c>
      <c r="J146" s="3" t="str">
        <f t="shared" si="18"/>
        <v/>
      </c>
      <c r="K146" s="3"/>
      <c r="L146" s="60" t="str">
        <f t="shared" si="19"/>
        <v/>
      </c>
      <c r="M146" s="40"/>
      <c r="N146" s="40"/>
      <c r="O146" s="40"/>
      <c r="P146" s="40"/>
      <c r="Q146" s="40"/>
      <c r="R146" s="40"/>
      <c r="S146" s="61" t="str">
        <f t="shared" si="15"/>
        <v/>
      </c>
      <c r="T146" s="40"/>
      <c r="U146" s="40"/>
      <c r="V146" s="40"/>
      <c r="W146" s="40"/>
      <c r="X146" s="67" t="str">
        <f t="shared" si="21"/>
        <v/>
      </c>
      <c r="Z146" s="71"/>
      <c r="AA146" s="71"/>
      <c r="AB146" s="67" t="str">
        <f t="shared" si="20"/>
        <v/>
      </c>
    </row>
    <row r="147" spans="1:28" x14ac:dyDescent="0.25">
      <c r="A147" s="59"/>
      <c r="B147" s="7"/>
      <c r="C147" s="59"/>
      <c r="D147" s="10"/>
      <c r="E147" s="40"/>
      <c r="F147" s="40"/>
      <c r="G147" s="40"/>
      <c r="H147" s="3" t="str">
        <f t="shared" si="16"/>
        <v/>
      </c>
      <c r="I147" s="3" t="str">
        <f t="shared" si="17"/>
        <v/>
      </c>
      <c r="J147" s="3" t="str">
        <f t="shared" si="18"/>
        <v/>
      </c>
      <c r="K147" s="3"/>
      <c r="L147" s="60" t="str">
        <f t="shared" si="19"/>
        <v/>
      </c>
      <c r="M147" s="40"/>
      <c r="N147" s="40"/>
      <c r="O147" s="40"/>
      <c r="P147" s="40"/>
      <c r="Q147" s="40"/>
      <c r="R147" s="40"/>
      <c r="S147" s="61" t="str">
        <f t="shared" si="15"/>
        <v/>
      </c>
      <c r="T147" s="40"/>
      <c r="U147" s="40"/>
      <c r="V147" s="40"/>
      <c r="W147" s="40"/>
      <c r="X147" s="67" t="str">
        <f t="shared" si="21"/>
        <v/>
      </c>
      <c r="Z147" s="71"/>
      <c r="AA147" s="71"/>
      <c r="AB147" s="67" t="str">
        <f t="shared" si="20"/>
        <v/>
      </c>
    </row>
    <row r="148" spans="1:28" x14ac:dyDescent="0.25">
      <c r="A148" s="59"/>
      <c r="B148" s="7"/>
      <c r="C148" s="59"/>
      <c r="D148" s="10"/>
      <c r="E148" s="40"/>
      <c r="F148" s="40"/>
      <c r="G148" s="40"/>
      <c r="H148" s="3" t="str">
        <f t="shared" si="16"/>
        <v/>
      </c>
      <c r="I148" s="3" t="str">
        <f t="shared" si="17"/>
        <v/>
      </c>
      <c r="J148" s="3" t="str">
        <f t="shared" si="18"/>
        <v/>
      </c>
      <c r="K148" s="3"/>
      <c r="L148" s="60" t="str">
        <f t="shared" si="19"/>
        <v/>
      </c>
      <c r="M148" s="40"/>
      <c r="N148" s="40"/>
      <c r="O148" s="40"/>
      <c r="P148" s="40"/>
      <c r="Q148" s="40"/>
      <c r="R148" s="40"/>
      <c r="S148" s="61" t="str">
        <f t="shared" si="15"/>
        <v/>
      </c>
      <c r="T148" s="40"/>
      <c r="U148" s="40"/>
      <c r="V148" s="40"/>
      <c r="W148" s="40"/>
      <c r="X148" s="67" t="str">
        <f t="shared" si="21"/>
        <v/>
      </c>
      <c r="Z148" s="71"/>
      <c r="AA148" s="71"/>
      <c r="AB148" s="67" t="str">
        <f t="shared" si="20"/>
        <v/>
      </c>
    </row>
    <row r="149" spans="1:28" x14ac:dyDescent="0.25">
      <c r="A149" s="59"/>
      <c r="B149" s="7"/>
      <c r="C149" s="59"/>
      <c r="D149" s="10"/>
      <c r="E149" s="40"/>
      <c r="F149" s="40"/>
      <c r="G149" s="40"/>
      <c r="H149" s="3" t="str">
        <f t="shared" si="16"/>
        <v/>
      </c>
      <c r="I149" s="3" t="str">
        <f t="shared" si="17"/>
        <v/>
      </c>
      <c r="J149" s="3" t="str">
        <f t="shared" si="18"/>
        <v/>
      </c>
      <c r="K149" s="3"/>
      <c r="L149" s="60" t="str">
        <f t="shared" si="19"/>
        <v/>
      </c>
      <c r="M149" s="40"/>
      <c r="N149" s="40"/>
      <c r="O149" s="40"/>
      <c r="P149" s="40"/>
      <c r="Q149" s="40"/>
      <c r="R149" s="40"/>
      <c r="S149" s="61" t="str">
        <f t="shared" si="15"/>
        <v/>
      </c>
      <c r="T149" s="40"/>
      <c r="U149" s="40"/>
      <c r="V149" s="40"/>
      <c r="W149" s="40"/>
      <c r="X149" s="67" t="str">
        <f t="shared" si="21"/>
        <v/>
      </c>
      <c r="Z149" s="71"/>
      <c r="AA149" s="71"/>
      <c r="AB149" s="67" t="str">
        <f t="shared" si="20"/>
        <v/>
      </c>
    </row>
    <row r="150" spans="1:28" x14ac:dyDescent="0.25">
      <c r="A150" s="59"/>
      <c r="B150" s="7"/>
      <c r="C150" s="59"/>
      <c r="D150" s="10"/>
      <c r="E150" s="40"/>
      <c r="F150" s="40"/>
      <c r="G150" s="40"/>
      <c r="H150" s="3" t="str">
        <f t="shared" si="16"/>
        <v/>
      </c>
      <c r="I150" s="3" t="str">
        <f t="shared" si="17"/>
        <v/>
      </c>
      <c r="J150" s="3" t="str">
        <f t="shared" si="18"/>
        <v/>
      </c>
      <c r="K150" s="3"/>
      <c r="L150" s="60" t="str">
        <f t="shared" si="19"/>
        <v/>
      </c>
      <c r="M150" s="40"/>
      <c r="N150" s="40"/>
      <c r="O150" s="40"/>
      <c r="P150" s="40"/>
      <c r="Q150" s="40"/>
      <c r="R150" s="40"/>
      <c r="S150" s="61" t="str">
        <f t="shared" si="15"/>
        <v/>
      </c>
      <c r="T150" s="40"/>
      <c r="U150" s="40"/>
      <c r="V150" s="40"/>
      <c r="W150" s="40"/>
      <c r="X150" s="67" t="str">
        <f t="shared" si="21"/>
        <v/>
      </c>
      <c r="Z150" s="71"/>
      <c r="AA150" s="71"/>
      <c r="AB150" s="67" t="str">
        <f t="shared" si="20"/>
        <v/>
      </c>
    </row>
    <row r="151" spans="1:28" x14ac:dyDescent="0.25">
      <c r="A151" s="59"/>
      <c r="B151" s="7"/>
      <c r="C151" s="59"/>
      <c r="D151" s="10"/>
      <c r="E151" s="40"/>
      <c r="F151" s="40"/>
      <c r="G151" s="40"/>
      <c r="H151" s="3" t="str">
        <f t="shared" si="16"/>
        <v/>
      </c>
      <c r="I151" s="3" t="str">
        <f t="shared" si="17"/>
        <v/>
      </c>
      <c r="J151" s="3" t="str">
        <f t="shared" si="18"/>
        <v/>
      </c>
      <c r="K151" s="3"/>
      <c r="L151" s="60" t="str">
        <f t="shared" si="19"/>
        <v/>
      </c>
      <c r="M151" s="40"/>
      <c r="N151" s="40"/>
      <c r="O151" s="40"/>
      <c r="P151" s="40"/>
      <c r="Q151" s="40"/>
      <c r="R151" s="40"/>
      <c r="S151" s="61" t="str">
        <f t="shared" si="15"/>
        <v/>
      </c>
      <c r="T151" s="40"/>
      <c r="U151" s="40"/>
      <c r="V151" s="40"/>
      <c r="W151" s="40"/>
      <c r="X151" s="67" t="str">
        <f t="shared" si="21"/>
        <v/>
      </c>
      <c r="Z151" s="71"/>
      <c r="AA151" s="71"/>
      <c r="AB151" s="67" t="str">
        <f t="shared" si="20"/>
        <v/>
      </c>
    </row>
    <row r="152" spans="1:28" x14ac:dyDescent="0.25">
      <c r="A152" s="59"/>
      <c r="B152" s="7"/>
      <c r="C152" s="59"/>
      <c r="D152" s="10"/>
      <c r="E152" s="40"/>
      <c r="F152" s="40"/>
      <c r="G152" s="40"/>
      <c r="H152" s="3" t="str">
        <f t="shared" si="16"/>
        <v/>
      </c>
      <c r="I152" s="3" t="str">
        <f t="shared" si="17"/>
        <v/>
      </c>
      <c r="J152" s="3" t="str">
        <f t="shared" si="18"/>
        <v/>
      </c>
      <c r="K152" s="3"/>
      <c r="L152" s="60" t="str">
        <f t="shared" si="19"/>
        <v/>
      </c>
      <c r="M152" s="40"/>
      <c r="N152" s="40"/>
      <c r="O152" s="40"/>
      <c r="P152" s="40"/>
      <c r="Q152" s="40"/>
      <c r="R152" s="40"/>
      <c r="S152" s="61"/>
      <c r="T152" s="40"/>
      <c r="U152" s="40"/>
      <c r="V152" s="40"/>
      <c r="W152" s="40"/>
      <c r="X152" s="67"/>
      <c r="Z152" s="71"/>
      <c r="AA152" s="71"/>
      <c r="AB152" s="67" t="str">
        <f t="shared" si="20"/>
        <v/>
      </c>
    </row>
    <row r="153" spans="1:28" x14ac:dyDescent="0.25">
      <c r="A153" s="59"/>
      <c r="B153" s="7"/>
      <c r="C153" s="59"/>
      <c r="D153" s="10"/>
      <c r="E153" s="40"/>
      <c r="F153" s="40"/>
      <c r="G153" s="40"/>
      <c r="H153" s="3" t="str">
        <f t="shared" si="16"/>
        <v/>
      </c>
      <c r="I153" s="3" t="str">
        <f t="shared" si="17"/>
        <v/>
      </c>
      <c r="J153" s="3" t="str">
        <f t="shared" si="18"/>
        <v/>
      </c>
      <c r="K153" s="3"/>
      <c r="L153" s="60" t="str">
        <f t="shared" si="19"/>
        <v/>
      </c>
      <c r="M153" s="40"/>
      <c r="N153" s="40"/>
      <c r="O153" s="40"/>
      <c r="P153" s="40"/>
      <c r="Q153" s="40"/>
      <c r="R153" s="40"/>
      <c r="S153" s="61" t="str">
        <f>IF(C153="","",(S151+R153)-(M153+N153+O153+P153+Q153))</f>
        <v/>
      </c>
      <c r="T153" s="40"/>
      <c r="U153" s="40"/>
      <c r="V153" s="40"/>
      <c r="W153" s="40"/>
      <c r="X153" s="67" t="str">
        <f>IF(V153="","",((X151+T153+U153)-(V153+W153)))</f>
        <v/>
      </c>
      <c r="Z153" s="71"/>
      <c r="AA153" s="71"/>
      <c r="AB153" s="67" t="str">
        <f t="shared" si="20"/>
        <v/>
      </c>
    </row>
    <row r="154" spans="1:28" x14ac:dyDescent="0.25">
      <c r="A154" s="59"/>
      <c r="B154" s="7"/>
      <c r="C154" s="59"/>
      <c r="D154" s="10"/>
      <c r="E154" s="40"/>
      <c r="F154" s="40"/>
      <c r="G154" s="40"/>
      <c r="H154" s="3" t="str">
        <f t="shared" si="16"/>
        <v/>
      </c>
      <c r="I154" s="3" t="str">
        <f t="shared" si="17"/>
        <v/>
      </c>
      <c r="J154" s="3" t="str">
        <f t="shared" si="18"/>
        <v/>
      </c>
      <c r="K154" s="3"/>
      <c r="L154" s="60" t="str">
        <f t="shared" si="19"/>
        <v/>
      </c>
      <c r="M154" s="40"/>
      <c r="N154" s="40"/>
      <c r="O154" s="40"/>
      <c r="P154" s="40"/>
      <c r="Q154" s="40"/>
      <c r="R154" s="40"/>
      <c r="S154" s="61" t="str">
        <f t="shared" si="15"/>
        <v/>
      </c>
      <c r="T154" s="40"/>
      <c r="U154" s="40"/>
      <c r="V154" s="40"/>
      <c r="W154" s="40"/>
      <c r="X154" s="67" t="str">
        <f t="shared" si="21"/>
        <v/>
      </c>
      <c r="Z154" s="71"/>
      <c r="AA154" s="71"/>
      <c r="AB154" s="67" t="str">
        <f t="shared" si="20"/>
        <v/>
      </c>
    </row>
    <row r="155" spans="1:28" x14ac:dyDescent="0.25">
      <c r="A155" s="59"/>
      <c r="B155" s="7"/>
      <c r="C155" s="59"/>
      <c r="D155" s="10"/>
      <c r="E155" s="40"/>
      <c r="F155" s="40"/>
      <c r="G155" s="40"/>
      <c r="H155" s="3" t="str">
        <f t="shared" si="16"/>
        <v/>
      </c>
      <c r="I155" s="3" t="str">
        <f t="shared" si="17"/>
        <v/>
      </c>
      <c r="J155" s="3" t="str">
        <f t="shared" si="18"/>
        <v/>
      </c>
      <c r="K155" s="3"/>
      <c r="L155" s="60" t="str">
        <f t="shared" si="19"/>
        <v/>
      </c>
      <c r="M155" s="40"/>
      <c r="N155" s="40"/>
      <c r="O155" s="40"/>
      <c r="P155" s="40"/>
      <c r="Q155" s="40"/>
      <c r="R155" s="40"/>
      <c r="S155" s="61" t="str">
        <f t="shared" si="15"/>
        <v/>
      </c>
      <c r="T155" s="40"/>
      <c r="U155" s="40"/>
      <c r="V155" s="40"/>
      <c r="W155" s="40"/>
      <c r="X155" s="67" t="str">
        <f t="shared" si="21"/>
        <v/>
      </c>
      <c r="Z155" s="71"/>
      <c r="AA155" s="71"/>
      <c r="AB155" s="67" t="str">
        <f t="shared" si="20"/>
        <v/>
      </c>
    </row>
    <row r="156" spans="1:28" x14ac:dyDescent="0.25">
      <c r="A156" s="59"/>
      <c r="B156" s="7"/>
      <c r="C156" s="59"/>
      <c r="D156" s="10"/>
      <c r="E156" s="40"/>
      <c r="F156" s="40"/>
      <c r="G156" s="40"/>
      <c r="H156" s="3" t="str">
        <f t="shared" si="16"/>
        <v/>
      </c>
      <c r="I156" s="3" t="str">
        <f t="shared" si="17"/>
        <v/>
      </c>
      <c r="J156" s="3" t="str">
        <f t="shared" si="18"/>
        <v/>
      </c>
      <c r="K156" s="3"/>
      <c r="L156" s="60" t="str">
        <f t="shared" si="19"/>
        <v/>
      </c>
      <c r="M156" s="40"/>
      <c r="N156" s="40"/>
      <c r="O156" s="40"/>
      <c r="P156" s="40"/>
      <c r="Q156" s="40"/>
      <c r="R156" s="40"/>
      <c r="S156" s="61" t="str">
        <f t="shared" si="15"/>
        <v/>
      </c>
      <c r="T156" s="40"/>
      <c r="U156" s="40"/>
      <c r="V156" s="40"/>
      <c r="W156" s="40"/>
      <c r="X156" s="67" t="str">
        <f t="shared" si="21"/>
        <v/>
      </c>
      <c r="Z156" s="71"/>
      <c r="AA156" s="71"/>
      <c r="AB156" s="67" t="str">
        <f t="shared" si="20"/>
        <v/>
      </c>
    </row>
    <row r="157" spans="1:28" x14ac:dyDescent="0.25">
      <c r="A157" s="59"/>
      <c r="B157" s="7"/>
      <c r="C157" s="59"/>
      <c r="D157" s="10"/>
      <c r="E157" s="40"/>
      <c r="F157" s="40"/>
      <c r="G157" s="40"/>
      <c r="H157" s="3" t="str">
        <f t="shared" si="16"/>
        <v/>
      </c>
      <c r="I157" s="3" t="str">
        <f t="shared" si="17"/>
        <v/>
      </c>
      <c r="J157" s="3" t="str">
        <f t="shared" si="18"/>
        <v/>
      </c>
      <c r="K157" s="3"/>
      <c r="L157" s="60" t="str">
        <f t="shared" si="19"/>
        <v/>
      </c>
      <c r="M157" s="40"/>
      <c r="N157" s="40"/>
      <c r="O157" s="40"/>
      <c r="P157" s="40"/>
      <c r="Q157" s="40"/>
      <c r="R157" s="40"/>
      <c r="S157" s="61" t="str">
        <f t="shared" si="15"/>
        <v/>
      </c>
      <c r="T157" s="40"/>
      <c r="U157" s="40"/>
      <c r="V157" s="40"/>
      <c r="W157" s="40"/>
      <c r="X157" s="67" t="str">
        <f t="shared" si="21"/>
        <v/>
      </c>
      <c r="Z157" s="71"/>
      <c r="AA157" s="71"/>
      <c r="AB157" s="67" t="str">
        <f t="shared" si="20"/>
        <v/>
      </c>
    </row>
    <row r="158" spans="1:28" x14ac:dyDescent="0.25">
      <c r="A158" s="59"/>
      <c r="B158" s="7"/>
      <c r="C158" s="59"/>
      <c r="D158" s="10"/>
      <c r="E158" s="40"/>
      <c r="F158" s="40"/>
      <c r="G158" s="40"/>
      <c r="H158" s="3" t="str">
        <f t="shared" si="16"/>
        <v/>
      </c>
      <c r="I158" s="3" t="str">
        <f t="shared" si="17"/>
        <v/>
      </c>
      <c r="J158" s="3" t="str">
        <f t="shared" si="18"/>
        <v/>
      </c>
      <c r="K158" s="3"/>
      <c r="L158" s="60" t="str">
        <f t="shared" si="19"/>
        <v/>
      </c>
      <c r="M158" s="40"/>
      <c r="N158" s="40"/>
      <c r="O158" s="40"/>
      <c r="P158" s="40"/>
      <c r="Q158" s="40"/>
      <c r="R158" s="40"/>
      <c r="S158" s="61" t="str">
        <f t="shared" si="15"/>
        <v/>
      </c>
      <c r="T158" s="40"/>
      <c r="U158" s="40"/>
      <c r="V158" s="40"/>
      <c r="W158" s="40"/>
      <c r="X158" s="67" t="str">
        <f t="shared" si="21"/>
        <v/>
      </c>
      <c r="Z158" s="71"/>
      <c r="AA158" s="71"/>
      <c r="AB158" s="67" t="str">
        <f t="shared" si="20"/>
        <v/>
      </c>
    </row>
    <row r="159" spans="1:28" x14ac:dyDescent="0.25">
      <c r="A159" s="59"/>
      <c r="B159" s="7"/>
      <c r="C159" s="59"/>
      <c r="D159" s="10"/>
      <c r="E159" s="40"/>
      <c r="F159" s="40"/>
      <c r="G159" s="40"/>
      <c r="H159" s="3" t="str">
        <f t="shared" si="16"/>
        <v/>
      </c>
      <c r="I159" s="3" t="str">
        <f t="shared" si="17"/>
        <v/>
      </c>
      <c r="J159" s="3" t="str">
        <f t="shared" si="18"/>
        <v/>
      </c>
      <c r="K159" s="3"/>
      <c r="L159" s="60" t="str">
        <f t="shared" si="19"/>
        <v/>
      </c>
      <c r="M159" s="40"/>
      <c r="N159" s="40"/>
      <c r="O159" s="40"/>
      <c r="P159" s="40"/>
      <c r="Q159" s="40"/>
      <c r="R159" s="40"/>
      <c r="S159" s="61" t="str">
        <f t="shared" si="15"/>
        <v/>
      </c>
      <c r="T159" s="40"/>
      <c r="U159" s="40"/>
      <c r="V159" s="40"/>
      <c r="W159" s="40"/>
      <c r="X159" s="67" t="str">
        <f t="shared" si="21"/>
        <v/>
      </c>
      <c r="Z159" s="71"/>
      <c r="AA159" s="71"/>
      <c r="AB159" s="67" t="str">
        <f t="shared" si="20"/>
        <v/>
      </c>
    </row>
    <row r="160" spans="1:28" x14ac:dyDescent="0.25">
      <c r="A160" s="59"/>
      <c r="B160" s="7"/>
      <c r="C160" s="59"/>
      <c r="D160" s="10"/>
      <c r="E160" s="40"/>
      <c r="F160" s="40"/>
      <c r="G160" s="40"/>
      <c r="H160" s="3" t="str">
        <f t="shared" si="16"/>
        <v/>
      </c>
      <c r="I160" s="3" t="str">
        <f t="shared" si="17"/>
        <v/>
      </c>
      <c r="J160" s="3" t="str">
        <f t="shared" si="18"/>
        <v/>
      </c>
      <c r="K160" s="3"/>
      <c r="L160" s="60" t="str">
        <f t="shared" si="19"/>
        <v/>
      </c>
      <c r="M160" s="40"/>
      <c r="N160" s="40"/>
      <c r="O160" s="40"/>
      <c r="P160" s="40"/>
      <c r="Q160" s="40"/>
      <c r="R160" s="40"/>
      <c r="S160" s="61" t="str">
        <f t="shared" si="15"/>
        <v/>
      </c>
      <c r="T160" s="40"/>
      <c r="U160" s="40"/>
      <c r="V160" s="40"/>
      <c r="W160" s="40"/>
      <c r="X160" s="67" t="str">
        <f t="shared" si="21"/>
        <v/>
      </c>
      <c r="Z160" s="71"/>
      <c r="AA160" s="71"/>
      <c r="AB160" s="67" t="str">
        <f t="shared" si="20"/>
        <v/>
      </c>
    </row>
    <row r="161" spans="1:28" x14ac:dyDescent="0.25">
      <c r="A161" s="59"/>
      <c r="B161" s="7"/>
      <c r="C161" s="59"/>
      <c r="D161" s="10"/>
      <c r="E161" s="40"/>
      <c r="F161" s="40"/>
      <c r="G161" s="40"/>
      <c r="H161" s="3" t="str">
        <f t="shared" si="16"/>
        <v/>
      </c>
      <c r="I161" s="3" t="str">
        <f t="shared" si="17"/>
        <v/>
      </c>
      <c r="J161" s="3" t="str">
        <f t="shared" si="18"/>
        <v/>
      </c>
      <c r="K161" s="3"/>
      <c r="L161" s="60" t="str">
        <f t="shared" si="19"/>
        <v/>
      </c>
      <c r="M161" s="40"/>
      <c r="N161" s="40"/>
      <c r="O161" s="40"/>
      <c r="P161" s="40"/>
      <c r="Q161" s="40"/>
      <c r="R161" s="40"/>
      <c r="S161" s="61" t="str">
        <f t="shared" si="15"/>
        <v/>
      </c>
      <c r="T161" s="40"/>
      <c r="U161" s="40"/>
      <c r="V161" s="40"/>
      <c r="W161" s="40"/>
      <c r="X161" s="67" t="str">
        <f t="shared" si="21"/>
        <v/>
      </c>
      <c r="Z161" s="71"/>
      <c r="AA161" s="71"/>
      <c r="AB161" s="67" t="str">
        <f t="shared" si="20"/>
        <v/>
      </c>
    </row>
    <row r="162" spans="1:28" x14ac:dyDescent="0.25">
      <c r="A162" s="59"/>
      <c r="B162" s="7"/>
      <c r="C162" s="59"/>
      <c r="D162" s="10"/>
      <c r="E162" s="40"/>
      <c r="F162" s="40"/>
      <c r="G162" s="40"/>
      <c r="H162" s="3" t="str">
        <f t="shared" si="16"/>
        <v/>
      </c>
      <c r="I162" s="3" t="str">
        <f t="shared" si="17"/>
        <v/>
      </c>
      <c r="J162" s="3" t="str">
        <f t="shared" si="18"/>
        <v/>
      </c>
      <c r="K162" s="3"/>
      <c r="L162" s="60" t="str">
        <f t="shared" si="19"/>
        <v/>
      </c>
      <c r="M162" s="40"/>
      <c r="N162" s="40"/>
      <c r="O162" s="40"/>
      <c r="P162" s="40"/>
      <c r="Q162" s="40"/>
      <c r="R162" s="40"/>
      <c r="S162" s="61" t="str">
        <f t="shared" si="15"/>
        <v/>
      </c>
      <c r="T162" s="40"/>
      <c r="U162" s="40"/>
      <c r="V162" s="40"/>
      <c r="W162" s="40"/>
      <c r="X162" s="67" t="str">
        <f t="shared" si="21"/>
        <v/>
      </c>
      <c r="Z162" s="71"/>
      <c r="AA162" s="71"/>
      <c r="AB162" s="67" t="str">
        <f t="shared" si="20"/>
        <v/>
      </c>
    </row>
    <row r="163" spans="1:28" x14ac:dyDescent="0.25">
      <c r="A163" s="59"/>
      <c r="B163" s="7"/>
      <c r="C163" s="59"/>
      <c r="D163" s="10"/>
      <c r="E163" s="40"/>
      <c r="F163" s="40"/>
      <c r="G163" s="40"/>
      <c r="H163" s="3" t="str">
        <f t="shared" si="16"/>
        <v/>
      </c>
      <c r="I163" s="3" t="str">
        <f t="shared" si="17"/>
        <v/>
      </c>
      <c r="J163" s="3" t="str">
        <f t="shared" si="18"/>
        <v/>
      </c>
      <c r="K163" s="3"/>
      <c r="L163" s="60" t="str">
        <f t="shared" si="19"/>
        <v/>
      </c>
      <c r="M163" s="40"/>
      <c r="N163" s="40"/>
      <c r="O163" s="40"/>
      <c r="P163" s="40"/>
      <c r="Q163" s="40"/>
      <c r="R163" s="40"/>
      <c r="S163" s="61" t="str">
        <f t="shared" si="15"/>
        <v/>
      </c>
      <c r="T163" s="40"/>
      <c r="U163" s="40"/>
      <c r="V163" s="40"/>
      <c r="W163" s="40"/>
      <c r="X163" s="67" t="str">
        <f t="shared" si="21"/>
        <v/>
      </c>
      <c r="Z163" s="71"/>
      <c r="AA163" s="71"/>
      <c r="AB163" s="67" t="str">
        <f t="shared" si="20"/>
        <v/>
      </c>
    </row>
    <row r="164" spans="1:28" x14ac:dyDescent="0.25">
      <c r="A164" s="59"/>
      <c r="B164" s="7"/>
      <c r="C164" s="59"/>
      <c r="D164" s="10"/>
      <c r="E164" s="40"/>
      <c r="F164" s="40"/>
      <c r="G164" s="40"/>
      <c r="H164" s="3" t="str">
        <f t="shared" si="16"/>
        <v/>
      </c>
      <c r="I164" s="3" t="str">
        <f t="shared" si="17"/>
        <v/>
      </c>
      <c r="J164" s="3" t="str">
        <f t="shared" si="18"/>
        <v/>
      </c>
      <c r="K164" s="3"/>
      <c r="L164" s="60" t="str">
        <f t="shared" si="19"/>
        <v/>
      </c>
      <c r="M164" s="40"/>
      <c r="N164" s="40"/>
      <c r="O164" s="40"/>
      <c r="P164" s="40"/>
      <c r="Q164" s="40"/>
      <c r="R164" s="40"/>
      <c r="S164" s="61" t="str">
        <f t="shared" si="15"/>
        <v/>
      </c>
      <c r="T164" s="40"/>
      <c r="U164" s="40"/>
      <c r="V164" s="40"/>
      <c r="W164" s="40"/>
      <c r="X164" s="67" t="str">
        <f t="shared" si="21"/>
        <v/>
      </c>
      <c r="Z164" s="71"/>
      <c r="AA164" s="71"/>
      <c r="AB164" s="67" t="str">
        <f t="shared" si="20"/>
        <v/>
      </c>
    </row>
    <row r="165" spans="1:28" x14ac:dyDescent="0.25">
      <c r="A165" s="59"/>
      <c r="B165" s="7"/>
      <c r="C165" s="59"/>
      <c r="D165" s="10"/>
      <c r="E165" s="40"/>
      <c r="F165" s="40"/>
      <c r="G165" s="40"/>
      <c r="H165" s="3" t="str">
        <f t="shared" si="16"/>
        <v/>
      </c>
      <c r="I165" s="3" t="str">
        <f t="shared" si="17"/>
        <v/>
      </c>
      <c r="J165" s="3" t="str">
        <f t="shared" si="18"/>
        <v/>
      </c>
      <c r="K165" s="3"/>
      <c r="L165" s="60" t="str">
        <f t="shared" si="19"/>
        <v/>
      </c>
      <c r="M165" s="40"/>
      <c r="N165" s="40"/>
      <c r="O165" s="40"/>
      <c r="P165" s="40"/>
      <c r="Q165" s="40"/>
      <c r="R165" s="40"/>
      <c r="S165" s="61" t="str">
        <f t="shared" si="15"/>
        <v/>
      </c>
      <c r="T165" s="40"/>
      <c r="U165" s="40"/>
      <c r="V165" s="40"/>
      <c r="W165" s="40"/>
      <c r="X165" s="67" t="str">
        <f t="shared" si="21"/>
        <v/>
      </c>
      <c r="Z165" s="71"/>
      <c r="AA165" s="71"/>
      <c r="AB165" s="67" t="str">
        <f t="shared" si="20"/>
        <v/>
      </c>
    </row>
    <row r="166" spans="1:28" x14ac:dyDescent="0.25">
      <c r="A166" s="59"/>
      <c r="B166" s="7"/>
      <c r="C166" s="59"/>
      <c r="D166" s="10"/>
      <c r="E166" s="40"/>
      <c r="F166" s="40"/>
      <c r="G166" s="40"/>
      <c r="H166" s="3" t="str">
        <f t="shared" si="16"/>
        <v/>
      </c>
      <c r="I166" s="3" t="str">
        <f t="shared" si="17"/>
        <v/>
      </c>
      <c r="J166" s="3" t="str">
        <f t="shared" si="18"/>
        <v/>
      </c>
      <c r="K166" s="3"/>
      <c r="L166" s="60" t="str">
        <f t="shared" si="19"/>
        <v/>
      </c>
      <c r="M166" s="40"/>
      <c r="N166" s="40"/>
      <c r="O166" s="40"/>
      <c r="P166" s="40"/>
      <c r="Q166" s="40"/>
      <c r="R166" s="40"/>
      <c r="S166" s="61" t="str">
        <f t="shared" si="15"/>
        <v/>
      </c>
      <c r="T166" s="40"/>
      <c r="U166" s="40"/>
      <c r="V166" s="40"/>
      <c r="W166" s="40"/>
      <c r="X166" s="67" t="str">
        <f t="shared" si="21"/>
        <v/>
      </c>
      <c r="Z166" s="71"/>
      <c r="AA166" s="71"/>
      <c r="AB166" s="67" t="str">
        <f t="shared" si="20"/>
        <v/>
      </c>
    </row>
    <row r="167" spans="1:28" x14ac:dyDescent="0.25">
      <c r="A167" s="59"/>
      <c r="B167" s="7"/>
      <c r="C167" s="59"/>
      <c r="D167" s="10"/>
      <c r="E167" s="40"/>
      <c r="F167" s="40"/>
      <c r="G167" s="40"/>
      <c r="H167" s="3" t="str">
        <f t="shared" si="16"/>
        <v/>
      </c>
      <c r="I167" s="3" t="str">
        <f t="shared" si="17"/>
        <v/>
      </c>
      <c r="J167" s="3" t="str">
        <f t="shared" si="18"/>
        <v/>
      </c>
      <c r="K167" s="3"/>
      <c r="L167" s="60" t="str">
        <f t="shared" si="19"/>
        <v/>
      </c>
      <c r="M167" s="40"/>
      <c r="N167" s="40"/>
      <c r="O167" s="40"/>
      <c r="P167" s="40"/>
      <c r="Q167" s="40"/>
      <c r="R167" s="40"/>
      <c r="S167" s="61" t="str">
        <f t="shared" si="15"/>
        <v/>
      </c>
      <c r="T167" s="40"/>
      <c r="U167" s="40"/>
      <c r="V167" s="40"/>
      <c r="W167" s="40"/>
      <c r="X167" s="67" t="str">
        <f t="shared" si="21"/>
        <v/>
      </c>
      <c r="Z167" s="71"/>
      <c r="AA167" s="71"/>
      <c r="AB167" s="67" t="str">
        <f t="shared" si="20"/>
        <v/>
      </c>
    </row>
    <row r="168" spans="1:28" x14ac:dyDescent="0.25">
      <c r="A168" s="59"/>
      <c r="B168" s="7"/>
      <c r="C168" s="59"/>
      <c r="D168" s="10"/>
      <c r="E168" s="40"/>
      <c r="F168" s="40"/>
      <c r="G168" s="40"/>
      <c r="H168" s="3" t="str">
        <f t="shared" si="16"/>
        <v/>
      </c>
      <c r="I168" s="3" t="str">
        <f t="shared" si="17"/>
        <v/>
      </c>
      <c r="J168" s="3" t="str">
        <f t="shared" si="18"/>
        <v/>
      </c>
      <c r="K168" s="3"/>
      <c r="L168" s="60" t="str">
        <f t="shared" si="19"/>
        <v/>
      </c>
      <c r="M168" s="40"/>
      <c r="N168" s="40"/>
      <c r="O168" s="40"/>
      <c r="P168" s="40"/>
      <c r="Q168" s="40"/>
      <c r="R168" s="40"/>
      <c r="S168" s="61" t="str">
        <f t="shared" si="15"/>
        <v/>
      </c>
      <c r="T168" s="40"/>
      <c r="U168" s="40"/>
      <c r="V168" s="40"/>
      <c r="W168" s="40"/>
      <c r="X168" s="67" t="str">
        <f t="shared" si="21"/>
        <v/>
      </c>
      <c r="Z168" s="71"/>
      <c r="AA168" s="71"/>
      <c r="AB168" s="67" t="str">
        <f t="shared" si="20"/>
        <v/>
      </c>
    </row>
    <row r="169" spans="1:28" x14ac:dyDescent="0.25">
      <c r="A169" s="59"/>
      <c r="B169" s="7"/>
      <c r="C169" s="59"/>
      <c r="D169" s="10"/>
      <c r="E169" s="40"/>
      <c r="F169" s="40"/>
      <c r="G169" s="40"/>
      <c r="H169" s="3" t="str">
        <f t="shared" si="16"/>
        <v/>
      </c>
      <c r="I169" s="3" t="str">
        <f t="shared" si="17"/>
        <v/>
      </c>
      <c r="J169" s="3" t="str">
        <f t="shared" si="18"/>
        <v/>
      </c>
      <c r="K169" s="3"/>
      <c r="L169" s="60" t="str">
        <f t="shared" si="19"/>
        <v/>
      </c>
      <c r="M169" s="40"/>
      <c r="N169" s="40"/>
      <c r="O169" s="40"/>
      <c r="P169" s="40"/>
      <c r="Q169" s="40"/>
      <c r="R169" s="40"/>
      <c r="S169" s="61" t="str">
        <f t="shared" ref="S169:S232" si="22">IF(C169="","",(S168+R169)-(M169+N169+O169+P169+Q169))</f>
        <v/>
      </c>
      <c r="T169" s="40"/>
      <c r="U169" s="40"/>
      <c r="V169" s="40"/>
      <c r="W169" s="40"/>
      <c r="X169" s="67" t="str">
        <f t="shared" si="21"/>
        <v/>
      </c>
      <c r="Z169" s="71"/>
      <c r="AA169" s="71"/>
      <c r="AB169" s="67" t="str">
        <f t="shared" si="20"/>
        <v/>
      </c>
    </row>
    <row r="170" spans="1:28" x14ac:dyDescent="0.25">
      <c r="A170" s="59"/>
      <c r="B170" s="7"/>
      <c r="C170" s="59"/>
      <c r="D170" s="10"/>
      <c r="E170" s="40"/>
      <c r="F170" s="40"/>
      <c r="G170" s="40"/>
      <c r="H170" s="3" t="str">
        <f t="shared" si="16"/>
        <v/>
      </c>
      <c r="I170" s="3" t="str">
        <f t="shared" si="17"/>
        <v/>
      </c>
      <c r="J170" s="3" t="str">
        <f t="shared" si="18"/>
        <v/>
      </c>
      <c r="K170" s="3"/>
      <c r="L170" s="60" t="str">
        <f t="shared" si="19"/>
        <v/>
      </c>
      <c r="M170" s="40"/>
      <c r="N170" s="40"/>
      <c r="O170" s="40"/>
      <c r="P170" s="40"/>
      <c r="Q170" s="40"/>
      <c r="R170" s="40"/>
      <c r="S170" s="61" t="str">
        <f t="shared" si="22"/>
        <v/>
      </c>
      <c r="T170" s="40"/>
      <c r="U170" s="40"/>
      <c r="V170" s="40"/>
      <c r="W170" s="40"/>
      <c r="X170" s="67" t="str">
        <f t="shared" si="21"/>
        <v/>
      </c>
      <c r="Z170" s="71"/>
      <c r="AA170" s="71"/>
      <c r="AB170" s="67" t="str">
        <f t="shared" si="20"/>
        <v/>
      </c>
    </row>
    <row r="171" spans="1:28" x14ac:dyDescent="0.25">
      <c r="A171" s="59"/>
      <c r="B171" s="7"/>
      <c r="C171" s="59"/>
      <c r="D171" s="10"/>
      <c r="E171" s="40"/>
      <c r="F171" s="40"/>
      <c r="G171" s="40"/>
      <c r="H171" s="3" t="str">
        <f t="shared" si="16"/>
        <v/>
      </c>
      <c r="I171" s="3" t="str">
        <f t="shared" si="17"/>
        <v/>
      </c>
      <c r="J171" s="3" t="str">
        <f t="shared" si="18"/>
        <v/>
      </c>
      <c r="K171" s="3"/>
      <c r="L171" s="60" t="str">
        <f t="shared" si="19"/>
        <v/>
      </c>
      <c r="M171" s="40"/>
      <c r="N171" s="40"/>
      <c r="O171" s="40"/>
      <c r="P171" s="40"/>
      <c r="Q171" s="40"/>
      <c r="R171" s="40"/>
      <c r="S171" s="61" t="str">
        <f t="shared" si="22"/>
        <v/>
      </c>
      <c r="T171" s="40"/>
      <c r="U171" s="40"/>
      <c r="V171" s="40"/>
      <c r="W171" s="40"/>
      <c r="X171" s="67" t="str">
        <f t="shared" si="21"/>
        <v/>
      </c>
      <c r="Z171" s="71"/>
      <c r="AA171" s="71"/>
      <c r="AB171" s="67" t="str">
        <f t="shared" si="20"/>
        <v/>
      </c>
    </row>
    <row r="172" spans="1:28" x14ac:dyDescent="0.25">
      <c r="A172" s="59"/>
      <c r="B172" s="7"/>
      <c r="C172" s="59"/>
      <c r="D172" s="10"/>
      <c r="E172" s="40"/>
      <c r="F172" s="40"/>
      <c r="G172" s="40"/>
      <c r="H172" s="3" t="str">
        <f t="shared" si="16"/>
        <v/>
      </c>
      <c r="I172" s="3" t="str">
        <f t="shared" si="17"/>
        <v/>
      </c>
      <c r="J172" s="3" t="str">
        <f t="shared" si="18"/>
        <v/>
      </c>
      <c r="K172" s="3"/>
      <c r="L172" s="60" t="str">
        <f t="shared" si="19"/>
        <v/>
      </c>
      <c r="M172" s="40"/>
      <c r="N172" s="40"/>
      <c r="O172" s="40"/>
      <c r="P172" s="40"/>
      <c r="Q172" s="40"/>
      <c r="R172" s="40"/>
      <c r="S172" s="61" t="str">
        <f t="shared" si="22"/>
        <v/>
      </c>
      <c r="T172" s="40"/>
      <c r="U172" s="40"/>
      <c r="V172" s="40"/>
      <c r="W172" s="40"/>
      <c r="X172" s="67" t="str">
        <f t="shared" si="21"/>
        <v/>
      </c>
      <c r="Z172" s="71"/>
      <c r="AA172" s="71"/>
      <c r="AB172" s="67" t="str">
        <f t="shared" si="20"/>
        <v/>
      </c>
    </row>
    <row r="173" spans="1:28" x14ac:dyDescent="0.25">
      <c r="A173" s="59"/>
      <c r="B173" s="7"/>
      <c r="C173" s="59"/>
      <c r="D173" s="10"/>
      <c r="E173" s="40"/>
      <c r="F173" s="40"/>
      <c r="G173" s="40"/>
      <c r="H173" s="3" t="str">
        <f t="shared" si="16"/>
        <v/>
      </c>
      <c r="I173" s="3" t="str">
        <f t="shared" si="17"/>
        <v/>
      </c>
      <c r="J173" s="3" t="str">
        <f t="shared" si="18"/>
        <v/>
      </c>
      <c r="K173" s="3"/>
      <c r="L173" s="60" t="str">
        <f t="shared" si="19"/>
        <v/>
      </c>
      <c r="M173" s="40"/>
      <c r="N173" s="40"/>
      <c r="O173" s="40"/>
      <c r="P173" s="40"/>
      <c r="Q173" s="40"/>
      <c r="R173" s="40"/>
      <c r="S173" s="61" t="str">
        <f t="shared" si="22"/>
        <v/>
      </c>
      <c r="T173" s="40"/>
      <c r="U173" s="40"/>
      <c r="V173" s="40"/>
      <c r="W173" s="40"/>
      <c r="X173" s="67" t="str">
        <f t="shared" si="21"/>
        <v/>
      </c>
      <c r="Z173" s="71"/>
      <c r="AA173" s="71"/>
      <c r="AB173" s="67" t="str">
        <f t="shared" si="20"/>
        <v/>
      </c>
    </row>
    <row r="174" spans="1:28" x14ac:dyDescent="0.25">
      <c r="A174" s="59"/>
      <c r="B174" s="7"/>
      <c r="C174" s="59"/>
      <c r="D174" s="10"/>
      <c r="E174" s="40"/>
      <c r="F174" s="40"/>
      <c r="G174" s="40"/>
      <c r="H174" s="3" t="str">
        <f t="shared" si="16"/>
        <v/>
      </c>
      <c r="I174" s="3" t="str">
        <f t="shared" si="17"/>
        <v/>
      </c>
      <c r="J174" s="3" t="str">
        <f t="shared" si="18"/>
        <v/>
      </c>
      <c r="K174" s="3"/>
      <c r="L174" s="60" t="str">
        <f t="shared" si="19"/>
        <v/>
      </c>
      <c r="M174" s="40"/>
      <c r="N174" s="40"/>
      <c r="O174" s="40"/>
      <c r="P174" s="40"/>
      <c r="Q174" s="40"/>
      <c r="R174" s="40"/>
      <c r="S174" s="61" t="str">
        <f t="shared" si="22"/>
        <v/>
      </c>
      <c r="T174" s="40"/>
      <c r="U174" s="40"/>
      <c r="V174" s="40"/>
      <c r="W174" s="40"/>
      <c r="X174" s="67" t="str">
        <f t="shared" si="21"/>
        <v/>
      </c>
      <c r="Z174" s="71"/>
      <c r="AA174" s="71"/>
      <c r="AB174" s="67" t="str">
        <f t="shared" si="20"/>
        <v/>
      </c>
    </row>
    <row r="175" spans="1:28" x14ac:dyDescent="0.25">
      <c r="A175" s="59"/>
      <c r="B175" s="7"/>
      <c r="C175" s="59"/>
      <c r="D175" s="10"/>
      <c r="E175" s="40"/>
      <c r="F175" s="40"/>
      <c r="G175" s="40"/>
      <c r="H175" s="3" t="str">
        <f t="shared" si="16"/>
        <v/>
      </c>
      <c r="I175" s="3" t="str">
        <f t="shared" si="17"/>
        <v/>
      </c>
      <c r="J175" s="3" t="str">
        <f t="shared" si="18"/>
        <v/>
      </c>
      <c r="K175" s="3"/>
      <c r="L175" s="60" t="str">
        <f t="shared" si="19"/>
        <v/>
      </c>
      <c r="M175" s="40"/>
      <c r="N175" s="40"/>
      <c r="O175" s="40"/>
      <c r="P175" s="40"/>
      <c r="Q175" s="40"/>
      <c r="R175" s="40"/>
      <c r="S175" s="61" t="str">
        <f t="shared" si="22"/>
        <v/>
      </c>
      <c r="T175" s="40"/>
      <c r="U175" s="40"/>
      <c r="V175" s="40"/>
      <c r="W175" s="40"/>
      <c r="X175" s="67" t="str">
        <f t="shared" si="21"/>
        <v/>
      </c>
      <c r="Z175" s="71"/>
      <c r="AA175" s="71"/>
      <c r="AB175" s="67" t="str">
        <f t="shared" si="20"/>
        <v/>
      </c>
    </row>
    <row r="176" spans="1:28" x14ac:dyDescent="0.25">
      <c r="A176" s="59"/>
      <c r="B176" s="7"/>
      <c r="C176" s="59"/>
      <c r="D176" s="10"/>
      <c r="E176" s="40"/>
      <c r="F176" s="40"/>
      <c r="G176" s="40"/>
      <c r="H176" s="3" t="str">
        <f t="shared" si="16"/>
        <v/>
      </c>
      <c r="I176" s="3" t="str">
        <f t="shared" si="17"/>
        <v/>
      </c>
      <c r="J176" s="3" t="str">
        <f t="shared" si="18"/>
        <v/>
      </c>
      <c r="K176" s="3"/>
      <c r="L176" s="60" t="str">
        <f t="shared" si="19"/>
        <v/>
      </c>
      <c r="M176" s="40"/>
      <c r="N176" s="40"/>
      <c r="O176" s="40"/>
      <c r="P176" s="40"/>
      <c r="Q176" s="40"/>
      <c r="R176" s="40"/>
      <c r="S176" s="61" t="str">
        <f t="shared" si="22"/>
        <v/>
      </c>
      <c r="T176" s="40"/>
      <c r="U176" s="40"/>
      <c r="V176" s="40"/>
      <c r="W176" s="40"/>
      <c r="X176" s="67" t="str">
        <f t="shared" si="21"/>
        <v/>
      </c>
      <c r="Z176" s="71"/>
      <c r="AA176" s="71"/>
      <c r="AB176" s="67" t="str">
        <f t="shared" si="20"/>
        <v/>
      </c>
    </row>
    <row r="177" spans="1:28" x14ac:dyDescent="0.25">
      <c r="A177" s="59"/>
      <c r="B177" s="7"/>
      <c r="C177" s="59"/>
      <c r="D177" s="10"/>
      <c r="E177" s="40"/>
      <c r="F177" s="40"/>
      <c r="G177" s="40"/>
      <c r="H177" s="3" t="str">
        <f t="shared" si="16"/>
        <v/>
      </c>
      <c r="I177" s="3" t="str">
        <f t="shared" si="17"/>
        <v/>
      </c>
      <c r="J177" s="3" t="str">
        <f t="shared" si="18"/>
        <v/>
      </c>
      <c r="K177" s="3"/>
      <c r="L177" s="60" t="str">
        <f t="shared" si="19"/>
        <v/>
      </c>
      <c r="M177" s="40"/>
      <c r="N177" s="40"/>
      <c r="O177" s="40"/>
      <c r="P177" s="40"/>
      <c r="Q177" s="40"/>
      <c r="R177" s="40"/>
      <c r="S177" s="61" t="str">
        <f t="shared" si="22"/>
        <v/>
      </c>
      <c r="T177" s="40"/>
      <c r="U177" s="40"/>
      <c r="V177" s="40"/>
      <c r="W177" s="40"/>
      <c r="X177" s="67" t="str">
        <f t="shared" si="21"/>
        <v/>
      </c>
      <c r="Z177" s="71"/>
      <c r="AA177" s="71"/>
      <c r="AB177" s="67" t="str">
        <f t="shared" si="20"/>
        <v/>
      </c>
    </row>
    <row r="178" spans="1:28" x14ac:dyDescent="0.25">
      <c r="A178" s="59"/>
      <c r="B178" s="7"/>
      <c r="C178" s="59"/>
      <c r="D178" s="10"/>
      <c r="E178" s="40"/>
      <c r="F178" s="40"/>
      <c r="G178" s="40"/>
      <c r="H178" s="3" t="str">
        <f t="shared" si="16"/>
        <v/>
      </c>
      <c r="I178" s="3" t="str">
        <f t="shared" si="17"/>
        <v/>
      </c>
      <c r="J178" s="3" t="str">
        <f t="shared" si="18"/>
        <v/>
      </c>
      <c r="K178" s="3"/>
      <c r="L178" s="60" t="str">
        <f t="shared" si="19"/>
        <v/>
      </c>
      <c r="M178" s="40"/>
      <c r="N178" s="40"/>
      <c r="O178" s="40"/>
      <c r="P178" s="40"/>
      <c r="Q178" s="40"/>
      <c r="R178" s="40"/>
      <c r="S178" s="61" t="str">
        <f t="shared" si="22"/>
        <v/>
      </c>
      <c r="T178" s="40"/>
      <c r="U178" s="40"/>
      <c r="V178" s="40"/>
      <c r="W178" s="40"/>
      <c r="X178" s="67" t="str">
        <f t="shared" si="21"/>
        <v/>
      </c>
      <c r="Z178" s="71"/>
      <c r="AA178" s="71"/>
      <c r="AB178" s="67" t="str">
        <f t="shared" si="20"/>
        <v/>
      </c>
    </row>
    <row r="179" spans="1:28" x14ac:dyDescent="0.25">
      <c r="A179" s="59"/>
      <c r="B179" s="7"/>
      <c r="C179" s="59"/>
      <c r="D179" s="10"/>
      <c r="E179" s="40"/>
      <c r="F179" s="40"/>
      <c r="G179" s="40"/>
      <c r="H179" s="3" t="str">
        <f t="shared" si="16"/>
        <v/>
      </c>
      <c r="I179" s="3" t="str">
        <f t="shared" si="17"/>
        <v/>
      </c>
      <c r="J179" s="3" t="str">
        <f t="shared" si="18"/>
        <v/>
      </c>
      <c r="K179" s="3"/>
      <c r="L179" s="60" t="str">
        <f t="shared" si="19"/>
        <v/>
      </c>
      <c r="M179" s="40"/>
      <c r="N179" s="40"/>
      <c r="O179" s="40"/>
      <c r="P179" s="40"/>
      <c r="Q179" s="40"/>
      <c r="R179" s="40"/>
      <c r="S179" s="61" t="str">
        <f t="shared" si="22"/>
        <v/>
      </c>
      <c r="T179" s="40"/>
      <c r="U179" s="40"/>
      <c r="V179" s="40"/>
      <c r="W179" s="40"/>
      <c r="X179" s="67" t="str">
        <f t="shared" si="21"/>
        <v/>
      </c>
      <c r="Z179" s="71"/>
      <c r="AA179" s="71"/>
      <c r="AB179" s="67" t="str">
        <f t="shared" si="20"/>
        <v/>
      </c>
    </row>
    <row r="180" spans="1:28" x14ac:dyDescent="0.25">
      <c r="A180" s="59"/>
      <c r="B180" s="7"/>
      <c r="C180" s="59"/>
      <c r="D180" s="10"/>
      <c r="E180" s="40"/>
      <c r="F180" s="40"/>
      <c r="G180" s="40"/>
      <c r="H180" s="3" t="str">
        <f t="shared" si="16"/>
        <v/>
      </c>
      <c r="I180" s="3" t="str">
        <f t="shared" si="17"/>
        <v/>
      </c>
      <c r="J180" s="3" t="str">
        <f t="shared" si="18"/>
        <v/>
      </c>
      <c r="K180" s="3"/>
      <c r="L180" s="60" t="str">
        <f t="shared" si="19"/>
        <v/>
      </c>
      <c r="M180" s="40"/>
      <c r="N180" s="40"/>
      <c r="O180" s="40"/>
      <c r="P180" s="40"/>
      <c r="Q180" s="40"/>
      <c r="R180" s="40"/>
      <c r="S180" s="61" t="str">
        <f t="shared" si="22"/>
        <v/>
      </c>
      <c r="T180" s="40"/>
      <c r="U180" s="40"/>
      <c r="V180" s="40"/>
      <c r="W180" s="40"/>
      <c r="X180" s="67" t="str">
        <f t="shared" si="21"/>
        <v/>
      </c>
      <c r="Z180" s="71"/>
      <c r="AA180" s="71"/>
      <c r="AB180" s="67" t="str">
        <f t="shared" si="20"/>
        <v/>
      </c>
    </row>
    <row r="181" spans="1:28" x14ac:dyDescent="0.25">
      <c r="A181" s="59"/>
      <c r="B181" s="7"/>
      <c r="C181" s="59"/>
      <c r="D181" s="10"/>
      <c r="E181" s="40"/>
      <c r="F181" s="40"/>
      <c r="G181" s="40"/>
      <c r="H181" s="3" t="str">
        <f t="shared" si="16"/>
        <v/>
      </c>
      <c r="I181" s="3" t="str">
        <f t="shared" si="17"/>
        <v/>
      </c>
      <c r="J181" s="3" t="str">
        <f t="shared" si="18"/>
        <v/>
      </c>
      <c r="K181" s="3"/>
      <c r="L181" s="60" t="str">
        <f t="shared" si="19"/>
        <v/>
      </c>
      <c r="M181" s="40"/>
      <c r="N181" s="40"/>
      <c r="O181" s="40"/>
      <c r="P181" s="40"/>
      <c r="Q181" s="40"/>
      <c r="R181" s="40"/>
      <c r="S181" s="61" t="str">
        <f t="shared" si="22"/>
        <v/>
      </c>
      <c r="T181" s="40"/>
      <c r="U181" s="40"/>
      <c r="V181" s="40"/>
      <c r="W181" s="40"/>
      <c r="X181" s="67" t="str">
        <f t="shared" si="21"/>
        <v/>
      </c>
      <c r="Z181" s="71"/>
      <c r="AA181" s="71"/>
      <c r="AB181" s="67" t="str">
        <f t="shared" si="20"/>
        <v/>
      </c>
    </row>
    <row r="182" spans="1:28" x14ac:dyDescent="0.25">
      <c r="A182" s="59"/>
      <c r="B182" s="7"/>
      <c r="C182" s="59"/>
      <c r="D182" s="10"/>
      <c r="E182" s="40"/>
      <c r="F182" s="40"/>
      <c r="G182" s="40"/>
      <c r="H182" s="3" t="str">
        <f t="shared" si="16"/>
        <v/>
      </c>
      <c r="I182" s="3" t="str">
        <f t="shared" si="17"/>
        <v/>
      </c>
      <c r="J182" s="3" t="str">
        <f t="shared" si="18"/>
        <v/>
      </c>
      <c r="K182" s="3"/>
      <c r="L182" s="60" t="str">
        <f t="shared" si="19"/>
        <v/>
      </c>
      <c r="M182" s="40"/>
      <c r="N182" s="40"/>
      <c r="O182" s="40"/>
      <c r="P182" s="40"/>
      <c r="Q182" s="40"/>
      <c r="R182" s="40"/>
      <c r="S182" s="61" t="str">
        <f t="shared" si="22"/>
        <v/>
      </c>
      <c r="T182" s="40"/>
      <c r="U182" s="40"/>
      <c r="V182" s="40"/>
      <c r="W182" s="40"/>
      <c r="X182" s="67" t="str">
        <f t="shared" si="21"/>
        <v/>
      </c>
      <c r="Z182" s="71"/>
      <c r="AA182" s="71"/>
      <c r="AB182" s="67" t="str">
        <f t="shared" si="20"/>
        <v/>
      </c>
    </row>
    <row r="183" spans="1:28" x14ac:dyDescent="0.25">
      <c r="A183" s="59"/>
      <c r="B183" s="7"/>
      <c r="C183" s="59"/>
      <c r="D183" s="10"/>
      <c r="E183" s="40"/>
      <c r="F183" s="40"/>
      <c r="G183" s="40"/>
      <c r="H183" s="3" t="str">
        <f t="shared" si="16"/>
        <v/>
      </c>
      <c r="I183" s="3" t="str">
        <f t="shared" si="17"/>
        <v/>
      </c>
      <c r="J183" s="3" t="str">
        <f t="shared" si="18"/>
        <v/>
      </c>
      <c r="K183" s="3"/>
      <c r="L183" s="60" t="str">
        <f t="shared" si="19"/>
        <v/>
      </c>
      <c r="M183" s="40"/>
      <c r="N183" s="40"/>
      <c r="O183" s="40"/>
      <c r="P183" s="40"/>
      <c r="Q183" s="40"/>
      <c r="R183" s="40"/>
      <c r="S183" s="61" t="str">
        <f t="shared" si="22"/>
        <v/>
      </c>
      <c r="T183" s="40"/>
      <c r="U183" s="40"/>
      <c r="V183" s="40"/>
      <c r="W183" s="40"/>
      <c r="X183" s="67" t="str">
        <f t="shared" si="21"/>
        <v/>
      </c>
      <c r="Z183" s="71"/>
      <c r="AA183" s="71"/>
      <c r="AB183" s="67" t="str">
        <f t="shared" si="20"/>
        <v/>
      </c>
    </row>
    <row r="184" spans="1:28" x14ac:dyDescent="0.25">
      <c r="A184" s="59"/>
      <c r="B184" s="7"/>
      <c r="C184" s="59"/>
      <c r="D184" s="10"/>
      <c r="E184" s="40"/>
      <c r="F184" s="40"/>
      <c r="G184" s="40"/>
      <c r="H184" s="3" t="str">
        <f t="shared" si="16"/>
        <v/>
      </c>
      <c r="I184" s="3" t="str">
        <f t="shared" si="17"/>
        <v/>
      </c>
      <c r="J184" s="3" t="str">
        <f t="shared" si="18"/>
        <v/>
      </c>
      <c r="K184" s="3"/>
      <c r="L184" s="60" t="str">
        <f t="shared" si="19"/>
        <v/>
      </c>
      <c r="M184" s="40"/>
      <c r="N184" s="40"/>
      <c r="O184" s="40"/>
      <c r="P184" s="40"/>
      <c r="Q184" s="40"/>
      <c r="R184" s="40"/>
      <c r="S184" s="61" t="str">
        <f t="shared" si="22"/>
        <v/>
      </c>
      <c r="T184" s="40"/>
      <c r="U184" s="40"/>
      <c r="V184" s="40"/>
      <c r="W184" s="40"/>
      <c r="X184" s="67" t="str">
        <f t="shared" si="21"/>
        <v/>
      </c>
      <c r="Z184" s="71"/>
      <c r="AA184" s="71"/>
      <c r="AB184" s="67" t="str">
        <f t="shared" si="20"/>
        <v/>
      </c>
    </row>
    <row r="185" spans="1:28" x14ac:dyDescent="0.25">
      <c r="A185" s="7"/>
      <c r="B185" s="7"/>
      <c r="C185" s="59"/>
      <c r="D185" s="10"/>
      <c r="E185" s="40"/>
      <c r="F185" s="40"/>
      <c r="G185" s="40"/>
      <c r="H185" s="3" t="str">
        <f t="shared" si="16"/>
        <v/>
      </c>
      <c r="I185" s="3" t="str">
        <f t="shared" si="17"/>
        <v/>
      </c>
      <c r="J185" s="3" t="str">
        <f t="shared" si="18"/>
        <v/>
      </c>
      <c r="K185" s="3"/>
      <c r="L185" s="60" t="str">
        <f t="shared" si="19"/>
        <v/>
      </c>
      <c r="M185" s="40"/>
      <c r="N185" s="40"/>
      <c r="O185" s="40"/>
      <c r="P185" s="40"/>
      <c r="Q185" s="40"/>
      <c r="R185" s="40"/>
      <c r="S185" s="61" t="str">
        <f t="shared" si="22"/>
        <v/>
      </c>
      <c r="T185" s="40"/>
      <c r="U185" s="40"/>
      <c r="V185" s="40"/>
      <c r="W185" s="40"/>
      <c r="X185" s="67" t="str">
        <f t="shared" si="21"/>
        <v/>
      </c>
      <c r="Z185" s="71"/>
      <c r="AA185" s="71"/>
      <c r="AB185" s="67" t="str">
        <f t="shared" si="20"/>
        <v/>
      </c>
    </row>
    <row r="186" spans="1:28" x14ac:dyDescent="0.25">
      <c r="A186" s="59"/>
      <c r="B186" s="7"/>
      <c r="C186" s="59"/>
      <c r="D186" s="10"/>
      <c r="E186" s="40"/>
      <c r="F186" s="40"/>
      <c r="G186" s="40"/>
      <c r="H186" s="3" t="str">
        <f t="shared" si="16"/>
        <v/>
      </c>
      <c r="I186" s="3" t="str">
        <f t="shared" si="17"/>
        <v/>
      </c>
      <c r="J186" s="3" t="str">
        <f t="shared" si="18"/>
        <v/>
      </c>
      <c r="K186" s="3"/>
      <c r="L186" s="60" t="str">
        <f t="shared" si="19"/>
        <v/>
      </c>
      <c r="M186" s="40"/>
      <c r="N186" s="40"/>
      <c r="O186" s="40"/>
      <c r="P186" s="40"/>
      <c r="Q186" s="40"/>
      <c r="R186" s="40"/>
      <c r="S186" s="61" t="str">
        <f t="shared" si="22"/>
        <v/>
      </c>
      <c r="T186" s="40"/>
      <c r="U186" s="40"/>
      <c r="V186" s="40"/>
      <c r="W186" s="40"/>
      <c r="X186" s="67" t="str">
        <f t="shared" si="21"/>
        <v/>
      </c>
      <c r="Z186" s="71"/>
      <c r="AA186" s="71"/>
      <c r="AB186" s="67" t="str">
        <f t="shared" si="20"/>
        <v/>
      </c>
    </row>
    <row r="187" spans="1:28" x14ac:dyDescent="0.25">
      <c r="A187" s="59"/>
      <c r="B187" s="7"/>
      <c r="C187" s="59"/>
      <c r="D187" s="10"/>
      <c r="E187" s="40"/>
      <c r="F187" s="40"/>
      <c r="G187" s="40"/>
      <c r="H187" s="3" t="str">
        <f t="shared" si="16"/>
        <v/>
      </c>
      <c r="I187" s="3" t="str">
        <f t="shared" si="17"/>
        <v/>
      </c>
      <c r="J187" s="3" t="str">
        <f t="shared" si="18"/>
        <v/>
      </c>
      <c r="K187" s="3"/>
      <c r="L187" s="60" t="str">
        <f t="shared" si="19"/>
        <v/>
      </c>
      <c r="M187" s="40"/>
      <c r="N187" s="40"/>
      <c r="O187" s="40"/>
      <c r="P187" s="40"/>
      <c r="Q187" s="40"/>
      <c r="R187" s="40"/>
      <c r="S187" s="61" t="str">
        <f t="shared" si="22"/>
        <v/>
      </c>
      <c r="T187" s="40"/>
      <c r="U187" s="40"/>
      <c r="V187" s="40"/>
      <c r="W187" s="40"/>
      <c r="X187" s="67" t="str">
        <f t="shared" si="21"/>
        <v/>
      </c>
      <c r="Z187" s="71"/>
      <c r="AA187" s="71"/>
      <c r="AB187" s="67" t="str">
        <f t="shared" si="20"/>
        <v/>
      </c>
    </row>
    <row r="188" spans="1:28" x14ac:dyDescent="0.25">
      <c r="A188" s="59"/>
      <c r="B188" s="7"/>
      <c r="C188" s="59"/>
      <c r="D188" s="10"/>
      <c r="E188" s="40"/>
      <c r="F188" s="40"/>
      <c r="G188" s="40"/>
      <c r="H188" s="3" t="str">
        <f t="shared" si="16"/>
        <v/>
      </c>
      <c r="I188" s="3" t="str">
        <f t="shared" si="17"/>
        <v/>
      </c>
      <c r="J188" s="3" t="str">
        <f t="shared" si="18"/>
        <v/>
      </c>
      <c r="K188" s="3"/>
      <c r="L188" s="60" t="str">
        <f t="shared" si="19"/>
        <v/>
      </c>
      <c r="M188" s="40"/>
      <c r="N188" s="40"/>
      <c r="O188" s="40"/>
      <c r="P188" s="40"/>
      <c r="Q188" s="40"/>
      <c r="R188" s="40"/>
      <c r="S188" s="61" t="str">
        <f t="shared" si="22"/>
        <v/>
      </c>
      <c r="T188" s="40"/>
      <c r="U188" s="40"/>
      <c r="V188" s="40"/>
      <c r="W188" s="40"/>
      <c r="X188" s="67" t="str">
        <f t="shared" si="21"/>
        <v/>
      </c>
      <c r="Z188" s="71"/>
      <c r="AA188" s="71"/>
      <c r="AB188" s="67" t="str">
        <f t="shared" si="20"/>
        <v/>
      </c>
    </row>
    <row r="189" spans="1:28" x14ac:dyDescent="0.25">
      <c r="A189" s="59"/>
      <c r="B189" s="7"/>
      <c r="C189" s="59"/>
      <c r="D189" s="10"/>
      <c r="E189" s="40"/>
      <c r="F189" s="40"/>
      <c r="G189" s="40"/>
      <c r="H189" s="3" t="str">
        <f t="shared" si="16"/>
        <v/>
      </c>
      <c r="I189" s="3" t="str">
        <f t="shared" si="17"/>
        <v/>
      </c>
      <c r="J189" s="3" t="str">
        <f t="shared" si="18"/>
        <v/>
      </c>
      <c r="K189" s="3"/>
      <c r="L189" s="60" t="str">
        <f t="shared" si="19"/>
        <v/>
      </c>
      <c r="M189" s="40"/>
      <c r="N189" s="40"/>
      <c r="O189" s="40"/>
      <c r="P189" s="40"/>
      <c r="Q189" s="40"/>
      <c r="R189" s="40"/>
      <c r="S189" s="61" t="str">
        <f t="shared" si="22"/>
        <v/>
      </c>
      <c r="T189" s="40"/>
      <c r="U189" s="40"/>
      <c r="V189" s="40"/>
      <c r="W189" s="40"/>
      <c r="X189" s="67" t="str">
        <f t="shared" si="21"/>
        <v/>
      </c>
      <c r="Z189" s="71"/>
      <c r="AA189" s="71"/>
      <c r="AB189" s="67" t="str">
        <f t="shared" si="20"/>
        <v/>
      </c>
    </row>
    <row r="190" spans="1:28" x14ac:dyDescent="0.25">
      <c r="A190" s="59"/>
      <c r="B190" s="7"/>
      <c r="C190" s="59"/>
      <c r="D190" s="10"/>
      <c r="E190" s="40"/>
      <c r="F190" s="40"/>
      <c r="G190" s="40"/>
      <c r="H190" s="3" t="str">
        <f t="shared" si="16"/>
        <v/>
      </c>
      <c r="I190" s="3" t="str">
        <f t="shared" si="17"/>
        <v/>
      </c>
      <c r="J190" s="3" t="str">
        <f t="shared" si="18"/>
        <v/>
      </c>
      <c r="K190" s="3"/>
      <c r="L190" s="60" t="str">
        <f t="shared" si="19"/>
        <v/>
      </c>
      <c r="M190" s="40"/>
      <c r="N190" s="40"/>
      <c r="O190" s="40"/>
      <c r="P190" s="40"/>
      <c r="Q190" s="40"/>
      <c r="R190" s="40"/>
      <c r="S190" s="61" t="str">
        <f t="shared" si="22"/>
        <v/>
      </c>
      <c r="T190" s="40"/>
      <c r="U190" s="40"/>
      <c r="V190" s="40"/>
      <c r="W190" s="40"/>
      <c r="X190" s="67" t="str">
        <f t="shared" si="21"/>
        <v/>
      </c>
      <c r="Z190" s="71"/>
      <c r="AA190" s="71"/>
      <c r="AB190" s="67" t="str">
        <f t="shared" si="20"/>
        <v/>
      </c>
    </row>
    <row r="191" spans="1:28" x14ac:dyDescent="0.25">
      <c r="A191" s="59"/>
      <c r="B191" s="7"/>
      <c r="C191" s="59"/>
      <c r="D191" s="10"/>
      <c r="E191" s="40"/>
      <c r="F191" s="40"/>
      <c r="G191" s="40"/>
      <c r="H191" s="3" t="str">
        <f t="shared" si="16"/>
        <v/>
      </c>
      <c r="I191" s="3" t="str">
        <f t="shared" si="17"/>
        <v/>
      </c>
      <c r="J191" s="3" t="str">
        <f t="shared" si="18"/>
        <v/>
      </c>
      <c r="K191" s="3"/>
      <c r="L191" s="60" t="str">
        <f t="shared" si="19"/>
        <v/>
      </c>
      <c r="M191" s="40"/>
      <c r="N191" s="40"/>
      <c r="O191" s="40"/>
      <c r="P191" s="40"/>
      <c r="Q191" s="40"/>
      <c r="R191" s="40"/>
      <c r="S191" s="61" t="str">
        <f t="shared" si="22"/>
        <v/>
      </c>
      <c r="T191" s="40"/>
      <c r="U191" s="40"/>
      <c r="V191" s="40"/>
      <c r="W191" s="40"/>
      <c r="X191" s="67" t="str">
        <f t="shared" si="21"/>
        <v/>
      </c>
      <c r="Z191" s="71"/>
      <c r="AA191" s="71"/>
      <c r="AB191" s="67" t="str">
        <f t="shared" si="20"/>
        <v/>
      </c>
    </row>
    <row r="192" spans="1:28" x14ac:dyDescent="0.25">
      <c r="A192" s="59"/>
      <c r="B192" s="7"/>
      <c r="C192" s="59"/>
      <c r="D192" s="10"/>
      <c r="E192" s="40"/>
      <c r="F192" s="40"/>
      <c r="G192" s="40"/>
      <c r="H192" s="3" t="str">
        <f t="shared" si="16"/>
        <v/>
      </c>
      <c r="I192" s="3" t="str">
        <f t="shared" si="17"/>
        <v/>
      </c>
      <c r="J192" s="3" t="str">
        <f t="shared" si="18"/>
        <v/>
      </c>
      <c r="K192" s="3"/>
      <c r="L192" s="60" t="str">
        <f t="shared" si="19"/>
        <v/>
      </c>
      <c r="M192" s="40"/>
      <c r="N192" s="40"/>
      <c r="O192" s="40"/>
      <c r="P192" s="40"/>
      <c r="Q192" s="40"/>
      <c r="R192" s="40"/>
      <c r="S192" s="61" t="str">
        <f t="shared" si="22"/>
        <v/>
      </c>
      <c r="T192" s="40"/>
      <c r="U192" s="40"/>
      <c r="V192" s="40"/>
      <c r="W192" s="40"/>
      <c r="X192" s="67" t="str">
        <f t="shared" si="21"/>
        <v/>
      </c>
      <c r="Z192" s="71"/>
      <c r="AA192" s="71"/>
      <c r="AB192" s="67" t="str">
        <f t="shared" si="20"/>
        <v/>
      </c>
    </row>
    <row r="193" spans="1:28" x14ac:dyDescent="0.25">
      <c r="A193" s="59"/>
      <c r="B193" s="7"/>
      <c r="C193" s="59"/>
      <c r="D193" s="10"/>
      <c r="E193" s="40"/>
      <c r="F193" s="40"/>
      <c r="G193" s="40"/>
      <c r="H193" s="3" t="str">
        <f t="shared" si="16"/>
        <v/>
      </c>
      <c r="I193" s="3" t="str">
        <f t="shared" si="17"/>
        <v/>
      </c>
      <c r="J193" s="3" t="str">
        <f t="shared" si="18"/>
        <v/>
      </c>
      <c r="K193" s="3"/>
      <c r="L193" s="60" t="str">
        <f t="shared" si="19"/>
        <v/>
      </c>
      <c r="M193" s="40"/>
      <c r="N193" s="40"/>
      <c r="O193" s="40"/>
      <c r="P193" s="40"/>
      <c r="Q193" s="40"/>
      <c r="R193" s="40"/>
      <c r="S193" s="61" t="str">
        <f t="shared" si="22"/>
        <v/>
      </c>
      <c r="T193" s="40"/>
      <c r="U193" s="40"/>
      <c r="V193" s="40"/>
      <c r="W193" s="40"/>
      <c r="X193" s="67" t="str">
        <f t="shared" si="21"/>
        <v/>
      </c>
      <c r="Z193" s="71"/>
      <c r="AA193" s="71"/>
      <c r="AB193" s="67" t="str">
        <f t="shared" si="20"/>
        <v/>
      </c>
    </row>
    <row r="194" spans="1:28" x14ac:dyDescent="0.25">
      <c r="A194" s="59"/>
      <c r="B194" s="7"/>
      <c r="C194" s="59"/>
      <c r="D194" s="10"/>
      <c r="E194" s="40"/>
      <c r="F194" s="40"/>
      <c r="G194" s="40"/>
      <c r="H194" s="3" t="str">
        <f t="shared" si="16"/>
        <v/>
      </c>
      <c r="I194" s="3" t="str">
        <f t="shared" si="17"/>
        <v/>
      </c>
      <c r="J194" s="3" t="str">
        <f t="shared" si="18"/>
        <v/>
      </c>
      <c r="K194" s="3"/>
      <c r="L194" s="60" t="str">
        <f t="shared" si="19"/>
        <v/>
      </c>
      <c r="M194" s="40"/>
      <c r="N194" s="40"/>
      <c r="O194" s="40"/>
      <c r="P194" s="40"/>
      <c r="Q194" s="40"/>
      <c r="R194" s="40"/>
      <c r="S194" s="61" t="str">
        <f>IF(C194="","",(S192+R194)-(M194+N194+O194+P194+Q194))</f>
        <v/>
      </c>
      <c r="T194" s="40"/>
      <c r="U194" s="40"/>
      <c r="V194" s="40"/>
      <c r="W194" s="40"/>
      <c r="X194" s="67" t="str">
        <f>IF(V194="","",((X192+T194+U194)-(V194+W194)))</f>
        <v/>
      </c>
      <c r="Z194" s="71"/>
      <c r="AA194" s="71"/>
      <c r="AB194" s="67" t="str">
        <f t="shared" si="20"/>
        <v/>
      </c>
    </row>
    <row r="195" spans="1:28" x14ac:dyDescent="0.25">
      <c r="A195" s="59"/>
      <c r="B195" s="7"/>
      <c r="C195" s="59"/>
      <c r="D195" s="10"/>
      <c r="E195" s="40"/>
      <c r="F195" s="40"/>
      <c r="G195" s="40"/>
      <c r="H195" s="3" t="str">
        <f t="shared" si="16"/>
        <v/>
      </c>
      <c r="I195" s="3" t="str">
        <f t="shared" si="17"/>
        <v/>
      </c>
      <c r="J195" s="3" t="str">
        <f t="shared" si="18"/>
        <v/>
      </c>
      <c r="K195" s="3"/>
      <c r="L195" s="60" t="str">
        <f t="shared" si="19"/>
        <v/>
      </c>
      <c r="M195" s="40"/>
      <c r="N195" s="40"/>
      <c r="O195" s="40"/>
      <c r="P195" s="40"/>
      <c r="Q195" s="40"/>
      <c r="R195" s="40"/>
      <c r="S195" s="61" t="str">
        <f t="shared" si="22"/>
        <v/>
      </c>
      <c r="T195" s="40"/>
      <c r="U195" s="40"/>
      <c r="V195" s="40"/>
      <c r="W195" s="40"/>
      <c r="X195" s="67" t="str">
        <f t="shared" si="21"/>
        <v/>
      </c>
      <c r="Z195" s="71"/>
      <c r="AA195" s="71"/>
      <c r="AB195" s="67" t="str">
        <f t="shared" si="20"/>
        <v/>
      </c>
    </row>
    <row r="196" spans="1:28" x14ac:dyDescent="0.25">
      <c r="A196" s="59"/>
      <c r="B196" s="7"/>
      <c r="C196" s="59"/>
      <c r="D196" s="10"/>
      <c r="E196" s="40"/>
      <c r="F196" s="40"/>
      <c r="G196" s="40"/>
      <c r="H196" s="3" t="str">
        <f t="shared" si="16"/>
        <v/>
      </c>
      <c r="I196" s="3" t="str">
        <f t="shared" si="17"/>
        <v/>
      </c>
      <c r="J196" s="3" t="str">
        <f t="shared" si="18"/>
        <v/>
      </c>
      <c r="K196" s="3"/>
      <c r="L196" s="60" t="str">
        <f t="shared" si="19"/>
        <v/>
      </c>
      <c r="M196" s="40"/>
      <c r="N196" s="40"/>
      <c r="O196" s="40"/>
      <c r="P196" s="40"/>
      <c r="Q196" s="40"/>
      <c r="R196" s="40"/>
      <c r="S196" s="61" t="str">
        <f t="shared" si="22"/>
        <v/>
      </c>
      <c r="T196" s="40"/>
      <c r="U196" s="40"/>
      <c r="V196" s="40"/>
      <c r="W196" s="40"/>
      <c r="X196" s="67" t="str">
        <f t="shared" si="21"/>
        <v/>
      </c>
      <c r="Z196" s="71"/>
      <c r="AA196" s="71"/>
      <c r="AB196" s="67" t="str">
        <f t="shared" si="20"/>
        <v/>
      </c>
    </row>
    <row r="197" spans="1:28" x14ac:dyDescent="0.25">
      <c r="A197" s="59"/>
      <c r="B197" s="7"/>
      <c r="C197" s="59"/>
      <c r="D197" s="10"/>
      <c r="E197" s="40"/>
      <c r="F197" s="40"/>
      <c r="G197" s="40"/>
      <c r="H197" s="3" t="str">
        <f t="shared" ref="H197:H260" si="23">+IF(E197="","",(E197/24)*C197)</f>
        <v/>
      </c>
      <c r="I197" s="3" t="str">
        <f t="shared" ref="I197:I260" si="24">+IF(F197="","",(F197/24)*C197)</f>
        <v/>
      </c>
      <c r="J197" s="3" t="str">
        <f t="shared" ref="J197:J260" si="25">+IF(G197="","",(G197/24)*C197)</f>
        <v/>
      </c>
      <c r="K197" s="3"/>
      <c r="L197" s="60" t="str">
        <f t="shared" ref="L197:L260" si="26">+IF(C197="","",L196-(H197+I197+J197))</f>
        <v/>
      </c>
      <c r="M197" s="40"/>
      <c r="N197" s="40"/>
      <c r="O197" s="40"/>
      <c r="P197" s="40"/>
      <c r="Q197" s="40"/>
      <c r="R197" s="40"/>
      <c r="S197" s="61" t="str">
        <f t="shared" si="22"/>
        <v/>
      </c>
      <c r="T197" s="40"/>
      <c r="U197" s="40"/>
      <c r="V197" s="40"/>
      <c r="W197" s="40"/>
      <c r="X197" s="67" t="str">
        <f t="shared" si="21"/>
        <v/>
      </c>
      <c r="Z197" s="71"/>
      <c r="AA197" s="71"/>
      <c r="AB197" s="67" t="str">
        <f t="shared" ref="AB197:AB260" si="27">IF(Z197="","",Z197+AA197)</f>
        <v/>
      </c>
    </row>
    <row r="198" spans="1:28" x14ac:dyDescent="0.25">
      <c r="A198" s="59"/>
      <c r="B198" s="7"/>
      <c r="C198" s="59"/>
      <c r="D198" s="10"/>
      <c r="E198" s="40"/>
      <c r="F198" s="40"/>
      <c r="G198" s="40"/>
      <c r="H198" s="3" t="str">
        <f t="shared" si="23"/>
        <v/>
      </c>
      <c r="I198" s="3" t="str">
        <f t="shared" si="24"/>
        <v/>
      </c>
      <c r="J198" s="3" t="str">
        <f t="shared" si="25"/>
        <v/>
      </c>
      <c r="K198" s="3"/>
      <c r="L198" s="60" t="str">
        <f t="shared" si="26"/>
        <v/>
      </c>
      <c r="M198" s="40"/>
      <c r="N198" s="40"/>
      <c r="O198" s="40"/>
      <c r="P198" s="40"/>
      <c r="Q198" s="40"/>
      <c r="R198" s="40"/>
      <c r="S198" s="61" t="str">
        <f t="shared" si="22"/>
        <v/>
      </c>
      <c r="T198" s="40"/>
      <c r="U198" s="40"/>
      <c r="V198" s="40"/>
      <c r="W198" s="40"/>
      <c r="X198" s="67" t="str">
        <f t="shared" si="21"/>
        <v/>
      </c>
      <c r="Z198" s="71"/>
      <c r="AA198" s="71"/>
      <c r="AB198" s="67" t="str">
        <f t="shared" si="27"/>
        <v/>
      </c>
    </row>
    <row r="199" spans="1:28" x14ac:dyDescent="0.25">
      <c r="A199" s="59"/>
      <c r="B199" s="7"/>
      <c r="C199" s="59"/>
      <c r="D199" s="10"/>
      <c r="E199" s="40"/>
      <c r="F199" s="40"/>
      <c r="G199" s="40"/>
      <c r="H199" s="3" t="str">
        <f t="shared" si="23"/>
        <v/>
      </c>
      <c r="I199" s="3" t="str">
        <f t="shared" si="24"/>
        <v/>
      </c>
      <c r="J199" s="3" t="str">
        <f t="shared" si="25"/>
        <v/>
      </c>
      <c r="K199" s="3"/>
      <c r="L199" s="60" t="str">
        <f t="shared" si="26"/>
        <v/>
      </c>
      <c r="M199" s="40"/>
      <c r="N199" s="40"/>
      <c r="O199" s="40"/>
      <c r="P199" s="40"/>
      <c r="Q199" s="40"/>
      <c r="R199" s="40"/>
      <c r="S199" s="61" t="str">
        <f t="shared" si="22"/>
        <v/>
      </c>
      <c r="T199" s="40"/>
      <c r="U199" s="40"/>
      <c r="V199" s="40"/>
      <c r="W199" s="40"/>
      <c r="X199" s="67" t="str">
        <f t="shared" si="21"/>
        <v/>
      </c>
      <c r="Z199" s="71"/>
      <c r="AA199" s="71"/>
      <c r="AB199" s="67" t="str">
        <f t="shared" si="27"/>
        <v/>
      </c>
    </row>
    <row r="200" spans="1:28" x14ac:dyDescent="0.25">
      <c r="A200" s="59"/>
      <c r="B200" s="7"/>
      <c r="C200" s="59"/>
      <c r="D200" s="10"/>
      <c r="E200" s="40"/>
      <c r="F200" s="40"/>
      <c r="G200" s="40"/>
      <c r="H200" s="3" t="str">
        <f t="shared" si="23"/>
        <v/>
      </c>
      <c r="I200" s="3" t="str">
        <f t="shared" si="24"/>
        <v/>
      </c>
      <c r="J200" s="3" t="str">
        <f t="shared" si="25"/>
        <v/>
      </c>
      <c r="K200" s="3"/>
      <c r="L200" s="60" t="str">
        <f t="shared" si="26"/>
        <v/>
      </c>
      <c r="M200" s="40"/>
      <c r="N200" s="40"/>
      <c r="O200" s="40"/>
      <c r="P200" s="40"/>
      <c r="Q200" s="40"/>
      <c r="R200" s="40"/>
      <c r="S200" s="61" t="str">
        <f t="shared" si="22"/>
        <v/>
      </c>
      <c r="T200" s="40"/>
      <c r="U200" s="40"/>
      <c r="V200" s="40"/>
      <c r="W200" s="40"/>
      <c r="X200" s="67" t="str">
        <f t="shared" ref="X200:X263" si="28">IF(V200="","",((X199+T200+U200)-(V200+W200)))</f>
        <v/>
      </c>
      <c r="Z200" s="71"/>
      <c r="AA200" s="71"/>
      <c r="AB200" s="67" t="str">
        <f t="shared" si="27"/>
        <v/>
      </c>
    </row>
    <row r="201" spans="1:28" x14ac:dyDescent="0.25">
      <c r="A201" s="59"/>
      <c r="B201" s="7"/>
      <c r="C201" s="59"/>
      <c r="D201" s="10"/>
      <c r="E201" s="40"/>
      <c r="F201" s="40"/>
      <c r="G201" s="40"/>
      <c r="H201" s="3" t="str">
        <f t="shared" si="23"/>
        <v/>
      </c>
      <c r="I201" s="3" t="str">
        <f t="shared" si="24"/>
        <v/>
      </c>
      <c r="J201" s="3" t="str">
        <f t="shared" si="25"/>
        <v/>
      </c>
      <c r="K201" s="3"/>
      <c r="L201" s="60" t="str">
        <f t="shared" si="26"/>
        <v/>
      </c>
      <c r="M201" s="40"/>
      <c r="N201" s="40"/>
      <c r="O201" s="40"/>
      <c r="P201" s="40"/>
      <c r="Q201" s="40"/>
      <c r="R201" s="40"/>
      <c r="S201" s="61" t="str">
        <f t="shared" si="22"/>
        <v/>
      </c>
      <c r="T201" s="40"/>
      <c r="U201" s="40"/>
      <c r="V201" s="40"/>
      <c r="W201" s="40"/>
      <c r="X201" s="67" t="str">
        <f t="shared" si="28"/>
        <v/>
      </c>
      <c r="Z201" s="71"/>
      <c r="AA201" s="71"/>
      <c r="AB201" s="67" t="str">
        <f t="shared" si="27"/>
        <v/>
      </c>
    </row>
    <row r="202" spans="1:28" x14ac:dyDescent="0.25">
      <c r="A202" s="59"/>
      <c r="B202" s="7"/>
      <c r="C202" s="59"/>
      <c r="D202" s="10"/>
      <c r="E202" s="40"/>
      <c r="F202" s="40"/>
      <c r="G202" s="40"/>
      <c r="H202" s="3" t="str">
        <f t="shared" si="23"/>
        <v/>
      </c>
      <c r="I202" s="3" t="str">
        <f t="shared" si="24"/>
        <v/>
      </c>
      <c r="J202" s="3" t="str">
        <f t="shared" si="25"/>
        <v/>
      </c>
      <c r="K202" s="3"/>
      <c r="L202" s="60" t="str">
        <f t="shared" si="26"/>
        <v/>
      </c>
      <c r="M202" s="40"/>
      <c r="N202" s="40"/>
      <c r="O202" s="40"/>
      <c r="P202" s="40"/>
      <c r="Q202" s="40"/>
      <c r="R202" s="40"/>
      <c r="S202" s="61" t="str">
        <f t="shared" si="22"/>
        <v/>
      </c>
      <c r="T202" s="40"/>
      <c r="U202" s="40"/>
      <c r="V202" s="40"/>
      <c r="W202" s="40"/>
      <c r="X202" s="67" t="str">
        <f t="shared" si="28"/>
        <v/>
      </c>
      <c r="Z202" s="71"/>
      <c r="AA202" s="71"/>
      <c r="AB202" s="67" t="str">
        <f t="shared" si="27"/>
        <v/>
      </c>
    </row>
    <row r="203" spans="1:28" x14ac:dyDescent="0.25">
      <c r="A203" s="59"/>
      <c r="B203" s="7"/>
      <c r="C203" s="59"/>
      <c r="D203" s="10"/>
      <c r="E203" s="40"/>
      <c r="F203" s="40"/>
      <c r="G203" s="40"/>
      <c r="H203" s="3" t="str">
        <f t="shared" si="23"/>
        <v/>
      </c>
      <c r="I203" s="3" t="str">
        <f t="shared" si="24"/>
        <v/>
      </c>
      <c r="J203" s="3" t="str">
        <f t="shared" si="25"/>
        <v/>
      </c>
      <c r="K203" s="3"/>
      <c r="L203" s="60" t="str">
        <f t="shared" si="26"/>
        <v/>
      </c>
      <c r="M203" s="40"/>
      <c r="N203" s="40"/>
      <c r="O203" s="40"/>
      <c r="P203" s="40"/>
      <c r="Q203" s="40"/>
      <c r="R203" s="40"/>
      <c r="S203" s="61" t="str">
        <f t="shared" si="22"/>
        <v/>
      </c>
      <c r="T203" s="40"/>
      <c r="U203" s="40"/>
      <c r="V203" s="40"/>
      <c r="W203" s="40"/>
      <c r="X203" s="67" t="str">
        <f t="shared" si="28"/>
        <v/>
      </c>
      <c r="Z203" s="71"/>
      <c r="AA203" s="71"/>
      <c r="AB203" s="67" t="str">
        <f t="shared" si="27"/>
        <v/>
      </c>
    </row>
    <row r="204" spans="1:28" x14ac:dyDescent="0.25">
      <c r="A204" s="59"/>
      <c r="B204" s="7"/>
      <c r="C204" s="59"/>
      <c r="D204" s="10"/>
      <c r="E204" s="40"/>
      <c r="F204" s="40"/>
      <c r="G204" s="40"/>
      <c r="H204" s="3" t="str">
        <f t="shared" si="23"/>
        <v/>
      </c>
      <c r="I204" s="3" t="str">
        <f t="shared" si="24"/>
        <v/>
      </c>
      <c r="J204" s="3" t="str">
        <f t="shared" si="25"/>
        <v/>
      </c>
      <c r="K204" s="3"/>
      <c r="L204" s="60" t="str">
        <f t="shared" si="26"/>
        <v/>
      </c>
      <c r="M204" s="40"/>
      <c r="N204" s="40"/>
      <c r="O204" s="40"/>
      <c r="P204" s="40"/>
      <c r="Q204" s="40"/>
      <c r="R204" s="40"/>
      <c r="S204" s="61" t="str">
        <f t="shared" si="22"/>
        <v/>
      </c>
      <c r="T204" s="40"/>
      <c r="U204" s="40"/>
      <c r="V204" s="40"/>
      <c r="W204" s="40"/>
      <c r="X204" s="67" t="str">
        <f t="shared" si="28"/>
        <v/>
      </c>
      <c r="Z204" s="71"/>
      <c r="AA204" s="71"/>
      <c r="AB204" s="67" t="str">
        <f t="shared" si="27"/>
        <v/>
      </c>
    </row>
    <row r="205" spans="1:28" x14ac:dyDescent="0.25">
      <c r="A205" s="59"/>
      <c r="B205" s="7"/>
      <c r="C205" s="59"/>
      <c r="D205" s="10"/>
      <c r="E205" s="40"/>
      <c r="F205" s="40"/>
      <c r="G205" s="40"/>
      <c r="H205" s="3" t="str">
        <f t="shared" si="23"/>
        <v/>
      </c>
      <c r="I205" s="3" t="str">
        <f t="shared" si="24"/>
        <v/>
      </c>
      <c r="J205" s="3" t="str">
        <f t="shared" si="25"/>
        <v/>
      </c>
      <c r="K205" s="3"/>
      <c r="L205" s="60" t="str">
        <f t="shared" si="26"/>
        <v/>
      </c>
      <c r="M205" s="40"/>
      <c r="N205" s="40"/>
      <c r="O205" s="40"/>
      <c r="P205" s="40"/>
      <c r="Q205" s="40"/>
      <c r="R205" s="40"/>
      <c r="S205" s="61" t="str">
        <f t="shared" si="22"/>
        <v/>
      </c>
      <c r="T205" s="40"/>
      <c r="U205" s="40"/>
      <c r="V205" s="40"/>
      <c r="W205" s="40"/>
      <c r="X205" s="67" t="str">
        <f t="shared" si="28"/>
        <v/>
      </c>
      <c r="Z205" s="71"/>
      <c r="AA205" s="71"/>
      <c r="AB205" s="67" t="str">
        <f t="shared" si="27"/>
        <v/>
      </c>
    </row>
    <row r="206" spans="1:28" x14ac:dyDescent="0.25">
      <c r="A206" s="59"/>
      <c r="B206" s="7"/>
      <c r="C206" s="59"/>
      <c r="D206" s="10"/>
      <c r="E206" s="40"/>
      <c r="F206" s="40"/>
      <c r="G206" s="40"/>
      <c r="H206" s="3" t="str">
        <f t="shared" si="23"/>
        <v/>
      </c>
      <c r="I206" s="3" t="str">
        <f t="shared" si="24"/>
        <v/>
      </c>
      <c r="J206" s="3" t="str">
        <f t="shared" si="25"/>
        <v/>
      </c>
      <c r="K206" s="3"/>
      <c r="L206" s="60" t="str">
        <f t="shared" si="26"/>
        <v/>
      </c>
      <c r="M206" s="40"/>
      <c r="N206" s="40"/>
      <c r="O206" s="40"/>
      <c r="P206" s="40"/>
      <c r="Q206" s="40"/>
      <c r="R206" s="40"/>
      <c r="S206" s="61" t="str">
        <f t="shared" si="22"/>
        <v/>
      </c>
      <c r="T206" s="40"/>
      <c r="U206" s="40"/>
      <c r="V206" s="40"/>
      <c r="W206" s="40"/>
      <c r="X206" s="67" t="str">
        <f t="shared" si="28"/>
        <v/>
      </c>
      <c r="Z206" s="71"/>
      <c r="AA206" s="71"/>
      <c r="AB206" s="67" t="str">
        <f t="shared" si="27"/>
        <v/>
      </c>
    </row>
    <row r="207" spans="1:28" x14ac:dyDescent="0.25">
      <c r="A207" s="59"/>
      <c r="B207" s="7"/>
      <c r="C207" s="59"/>
      <c r="D207" s="10"/>
      <c r="E207" s="40"/>
      <c r="F207" s="40"/>
      <c r="G207" s="40"/>
      <c r="H207" s="3" t="str">
        <f t="shared" si="23"/>
        <v/>
      </c>
      <c r="I207" s="3" t="str">
        <f t="shared" si="24"/>
        <v/>
      </c>
      <c r="J207" s="3" t="str">
        <f t="shared" si="25"/>
        <v/>
      </c>
      <c r="K207" s="3"/>
      <c r="L207" s="60" t="str">
        <f t="shared" si="26"/>
        <v/>
      </c>
      <c r="M207" s="40"/>
      <c r="N207" s="40"/>
      <c r="O207" s="40"/>
      <c r="P207" s="40"/>
      <c r="Q207" s="40"/>
      <c r="R207" s="40"/>
      <c r="S207" s="61" t="str">
        <f t="shared" si="22"/>
        <v/>
      </c>
      <c r="T207" s="40"/>
      <c r="U207" s="40"/>
      <c r="V207" s="40"/>
      <c r="W207" s="40"/>
      <c r="X207" s="67" t="str">
        <f t="shared" si="28"/>
        <v/>
      </c>
      <c r="Z207" s="71"/>
      <c r="AA207" s="71"/>
      <c r="AB207" s="67" t="str">
        <f t="shared" si="27"/>
        <v/>
      </c>
    </row>
    <row r="208" spans="1:28" x14ac:dyDescent="0.25">
      <c r="A208" s="59"/>
      <c r="B208" s="7"/>
      <c r="C208" s="59"/>
      <c r="D208" s="10"/>
      <c r="E208" s="40"/>
      <c r="F208" s="40"/>
      <c r="G208" s="40"/>
      <c r="H208" s="3" t="str">
        <f t="shared" si="23"/>
        <v/>
      </c>
      <c r="I208" s="3" t="str">
        <f t="shared" si="24"/>
        <v/>
      </c>
      <c r="J208" s="3" t="str">
        <f t="shared" si="25"/>
        <v/>
      </c>
      <c r="K208" s="3"/>
      <c r="L208" s="60" t="str">
        <f t="shared" si="26"/>
        <v/>
      </c>
      <c r="M208" s="40"/>
      <c r="N208" s="40"/>
      <c r="O208" s="40"/>
      <c r="P208" s="40"/>
      <c r="Q208" s="40"/>
      <c r="R208" s="40"/>
      <c r="S208" s="61" t="str">
        <f t="shared" si="22"/>
        <v/>
      </c>
      <c r="T208" s="40"/>
      <c r="U208" s="40"/>
      <c r="V208" s="40"/>
      <c r="W208" s="40"/>
      <c r="X208" s="67" t="str">
        <f t="shared" si="28"/>
        <v/>
      </c>
      <c r="Z208" s="71"/>
      <c r="AA208" s="71"/>
      <c r="AB208" s="67" t="str">
        <f t="shared" si="27"/>
        <v/>
      </c>
    </row>
    <row r="209" spans="1:28" x14ac:dyDescent="0.25">
      <c r="A209" s="59"/>
      <c r="B209" s="7"/>
      <c r="C209" s="59"/>
      <c r="D209" s="10"/>
      <c r="E209" s="40"/>
      <c r="F209" s="40"/>
      <c r="G209" s="40"/>
      <c r="H209" s="3" t="str">
        <f t="shared" si="23"/>
        <v/>
      </c>
      <c r="I209" s="3" t="str">
        <f t="shared" si="24"/>
        <v/>
      </c>
      <c r="J209" s="3" t="str">
        <f t="shared" si="25"/>
        <v/>
      </c>
      <c r="K209" s="3"/>
      <c r="L209" s="60" t="str">
        <f t="shared" si="26"/>
        <v/>
      </c>
      <c r="M209" s="40"/>
      <c r="N209" s="40"/>
      <c r="O209" s="40"/>
      <c r="P209" s="40"/>
      <c r="Q209" s="40"/>
      <c r="R209" s="40"/>
      <c r="S209" s="61" t="str">
        <f t="shared" si="22"/>
        <v/>
      </c>
      <c r="T209" s="40"/>
      <c r="U209" s="40"/>
      <c r="V209" s="40"/>
      <c r="W209" s="40"/>
      <c r="X209" s="67" t="str">
        <f t="shared" si="28"/>
        <v/>
      </c>
      <c r="Z209" s="71"/>
      <c r="AA209" s="71"/>
      <c r="AB209" s="67" t="str">
        <f t="shared" si="27"/>
        <v/>
      </c>
    </row>
    <row r="210" spans="1:28" x14ac:dyDescent="0.25">
      <c r="A210" s="59"/>
      <c r="B210" s="7"/>
      <c r="C210" s="59"/>
      <c r="D210" s="10"/>
      <c r="E210" s="40"/>
      <c r="F210" s="40"/>
      <c r="G210" s="40"/>
      <c r="H210" s="3" t="str">
        <f t="shared" si="23"/>
        <v/>
      </c>
      <c r="I210" s="3" t="str">
        <f t="shared" si="24"/>
        <v/>
      </c>
      <c r="J210" s="3" t="str">
        <f t="shared" si="25"/>
        <v/>
      </c>
      <c r="K210" s="3"/>
      <c r="L210" s="60" t="str">
        <f t="shared" si="26"/>
        <v/>
      </c>
      <c r="M210" s="40"/>
      <c r="N210" s="40"/>
      <c r="O210" s="40"/>
      <c r="P210" s="40"/>
      <c r="Q210" s="40"/>
      <c r="R210" s="40"/>
      <c r="S210" s="61" t="str">
        <f t="shared" si="22"/>
        <v/>
      </c>
      <c r="T210" s="40"/>
      <c r="U210" s="40"/>
      <c r="V210" s="40"/>
      <c r="W210" s="40"/>
      <c r="X210" s="67" t="str">
        <f t="shared" si="28"/>
        <v/>
      </c>
      <c r="Z210" s="71"/>
      <c r="AA210" s="71"/>
      <c r="AB210" s="67" t="str">
        <f t="shared" si="27"/>
        <v/>
      </c>
    </row>
    <row r="211" spans="1:28" x14ac:dyDescent="0.25">
      <c r="A211" s="59"/>
      <c r="B211" s="7"/>
      <c r="C211" s="59"/>
      <c r="D211" s="10"/>
      <c r="E211" s="40"/>
      <c r="F211" s="40"/>
      <c r="G211" s="40"/>
      <c r="H211" s="3" t="str">
        <f t="shared" si="23"/>
        <v/>
      </c>
      <c r="I211" s="3" t="str">
        <f t="shared" si="24"/>
        <v/>
      </c>
      <c r="J211" s="3" t="str">
        <f t="shared" si="25"/>
        <v/>
      </c>
      <c r="K211" s="3"/>
      <c r="L211" s="60" t="str">
        <f t="shared" si="26"/>
        <v/>
      </c>
      <c r="M211" s="40"/>
      <c r="N211" s="40"/>
      <c r="O211" s="40"/>
      <c r="P211" s="40"/>
      <c r="Q211" s="40"/>
      <c r="R211" s="40"/>
      <c r="S211" s="61" t="str">
        <f t="shared" si="22"/>
        <v/>
      </c>
      <c r="T211" s="40"/>
      <c r="U211" s="40"/>
      <c r="V211" s="40"/>
      <c r="W211" s="40"/>
      <c r="X211" s="67" t="str">
        <f t="shared" si="28"/>
        <v/>
      </c>
      <c r="Z211" s="71"/>
      <c r="AA211" s="71"/>
      <c r="AB211" s="67" t="str">
        <f t="shared" si="27"/>
        <v/>
      </c>
    </row>
    <row r="212" spans="1:28" x14ac:dyDescent="0.25">
      <c r="A212" s="59"/>
      <c r="B212" s="7"/>
      <c r="C212" s="59"/>
      <c r="D212" s="10"/>
      <c r="E212" s="40"/>
      <c r="F212" s="40"/>
      <c r="G212" s="40"/>
      <c r="H212" s="3" t="str">
        <f t="shared" si="23"/>
        <v/>
      </c>
      <c r="I212" s="3" t="str">
        <f t="shared" si="24"/>
        <v/>
      </c>
      <c r="J212" s="3" t="str">
        <f t="shared" si="25"/>
        <v/>
      </c>
      <c r="K212" s="3"/>
      <c r="L212" s="60" t="str">
        <f t="shared" si="26"/>
        <v/>
      </c>
      <c r="M212" s="40"/>
      <c r="N212" s="40"/>
      <c r="O212" s="40"/>
      <c r="P212" s="40"/>
      <c r="Q212" s="40"/>
      <c r="R212" s="40"/>
      <c r="S212" s="61" t="str">
        <f t="shared" si="22"/>
        <v/>
      </c>
      <c r="T212" s="40"/>
      <c r="U212" s="40"/>
      <c r="V212" s="40"/>
      <c r="W212" s="40"/>
      <c r="X212" s="67" t="str">
        <f t="shared" si="28"/>
        <v/>
      </c>
      <c r="Z212" s="71"/>
      <c r="AA212" s="71"/>
      <c r="AB212" s="67" t="str">
        <f t="shared" si="27"/>
        <v/>
      </c>
    </row>
    <row r="213" spans="1:28" x14ac:dyDescent="0.25">
      <c r="A213" s="59"/>
      <c r="B213" s="7"/>
      <c r="C213" s="59"/>
      <c r="D213" s="10"/>
      <c r="E213" s="40"/>
      <c r="F213" s="40"/>
      <c r="G213" s="40"/>
      <c r="H213" s="3" t="str">
        <f t="shared" si="23"/>
        <v/>
      </c>
      <c r="I213" s="3" t="str">
        <f t="shared" si="24"/>
        <v/>
      </c>
      <c r="J213" s="3" t="str">
        <f t="shared" si="25"/>
        <v/>
      </c>
      <c r="K213" s="3"/>
      <c r="L213" s="60" t="str">
        <f t="shared" si="26"/>
        <v/>
      </c>
      <c r="M213" s="40"/>
      <c r="N213" s="40"/>
      <c r="O213" s="40"/>
      <c r="P213" s="40"/>
      <c r="Q213" s="40"/>
      <c r="R213" s="40"/>
      <c r="S213" s="61" t="str">
        <f t="shared" si="22"/>
        <v/>
      </c>
      <c r="T213" s="40"/>
      <c r="U213" s="40"/>
      <c r="V213" s="40"/>
      <c r="W213" s="40"/>
      <c r="X213" s="67" t="str">
        <f t="shared" si="28"/>
        <v/>
      </c>
      <c r="Z213" s="71"/>
      <c r="AA213" s="71"/>
      <c r="AB213" s="67" t="str">
        <f t="shared" si="27"/>
        <v/>
      </c>
    </row>
    <row r="214" spans="1:28" x14ac:dyDescent="0.25">
      <c r="A214" s="59"/>
      <c r="B214" s="7"/>
      <c r="C214" s="59"/>
      <c r="D214" s="10"/>
      <c r="E214" s="40"/>
      <c r="F214" s="40"/>
      <c r="G214" s="40"/>
      <c r="H214" s="3" t="str">
        <f t="shared" si="23"/>
        <v/>
      </c>
      <c r="I214" s="3" t="str">
        <f t="shared" si="24"/>
        <v/>
      </c>
      <c r="J214" s="3" t="str">
        <f t="shared" si="25"/>
        <v/>
      </c>
      <c r="K214" s="3"/>
      <c r="L214" s="60" t="str">
        <f t="shared" si="26"/>
        <v/>
      </c>
      <c r="M214" s="40"/>
      <c r="N214" s="40"/>
      <c r="O214" s="40"/>
      <c r="P214" s="40"/>
      <c r="Q214" s="40"/>
      <c r="R214" s="40"/>
      <c r="S214" s="61" t="str">
        <f t="shared" si="22"/>
        <v/>
      </c>
      <c r="T214" s="40"/>
      <c r="U214" s="40"/>
      <c r="V214" s="40"/>
      <c r="W214" s="40"/>
      <c r="X214" s="67" t="str">
        <f t="shared" si="28"/>
        <v/>
      </c>
      <c r="Z214" s="71"/>
      <c r="AA214" s="71"/>
      <c r="AB214" s="67" t="str">
        <f t="shared" si="27"/>
        <v/>
      </c>
    </row>
    <row r="215" spans="1:28" x14ac:dyDescent="0.25">
      <c r="A215" s="59"/>
      <c r="B215" s="7"/>
      <c r="C215" s="59"/>
      <c r="D215" s="10"/>
      <c r="E215" s="40"/>
      <c r="F215" s="40"/>
      <c r="G215" s="40"/>
      <c r="H215" s="3" t="str">
        <f t="shared" si="23"/>
        <v/>
      </c>
      <c r="I215" s="3" t="str">
        <f t="shared" si="24"/>
        <v/>
      </c>
      <c r="J215" s="3" t="str">
        <f t="shared" si="25"/>
        <v/>
      </c>
      <c r="K215" s="3"/>
      <c r="L215" s="60" t="str">
        <f t="shared" si="26"/>
        <v/>
      </c>
      <c r="M215" s="40"/>
      <c r="N215" s="40"/>
      <c r="O215" s="40"/>
      <c r="P215" s="40"/>
      <c r="Q215" s="40"/>
      <c r="R215" s="40"/>
      <c r="S215" s="61" t="str">
        <f t="shared" si="22"/>
        <v/>
      </c>
      <c r="T215" s="40"/>
      <c r="U215" s="40"/>
      <c r="V215" s="40"/>
      <c r="W215" s="40"/>
      <c r="X215" s="67" t="str">
        <f t="shared" si="28"/>
        <v/>
      </c>
      <c r="Z215" s="71"/>
      <c r="AA215" s="71"/>
      <c r="AB215" s="67" t="str">
        <f t="shared" si="27"/>
        <v/>
      </c>
    </row>
    <row r="216" spans="1:28" x14ac:dyDescent="0.25">
      <c r="A216" s="59"/>
      <c r="B216" s="7"/>
      <c r="C216" s="59"/>
      <c r="D216" s="10"/>
      <c r="E216" s="40"/>
      <c r="F216" s="40"/>
      <c r="G216" s="40"/>
      <c r="H216" s="3" t="str">
        <f t="shared" si="23"/>
        <v/>
      </c>
      <c r="I216" s="3" t="str">
        <f t="shared" si="24"/>
        <v/>
      </c>
      <c r="J216" s="3" t="str">
        <f t="shared" si="25"/>
        <v/>
      </c>
      <c r="K216" s="3"/>
      <c r="L216" s="60" t="str">
        <f t="shared" si="26"/>
        <v/>
      </c>
      <c r="M216" s="40"/>
      <c r="N216" s="40"/>
      <c r="O216" s="40"/>
      <c r="P216" s="40"/>
      <c r="Q216" s="40"/>
      <c r="R216" s="40"/>
      <c r="S216" s="61" t="str">
        <f t="shared" si="22"/>
        <v/>
      </c>
      <c r="T216" s="40"/>
      <c r="U216" s="40"/>
      <c r="V216" s="40"/>
      <c r="W216" s="40"/>
      <c r="X216" s="67" t="str">
        <f t="shared" si="28"/>
        <v/>
      </c>
      <c r="Z216" s="71"/>
      <c r="AA216" s="71"/>
      <c r="AB216" s="67" t="str">
        <f t="shared" si="27"/>
        <v/>
      </c>
    </row>
    <row r="217" spans="1:28" x14ac:dyDescent="0.25">
      <c r="A217" s="59"/>
      <c r="B217" s="7"/>
      <c r="C217" s="59"/>
      <c r="D217" s="10"/>
      <c r="E217" s="40"/>
      <c r="F217" s="40"/>
      <c r="G217" s="40"/>
      <c r="H217" s="3" t="str">
        <f t="shared" si="23"/>
        <v/>
      </c>
      <c r="I217" s="3" t="str">
        <f t="shared" si="24"/>
        <v/>
      </c>
      <c r="J217" s="3" t="str">
        <f t="shared" si="25"/>
        <v/>
      </c>
      <c r="K217" s="3"/>
      <c r="L217" s="60" t="str">
        <f t="shared" si="26"/>
        <v/>
      </c>
      <c r="M217" s="40"/>
      <c r="N217" s="40"/>
      <c r="O217" s="40"/>
      <c r="P217" s="40"/>
      <c r="Q217" s="40"/>
      <c r="R217" s="40"/>
      <c r="S217" s="61" t="str">
        <f t="shared" si="22"/>
        <v/>
      </c>
      <c r="T217" s="40"/>
      <c r="U217" s="40"/>
      <c r="V217" s="40"/>
      <c r="W217" s="40"/>
      <c r="X217" s="67" t="str">
        <f t="shared" si="28"/>
        <v/>
      </c>
      <c r="Z217" s="71"/>
      <c r="AA217" s="71"/>
      <c r="AB217" s="67" t="str">
        <f t="shared" si="27"/>
        <v/>
      </c>
    </row>
    <row r="218" spans="1:28" x14ac:dyDescent="0.25">
      <c r="A218" s="59"/>
      <c r="B218" s="7"/>
      <c r="C218" s="59"/>
      <c r="D218" s="10"/>
      <c r="E218" s="40"/>
      <c r="F218" s="40"/>
      <c r="G218" s="40"/>
      <c r="H218" s="3" t="str">
        <f t="shared" si="23"/>
        <v/>
      </c>
      <c r="I218" s="3" t="str">
        <f t="shared" si="24"/>
        <v/>
      </c>
      <c r="J218" s="3" t="str">
        <f t="shared" si="25"/>
        <v/>
      </c>
      <c r="K218" s="3"/>
      <c r="L218" s="60" t="str">
        <f t="shared" si="26"/>
        <v/>
      </c>
      <c r="M218" s="40"/>
      <c r="N218" s="40"/>
      <c r="O218" s="40"/>
      <c r="P218" s="40"/>
      <c r="Q218" s="40"/>
      <c r="R218" s="40"/>
      <c r="S218" s="61" t="str">
        <f t="shared" si="22"/>
        <v/>
      </c>
      <c r="T218" s="40"/>
      <c r="U218" s="40"/>
      <c r="V218" s="40"/>
      <c r="W218" s="40"/>
      <c r="X218" s="67" t="str">
        <f t="shared" si="28"/>
        <v/>
      </c>
      <c r="Z218" s="71"/>
      <c r="AA218" s="71"/>
      <c r="AB218" s="67" t="str">
        <f t="shared" si="27"/>
        <v/>
      </c>
    </row>
    <row r="219" spans="1:28" x14ac:dyDescent="0.25">
      <c r="A219" s="59"/>
      <c r="B219" s="7"/>
      <c r="C219" s="59"/>
      <c r="D219" s="10"/>
      <c r="E219" s="40"/>
      <c r="F219" s="40"/>
      <c r="G219" s="40"/>
      <c r="H219" s="3" t="str">
        <f t="shared" si="23"/>
        <v/>
      </c>
      <c r="I219" s="3" t="str">
        <f t="shared" si="24"/>
        <v/>
      </c>
      <c r="J219" s="3" t="str">
        <f t="shared" si="25"/>
        <v/>
      </c>
      <c r="K219" s="3"/>
      <c r="L219" s="60" t="str">
        <f t="shared" si="26"/>
        <v/>
      </c>
      <c r="M219" s="40"/>
      <c r="N219" s="40"/>
      <c r="O219" s="40"/>
      <c r="P219" s="40"/>
      <c r="Q219" s="40"/>
      <c r="R219" s="40"/>
      <c r="S219" s="61" t="str">
        <f t="shared" si="22"/>
        <v/>
      </c>
      <c r="T219" s="40"/>
      <c r="U219" s="40"/>
      <c r="V219" s="40"/>
      <c r="W219" s="40"/>
      <c r="X219" s="67" t="str">
        <f t="shared" si="28"/>
        <v/>
      </c>
      <c r="Z219" s="71"/>
      <c r="AA219" s="71"/>
      <c r="AB219" s="67" t="str">
        <f t="shared" si="27"/>
        <v/>
      </c>
    </row>
    <row r="220" spans="1:28" x14ac:dyDescent="0.25">
      <c r="A220" s="59"/>
      <c r="B220" s="7"/>
      <c r="C220" s="59"/>
      <c r="D220" s="10"/>
      <c r="E220" s="40"/>
      <c r="F220" s="40"/>
      <c r="G220" s="40"/>
      <c r="H220" s="3" t="str">
        <f t="shared" si="23"/>
        <v/>
      </c>
      <c r="I220" s="3" t="str">
        <f t="shared" si="24"/>
        <v/>
      </c>
      <c r="J220" s="3" t="str">
        <f t="shared" si="25"/>
        <v/>
      </c>
      <c r="K220" s="3"/>
      <c r="L220" s="60" t="str">
        <f t="shared" si="26"/>
        <v/>
      </c>
      <c r="M220" s="40"/>
      <c r="N220" s="40"/>
      <c r="O220" s="40"/>
      <c r="P220" s="40"/>
      <c r="Q220" s="40"/>
      <c r="R220" s="40"/>
      <c r="S220" s="61" t="str">
        <f t="shared" si="22"/>
        <v/>
      </c>
      <c r="T220" s="40"/>
      <c r="U220" s="40"/>
      <c r="V220" s="40"/>
      <c r="W220" s="40"/>
      <c r="X220" s="67" t="str">
        <f t="shared" si="28"/>
        <v/>
      </c>
      <c r="Z220" s="71"/>
      <c r="AA220" s="71"/>
      <c r="AB220" s="67" t="str">
        <f t="shared" si="27"/>
        <v/>
      </c>
    </row>
    <row r="221" spans="1:28" x14ac:dyDescent="0.25">
      <c r="A221" s="59"/>
      <c r="B221" s="7"/>
      <c r="C221" s="59"/>
      <c r="D221" s="10"/>
      <c r="E221" s="40"/>
      <c r="F221" s="40"/>
      <c r="G221" s="40"/>
      <c r="H221" s="3" t="str">
        <f t="shared" si="23"/>
        <v/>
      </c>
      <c r="I221" s="3" t="str">
        <f t="shared" si="24"/>
        <v/>
      </c>
      <c r="J221" s="3" t="str">
        <f t="shared" si="25"/>
        <v/>
      </c>
      <c r="K221" s="3"/>
      <c r="L221" s="60" t="str">
        <f t="shared" si="26"/>
        <v/>
      </c>
      <c r="M221" s="40"/>
      <c r="N221" s="40"/>
      <c r="O221" s="40"/>
      <c r="P221" s="40"/>
      <c r="Q221" s="40"/>
      <c r="R221" s="40"/>
      <c r="S221" s="61" t="str">
        <f t="shared" si="22"/>
        <v/>
      </c>
      <c r="T221" s="40"/>
      <c r="U221" s="40"/>
      <c r="V221" s="40"/>
      <c r="W221" s="40"/>
      <c r="X221" s="67" t="str">
        <f t="shared" si="28"/>
        <v/>
      </c>
      <c r="Z221" s="71"/>
      <c r="AA221" s="71"/>
      <c r="AB221" s="67" t="str">
        <f t="shared" si="27"/>
        <v/>
      </c>
    </row>
    <row r="222" spans="1:28" x14ac:dyDescent="0.25">
      <c r="A222" s="59"/>
      <c r="B222" s="7"/>
      <c r="C222" s="59"/>
      <c r="D222" s="10"/>
      <c r="E222" s="40"/>
      <c r="F222" s="40"/>
      <c r="G222" s="40"/>
      <c r="H222" s="3" t="str">
        <f t="shared" si="23"/>
        <v/>
      </c>
      <c r="I222" s="3" t="str">
        <f t="shared" si="24"/>
        <v/>
      </c>
      <c r="J222" s="3" t="str">
        <f t="shared" si="25"/>
        <v/>
      </c>
      <c r="K222" s="3"/>
      <c r="L222" s="60" t="str">
        <f t="shared" si="26"/>
        <v/>
      </c>
      <c r="M222" s="40"/>
      <c r="N222" s="40"/>
      <c r="O222" s="40"/>
      <c r="P222" s="40"/>
      <c r="Q222" s="40"/>
      <c r="R222" s="40"/>
      <c r="S222" s="61" t="str">
        <f t="shared" si="22"/>
        <v/>
      </c>
      <c r="T222" s="40"/>
      <c r="U222" s="40"/>
      <c r="V222" s="40"/>
      <c r="W222" s="40"/>
      <c r="X222" s="67" t="str">
        <f t="shared" si="28"/>
        <v/>
      </c>
      <c r="Z222" s="71"/>
      <c r="AA222" s="71"/>
      <c r="AB222" s="67" t="str">
        <f t="shared" si="27"/>
        <v/>
      </c>
    </row>
    <row r="223" spans="1:28" x14ac:dyDescent="0.25">
      <c r="A223" s="59"/>
      <c r="B223" s="7"/>
      <c r="C223" s="59"/>
      <c r="D223" s="10"/>
      <c r="E223" s="40"/>
      <c r="F223" s="40"/>
      <c r="G223" s="40"/>
      <c r="H223" s="3" t="str">
        <f t="shared" si="23"/>
        <v/>
      </c>
      <c r="I223" s="3" t="str">
        <f t="shared" si="24"/>
        <v/>
      </c>
      <c r="J223" s="3" t="str">
        <f t="shared" si="25"/>
        <v/>
      </c>
      <c r="K223" s="3"/>
      <c r="L223" s="60" t="str">
        <f t="shared" si="26"/>
        <v/>
      </c>
      <c r="M223" s="40"/>
      <c r="N223" s="40"/>
      <c r="O223" s="40"/>
      <c r="P223" s="40"/>
      <c r="Q223" s="40"/>
      <c r="R223" s="40"/>
      <c r="S223" s="61" t="str">
        <f t="shared" si="22"/>
        <v/>
      </c>
      <c r="T223" s="40"/>
      <c r="U223" s="40"/>
      <c r="V223" s="40"/>
      <c r="W223" s="40"/>
      <c r="X223" s="67" t="str">
        <f t="shared" si="28"/>
        <v/>
      </c>
      <c r="Z223" s="71"/>
      <c r="AA223" s="71"/>
      <c r="AB223" s="67" t="str">
        <f t="shared" si="27"/>
        <v/>
      </c>
    </row>
    <row r="224" spans="1:28" x14ac:dyDescent="0.25">
      <c r="A224" s="59"/>
      <c r="B224" s="7"/>
      <c r="C224" s="59"/>
      <c r="D224" s="10"/>
      <c r="E224" s="40"/>
      <c r="F224" s="40"/>
      <c r="G224" s="40"/>
      <c r="H224" s="3" t="str">
        <f t="shared" si="23"/>
        <v/>
      </c>
      <c r="I224" s="3" t="str">
        <f t="shared" si="24"/>
        <v/>
      </c>
      <c r="J224" s="3" t="str">
        <f t="shared" si="25"/>
        <v/>
      </c>
      <c r="K224" s="3"/>
      <c r="L224" s="60" t="str">
        <f t="shared" si="26"/>
        <v/>
      </c>
      <c r="M224" s="40"/>
      <c r="N224" s="40"/>
      <c r="O224" s="40"/>
      <c r="P224" s="40"/>
      <c r="Q224" s="40"/>
      <c r="R224" s="40"/>
      <c r="S224" s="61" t="str">
        <f t="shared" si="22"/>
        <v/>
      </c>
      <c r="T224" s="40"/>
      <c r="U224" s="40"/>
      <c r="V224" s="40"/>
      <c r="W224" s="40"/>
      <c r="X224" s="67" t="str">
        <f t="shared" si="28"/>
        <v/>
      </c>
      <c r="Z224" s="71"/>
      <c r="AA224" s="71"/>
      <c r="AB224" s="67" t="str">
        <f t="shared" si="27"/>
        <v/>
      </c>
    </row>
    <row r="225" spans="1:28" x14ac:dyDescent="0.25">
      <c r="A225" s="59"/>
      <c r="B225" s="7"/>
      <c r="C225" s="59"/>
      <c r="D225" s="10"/>
      <c r="E225" s="40"/>
      <c r="F225" s="40"/>
      <c r="G225" s="40"/>
      <c r="H225" s="3" t="str">
        <f t="shared" si="23"/>
        <v/>
      </c>
      <c r="I225" s="3" t="str">
        <f t="shared" si="24"/>
        <v/>
      </c>
      <c r="J225" s="3" t="str">
        <f t="shared" si="25"/>
        <v/>
      </c>
      <c r="K225" s="3"/>
      <c r="L225" s="60" t="str">
        <f t="shared" si="26"/>
        <v/>
      </c>
      <c r="M225" s="40"/>
      <c r="N225" s="40"/>
      <c r="O225" s="40"/>
      <c r="P225" s="40"/>
      <c r="Q225" s="40"/>
      <c r="R225" s="40"/>
      <c r="S225" s="61" t="str">
        <f t="shared" si="22"/>
        <v/>
      </c>
      <c r="T225" s="40"/>
      <c r="U225" s="40"/>
      <c r="V225" s="40"/>
      <c r="W225" s="40"/>
      <c r="X225" s="67" t="str">
        <f t="shared" si="28"/>
        <v/>
      </c>
      <c r="Z225" s="71"/>
      <c r="AA225" s="71"/>
      <c r="AB225" s="67" t="str">
        <f t="shared" si="27"/>
        <v/>
      </c>
    </row>
    <row r="226" spans="1:28" x14ac:dyDescent="0.25">
      <c r="A226" s="59"/>
      <c r="B226" s="7"/>
      <c r="C226" s="59"/>
      <c r="D226" s="10"/>
      <c r="E226" s="40"/>
      <c r="F226" s="40"/>
      <c r="G226" s="40"/>
      <c r="H226" s="3" t="str">
        <f t="shared" si="23"/>
        <v/>
      </c>
      <c r="I226" s="3" t="str">
        <f t="shared" si="24"/>
        <v/>
      </c>
      <c r="J226" s="3" t="str">
        <f t="shared" si="25"/>
        <v/>
      </c>
      <c r="K226" s="3"/>
      <c r="L226" s="60" t="str">
        <f t="shared" si="26"/>
        <v/>
      </c>
      <c r="M226" s="40"/>
      <c r="N226" s="40"/>
      <c r="O226" s="40"/>
      <c r="P226" s="40"/>
      <c r="Q226" s="40"/>
      <c r="R226" s="40"/>
      <c r="S226" s="61" t="str">
        <f t="shared" si="22"/>
        <v/>
      </c>
      <c r="T226" s="40"/>
      <c r="U226" s="40"/>
      <c r="V226" s="40"/>
      <c r="W226" s="40"/>
      <c r="X226" s="67" t="str">
        <f t="shared" si="28"/>
        <v/>
      </c>
      <c r="Z226" s="71"/>
      <c r="AA226" s="71"/>
      <c r="AB226" s="67" t="str">
        <f t="shared" si="27"/>
        <v/>
      </c>
    </row>
    <row r="227" spans="1:28" x14ac:dyDescent="0.25">
      <c r="A227" s="59"/>
      <c r="B227" s="7"/>
      <c r="C227" s="59"/>
      <c r="D227" s="10"/>
      <c r="E227" s="40"/>
      <c r="F227" s="40"/>
      <c r="G227" s="40"/>
      <c r="H227" s="3" t="str">
        <f t="shared" si="23"/>
        <v/>
      </c>
      <c r="I227" s="3" t="str">
        <f t="shared" si="24"/>
        <v/>
      </c>
      <c r="J227" s="3" t="str">
        <f t="shared" si="25"/>
        <v/>
      </c>
      <c r="K227" s="3"/>
      <c r="L227" s="60" t="str">
        <f t="shared" si="26"/>
        <v/>
      </c>
      <c r="M227" s="40"/>
      <c r="N227" s="40"/>
      <c r="O227" s="40"/>
      <c r="P227" s="40"/>
      <c r="Q227" s="40"/>
      <c r="R227" s="40"/>
      <c r="S227" s="61" t="str">
        <f t="shared" si="22"/>
        <v/>
      </c>
      <c r="T227" s="40"/>
      <c r="U227" s="40"/>
      <c r="V227" s="40"/>
      <c r="W227" s="40"/>
      <c r="X227" s="67" t="str">
        <f t="shared" si="28"/>
        <v/>
      </c>
      <c r="Z227" s="71"/>
      <c r="AA227" s="71"/>
      <c r="AB227" s="67" t="str">
        <f t="shared" si="27"/>
        <v/>
      </c>
    </row>
    <row r="228" spans="1:28" x14ac:dyDescent="0.25">
      <c r="A228" s="59"/>
      <c r="B228" s="7"/>
      <c r="C228" s="59"/>
      <c r="D228" s="10"/>
      <c r="E228" s="40"/>
      <c r="F228" s="40"/>
      <c r="G228" s="40"/>
      <c r="H228" s="3" t="str">
        <f t="shared" si="23"/>
        <v/>
      </c>
      <c r="I228" s="3" t="str">
        <f t="shared" si="24"/>
        <v/>
      </c>
      <c r="J228" s="3" t="str">
        <f t="shared" si="25"/>
        <v/>
      </c>
      <c r="K228" s="3"/>
      <c r="L228" s="60" t="str">
        <f t="shared" si="26"/>
        <v/>
      </c>
      <c r="M228" s="40"/>
      <c r="N228" s="40"/>
      <c r="O228" s="40"/>
      <c r="P228" s="40"/>
      <c r="Q228" s="40"/>
      <c r="R228" s="40"/>
      <c r="S228" s="61" t="str">
        <f t="shared" si="22"/>
        <v/>
      </c>
      <c r="T228" s="40"/>
      <c r="U228" s="40"/>
      <c r="V228" s="40"/>
      <c r="W228" s="40"/>
      <c r="X228" s="67" t="str">
        <f t="shared" si="28"/>
        <v/>
      </c>
      <c r="Z228" s="71"/>
      <c r="AA228" s="71"/>
      <c r="AB228" s="67" t="str">
        <f t="shared" si="27"/>
        <v/>
      </c>
    </row>
    <row r="229" spans="1:28" x14ac:dyDescent="0.25">
      <c r="A229" s="59"/>
      <c r="B229" s="7"/>
      <c r="C229" s="59"/>
      <c r="D229" s="10"/>
      <c r="E229" s="40"/>
      <c r="F229" s="40"/>
      <c r="G229" s="40"/>
      <c r="H229" s="3" t="str">
        <f t="shared" si="23"/>
        <v/>
      </c>
      <c r="I229" s="3" t="str">
        <f t="shared" si="24"/>
        <v/>
      </c>
      <c r="J229" s="3" t="str">
        <f t="shared" si="25"/>
        <v/>
      </c>
      <c r="K229" s="3"/>
      <c r="L229" s="60" t="str">
        <f t="shared" si="26"/>
        <v/>
      </c>
      <c r="M229" s="40"/>
      <c r="N229" s="40"/>
      <c r="O229" s="40"/>
      <c r="P229" s="40"/>
      <c r="Q229" s="40"/>
      <c r="R229" s="40"/>
      <c r="S229" s="61" t="str">
        <f t="shared" si="22"/>
        <v/>
      </c>
      <c r="T229" s="40"/>
      <c r="U229" s="40"/>
      <c r="V229" s="40"/>
      <c r="W229" s="40"/>
      <c r="X229" s="67" t="str">
        <f t="shared" si="28"/>
        <v/>
      </c>
      <c r="Z229" s="71"/>
      <c r="AA229" s="71"/>
      <c r="AB229" s="67" t="str">
        <f t="shared" si="27"/>
        <v/>
      </c>
    </row>
    <row r="230" spans="1:28" x14ac:dyDescent="0.25">
      <c r="A230" s="59"/>
      <c r="B230" s="7"/>
      <c r="C230" s="59"/>
      <c r="D230" s="10"/>
      <c r="E230" s="40"/>
      <c r="F230" s="40"/>
      <c r="G230" s="40"/>
      <c r="H230" s="3" t="str">
        <f t="shared" si="23"/>
        <v/>
      </c>
      <c r="I230" s="3" t="str">
        <f t="shared" si="24"/>
        <v/>
      </c>
      <c r="J230" s="3" t="str">
        <f t="shared" si="25"/>
        <v/>
      </c>
      <c r="K230" s="3"/>
      <c r="L230" s="60" t="str">
        <f t="shared" si="26"/>
        <v/>
      </c>
      <c r="M230" s="40"/>
      <c r="N230" s="40"/>
      <c r="O230" s="40"/>
      <c r="P230" s="40"/>
      <c r="Q230" s="40"/>
      <c r="R230" s="40"/>
      <c r="S230" s="61" t="str">
        <f t="shared" si="22"/>
        <v/>
      </c>
      <c r="T230" s="40"/>
      <c r="U230" s="40"/>
      <c r="V230" s="40"/>
      <c r="W230" s="40"/>
      <c r="X230" s="67" t="str">
        <f t="shared" si="28"/>
        <v/>
      </c>
      <c r="Z230" s="71"/>
      <c r="AA230" s="71"/>
      <c r="AB230" s="67" t="str">
        <f t="shared" si="27"/>
        <v/>
      </c>
    </row>
    <row r="231" spans="1:28" x14ac:dyDescent="0.25">
      <c r="A231" s="59"/>
      <c r="B231" s="7"/>
      <c r="C231" s="59"/>
      <c r="D231" s="10"/>
      <c r="E231" s="40"/>
      <c r="F231" s="40"/>
      <c r="G231" s="40"/>
      <c r="H231" s="3" t="str">
        <f t="shared" si="23"/>
        <v/>
      </c>
      <c r="I231" s="3" t="str">
        <f t="shared" si="24"/>
        <v/>
      </c>
      <c r="J231" s="3" t="str">
        <f t="shared" si="25"/>
        <v/>
      </c>
      <c r="K231" s="3"/>
      <c r="L231" s="60" t="str">
        <f t="shared" si="26"/>
        <v/>
      </c>
      <c r="M231" s="40"/>
      <c r="N231" s="40"/>
      <c r="O231" s="40"/>
      <c r="P231" s="40"/>
      <c r="Q231" s="40"/>
      <c r="R231" s="40"/>
      <c r="S231" s="61" t="str">
        <f t="shared" si="22"/>
        <v/>
      </c>
      <c r="T231" s="40"/>
      <c r="U231" s="40"/>
      <c r="V231" s="40"/>
      <c r="W231" s="40"/>
      <c r="X231" s="67" t="str">
        <f t="shared" si="28"/>
        <v/>
      </c>
      <c r="Z231" s="71"/>
      <c r="AA231" s="71"/>
      <c r="AB231" s="67" t="str">
        <f t="shared" si="27"/>
        <v/>
      </c>
    </row>
    <row r="232" spans="1:28" x14ac:dyDescent="0.25">
      <c r="A232" s="59"/>
      <c r="B232" s="7"/>
      <c r="C232" s="59"/>
      <c r="D232" s="10"/>
      <c r="E232" s="40"/>
      <c r="F232" s="40"/>
      <c r="G232" s="40"/>
      <c r="H232" s="3" t="str">
        <f t="shared" si="23"/>
        <v/>
      </c>
      <c r="I232" s="3" t="str">
        <f t="shared" si="24"/>
        <v/>
      </c>
      <c r="J232" s="3" t="str">
        <f t="shared" si="25"/>
        <v/>
      </c>
      <c r="K232" s="3"/>
      <c r="L232" s="60" t="str">
        <f t="shared" si="26"/>
        <v/>
      </c>
      <c r="M232" s="40"/>
      <c r="N232" s="40"/>
      <c r="O232" s="40"/>
      <c r="P232" s="40"/>
      <c r="Q232" s="40"/>
      <c r="R232" s="40"/>
      <c r="S232" s="61" t="str">
        <f t="shared" si="22"/>
        <v/>
      </c>
      <c r="T232" s="40"/>
      <c r="U232" s="40"/>
      <c r="V232" s="40"/>
      <c r="W232" s="40"/>
      <c r="X232" s="67" t="str">
        <f t="shared" si="28"/>
        <v/>
      </c>
      <c r="Z232" s="71"/>
      <c r="AA232" s="71"/>
      <c r="AB232" s="67" t="str">
        <f t="shared" si="27"/>
        <v/>
      </c>
    </row>
    <row r="233" spans="1:28" x14ac:dyDescent="0.25">
      <c r="A233" s="59"/>
      <c r="B233" s="7"/>
      <c r="C233" s="59"/>
      <c r="D233" s="10"/>
      <c r="E233" s="40"/>
      <c r="F233" s="40"/>
      <c r="G233" s="40"/>
      <c r="H233" s="3" t="str">
        <f t="shared" si="23"/>
        <v/>
      </c>
      <c r="I233" s="3" t="str">
        <f t="shared" si="24"/>
        <v/>
      </c>
      <c r="J233" s="3" t="str">
        <f t="shared" si="25"/>
        <v/>
      </c>
      <c r="K233" s="3"/>
      <c r="L233" s="60" t="str">
        <f t="shared" si="26"/>
        <v/>
      </c>
      <c r="M233" s="40"/>
      <c r="N233" s="40"/>
      <c r="O233" s="40"/>
      <c r="P233" s="40"/>
      <c r="Q233" s="40"/>
      <c r="R233" s="40"/>
      <c r="S233" s="61" t="str">
        <f t="shared" ref="S233:S296" si="29">IF(C233="","",(S232+R233)-(M233+N233+O233+P233+Q233))</f>
        <v/>
      </c>
      <c r="T233" s="40"/>
      <c r="U233" s="40"/>
      <c r="V233" s="40"/>
      <c r="W233" s="40"/>
      <c r="X233" s="67" t="str">
        <f t="shared" si="28"/>
        <v/>
      </c>
      <c r="Z233" s="71"/>
      <c r="AA233" s="71"/>
      <c r="AB233" s="67" t="str">
        <f t="shared" si="27"/>
        <v/>
      </c>
    </row>
    <row r="234" spans="1:28" x14ac:dyDescent="0.25">
      <c r="A234" s="59"/>
      <c r="B234" s="7"/>
      <c r="C234" s="59"/>
      <c r="D234" s="10"/>
      <c r="E234" s="40"/>
      <c r="F234" s="40"/>
      <c r="G234" s="40"/>
      <c r="H234" s="3" t="str">
        <f t="shared" si="23"/>
        <v/>
      </c>
      <c r="I234" s="3" t="str">
        <f t="shared" si="24"/>
        <v/>
      </c>
      <c r="J234" s="3" t="str">
        <f t="shared" si="25"/>
        <v/>
      </c>
      <c r="K234" s="3"/>
      <c r="L234" s="60" t="str">
        <f t="shared" si="26"/>
        <v/>
      </c>
      <c r="M234" s="40"/>
      <c r="N234" s="40"/>
      <c r="O234" s="40"/>
      <c r="P234" s="40"/>
      <c r="Q234" s="40"/>
      <c r="R234" s="40"/>
      <c r="S234" s="61" t="str">
        <f t="shared" si="29"/>
        <v/>
      </c>
      <c r="T234" s="40"/>
      <c r="U234" s="40"/>
      <c r="V234" s="40"/>
      <c r="W234" s="40"/>
      <c r="X234" s="67" t="str">
        <f t="shared" si="28"/>
        <v/>
      </c>
      <c r="Z234" s="71"/>
      <c r="AA234" s="71"/>
      <c r="AB234" s="67" t="str">
        <f t="shared" si="27"/>
        <v/>
      </c>
    </row>
    <row r="235" spans="1:28" x14ac:dyDescent="0.25">
      <c r="A235" s="59"/>
      <c r="B235" s="7"/>
      <c r="C235" s="59"/>
      <c r="D235" s="10"/>
      <c r="E235" s="40"/>
      <c r="F235" s="40"/>
      <c r="G235" s="40"/>
      <c r="H235" s="3" t="str">
        <f t="shared" si="23"/>
        <v/>
      </c>
      <c r="I235" s="3" t="str">
        <f t="shared" si="24"/>
        <v/>
      </c>
      <c r="J235" s="3" t="str">
        <f t="shared" si="25"/>
        <v/>
      </c>
      <c r="K235" s="3"/>
      <c r="L235" s="60" t="str">
        <f t="shared" si="26"/>
        <v/>
      </c>
      <c r="M235" s="40"/>
      <c r="N235" s="40"/>
      <c r="O235" s="40"/>
      <c r="P235" s="40"/>
      <c r="Q235" s="40"/>
      <c r="R235" s="40"/>
      <c r="S235" s="61" t="str">
        <f t="shared" si="29"/>
        <v/>
      </c>
      <c r="T235" s="40"/>
      <c r="U235" s="40"/>
      <c r="V235" s="40"/>
      <c r="W235" s="40"/>
      <c r="X235" s="67" t="str">
        <f t="shared" si="28"/>
        <v/>
      </c>
      <c r="Z235" s="71"/>
      <c r="AA235" s="71"/>
      <c r="AB235" s="67" t="str">
        <f t="shared" si="27"/>
        <v/>
      </c>
    </row>
    <row r="236" spans="1:28" x14ac:dyDescent="0.25">
      <c r="A236" s="59"/>
      <c r="B236" s="7"/>
      <c r="C236" s="59"/>
      <c r="D236" s="10"/>
      <c r="E236" s="40"/>
      <c r="F236" s="40"/>
      <c r="G236" s="40"/>
      <c r="H236" s="3" t="str">
        <f t="shared" si="23"/>
        <v/>
      </c>
      <c r="I236" s="3" t="str">
        <f t="shared" si="24"/>
        <v/>
      </c>
      <c r="J236" s="3" t="str">
        <f t="shared" si="25"/>
        <v/>
      </c>
      <c r="K236" s="3"/>
      <c r="L236" s="60" t="str">
        <f t="shared" si="26"/>
        <v/>
      </c>
      <c r="M236" s="40"/>
      <c r="N236" s="40"/>
      <c r="O236" s="40"/>
      <c r="P236" s="40"/>
      <c r="Q236" s="40"/>
      <c r="R236" s="40"/>
      <c r="S236" s="61" t="str">
        <f t="shared" si="29"/>
        <v/>
      </c>
      <c r="T236" s="40"/>
      <c r="U236" s="40"/>
      <c r="V236" s="40"/>
      <c r="W236" s="40"/>
      <c r="X236" s="67" t="str">
        <f t="shared" si="28"/>
        <v/>
      </c>
      <c r="Z236" s="71"/>
      <c r="AA236" s="71"/>
      <c r="AB236" s="67" t="str">
        <f t="shared" si="27"/>
        <v/>
      </c>
    </row>
    <row r="237" spans="1:28" x14ac:dyDescent="0.25">
      <c r="A237" s="59"/>
      <c r="B237" s="7"/>
      <c r="C237" s="59"/>
      <c r="D237" s="10"/>
      <c r="E237" s="40"/>
      <c r="F237" s="40"/>
      <c r="G237" s="40"/>
      <c r="H237" s="3" t="str">
        <f t="shared" si="23"/>
        <v/>
      </c>
      <c r="I237" s="3" t="str">
        <f t="shared" si="24"/>
        <v/>
      </c>
      <c r="J237" s="3" t="str">
        <f t="shared" si="25"/>
        <v/>
      </c>
      <c r="K237" s="3"/>
      <c r="L237" s="60" t="str">
        <f t="shared" si="26"/>
        <v/>
      </c>
      <c r="M237" s="40"/>
      <c r="N237" s="40"/>
      <c r="O237" s="40"/>
      <c r="P237" s="40"/>
      <c r="Q237" s="40"/>
      <c r="R237" s="40"/>
      <c r="S237" s="61" t="str">
        <f t="shared" si="29"/>
        <v/>
      </c>
      <c r="T237" s="40"/>
      <c r="U237" s="40"/>
      <c r="V237" s="40"/>
      <c r="W237" s="40"/>
      <c r="X237" s="67" t="str">
        <f t="shared" si="28"/>
        <v/>
      </c>
      <c r="Z237" s="71"/>
      <c r="AA237" s="71"/>
      <c r="AB237" s="67" t="str">
        <f t="shared" si="27"/>
        <v/>
      </c>
    </row>
    <row r="238" spans="1:28" x14ac:dyDescent="0.25">
      <c r="A238" s="59"/>
      <c r="B238" s="7"/>
      <c r="C238" s="59"/>
      <c r="D238" s="10"/>
      <c r="E238" s="40"/>
      <c r="F238" s="40"/>
      <c r="G238" s="40"/>
      <c r="H238" s="3" t="str">
        <f t="shared" si="23"/>
        <v/>
      </c>
      <c r="I238" s="3" t="str">
        <f t="shared" si="24"/>
        <v/>
      </c>
      <c r="J238" s="3" t="str">
        <f t="shared" si="25"/>
        <v/>
      </c>
      <c r="K238" s="3"/>
      <c r="L238" s="60" t="str">
        <f t="shared" si="26"/>
        <v/>
      </c>
      <c r="M238" s="40"/>
      <c r="N238" s="40"/>
      <c r="O238" s="40"/>
      <c r="P238" s="40"/>
      <c r="Q238" s="40"/>
      <c r="R238" s="40"/>
      <c r="S238" s="61" t="str">
        <f t="shared" si="29"/>
        <v/>
      </c>
      <c r="T238" s="40"/>
      <c r="U238" s="40"/>
      <c r="V238" s="40"/>
      <c r="W238" s="40"/>
      <c r="X238" s="67" t="str">
        <f t="shared" si="28"/>
        <v/>
      </c>
      <c r="Z238" s="71"/>
      <c r="AA238" s="71"/>
      <c r="AB238" s="67" t="str">
        <f t="shared" si="27"/>
        <v/>
      </c>
    </row>
    <row r="239" spans="1:28" x14ac:dyDescent="0.25">
      <c r="A239" s="59"/>
      <c r="B239" s="7"/>
      <c r="C239" s="59"/>
      <c r="D239" s="10"/>
      <c r="E239" s="40"/>
      <c r="F239" s="40"/>
      <c r="G239" s="40"/>
      <c r="H239" s="3" t="str">
        <f t="shared" si="23"/>
        <v/>
      </c>
      <c r="I239" s="3" t="str">
        <f t="shared" si="24"/>
        <v/>
      </c>
      <c r="J239" s="3" t="str">
        <f t="shared" si="25"/>
        <v/>
      </c>
      <c r="K239" s="3"/>
      <c r="L239" s="60" t="str">
        <f t="shared" si="26"/>
        <v/>
      </c>
      <c r="M239" s="40"/>
      <c r="N239" s="40"/>
      <c r="O239" s="40"/>
      <c r="P239" s="40"/>
      <c r="Q239" s="40"/>
      <c r="R239" s="40"/>
      <c r="S239" s="61" t="str">
        <f t="shared" si="29"/>
        <v/>
      </c>
      <c r="T239" s="40"/>
      <c r="U239" s="40"/>
      <c r="V239" s="40"/>
      <c r="W239" s="40"/>
      <c r="X239" s="67" t="str">
        <f t="shared" si="28"/>
        <v/>
      </c>
      <c r="Z239" s="71"/>
      <c r="AA239" s="71"/>
      <c r="AB239" s="67" t="str">
        <f t="shared" si="27"/>
        <v/>
      </c>
    </row>
    <row r="240" spans="1:28" x14ac:dyDescent="0.25">
      <c r="A240" s="59"/>
      <c r="B240" s="7"/>
      <c r="C240" s="59"/>
      <c r="D240" s="10"/>
      <c r="E240" s="40"/>
      <c r="F240" s="40"/>
      <c r="G240" s="40"/>
      <c r="H240" s="3" t="str">
        <f t="shared" si="23"/>
        <v/>
      </c>
      <c r="I240" s="3" t="str">
        <f t="shared" si="24"/>
        <v/>
      </c>
      <c r="J240" s="3" t="str">
        <f t="shared" si="25"/>
        <v/>
      </c>
      <c r="K240" s="3"/>
      <c r="L240" s="60" t="str">
        <f t="shared" si="26"/>
        <v/>
      </c>
      <c r="M240" s="40"/>
      <c r="N240" s="40"/>
      <c r="O240" s="40"/>
      <c r="P240" s="40"/>
      <c r="Q240" s="40"/>
      <c r="R240" s="40"/>
      <c r="S240" s="61" t="str">
        <f t="shared" si="29"/>
        <v/>
      </c>
      <c r="T240" s="40"/>
      <c r="U240" s="40"/>
      <c r="V240" s="40"/>
      <c r="W240" s="40"/>
      <c r="X240" s="67" t="str">
        <f t="shared" si="28"/>
        <v/>
      </c>
      <c r="Z240" s="71"/>
      <c r="AA240" s="71"/>
      <c r="AB240" s="67" t="str">
        <f t="shared" si="27"/>
        <v/>
      </c>
    </row>
    <row r="241" spans="1:28" x14ac:dyDescent="0.25">
      <c r="A241" s="59"/>
      <c r="B241" s="7"/>
      <c r="C241" s="59"/>
      <c r="D241" s="10"/>
      <c r="E241" s="40"/>
      <c r="F241" s="40"/>
      <c r="G241" s="40"/>
      <c r="H241" s="3" t="str">
        <f t="shared" si="23"/>
        <v/>
      </c>
      <c r="I241" s="3" t="str">
        <f t="shared" si="24"/>
        <v/>
      </c>
      <c r="J241" s="3" t="str">
        <f t="shared" si="25"/>
        <v/>
      </c>
      <c r="K241" s="3"/>
      <c r="L241" s="60" t="str">
        <f t="shared" si="26"/>
        <v/>
      </c>
      <c r="M241" s="40"/>
      <c r="N241" s="40"/>
      <c r="O241" s="40"/>
      <c r="P241" s="40"/>
      <c r="Q241" s="40"/>
      <c r="R241" s="40"/>
      <c r="S241" s="61" t="str">
        <f t="shared" si="29"/>
        <v/>
      </c>
      <c r="T241" s="40"/>
      <c r="U241" s="40"/>
      <c r="V241" s="40"/>
      <c r="W241" s="40"/>
      <c r="X241" s="67" t="str">
        <f t="shared" si="28"/>
        <v/>
      </c>
      <c r="Z241" s="71"/>
      <c r="AA241" s="71"/>
      <c r="AB241" s="67" t="str">
        <f t="shared" si="27"/>
        <v/>
      </c>
    </row>
    <row r="242" spans="1:28" x14ac:dyDescent="0.25">
      <c r="A242" s="59"/>
      <c r="B242" s="7"/>
      <c r="C242" s="59"/>
      <c r="D242" s="10"/>
      <c r="E242" s="40"/>
      <c r="F242" s="40"/>
      <c r="G242" s="40"/>
      <c r="H242" s="3" t="str">
        <f t="shared" si="23"/>
        <v/>
      </c>
      <c r="I242" s="3" t="str">
        <f t="shared" si="24"/>
        <v/>
      </c>
      <c r="J242" s="3" t="str">
        <f t="shared" si="25"/>
        <v/>
      </c>
      <c r="K242" s="3"/>
      <c r="L242" s="60" t="str">
        <f t="shared" si="26"/>
        <v/>
      </c>
      <c r="M242" s="40"/>
      <c r="N242" s="40"/>
      <c r="O242" s="40"/>
      <c r="P242" s="40"/>
      <c r="Q242" s="40"/>
      <c r="R242" s="40"/>
      <c r="S242" s="61" t="str">
        <f t="shared" si="29"/>
        <v/>
      </c>
      <c r="T242" s="40"/>
      <c r="U242" s="40"/>
      <c r="V242" s="40"/>
      <c r="W242" s="40"/>
      <c r="X242" s="67" t="str">
        <f t="shared" si="28"/>
        <v/>
      </c>
      <c r="Z242" s="71"/>
      <c r="AA242" s="71"/>
      <c r="AB242" s="67" t="str">
        <f t="shared" si="27"/>
        <v/>
      </c>
    </row>
    <row r="243" spans="1:28" x14ac:dyDescent="0.25">
      <c r="A243" s="59"/>
      <c r="B243" s="7"/>
      <c r="C243" s="59"/>
      <c r="D243" s="10"/>
      <c r="E243" s="40"/>
      <c r="F243" s="40"/>
      <c r="G243" s="40"/>
      <c r="H243" s="3" t="str">
        <f t="shared" si="23"/>
        <v/>
      </c>
      <c r="I243" s="3" t="str">
        <f t="shared" si="24"/>
        <v/>
      </c>
      <c r="J243" s="3" t="str">
        <f t="shared" si="25"/>
        <v/>
      </c>
      <c r="K243" s="3"/>
      <c r="L243" s="60" t="str">
        <f t="shared" si="26"/>
        <v/>
      </c>
      <c r="M243" s="40"/>
      <c r="N243" s="40"/>
      <c r="O243" s="40"/>
      <c r="P243" s="40"/>
      <c r="Q243" s="40"/>
      <c r="R243" s="40"/>
      <c r="S243" s="61" t="str">
        <f t="shared" si="29"/>
        <v/>
      </c>
      <c r="T243" s="40"/>
      <c r="U243" s="40"/>
      <c r="V243" s="40"/>
      <c r="W243" s="40"/>
      <c r="X243" s="67" t="str">
        <f t="shared" si="28"/>
        <v/>
      </c>
      <c r="Z243" s="71"/>
      <c r="AA243" s="71"/>
      <c r="AB243" s="67" t="str">
        <f t="shared" si="27"/>
        <v/>
      </c>
    </row>
    <row r="244" spans="1:28" x14ac:dyDescent="0.25">
      <c r="A244" s="59"/>
      <c r="B244" s="7"/>
      <c r="C244" s="59"/>
      <c r="D244" s="10"/>
      <c r="E244" s="40"/>
      <c r="F244" s="40"/>
      <c r="G244" s="40"/>
      <c r="H244" s="3" t="str">
        <f t="shared" si="23"/>
        <v/>
      </c>
      <c r="I244" s="3" t="str">
        <f t="shared" si="24"/>
        <v/>
      </c>
      <c r="J244" s="3" t="str">
        <f t="shared" si="25"/>
        <v/>
      </c>
      <c r="K244" s="59"/>
      <c r="L244" s="60" t="str">
        <f t="shared" si="26"/>
        <v/>
      </c>
      <c r="M244" s="40"/>
      <c r="N244" s="40"/>
      <c r="O244" s="40"/>
      <c r="P244" s="40"/>
      <c r="Q244" s="40"/>
      <c r="R244" s="40"/>
      <c r="S244" s="61"/>
      <c r="T244" s="40"/>
      <c r="U244" s="40"/>
      <c r="V244" s="40"/>
      <c r="W244" s="40"/>
      <c r="X244" s="67"/>
      <c r="Z244" s="71"/>
      <c r="AA244" s="71"/>
      <c r="AB244" s="67" t="str">
        <f t="shared" si="27"/>
        <v/>
      </c>
    </row>
    <row r="245" spans="1:28" x14ac:dyDescent="0.25">
      <c r="A245" s="59"/>
      <c r="B245" s="7"/>
      <c r="C245" s="59"/>
      <c r="D245" s="10"/>
      <c r="E245" s="40"/>
      <c r="F245" s="40"/>
      <c r="G245" s="40"/>
      <c r="H245" s="3" t="str">
        <f t="shared" si="23"/>
        <v/>
      </c>
      <c r="I245" s="3" t="str">
        <f t="shared" si="24"/>
        <v/>
      </c>
      <c r="J245" s="3" t="str">
        <f t="shared" si="25"/>
        <v/>
      </c>
      <c r="K245" s="3"/>
      <c r="L245" s="60" t="str">
        <f t="shared" si="26"/>
        <v/>
      </c>
      <c r="M245" s="40"/>
      <c r="N245" s="40"/>
      <c r="O245" s="40"/>
      <c r="P245" s="40"/>
      <c r="Q245" s="40"/>
      <c r="R245" s="40"/>
      <c r="S245" s="61" t="str">
        <f>IF(C245="","",(S243+R245)-(M245+N245+O245+P245+Q245))</f>
        <v/>
      </c>
      <c r="T245" s="40"/>
      <c r="U245" s="40"/>
      <c r="V245" s="40"/>
      <c r="W245" s="40"/>
      <c r="X245" s="67" t="str">
        <f>IF(V245="","",((X243+T245+U245)-(V245+W245)))</f>
        <v/>
      </c>
      <c r="Z245" s="71"/>
      <c r="AA245" s="71"/>
      <c r="AB245" s="67" t="str">
        <f t="shared" si="27"/>
        <v/>
      </c>
    </row>
    <row r="246" spans="1:28" x14ac:dyDescent="0.25">
      <c r="A246" s="59"/>
      <c r="B246" s="7"/>
      <c r="C246" s="59"/>
      <c r="D246" s="10"/>
      <c r="E246" s="40"/>
      <c r="F246" s="40"/>
      <c r="G246" s="40"/>
      <c r="H246" s="3" t="str">
        <f t="shared" si="23"/>
        <v/>
      </c>
      <c r="I246" s="3" t="str">
        <f t="shared" si="24"/>
        <v/>
      </c>
      <c r="J246" s="3" t="str">
        <f t="shared" si="25"/>
        <v/>
      </c>
      <c r="K246" s="3"/>
      <c r="L246" s="60" t="str">
        <f t="shared" si="26"/>
        <v/>
      </c>
      <c r="M246" s="40"/>
      <c r="N246" s="40"/>
      <c r="O246" s="40"/>
      <c r="P246" s="40"/>
      <c r="Q246" s="40"/>
      <c r="R246" s="40"/>
      <c r="S246" s="61" t="str">
        <f t="shared" si="29"/>
        <v/>
      </c>
      <c r="T246" s="40"/>
      <c r="U246" s="40"/>
      <c r="V246" s="40"/>
      <c r="W246" s="40"/>
      <c r="X246" s="67" t="str">
        <f t="shared" si="28"/>
        <v/>
      </c>
      <c r="Z246" s="71"/>
      <c r="AA246" s="71"/>
      <c r="AB246" s="67" t="str">
        <f t="shared" si="27"/>
        <v/>
      </c>
    </row>
    <row r="247" spans="1:28" x14ac:dyDescent="0.25">
      <c r="A247" s="59"/>
      <c r="B247" s="7"/>
      <c r="C247" s="59"/>
      <c r="D247" s="10"/>
      <c r="E247" s="40"/>
      <c r="F247" s="40"/>
      <c r="G247" s="40"/>
      <c r="H247" s="3" t="str">
        <f t="shared" si="23"/>
        <v/>
      </c>
      <c r="I247" s="3" t="str">
        <f t="shared" si="24"/>
        <v/>
      </c>
      <c r="J247" s="3" t="str">
        <f t="shared" si="25"/>
        <v/>
      </c>
      <c r="K247" s="3"/>
      <c r="L247" s="60" t="str">
        <f t="shared" si="26"/>
        <v/>
      </c>
      <c r="M247" s="40"/>
      <c r="N247" s="40"/>
      <c r="O247" s="40"/>
      <c r="P247" s="40"/>
      <c r="Q247" s="40"/>
      <c r="R247" s="40"/>
      <c r="S247" s="61" t="str">
        <f t="shared" si="29"/>
        <v/>
      </c>
      <c r="T247" s="40"/>
      <c r="U247" s="40"/>
      <c r="V247" s="40"/>
      <c r="W247" s="40"/>
      <c r="X247" s="67" t="str">
        <f t="shared" si="28"/>
        <v/>
      </c>
      <c r="Z247" s="71"/>
      <c r="AA247" s="71"/>
      <c r="AB247" s="67" t="str">
        <f t="shared" si="27"/>
        <v/>
      </c>
    </row>
    <row r="248" spans="1:28" x14ac:dyDescent="0.25">
      <c r="A248" s="59"/>
      <c r="B248" s="7"/>
      <c r="C248" s="59"/>
      <c r="D248" s="10"/>
      <c r="E248" s="40"/>
      <c r="F248" s="40"/>
      <c r="G248" s="40"/>
      <c r="H248" s="3" t="str">
        <f t="shared" si="23"/>
        <v/>
      </c>
      <c r="I248" s="3" t="str">
        <f t="shared" si="24"/>
        <v/>
      </c>
      <c r="J248" s="3" t="str">
        <f t="shared" si="25"/>
        <v/>
      </c>
      <c r="K248" s="3"/>
      <c r="L248" s="60" t="str">
        <f t="shared" si="26"/>
        <v/>
      </c>
      <c r="M248" s="40"/>
      <c r="N248" s="40"/>
      <c r="O248" s="40"/>
      <c r="P248" s="40"/>
      <c r="Q248" s="40"/>
      <c r="R248" s="40"/>
      <c r="S248" s="61" t="str">
        <f t="shared" si="29"/>
        <v/>
      </c>
      <c r="T248" s="40"/>
      <c r="U248" s="40"/>
      <c r="V248" s="40"/>
      <c r="W248" s="40"/>
      <c r="X248" s="67" t="str">
        <f t="shared" si="28"/>
        <v/>
      </c>
      <c r="Z248" s="71"/>
      <c r="AA248" s="71"/>
      <c r="AB248" s="67" t="str">
        <f t="shared" si="27"/>
        <v/>
      </c>
    </row>
    <row r="249" spans="1:28" x14ac:dyDescent="0.25">
      <c r="A249" s="59"/>
      <c r="B249" s="7"/>
      <c r="C249" s="59"/>
      <c r="D249" s="10"/>
      <c r="E249" s="40"/>
      <c r="F249" s="40"/>
      <c r="G249" s="40"/>
      <c r="H249" s="3" t="str">
        <f t="shared" si="23"/>
        <v/>
      </c>
      <c r="I249" s="3" t="str">
        <f t="shared" si="24"/>
        <v/>
      </c>
      <c r="J249" s="3" t="str">
        <f t="shared" si="25"/>
        <v/>
      </c>
      <c r="K249" s="3"/>
      <c r="L249" s="60" t="str">
        <f t="shared" si="26"/>
        <v/>
      </c>
      <c r="M249" s="40"/>
      <c r="N249" s="40"/>
      <c r="O249" s="40"/>
      <c r="P249" s="40"/>
      <c r="Q249" s="40"/>
      <c r="R249" s="40"/>
      <c r="S249" s="61" t="str">
        <f t="shared" si="29"/>
        <v/>
      </c>
      <c r="T249" s="40"/>
      <c r="U249" s="40"/>
      <c r="V249" s="40"/>
      <c r="W249" s="40"/>
      <c r="X249" s="67" t="str">
        <f t="shared" si="28"/>
        <v/>
      </c>
      <c r="Z249" s="71"/>
      <c r="AA249" s="71"/>
      <c r="AB249" s="67" t="str">
        <f t="shared" si="27"/>
        <v/>
      </c>
    </row>
    <row r="250" spans="1:28" x14ac:dyDescent="0.25">
      <c r="A250" s="59"/>
      <c r="B250" s="7"/>
      <c r="C250" s="59"/>
      <c r="D250" s="10"/>
      <c r="E250" s="40"/>
      <c r="F250" s="40"/>
      <c r="G250" s="40"/>
      <c r="H250" s="3" t="str">
        <f t="shared" si="23"/>
        <v/>
      </c>
      <c r="I250" s="3" t="str">
        <f t="shared" si="24"/>
        <v/>
      </c>
      <c r="J250" s="3" t="str">
        <f t="shared" si="25"/>
        <v/>
      </c>
      <c r="K250" s="3"/>
      <c r="L250" s="60" t="str">
        <f t="shared" si="26"/>
        <v/>
      </c>
      <c r="M250" s="40"/>
      <c r="N250" s="40"/>
      <c r="O250" s="40"/>
      <c r="P250" s="40"/>
      <c r="Q250" s="40"/>
      <c r="R250" s="40"/>
      <c r="S250" s="61" t="str">
        <f t="shared" si="29"/>
        <v/>
      </c>
      <c r="T250" s="40"/>
      <c r="U250" s="40"/>
      <c r="V250" s="40"/>
      <c r="W250" s="40"/>
      <c r="X250" s="67" t="str">
        <f t="shared" si="28"/>
        <v/>
      </c>
      <c r="Z250" s="71"/>
      <c r="AA250" s="71"/>
      <c r="AB250" s="67" t="str">
        <f t="shared" si="27"/>
        <v/>
      </c>
    </row>
    <row r="251" spans="1:28" x14ac:dyDescent="0.25">
      <c r="A251" s="59"/>
      <c r="B251" s="7"/>
      <c r="C251" s="59"/>
      <c r="D251" s="10"/>
      <c r="E251" s="40"/>
      <c r="F251" s="40"/>
      <c r="G251" s="40"/>
      <c r="H251" s="3" t="str">
        <f t="shared" si="23"/>
        <v/>
      </c>
      <c r="I251" s="3" t="str">
        <f t="shared" si="24"/>
        <v/>
      </c>
      <c r="J251" s="3" t="str">
        <f t="shared" si="25"/>
        <v/>
      </c>
      <c r="K251" s="3"/>
      <c r="L251" s="60" t="str">
        <f t="shared" si="26"/>
        <v/>
      </c>
      <c r="M251" s="40"/>
      <c r="N251" s="40"/>
      <c r="O251" s="40"/>
      <c r="P251" s="40"/>
      <c r="Q251" s="40"/>
      <c r="R251" s="40"/>
      <c r="S251" s="61" t="str">
        <f t="shared" si="29"/>
        <v/>
      </c>
      <c r="T251" s="40"/>
      <c r="U251" s="40"/>
      <c r="V251" s="40"/>
      <c r="W251" s="40"/>
      <c r="X251" s="67" t="str">
        <f t="shared" si="28"/>
        <v/>
      </c>
      <c r="Z251" s="71"/>
      <c r="AA251" s="71"/>
      <c r="AB251" s="67" t="str">
        <f t="shared" si="27"/>
        <v/>
      </c>
    </row>
    <row r="252" spans="1:28" x14ac:dyDescent="0.25">
      <c r="A252" s="59"/>
      <c r="B252" s="7"/>
      <c r="C252" s="59"/>
      <c r="D252" s="10"/>
      <c r="E252" s="40"/>
      <c r="F252" s="40"/>
      <c r="G252" s="40"/>
      <c r="H252" s="3" t="str">
        <f t="shared" si="23"/>
        <v/>
      </c>
      <c r="I252" s="3" t="str">
        <f t="shared" si="24"/>
        <v/>
      </c>
      <c r="J252" s="3" t="str">
        <f t="shared" si="25"/>
        <v/>
      </c>
      <c r="K252" s="3"/>
      <c r="L252" s="60" t="str">
        <f t="shared" si="26"/>
        <v/>
      </c>
      <c r="M252" s="40"/>
      <c r="N252" s="40"/>
      <c r="O252" s="40"/>
      <c r="P252" s="40"/>
      <c r="Q252" s="40"/>
      <c r="R252" s="40"/>
      <c r="S252" s="61" t="str">
        <f t="shared" si="29"/>
        <v/>
      </c>
      <c r="T252" s="40"/>
      <c r="U252" s="40"/>
      <c r="V252" s="40"/>
      <c r="W252" s="40"/>
      <c r="X252" s="67" t="str">
        <f t="shared" si="28"/>
        <v/>
      </c>
      <c r="Z252" s="71"/>
      <c r="AA252" s="71"/>
      <c r="AB252" s="67" t="str">
        <f t="shared" si="27"/>
        <v/>
      </c>
    </row>
    <row r="253" spans="1:28" x14ac:dyDescent="0.25">
      <c r="A253" s="59"/>
      <c r="B253" s="7"/>
      <c r="C253" s="59"/>
      <c r="D253" s="10"/>
      <c r="E253" s="40"/>
      <c r="F253" s="40"/>
      <c r="G253" s="40"/>
      <c r="H253" s="3" t="str">
        <f t="shared" si="23"/>
        <v/>
      </c>
      <c r="I253" s="3" t="str">
        <f t="shared" si="24"/>
        <v/>
      </c>
      <c r="J253" s="3" t="str">
        <f t="shared" si="25"/>
        <v/>
      </c>
      <c r="K253" s="3"/>
      <c r="L253" s="60" t="str">
        <f t="shared" si="26"/>
        <v/>
      </c>
      <c r="M253" s="40"/>
      <c r="N253" s="40"/>
      <c r="O253" s="40"/>
      <c r="P253" s="40"/>
      <c r="Q253" s="40"/>
      <c r="R253" s="40"/>
      <c r="S253" s="61" t="str">
        <f t="shared" si="29"/>
        <v/>
      </c>
      <c r="T253" s="40"/>
      <c r="U253" s="40"/>
      <c r="V253" s="40"/>
      <c r="W253" s="40"/>
      <c r="X253" s="67" t="str">
        <f t="shared" si="28"/>
        <v/>
      </c>
      <c r="Z253" s="71"/>
      <c r="AA253" s="71"/>
      <c r="AB253" s="67" t="str">
        <f t="shared" si="27"/>
        <v/>
      </c>
    </row>
    <row r="254" spans="1:28" x14ac:dyDescent="0.25">
      <c r="A254" s="59"/>
      <c r="B254" s="7"/>
      <c r="C254" s="59"/>
      <c r="D254" s="10"/>
      <c r="E254" s="40"/>
      <c r="F254" s="40"/>
      <c r="G254" s="40"/>
      <c r="H254" s="3" t="str">
        <f t="shared" si="23"/>
        <v/>
      </c>
      <c r="I254" s="3" t="str">
        <f t="shared" si="24"/>
        <v/>
      </c>
      <c r="J254" s="3" t="str">
        <f t="shared" si="25"/>
        <v/>
      </c>
      <c r="K254" s="3"/>
      <c r="L254" s="60" t="str">
        <f t="shared" si="26"/>
        <v/>
      </c>
      <c r="M254" s="40"/>
      <c r="N254" s="40"/>
      <c r="O254" s="40"/>
      <c r="P254" s="40"/>
      <c r="Q254" s="40"/>
      <c r="R254" s="40"/>
      <c r="S254" s="61" t="str">
        <f t="shared" si="29"/>
        <v/>
      </c>
      <c r="T254" s="40"/>
      <c r="U254" s="40"/>
      <c r="V254" s="40"/>
      <c r="W254" s="40"/>
      <c r="X254" s="67" t="str">
        <f t="shared" si="28"/>
        <v/>
      </c>
      <c r="Z254" s="71"/>
      <c r="AA254" s="71"/>
      <c r="AB254" s="67" t="str">
        <f t="shared" si="27"/>
        <v/>
      </c>
    </row>
    <row r="255" spans="1:28" x14ac:dyDescent="0.25">
      <c r="A255" s="59"/>
      <c r="B255" s="7"/>
      <c r="C255" s="59"/>
      <c r="D255" s="10"/>
      <c r="E255" s="40"/>
      <c r="F255" s="40"/>
      <c r="G255" s="40"/>
      <c r="H255" s="3" t="str">
        <f t="shared" si="23"/>
        <v/>
      </c>
      <c r="I255" s="3" t="str">
        <f t="shared" si="24"/>
        <v/>
      </c>
      <c r="J255" s="3" t="str">
        <f t="shared" si="25"/>
        <v/>
      </c>
      <c r="K255" s="3"/>
      <c r="L255" s="60" t="str">
        <f t="shared" si="26"/>
        <v/>
      </c>
      <c r="M255" s="40"/>
      <c r="N255" s="40"/>
      <c r="O255" s="40"/>
      <c r="P255" s="40"/>
      <c r="Q255" s="40"/>
      <c r="R255" s="40"/>
      <c r="S255" s="61" t="str">
        <f t="shared" si="29"/>
        <v/>
      </c>
      <c r="T255" s="40"/>
      <c r="U255" s="40"/>
      <c r="V255" s="40"/>
      <c r="W255" s="40"/>
      <c r="X255" s="67" t="str">
        <f t="shared" si="28"/>
        <v/>
      </c>
      <c r="Z255" s="71"/>
      <c r="AA255" s="71"/>
      <c r="AB255" s="67" t="str">
        <f t="shared" si="27"/>
        <v/>
      </c>
    </row>
    <row r="256" spans="1:28" x14ac:dyDescent="0.25">
      <c r="A256" s="59"/>
      <c r="B256" s="7"/>
      <c r="C256" s="59"/>
      <c r="D256" s="10"/>
      <c r="E256" s="40"/>
      <c r="F256" s="40"/>
      <c r="G256" s="40"/>
      <c r="H256" s="3" t="str">
        <f t="shared" si="23"/>
        <v/>
      </c>
      <c r="I256" s="3" t="str">
        <f t="shared" si="24"/>
        <v/>
      </c>
      <c r="J256" s="3" t="str">
        <f t="shared" si="25"/>
        <v/>
      </c>
      <c r="K256" s="3"/>
      <c r="L256" s="60" t="str">
        <f t="shared" si="26"/>
        <v/>
      </c>
      <c r="M256" s="40"/>
      <c r="N256" s="40"/>
      <c r="O256" s="40"/>
      <c r="P256" s="40"/>
      <c r="Q256" s="40"/>
      <c r="R256" s="40"/>
      <c r="S256" s="61" t="str">
        <f t="shared" si="29"/>
        <v/>
      </c>
      <c r="T256" s="40"/>
      <c r="U256" s="40"/>
      <c r="V256" s="40"/>
      <c r="W256" s="40"/>
      <c r="X256" s="67" t="str">
        <f t="shared" si="28"/>
        <v/>
      </c>
      <c r="Z256" s="71"/>
      <c r="AA256" s="71"/>
      <c r="AB256" s="67" t="str">
        <f t="shared" si="27"/>
        <v/>
      </c>
    </row>
    <row r="257" spans="1:28" x14ac:dyDescent="0.25">
      <c r="A257" s="59"/>
      <c r="B257" s="7"/>
      <c r="C257" s="59"/>
      <c r="D257" s="10"/>
      <c r="E257" s="40"/>
      <c r="F257" s="40"/>
      <c r="G257" s="40"/>
      <c r="H257" s="3" t="str">
        <f t="shared" si="23"/>
        <v/>
      </c>
      <c r="I257" s="3" t="str">
        <f t="shared" si="24"/>
        <v/>
      </c>
      <c r="J257" s="3" t="str">
        <f t="shared" si="25"/>
        <v/>
      </c>
      <c r="K257" s="3"/>
      <c r="L257" s="60" t="str">
        <f t="shared" si="26"/>
        <v/>
      </c>
      <c r="M257" s="40"/>
      <c r="N257" s="40"/>
      <c r="O257" s="40"/>
      <c r="P257" s="40"/>
      <c r="Q257" s="40"/>
      <c r="R257" s="40"/>
      <c r="S257" s="61" t="str">
        <f t="shared" si="29"/>
        <v/>
      </c>
      <c r="T257" s="40"/>
      <c r="U257" s="40"/>
      <c r="V257" s="40"/>
      <c r="W257" s="40"/>
      <c r="X257" s="67" t="str">
        <f t="shared" si="28"/>
        <v/>
      </c>
      <c r="Z257" s="71"/>
      <c r="AA257" s="71"/>
      <c r="AB257" s="67" t="str">
        <f t="shared" si="27"/>
        <v/>
      </c>
    </row>
    <row r="258" spans="1:28" x14ac:dyDescent="0.25">
      <c r="A258" s="59"/>
      <c r="B258" s="7"/>
      <c r="C258" s="59"/>
      <c r="D258" s="10"/>
      <c r="E258" s="40"/>
      <c r="F258" s="40"/>
      <c r="G258" s="40"/>
      <c r="H258" s="3" t="str">
        <f t="shared" si="23"/>
        <v/>
      </c>
      <c r="I258" s="3" t="str">
        <f t="shared" si="24"/>
        <v/>
      </c>
      <c r="J258" s="3" t="str">
        <f t="shared" si="25"/>
        <v/>
      </c>
      <c r="K258" s="3"/>
      <c r="L258" s="60" t="str">
        <f t="shared" si="26"/>
        <v/>
      </c>
      <c r="M258" s="40"/>
      <c r="N258" s="40"/>
      <c r="O258" s="40"/>
      <c r="P258" s="40"/>
      <c r="Q258" s="40"/>
      <c r="R258" s="40"/>
      <c r="S258" s="61" t="str">
        <f t="shared" si="29"/>
        <v/>
      </c>
      <c r="T258" s="40"/>
      <c r="U258" s="40"/>
      <c r="V258" s="40"/>
      <c r="W258" s="40"/>
      <c r="X258" s="67" t="str">
        <f t="shared" si="28"/>
        <v/>
      </c>
      <c r="Z258" s="71"/>
      <c r="AA258" s="71"/>
      <c r="AB258" s="67" t="str">
        <f t="shared" si="27"/>
        <v/>
      </c>
    </row>
    <row r="259" spans="1:28" x14ac:dyDescent="0.25">
      <c r="A259" s="59"/>
      <c r="B259" s="7"/>
      <c r="C259" s="59"/>
      <c r="D259" s="10"/>
      <c r="E259" s="40"/>
      <c r="F259" s="40"/>
      <c r="G259" s="40"/>
      <c r="H259" s="3" t="str">
        <f t="shared" si="23"/>
        <v/>
      </c>
      <c r="I259" s="3" t="str">
        <f t="shared" si="24"/>
        <v/>
      </c>
      <c r="J259" s="3" t="str">
        <f t="shared" si="25"/>
        <v/>
      </c>
      <c r="K259" s="3"/>
      <c r="L259" s="60" t="str">
        <f t="shared" si="26"/>
        <v/>
      </c>
      <c r="M259" s="40"/>
      <c r="N259" s="40"/>
      <c r="O259" s="40"/>
      <c r="P259" s="40"/>
      <c r="Q259" s="40"/>
      <c r="R259" s="40"/>
      <c r="S259" s="61" t="str">
        <f t="shared" si="29"/>
        <v/>
      </c>
      <c r="T259" s="40"/>
      <c r="U259" s="40"/>
      <c r="V259" s="40"/>
      <c r="W259" s="40"/>
      <c r="X259" s="67" t="str">
        <f t="shared" si="28"/>
        <v/>
      </c>
      <c r="Z259" s="71"/>
      <c r="AA259" s="71"/>
      <c r="AB259" s="67" t="str">
        <f t="shared" si="27"/>
        <v/>
      </c>
    </row>
    <row r="260" spans="1:28" x14ac:dyDescent="0.25">
      <c r="A260" s="59"/>
      <c r="B260" s="7"/>
      <c r="C260" s="59"/>
      <c r="D260" s="10"/>
      <c r="E260" s="40"/>
      <c r="F260" s="40"/>
      <c r="G260" s="40"/>
      <c r="H260" s="3" t="str">
        <f t="shared" si="23"/>
        <v/>
      </c>
      <c r="I260" s="3" t="str">
        <f t="shared" si="24"/>
        <v/>
      </c>
      <c r="J260" s="3" t="str">
        <f t="shared" si="25"/>
        <v/>
      </c>
      <c r="K260" s="3"/>
      <c r="L260" s="60" t="str">
        <f t="shared" si="26"/>
        <v/>
      </c>
      <c r="M260" s="40"/>
      <c r="N260" s="40"/>
      <c r="O260" s="40"/>
      <c r="P260" s="40"/>
      <c r="Q260" s="40"/>
      <c r="R260" s="40"/>
      <c r="S260" s="61" t="str">
        <f t="shared" si="29"/>
        <v/>
      </c>
      <c r="T260" s="40"/>
      <c r="U260" s="40"/>
      <c r="V260" s="40"/>
      <c r="W260" s="40"/>
      <c r="X260" s="67" t="str">
        <f t="shared" si="28"/>
        <v/>
      </c>
      <c r="Z260" s="71"/>
      <c r="AA260" s="71"/>
      <c r="AB260" s="67" t="str">
        <f t="shared" si="27"/>
        <v/>
      </c>
    </row>
    <row r="261" spans="1:28" x14ac:dyDescent="0.25">
      <c r="A261" s="59"/>
      <c r="B261" s="7"/>
      <c r="C261" s="59"/>
      <c r="D261" s="10"/>
      <c r="E261" s="40"/>
      <c r="F261" s="40"/>
      <c r="G261" s="40"/>
      <c r="H261" s="3" t="str">
        <f t="shared" ref="H261:H324" si="30">+IF(E261="","",(E261/24)*C261)</f>
        <v/>
      </c>
      <c r="I261" s="3" t="str">
        <f t="shared" ref="I261:I324" si="31">+IF(F261="","",(F261/24)*C261)</f>
        <v/>
      </c>
      <c r="J261" s="3" t="str">
        <f t="shared" ref="J261:J324" si="32">+IF(G261="","",(G261/24)*C261)</f>
        <v/>
      </c>
      <c r="K261" s="3"/>
      <c r="L261" s="60" t="str">
        <f t="shared" ref="L261:L324" si="33">+IF(C261="","",L260-(H261+I261+J261))</f>
        <v/>
      </c>
      <c r="M261" s="40"/>
      <c r="N261" s="40"/>
      <c r="O261" s="40"/>
      <c r="P261" s="40"/>
      <c r="Q261" s="40"/>
      <c r="R261" s="40"/>
      <c r="S261" s="61" t="str">
        <f t="shared" si="29"/>
        <v/>
      </c>
      <c r="T261" s="40"/>
      <c r="U261" s="40"/>
      <c r="V261" s="40"/>
      <c r="W261" s="40"/>
      <c r="X261" s="67" t="str">
        <f t="shared" si="28"/>
        <v/>
      </c>
      <c r="Z261" s="71"/>
      <c r="AA261" s="71"/>
      <c r="AB261" s="67" t="str">
        <f t="shared" ref="AB261:AB324" si="34">IF(Z261="","",Z261+AA261)</f>
        <v/>
      </c>
    </row>
    <row r="262" spans="1:28" x14ac:dyDescent="0.25">
      <c r="A262" s="59"/>
      <c r="B262" s="7"/>
      <c r="C262" s="59"/>
      <c r="D262" s="10"/>
      <c r="E262" s="40"/>
      <c r="F262" s="40"/>
      <c r="G262" s="40"/>
      <c r="H262" s="3" t="str">
        <f t="shared" si="30"/>
        <v/>
      </c>
      <c r="I262" s="3" t="str">
        <f t="shared" si="31"/>
        <v/>
      </c>
      <c r="J262" s="3" t="str">
        <f t="shared" si="32"/>
        <v/>
      </c>
      <c r="K262" s="3"/>
      <c r="L262" s="60" t="str">
        <f t="shared" si="33"/>
        <v/>
      </c>
      <c r="M262" s="40"/>
      <c r="N262" s="40"/>
      <c r="O262" s="40"/>
      <c r="P262" s="40"/>
      <c r="Q262" s="40"/>
      <c r="R262" s="40"/>
      <c r="S262" s="61" t="str">
        <f t="shared" si="29"/>
        <v/>
      </c>
      <c r="T262" s="40"/>
      <c r="U262" s="40"/>
      <c r="V262" s="40"/>
      <c r="W262" s="40"/>
      <c r="X262" s="67" t="str">
        <f t="shared" si="28"/>
        <v/>
      </c>
      <c r="Z262" s="71"/>
      <c r="AA262" s="71"/>
      <c r="AB262" s="67" t="str">
        <f t="shared" si="34"/>
        <v/>
      </c>
    </row>
    <row r="263" spans="1:28" x14ac:dyDescent="0.25">
      <c r="A263" s="59"/>
      <c r="B263" s="7"/>
      <c r="C263" s="59"/>
      <c r="D263" s="10"/>
      <c r="E263" s="40"/>
      <c r="F263" s="40"/>
      <c r="G263" s="40"/>
      <c r="H263" s="3" t="str">
        <f t="shared" si="30"/>
        <v/>
      </c>
      <c r="I263" s="3" t="str">
        <f t="shared" si="31"/>
        <v/>
      </c>
      <c r="J263" s="3" t="str">
        <f t="shared" si="32"/>
        <v/>
      </c>
      <c r="K263" s="3"/>
      <c r="L263" s="60" t="str">
        <f t="shared" si="33"/>
        <v/>
      </c>
      <c r="M263" s="40"/>
      <c r="N263" s="40"/>
      <c r="O263" s="40"/>
      <c r="P263" s="40"/>
      <c r="Q263" s="40"/>
      <c r="R263" s="40"/>
      <c r="S263" s="61" t="str">
        <f t="shared" si="29"/>
        <v/>
      </c>
      <c r="T263" s="40"/>
      <c r="U263" s="40"/>
      <c r="V263" s="40"/>
      <c r="W263" s="40"/>
      <c r="X263" s="67" t="str">
        <f t="shared" si="28"/>
        <v/>
      </c>
      <c r="Z263" s="71"/>
      <c r="AA263" s="71"/>
      <c r="AB263" s="67" t="str">
        <f t="shared" si="34"/>
        <v/>
      </c>
    </row>
    <row r="264" spans="1:28" x14ac:dyDescent="0.25">
      <c r="A264" s="59"/>
      <c r="B264" s="7"/>
      <c r="C264" s="59"/>
      <c r="D264" s="10"/>
      <c r="E264" s="40"/>
      <c r="F264" s="40"/>
      <c r="G264" s="40"/>
      <c r="H264" s="3" t="str">
        <f t="shared" si="30"/>
        <v/>
      </c>
      <c r="I264" s="3" t="str">
        <f t="shared" si="31"/>
        <v/>
      </c>
      <c r="J264" s="3" t="str">
        <f t="shared" si="32"/>
        <v/>
      </c>
      <c r="K264" s="3"/>
      <c r="L264" s="60" t="str">
        <f t="shared" si="33"/>
        <v/>
      </c>
      <c r="M264" s="40"/>
      <c r="N264" s="40"/>
      <c r="O264" s="40"/>
      <c r="P264" s="40"/>
      <c r="Q264" s="40"/>
      <c r="R264" s="40"/>
      <c r="S264" s="61" t="str">
        <f t="shared" si="29"/>
        <v/>
      </c>
      <c r="T264" s="40"/>
      <c r="U264" s="40"/>
      <c r="V264" s="40"/>
      <c r="W264" s="40"/>
      <c r="X264" s="67" t="str">
        <f t="shared" ref="X264:X327" si="35">IF(V264="","",((X263+T264+U264)-(V264+W264)))</f>
        <v/>
      </c>
      <c r="Z264" s="71"/>
      <c r="AA264" s="71"/>
      <c r="AB264" s="67" t="str">
        <f t="shared" si="34"/>
        <v/>
      </c>
    </row>
    <row r="265" spans="1:28" x14ac:dyDescent="0.25">
      <c r="A265" s="59"/>
      <c r="B265" s="7"/>
      <c r="C265" s="59"/>
      <c r="D265" s="10"/>
      <c r="E265" s="40"/>
      <c r="F265" s="40"/>
      <c r="G265" s="40"/>
      <c r="H265" s="3" t="str">
        <f t="shared" si="30"/>
        <v/>
      </c>
      <c r="I265" s="3" t="str">
        <f t="shared" si="31"/>
        <v/>
      </c>
      <c r="J265" s="3" t="str">
        <f t="shared" si="32"/>
        <v/>
      </c>
      <c r="K265" s="3"/>
      <c r="L265" s="60" t="str">
        <f t="shared" si="33"/>
        <v/>
      </c>
      <c r="M265" s="40"/>
      <c r="N265" s="40"/>
      <c r="O265" s="40"/>
      <c r="P265" s="40"/>
      <c r="Q265" s="40"/>
      <c r="R265" s="40"/>
      <c r="S265" s="61" t="str">
        <f t="shared" si="29"/>
        <v/>
      </c>
      <c r="T265" s="40"/>
      <c r="U265" s="40"/>
      <c r="V265" s="40"/>
      <c r="W265" s="40"/>
      <c r="X265" s="67" t="str">
        <f t="shared" si="35"/>
        <v/>
      </c>
      <c r="Z265" s="71"/>
      <c r="AA265" s="71"/>
      <c r="AB265" s="67" t="str">
        <f t="shared" si="34"/>
        <v/>
      </c>
    </row>
    <row r="266" spans="1:28" x14ac:dyDescent="0.25">
      <c r="A266" s="59"/>
      <c r="B266" s="7"/>
      <c r="C266" s="59"/>
      <c r="D266" s="10"/>
      <c r="E266" s="40"/>
      <c r="F266" s="40"/>
      <c r="G266" s="40"/>
      <c r="H266" s="3" t="str">
        <f t="shared" si="30"/>
        <v/>
      </c>
      <c r="I266" s="3" t="str">
        <f t="shared" si="31"/>
        <v/>
      </c>
      <c r="J266" s="3" t="str">
        <f t="shared" si="32"/>
        <v/>
      </c>
      <c r="K266" s="3"/>
      <c r="L266" s="60" t="str">
        <f t="shared" si="33"/>
        <v/>
      </c>
      <c r="M266" s="40"/>
      <c r="N266" s="40"/>
      <c r="O266" s="40"/>
      <c r="P266" s="40"/>
      <c r="Q266" s="40"/>
      <c r="R266" s="40"/>
      <c r="S266" s="61" t="str">
        <f t="shared" si="29"/>
        <v/>
      </c>
      <c r="T266" s="40"/>
      <c r="U266" s="40"/>
      <c r="V266" s="40"/>
      <c r="W266" s="40"/>
      <c r="X266" s="67" t="str">
        <f t="shared" si="35"/>
        <v/>
      </c>
      <c r="Z266" s="71"/>
      <c r="AA266" s="71"/>
      <c r="AB266" s="67" t="str">
        <f t="shared" si="34"/>
        <v/>
      </c>
    </row>
    <row r="267" spans="1:28" x14ac:dyDescent="0.25">
      <c r="A267" s="59"/>
      <c r="B267" s="7"/>
      <c r="C267" s="59"/>
      <c r="D267" s="10"/>
      <c r="E267" s="40"/>
      <c r="F267" s="40"/>
      <c r="G267" s="40"/>
      <c r="H267" s="3" t="str">
        <f t="shared" si="30"/>
        <v/>
      </c>
      <c r="I267" s="3" t="str">
        <f t="shared" si="31"/>
        <v/>
      </c>
      <c r="J267" s="3" t="str">
        <f t="shared" si="32"/>
        <v/>
      </c>
      <c r="K267" s="3"/>
      <c r="L267" s="60" t="str">
        <f t="shared" si="33"/>
        <v/>
      </c>
      <c r="M267" s="40"/>
      <c r="N267" s="40"/>
      <c r="O267" s="40"/>
      <c r="P267" s="40"/>
      <c r="Q267" s="40"/>
      <c r="R267" s="40"/>
      <c r="S267" s="61" t="str">
        <f t="shared" si="29"/>
        <v/>
      </c>
      <c r="T267" s="40"/>
      <c r="U267" s="40"/>
      <c r="V267" s="40"/>
      <c r="W267" s="40"/>
      <c r="X267" s="67" t="str">
        <f t="shared" si="35"/>
        <v/>
      </c>
      <c r="Z267" s="71"/>
      <c r="AA267" s="71"/>
      <c r="AB267" s="67" t="str">
        <f t="shared" si="34"/>
        <v/>
      </c>
    </row>
    <row r="268" spans="1:28" x14ac:dyDescent="0.25">
      <c r="A268" s="59"/>
      <c r="B268" s="7"/>
      <c r="C268" s="59"/>
      <c r="D268" s="10"/>
      <c r="E268" s="40"/>
      <c r="F268" s="40"/>
      <c r="G268" s="40"/>
      <c r="H268" s="3" t="str">
        <f t="shared" si="30"/>
        <v/>
      </c>
      <c r="I268" s="3" t="str">
        <f t="shared" si="31"/>
        <v/>
      </c>
      <c r="J268" s="3" t="str">
        <f t="shared" si="32"/>
        <v/>
      </c>
      <c r="K268" s="3"/>
      <c r="L268" s="60" t="str">
        <f t="shared" si="33"/>
        <v/>
      </c>
      <c r="M268" s="40"/>
      <c r="N268" s="40"/>
      <c r="O268" s="40"/>
      <c r="P268" s="40"/>
      <c r="Q268" s="40"/>
      <c r="R268" s="40"/>
      <c r="S268" s="61" t="str">
        <f t="shared" si="29"/>
        <v/>
      </c>
      <c r="T268" s="40"/>
      <c r="U268" s="40"/>
      <c r="V268" s="40"/>
      <c r="W268" s="40"/>
      <c r="X268" s="67" t="str">
        <f t="shared" si="35"/>
        <v/>
      </c>
      <c r="Z268" s="71"/>
      <c r="AA268" s="71"/>
      <c r="AB268" s="67" t="str">
        <f t="shared" si="34"/>
        <v/>
      </c>
    </row>
    <row r="269" spans="1:28" x14ac:dyDescent="0.25">
      <c r="A269" s="59"/>
      <c r="B269" s="7"/>
      <c r="C269" s="59"/>
      <c r="D269" s="10"/>
      <c r="E269" s="40"/>
      <c r="F269" s="40"/>
      <c r="G269" s="40"/>
      <c r="H269" s="3" t="str">
        <f t="shared" si="30"/>
        <v/>
      </c>
      <c r="I269" s="3" t="str">
        <f t="shared" si="31"/>
        <v/>
      </c>
      <c r="J269" s="3" t="str">
        <f t="shared" si="32"/>
        <v/>
      </c>
      <c r="K269" s="3"/>
      <c r="L269" s="60" t="str">
        <f t="shared" si="33"/>
        <v/>
      </c>
      <c r="M269" s="40"/>
      <c r="N269" s="40"/>
      <c r="O269" s="40"/>
      <c r="P269" s="40"/>
      <c r="Q269" s="40"/>
      <c r="R269" s="40"/>
      <c r="S269" s="61" t="str">
        <f t="shared" si="29"/>
        <v/>
      </c>
      <c r="T269" s="40"/>
      <c r="U269" s="40"/>
      <c r="V269" s="40"/>
      <c r="W269" s="40"/>
      <c r="X269" s="67" t="str">
        <f t="shared" si="35"/>
        <v/>
      </c>
      <c r="Z269" s="71"/>
      <c r="AA269" s="71"/>
      <c r="AB269" s="67" t="str">
        <f t="shared" si="34"/>
        <v/>
      </c>
    </row>
    <row r="270" spans="1:28" x14ac:dyDescent="0.25">
      <c r="A270" s="59"/>
      <c r="B270" s="7"/>
      <c r="C270" s="59"/>
      <c r="D270" s="10"/>
      <c r="E270" s="40"/>
      <c r="F270" s="40"/>
      <c r="G270" s="40"/>
      <c r="H270" s="3" t="str">
        <f t="shared" si="30"/>
        <v/>
      </c>
      <c r="I270" s="3" t="str">
        <f t="shared" si="31"/>
        <v/>
      </c>
      <c r="J270" s="3" t="str">
        <f t="shared" si="32"/>
        <v/>
      </c>
      <c r="K270" s="3"/>
      <c r="L270" s="60" t="str">
        <f t="shared" si="33"/>
        <v/>
      </c>
      <c r="M270" s="40"/>
      <c r="N270" s="40"/>
      <c r="O270" s="40"/>
      <c r="P270" s="40"/>
      <c r="Q270" s="40"/>
      <c r="R270" s="40"/>
      <c r="S270" s="61" t="str">
        <f t="shared" si="29"/>
        <v/>
      </c>
      <c r="T270" s="40"/>
      <c r="U270" s="40"/>
      <c r="V270" s="40"/>
      <c r="W270" s="40"/>
      <c r="X270" s="67" t="str">
        <f t="shared" si="35"/>
        <v/>
      </c>
      <c r="Z270" s="71"/>
      <c r="AA270" s="71"/>
      <c r="AB270" s="67" t="str">
        <f t="shared" si="34"/>
        <v/>
      </c>
    </row>
    <row r="271" spans="1:28" x14ac:dyDescent="0.25">
      <c r="A271" s="59"/>
      <c r="B271" s="7"/>
      <c r="C271" s="59"/>
      <c r="D271" s="10"/>
      <c r="E271" s="40"/>
      <c r="F271" s="40"/>
      <c r="G271" s="40"/>
      <c r="H271" s="3" t="str">
        <f t="shared" si="30"/>
        <v/>
      </c>
      <c r="I271" s="3" t="str">
        <f t="shared" si="31"/>
        <v/>
      </c>
      <c r="J271" s="3" t="str">
        <f t="shared" si="32"/>
        <v/>
      </c>
      <c r="K271" s="3"/>
      <c r="L271" s="60" t="str">
        <f t="shared" si="33"/>
        <v/>
      </c>
      <c r="M271" s="40"/>
      <c r="N271" s="40"/>
      <c r="O271" s="40"/>
      <c r="P271" s="40"/>
      <c r="Q271" s="40"/>
      <c r="R271" s="40"/>
      <c r="S271" s="61" t="str">
        <f t="shared" si="29"/>
        <v/>
      </c>
      <c r="T271" s="40"/>
      <c r="U271" s="40"/>
      <c r="V271" s="40"/>
      <c r="W271" s="40"/>
      <c r="X271" s="67" t="str">
        <f t="shared" si="35"/>
        <v/>
      </c>
      <c r="Z271" s="71"/>
      <c r="AA271" s="71"/>
      <c r="AB271" s="67" t="str">
        <f t="shared" si="34"/>
        <v/>
      </c>
    </row>
    <row r="272" spans="1:28" x14ac:dyDescent="0.25">
      <c r="A272" s="59"/>
      <c r="B272" s="7"/>
      <c r="C272" s="59"/>
      <c r="D272" s="10"/>
      <c r="E272" s="40"/>
      <c r="F272" s="40"/>
      <c r="G272" s="40"/>
      <c r="H272" s="3" t="str">
        <f t="shared" si="30"/>
        <v/>
      </c>
      <c r="I272" s="3" t="str">
        <f t="shared" si="31"/>
        <v/>
      </c>
      <c r="J272" s="3" t="str">
        <f t="shared" si="32"/>
        <v/>
      </c>
      <c r="K272" s="3"/>
      <c r="L272" s="60" t="str">
        <f t="shared" si="33"/>
        <v/>
      </c>
      <c r="M272" s="40"/>
      <c r="N272" s="40"/>
      <c r="O272" s="40"/>
      <c r="P272" s="40"/>
      <c r="Q272" s="40"/>
      <c r="R272" s="40"/>
      <c r="S272" s="61" t="str">
        <f t="shared" si="29"/>
        <v/>
      </c>
      <c r="T272" s="40"/>
      <c r="U272" s="40"/>
      <c r="V272" s="40"/>
      <c r="W272" s="40"/>
      <c r="X272" s="67" t="str">
        <f t="shared" si="35"/>
        <v/>
      </c>
      <c r="Z272" s="71"/>
      <c r="AA272" s="71"/>
      <c r="AB272" s="67" t="str">
        <f t="shared" si="34"/>
        <v/>
      </c>
    </row>
    <row r="273" spans="1:28" x14ac:dyDescent="0.25">
      <c r="A273" s="59"/>
      <c r="B273" s="7"/>
      <c r="C273" s="59"/>
      <c r="D273" s="10"/>
      <c r="E273" s="40"/>
      <c r="F273" s="40"/>
      <c r="G273" s="40"/>
      <c r="H273" s="3" t="str">
        <f t="shared" si="30"/>
        <v/>
      </c>
      <c r="I273" s="3" t="str">
        <f t="shared" si="31"/>
        <v/>
      </c>
      <c r="J273" s="3" t="str">
        <f t="shared" si="32"/>
        <v/>
      </c>
      <c r="K273" s="3"/>
      <c r="L273" s="60" t="str">
        <f t="shared" si="33"/>
        <v/>
      </c>
      <c r="M273" s="40"/>
      <c r="N273" s="40"/>
      <c r="O273" s="40"/>
      <c r="P273" s="40"/>
      <c r="Q273" s="40"/>
      <c r="R273" s="40"/>
      <c r="S273" s="61" t="str">
        <f t="shared" si="29"/>
        <v/>
      </c>
      <c r="T273" s="40"/>
      <c r="U273" s="40"/>
      <c r="V273" s="40"/>
      <c r="W273" s="40"/>
      <c r="X273" s="67" t="str">
        <f t="shared" si="35"/>
        <v/>
      </c>
      <c r="Z273" s="71"/>
      <c r="AA273" s="71"/>
      <c r="AB273" s="67" t="str">
        <f t="shared" si="34"/>
        <v/>
      </c>
    </row>
    <row r="274" spans="1:28" x14ac:dyDescent="0.25">
      <c r="A274" s="59"/>
      <c r="B274" s="7"/>
      <c r="C274" s="59"/>
      <c r="D274" s="10"/>
      <c r="E274" s="40"/>
      <c r="F274" s="40"/>
      <c r="G274" s="40"/>
      <c r="H274" s="3" t="str">
        <f t="shared" si="30"/>
        <v/>
      </c>
      <c r="I274" s="3" t="str">
        <f t="shared" si="31"/>
        <v/>
      </c>
      <c r="J274" s="3" t="str">
        <f t="shared" si="32"/>
        <v/>
      </c>
      <c r="K274" s="3"/>
      <c r="L274" s="60" t="str">
        <f t="shared" si="33"/>
        <v/>
      </c>
      <c r="M274" s="40"/>
      <c r="N274" s="40"/>
      <c r="O274" s="40"/>
      <c r="P274" s="40"/>
      <c r="Q274" s="40"/>
      <c r="R274" s="40"/>
      <c r="S274" s="61" t="str">
        <f t="shared" si="29"/>
        <v/>
      </c>
      <c r="T274" s="40"/>
      <c r="U274" s="40"/>
      <c r="V274" s="40"/>
      <c r="W274" s="40"/>
      <c r="X274" s="67" t="str">
        <f t="shared" si="35"/>
        <v/>
      </c>
      <c r="Z274" s="71"/>
      <c r="AA274" s="71"/>
      <c r="AB274" s="67" t="str">
        <f t="shared" si="34"/>
        <v/>
      </c>
    </row>
    <row r="275" spans="1:28" x14ac:dyDescent="0.25">
      <c r="A275" s="59"/>
      <c r="B275" s="7"/>
      <c r="C275" s="59"/>
      <c r="D275" s="10"/>
      <c r="E275" s="40"/>
      <c r="F275" s="40"/>
      <c r="G275" s="40"/>
      <c r="H275" s="3" t="str">
        <f t="shared" si="30"/>
        <v/>
      </c>
      <c r="I275" s="3" t="str">
        <f t="shared" si="31"/>
        <v/>
      </c>
      <c r="J275" s="3" t="str">
        <f t="shared" si="32"/>
        <v/>
      </c>
      <c r="K275" s="3"/>
      <c r="L275" s="60" t="str">
        <f t="shared" si="33"/>
        <v/>
      </c>
      <c r="M275" s="40"/>
      <c r="N275" s="40"/>
      <c r="O275" s="40"/>
      <c r="P275" s="40"/>
      <c r="Q275" s="40"/>
      <c r="R275" s="40"/>
      <c r="S275" s="61" t="str">
        <f t="shared" si="29"/>
        <v/>
      </c>
      <c r="T275" s="40"/>
      <c r="U275" s="40"/>
      <c r="V275" s="40"/>
      <c r="W275" s="40"/>
      <c r="X275" s="67" t="str">
        <f t="shared" si="35"/>
        <v/>
      </c>
      <c r="Z275" s="71"/>
      <c r="AA275" s="71"/>
      <c r="AB275" s="67" t="str">
        <f t="shared" si="34"/>
        <v/>
      </c>
    </row>
    <row r="276" spans="1:28" x14ac:dyDescent="0.25">
      <c r="A276" s="59"/>
      <c r="B276" s="7"/>
      <c r="C276" s="59"/>
      <c r="D276" s="10"/>
      <c r="E276" s="40"/>
      <c r="F276" s="40"/>
      <c r="G276" s="40"/>
      <c r="H276" s="3" t="str">
        <f t="shared" si="30"/>
        <v/>
      </c>
      <c r="I276" s="3" t="str">
        <f t="shared" si="31"/>
        <v/>
      </c>
      <c r="J276" s="3" t="str">
        <f t="shared" si="32"/>
        <v/>
      </c>
      <c r="K276" s="3"/>
      <c r="L276" s="60" t="str">
        <f t="shared" si="33"/>
        <v/>
      </c>
      <c r="M276" s="40"/>
      <c r="N276" s="40"/>
      <c r="O276" s="40"/>
      <c r="P276" s="40"/>
      <c r="Q276" s="40"/>
      <c r="R276" s="40"/>
      <c r="S276" s="61" t="str">
        <f t="shared" si="29"/>
        <v/>
      </c>
      <c r="T276" s="40"/>
      <c r="U276" s="40"/>
      <c r="V276" s="40"/>
      <c r="W276" s="40"/>
      <c r="X276" s="67" t="str">
        <f t="shared" si="35"/>
        <v/>
      </c>
      <c r="Z276" s="71"/>
      <c r="AA276" s="71"/>
      <c r="AB276" s="67" t="str">
        <f t="shared" si="34"/>
        <v/>
      </c>
    </row>
    <row r="277" spans="1:28" x14ac:dyDescent="0.25">
      <c r="A277" s="59"/>
      <c r="B277" s="7"/>
      <c r="C277" s="59"/>
      <c r="D277" s="10"/>
      <c r="E277" s="40"/>
      <c r="F277" s="40"/>
      <c r="G277" s="40"/>
      <c r="H277" s="3" t="str">
        <f t="shared" si="30"/>
        <v/>
      </c>
      <c r="I277" s="3" t="str">
        <f t="shared" si="31"/>
        <v/>
      </c>
      <c r="J277" s="3" t="str">
        <f t="shared" si="32"/>
        <v/>
      </c>
      <c r="K277" s="3"/>
      <c r="L277" s="60" t="str">
        <f t="shared" si="33"/>
        <v/>
      </c>
      <c r="M277" s="40"/>
      <c r="N277" s="40"/>
      <c r="O277" s="40"/>
      <c r="P277" s="40"/>
      <c r="Q277" s="40"/>
      <c r="R277" s="40"/>
      <c r="S277" s="61" t="str">
        <f t="shared" si="29"/>
        <v/>
      </c>
      <c r="T277" s="40"/>
      <c r="U277" s="40"/>
      <c r="V277" s="40"/>
      <c r="W277" s="40"/>
      <c r="X277" s="67" t="str">
        <f t="shared" si="35"/>
        <v/>
      </c>
      <c r="Z277" s="71"/>
      <c r="AA277" s="71"/>
      <c r="AB277" s="67" t="str">
        <f t="shared" si="34"/>
        <v/>
      </c>
    </row>
    <row r="278" spans="1:28" x14ac:dyDescent="0.25">
      <c r="A278" s="59"/>
      <c r="B278" s="7"/>
      <c r="C278" s="59"/>
      <c r="D278" s="10"/>
      <c r="E278" s="40"/>
      <c r="F278" s="40"/>
      <c r="G278" s="40"/>
      <c r="H278" s="3" t="str">
        <f t="shared" si="30"/>
        <v/>
      </c>
      <c r="I278" s="3" t="str">
        <f t="shared" si="31"/>
        <v/>
      </c>
      <c r="J278" s="3" t="str">
        <f t="shared" si="32"/>
        <v/>
      </c>
      <c r="K278" s="3"/>
      <c r="L278" s="60" t="str">
        <f t="shared" si="33"/>
        <v/>
      </c>
      <c r="M278" s="40"/>
      <c r="N278" s="40"/>
      <c r="O278" s="40"/>
      <c r="P278" s="40"/>
      <c r="Q278" s="40"/>
      <c r="R278" s="40"/>
      <c r="S278" s="61" t="str">
        <f t="shared" si="29"/>
        <v/>
      </c>
      <c r="T278" s="40"/>
      <c r="U278" s="40"/>
      <c r="V278" s="40"/>
      <c r="W278" s="40"/>
      <c r="X278" s="67" t="str">
        <f t="shared" si="35"/>
        <v/>
      </c>
      <c r="Z278" s="71"/>
      <c r="AA278" s="71"/>
      <c r="AB278" s="67" t="str">
        <f t="shared" si="34"/>
        <v/>
      </c>
    </row>
    <row r="279" spans="1:28" x14ac:dyDescent="0.25">
      <c r="A279" s="59"/>
      <c r="B279" s="7"/>
      <c r="C279" s="59"/>
      <c r="D279" s="10"/>
      <c r="E279" s="40"/>
      <c r="F279" s="40"/>
      <c r="G279" s="40"/>
      <c r="H279" s="3" t="str">
        <f t="shared" si="30"/>
        <v/>
      </c>
      <c r="I279" s="3" t="str">
        <f t="shared" si="31"/>
        <v/>
      </c>
      <c r="J279" s="3" t="str">
        <f t="shared" si="32"/>
        <v/>
      </c>
      <c r="K279" s="3"/>
      <c r="L279" s="60" t="str">
        <f t="shared" si="33"/>
        <v/>
      </c>
      <c r="M279" s="40"/>
      <c r="N279" s="40"/>
      <c r="O279" s="40"/>
      <c r="P279" s="40"/>
      <c r="Q279" s="40"/>
      <c r="R279" s="40"/>
      <c r="S279" s="61" t="str">
        <f t="shared" si="29"/>
        <v/>
      </c>
      <c r="T279" s="40"/>
      <c r="U279" s="40"/>
      <c r="V279" s="40"/>
      <c r="W279" s="40"/>
      <c r="X279" s="67" t="str">
        <f t="shared" si="35"/>
        <v/>
      </c>
      <c r="Z279" s="71"/>
      <c r="AA279" s="71"/>
      <c r="AB279" s="67" t="str">
        <f t="shared" si="34"/>
        <v/>
      </c>
    </row>
    <row r="280" spans="1:28" x14ac:dyDescent="0.25">
      <c r="A280" s="59"/>
      <c r="B280" s="7"/>
      <c r="C280" s="59"/>
      <c r="D280" s="10"/>
      <c r="E280" s="40"/>
      <c r="F280" s="40"/>
      <c r="G280" s="40"/>
      <c r="H280" s="3" t="str">
        <f t="shared" si="30"/>
        <v/>
      </c>
      <c r="I280" s="3" t="str">
        <f t="shared" si="31"/>
        <v/>
      </c>
      <c r="J280" s="3" t="str">
        <f t="shared" si="32"/>
        <v/>
      </c>
      <c r="K280" s="3"/>
      <c r="L280" s="60" t="str">
        <f t="shared" si="33"/>
        <v/>
      </c>
      <c r="M280" s="40"/>
      <c r="N280" s="40"/>
      <c r="O280" s="40"/>
      <c r="P280" s="40"/>
      <c r="Q280" s="40"/>
      <c r="R280" s="40"/>
      <c r="S280" s="61" t="str">
        <f t="shared" si="29"/>
        <v/>
      </c>
      <c r="T280" s="40"/>
      <c r="U280" s="40"/>
      <c r="V280" s="40"/>
      <c r="W280" s="40"/>
      <c r="X280" s="67" t="str">
        <f t="shared" si="35"/>
        <v/>
      </c>
      <c r="Z280" s="71"/>
      <c r="AA280" s="71"/>
      <c r="AB280" s="67" t="str">
        <f t="shared" si="34"/>
        <v/>
      </c>
    </row>
    <row r="281" spans="1:28" x14ac:dyDescent="0.25">
      <c r="A281" s="59"/>
      <c r="B281" s="7"/>
      <c r="C281" s="59"/>
      <c r="D281" s="10"/>
      <c r="E281" s="40"/>
      <c r="F281" s="40"/>
      <c r="G281" s="40"/>
      <c r="H281" s="3" t="str">
        <f t="shared" si="30"/>
        <v/>
      </c>
      <c r="I281" s="3" t="str">
        <f t="shared" si="31"/>
        <v/>
      </c>
      <c r="J281" s="3" t="str">
        <f t="shared" si="32"/>
        <v/>
      </c>
      <c r="K281" s="3"/>
      <c r="L281" s="60" t="str">
        <f t="shared" si="33"/>
        <v/>
      </c>
      <c r="M281" s="40"/>
      <c r="N281" s="40"/>
      <c r="O281" s="40"/>
      <c r="P281" s="40"/>
      <c r="Q281" s="40"/>
      <c r="R281" s="40"/>
      <c r="S281" s="61" t="str">
        <f t="shared" si="29"/>
        <v/>
      </c>
      <c r="T281" s="40"/>
      <c r="U281" s="40"/>
      <c r="V281" s="40"/>
      <c r="W281" s="40"/>
      <c r="X281" s="67" t="str">
        <f t="shared" si="35"/>
        <v/>
      </c>
      <c r="Z281" s="71"/>
      <c r="AA281" s="71"/>
      <c r="AB281" s="67" t="str">
        <f t="shared" si="34"/>
        <v/>
      </c>
    </row>
    <row r="282" spans="1:28" x14ac:dyDescent="0.25">
      <c r="A282" s="59"/>
      <c r="B282" s="7"/>
      <c r="C282" s="59"/>
      <c r="D282" s="10"/>
      <c r="E282" s="40"/>
      <c r="F282" s="40"/>
      <c r="G282" s="40"/>
      <c r="H282" s="3" t="str">
        <f t="shared" si="30"/>
        <v/>
      </c>
      <c r="I282" s="3" t="str">
        <f t="shared" si="31"/>
        <v/>
      </c>
      <c r="J282" s="3" t="str">
        <f t="shared" si="32"/>
        <v/>
      </c>
      <c r="K282" s="3"/>
      <c r="L282" s="60" t="str">
        <f t="shared" si="33"/>
        <v/>
      </c>
      <c r="M282" s="40"/>
      <c r="N282" s="40"/>
      <c r="O282" s="40"/>
      <c r="P282" s="40"/>
      <c r="Q282" s="40"/>
      <c r="R282" s="40"/>
      <c r="S282" s="61" t="str">
        <f t="shared" si="29"/>
        <v/>
      </c>
      <c r="T282" s="40"/>
      <c r="U282" s="40"/>
      <c r="V282" s="40"/>
      <c r="W282" s="40"/>
      <c r="X282" s="67" t="str">
        <f t="shared" si="35"/>
        <v/>
      </c>
      <c r="Z282" s="71"/>
      <c r="AA282" s="71"/>
      <c r="AB282" s="67" t="str">
        <f t="shared" si="34"/>
        <v/>
      </c>
    </row>
    <row r="283" spans="1:28" x14ac:dyDescent="0.25">
      <c r="A283" s="59"/>
      <c r="B283" s="7"/>
      <c r="C283" s="59"/>
      <c r="D283" s="10"/>
      <c r="E283" s="40"/>
      <c r="F283" s="40"/>
      <c r="G283" s="40"/>
      <c r="H283" s="3" t="str">
        <f t="shared" si="30"/>
        <v/>
      </c>
      <c r="I283" s="3" t="str">
        <f t="shared" si="31"/>
        <v/>
      </c>
      <c r="J283" s="3" t="str">
        <f t="shared" si="32"/>
        <v/>
      </c>
      <c r="K283" s="3"/>
      <c r="L283" s="60" t="str">
        <f t="shared" si="33"/>
        <v/>
      </c>
      <c r="M283" s="40"/>
      <c r="N283" s="40"/>
      <c r="O283" s="40"/>
      <c r="P283" s="40"/>
      <c r="Q283" s="40"/>
      <c r="R283" s="40"/>
      <c r="S283" s="61" t="str">
        <f t="shared" si="29"/>
        <v/>
      </c>
      <c r="T283" s="40"/>
      <c r="U283" s="40"/>
      <c r="V283" s="40"/>
      <c r="W283" s="40"/>
      <c r="X283" s="67" t="str">
        <f t="shared" si="35"/>
        <v/>
      </c>
      <c r="Z283" s="71"/>
      <c r="AA283" s="71"/>
      <c r="AB283" s="67" t="str">
        <f t="shared" si="34"/>
        <v/>
      </c>
    </row>
    <row r="284" spans="1:28" x14ac:dyDescent="0.25">
      <c r="A284" s="59"/>
      <c r="B284" s="7"/>
      <c r="C284" s="59"/>
      <c r="D284" s="10"/>
      <c r="E284" s="40"/>
      <c r="F284" s="40"/>
      <c r="G284" s="40"/>
      <c r="H284" s="3" t="str">
        <f t="shared" si="30"/>
        <v/>
      </c>
      <c r="I284" s="3" t="str">
        <f t="shared" si="31"/>
        <v/>
      </c>
      <c r="J284" s="3" t="str">
        <f t="shared" si="32"/>
        <v/>
      </c>
      <c r="K284" s="3"/>
      <c r="L284" s="60" t="str">
        <f t="shared" si="33"/>
        <v/>
      </c>
      <c r="M284" s="40"/>
      <c r="N284" s="40"/>
      <c r="O284" s="40"/>
      <c r="P284" s="40"/>
      <c r="Q284" s="40"/>
      <c r="R284" s="40"/>
      <c r="S284" s="61" t="str">
        <f t="shared" si="29"/>
        <v/>
      </c>
      <c r="T284" s="40"/>
      <c r="U284" s="40"/>
      <c r="V284" s="40"/>
      <c r="W284" s="40"/>
      <c r="X284" s="67" t="str">
        <f t="shared" si="35"/>
        <v/>
      </c>
      <c r="Z284" s="71"/>
      <c r="AA284" s="71"/>
      <c r="AB284" s="67" t="str">
        <f t="shared" si="34"/>
        <v/>
      </c>
    </row>
    <row r="285" spans="1:28" x14ac:dyDescent="0.25">
      <c r="A285" s="59"/>
      <c r="B285" s="7"/>
      <c r="C285" s="59"/>
      <c r="D285" s="10"/>
      <c r="E285" s="40"/>
      <c r="F285" s="40"/>
      <c r="G285" s="40"/>
      <c r="H285" s="3" t="str">
        <f t="shared" si="30"/>
        <v/>
      </c>
      <c r="I285" s="3" t="str">
        <f t="shared" si="31"/>
        <v/>
      </c>
      <c r="J285" s="3" t="str">
        <f t="shared" si="32"/>
        <v/>
      </c>
      <c r="K285" s="3"/>
      <c r="L285" s="60" t="str">
        <f t="shared" si="33"/>
        <v/>
      </c>
      <c r="M285" s="40"/>
      <c r="N285" s="40"/>
      <c r="O285" s="40"/>
      <c r="P285" s="40"/>
      <c r="Q285" s="40"/>
      <c r="R285" s="40"/>
      <c r="S285" s="61" t="str">
        <f t="shared" si="29"/>
        <v/>
      </c>
      <c r="T285" s="40"/>
      <c r="U285" s="40"/>
      <c r="V285" s="40"/>
      <c r="W285" s="40"/>
      <c r="X285" s="67" t="str">
        <f t="shared" si="35"/>
        <v/>
      </c>
      <c r="Z285" s="71"/>
      <c r="AA285" s="71"/>
      <c r="AB285" s="67" t="str">
        <f t="shared" si="34"/>
        <v/>
      </c>
    </row>
    <row r="286" spans="1:28" x14ac:dyDescent="0.25">
      <c r="A286" s="59"/>
      <c r="B286" s="7"/>
      <c r="C286" s="59"/>
      <c r="D286" s="10"/>
      <c r="E286" s="40"/>
      <c r="F286" s="40"/>
      <c r="G286" s="40"/>
      <c r="H286" s="3" t="str">
        <f t="shared" si="30"/>
        <v/>
      </c>
      <c r="I286" s="3" t="str">
        <f t="shared" si="31"/>
        <v/>
      </c>
      <c r="J286" s="3" t="str">
        <f t="shared" si="32"/>
        <v/>
      </c>
      <c r="K286" s="3"/>
      <c r="L286" s="60" t="str">
        <f t="shared" si="33"/>
        <v/>
      </c>
      <c r="M286" s="40"/>
      <c r="N286" s="40"/>
      <c r="O286" s="40"/>
      <c r="P286" s="40"/>
      <c r="Q286" s="40"/>
      <c r="R286" s="40"/>
      <c r="S286" s="61" t="str">
        <f t="shared" si="29"/>
        <v/>
      </c>
      <c r="T286" s="40"/>
      <c r="U286" s="40"/>
      <c r="V286" s="40"/>
      <c r="W286" s="40"/>
      <c r="X286" s="67" t="str">
        <f t="shared" si="35"/>
        <v/>
      </c>
      <c r="Z286" s="71"/>
      <c r="AA286" s="71"/>
      <c r="AB286" s="67" t="str">
        <f t="shared" si="34"/>
        <v/>
      </c>
    </row>
    <row r="287" spans="1:28" x14ac:dyDescent="0.25">
      <c r="A287" s="59"/>
      <c r="B287" s="7"/>
      <c r="C287" s="59"/>
      <c r="D287" s="10"/>
      <c r="E287" s="40"/>
      <c r="F287" s="40"/>
      <c r="G287" s="40"/>
      <c r="H287" s="3" t="str">
        <f t="shared" si="30"/>
        <v/>
      </c>
      <c r="I287" s="3" t="str">
        <f t="shared" si="31"/>
        <v/>
      </c>
      <c r="J287" s="3" t="str">
        <f t="shared" si="32"/>
        <v/>
      </c>
      <c r="K287" s="3"/>
      <c r="L287" s="60" t="str">
        <f t="shared" si="33"/>
        <v/>
      </c>
      <c r="M287" s="40"/>
      <c r="N287" s="40"/>
      <c r="O287" s="40"/>
      <c r="P287" s="40"/>
      <c r="Q287" s="40"/>
      <c r="R287" s="40"/>
      <c r="S287" s="61" t="str">
        <f t="shared" si="29"/>
        <v/>
      </c>
      <c r="T287" s="40"/>
      <c r="U287" s="40"/>
      <c r="V287" s="40"/>
      <c r="W287" s="40"/>
      <c r="X287" s="67" t="str">
        <f t="shared" si="35"/>
        <v/>
      </c>
      <c r="Z287" s="71"/>
      <c r="AA287" s="71"/>
      <c r="AB287" s="67" t="str">
        <f t="shared" si="34"/>
        <v/>
      </c>
    </row>
    <row r="288" spans="1:28" x14ac:dyDescent="0.25">
      <c r="A288" s="59"/>
      <c r="B288" s="7"/>
      <c r="C288" s="59"/>
      <c r="D288" s="10"/>
      <c r="E288" s="40"/>
      <c r="F288" s="40"/>
      <c r="G288" s="40"/>
      <c r="H288" s="3" t="str">
        <f t="shared" si="30"/>
        <v/>
      </c>
      <c r="I288" s="3" t="str">
        <f t="shared" si="31"/>
        <v/>
      </c>
      <c r="J288" s="3" t="str">
        <f t="shared" si="32"/>
        <v/>
      </c>
      <c r="K288" s="3"/>
      <c r="L288" s="60" t="str">
        <f t="shared" si="33"/>
        <v/>
      </c>
      <c r="M288" s="40"/>
      <c r="N288" s="40"/>
      <c r="O288" s="40"/>
      <c r="P288" s="40"/>
      <c r="Q288" s="40"/>
      <c r="R288" s="40"/>
      <c r="S288" s="61" t="str">
        <f t="shared" si="29"/>
        <v/>
      </c>
      <c r="T288" s="40"/>
      <c r="U288" s="40"/>
      <c r="V288" s="40"/>
      <c r="W288" s="40"/>
      <c r="X288" s="67" t="str">
        <f t="shared" si="35"/>
        <v/>
      </c>
      <c r="Z288" s="71"/>
      <c r="AA288" s="71"/>
      <c r="AB288" s="67" t="str">
        <f t="shared" si="34"/>
        <v/>
      </c>
    </row>
    <row r="289" spans="1:28" x14ac:dyDescent="0.25">
      <c r="A289" s="7"/>
      <c r="B289" s="7"/>
      <c r="C289" s="59"/>
      <c r="D289" s="10"/>
      <c r="E289" s="40"/>
      <c r="F289" s="40"/>
      <c r="G289" s="40"/>
      <c r="H289" s="3" t="str">
        <f t="shared" si="30"/>
        <v/>
      </c>
      <c r="I289" s="3" t="str">
        <f t="shared" si="31"/>
        <v/>
      </c>
      <c r="J289" s="3" t="str">
        <f t="shared" si="32"/>
        <v/>
      </c>
      <c r="K289" s="3"/>
      <c r="L289" s="60" t="str">
        <f t="shared" si="33"/>
        <v/>
      </c>
      <c r="M289" s="40"/>
      <c r="N289" s="40"/>
      <c r="O289" s="40"/>
      <c r="P289" s="40"/>
      <c r="Q289" s="40"/>
      <c r="R289" s="40"/>
      <c r="S289" s="61" t="str">
        <f t="shared" si="29"/>
        <v/>
      </c>
      <c r="T289" s="40"/>
      <c r="U289" s="40"/>
      <c r="V289" s="40"/>
      <c r="W289" s="40"/>
      <c r="X289" s="67" t="str">
        <f t="shared" si="35"/>
        <v/>
      </c>
      <c r="Z289" s="71"/>
      <c r="AA289" s="71"/>
      <c r="AB289" s="67" t="str">
        <f t="shared" si="34"/>
        <v/>
      </c>
    </row>
    <row r="290" spans="1:28" x14ac:dyDescent="0.25">
      <c r="A290" s="7"/>
      <c r="B290" s="7"/>
      <c r="C290" s="59"/>
      <c r="D290" s="10"/>
      <c r="E290" s="40"/>
      <c r="F290" s="40"/>
      <c r="G290" s="40"/>
      <c r="H290" s="3" t="str">
        <f t="shared" si="30"/>
        <v/>
      </c>
      <c r="I290" s="3" t="str">
        <f t="shared" si="31"/>
        <v/>
      </c>
      <c r="J290" s="3" t="str">
        <f t="shared" si="32"/>
        <v/>
      </c>
      <c r="K290" s="3"/>
      <c r="L290" s="60" t="str">
        <f t="shared" si="33"/>
        <v/>
      </c>
      <c r="M290" s="40"/>
      <c r="N290" s="40"/>
      <c r="O290" s="40"/>
      <c r="P290" s="40"/>
      <c r="Q290" s="40"/>
      <c r="R290" s="40"/>
      <c r="S290" s="61" t="str">
        <f t="shared" si="29"/>
        <v/>
      </c>
      <c r="T290" s="40"/>
      <c r="U290" s="40"/>
      <c r="V290" s="40"/>
      <c r="W290" s="40"/>
      <c r="X290" s="67" t="str">
        <f t="shared" si="35"/>
        <v/>
      </c>
      <c r="Z290" s="71"/>
      <c r="AA290" s="71"/>
      <c r="AB290" s="67" t="str">
        <f t="shared" si="34"/>
        <v/>
      </c>
    </row>
    <row r="291" spans="1:28" x14ac:dyDescent="0.25">
      <c r="A291" s="59"/>
      <c r="B291" s="7"/>
      <c r="C291" s="59"/>
      <c r="D291" s="10"/>
      <c r="E291" s="40"/>
      <c r="F291" s="40"/>
      <c r="G291" s="40"/>
      <c r="H291" s="3" t="str">
        <f t="shared" si="30"/>
        <v/>
      </c>
      <c r="I291" s="3" t="str">
        <f t="shared" si="31"/>
        <v/>
      </c>
      <c r="J291" s="3" t="str">
        <f t="shared" si="32"/>
        <v/>
      </c>
      <c r="K291" s="3"/>
      <c r="L291" s="60" t="str">
        <f t="shared" si="33"/>
        <v/>
      </c>
      <c r="M291" s="40"/>
      <c r="N291" s="40"/>
      <c r="O291" s="40"/>
      <c r="P291" s="40"/>
      <c r="Q291" s="40"/>
      <c r="R291" s="40"/>
      <c r="S291" s="61" t="str">
        <f t="shared" si="29"/>
        <v/>
      </c>
      <c r="T291" s="40"/>
      <c r="U291" s="40"/>
      <c r="V291" s="40"/>
      <c r="W291" s="40"/>
      <c r="X291" s="67" t="str">
        <f t="shared" si="35"/>
        <v/>
      </c>
      <c r="Z291" s="71"/>
      <c r="AA291" s="71"/>
      <c r="AB291" s="67" t="str">
        <f t="shared" si="34"/>
        <v/>
      </c>
    </row>
    <row r="292" spans="1:28" x14ac:dyDescent="0.25">
      <c r="A292" s="59"/>
      <c r="B292" s="7"/>
      <c r="C292" s="59"/>
      <c r="D292" s="10"/>
      <c r="E292" s="40"/>
      <c r="F292" s="40"/>
      <c r="G292" s="40"/>
      <c r="H292" s="3" t="str">
        <f t="shared" si="30"/>
        <v/>
      </c>
      <c r="I292" s="3" t="str">
        <f t="shared" si="31"/>
        <v/>
      </c>
      <c r="J292" s="3" t="str">
        <f t="shared" si="32"/>
        <v/>
      </c>
      <c r="K292" s="3"/>
      <c r="L292" s="60" t="str">
        <f t="shared" si="33"/>
        <v/>
      </c>
      <c r="M292" s="40"/>
      <c r="N292" s="40"/>
      <c r="O292" s="40"/>
      <c r="P292" s="40"/>
      <c r="Q292" s="40"/>
      <c r="R292" s="40"/>
      <c r="S292" s="61" t="str">
        <f t="shared" si="29"/>
        <v/>
      </c>
      <c r="T292" s="40"/>
      <c r="U292" s="40"/>
      <c r="V292" s="40"/>
      <c r="W292" s="40"/>
      <c r="X292" s="67" t="str">
        <f t="shared" si="35"/>
        <v/>
      </c>
      <c r="Z292" s="71"/>
      <c r="AA292" s="71"/>
      <c r="AB292" s="67" t="str">
        <f t="shared" si="34"/>
        <v/>
      </c>
    </row>
    <row r="293" spans="1:28" x14ac:dyDescent="0.25">
      <c r="A293" s="59"/>
      <c r="B293" s="7"/>
      <c r="C293" s="59"/>
      <c r="D293" s="10"/>
      <c r="E293" s="40"/>
      <c r="F293" s="40"/>
      <c r="G293" s="40"/>
      <c r="H293" s="3" t="str">
        <f t="shared" si="30"/>
        <v/>
      </c>
      <c r="I293" s="3" t="str">
        <f t="shared" si="31"/>
        <v/>
      </c>
      <c r="J293" s="3" t="str">
        <f t="shared" si="32"/>
        <v/>
      </c>
      <c r="K293" s="3"/>
      <c r="L293" s="60" t="str">
        <f t="shared" si="33"/>
        <v/>
      </c>
      <c r="M293" s="40"/>
      <c r="N293" s="40"/>
      <c r="O293" s="40"/>
      <c r="P293" s="40"/>
      <c r="Q293" s="40"/>
      <c r="R293" s="40"/>
      <c r="S293" s="61" t="str">
        <f t="shared" si="29"/>
        <v/>
      </c>
      <c r="T293" s="40"/>
      <c r="U293" s="40"/>
      <c r="V293" s="40"/>
      <c r="W293" s="40"/>
      <c r="X293" s="67" t="str">
        <f t="shared" si="35"/>
        <v/>
      </c>
      <c r="Z293" s="71"/>
      <c r="AA293" s="71"/>
      <c r="AB293" s="67" t="str">
        <f t="shared" si="34"/>
        <v/>
      </c>
    </row>
    <row r="294" spans="1:28" x14ac:dyDescent="0.25">
      <c r="A294" s="59"/>
      <c r="B294" s="7"/>
      <c r="C294" s="59"/>
      <c r="D294" s="10"/>
      <c r="E294" s="40"/>
      <c r="F294" s="40"/>
      <c r="G294" s="40"/>
      <c r="H294" s="3" t="str">
        <f t="shared" si="30"/>
        <v/>
      </c>
      <c r="I294" s="3" t="str">
        <f t="shared" si="31"/>
        <v/>
      </c>
      <c r="J294" s="3" t="str">
        <f t="shared" si="32"/>
        <v/>
      </c>
      <c r="K294" s="3"/>
      <c r="L294" s="60" t="str">
        <f t="shared" si="33"/>
        <v/>
      </c>
      <c r="M294" s="40"/>
      <c r="N294" s="40"/>
      <c r="O294" s="40"/>
      <c r="P294" s="40"/>
      <c r="Q294" s="40"/>
      <c r="R294" s="40"/>
      <c r="S294" s="61" t="str">
        <f t="shared" si="29"/>
        <v/>
      </c>
      <c r="T294" s="40"/>
      <c r="U294" s="40"/>
      <c r="V294" s="40"/>
      <c r="W294" s="40"/>
      <c r="X294" s="67" t="str">
        <f t="shared" si="35"/>
        <v/>
      </c>
      <c r="Z294" s="71"/>
      <c r="AA294" s="71"/>
      <c r="AB294" s="67" t="str">
        <f t="shared" si="34"/>
        <v/>
      </c>
    </row>
    <row r="295" spans="1:28" x14ac:dyDescent="0.25">
      <c r="A295" s="59"/>
      <c r="B295" s="7"/>
      <c r="C295" s="59"/>
      <c r="D295" s="10"/>
      <c r="E295" s="40"/>
      <c r="F295" s="40"/>
      <c r="G295" s="40"/>
      <c r="H295" s="3" t="str">
        <f t="shared" si="30"/>
        <v/>
      </c>
      <c r="I295" s="3" t="str">
        <f t="shared" si="31"/>
        <v/>
      </c>
      <c r="J295" s="3" t="str">
        <f t="shared" si="32"/>
        <v/>
      </c>
      <c r="K295" s="3"/>
      <c r="L295" s="60" t="str">
        <f t="shared" si="33"/>
        <v/>
      </c>
      <c r="M295" s="40"/>
      <c r="N295" s="40"/>
      <c r="O295" s="40"/>
      <c r="P295" s="40"/>
      <c r="Q295" s="40"/>
      <c r="R295" s="40"/>
      <c r="S295" s="61" t="str">
        <f t="shared" si="29"/>
        <v/>
      </c>
      <c r="T295" s="40"/>
      <c r="U295" s="40"/>
      <c r="V295" s="40"/>
      <c r="W295" s="40"/>
      <c r="X295" s="67" t="str">
        <f t="shared" si="35"/>
        <v/>
      </c>
      <c r="Z295" s="71"/>
      <c r="AA295" s="71"/>
      <c r="AB295" s="67" t="str">
        <f t="shared" si="34"/>
        <v/>
      </c>
    </row>
    <row r="296" spans="1:28" x14ac:dyDescent="0.25">
      <c r="A296" s="59"/>
      <c r="B296" s="7"/>
      <c r="C296" s="59"/>
      <c r="D296" s="10"/>
      <c r="E296" s="40"/>
      <c r="F296" s="40"/>
      <c r="G296" s="40"/>
      <c r="H296" s="3" t="str">
        <f t="shared" si="30"/>
        <v/>
      </c>
      <c r="I296" s="3" t="str">
        <f t="shared" si="31"/>
        <v/>
      </c>
      <c r="J296" s="3" t="str">
        <f t="shared" si="32"/>
        <v/>
      </c>
      <c r="K296" s="3"/>
      <c r="L296" s="60" t="str">
        <f t="shared" si="33"/>
        <v/>
      </c>
      <c r="M296" s="40"/>
      <c r="N296" s="40"/>
      <c r="O296" s="40"/>
      <c r="P296" s="40"/>
      <c r="Q296" s="40"/>
      <c r="R296" s="40"/>
      <c r="S296" s="61" t="str">
        <f t="shared" si="29"/>
        <v/>
      </c>
      <c r="T296" s="40"/>
      <c r="U296" s="40"/>
      <c r="V296" s="40"/>
      <c r="W296" s="40"/>
      <c r="X296" s="67" t="str">
        <f t="shared" si="35"/>
        <v/>
      </c>
      <c r="Z296" s="71"/>
      <c r="AA296" s="71"/>
      <c r="AB296" s="67" t="str">
        <f t="shared" si="34"/>
        <v/>
      </c>
    </row>
    <row r="297" spans="1:28" x14ac:dyDescent="0.25">
      <c r="A297" s="59"/>
      <c r="B297" s="7"/>
      <c r="C297" s="59"/>
      <c r="D297" s="10"/>
      <c r="E297" s="40"/>
      <c r="F297" s="40"/>
      <c r="G297" s="40"/>
      <c r="H297" s="3" t="str">
        <f t="shared" si="30"/>
        <v/>
      </c>
      <c r="I297" s="3" t="str">
        <f t="shared" si="31"/>
        <v/>
      </c>
      <c r="J297" s="3" t="str">
        <f t="shared" si="32"/>
        <v/>
      </c>
      <c r="K297" s="3"/>
      <c r="L297" s="60" t="str">
        <f t="shared" si="33"/>
        <v/>
      </c>
      <c r="M297" s="40"/>
      <c r="N297" s="40"/>
      <c r="O297" s="40"/>
      <c r="P297" s="40"/>
      <c r="Q297" s="40"/>
      <c r="R297" s="40"/>
      <c r="S297" s="61" t="str">
        <f t="shared" ref="S297:S360" si="36">IF(C297="","",(S296+R297)-(M297+N297+O297+P297+Q297))</f>
        <v/>
      </c>
      <c r="T297" s="40"/>
      <c r="U297" s="40"/>
      <c r="V297" s="40"/>
      <c r="W297" s="40"/>
      <c r="X297" s="67" t="str">
        <f t="shared" si="35"/>
        <v/>
      </c>
      <c r="Z297" s="71"/>
      <c r="AA297" s="71"/>
      <c r="AB297" s="67" t="str">
        <f t="shared" si="34"/>
        <v/>
      </c>
    </row>
    <row r="298" spans="1:28" x14ac:dyDescent="0.25">
      <c r="A298" s="59"/>
      <c r="B298" s="7"/>
      <c r="C298" s="59"/>
      <c r="D298" s="10"/>
      <c r="E298" s="40"/>
      <c r="F298" s="40"/>
      <c r="G298" s="40"/>
      <c r="H298" s="3" t="str">
        <f t="shared" si="30"/>
        <v/>
      </c>
      <c r="I298" s="3" t="str">
        <f t="shared" si="31"/>
        <v/>
      </c>
      <c r="J298" s="3" t="str">
        <f t="shared" si="32"/>
        <v/>
      </c>
      <c r="K298" s="3"/>
      <c r="L298" s="60" t="str">
        <f t="shared" si="33"/>
        <v/>
      </c>
      <c r="M298" s="40"/>
      <c r="N298" s="40"/>
      <c r="O298" s="40"/>
      <c r="P298" s="40"/>
      <c r="Q298" s="40"/>
      <c r="R298" s="40"/>
      <c r="S298" s="61" t="str">
        <f t="shared" si="36"/>
        <v/>
      </c>
      <c r="T298" s="40"/>
      <c r="U298" s="40"/>
      <c r="V298" s="40"/>
      <c r="W298" s="40"/>
      <c r="X298" s="67" t="str">
        <f t="shared" si="35"/>
        <v/>
      </c>
      <c r="Z298" s="71"/>
      <c r="AA298" s="71"/>
      <c r="AB298" s="67" t="str">
        <f t="shared" si="34"/>
        <v/>
      </c>
    </row>
    <row r="299" spans="1:28" x14ac:dyDescent="0.25">
      <c r="A299" s="59"/>
      <c r="B299" s="7"/>
      <c r="C299" s="59"/>
      <c r="D299" s="10"/>
      <c r="E299" s="40"/>
      <c r="F299" s="40"/>
      <c r="G299" s="40"/>
      <c r="H299" s="3" t="str">
        <f t="shared" si="30"/>
        <v/>
      </c>
      <c r="I299" s="3" t="str">
        <f t="shared" si="31"/>
        <v/>
      </c>
      <c r="J299" s="3" t="str">
        <f t="shared" si="32"/>
        <v/>
      </c>
      <c r="K299" s="3"/>
      <c r="L299" s="60" t="str">
        <f t="shared" si="33"/>
        <v/>
      </c>
      <c r="M299" s="40"/>
      <c r="N299" s="40"/>
      <c r="O299" s="40"/>
      <c r="P299" s="40"/>
      <c r="Q299" s="40"/>
      <c r="R299" s="40"/>
      <c r="S299" s="61" t="str">
        <f t="shared" si="36"/>
        <v/>
      </c>
      <c r="T299" s="40"/>
      <c r="U299" s="40"/>
      <c r="V299" s="40"/>
      <c r="W299" s="40"/>
      <c r="X299" s="67" t="str">
        <f t="shared" si="35"/>
        <v/>
      </c>
      <c r="Z299" s="71"/>
      <c r="AA299" s="71"/>
      <c r="AB299" s="67" t="str">
        <f t="shared" si="34"/>
        <v/>
      </c>
    </row>
    <row r="300" spans="1:28" x14ac:dyDescent="0.25">
      <c r="A300" s="59"/>
      <c r="B300" s="7"/>
      <c r="C300" s="59"/>
      <c r="D300" s="10"/>
      <c r="E300" s="40"/>
      <c r="F300" s="40"/>
      <c r="G300" s="40"/>
      <c r="H300" s="3" t="str">
        <f t="shared" si="30"/>
        <v/>
      </c>
      <c r="I300" s="3" t="str">
        <f t="shared" si="31"/>
        <v/>
      </c>
      <c r="J300" s="3" t="str">
        <f t="shared" si="32"/>
        <v/>
      </c>
      <c r="K300" s="3"/>
      <c r="L300" s="60" t="str">
        <f t="shared" si="33"/>
        <v/>
      </c>
      <c r="M300" s="40"/>
      <c r="N300" s="40"/>
      <c r="O300" s="40"/>
      <c r="P300" s="40"/>
      <c r="Q300" s="40"/>
      <c r="R300" s="40"/>
      <c r="S300" s="61" t="str">
        <f t="shared" si="36"/>
        <v/>
      </c>
      <c r="T300" s="40"/>
      <c r="U300" s="40"/>
      <c r="V300" s="40"/>
      <c r="W300" s="40"/>
      <c r="X300" s="67" t="str">
        <f t="shared" si="35"/>
        <v/>
      </c>
      <c r="Z300" s="71"/>
      <c r="AA300" s="71"/>
      <c r="AB300" s="67" t="str">
        <f t="shared" si="34"/>
        <v/>
      </c>
    </row>
    <row r="301" spans="1:28" x14ac:dyDescent="0.25">
      <c r="A301" s="59"/>
      <c r="B301" s="7"/>
      <c r="C301" s="59"/>
      <c r="D301" s="10"/>
      <c r="E301" s="40"/>
      <c r="F301" s="40"/>
      <c r="G301" s="40"/>
      <c r="H301" s="3" t="str">
        <f t="shared" si="30"/>
        <v/>
      </c>
      <c r="I301" s="3" t="str">
        <f t="shared" si="31"/>
        <v/>
      </c>
      <c r="J301" s="3" t="str">
        <f t="shared" si="32"/>
        <v/>
      </c>
      <c r="K301" s="3"/>
      <c r="L301" s="60" t="str">
        <f t="shared" si="33"/>
        <v/>
      </c>
      <c r="M301" s="40"/>
      <c r="N301" s="40"/>
      <c r="O301" s="40"/>
      <c r="P301" s="40"/>
      <c r="Q301" s="40"/>
      <c r="R301" s="40"/>
      <c r="S301" s="61" t="str">
        <f t="shared" si="36"/>
        <v/>
      </c>
      <c r="T301" s="40"/>
      <c r="U301" s="40"/>
      <c r="V301" s="40"/>
      <c r="W301" s="40"/>
      <c r="X301" s="67" t="str">
        <f t="shared" si="35"/>
        <v/>
      </c>
      <c r="Z301" s="71"/>
      <c r="AA301" s="71"/>
      <c r="AB301" s="67" t="str">
        <f t="shared" si="34"/>
        <v/>
      </c>
    </row>
    <row r="302" spans="1:28" x14ac:dyDescent="0.25">
      <c r="A302" s="59"/>
      <c r="B302" s="7"/>
      <c r="C302" s="59"/>
      <c r="D302" s="10"/>
      <c r="E302" s="40"/>
      <c r="F302" s="40"/>
      <c r="G302" s="40"/>
      <c r="H302" s="3" t="str">
        <f t="shared" si="30"/>
        <v/>
      </c>
      <c r="I302" s="3" t="str">
        <f t="shared" si="31"/>
        <v/>
      </c>
      <c r="J302" s="3" t="str">
        <f t="shared" si="32"/>
        <v/>
      </c>
      <c r="K302" s="3"/>
      <c r="L302" s="60" t="str">
        <f t="shared" si="33"/>
        <v/>
      </c>
      <c r="M302" s="40"/>
      <c r="N302" s="40"/>
      <c r="O302" s="40"/>
      <c r="P302" s="40"/>
      <c r="Q302" s="40"/>
      <c r="R302" s="40"/>
      <c r="S302" s="61" t="str">
        <f t="shared" si="36"/>
        <v/>
      </c>
      <c r="T302" s="40"/>
      <c r="U302" s="40"/>
      <c r="V302" s="40"/>
      <c r="W302" s="40"/>
      <c r="X302" s="67" t="str">
        <f t="shared" si="35"/>
        <v/>
      </c>
      <c r="Z302" s="71"/>
      <c r="AA302" s="71"/>
      <c r="AB302" s="67" t="str">
        <f t="shared" si="34"/>
        <v/>
      </c>
    </row>
    <row r="303" spans="1:28" x14ac:dyDescent="0.25">
      <c r="A303" s="59"/>
      <c r="B303" s="7"/>
      <c r="C303" s="59"/>
      <c r="D303" s="10"/>
      <c r="E303" s="40"/>
      <c r="F303" s="40"/>
      <c r="G303" s="40"/>
      <c r="H303" s="3" t="str">
        <f t="shared" si="30"/>
        <v/>
      </c>
      <c r="I303" s="3" t="str">
        <f t="shared" si="31"/>
        <v/>
      </c>
      <c r="J303" s="3" t="str">
        <f t="shared" si="32"/>
        <v/>
      </c>
      <c r="K303" s="3"/>
      <c r="L303" s="60" t="str">
        <f t="shared" si="33"/>
        <v/>
      </c>
      <c r="M303" s="40"/>
      <c r="N303" s="40"/>
      <c r="O303" s="40"/>
      <c r="P303" s="40"/>
      <c r="Q303" s="40"/>
      <c r="R303" s="40"/>
      <c r="S303" s="61" t="str">
        <f t="shared" si="36"/>
        <v/>
      </c>
      <c r="T303" s="40"/>
      <c r="U303" s="40"/>
      <c r="V303" s="40"/>
      <c r="W303" s="40"/>
      <c r="X303" s="67" t="str">
        <f t="shared" si="35"/>
        <v/>
      </c>
      <c r="Z303" s="71"/>
      <c r="AA303" s="71"/>
      <c r="AB303" s="67" t="str">
        <f t="shared" si="34"/>
        <v/>
      </c>
    </row>
    <row r="304" spans="1:28" x14ac:dyDescent="0.25">
      <c r="A304" s="59"/>
      <c r="B304" s="7"/>
      <c r="C304" s="59"/>
      <c r="D304" s="10"/>
      <c r="E304" s="40"/>
      <c r="F304" s="40"/>
      <c r="G304" s="40"/>
      <c r="H304" s="3" t="str">
        <f t="shared" si="30"/>
        <v/>
      </c>
      <c r="I304" s="3" t="str">
        <f t="shared" si="31"/>
        <v/>
      </c>
      <c r="J304" s="3" t="str">
        <f t="shared" si="32"/>
        <v/>
      </c>
      <c r="K304" s="3"/>
      <c r="L304" s="60" t="str">
        <f t="shared" si="33"/>
        <v/>
      </c>
      <c r="M304" s="40"/>
      <c r="N304" s="40"/>
      <c r="O304" s="40"/>
      <c r="P304" s="40"/>
      <c r="Q304" s="40"/>
      <c r="R304" s="40"/>
      <c r="S304" s="61" t="str">
        <f t="shared" si="36"/>
        <v/>
      </c>
      <c r="T304" s="40"/>
      <c r="U304" s="40"/>
      <c r="V304" s="40"/>
      <c r="W304" s="40"/>
      <c r="X304" s="67" t="str">
        <f t="shared" si="35"/>
        <v/>
      </c>
      <c r="Z304" s="71"/>
      <c r="AA304" s="71"/>
      <c r="AB304" s="67" t="str">
        <f t="shared" si="34"/>
        <v/>
      </c>
    </row>
    <row r="305" spans="1:28" x14ac:dyDescent="0.25">
      <c r="A305" s="59"/>
      <c r="B305" s="7"/>
      <c r="C305" s="59"/>
      <c r="D305" s="10"/>
      <c r="E305" s="40"/>
      <c r="F305" s="40"/>
      <c r="G305" s="40"/>
      <c r="H305" s="3" t="str">
        <f t="shared" si="30"/>
        <v/>
      </c>
      <c r="I305" s="3" t="str">
        <f t="shared" si="31"/>
        <v/>
      </c>
      <c r="J305" s="3" t="str">
        <f t="shared" si="32"/>
        <v/>
      </c>
      <c r="K305" s="3"/>
      <c r="L305" s="60" t="str">
        <f t="shared" si="33"/>
        <v/>
      </c>
      <c r="M305" s="40"/>
      <c r="N305" s="40"/>
      <c r="O305" s="40"/>
      <c r="P305" s="40"/>
      <c r="Q305" s="40"/>
      <c r="R305" s="40"/>
      <c r="S305" s="61" t="str">
        <f t="shared" si="36"/>
        <v/>
      </c>
      <c r="T305" s="40"/>
      <c r="U305" s="40"/>
      <c r="V305" s="40"/>
      <c r="W305" s="40"/>
      <c r="X305" s="67" t="str">
        <f t="shared" si="35"/>
        <v/>
      </c>
      <c r="Z305" s="71"/>
      <c r="AA305" s="71"/>
      <c r="AB305" s="67" t="str">
        <f t="shared" si="34"/>
        <v/>
      </c>
    </row>
    <row r="306" spans="1:28" x14ac:dyDescent="0.25">
      <c r="A306" s="59"/>
      <c r="B306" s="7"/>
      <c r="C306" s="59"/>
      <c r="D306" s="10"/>
      <c r="E306" s="40"/>
      <c r="F306" s="40"/>
      <c r="G306" s="40"/>
      <c r="H306" s="3" t="str">
        <f t="shared" si="30"/>
        <v/>
      </c>
      <c r="I306" s="3" t="str">
        <f t="shared" si="31"/>
        <v/>
      </c>
      <c r="J306" s="3" t="str">
        <f t="shared" si="32"/>
        <v/>
      </c>
      <c r="K306" s="3"/>
      <c r="L306" s="60" t="str">
        <f t="shared" si="33"/>
        <v/>
      </c>
      <c r="M306" s="40"/>
      <c r="N306" s="40"/>
      <c r="O306" s="40"/>
      <c r="P306" s="40"/>
      <c r="Q306" s="40"/>
      <c r="R306" s="40"/>
      <c r="S306" s="61" t="str">
        <f t="shared" si="36"/>
        <v/>
      </c>
      <c r="T306" s="40"/>
      <c r="U306" s="40"/>
      <c r="V306" s="40"/>
      <c r="W306" s="40"/>
      <c r="X306" s="67" t="str">
        <f t="shared" si="35"/>
        <v/>
      </c>
      <c r="Z306" s="71"/>
      <c r="AA306" s="71"/>
      <c r="AB306" s="67" t="str">
        <f t="shared" si="34"/>
        <v/>
      </c>
    </row>
    <row r="307" spans="1:28" x14ac:dyDescent="0.25">
      <c r="A307" s="59"/>
      <c r="B307" s="7"/>
      <c r="C307" s="59"/>
      <c r="D307" s="10"/>
      <c r="E307" s="40"/>
      <c r="F307" s="40"/>
      <c r="G307" s="40"/>
      <c r="H307" s="3" t="str">
        <f t="shared" si="30"/>
        <v/>
      </c>
      <c r="I307" s="3" t="str">
        <f t="shared" si="31"/>
        <v/>
      </c>
      <c r="J307" s="3" t="str">
        <f t="shared" si="32"/>
        <v/>
      </c>
      <c r="K307" s="3"/>
      <c r="L307" s="60" t="str">
        <f t="shared" si="33"/>
        <v/>
      </c>
      <c r="M307" s="40"/>
      <c r="N307" s="40"/>
      <c r="O307" s="40"/>
      <c r="P307" s="40"/>
      <c r="Q307" s="40"/>
      <c r="R307" s="40"/>
      <c r="S307" s="61" t="str">
        <f t="shared" si="36"/>
        <v/>
      </c>
      <c r="T307" s="40"/>
      <c r="U307" s="40"/>
      <c r="V307" s="40"/>
      <c r="W307" s="40"/>
      <c r="X307" s="67" t="str">
        <f t="shared" si="35"/>
        <v/>
      </c>
      <c r="Z307" s="71"/>
      <c r="AA307" s="71"/>
      <c r="AB307" s="67" t="str">
        <f t="shared" si="34"/>
        <v/>
      </c>
    </row>
    <row r="308" spans="1:28" x14ac:dyDescent="0.25">
      <c r="A308" s="59"/>
      <c r="B308" s="7"/>
      <c r="C308" s="59"/>
      <c r="D308" s="10"/>
      <c r="E308" s="40"/>
      <c r="F308" s="40"/>
      <c r="G308" s="40"/>
      <c r="H308" s="3" t="str">
        <f t="shared" si="30"/>
        <v/>
      </c>
      <c r="I308" s="3" t="str">
        <f t="shared" si="31"/>
        <v/>
      </c>
      <c r="J308" s="3" t="str">
        <f t="shared" si="32"/>
        <v/>
      </c>
      <c r="K308" s="3"/>
      <c r="L308" s="60" t="str">
        <f t="shared" si="33"/>
        <v/>
      </c>
      <c r="M308" s="40"/>
      <c r="N308" s="40"/>
      <c r="O308" s="40"/>
      <c r="P308" s="40"/>
      <c r="Q308" s="40"/>
      <c r="R308" s="40"/>
      <c r="S308" s="61" t="str">
        <f t="shared" si="36"/>
        <v/>
      </c>
      <c r="T308" s="40"/>
      <c r="U308" s="40"/>
      <c r="V308" s="40"/>
      <c r="W308" s="40"/>
      <c r="X308" s="67" t="str">
        <f t="shared" si="35"/>
        <v/>
      </c>
      <c r="Z308" s="71"/>
      <c r="AA308" s="71"/>
      <c r="AB308" s="67" t="str">
        <f t="shared" si="34"/>
        <v/>
      </c>
    </row>
    <row r="309" spans="1:28" x14ac:dyDescent="0.25">
      <c r="A309" s="59"/>
      <c r="B309" s="7"/>
      <c r="C309" s="59"/>
      <c r="D309" s="10"/>
      <c r="E309" s="40"/>
      <c r="F309" s="40"/>
      <c r="G309" s="40"/>
      <c r="H309" s="3" t="str">
        <f t="shared" si="30"/>
        <v/>
      </c>
      <c r="I309" s="3" t="str">
        <f t="shared" si="31"/>
        <v/>
      </c>
      <c r="J309" s="3" t="str">
        <f t="shared" si="32"/>
        <v/>
      </c>
      <c r="K309" s="3"/>
      <c r="L309" s="60" t="str">
        <f t="shared" si="33"/>
        <v/>
      </c>
      <c r="M309" s="40"/>
      <c r="N309" s="40"/>
      <c r="O309" s="40"/>
      <c r="P309" s="40"/>
      <c r="Q309" s="40"/>
      <c r="R309" s="40"/>
      <c r="S309" s="61" t="str">
        <f t="shared" si="36"/>
        <v/>
      </c>
      <c r="T309" s="40"/>
      <c r="U309" s="40"/>
      <c r="V309" s="40"/>
      <c r="W309" s="40"/>
      <c r="X309" s="67" t="str">
        <f t="shared" si="35"/>
        <v/>
      </c>
      <c r="Z309" s="71"/>
      <c r="AA309" s="71"/>
      <c r="AB309" s="67" t="str">
        <f t="shared" si="34"/>
        <v/>
      </c>
    </row>
    <row r="310" spans="1:28" x14ac:dyDescent="0.25">
      <c r="A310" s="59"/>
      <c r="B310" s="7"/>
      <c r="C310" s="59"/>
      <c r="D310" s="10"/>
      <c r="E310" s="40"/>
      <c r="F310" s="40"/>
      <c r="G310" s="40"/>
      <c r="H310" s="3" t="str">
        <f t="shared" si="30"/>
        <v/>
      </c>
      <c r="I310" s="3" t="str">
        <f t="shared" si="31"/>
        <v/>
      </c>
      <c r="J310" s="3" t="str">
        <f t="shared" si="32"/>
        <v/>
      </c>
      <c r="K310" s="3"/>
      <c r="L310" s="60" t="str">
        <f t="shared" si="33"/>
        <v/>
      </c>
      <c r="M310" s="40"/>
      <c r="N310" s="40"/>
      <c r="O310" s="40"/>
      <c r="P310" s="40"/>
      <c r="Q310" s="40"/>
      <c r="R310" s="40"/>
      <c r="S310" s="61" t="str">
        <f t="shared" si="36"/>
        <v/>
      </c>
      <c r="T310" s="40"/>
      <c r="U310" s="40"/>
      <c r="V310" s="40"/>
      <c r="W310" s="40"/>
      <c r="X310" s="67" t="str">
        <f t="shared" si="35"/>
        <v/>
      </c>
      <c r="Z310" s="71"/>
      <c r="AA310" s="71"/>
      <c r="AB310" s="67" t="str">
        <f t="shared" si="34"/>
        <v/>
      </c>
    </row>
    <row r="311" spans="1:28" x14ac:dyDescent="0.25">
      <c r="A311" s="59"/>
      <c r="B311" s="7"/>
      <c r="C311" s="59"/>
      <c r="D311" s="10"/>
      <c r="E311" s="40"/>
      <c r="F311" s="40"/>
      <c r="G311" s="40"/>
      <c r="H311" s="3" t="str">
        <f t="shared" si="30"/>
        <v/>
      </c>
      <c r="I311" s="3" t="str">
        <f t="shared" si="31"/>
        <v/>
      </c>
      <c r="J311" s="3" t="str">
        <f t="shared" si="32"/>
        <v/>
      </c>
      <c r="K311" s="3"/>
      <c r="L311" s="60" t="str">
        <f t="shared" si="33"/>
        <v/>
      </c>
      <c r="M311" s="40"/>
      <c r="N311" s="40"/>
      <c r="O311" s="40"/>
      <c r="P311" s="40"/>
      <c r="Q311" s="40"/>
      <c r="R311" s="40"/>
      <c r="S311" s="61" t="str">
        <f t="shared" si="36"/>
        <v/>
      </c>
      <c r="T311" s="40"/>
      <c r="U311" s="40"/>
      <c r="V311" s="40"/>
      <c r="W311" s="40"/>
      <c r="X311" s="67" t="str">
        <f t="shared" si="35"/>
        <v/>
      </c>
      <c r="Z311" s="71"/>
      <c r="AA311" s="71"/>
      <c r="AB311" s="67" t="str">
        <f t="shared" si="34"/>
        <v/>
      </c>
    </row>
    <row r="312" spans="1:28" x14ac:dyDescent="0.25">
      <c r="A312" s="59"/>
      <c r="B312" s="7"/>
      <c r="C312" s="59"/>
      <c r="D312" s="10"/>
      <c r="E312" s="40"/>
      <c r="F312" s="40"/>
      <c r="G312" s="40"/>
      <c r="H312" s="3" t="str">
        <f t="shared" si="30"/>
        <v/>
      </c>
      <c r="I312" s="3" t="str">
        <f t="shared" si="31"/>
        <v/>
      </c>
      <c r="J312" s="3" t="str">
        <f t="shared" si="32"/>
        <v/>
      </c>
      <c r="K312" s="3"/>
      <c r="L312" s="60" t="str">
        <f t="shared" si="33"/>
        <v/>
      </c>
      <c r="M312" s="40"/>
      <c r="N312" s="40"/>
      <c r="O312" s="40"/>
      <c r="P312" s="40"/>
      <c r="Q312" s="40"/>
      <c r="R312" s="40"/>
      <c r="S312" s="61" t="str">
        <f t="shared" si="36"/>
        <v/>
      </c>
      <c r="T312" s="40"/>
      <c r="U312" s="40"/>
      <c r="V312" s="40"/>
      <c r="W312" s="40"/>
      <c r="X312" s="67" t="str">
        <f t="shared" si="35"/>
        <v/>
      </c>
      <c r="Z312" s="71"/>
      <c r="AA312" s="71"/>
      <c r="AB312" s="67" t="str">
        <f t="shared" si="34"/>
        <v/>
      </c>
    </row>
    <row r="313" spans="1:28" x14ac:dyDescent="0.25">
      <c r="A313" s="59"/>
      <c r="B313" s="7"/>
      <c r="C313" s="59"/>
      <c r="D313" s="10"/>
      <c r="E313" s="40"/>
      <c r="F313" s="40"/>
      <c r="G313" s="40"/>
      <c r="H313" s="3" t="str">
        <f t="shared" si="30"/>
        <v/>
      </c>
      <c r="I313" s="3" t="str">
        <f t="shared" si="31"/>
        <v/>
      </c>
      <c r="J313" s="3" t="str">
        <f t="shared" si="32"/>
        <v/>
      </c>
      <c r="K313" s="3"/>
      <c r="L313" s="60" t="str">
        <f t="shared" si="33"/>
        <v/>
      </c>
      <c r="M313" s="40"/>
      <c r="N313" s="40"/>
      <c r="O313" s="40"/>
      <c r="P313" s="40"/>
      <c r="Q313" s="40"/>
      <c r="R313" s="40"/>
      <c r="S313" s="61" t="str">
        <f t="shared" si="36"/>
        <v/>
      </c>
      <c r="T313" s="40"/>
      <c r="U313" s="40"/>
      <c r="V313" s="40"/>
      <c r="W313" s="40"/>
      <c r="X313" s="67" t="str">
        <f t="shared" si="35"/>
        <v/>
      </c>
      <c r="Z313" s="71"/>
      <c r="AA313" s="71"/>
      <c r="AB313" s="67" t="str">
        <f t="shared" si="34"/>
        <v/>
      </c>
    </row>
    <row r="314" spans="1:28" x14ac:dyDescent="0.25">
      <c r="A314" s="59"/>
      <c r="B314" s="7"/>
      <c r="C314" s="59"/>
      <c r="D314" s="10"/>
      <c r="E314" s="40"/>
      <c r="F314" s="40"/>
      <c r="G314" s="40"/>
      <c r="H314" s="3" t="str">
        <f t="shared" si="30"/>
        <v/>
      </c>
      <c r="I314" s="3" t="str">
        <f t="shared" si="31"/>
        <v/>
      </c>
      <c r="J314" s="3" t="str">
        <f t="shared" si="32"/>
        <v/>
      </c>
      <c r="K314" s="3"/>
      <c r="L314" s="60" t="str">
        <f t="shared" si="33"/>
        <v/>
      </c>
      <c r="M314" s="40"/>
      <c r="N314" s="40"/>
      <c r="O314" s="40"/>
      <c r="P314" s="40"/>
      <c r="Q314" s="40"/>
      <c r="R314" s="40"/>
      <c r="S314" s="61" t="str">
        <f t="shared" si="36"/>
        <v/>
      </c>
      <c r="T314" s="40"/>
      <c r="U314" s="40"/>
      <c r="V314" s="40"/>
      <c r="W314" s="40"/>
      <c r="X314" s="67" t="str">
        <f t="shared" si="35"/>
        <v/>
      </c>
      <c r="Z314" s="71"/>
      <c r="AA314" s="71"/>
      <c r="AB314" s="67" t="str">
        <f t="shared" si="34"/>
        <v/>
      </c>
    </row>
    <row r="315" spans="1:28" x14ac:dyDescent="0.25">
      <c r="A315" s="59"/>
      <c r="B315" s="7"/>
      <c r="C315" s="59"/>
      <c r="D315" s="10"/>
      <c r="E315" s="40"/>
      <c r="F315" s="40"/>
      <c r="G315" s="40"/>
      <c r="H315" s="3" t="str">
        <f t="shared" si="30"/>
        <v/>
      </c>
      <c r="I315" s="3" t="str">
        <f t="shared" si="31"/>
        <v/>
      </c>
      <c r="J315" s="3" t="str">
        <f t="shared" si="32"/>
        <v/>
      </c>
      <c r="K315" s="3"/>
      <c r="L315" s="60" t="str">
        <f t="shared" si="33"/>
        <v/>
      </c>
      <c r="M315" s="40"/>
      <c r="N315" s="40"/>
      <c r="O315" s="40"/>
      <c r="P315" s="40"/>
      <c r="Q315" s="40"/>
      <c r="R315" s="40"/>
      <c r="S315" s="61" t="str">
        <f t="shared" si="36"/>
        <v/>
      </c>
      <c r="T315" s="40"/>
      <c r="U315" s="40"/>
      <c r="V315" s="40"/>
      <c r="W315" s="40"/>
      <c r="X315" s="67" t="str">
        <f t="shared" si="35"/>
        <v/>
      </c>
      <c r="Z315" s="71"/>
      <c r="AA315" s="71"/>
      <c r="AB315" s="67" t="str">
        <f t="shared" si="34"/>
        <v/>
      </c>
    </row>
    <row r="316" spans="1:28" x14ac:dyDescent="0.25">
      <c r="A316" s="59"/>
      <c r="B316" s="7"/>
      <c r="C316" s="59"/>
      <c r="D316" s="10"/>
      <c r="E316" s="40"/>
      <c r="F316" s="40"/>
      <c r="G316" s="40"/>
      <c r="H316" s="3" t="str">
        <f t="shared" si="30"/>
        <v/>
      </c>
      <c r="I316" s="3" t="str">
        <f t="shared" si="31"/>
        <v/>
      </c>
      <c r="J316" s="3" t="str">
        <f t="shared" si="32"/>
        <v/>
      </c>
      <c r="K316" s="3"/>
      <c r="L316" s="60" t="str">
        <f t="shared" si="33"/>
        <v/>
      </c>
      <c r="M316" s="40"/>
      <c r="N316" s="40"/>
      <c r="O316" s="40"/>
      <c r="P316" s="40"/>
      <c r="Q316" s="40"/>
      <c r="R316" s="40"/>
      <c r="S316" s="61" t="str">
        <f t="shared" si="36"/>
        <v/>
      </c>
      <c r="T316" s="40"/>
      <c r="U316" s="40"/>
      <c r="V316" s="40"/>
      <c r="W316" s="40"/>
      <c r="X316" s="67" t="str">
        <f t="shared" si="35"/>
        <v/>
      </c>
      <c r="Z316" s="71"/>
      <c r="AA316" s="71"/>
      <c r="AB316" s="67" t="str">
        <f t="shared" si="34"/>
        <v/>
      </c>
    </row>
    <row r="317" spans="1:28" x14ac:dyDescent="0.25">
      <c r="A317" s="59"/>
      <c r="B317" s="7"/>
      <c r="C317" s="59"/>
      <c r="D317" s="10"/>
      <c r="E317" s="40"/>
      <c r="F317" s="40"/>
      <c r="G317" s="40"/>
      <c r="H317" s="3" t="str">
        <f t="shared" si="30"/>
        <v/>
      </c>
      <c r="I317" s="3" t="str">
        <f t="shared" si="31"/>
        <v/>
      </c>
      <c r="J317" s="3" t="str">
        <f t="shared" si="32"/>
        <v/>
      </c>
      <c r="K317" s="3"/>
      <c r="L317" s="60" t="str">
        <f t="shared" si="33"/>
        <v/>
      </c>
      <c r="M317" s="40"/>
      <c r="N317" s="40"/>
      <c r="O317" s="40"/>
      <c r="P317" s="40"/>
      <c r="Q317" s="40"/>
      <c r="R317" s="40"/>
      <c r="S317" s="61" t="str">
        <f t="shared" si="36"/>
        <v/>
      </c>
      <c r="T317" s="40"/>
      <c r="U317" s="40"/>
      <c r="V317" s="40"/>
      <c r="W317" s="40"/>
      <c r="X317" s="67" t="str">
        <f t="shared" si="35"/>
        <v/>
      </c>
      <c r="Z317" s="71"/>
      <c r="AA317" s="71"/>
      <c r="AB317" s="67" t="str">
        <f t="shared" si="34"/>
        <v/>
      </c>
    </row>
    <row r="318" spans="1:28" x14ac:dyDescent="0.25">
      <c r="A318" s="59"/>
      <c r="B318" s="7"/>
      <c r="C318" s="59"/>
      <c r="D318" s="10"/>
      <c r="E318" s="40"/>
      <c r="F318" s="40"/>
      <c r="G318" s="40"/>
      <c r="H318" s="3" t="str">
        <f t="shared" si="30"/>
        <v/>
      </c>
      <c r="I318" s="3" t="str">
        <f t="shared" si="31"/>
        <v/>
      </c>
      <c r="J318" s="3" t="str">
        <f t="shared" si="32"/>
        <v/>
      </c>
      <c r="K318" s="3"/>
      <c r="L318" s="60" t="str">
        <f t="shared" si="33"/>
        <v/>
      </c>
      <c r="M318" s="40"/>
      <c r="N318" s="40"/>
      <c r="O318" s="40"/>
      <c r="P318" s="40"/>
      <c r="Q318" s="40"/>
      <c r="R318" s="40"/>
      <c r="S318" s="61" t="str">
        <f t="shared" si="36"/>
        <v/>
      </c>
      <c r="T318" s="40"/>
      <c r="U318" s="40"/>
      <c r="V318" s="40"/>
      <c r="W318" s="40"/>
      <c r="X318" s="67" t="str">
        <f t="shared" si="35"/>
        <v/>
      </c>
      <c r="Z318" s="71"/>
      <c r="AA318" s="71"/>
      <c r="AB318" s="67" t="str">
        <f t="shared" si="34"/>
        <v/>
      </c>
    </row>
    <row r="319" spans="1:28" x14ac:dyDescent="0.25">
      <c r="A319" s="59"/>
      <c r="B319" s="7"/>
      <c r="C319" s="59"/>
      <c r="D319" s="10"/>
      <c r="E319" s="40"/>
      <c r="F319" s="40"/>
      <c r="G319" s="40"/>
      <c r="H319" s="3" t="str">
        <f t="shared" si="30"/>
        <v/>
      </c>
      <c r="I319" s="3" t="str">
        <f t="shared" si="31"/>
        <v/>
      </c>
      <c r="J319" s="3" t="str">
        <f t="shared" si="32"/>
        <v/>
      </c>
      <c r="K319" s="3"/>
      <c r="L319" s="60" t="str">
        <f t="shared" si="33"/>
        <v/>
      </c>
      <c r="M319" s="40"/>
      <c r="N319" s="40"/>
      <c r="O319" s="40"/>
      <c r="P319" s="40"/>
      <c r="Q319" s="40"/>
      <c r="R319" s="40"/>
      <c r="S319" s="61" t="str">
        <f t="shared" si="36"/>
        <v/>
      </c>
      <c r="T319" s="40"/>
      <c r="U319" s="40"/>
      <c r="V319" s="40"/>
      <c r="W319" s="40"/>
      <c r="X319" s="67" t="str">
        <f t="shared" si="35"/>
        <v/>
      </c>
      <c r="Z319" s="71"/>
      <c r="AA319" s="71"/>
      <c r="AB319" s="67" t="str">
        <f t="shared" si="34"/>
        <v/>
      </c>
    </row>
    <row r="320" spans="1:28" x14ac:dyDescent="0.25">
      <c r="A320" s="59"/>
      <c r="B320" s="7"/>
      <c r="C320" s="59"/>
      <c r="D320" s="10"/>
      <c r="E320" s="40"/>
      <c r="F320" s="40"/>
      <c r="G320" s="40"/>
      <c r="H320" s="3" t="str">
        <f t="shared" si="30"/>
        <v/>
      </c>
      <c r="I320" s="3" t="str">
        <f t="shared" si="31"/>
        <v/>
      </c>
      <c r="J320" s="3" t="str">
        <f t="shared" si="32"/>
        <v/>
      </c>
      <c r="K320" s="3"/>
      <c r="L320" s="60" t="str">
        <f t="shared" si="33"/>
        <v/>
      </c>
      <c r="M320" s="40"/>
      <c r="N320" s="40"/>
      <c r="O320" s="40"/>
      <c r="P320" s="40"/>
      <c r="Q320" s="40"/>
      <c r="R320" s="40"/>
      <c r="S320" s="61" t="str">
        <f t="shared" si="36"/>
        <v/>
      </c>
      <c r="T320" s="40"/>
      <c r="U320" s="40"/>
      <c r="V320" s="40"/>
      <c r="W320" s="40"/>
      <c r="X320" s="67" t="str">
        <f t="shared" si="35"/>
        <v/>
      </c>
      <c r="Z320" s="71"/>
      <c r="AA320" s="71"/>
      <c r="AB320" s="67" t="str">
        <f t="shared" si="34"/>
        <v/>
      </c>
    </row>
    <row r="321" spans="1:28" x14ac:dyDescent="0.25">
      <c r="A321" s="59"/>
      <c r="B321" s="7"/>
      <c r="C321" s="59"/>
      <c r="D321" s="10"/>
      <c r="E321" s="40"/>
      <c r="F321" s="40"/>
      <c r="G321" s="40"/>
      <c r="H321" s="3" t="str">
        <f t="shared" si="30"/>
        <v/>
      </c>
      <c r="I321" s="3" t="str">
        <f t="shared" si="31"/>
        <v/>
      </c>
      <c r="J321" s="3" t="str">
        <f t="shared" si="32"/>
        <v/>
      </c>
      <c r="K321" s="3"/>
      <c r="L321" s="60" t="str">
        <f t="shared" si="33"/>
        <v/>
      </c>
      <c r="M321" s="40"/>
      <c r="N321" s="40"/>
      <c r="O321" s="40"/>
      <c r="P321" s="40"/>
      <c r="Q321" s="40"/>
      <c r="R321" s="40"/>
      <c r="S321" s="61" t="str">
        <f t="shared" si="36"/>
        <v/>
      </c>
      <c r="T321" s="40"/>
      <c r="U321" s="40"/>
      <c r="V321" s="40"/>
      <c r="W321" s="40"/>
      <c r="X321" s="67" t="str">
        <f t="shared" si="35"/>
        <v/>
      </c>
      <c r="Z321" s="71"/>
      <c r="AA321" s="71"/>
      <c r="AB321" s="67" t="str">
        <f t="shared" si="34"/>
        <v/>
      </c>
    </row>
    <row r="322" spans="1:28" x14ac:dyDescent="0.25">
      <c r="A322" s="59"/>
      <c r="B322" s="7"/>
      <c r="C322" s="59"/>
      <c r="D322" s="10"/>
      <c r="E322" s="40"/>
      <c r="F322" s="40"/>
      <c r="G322" s="40"/>
      <c r="H322" s="3" t="str">
        <f t="shared" si="30"/>
        <v/>
      </c>
      <c r="I322" s="3" t="str">
        <f t="shared" si="31"/>
        <v/>
      </c>
      <c r="J322" s="3" t="str">
        <f t="shared" si="32"/>
        <v/>
      </c>
      <c r="K322" s="3"/>
      <c r="L322" s="60" t="str">
        <f t="shared" si="33"/>
        <v/>
      </c>
      <c r="M322" s="40"/>
      <c r="N322" s="40"/>
      <c r="O322" s="40"/>
      <c r="P322" s="40"/>
      <c r="Q322" s="40"/>
      <c r="R322" s="40"/>
      <c r="S322" s="61" t="str">
        <f t="shared" si="36"/>
        <v/>
      </c>
      <c r="T322" s="40"/>
      <c r="U322" s="40"/>
      <c r="V322" s="40"/>
      <c r="W322" s="40"/>
      <c r="X322" s="67" t="str">
        <f t="shared" si="35"/>
        <v/>
      </c>
      <c r="Z322" s="71"/>
      <c r="AA322" s="71"/>
      <c r="AB322" s="67" t="str">
        <f t="shared" si="34"/>
        <v/>
      </c>
    </row>
    <row r="323" spans="1:28" x14ac:dyDescent="0.25">
      <c r="A323" s="59"/>
      <c r="B323" s="7"/>
      <c r="C323" s="59"/>
      <c r="D323" s="10"/>
      <c r="E323" s="40"/>
      <c r="F323" s="40"/>
      <c r="G323" s="40"/>
      <c r="H323" s="3" t="str">
        <f t="shared" si="30"/>
        <v/>
      </c>
      <c r="I323" s="3" t="str">
        <f t="shared" si="31"/>
        <v/>
      </c>
      <c r="J323" s="3" t="str">
        <f t="shared" si="32"/>
        <v/>
      </c>
      <c r="K323" s="3"/>
      <c r="L323" s="60" t="str">
        <f t="shared" si="33"/>
        <v/>
      </c>
      <c r="M323" s="40"/>
      <c r="N323" s="40"/>
      <c r="O323" s="40"/>
      <c r="P323" s="40"/>
      <c r="Q323" s="40"/>
      <c r="R323" s="40"/>
      <c r="S323" s="61" t="str">
        <f t="shared" si="36"/>
        <v/>
      </c>
      <c r="T323" s="40"/>
      <c r="U323" s="40"/>
      <c r="V323" s="40"/>
      <c r="W323" s="40"/>
      <c r="X323" s="67" t="str">
        <f t="shared" si="35"/>
        <v/>
      </c>
      <c r="Z323" s="71"/>
      <c r="AA323" s="71"/>
      <c r="AB323" s="67" t="str">
        <f t="shared" si="34"/>
        <v/>
      </c>
    </row>
    <row r="324" spans="1:28" x14ac:dyDescent="0.25">
      <c r="A324" s="59"/>
      <c r="B324" s="7"/>
      <c r="C324" s="59"/>
      <c r="D324" s="10"/>
      <c r="E324" s="40"/>
      <c r="F324" s="40"/>
      <c r="G324" s="40"/>
      <c r="H324" s="3" t="str">
        <f t="shared" si="30"/>
        <v/>
      </c>
      <c r="I324" s="3" t="str">
        <f t="shared" si="31"/>
        <v/>
      </c>
      <c r="J324" s="3" t="str">
        <f t="shared" si="32"/>
        <v/>
      </c>
      <c r="K324" s="3"/>
      <c r="L324" s="60" t="str">
        <f t="shared" si="33"/>
        <v/>
      </c>
      <c r="M324" s="40"/>
      <c r="N324" s="40"/>
      <c r="O324" s="40"/>
      <c r="P324" s="40"/>
      <c r="Q324" s="40"/>
      <c r="R324" s="40"/>
      <c r="S324" s="61" t="str">
        <f t="shared" si="36"/>
        <v/>
      </c>
      <c r="T324" s="40"/>
      <c r="U324" s="40"/>
      <c r="V324" s="40"/>
      <c r="W324" s="40"/>
      <c r="X324" s="67" t="str">
        <f t="shared" si="35"/>
        <v/>
      </c>
      <c r="Z324" s="71"/>
      <c r="AA324" s="71"/>
      <c r="AB324" s="67" t="str">
        <f t="shared" si="34"/>
        <v/>
      </c>
    </row>
    <row r="325" spans="1:28" x14ac:dyDescent="0.25">
      <c r="A325" s="59"/>
      <c r="B325" s="7"/>
      <c r="C325" s="59"/>
      <c r="D325" s="10"/>
      <c r="E325" s="40"/>
      <c r="F325" s="40"/>
      <c r="G325" s="40"/>
      <c r="H325" s="3" t="str">
        <f t="shared" ref="H325:H388" si="37">+IF(E325="","",(E325/24)*C325)</f>
        <v/>
      </c>
      <c r="I325" s="3" t="str">
        <f t="shared" ref="I325:I388" si="38">+IF(F325="","",(F325/24)*C325)</f>
        <v/>
      </c>
      <c r="J325" s="3" t="str">
        <f t="shared" ref="J325:J388" si="39">+IF(G325="","",(G325/24)*C325)</f>
        <v/>
      </c>
      <c r="K325" s="3"/>
      <c r="L325" s="60" t="str">
        <f t="shared" ref="L325:L388" si="40">+IF(C325="","",L324-(H325+I325+J325))</f>
        <v/>
      </c>
      <c r="M325" s="40"/>
      <c r="N325" s="40"/>
      <c r="O325" s="40"/>
      <c r="P325" s="40"/>
      <c r="Q325" s="40"/>
      <c r="R325" s="40"/>
      <c r="S325" s="61" t="str">
        <f t="shared" si="36"/>
        <v/>
      </c>
      <c r="T325" s="40"/>
      <c r="U325" s="40"/>
      <c r="V325" s="40"/>
      <c r="W325" s="40"/>
      <c r="X325" s="67" t="str">
        <f t="shared" si="35"/>
        <v/>
      </c>
      <c r="Z325" s="71"/>
      <c r="AA325" s="71"/>
      <c r="AB325" s="67" t="str">
        <f t="shared" ref="AB325:AB388" si="41">IF(Z325="","",Z325+AA325)</f>
        <v/>
      </c>
    </row>
    <row r="326" spans="1:28" x14ac:dyDescent="0.25">
      <c r="A326" s="59"/>
      <c r="B326" s="7"/>
      <c r="C326" s="59"/>
      <c r="D326" s="10"/>
      <c r="E326" s="40"/>
      <c r="F326" s="40"/>
      <c r="G326" s="40"/>
      <c r="H326" s="3" t="str">
        <f t="shared" si="37"/>
        <v/>
      </c>
      <c r="I326" s="3" t="str">
        <f t="shared" si="38"/>
        <v/>
      </c>
      <c r="J326" s="3" t="str">
        <f t="shared" si="39"/>
        <v/>
      </c>
      <c r="K326" s="3"/>
      <c r="L326" s="60" t="str">
        <f t="shared" si="40"/>
        <v/>
      </c>
      <c r="M326" s="40"/>
      <c r="N326" s="40"/>
      <c r="O326" s="40"/>
      <c r="P326" s="40"/>
      <c r="Q326" s="40"/>
      <c r="R326" s="40"/>
      <c r="S326" s="61" t="str">
        <f t="shared" si="36"/>
        <v/>
      </c>
      <c r="T326" s="40"/>
      <c r="U326" s="40"/>
      <c r="V326" s="40"/>
      <c r="W326" s="40"/>
      <c r="X326" s="67" t="str">
        <f t="shared" si="35"/>
        <v/>
      </c>
      <c r="Z326" s="71"/>
      <c r="AA326" s="71"/>
      <c r="AB326" s="67" t="str">
        <f t="shared" si="41"/>
        <v/>
      </c>
    </row>
    <row r="327" spans="1:28" x14ac:dyDescent="0.25">
      <c r="A327" s="59"/>
      <c r="B327" s="7"/>
      <c r="C327" s="59"/>
      <c r="D327" s="10"/>
      <c r="E327" s="40"/>
      <c r="F327" s="40"/>
      <c r="G327" s="40"/>
      <c r="H327" s="3" t="str">
        <f t="shared" si="37"/>
        <v/>
      </c>
      <c r="I327" s="3" t="str">
        <f t="shared" si="38"/>
        <v/>
      </c>
      <c r="J327" s="3" t="str">
        <f t="shared" si="39"/>
        <v/>
      </c>
      <c r="K327" s="3"/>
      <c r="L327" s="60" t="str">
        <f t="shared" si="40"/>
        <v/>
      </c>
      <c r="M327" s="40"/>
      <c r="N327" s="40"/>
      <c r="O327" s="40"/>
      <c r="P327" s="40"/>
      <c r="Q327" s="40"/>
      <c r="R327" s="40"/>
      <c r="S327" s="61" t="str">
        <f t="shared" si="36"/>
        <v/>
      </c>
      <c r="T327" s="40"/>
      <c r="U327" s="40"/>
      <c r="V327" s="40"/>
      <c r="W327" s="40"/>
      <c r="X327" s="67" t="str">
        <f t="shared" si="35"/>
        <v/>
      </c>
      <c r="Z327" s="71"/>
      <c r="AA327" s="71"/>
      <c r="AB327" s="67" t="str">
        <f t="shared" si="41"/>
        <v/>
      </c>
    </row>
    <row r="328" spans="1:28" x14ac:dyDescent="0.25">
      <c r="A328" s="59"/>
      <c r="B328" s="7"/>
      <c r="C328" s="59"/>
      <c r="D328" s="10"/>
      <c r="E328" s="40"/>
      <c r="F328" s="40"/>
      <c r="G328" s="40"/>
      <c r="H328" s="3" t="str">
        <f t="shared" si="37"/>
        <v/>
      </c>
      <c r="I328" s="3" t="str">
        <f t="shared" si="38"/>
        <v/>
      </c>
      <c r="J328" s="3" t="str">
        <f t="shared" si="39"/>
        <v/>
      </c>
      <c r="K328" s="3"/>
      <c r="L328" s="60" t="str">
        <f t="shared" si="40"/>
        <v/>
      </c>
      <c r="M328" s="40"/>
      <c r="N328" s="40"/>
      <c r="O328" s="40"/>
      <c r="P328" s="40"/>
      <c r="Q328" s="40"/>
      <c r="R328" s="40"/>
      <c r="S328" s="61" t="str">
        <f t="shared" si="36"/>
        <v/>
      </c>
      <c r="T328" s="40"/>
      <c r="U328" s="40"/>
      <c r="V328" s="40"/>
      <c r="W328" s="40"/>
      <c r="X328" s="67" t="str">
        <f t="shared" ref="X328:X391" si="42">IF(V328="","",((X327+T328+U328)-(V328+W328)))</f>
        <v/>
      </c>
      <c r="Z328" s="71"/>
      <c r="AA328" s="71"/>
      <c r="AB328" s="67" t="str">
        <f t="shared" si="41"/>
        <v/>
      </c>
    </row>
    <row r="329" spans="1:28" x14ac:dyDescent="0.25">
      <c r="A329" s="59"/>
      <c r="B329" s="7"/>
      <c r="C329" s="59"/>
      <c r="D329" s="10"/>
      <c r="E329" s="40"/>
      <c r="F329" s="40"/>
      <c r="G329" s="40"/>
      <c r="H329" s="3" t="str">
        <f t="shared" si="37"/>
        <v/>
      </c>
      <c r="I329" s="3" t="str">
        <f t="shared" si="38"/>
        <v/>
      </c>
      <c r="J329" s="3" t="str">
        <f t="shared" si="39"/>
        <v/>
      </c>
      <c r="K329" s="3"/>
      <c r="L329" s="60" t="str">
        <f t="shared" si="40"/>
        <v/>
      </c>
      <c r="M329" s="40"/>
      <c r="N329" s="40"/>
      <c r="O329" s="40"/>
      <c r="P329" s="40"/>
      <c r="Q329" s="40"/>
      <c r="R329" s="40"/>
      <c r="S329" s="61" t="str">
        <f t="shared" si="36"/>
        <v/>
      </c>
      <c r="T329" s="40"/>
      <c r="U329" s="40"/>
      <c r="V329" s="40"/>
      <c r="W329" s="40"/>
      <c r="X329" s="67" t="str">
        <f t="shared" si="42"/>
        <v/>
      </c>
      <c r="Z329" s="71"/>
      <c r="AA329" s="71"/>
      <c r="AB329" s="67" t="str">
        <f t="shared" si="41"/>
        <v/>
      </c>
    </row>
    <row r="330" spans="1:28" x14ac:dyDescent="0.25">
      <c r="A330" s="59"/>
      <c r="B330" s="7"/>
      <c r="C330" s="59"/>
      <c r="D330" s="10"/>
      <c r="E330" s="40"/>
      <c r="F330" s="40"/>
      <c r="G330" s="40"/>
      <c r="H330" s="3" t="str">
        <f t="shared" si="37"/>
        <v/>
      </c>
      <c r="I330" s="3" t="str">
        <f t="shared" si="38"/>
        <v/>
      </c>
      <c r="J330" s="3" t="str">
        <f t="shared" si="39"/>
        <v/>
      </c>
      <c r="K330" s="3"/>
      <c r="L330" s="60" t="str">
        <f t="shared" si="40"/>
        <v/>
      </c>
      <c r="M330" s="40"/>
      <c r="N330" s="40"/>
      <c r="O330" s="40"/>
      <c r="P330" s="40"/>
      <c r="Q330" s="40"/>
      <c r="R330" s="40"/>
      <c r="S330" s="61" t="str">
        <f t="shared" si="36"/>
        <v/>
      </c>
      <c r="T330" s="40"/>
      <c r="U330" s="40"/>
      <c r="V330" s="40"/>
      <c r="W330" s="40"/>
      <c r="X330" s="67" t="str">
        <f t="shared" si="42"/>
        <v/>
      </c>
      <c r="Z330" s="71"/>
      <c r="AA330" s="71"/>
      <c r="AB330" s="67" t="str">
        <f t="shared" si="41"/>
        <v/>
      </c>
    </row>
    <row r="331" spans="1:28" x14ac:dyDescent="0.25">
      <c r="A331" s="59"/>
      <c r="B331" s="7"/>
      <c r="C331" s="59"/>
      <c r="D331" s="10"/>
      <c r="E331" s="40"/>
      <c r="F331" s="40"/>
      <c r="G331" s="40"/>
      <c r="H331" s="3" t="str">
        <f t="shared" si="37"/>
        <v/>
      </c>
      <c r="I331" s="3" t="str">
        <f t="shared" si="38"/>
        <v/>
      </c>
      <c r="J331" s="3" t="str">
        <f t="shared" si="39"/>
        <v/>
      </c>
      <c r="K331" s="3"/>
      <c r="L331" s="60" t="str">
        <f t="shared" si="40"/>
        <v/>
      </c>
      <c r="M331" s="40"/>
      <c r="N331" s="40"/>
      <c r="O331" s="40"/>
      <c r="P331" s="40"/>
      <c r="Q331" s="40"/>
      <c r="R331" s="40"/>
      <c r="S331" s="61" t="str">
        <f t="shared" si="36"/>
        <v/>
      </c>
      <c r="T331" s="40"/>
      <c r="U331" s="40"/>
      <c r="V331" s="40"/>
      <c r="W331" s="40"/>
      <c r="X331" s="67" t="str">
        <f t="shared" si="42"/>
        <v/>
      </c>
      <c r="Z331" s="71"/>
      <c r="AA331" s="71"/>
      <c r="AB331" s="67" t="str">
        <f t="shared" si="41"/>
        <v/>
      </c>
    </row>
    <row r="332" spans="1:28" x14ac:dyDescent="0.25">
      <c r="A332" s="59"/>
      <c r="B332" s="7"/>
      <c r="C332" s="59"/>
      <c r="D332" s="10"/>
      <c r="E332" s="40"/>
      <c r="F332" s="40"/>
      <c r="G332" s="40"/>
      <c r="H332" s="3" t="str">
        <f t="shared" si="37"/>
        <v/>
      </c>
      <c r="I332" s="3" t="str">
        <f t="shared" si="38"/>
        <v/>
      </c>
      <c r="J332" s="3" t="str">
        <f t="shared" si="39"/>
        <v/>
      </c>
      <c r="K332" s="3"/>
      <c r="L332" s="60" t="str">
        <f t="shared" si="40"/>
        <v/>
      </c>
      <c r="M332" s="40"/>
      <c r="N332" s="40"/>
      <c r="O332" s="40"/>
      <c r="P332" s="40"/>
      <c r="Q332" s="40"/>
      <c r="R332" s="40"/>
      <c r="S332" s="61" t="str">
        <f t="shared" si="36"/>
        <v/>
      </c>
      <c r="T332" s="40"/>
      <c r="U332" s="40"/>
      <c r="V332" s="40"/>
      <c r="W332" s="40"/>
      <c r="X332" s="67" t="str">
        <f t="shared" si="42"/>
        <v/>
      </c>
      <c r="Z332" s="71"/>
      <c r="AA332" s="71"/>
      <c r="AB332" s="67" t="str">
        <f t="shared" si="41"/>
        <v/>
      </c>
    </row>
    <row r="333" spans="1:28" x14ac:dyDescent="0.25">
      <c r="A333" s="59"/>
      <c r="B333" s="7"/>
      <c r="C333" s="59"/>
      <c r="D333" s="10"/>
      <c r="E333" s="40"/>
      <c r="F333" s="40"/>
      <c r="G333" s="40"/>
      <c r="H333" s="3" t="str">
        <f t="shared" si="37"/>
        <v/>
      </c>
      <c r="I333" s="3" t="str">
        <f t="shared" si="38"/>
        <v/>
      </c>
      <c r="J333" s="3" t="str">
        <f t="shared" si="39"/>
        <v/>
      </c>
      <c r="K333" s="3"/>
      <c r="L333" s="60" t="str">
        <f t="shared" si="40"/>
        <v/>
      </c>
      <c r="M333" s="40"/>
      <c r="N333" s="40"/>
      <c r="O333" s="40"/>
      <c r="P333" s="40"/>
      <c r="Q333" s="40"/>
      <c r="R333" s="40"/>
      <c r="S333" s="61" t="str">
        <f t="shared" si="36"/>
        <v/>
      </c>
      <c r="T333" s="40"/>
      <c r="U333" s="40"/>
      <c r="V333" s="40"/>
      <c r="W333" s="40"/>
      <c r="X333" s="67" t="str">
        <f t="shared" si="42"/>
        <v/>
      </c>
      <c r="Z333" s="71"/>
      <c r="AA333" s="71"/>
      <c r="AB333" s="67" t="str">
        <f t="shared" si="41"/>
        <v/>
      </c>
    </row>
    <row r="334" spans="1:28" x14ac:dyDescent="0.25">
      <c r="A334" s="59"/>
      <c r="B334" s="7"/>
      <c r="C334" s="59"/>
      <c r="D334" s="10"/>
      <c r="E334" s="40"/>
      <c r="F334" s="40"/>
      <c r="G334" s="40"/>
      <c r="H334" s="3" t="str">
        <f t="shared" si="37"/>
        <v/>
      </c>
      <c r="I334" s="3" t="str">
        <f t="shared" si="38"/>
        <v/>
      </c>
      <c r="J334" s="3" t="str">
        <f t="shared" si="39"/>
        <v/>
      </c>
      <c r="K334" s="3"/>
      <c r="L334" s="60" t="str">
        <f t="shared" si="40"/>
        <v/>
      </c>
      <c r="M334" s="40"/>
      <c r="N334" s="40"/>
      <c r="O334" s="40"/>
      <c r="P334" s="40"/>
      <c r="Q334" s="40"/>
      <c r="R334" s="40"/>
      <c r="S334" s="61" t="str">
        <f t="shared" si="36"/>
        <v/>
      </c>
      <c r="T334" s="40"/>
      <c r="U334" s="40"/>
      <c r="V334" s="40"/>
      <c r="W334" s="40"/>
      <c r="X334" s="67" t="str">
        <f t="shared" si="42"/>
        <v/>
      </c>
      <c r="Z334" s="71"/>
      <c r="AA334" s="71"/>
      <c r="AB334" s="67" t="str">
        <f t="shared" si="41"/>
        <v/>
      </c>
    </row>
    <row r="335" spans="1:28" x14ac:dyDescent="0.25">
      <c r="A335" s="59"/>
      <c r="B335" s="7"/>
      <c r="C335" s="59"/>
      <c r="D335" s="10"/>
      <c r="E335" s="40"/>
      <c r="F335" s="40"/>
      <c r="G335" s="40"/>
      <c r="H335" s="3" t="str">
        <f t="shared" si="37"/>
        <v/>
      </c>
      <c r="I335" s="3" t="str">
        <f t="shared" si="38"/>
        <v/>
      </c>
      <c r="J335" s="3" t="str">
        <f t="shared" si="39"/>
        <v/>
      </c>
      <c r="K335" s="3"/>
      <c r="L335" s="60" t="str">
        <f t="shared" si="40"/>
        <v/>
      </c>
      <c r="M335" s="40"/>
      <c r="N335" s="40"/>
      <c r="O335" s="40"/>
      <c r="P335" s="40"/>
      <c r="Q335" s="40"/>
      <c r="R335" s="40"/>
      <c r="S335" s="61" t="str">
        <f t="shared" si="36"/>
        <v/>
      </c>
      <c r="T335" s="40"/>
      <c r="U335" s="40"/>
      <c r="V335" s="40"/>
      <c r="W335" s="40"/>
      <c r="X335" s="67" t="str">
        <f t="shared" si="42"/>
        <v/>
      </c>
      <c r="Z335" s="71"/>
      <c r="AA335" s="71"/>
      <c r="AB335" s="67" t="str">
        <f t="shared" si="41"/>
        <v/>
      </c>
    </row>
    <row r="336" spans="1:28" x14ac:dyDescent="0.25">
      <c r="A336" s="59"/>
      <c r="B336" s="7"/>
      <c r="C336" s="59"/>
      <c r="D336" s="10"/>
      <c r="E336" s="40"/>
      <c r="F336" s="40"/>
      <c r="G336" s="40"/>
      <c r="H336" s="3" t="str">
        <f t="shared" si="37"/>
        <v/>
      </c>
      <c r="I336" s="3" t="str">
        <f t="shared" si="38"/>
        <v/>
      </c>
      <c r="J336" s="3" t="str">
        <f t="shared" si="39"/>
        <v/>
      </c>
      <c r="K336" s="3"/>
      <c r="L336" s="60" t="str">
        <f t="shared" si="40"/>
        <v/>
      </c>
      <c r="M336" s="40"/>
      <c r="N336" s="40"/>
      <c r="O336" s="40"/>
      <c r="P336" s="40"/>
      <c r="Q336" s="40"/>
      <c r="R336" s="40"/>
      <c r="S336" s="61" t="str">
        <f t="shared" si="36"/>
        <v/>
      </c>
      <c r="T336" s="40"/>
      <c r="U336" s="40"/>
      <c r="V336" s="40"/>
      <c r="W336" s="40"/>
      <c r="X336" s="67" t="str">
        <f t="shared" si="42"/>
        <v/>
      </c>
      <c r="Z336" s="71"/>
      <c r="AA336" s="71"/>
      <c r="AB336" s="67" t="str">
        <f t="shared" si="41"/>
        <v/>
      </c>
    </row>
    <row r="337" spans="1:28" x14ac:dyDescent="0.25">
      <c r="A337" s="59"/>
      <c r="B337" s="7"/>
      <c r="C337" s="59"/>
      <c r="D337" s="10"/>
      <c r="E337" s="40"/>
      <c r="F337" s="40"/>
      <c r="G337" s="40"/>
      <c r="H337" s="3" t="str">
        <f t="shared" si="37"/>
        <v/>
      </c>
      <c r="I337" s="3" t="str">
        <f t="shared" si="38"/>
        <v/>
      </c>
      <c r="J337" s="3" t="str">
        <f t="shared" si="39"/>
        <v/>
      </c>
      <c r="K337" s="3"/>
      <c r="L337" s="60" t="str">
        <f t="shared" si="40"/>
        <v/>
      </c>
      <c r="M337" s="40"/>
      <c r="N337" s="40"/>
      <c r="O337" s="40"/>
      <c r="P337" s="40"/>
      <c r="Q337" s="40"/>
      <c r="R337" s="40"/>
      <c r="S337" s="61" t="str">
        <f t="shared" si="36"/>
        <v/>
      </c>
      <c r="T337" s="40"/>
      <c r="U337" s="40"/>
      <c r="V337" s="40"/>
      <c r="W337" s="40"/>
      <c r="X337" s="67" t="str">
        <f t="shared" si="42"/>
        <v/>
      </c>
      <c r="Z337" s="71"/>
      <c r="AA337" s="71"/>
      <c r="AB337" s="67" t="str">
        <f t="shared" si="41"/>
        <v/>
      </c>
    </row>
    <row r="338" spans="1:28" x14ac:dyDescent="0.25">
      <c r="A338" s="59"/>
      <c r="B338" s="7"/>
      <c r="C338" s="59"/>
      <c r="D338" s="10"/>
      <c r="E338" s="40"/>
      <c r="F338" s="40"/>
      <c r="G338" s="40"/>
      <c r="H338" s="3" t="str">
        <f t="shared" si="37"/>
        <v/>
      </c>
      <c r="I338" s="3" t="str">
        <f t="shared" si="38"/>
        <v/>
      </c>
      <c r="J338" s="3" t="str">
        <f t="shared" si="39"/>
        <v/>
      </c>
      <c r="K338" s="3"/>
      <c r="L338" s="60" t="str">
        <f t="shared" si="40"/>
        <v/>
      </c>
      <c r="M338" s="40"/>
      <c r="N338" s="40"/>
      <c r="O338" s="40"/>
      <c r="P338" s="40"/>
      <c r="Q338" s="40"/>
      <c r="R338" s="40"/>
      <c r="S338" s="61" t="str">
        <f t="shared" si="36"/>
        <v/>
      </c>
      <c r="T338" s="40"/>
      <c r="U338" s="40"/>
      <c r="V338" s="40"/>
      <c r="W338" s="40"/>
      <c r="X338" s="67" t="str">
        <f t="shared" si="42"/>
        <v/>
      </c>
      <c r="Z338" s="71"/>
      <c r="AA338" s="71"/>
      <c r="AB338" s="67" t="str">
        <f t="shared" si="41"/>
        <v/>
      </c>
    </row>
    <row r="339" spans="1:28" x14ac:dyDescent="0.25">
      <c r="A339" s="59"/>
      <c r="B339" s="7"/>
      <c r="C339" s="59"/>
      <c r="D339" s="10"/>
      <c r="E339" s="40"/>
      <c r="F339" s="40"/>
      <c r="G339" s="40"/>
      <c r="H339" s="3" t="str">
        <f t="shared" si="37"/>
        <v/>
      </c>
      <c r="I339" s="3" t="str">
        <f t="shared" si="38"/>
        <v/>
      </c>
      <c r="J339" s="3" t="str">
        <f t="shared" si="39"/>
        <v/>
      </c>
      <c r="K339" s="3"/>
      <c r="L339" s="60" t="str">
        <f t="shared" si="40"/>
        <v/>
      </c>
      <c r="M339" s="40"/>
      <c r="N339" s="40"/>
      <c r="O339" s="40"/>
      <c r="P339" s="40"/>
      <c r="Q339" s="40"/>
      <c r="R339" s="40"/>
      <c r="S339" s="61" t="str">
        <f t="shared" si="36"/>
        <v/>
      </c>
      <c r="T339" s="40"/>
      <c r="U339" s="40"/>
      <c r="V339" s="40"/>
      <c r="W339" s="40"/>
      <c r="X339" s="67" t="str">
        <f t="shared" si="42"/>
        <v/>
      </c>
      <c r="Z339" s="71"/>
      <c r="AA339" s="71"/>
      <c r="AB339" s="67" t="str">
        <f t="shared" si="41"/>
        <v/>
      </c>
    </row>
    <row r="340" spans="1:28" x14ac:dyDescent="0.25">
      <c r="A340" s="59"/>
      <c r="B340" s="7"/>
      <c r="C340" s="59"/>
      <c r="D340" s="10"/>
      <c r="E340" s="40"/>
      <c r="F340" s="40"/>
      <c r="G340" s="40"/>
      <c r="H340" s="3" t="str">
        <f t="shared" si="37"/>
        <v/>
      </c>
      <c r="I340" s="3" t="str">
        <f t="shared" si="38"/>
        <v/>
      </c>
      <c r="J340" s="3" t="str">
        <f t="shared" si="39"/>
        <v/>
      </c>
      <c r="K340" s="3"/>
      <c r="L340" s="60" t="str">
        <f t="shared" si="40"/>
        <v/>
      </c>
      <c r="M340" s="40"/>
      <c r="N340" s="40"/>
      <c r="O340" s="40"/>
      <c r="P340" s="40"/>
      <c r="Q340" s="40"/>
      <c r="R340" s="40"/>
      <c r="S340" s="61" t="str">
        <f t="shared" si="36"/>
        <v/>
      </c>
      <c r="T340" s="40"/>
      <c r="U340" s="40"/>
      <c r="V340" s="40"/>
      <c r="W340" s="40"/>
      <c r="X340" s="67" t="str">
        <f t="shared" si="42"/>
        <v/>
      </c>
      <c r="Z340" s="71"/>
      <c r="AA340" s="71"/>
      <c r="AB340" s="67" t="str">
        <f t="shared" si="41"/>
        <v/>
      </c>
    </row>
    <row r="341" spans="1:28" x14ac:dyDescent="0.25">
      <c r="A341" s="59"/>
      <c r="B341" s="7"/>
      <c r="C341" s="59"/>
      <c r="D341" s="10"/>
      <c r="E341" s="40"/>
      <c r="F341" s="40"/>
      <c r="G341" s="40"/>
      <c r="H341" s="3" t="str">
        <f t="shared" si="37"/>
        <v/>
      </c>
      <c r="I341" s="3" t="str">
        <f t="shared" si="38"/>
        <v/>
      </c>
      <c r="J341" s="3" t="str">
        <f t="shared" si="39"/>
        <v/>
      </c>
      <c r="K341" s="3"/>
      <c r="L341" s="60" t="str">
        <f t="shared" si="40"/>
        <v/>
      </c>
      <c r="M341" s="40"/>
      <c r="N341" s="40"/>
      <c r="O341" s="40"/>
      <c r="P341" s="40"/>
      <c r="Q341" s="40"/>
      <c r="R341" s="40"/>
      <c r="S341" s="61" t="str">
        <f t="shared" si="36"/>
        <v/>
      </c>
      <c r="T341" s="40"/>
      <c r="U341" s="40"/>
      <c r="V341" s="40"/>
      <c r="W341" s="40"/>
      <c r="X341" s="67" t="str">
        <f t="shared" si="42"/>
        <v/>
      </c>
      <c r="Z341" s="71"/>
      <c r="AA341" s="71"/>
      <c r="AB341" s="67" t="str">
        <f t="shared" si="41"/>
        <v/>
      </c>
    </row>
    <row r="342" spans="1:28" x14ac:dyDescent="0.25">
      <c r="A342" s="59"/>
      <c r="B342" s="7"/>
      <c r="C342" s="59"/>
      <c r="D342" s="10"/>
      <c r="E342" s="40"/>
      <c r="F342" s="40"/>
      <c r="G342" s="40"/>
      <c r="H342" s="3" t="str">
        <f t="shared" si="37"/>
        <v/>
      </c>
      <c r="I342" s="3" t="str">
        <f t="shared" si="38"/>
        <v/>
      </c>
      <c r="J342" s="3" t="str">
        <f t="shared" si="39"/>
        <v/>
      </c>
      <c r="K342" s="3"/>
      <c r="L342" s="60" t="str">
        <f t="shared" si="40"/>
        <v/>
      </c>
      <c r="M342" s="40"/>
      <c r="N342" s="40"/>
      <c r="O342" s="40"/>
      <c r="P342" s="40"/>
      <c r="Q342" s="40"/>
      <c r="R342" s="40"/>
      <c r="S342" s="61" t="str">
        <f t="shared" si="36"/>
        <v/>
      </c>
      <c r="T342" s="40"/>
      <c r="U342" s="40"/>
      <c r="V342" s="40"/>
      <c r="W342" s="40"/>
      <c r="X342" s="67" t="str">
        <f t="shared" si="42"/>
        <v/>
      </c>
      <c r="Z342" s="71"/>
      <c r="AA342" s="71"/>
      <c r="AB342" s="67" t="str">
        <f t="shared" si="41"/>
        <v/>
      </c>
    </row>
    <row r="343" spans="1:28" x14ac:dyDescent="0.25">
      <c r="A343" s="59"/>
      <c r="B343" s="7"/>
      <c r="C343" s="59"/>
      <c r="D343" s="10"/>
      <c r="E343" s="40"/>
      <c r="F343" s="40"/>
      <c r="G343" s="40"/>
      <c r="H343" s="3" t="str">
        <f t="shared" si="37"/>
        <v/>
      </c>
      <c r="I343" s="3" t="str">
        <f t="shared" si="38"/>
        <v/>
      </c>
      <c r="J343" s="3" t="str">
        <f t="shared" si="39"/>
        <v/>
      </c>
      <c r="K343" s="3"/>
      <c r="L343" s="60" t="str">
        <f t="shared" si="40"/>
        <v/>
      </c>
      <c r="M343" s="40"/>
      <c r="N343" s="40"/>
      <c r="O343" s="40"/>
      <c r="P343" s="40"/>
      <c r="Q343" s="40"/>
      <c r="R343" s="40"/>
      <c r="S343" s="61" t="str">
        <f t="shared" si="36"/>
        <v/>
      </c>
      <c r="T343" s="40"/>
      <c r="U343" s="40"/>
      <c r="V343" s="40"/>
      <c r="W343" s="40"/>
      <c r="X343" s="67" t="str">
        <f t="shared" si="42"/>
        <v/>
      </c>
      <c r="Z343" s="71"/>
      <c r="AA343" s="71"/>
      <c r="AB343" s="67" t="str">
        <f t="shared" si="41"/>
        <v/>
      </c>
    </row>
    <row r="344" spans="1:28" x14ac:dyDescent="0.25">
      <c r="A344" s="59"/>
      <c r="B344" s="7"/>
      <c r="C344" s="59"/>
      <c r="D344" s="10"/>
      <c r="E344" s="40"/>
      <c r="F344" s="40"/>
      <c r="G344" s="40"/>
      <c r="H344" s="3" t="str">
        <f t="shared" si="37"/>
        <v/>
      </c>
      <c r="I344" s="3" t="str">
        <f t="shared" si="38"/>
        <v/>
      </c>
      <c r="J344" s="3" t="str">
        <f t="shared" si="39"/>
        <v/>
      </c>
      <c r="K344" s="3"/>
      <c r="L344" s="60" t="str">
        <f t="shared" si="40"/>
        <v/>
      </c>
      <c r="M344" s="40"/>
      <c r="N344" s="40"/>
      <c r="O344" s="40"/>
      <c r="P344" s="40"/>
      <c r="Q344" s="40"/>
      <c r="R344" s="40"/>
      <c r="S344" s="61" t="str">
        <f t="shared" si="36"/>
        <v/>
      </c>
      <c r="T344" s="40"/>
      <c r="U344" s="40"/>
      <c r="V344" s="40"/>
      <c r="W344" s="40"/>
      <c r="X344" s="67" t="str">
        <f t="shared" si="42"/>
        <v/>
      </c>
      <c r="Z344" s="71"/>
      <c r="AA344" s="71"/>
      <c r="AB344" s="67" t="str">
        <f t="shared" si="41"/>
        <v/>
      </c>
    </row>
    <row r="345" spans="1:28" x14ac:dyDescent="0.25">
      <c r="A345" s="59"/>
      <c r="B345" s="7"/>
      <c r="C345" s="59"/>
      <c r="D345" s="10"/>
      <c r="E345" s="40"/>
      <c r="F345" s="40"/>
      <c r="G345" s="40"/>
      <c r="H345" s="3" t="str">
        <f t="shared" si="37"/>
        <v/>
      </c>
      <c r="I345" s="3" t="str">
        <f t="shared" si="38"/>
        <v/>
      </c>
      <c r="J345" s="3" t="str">
        <f t="shared" si="39"/>
        <v/>
      </c>
      <c r="K345" s="3"/>
      <c r="L345" s="60" t="str">
        <f t="shared" si="40"/>
        <v/>
      </c>
      <c r="M345" s="40"/>
      <c r="N345" s="40"/>
      <c r="O345" s="40"/>
      <c r="P345" s="40"/>
      <c r="Q345" s="40"/>
      <c r="R345" s="40"/>
      <c r="S345" s="61" t="str">
        <f t="shared" si="36"/>
        <v/>
      </c>
      <c r="T345" s="40"/>
      <c r="U345" s="40"/>
      <c r="V345" s="40"/>
      <c r="W345" s="40"/>
      <c r="X345" s="67" t="str">
        <f t="shared" si="42"/>
        <v/>
      </c>
      <c r="Z345" s="71"/>
      <c r="AA345" s="71"/>
      <c r="AB345" s="67" t="str">
        <f t="shared" si="41"/>
        <v/>
      </c>
    </row>
    <row r="346" spans="1:28" x14ac:dyDescent="0.25">
      <c r="A346" s="59"/>
      <c r="B346" s="7"/>
      <c r="C346" s="59"/>
      <c r="D346" s="10"/>
      <c r="E346" s="40"/>
      <c r="F346" s="40"/>
      <c r="G346" s="40"/>
      <c r="H346" s="3" t="str">
        <f t="shared" si="37"/>
        <v/>
      </c>
      <c r="I346" s="3" t="str">
        <f t="shared" si="38"/>
        <v/>
      </c>
      <c r="J346" s="3" t="str">
        <f t="shared" si="39"/>
        <v/>
      </c>
      <c r="K346" s="3"/>
      <c r="L346" s="60" t="str">
        <f t="shared" si="40"/>
        <v/>
      </c>
      <c r="M346" s="40"/>
      <c r="N346" s="40"/>
      <c r="O346" s="40"/>
      <c r="P346" s="40"/>
      <c r="Q346" s="40"/>
      <c r="R346" s="40"/>
      <c r="S346" s="61" t="str">
        <f t="shared" si="36"/>
        <v/>
      </c>
      <c r="T346" s="40"/>
      <c r="U346" s="40"/>
      <c r="V346" s="40"/>
      <c r="W346" s="40"/>
      <c r="X346" s="67" t="str">
        <f t="shared" si="42"/>
        <v/>
      </c>
      <c r="Z346" s="71"/>
      <c r="AA346" s="71"/>
      <c r="AB346" s="67" t="str">
        <f t="shared" si="41"/>
        <v/>
      </c>
    </row>
    <row r="347" spans="1:28" x14ac:dyDescent="0.25">
      <c r="A347" s="59"/>
      <c r="B347" s="7"/>
      <c r="C347" s="59"/>
      <c r="D347" s="10"/>
      <c r="E347" s="40"/>
      <c r="F347" s="40"/>
      <c r="G347" s="40"/>
      <c r="H347" s="3" t="str">
        <f t="shared" si="37"/>
        <v/>
      </c>
      <c r="I347" s="3" t="str">
        <f t="shared" si="38"/>
        <v/>
      </c>
      <c r="J347" s="3" t="str">
        <f t="shared" si="39"/>
        <v/>
      </c>
      <c r="K347" s="3"/>
      <c r="L347" s="60" t="str">
        <f t="shared" si="40"/>
        <v/>
      </c>
      <c r="M347" s="40"/>
      <c r="N347" s="40"/>
      <c r="O347" s="40"/>
      <c r="P347" s="40"/>
      <c r="Q347" s="40"/>
      <c r="R347" s="40"/>
      <c r="S347" s="61" t="str">
        <f t="shared" si="36"/>
        <v/>
      </c>
      <c r="T347" s="40"/>
      <c r="U347" s="40"/>
      <c r="V347" s="40"/>
      <c r="W347" s="40"/>
      <c r="X347" s="67" t="str">
        <f t="shared" si="42"/>
        <v/>
      </c>
      <c r="Z347" s="71"/>
      <c r="AA347" s="71"/>
      <c r="AB347" s="67" t="str">
        <f t="shared" si="41"/>
        <v/>
      </c>
    </row>
    <row r="348" spans="1:28" x14ac:dyDescent="0.25">
      <c r="A348" s="59"/>
      <c r="B348" s="7"/>
      <c r="C348" s="59"/>
      <c r="D348" s="10"/>
      <c r="E348" s="40"/>
      <c r="F348" s="40"/>
      <c r="G348" s="40"/>
      <c r="H348" s="3" t="str">
        <f t="shared" si="37"/>
        <v/>
      </c>
      <c r="I348" s="3" t="str">
        <f t="shared" si="38"/>
        <v/>
      </c>
      <c r="J348" s="3" t="str">
        <f t="shared" si="39"/>
        <v/>
      </c>
      <c r="K348" s="3"/>
      <c r="L348" s="60" t="str">
        <f t="shared" si="40"/>
        <v/>
      </c>
      <c r="M348" s="40"/>
      <c r="N348" s="40"/>
      <c r="O348" s="40"/>
      <c r="P348" s="40"/>
      <c r="Q348" s="40"/>
      <c r="R348" s="40"/>
      <c r="S348" s="61" t="str">
        <f t="shared" si="36"/>
        <v/>
      </c>
      <c r="T348" s="40"/>
      <c r="U348" s="40"/>
      <c r="V348" s="40"/>
      <c r="W348" s="40"/>
      <c r="X348" s="67" t="str">
        <f t="shared" si="42"/>
        <v/>
      </c>
      <c r="Z348" s="71"/>
      <c r="AA348" s="71"/>
      <c r="AB348" s="67" t="str">
        <f t="shared" si="41"/>
        <v/>
      </c>
    </row>
    <row r="349" spans="1:28" x14ac:dyDescent="0.25">
      <c r="A349" s="59"/>
      <c r="B349" s="7"/>
      <c r="C349" s="59"/>
      <c r="D349" s="10"/>
      <c r="E349" s="40"/>
      <c r="F349" s="40"/>
      <c r="G349" s="40"/>
      <c r="H349" s="3" t="str">
        <f t="shared" si="37"/>
        <v/>
      </c>
      <c r="I349" s="3" t="str">
        <f t="shared" si="38"/>
        <v/>
      </c>
      <c r="J349" s="3" t="str">
        <f t="shared" si="39"/>
        <v/>
      </c>
      <c r="K349" s="3"/>
      <c r="L349" s="60" t="str">
        <f t="shared" si="40"/>
        <v/>
      </c>
      <c r="M349" s="40"/>
      <c r="N349" s="40"/>
      <c r="O349" s="40"/>
      <c r="P349" s="40"/>
      <c r="Q349" s="40"/>
      <c r="R349" s="40"/>
      <c r="S349" s="61" t="str">
        <f t="shared" si="36"/>
        <v/>
      </c>
      <c r="T349" s="40"/>
      <c r="U349" s="40"/>
      <c r="V349" s="40"/>
      <c r="W349" s="40"/>
      <c r="X349" s="67" t="str">
        <f t="shared" si="42"/>
        <v/>
      </c>
      <c r="Z349" s="71"/>
      <c r="AA349" s="71"/>
      <c r="AB349" s="67" t="str">
        <f t="shared" si="41"/>
        <v/>
      </c>
    </row>
    <row r="350" spans="1:28" x14ac:dyDescent="0.25">
      <c r="A350" s="59"/>
      <c r="B350" s="7"/>
      <c r="C350" s="59"/>
      <c r="D350" s="10"/>
      <c r="E350" s="40"/>
      <c r="F350" s="40"/>
      <c r="G350" s="40"/>
      <c r="H350" s="3" t="str">
        <f t="shared" si="37"/>
        <v/>
      </c>
      <c r="I350" s="3" t="str">
        <f t="shared" si="38"/>
        <v/>
      </c>
      <c r="J350" s="3" t="str">
        <f t="shared" si="39"/>
        <v/>
      </c>
      <c r="K350" s="3"/>
      <c r="L350" s="60" t="str">
        <f t="shared" si="40"/>
        <v/>
      </c>
      <c r="M350" s="40"/>
      <c r="N350" s="40"/>
      <c r="O350" s="40"/>
      <c r="P350" s="40"/>
      <c r="Q350" s="40"/>
      <c r="R350" s="40"/>
      <c r="S350" s="61" t="str">
        <f t="shared" si="36"/>
        <v/>
      </c>
      <c r="T350" s="40"/>
      <c r="U350" s="40"/>
      <c r="V350" s="40"/>
      <c r="W350" s="40"/>
      <c r="X350" s="67" t="str">
        <f t="shared" si="42"/>
        <v/>
      </c>
      <c r="Z350" s="71"/>
      <c r="AA350" s="71"/>
      <c r="AB350" s="67" t="str">
        <f t="shared" si="41"/>
        <v/>
      </c>
    </row>
    <row r="351" spans="1:28" x14ac:dyDescent="0.25">
      <c r="A351" s="59"/>
      <c r="B351" s="7"/>
      <c r="C351" s="59"/>
      <c r="D351" s="10"/>
      <c r="E351" s="40"/>
      <c r="F351" s="40"/>
      <c r="G351" s="40"/>
      <c r="H351" s="3" t="str">
        <f t="shared" si="37"/>
        <v/>
      </c>
      <c r="I351" s="3" t="str">
        <f t="shared" si="38"/>
        <v/>
      </c>
      <c r="J351" s="3" t="str">
        <f t="shared" si="39"/>
        <v/>
      </c>
      <c r="K351" s="3"/>
      <c r="L351" s="60" t="str">
        <f t="shared" si="40"/>
        <v/>
      </c>
      <c r="M351" s="40"/>
      <c r="N351" s="40"/>
      <c r="O351" s="40"/>
      <c r="P351" s="40"/>
      <c r="Q351" s="40"/>
      <c r="R351" s="40"/>
      <c r="S351" s="61" t="str">
        <f t="shared" si="36"/>
        <v/>
      </c>
      <c r="T351" s="40"/>
      <c r="U351" s="40"/>
      <c r="V351" s="40"/>
      <c r="W351" s="40"/>
      <c r="X351" s="67" t="str">
        <f t="shared" si="42"/>
        <v/>
      </c>
      <c r="Z351" s="71"/>
      <c r="AA351" s="71"/>
      <c r="AB351" s="67" t="str">
        <f t="shared" si="41"/>
        <v/>
      </c>
    </row>
    <row r="352" spans="1:28" x14ac:dyDescent="0.25">
      <c r="A352" s="59"/>
      <c r="B352" s="7"/>
      <c r="C352" s="59"/>
      <c r="D352" s="10"/>
      <c r="E352" s="40"/>
      <c r="F352" s="40"/>
      <c r="G352" s="40"/>
      <c r="H352" s="3" t="str">
        <f t="shared" si="37"/>
        <v/>
      </c>
      <c r="I352" s="3" t="str">
        <f t="shared" si="38"/>
        <v/>
      </c>
      <c r="J352" s="3" t="str">
        <f t="shared" si="39"/>
        <v/>
      </c>
      <c r="K352" s="3"/>
      <c r="L352" s="60" t="str">
        <f t="shared" si="40"/>
        <v/>
      </c>
      <c r="M352" s="40"/>
      <c r="N352" s="40"/>
      <c r="O352" s="40"/>
      <c r="P352" s="40"/>
      <c r="Q352" s="40"/>
      <c r="R352" s="40"/>
      <c r="S352" s="61" t="str">
        <f t="shared" si="36"/>
        <v/>
      </c>
      <c r="T352" s="40"/>
      <c r="U352" s="40"/>
      <c r="V352" s="40"/>
      <c r="W352" s="40"/>
      <c r="X352" s="67" t="str">
        <f t="shared" si="42"/>
        <v/>
      </c>
      <c r="Z352" s="71"/>
      <c r="AA352" s="71"/>
      <c r="AB352" s="67" t="str">
        <f t="shared" si="41"/>
        <v/>
      </c>
    </row>
    <row r="353" spans="1:28" x14ac:dyDescent="0.25">
      <c r="A353" s="59"/>
      <c r="B353" s="7"/>
      <c r="C353" s="59"/>
      <c r="D353" s="10"/>
      <c r="E353" s="40"/>
      <c r="F353" s="40"/>
      <c r="G353" s="40"/>
      <c r="H353" s="3" t="str">
        <f t="shared" si="37"/>
        <v/>
      </c>
      <c r="I353" s="3" t="str">
        <f t="shared" si="38"/>
        <v/>
      </c>
      <c r="J353" s="3" t="str">
        <f t="shared" si="39"/>
        <v/>
      </c>
      <c r="K353" s="3"/>
      <c r="L353" s="60" t="str">
        <f t="shared" si="40"/>
        <v/>
      </c>
      <c r="M353" s="40"/>
      <c r="N353" s="40"/>
      <c r="O353" s="40"/>
      <c r="P353" s="40"/>
      <c r="Q353" s="40"/>
      <c r="R353" s="40"/>
      <c r="S353" s="61" t="str">
        <f t="shared" si="36"/>
        <v/>
      </c>
      <c r="T353" s="40"/>
      <c r="U353" s="40"/>
      <c r="V353" s="40"/>
      <c r="W353" s="40"/>
      <c r="X353" s="67" t="str">
        <f t="shared" si="42"/>
        <v/>
      </c>
      <c r="Z353" s="71"/>
      <c r="AA353" s="71"/>
      <c r="AB353" s="67" t="str">
        <f t="shared" si="41"/>
        <v/>
      </c>
    </row>
    <row r="354" spans="1:28" x14ac:dyDescent="0.25">
      <c r="A354" s="59"/>
      <c r="B354" s="7"/>
      <c r="C354" s="59"/>
      <c r="D354" s="10"/>
      <c r="E354" s="40"/>
      <c r="F354" s="40"/>
      <c r="G354" s="40"/>
      <c r="H354" s="3" t="str">
        <f t="shared" si="37"/>
        <v/>
      </c>
      <c r="I354" s="3" t="str">
        <f t="shared" si="38"/>
        <v/>
      </c>
      <c r="J354" s="3" t="str">
        <f t="shared" si="39"/>
        <v/>
      </c>
      <c r="K354" s="3"/>
      <c r="L354" s="60" t="str">
        <f t="shared" si="40"/>
        <v/>
      </c>
      <c r="M354" s="40"/>
      <c r="N354" s="40"/>
      <c r="O354" s="40"/>
      <c r="P354" s="40"/>
      <c r="Q354" s="40"/>
      <c r="R354" s="40"/>
      <c r="S354" s="61" t="str">
        <f t="shared" si="36"/>
        <v/>
      </c>
      <c r="T354" s="40"/>
      <c r="U354" s="40"/>
      <c r="V354" s="40"/>
      <c r="W354" s="40"/>
      <c r="X354" s="67" t="str">
        <f t="shared" si="42"/>
        <v/>
      </c>
      <c r="Z354" s="71"/>
      <c r="AA354" s="71"/>
      <c r="AB354" s="67" t="str">
        <f t="shared" si="41"/>
        <v/>
      </c>
    </row>
    <row r="355" spans="1:28" x14ac:dyDescent="0.25">
      <c r="A355" s="59"/>
      <c r="B355" s="7"/>
      <c r="C355" s="59"/>
      <c r="D355" s="10"/>
      <c r="E355" s="40"/>
      <c r="F355" s="40"/>
      <c r="G355" s="40"/>
      <c r="H355" s="3" t="str">
        <f t="shared" si="37"/>
        <v/>
      </c>
      <c r="I355" s="3" t="str">
        <f t="shared" si="38"/>
        <v/>
      </c>
      <c r="J355" s="3" t="str">
        <f t="shared" si="39"/>
        <v/>
      </c>
      <c r="K355" s="3"/>
      <c r="L355" s="60" t="str">
        <f t="shared" si="40"/>
        <v/>
      </c>
      <c r="M355" s="40"/>
      <c r="N355" s="40"/>
      <c r="O355" s="40"/>
      <c r="P355" s="40"/>
      <c r="Q355" s="40"/>
      <c r="R355" s="40"/>
      <c r="S355" s="61" t="str">
        <f t="shared" si="36"/>
        <v/>
      </c>
      <c r="T355" s="40"/>
      <c r="U355" s="40"/>
      <c r="V355" s="40"/>
      <c r="W355" s="40"/>
      <c r="X355" s="67" t="str">
        <f t="shared" si="42"/>
        <v/>
      </c>
      <c r="Z355" s="71"/>
      <c r="AA355" s="71"/>
      <c r="AB355" s="67" t="str">
        <f t="shared" si="41"/>
        <v/>
      </c>
    </row>
    <row r="356" spans="1:28" x14ac:dyDescent="0.25">
      <c r="A356" s="59"/>
      <c r="B356" s="7"/>
      <c r="C356" s="59"/>
      <c r="D356" s="10"/>
      <c r="E356" s="40"/>
      <c r="F356" s="40"/>
      <c r="G356" s="40"/>
      <c r="H356" s="3" t="str">
        <f t="shared" si="37"/>
        <v/>
      </c>
      <c r="I356" s="3" t="str">
        <f t="shared" si="38"/>
        <v/>
      </c>
      <c r="J356" s="3" t="str">
        <f t="shared" si="39"/>
        <v/>
      </c>
      <c r="K356" s="3"/>
      <c r="L356" s="60" t="str">
        <f t="shared" si="40"/>
        <v/>
      </c>
      <c r="M356" s="40"/>
      <c r="N356" s="40"/>
      <c r="O356" s="40"/>
      <c r="P356" s="40"/>
      <c r="Q356" s="40"/>
      <c r="R356" s="40"/>
      <c r="S356" s="61" t="str">
        <f t="shared" si="36"/>
        <v/>
      </c>
      <c r="T356" s="40"/>
      <c r="U356" s="40"/>
      <c r="V356" s="40"/>
      <c r="W356" s="40"/>
      <c r="X356" s="67" t="str">
        <f t="shared" si="42"/>
        <v/>
      </c>
      <c r="Z356" s="71"/>
      <c r="AA356" s="71"/>
      <c r="AB356" s="67" t="str">
        <f t="shared" si="41"/>
        <v/>
      </c>
    </row>
    <row r="357" spans="1:28" x14ac:dyDescent="0.25">
      <c r="A357" s="59"/>
      <c r="B357" s="7"/>
      <c r="C357" s="59"/>
      <c r="D357" s="10"/>
      <c r="E357" s="40"/>
      <c r="F357" s="40"/>
      <c r="G357" s="40"/>
      <c r="H357" s="3" t="str">
        <f t="shared" si="37"/>
        <v/>
      </c>
      <c r="I357" s="3" t="str">
        <f t="shared" si="38"/>
        <v/>
      </c>
      <c r="J357" s="3" t="str">
        <f t="shared" si="39"/>
        <v/>
      </c>
      <c r="K357" s="3"/>
      <c r="L357" s="60" t="str">
        <f t="shared" si="40"/>
        <v/>
      </c>
      <c r="M357" s="40"/>
      <c r="N357" s="40"/>
      <c r="O357" s="40"/>
      <c r="P357" s="40"/>
      <c r="Q357" s="40"/>
      <c r="R357" s="40"/>
      <c r="S357" s="61" t="str">
        <f t="shared" si="36"/>
        <v/>
      </c>
      <c r="T357" s="40"/>
      <c r="U357" s="40"/>
      <c r="V357" s="40"/>
      <c r="W357" s="40"/>
      <c r="X357" s="67" t="str">
        <f t="shared" si="42"/>
        <v/>
      </c>
      <c r="Z357" s="71"/>
      <c r="AA357" s="71"/>
      <c r="AB357" s="67" t="str">
        <f t="shared" si="41"/>
        <v/>
      </c>
    </row>
    <row r="358" spans="1:28" x14ac:dyDescent="0.25">
      <c r="A358" s="59"/>
      <c r="B358" s="7"/>
      <c r="C358" s="59"/>
      <c r="D358" s="10"/>
      <c r="E358" s="40"/>
      <c r="F358" s="40"/>
      <c r="G358" s="40"/>
      <c r="H358" s="3" t="str">
        <f t="shared" si="37"/>
        <v/>
      </c>
      <c r="I358" s="3" t="str">
        <f t="shared" si="38"/>
        <v/>
      </c>
      <c r="J358" s="3" t="str">
        <f t="shared" si="39"/>
        <v/>
      </c>
      <c r="K358" s="3"/>
      <c r="L358" s="60" t="str">
        <f t="shared" si="40"/>
        <v/>
      </c>
      <c r="M358" s="40"/>
      <c r="N358" s="40"/>
      <c r="O358" s="40"/>
      <c r="P358" s="40"/>
      <c r="Q358" s="40"/>
      <c r="R358" s="40"/>
      <c r="S358" s="61" t="str">
        <f t="shared" si="36"/>
        <v/>
      </c>
      <c r="T358" s="40"/>
      <c r="U358" s="40"/>
      <c r="V358" s="40"/>
      <c r="W358" s="40"/>
      <c r="X358" s="67" t="str">
        <f t="shared" si="42"/>
        <v/>
      </c>
      <c r="Z358" s="71"/>
      <c r="AA358" s="71"/>
      <c r="AB358" s="67" t="str">
        <f t="shared" si="41"/>
        <v/>
      </c>
    </row>
    <row r="359" spans="1:28" x14ac:dyDescent="0.25">
      <c r="A359" s="59"/>
      <c r="B359" s="7"/>
      <c r="C359" s="59"/>
      <c r="D359" s="10"/>
      <c r="E359" s="40"/>
      <c r="F359" s="40"/>
      <c r="G359" s="40"/>
      <c r="H359" s="3" t="str">
        <f t="shared" si="37"/>
        <v/>
      </c>
      <c r="I359" s="3" t="str">
        <f t="shared" si="38"/>
        <v/>
      </c>
      <c r="J359" s="3" t="str">
        <f t="shared" si="39"/>
        <v/>
      </c>
      <c r="K359" s="3"/>
      <c r="L359" s="60" t="str">
        <f t="shared" si="40"/>
        <v/>
      </c>
      <c r="M359" s="40"/>
      <c r="N359" s="40"/>
      <c r="O359" s="40"/>
      <c r="P359" s="40"/>
      <c r="Q359" s="40"/>
      <c r="R359" s="40"/>
      <c r="S359" s="61" t="str">
        <f t="shared" si="36"/>
        <v/>
      </c>
      <c r="T359" s="40"/>
      <c r="U359" s="40"/>
      <c r="V359" s="40"/>
      <c r="W359" s="40"/>
      <c r="X359" s="67" t="str">
        <f t="shared" si="42"/>
        <v/>
      </c>
      <c r="Z359" s="71"/>
      <c r="AA359" s="71"/>
      <c r="AB359" s="67" t="str">
        <f t="shared" si="41"/>
        <v/>
      </c>
    </row>
    <row r="360" spans="1:28" x14ac:dyDescent="0.25">
      <c r="A360" s="59"/>
      <c r="B360" s="7"/>
      <c r="C360" s="59"/>
      <c r="D360" s="10"/>
      <c r="E360" s="40"/>
      <c r="F360" s="40"/>
      <c r="G360" s="40"/>
      <c r="H360" s="3" t="str">
        <f t="shared" si="37"/>
        <v/>
      </c>
      <c r="I360" s="3" t="str">
        <f t="shared" si="38"/>
        <v/>
      </c>
      <c r="J360" s="3" t="str">
        <f t="shared" si="39"/>
        <v/>
      </c>
      <c r="K360" s="3"/>
      <c r="L360" s="60" t="str">
        <f t="shared" si="40"/>
        <v/>
      </c>
      <c r="M360" s="40"/>
      <c r="N360" s="40"/>
      <c r="O360" s="40"/>
      <c r="P360" s="40"/>
      <c r="Q360" s="40"/>
      <c r="R360" s="40"/>
      <c r="S360" s="61" t="str">
        <f t="shared" si="36"/>
        <v/>
      </c>
      <c r="T360" s="40"/>
      <c r="U360" s="40"/>
      <c r="V360" s="40"/>
      <c r="W360" s="40"/>
      <c r="X360" s="67" t="str">
        <f t="shared" si="42"/>
        <v/>
      </c>
      <c r="Z360" s="71"/>
      <c r="AA360" s="71"/>
      <c r="AB360" s="67" t="str">
        <f t="shared" si="41"/>
        <v/>
      </c>
    </row>
    <row r="361" spans="1:28" x14ac:dyDescent="0.25">
      <c r="A361" s="59"/>
      <c r="B361" s="7"/>
      <c r="C361" s="59"/>
      <c r="D361" s="10"/>
      <c r="E361" s="40"/>
      <c r="F361" s="40"/>
      <c r="G361" s="40"/>
      <c r="H361" s="3" t="str">
        <f t="shared" si="37"/>
        <v/>
      </c>
      <c r="I361" s="3" t="str">
        <f t="shared" si="38"/>
        <v/>
      </c>
      <c r="J361" s="3" t="str">
        <f t="shared" si="39"/>
        <v/>
      </c>
      <c r="K361" s="3"/>
      <c r="L361" s="60" t="str">
        <f t="shared" si="40"/>
        <v/>
      </c>
      <c r="M361" s="40"/>
      <c r="N361" s="40"/>
      <c r="O361" s="40"/>
      <c r="P361" s="40"/>
      <c r="Q361" s="40"/>
      <c r="R361" s="40"/>
      <c r="S361" s="61" t="str">
        <f t="shared" ref="S361:S424" si="43">IF(C361="","",(S360+R361)-(M361+N361+O361+P361+Q361))</f>
        <v/>
      </c>
      <c r="T361" s="40"/>
      <c r="U361" s="40"/>
      <c r="V361" s="40"/>
      <c r="W361" s="40"/>
      <c r="X361" s="67" t="str">
        <f t="shared" si="42"/>
        <v/>
      </c>
      <c r="Z361" s="71"/>
      <c r="AA361" s="71"/>
      <c r="AB361" s="67" t="str">
        <f t="shared" si="41"/>
        <v/>
      </c>
    </row>
    <row r="362" spans="1:28" x14ac:dyDescent="0.25">
      <c r="A362" s="59"/>
      <c r="B362" s="7"/>
      <c r="C362" s="59"/>
      <c r="D362" s="10"/>
      <c r="E362" s="40"/>
      <c r="F362" s="40"/>
      <c r="G362" s="40"/>
      <c r="H362" s="3" t="str">
        <f t="shared" si="37"/>
        <v/>
      </c>
      <c r="I362" s="3" t="str">
        <f t="shared" si="38"/>
        <v/>
      </c>
      <c r="J362" s="3" t="str">
        <f t="shared" si="39"/>
        <v/>
      </c>
      <c r="K362" s="3"/>
      <c r="L362" s="60" t="str">
        <f t="shared" si="40"/>
        <v/>
      </c>
      <c r="M362" s="40"/>
      <c r="N362" s="40"/>
      <c r="O362" s="40"/>
      <c r="P362" s="40"/>
      <c r="Q362" s="40"/>
      <c r="R362" s="40"/>
      <c r="S362" s="61" t="str">
        <f t="shared" si="43"/>
        <v/>
      </c>
      <c r="T362" s="40"/>
      <c r="U362" s="40"/>
      <c r="V362" s="40"/>
      <c r="W362" s="40"/>
      <c r="X362" s="67" t="str">
        <f t="shared" si="42"/>
        <v/>
      </c>
      <c r="Z362" s="71"/>
      <c r="AA362" s="71"/>
      <c r="AB362" s="67" t="str">
        <f t="shared" si="41"/>
        <v/>
      </c>
    </row>
    <row r="363" spans="1:28" x14ac:dyDescent="0.25">
      <c r="A363" s="59"/>
      <c r="B363" s="7"/>
      <c r="C363" s="59"/>
      <c r="D363" s="10"/>
      <c r="E363" s="40"/>
      <c r="F363" s="40"/>
      <c r="G363" s="40"/>
      <c r="H363" s="3" t="str">
        <f t="shared" si="37"/>
        <v/>
      </c>
      <c r="I363" s="3" t="str">
        <f t="shared" si="38"/>
        <v/>
      </c>
      <c r="J363" s="3" t="str">
        <f t="shared" si="39"/>
        <v/>
      </c>
      <c r="K363" s="3"/>
      <c r="L363" s="60" t="str">
        <f t="shared" si="40"/>
        <v/>
      </c>
      <c r="M363" s="40"/>
      <c r="N363" s="40"/>
      <c r="O363" s="40"/>
      <c r="P363" s="40"/>
      <c r="Q363" s="40"/>
      <c r="R363" s="40"/>
      <c r="S363" s="61" t="str">
        <f t="shared" si="43"/>
        <v/>
      </c>
      <c r="T363" s="40"/>
      <c r="U363" s="40"/>
      <c r="V363" s="40"/>
      <c r="W363" s="40"/>
      <c r="X363" s="67" t="str">
        <f t="shared" si="42"/>
        <v/>
      </c>
      <c r="Z363" s="71"/>
      <c r="AA363" s="71"/>
      <c r="AB363" s="67" t="str">
        <f t="shared" si="41"/>
        <v/>
      </c>
    </row>
    <row r="364" spans="1:28" x14ac:dyDescent="0.25">
      <c r="A364" s="59"/>
      <c r="B364" s="7"/>
      <c r="C364" s="59"/>
      <c r="D364" s="10"/>
      <c r="E364" s="40"/>
      <c r="F364" s="40"/>
      <c r="G364" s="40"/>
      <c r="H364" s="3" t="str">
        <f t="shared" si="37"/>
        <v/>
      </c>
      <c r="I364" s="3" t="str">
        <f t="shared" si="38"/>
        <v/>
      </c>
      <c r="J364" s="3" t="str">
        <f t="shared" si="39"/>
        <v/>
      </c>
      <c r="K364" s="3"/>
      <c r="L364" s="60" t="str">
        <f t="shared" si="40"/>
        <v/>
      </c>
      <c r="M364" s="40"/>
      <c r="N364" s="40"/>
      <c r="O364" s="40"/>
      <c r="P364" s="40"/>
      <c r="Q364" s="40"/>
      <c r="R364" s="40"/>
      <c r="S364" s="61" t="str">
        <f t="shared" si="43"/>
        <v/>
      </c>
      <c r="T364" s="40"/>
      <c r="U364" s="40"/>
      <c r="V364" s="40"/>
      <c r="W364" s="40"/>
      <c r="X364" s="67" t="str">
        <f t="shared" si="42"/>
        <v/>
      </c>
      <c r="Z364" s="71"/>
      <c r="AA364" s="71"/>
      <c r="AB364" s="67" t="str">
        <f t="shared" si="41"/>
        <v/>
      </c>
    </row>
    <row r="365" spans="1:28" x14ac:dyDescent="0.25">
      <c r="A365" s="59"/>
      <c r="B365" s="7"/>
      <c r="C365" s="59"/>
      <c r="D365" s="10"/>
      <c r="E365" s="40"/>
      <c r="F365" s="40"/>
      <c r="G365" s="40"/>
      <c r="H365" s="3" t="str">
        <f t="shared" si="37"/>
        <v/>
      </c>
      <c r="I365" s="3" t="str">
        <f t="shared" si="38"/>
        <v/>
      </c>
      <c r="J365" s="3" t="str">
        <f t="shared" si="39"/>
        <v/>
      </c>
      <c r="K365" s="3"/>
      <c r="L365" s="60" t="str">
        <f t="shared" si="40"/>
        <v/>
      </c>
      <c r="M365" s="40"/>
      <c r="N365" s="40"/>
      <c r="O365" s="40"/>
      <c r="P365" s="40"/>
      <c r="Q365" s="40"/>
      <c r="R365" s="40"/>
      <c r="S365" s="61" t="str">
        <f t="shared" si="43"/>
        <v/>
      </c>
      <c r="T365" s="40"/>
      <c r="U365" s="40"/>
      <c r="V365" s="40"/>
      <c r="W365" s="40"/>
      <c r="X365" s="67" t="str">
        <f t="shared" si="42"/>
        <v/>
      </c>
      <c r="Z365" s="71"/>
      <c r="AA365" s="71"/>
      <c r="AB365" s="67" t="str">
        <f t="shared" si="41"/>
        <v/>
      </c>
    </row>
    <row r="366" spans="1:28" x14ac:dyDescent="0.25">
      <c r="A366" s="59"/>
      <c r="B366" s="7"/>
      <c r="C366" s="59"/>
      <c r="D366" s="10"/>
      <c r="E366" s="40"/>
      <c r="F366" s="40"/>
      <c r="G366" s="40"/>
      <c r="H366" s="3" t="str">
        <f t="shared" si="37"/>
        <v/>
      </c>
      <c r="I366" s="3" t="str">
        <f t="shared" si="38"/>
        <v/>
      </c>
      <c r="J366" s="3" t="str">
        <f t="shared" si="39"/>
        <v/>
      </c>
      <c r="K366" s="3"/>
      <c r="L366" s="60" t="str">
        <f t="shared" si="40"/>
        <v/>
      </c>
      <c r="M366" s="40"/>
      <c r="N366" s="40"/>
      <c r="O366" s="40"/>
      <c r="P366" s="40"/>
      <c r="Q366" s="40"/>
      <c r="R366" s="40"/>
      <c r="S366" s="61" t="str">
        <f t="shared" si="43"/>
        <v/>
      </c>
      <c r="T366" s="40"/>
      <c r="U366" s="40"/>
      <c r="V366" s="40"/>
      <c r="W366" s="40"/>
      <c r="X366" s="67" t="str">
        <f t="shared" si="42"/>
        <v/>
      </c>
      <c r="Z366" s="71"/>
      <c r="AA366" s="71"/>
      <c r="AB366" s="67" t="str">
        <f t="shared" si="41"/>
        <v/>
      </c>
    </row>
    <row r="367" spans="1:28" x14ac:dyDescent="0.25">
      <c r="A367" s="59"/>
      <c r="B367" s="7"/>
      <c r="C367" s="59"/>
      <c r="D367" s="10"/>
      <c r="E367" s="40"/>
      <c r="F367" s="40"/>
      <c r="G367" s="40"/>
      <c r="H367" s="3" t="str">
        <f t="shared" si="37"/>
        <v/>
      </c>
      <c r="I367" s="3" t="str">
        <f t="shared" si="38"/>
        <v/>
      </c>
      <c r="J367" s="3" t="str">
        <f t="shared" si="39"/>
        <v/>
      </c>
      <c r="K367" s="3"/>
      <c r="L367" s="60" t="str">
        <f t="shared" si="40"/>
        <v/>
      </c>
      <c r="M367" s="40"/>
      <c r="N367" s="40"/>
      <c r="O367" s="40"/>
      <c r="P367" s="40"/>
      <c r="Q367" s="40"/>
      <c r="R367" s="40"/>
      <c r="S367" s="61" t="str">
        <f t="shared" si="43"/>
        <v/>
      </c>
      <c r="T367" s="40"/>
      <c r="U367" s="40"/>
      <c r="V367" s="40"/>
      <c r="W367" s="40"/>
      <c r="X367" s="67" t="str">
        <f t="shared" si="42"/>
        <v/>
      </c>
      <c r="Z367" s="71"/>
      <c r="AA367" s="71"/>
      <c r="AB367" s="67" t="str">
        <f t="shared" si="41"/>
        <v/>
      </c>
    </row>
    <row r="368" spans="1:28" x14ac:dyDescent="0.25">
      <c r="A368" s="59"/>
      <c r="B368" s="7"/>
      <c r="C368" s="59"/>
      <c r="D368" s="10"/>
      <c r="E368" s="40"/>
      <c r="F368" s="40"/>
      <c r="G368" s="40"/>
      <c r="H368" s="3" t="str">
        <f t="shared" si="37"/>
        <v/>
      </c>
      <c r="I368" s="3" t="str">
        <f t="shared" si="38"/>
        <v/>
      </c>
      <c r="J368" s="3" t="str">
        <f t="shared" si="39"/>
        <v/>
      </c>
      <c r="K368" s="3"/>
      <c r="L368" s="60" t="str">
        <f t="shared" si="40"/>
        <v/>
      </c>
      <c r="M368" s="40"/>
      <c r="N368" s="40"/>
      <c r="O368" s="40"/>
      <c r="P368" s="40"/>
      <c r="Q368" s="40"/>
      <c r="R368" s="40"/>
      <c r="S368" s="61" t="str">
        <f t="shared" si="43"/>
        <v/>
      </c>
      <c r="T368" s="40"/>
      <c r="U368" s="40"/>
      <c r="V368" s="40"/>
      <c r="W368" s="40"/>
      <c r="X368" s="67" t="str">
        <f t="shared" si="42"/>
        <v/>
      </c>
      <c r="Z368" s="71"/>
      <c r="AA368" s="71"/>
      <c r="AB368" s="67" t="str">
        <f t="shared" si="41"/>
        <v/>
      </c>
    </row>
    <row r="369" spans="1:28" x14ac:dyDescent="0.25">
      <c r="A369" s="59"/>
      <c r="B369" s="7"/>
      <c r="C369" s="59"/>
      <c r="D369" s="10"/>
      <c r="E369" s="40"/>
      <c r="F369" s="40"/>
      <c r="G369" s="40"/>
      <c r="H369" s="3" t="str">
        <f t="shared" si="37"/>
        <v/>
      </c>
      <c r="I369" s="3" t="str">
        <f t="shared" si="38"/>
        <v/>
      </c>
      <c r="J369" s="3" t="str">
        <f t="shared" si="39"/>
        <v/>
      </c>
      <c r="K369" s="3"/>
      <c r="L369" s="60" t="str">
        <f t="shared" si="40"/>
        <v/>
      </c>
      <c r="M369" s="40"/>
      <c r="N369" s="40"/>
      <c r="O369" s="40"/>
      <c r="P369" s="40"/>
      <c r="Q369" s="40"/>
      <c r="R369" s="40"/>
      <c r="S369" s="61" t="str">
        <f t="shared" si="43"/>
        <v/>
      </c>
      <c r="T369" s="40"/>
      <c r="U369" s="40"/>
      <c r="V369" s="40"/>
      <c r="W369" s="40"/>
      <c r="X369" s="67" t="str">
        <f t="shared" si="42"/>
        <v/>
      </c>
      <c r="Z369" s="71"/>
      <c r="AA369" s="71"/>
      <c r="AB369" s="67" t="str">
        <f t="shared" si="41"/>
        <v/>
      </c>
    </row>
    <row r="370" spans="1:28" x14ac:dyDescent="0.25">
      <c r="A370" s="59"/>
      <c r="B370" s="7"/>
      <c r="C370" s="59"/>
      <c r="D370" s="10"/>
      <c r="E370" s="40"/>
      <c r="F370" s="40"/>
      <c r="G370" s="40"/>
      <c r="H370" s="3" t="str">
        <f t="shared" si="37"/>
        <v/>
      </c>
      <c r="I370" s="3" t="str">
        <f t="shared" si="38"/>
        <v/>
      </c>
      <c r="J370" s="3" t="str">
        <f t="shared" si="39"/>
        <v/>
      </c>
      <c r="K370" s="3"/>
      <c r="L370" s="60" t="str">
        <f t="shared" si="40"/>
        <v/>
      </c>
      <c r="M370" s="40"/>
      <c r="N370" s="40"/>
      <c r="O370" s="40"/>
      <c r="P370" s="40"/>
      <c r="Q370" s="40"/>
      <c r="R370" s="40"/>
      <c r="S370" s="61" t="str">
        <f t="shared" si="43"/>
        <v/>
      </c>
      <c r="T370" s="40"/>
      <c r="U370" s="40"/>
      <c r="V370" s="40"/>
      <c r="W370" s="40"/>
      <c r="X370" s="67" t="str">
        <f t="shared" si="42"/>
        <v/>
      </c>
      <c r="Z370" s="71"/>
      <c r="AA370" s="71"/>
      <c r="AB370" s="67" t="str">
        <f t="shared" si="41"/>
        <v/>
      </c>
    </row>
    <row r="371" spans="1:28" x14ac:dyDescent="0.25">
      <c r="A371" s="59"/>
      <c r="B371" s="7"/>
      <c r="C371" s="59"/>
      <c r="D371" s="10"/>
      <c r="E371" s="40"/>
      <c r="F371" s="40"/>
      <c r="G371" s="40"/>
      <c r="H371" s="3" t="str">
        <f t="shared" si="37"/>
        <v/>
      </c>
      <c r="I371" s="3" t="str">
        <f t="shared" si="38"/>
        <v/>
      </c>
      <c r="J371" s="3" t="str">
        <f t="shared" si="39"/>
        <v/>
      </c>
      <c r="K371" s="3"/>
      <c r="L371" s="60" t="str">
        <f t="shared" si="40"/>
        <v/>
      </c>
      <c r="M371" s="40"/>
      <c r="N371" s="40"/>
      <c r="O371" s="40"/>
      <c r="P371" s="40"/>
      <c r="Q371" s="40"/>
      <c r="R371" s="40"/>
      <c r="S371" s="61" t="str">
        <f t="shared" si="43"/>
        <v/>
      </c>
      <c r="T371" s="40"/>
      <c r="U371" s="40"/>
      <c r="V371" s="40"/>
      <c r="W371" s="40"/>
      <c r="X371" s="67" t="str">
        <f t="shared" si="42"/>
        <v/>
      </c>
      <c r="Z371" s="71"/>
      <c r="AA371" s="71"/>
      <c r="AB371" s="67" t="str">
        <f t="shared" si="41"/>
        <v/>
      </c>
    </row>
    <row r="372" spans="1:28" x14ac:dyDescent="0.25">
      <c r="A372" s="59"/>
      <c r="B372" s="7"/>
      <c r="C372" s="59"/>
      <c r="D372" s="10"/>
      <c r="E372" s="40"/>
      <c r="F372" s="40"/>
      <c r="G372" s="40"/>
      <c r="H372" s="3" t="str">
        <f t="shared" si="37"/>
        <v/>
      </c>
      <c r="I372" s="3" t="str">
        <f t="shared" si="38"/>
        <v/>
      </c>
      <c r="J372" s="3" t="str">
        <f t="shared" si="39"/>
        <v/>
      </c>
      <c r="K372" s="3"/>
      <c r="L372" s="60" t="str">
        <f t="shared" si="40"/>
        <v/>
      </c>
      <c r="M372" s="40"/>
      <c r="N372" s="40"/>
      <c r="O372" s="40"/>
      <c r="P372" s="40"/>
      <c r="Q372" s="40"/>
      <c r="R372" s="40"/>
      <c r="S372" s="61" t="str">
        <f t="shared" si="43"/>
        <v/>
      </c>
      <c r="T372" s="40"/>
      <c r="U372" s="40"/>
      <c r="V372" s="40"/>
      <c r="W372" s="40"/>
      <c r="X372" s="67" t="str">
        <f t="shared" si="42"/>
        <v/>
      </c>
      <c r="Z372" s="71"/>
      <c r="AA372" s="71"/>
      <c r="AB372" s="67" t="str">
        <f t="shared" si="41"/>
        <v/>
      </c>
    </row>
    <row r="373" spans="1:28" x14ac:dyDescent="0.25">
      <c r="A373" s="59"/>
      <c r="B373" s="7"/>
      <c r="C373" s="59"/>
      <c r="D373" s="10"/>
      <c r="E373" s="40"/>
      <c r="F373" s="40"/>
      <c r="G373" s="40"/>
      <c r="H373" s="3" t="str">
        <f t="shared" si="37"/>
        <v/>
      </c>
      <c r="I373" s="3" t="str">
        <f t="shared" si="38"/>
        <v/>
      </c>
      <c r="J373" s="3" t="str">
        <f t="shared" si="39"/>
        <v/>
      </c>
      <c r="K373" s="3"/>
      <c r="L373" s="60" t="str">
        <f t="shared" si="40"/>
        <v/>
      </c>
      <c r="M373" s="40"/>
      <c r="N373" s="40"/>
      <c r="O373" s="40"/>
      <c r="P373" s="40"/>
      <c r="Q373" s="40"/>
      <c r="R373" s="40"/>
      <c r="S373" s="61" t="str">
        <f t="shared" si="43"/>
        <v/>
      </c>
      <c r="T373" s="40"/>
      <c r="U373" s="40"/>
      <c r="V373" s="40"/>
      <c r="W373" s="40"/>
      <c r="X373" s="67" t="str">
        <f t="shared" si="42"/>
        <v/>
      </c>
      <c r="Z373" s="71"/>
      <c r="AA373" s="71"/>
      <c r="AB373" s="67" t="str">
        <f t="shared" si="41"/>
        <v/>
      </c>
    </row>
    <row r="374" spans="1:28" x14ac:dyDescent="0.25">
      <c r="A374" s="59"/>
      <c r="B374" s="7"/>
      <c r="C374" s="59"/>
      <c r="D374" s="10"/>
      <c r="E374" s="40"/>
      <c r="F374" s="40"/>
      <c r="G374" s="40"/>
      <c r="H374" s="3" t="str">
        <f t="shared" si="37"/>
        <v/>
      </c>
      <c r="I374" s="3" t="str">
        <f t="shared" si="38"/>
        <v/>
      </c>
      <c r="J374" s="3" t="str">
        <f t="shared" si="39"/>
        <v/>
      </c>
      <c r="K374" s="3"/>
      <c r="L374" s="60" t="str">
        <f t="shared" si="40"/>
        <v/>
      </c>
      <c r="M374" s="40"/>
      <c r="N374" s="40"/>
      <c r="O374" s="40"/>
      <c r="P374" s="40"/>
      <c r="Q374" s="40"/>
      <c r="R374" s="40"/>
      <c r="S374" s="61" t="str">
        <f t="shared" si="43"/>
        <v/>
      </c>
      <c r="T374" s="40"/>
      <c r="U374" s="40"/>
      <c r="V374" s="40"/>
      <c r="W374" s="40"/>
      <c r="X374" s="67" t="str">
        <f t="shared" si="42"/>
        <v/>
      </c>
      <c r="Z374" s="71"/>
      <c r="AA374" s="71"/>
      <c r="AB374" s="67" t="str">
        <f t="shared" si="41"/>
        <v/>
      </c>
    </row>
    <row r="375" spans="1:28" x14ac:dyDescent="0.25">
      <c r="A375" s="59"/>
      <c r="B375" s="7"/>
      <c r="C375" s="59"/>
      <c r="D375" s="10"/>
      <c r="E375" s="40"/>
      <c r="F375" s="40"/>
      <c r="G375" s="40"/>
      <c r="H375" s="3" t="str">
        <f t="shared" si="37"/>
        <v/>
      </c>
      <c r="I375" s="3" t="str">
        <f t="shared" si="38"/>
        <v/>
      </c>
      <c r="J375" s="3" t="str">
        <f t="shared" si="39"/>
        <v/>
      </c>
      <c r="K375" s="3"/>
      <c r="L375" s="60" t="str">
        <f t="shared" si="40"/>
        <v/>
      </c>
      <c r="M375" s="40"/>
      <c r="N375" s="40"/>
      <c r="O375" s="40"/>
      <c r="P375" s="40"/>
      <c r="Q375" s="40"/>
      <c r="R375" s="40"/>
      <c r="S375" s="61" t="str">
        <f t="shared" si="43"/>
        <v/>
      </c>
      <c r="T375" s="40"/>
      <c r="U375" s="40"/>
      <c r="V375" s="40"/>
      <c r="W375" s="40"/>
      <c r="X375" s="67" t="str">
        <f t="shared" si="42"/>
        <v/>
      </c>
      <c r="Z375" s="71"/>
      <c r="AA375" s="71"/>
      <c r="AB375" s="67" t="str">
        <f t="shared" si="41"/>
        <v/>
      </c>
    </row>
    <row r="376" spans="1:28" x14ac:dyDescent="0.25">
      <c r="A376" s="59"/>
      <c r="B376" s="7"/>
      <c r="C376" s="59"/>
      <c r="D376" s="10"/>
      <c r="E376" s="40"/>
      <c r="F376" s="40"/>
      <c r="G376" s="40"/>
      <c r="H376" s="3" t="str">
        <f t="shared" si="37"/>
        <v/>
      </c>
      <c r="I376" s="3" t="str">
        <f t="shared" si="38"/>
        <v/>
      </c>
      <c r="J376" s="3" t="str">
        <f t="shared" si="39"/>
        <v/>
      </c>
      <c r="K376" s="3"/>
      <c r="L376" s="60" t="str">
        <f t="shared" si="40"/>
        <v/>
      </c>
      <c r="M376" s="40"/>
      <c r="N376" s="40"/>
      <c r="O376" s="40"/>
      <c r="P376" s="40"/>
      <c r="Q376" s="40"/>
      <c r="R376" s="40"/>
      <c r="S376" s="61" t="str">
        <f t="shared" si="43"/>
        <v/>
      </c>
      <c r="T376" s="40"/>
      <c r="U376" s="40"/>
      <c r="V376" s="40"/>
      <c r="W376" s="40"/>
      <c r="X376" s="67" t="str">
        <f t="shared" si="42"/>
        <v/>
      </c>
      <c r="Z376" s="71"/>
      <c r="AA376" s="71"/>
      <c r="AB376" s="67" t="str">
        <f t="shared" si="41"/>
        <v/>
      </c>
    </row>
    <row r="377" spans="1:28" x14ac:dyDescent="0.25">
      <c r="A377" s="59"/>
      <c r="B377" s="7"/>
      <c r="C377" s="59"/>
      <c r="D377" s="10"/>
      <c r="E377" s="40"/>
      <c r="F377" s="40"/>
      <c r="G377" s="40"/>
      <c r="H377" s="3" t="str">
        <f t="shared" si="37"/>
        <v/>
      </c>
      <c r="I377" s="3" t="str">
        <f t="shared" si="38"/>
        <v/>
      </c>
      <c r="J377" s="3" t="str">
        <f t="shared" si="39"/>
        <v/>
      </c>
      <c r="K377" s="3"/>
      <c r="L377" s="60" t="str">
        <f t="shared" si="40"/>
        <v/>
      </c>
      <c r="M377" s="40"/>
      <c r="N377" s="40"/>
      <c r="O377" s="40"/>
      <c r="P377" s="40"/>
      <c r="Q377" s="40"/>
      <c r="R377" s="40"/>
      <c r="S377" s="61" t="str">
        <f t="shared" si="43"/>
        <v/>
      </c>
      <c r="T377" s="40"/>
      <c r="U377" s="40"/>
      <c r="V377" s="40"/>
      <c r="W377" s="40"/>
      <c r="X377" s="67" t="str">
        <f t="shared" si="42"/>
        <v/>
      </c>
      <c r="Z377" s="71"/>
      <c r="AA377" s="71"/>
      <c r="AB377" s="67" t="str">
        <f t="shared" si="41"/>
        <v/>
      </c>
    </row>
    <row r="378" spans="1:28" x14ac:dyDescent="0.25">
      <c r="A378" s="7"/>
      <c r="B378" s="7"/>
      <c r="C378" s="59"/>
      <c r="D378" s="10"/>
      <c r="E378" s="40"/>
      <c r="F378" s="40"/>
      <c r="G378" s="40"/>
      <c r="H378" s="3" t="str">
        <f t="shared" si="37"/>
        <v/>
      </c>
      <c r="I378" s="3" t="str">
        <f t="shared" si="38"/>
        <v/>
      </c>
      <c r="J378" s="3" t="str">
        <f t="shared" si="39"/>
        <v/>
      </c>
      <c r="K378" s="3"/>
      <c r="L378" s="60" t="str">
        <f t="shared" si="40"/>
        <v/>
      </c>
      <c r="M378" s="40"/>
      <c r="N378" s="40"/>
      <c r="O378" s="40"/>
      <c r="P378" s="40"/>
      <c r="Q378" s="40"/>
      <c r="R378" s="40"/>
      <c r="S378" s="61" t="str">
        <f t="shared" si="43"/>
        <v/>
      </c>
      <c r="T378" s="40"/>
      <c r="U378" s="40"/>
      <c r="V378" s="40"/>
      <c r="W378" s="40"/>
      <c r="X378" s="67" t="str">
        <f t="shared" si="42"/>
        <v/>
      </c>
      <c r="Z378" s="71"/>
      <c r="AA378" s="71"/>
      <c r="AB378" s="67" t="str">
        <f t="shared" si="41"/>
        <v/>
      </c>
    </row>
    <row r="379" spans="1:28" x14ac:dyDescent="0.25">
      <c r="A379" s="59"/>
      <c r="B379" s="7"/>
      <c r="C379" s="59"/>
      <c r="D379" s="10"/>
      <c r="E379" s="40"/>
      <c r="F379" s="40"/>
      <c r="G379" s="40"/>
      <c r="H379" s="3" t="str">
        <f t="shared" si="37"/>
        <v/>
      </c>
      <c r="I379" s="3" t="str">
        <f t="shared" si="38"/>
        <v/>
      </c>
      <c r="J379" s="3" t="str">
        <f t="shared" si="39"/>
        <v/>
      </c>
      <c r="K379" s="3"/>
      <c r="L379" s="60" t="str">
        <f t="shared" si="40"/>
        <v/>
      </c>
      <c r="M379" s="40"/>
      <c r="N379" s="40"/>
      <c r="O379" s="40"/>
      <c r="P379" s="40"/>
      <c r="Q379" s="40"/>
      <c r="R379" s="40"/>
      <c r="S379" s="61" t="str">
        <f t="shared" si="43"/>
        <v/>
      </c>
      <c r="T379" s="40"/>
      <c r="U379" s="40"/>
      <c r="V379" s="40"/>
      <c r="W379" s="40"/>
      <c r="X379" s="67" t="str">
        <f t="shared" si="42"/>
        <v/>
      </c>
      <c r="Z379" s="71"/>
      <c r="AA379" s="71"/>
      <c r="AB379" s="67" t="str">
        <f t="shared" si="41"/>
        <v/>
      </c>
    </row>
    <row r="380" spans="1:28" x14ac:dyDescent="0.25">
      <c r="A380" s="59"/>
      <c r="B380" s="7"/>
      <c r="C380" s="59"/>
      <c r="D380" s="10"/>
      <c r="E380" s="40"/>
      <c r="F380" s="40"/>
      <c r="G380" s="40"/>
      <c r="H380" s="3" t="str">
        <f t="shared" si="37"/>
        <v/>
      </c>
      <c r="I380" s="3" t="str">
        <f t="shared" si="38"/>
        <v/>
      </c>
      <c r="J380" s="3" t="str">
        <f t="shared" si="39"/>
        <v/>
      </c>
      <c r="K380" s="3"/>
      <c r="L380" s="60" t="str">
        <f t="shared" si="40"/>
        <v/>
      </c>
      <c r="M380" s="40"/>
      <c r="N380" s="40"/>
      <c r="O380" s="40"/>
      <c r="P380" s="40"/>
      <c r="Q380" s="40"/>
      <c r="R380" s="40"/>
      <c r="S380" s="61" t="str">
        <f t="shared" si="43"/>
        <v/>
      </c>
      <c r="T380" s="40"/>
      <c r="U380" s="40"/>
      <c r="V380" s="40"/>
      <c r="W380" s="40"/>
      <c r="X380" s="67" t="str">
        <f t="shared" si="42"/>
        <v/>
      </c>
      <c r="Z380" s="71"/>
      <c r="AA380" s="71"/>
      <c r="AB380" s="67" t="str">
        <f t="shared" si="41"/>
        <v/>
      </c>
    </row>
    <row r="381" spans="1:28" x14ac:dyDescent="0.25">
      <c r="A381" s="59"/>
      <c r="B381" s="7"/>
      <c r="C381" s="59"/>
      <c r="D381" s="10"/>
      <c r="E381" s="40"/>
      <c r="F381" s="40"/>
      <c r="G381" s="40"/>
      <c r="H381" s="3" t="str">
        <f t="shared" si="37"/>
        <v/>
      </c>
      <c r="I381" s="3" t="str">
        <f t="shared" si="38"/>
        <v/>
      </c>
      <c r="J381" s="3" t="str">
        <f t="shared" si="39"/>
        <v/>
      </c>
      <c r="K381" s="3"/>
      <c r="L381" s="60" t="str">
        <f t="shared" si="40"/>
        <v/>
      </c>
      <c r="M381" s="40"/>
      <c r="N381" s="40"/>
      <c r="O381" s="40"/>
      <c r="P381" s="40"/>
      <c r="Q381" s="40"/>
      <c r="R381" s="40"/>
      <c r="S381" s="61" t="str">
        <f t="shared" si="43"/>
        <v/>
      </c>
      <c r="T381" s="40"/>
      <c r="U381" s="40"/>
      <c r="V381" s="40"/>
      <c r="W381" s="40"/>
      <c r="X381" s="67" t="str">
        <f t="shared" si="42"/>
        <v/>
      </c>
      <c r="Z381" s="71"/>
      <c r="AA381" s="71"/>
      <c r="AB381" s="67" t="str">
        <f t="shared" si="41"/>
        <v/>
      </c>
    </row>
    <row r="382" spans="1:28" x14ac:dyDescent="0.25">
      <c r="A382" s="9"/>
      <c r="B382" s="7"/>
      <c r="C382" s="59"/>
      <c r="D382" s="10"/>
      <c r="E382" s="40"/>
      <c r="F382" s="40"/>
      <c r="G382" s="40"/>
      <c r="H382" s="3" t="str">
        <f t="shared" si="37"/>
        <v/>
      </c>
      <c r="I382" s="3" t="str">
        <f t="shared" si="38"/>
        <v/>
      </c>
      <c r="J382" s="3" t="str">
        <f t="shared" si="39"/>
        <v/>
      </c>
      <c r="K382" s="3"/>
      <c r="L382" s="60" t="str">
        <f t="shared" si="40"/>
        <v/>
      </c>
      <c r="M382" s="40"/>
      <c r="N382" s="40"/>
      <c r="O382" s="40"/>
      <c r="P382" s="40"/>
      <c r="Q382" s="40"/>
      <c r="R382" s="40"/>
      <c r="S382" s="61" t="str">
        <f t="shared" si="43"/>
        <v/>
      </c>
      <c r="T382" s="40"/>
      <c r="U382" s="40"/>
      <c r="V382" s="40"/>
      <c r="W382" s="40"/>
      <c r="X382" s="67" t="str">
        <f t="shared" si="42"/>
        <v/>
      </c>
      <c r="Z382" s="71"/>
      <c r="AA382" s="71"/>
      <c r="AB382" s="67" t="str">
        <f t="shared" si="41"/>
        <v/>
      </c>
    </row>
    <row r="383" spans="1:28" x14ac:dyDescent="0.25">
      <c r="A383" s="59"/>
      <c r="B383" s="7"/>
      <c r="C383" s="59"/>
      <c r="D383" s="10"/>
      <c r="E383" s="40"/>
      <c r="F383" s="40"/>
      <c r="G383" s="40"/>
      <c r="H383" s="3" t="str">
        <f t="shared" si="37"/>
        <v/>
      </c>
      <c r="I383" s="3" t="str">
        <f t="shared" si="38"/>
        <v/>
      </c>
      <c r="J383" s="3" t="str">
        <f t="shared" si="39"/>
        <v/>
      </c>
      <c r="K383" s="3"/>
      <c r="L383" s="60" t="str">
        <f t="shared" si="40"/>
        <v/>
      </c>
      <c r="M383" s="40"/>
      <c r="N383" s="40"/>
      <c r="O383" s="40"/>
      <c r="P383" s="40"/>
      <c r="Q383" s="40"/>
      <c r="R383" s="40"/>
      <c r="S383" s="61" t="str">
        <f t="shared" si="43"/>
        <v/>
      </c>
      <c r="T383" s="40"/>
      <c r="U383" s="40"/>
      <c r="V383" s="40"/>
      <c r="W383" s="40"/>
      <c r="X383" s="67" t="str">
        <f t="shared" si="42"/>
        <v/>
      </c>
      <c r="Z383" s="71"/>
      <c r="AA383" s="71"/>
      <c r="AB383" s="67" t="str">
        <f t="shared" si="41"/>
        <v/>
      </c>
    </row>
    <row r="384" spans="1:28" x14ac:dyDescent="0.25">
      <c r="A384" s="59"/>
      <c r="B384" s="7"/>
      <c r="C384" s="59"/>
      <c r="D384" s="10"/>
      <c r="E384" s="40"/>
      <c r="F384" s="40"/>
      <c r="G384" s="40"/>
      <c r="H384" s="3" t="str">
        <f t="shared" si="37"/>
        <v/>
      </c>
      <c r="I384" s="3" t="str">
        <f t="shared" si="38"/>
        <v/>
      </c>
      <c r="J384" s="3" t="str">
        <f t="shared" si="39"/>
        <v/>
      </c>
      <c r="K384" s="3"/>
      <c r="L384" s="60" t="str">
        <f t="shared" si="40"/>
        <v/>
      </c>
      <c r="M384" s="40"/>
      <c r="N384" s="40"/>
      <c r="O384" s="40"/>
      <c r="P384" s="40"/>
      <c r="Q384" s="40"/>
      <c r="R384" s="40"/>
      <c r="S384" s="61" t="str">
        <f t="shared" si="43"/>
        <v/>
      </c>
      <c r="T384" s="40"/>
      <c r="U384" s="40"/>
      <c r="V384" s="40"/>
      <c r="W384" s="40"/>
      <c r="X384" s="67" t="str">
        <f t="shared" si="42"/>
        <v/>
      </c>
      <c r="Z384" s="71"/>
      <c r="AA384" s="71"/>
      <c r="AB384" s="67" t="str">
        <f t="shared" si="41"/>
        <v/>
      </c>
    </row>
    <row r="385" spans="1:28" x14ac:dyDescent="0.25">
      <c r="A385" s="59"/>
      <c r="B385" s="7"/>
      <c r="C385" s="59"/>
      <c r="D385" s="10"/>
      <c r="E385" s="40"/>
      <c r="F385" s="40"/>
      <c r="G385" s="40"/>
      <c r="H385" s="3" t="str">
        <f t="shared" si="37"/>
        <v/>
      </c>
      <c r="I385" s="3" t="str">
        <f t="shared" si="38"/>
        <v/>
      </c>
      <c r="J385" s="3" t="str">
        <f t="shared" si="39"/>
        <v/>
      </c>
      <c r="K385" s="3"/>
      <c r="L385" s="60" t="str">
        <f t="shared" si="40"/>
        <v/>
      </c>
      <c r="M385" s="40"/>
      <c r="N385" s="40"/>
      <c r="O385" s="40"/>
      <c r="P385" s="40"/>
      <c r="Q385" s="40"/>
      <c r="R385" s="40"/>
      <c r="S385" s="61" t="str">
        <f t="shared" si="43"/>
        <v/>
      </c>
      <c r="T385" s="40"/>
      <c r="U385" s="40"/>
      <c r="V385" s="40"/>
      <c r="W385" s="40"/>
      <c r="X385" s="67" t="str">
        <f t="shared" si="42"/>
        <v/>
      </c>
      <c r="Z385" s="71"/>
      <c r="AA385" s="71"/>
      <c r="AB385" s="67" t="str">
        <f t="shared" si="41"/>
        <v/>
      </c>
    </row>
    <row r="386" spans="1:28" x14ac:dyDescent="0.25">
      <c r="A386" s="59"/>
      <c r="B386" s="7"/>
      <c r="C386" s="59"/>
      <c r="D386" s="10"/>
      <c r="E386" s="40"/>
      <c r="F386" s="40"/>
      <c r="G386" s="40"/>
      <c r="H386" s="3" t="str">
        <f t="shared" si="37"/>
        <v/>
      </c>
      <c r="I386" s="3" t="str">
        <f t="shared" si="38"/>
        <v/>
      </c>
      <c r="J386" s="3" t="str">
        <f t="shared" si="39"/>
        <v/>
      </c>
      <c r="K386" s="3"/>
      <c r="L386" s="60" t="str">
        <f t="shared" si="40"/>
        <v/>
      </c>
      <c r="M386" s="40"/>
      <c r="N386" s="40"/>
      <c r="O386" s="40"/>
      <c r="P386" s="40"/>
      <c r="Q386" s="40"/>
      <c r="R386" s="40"/>
      <c r="S386" s="61" t="str">
        <f t="shared" si="43"/>
        <v/>
      </c>
      <c r="T386" s="40"/>
      <c r="U386" s="40"/>
      <c r="V386" s="40"/>
      <c r="W386" s="40"/>
      <c r="X386" s="67" t="str">
        <f t="shared" si="42"/>
        <v/>
      </c>
      <c r="Z386" s="71"/>
      <c r="AA386" s="71"/>
      <c r="AB386" s="67" t="str">
        <f t="shared" si="41"/>
        <v/>
      </c>
    </row>
    <row r="387" spans="1:28" x14ac:dyDescent="0.25">
      <c r="A387" s="59"/>
      <c r="B387" s="7"/>
      <c r="C387" s="59"/>
      <c r="D387" s="10"/>
      <c r="E387" s="40"/>
      <c r="F387" s="40"/>
      <c r="G387" s="40"/>
      <c r="H387" s="3" t="str">
        <f t="shared" si="37"/>
        <v/>
      </c>
      <c r="I387" s="3" t="str">
        <f t="shared" si="38"/>
        <v/>
      </c>
      <c r="J387" s="3" t="str">
        <f t="shared" si="39"/>
        <v/>
      </c>
      <c r="K387" s="3"/>
      <c r="L387" s="60" t="str">
        <f t="shared" si="40"/>
        <v/>
      </c>
      <c r="M387" s="40"/>
      <c r="N387" s="40"/>
      <c r="O387" s="40"/>
      <c r="P387" s="40"/>
      <c r="Q387" s="40"/>
      <c r="R387" s="40"/>
      <c r="S387" s="61" t="str">
        <f t="shared" si="43"/>
        <v/>
      </c>
      <c r="T387" s="40"/>
      <c r="U387" s="40"/>
      <c r="V387" s="40"/>
      <c r="W387" s="40"/>
      <c r="X387" s="67" t="str">
        <f t="shared" si="42"/>
        <v/>
      </c>
      <c r="Z387" s="71"/>
      <c r="AA387" s="71"/>
      <c r="AB387" s="67" t="str">
        <f t="shared" si="41"/>
        <v/>
      </c>
    </row>
    <row r="388" spans="1:28" x14ac:dyDescent="0.25">
      <c r="A388" s="59"/>
      <c r="B388" s="7"/>
      <c r="C388" s="59"/>
      <c r="D388" s="10"/>
      <c r="E388" s="40"/>
      <c r="F388" s="40"/>
      <c r="G388" s="40"/>
      <c r="H388" s="3" t="str">
        <f t="shared" si="37"/>
        <v/>
      </c>
      <c r="I388" s="3" t="str">
        <f t="shared" si="38"/>
        <v/>
      </c>
      <c r="J388" s="3" t="str">
        <f t="shared" si="39"/>
        <v/>
      </c>
      <c r="K388" s="3"/>
      <c r="L388" s="60" t="str">
        <f t="shared" si="40"/>
        <v/>
      </c>
      <c r="M388" s="40"/>
      <c r="N388" s="40"/>
      <c r="O388" s="40"/>
      <c r="P388" s="40"/>
      <c r="Q388" s="40"/>
      <c r="R388" s="40"/>
      <c r="S388" s="61" t="str">
        <f t="shared" si="43"/>
        <v/>
      </c>
      <c r="T388" s="40"/>
      <c r="U388" s="40"/>
      <c r="V388" s="40"/>
      <c r="W388" s="40"/>
      <c r="X388" s="67" t="str">
        <f t="shared" si="42"/>
        <v/>
      </c>
      <c r="Z388" s="71"/>
      <c r="AA388" s="71"/>
      <c r="AB388" s="67" t="str">
        <f t="shared" si="41"/>
        <v/>
      </c>
    </row>
    <row r="389" spans="1:28" x14ac:dyDescent="0.25">
      <c r="A389" s="59"/>
      <c r="B389" s="7"/>
      <c r="C389" s="59"/>
      <c r="D389" s="10"/>
      <c r="E389" s="40"/>
      <c r="F389" s="40"/>
      <c r="G389" s="40"/>
      <c r="H389" s="3" t="str">
        <f t="shared" ref="H389:H452" si="44">+IF(E389="","",(E389/24)*C389)</f>
        <v/>
      </c>
      <c r="I389" s="3" t="str">
        <f t="shared" ref="I389:I452" si="45">+IF(F389="","",(F389/24)*C389)</f>
        <v/>
      </c>
      <c r="J389" s="3" t="str">
        <f t="shared" ref="J389:J452" si="46">+IF(G389="","",(G389/24)*C389)</f>
        <v/>
      </c>
      <c r="K389" s="3"/>
      <c r="L389" s="60" t="str">
        <f t="shared" ref="L389:L452" si="47">+IF(C389="","",L388-(H389+I389+J389))</f>
        <v/>
      </c>
      <c r="M389" s="40"/>
      <c r="N389" s="40"/>
      <c r="O389" s="40"/>
      <c r="P389" s="40"/>
      <c r="Q389" s="40"/>
      <c r="R389" s="40"/>
      <c r="S389" s="61" t="str">
        <f t="shared" si="43"/>
        <v/>
      </c>
      <c r="T389" s="40"/>
      <c r="U389" s="40"/>
      <c r="V389" s="40"/>
      <c r="W389" s="40"/>
      <c r="X389" s="67" t="str">
        <f t="shared" si="42"/>
        <v/>
      </c>
      <c r="Z389" s="71"/>
      <c r="AA389" s="71"/>
      <c r="AB389" s="67" t="str">
        <f t="shared" ref="AB389:AB452" si="48">IF(Z389="","",Z389+AA389)</f>
        <v/>
      </c>
    </row>
    <row r="390" spans="1:28" x14ac:dyDescent="0.25">
      <c r="A390" s="59"/>
      <c r="B390" s="7"/>
      <c r="C390" s="59"/>
      <c r="D390" s="10"/>
      <c r="E390" s="40"/>
      <c r="F390" s="40"/>
      <c r="G390" s="40"/>
      <c r="H390" s="3" t="str">
        <f t="shared" si="44"/>
        <v/>
      </c>
      <c r="I390" s="3" t="str">
        <f t="shared" si="45"/>
        <v/>
      </c>
      <c r="J390" s="3" t="str">
        <f t="shared" si="46"/>
        <v/>
      </c>
      <c r="K390" s="3"/>
      <c r="L390" s="60" t="str">
        <f t="shared" si="47"/>
        <v/>
      </c>
      <c r="M390" s="40"/>
      <c r="N390" s="40"/>
      <c r="O390" s="40"/>
      <c r="P390" s="40"/>
      <c r="Q390" s="40"/>
      <c r="R390" s="40"/>
      <c r="S390" s="61" t="str">
        <f t="shared" si="43"/>
        <v/>
      </c>
      <c r="T390" s="40"/>
      <c r="U390" s="40"/>
      <c r="V390" s="40"/>
      <c r="W390" s="40"/>
      <c r="X390" s="67" t="str">
        <f t="shared" si="42"/>
        <v/>
      </c>
      <c r="Z390" s="71"/>
      <c r="AA390" s="71"/>
      <c r="AB390" s="67" t="str">
        <f t="shared" si="48"/>
        <v/>
      </c>
    </row>
    <row r="391" spans="1:28" x14ac:dyDescent="0.25">
      <c r="A391" s="59"/>
      <c r="B391" s="7"/>
      <c r="C391" s="59"/>
      <c r="D391" s="10"/>
      <c r="E391" s="40"/>
      <c r="F391" s="40"/>
      <c r="G391" s="40"/>
      <c r="H391" s="3" t="str">
        <f t="shared" si="44"/>
        <v/>
      </c>
      <c r="I391" s="3" t="str">
        <f t="shared" si="45"/>
        <v/>
      </c>
      <c r="J391" s="3" t="str">
        <f t="shared" si="46"/>
        <v/>
      </c>
      <c r="K391" s="3"/>
      <c r="L391" s="60" t="str">
        <f t="shared" si="47"/>
        <v/>
      </c>
      <c r="M391" s="40"/>
      <c r="N391" s="40"/>
      <c r="O391" s="40"/>
      <c r="P391" s="40"/>
      <c r="Q391" s="40"/>
      <c r="R391" s="40"/>
      <c r="S391" s="61" t="str">
        <f t="shared" si="43"/>
        <v/>
      </c>
      <c r="T391" s="40"/>
      <c r="U391" s="40"/>
      <c r="V391" s="40"/>
      <c r="W391" s="40"/>
      <c r="X391" s="67" t="str">
        <f t="shared" si="42"/>
        <v/>
      </c>
      <c r="Z391" s="71"/>
      <c r="AA391" s="71"/>
      <c r="AB391" s="67" t="str">
        <f t="shared" si="48"/>
        <v/>
      </c>
    </row>
    <row r="392" spans="1:28" x14ac:dyDescent="0.25">
      <c r="A392" s="59"/>
      <c r="B392" s="7"/>
      <c r="C392" s="59"/>
      <c r="D392" s="10"/>
      <c r="E392" s="40"/>
      <c r="F392" s="40"/>
      <c r="G392" s="40"/>
      <c r="H392" s="3" t="str">
        <f t="shared" si="44"/>
        <v/>
      </c>
      <c r="I392" s="3" t="str">
        <f t="shared" si="45"/>
        <v/>
      </c>
      <c r="J392" s="3" t="str">
        <f t="shared" si="46"/>
        <v/>
      </c>
      <c r="K392" s="3"/>
      <c r="L392" s="60" t="str">
        <f t="shared" si="47"/>
        <v/>
      </c>
      <c r="M392" s="40"/>
      <c r="N392" s="40"/>
      <c r="O392" s="40"/>
      <c r="P392" s="40"/>
      <c r="Q392" s="40"/>
      <c r="R392" s="40"/>
      <c r="S392" s="61" t="str">
        <f t="shared" si="43"/>
        <v/>
      </c>
      <c r="T392" s="40"/>
      <c r="U392" s="40"/>
      <c r="V392" s="40"/>
      <c r="W392" s="40"/>
      <c r="X392" s="67" t="str">
        <f t="shared" ref="X392:X455" si="49">IF(V392="","",((X391+T392+U392)-(V392+W392)))</f>
        <v/>
      </c>
      <c r="Z392" s="71"/>
      <c r="AA392" s="71"/>
      <c r="AB392" s="67" t="str">
        <f t="shared" si="48"/>
        <v/>
      </c>
    </row>
    <row r="393" spans="1:28" x14ac:dyDescent="0.25">
      <c r="A393" s="59"/>
      <c r="B393" s="7"/>
      <c r="C393" s="59"/>
      <c r="D393" s="10"/>
      <c r="E393" s="40"/>
      <c r="F393" s="40"/>
      <c r="G393" s="40"/>
      <c r="H393" s="3" t="str">
        <f t="shared" si="44"/>
        <v/>
      </c>
      <c r="I393" s="3" t="str">
        <f t="shared" si="45"/>
        <v/>
      </c>
      <c r="J393" s="3" t="str">
        <f t="shared" si="46"/>
        <v/>
      </c>
      <c r="K393" s="3"/>
      <c r="L393" s="60" t="str">
        <f t="shared" si="47"/>
        <v/>
      </c>
      <c r="M393" s="40"/>
      <c r="N393" s="40"/>
      <c r="O393" s="40"/>
      <c r="P393" s="40"/>
      <c r="Q393" s="40"/>
      <c r="R393" s="40"/>
      <c r="S393" s="61" t="str">
        <f t="shared" si="43"/>
        <v/>
      </c>
      <c r="T393" s="40"/>
      <c r="U393" s="40"/>
      <c r="V393" s="40"/>
      <c r="W393" s="40"/>
      <c r="X393" s="67" t="str">
        <f t="shared" si="49"/>
        <v/>
      </c>
      <c r="Z393" s="71"/>
      <c r="AA393" s="71"/>
      <c r="AB393" s="67" t="str">
        <f t="shared" si="48"/>
        <v/>
      </c>
    </row>
    <row r="394" spans="1:28" x14ac:dyDescent="0.25">
      <c r="A394" s="59"/>
      <c r="B394" s="7"/>
      <c r="C394" s="59"/>
      <c r="D394" s="10"/>
      <c r="E394" s="40"/>
      <c r="F394" s="40"/>
      <c r="G394" s="40"/>
      <c r="H394" s="3" t="str">
        <f t="shared" si="44"/>
        <v/>
      </c>
      <c r="I394" s="3" t="str">
        <f t="shared" si="45"/>
        <v/>
      </c>
      <c r="J394" s="3" t="str">
        <f t="shared" si="46"/>
        <v/>
      </c>
      <c r="K394" s="3"/>
      <c r="L394" s="60" t="str">
        <f t="shared" si="47"/>
        <v/>
      </c>
      <c r="M394" s="40"/>
      <c r="N394" s="40"/>
      <c r="O394" s="40"/>
      <c r="P394" s="40"/>
      <c r="Q394" s="40"/>
      <c r="R394" s="40"/>
      <c r="S394" s="61" t="str">
        <f t="shared" si="43"/>
        <v/>
      </c>
      <c r="T394" s="40"/>
      <c r="U394" s="40"/>
      <c r="V394" s="40"/>
      <c r="W394" s="40"/>
      <c r="X394" s="67" t="str">
        <f t="shared" si="49"/>
        <v/>
      </c>
      <c r="Z394" s="71"/>
      <c r="AA394" s="71"/>
      <c r="AB394" s="67" t="str">
        <f t="shared" si="48"/>
        <v/>
      </c>
    </row>
    <row r="395" spans="1:28" x14ac:dyDescent="0.25">
      <c r="A395" s="59"/>
      <c r="B395" s="7"/>
      <c r="C395" s="59"/>
      <c r="D395" s="10"/>
      <c r="E395" s="40"/>
      <c r="F395" s="40"/>
      <c r="G395" s="40"/>
      <c r="H395" s="3" t="str">
        <f t="shared" si="44"/>
        <v/>
      </c>
      <c r="I395" s="3" t="str">
        <f t="shared" si="45"/>
        <v/>
      </c>
      <c r="J395" s="3" t="str">
        <f t="shared" si="46"/>
        <v/>
      </c>
      <c r="K395" s="3"/>
      <c r="L395" s="60" t="str">
        <f t="shared" si="47"/>
        <v/>
      </c>
      <c r="M395" s="40"/>
      <c r="N395" s="40"/>
      <c r="O395" s="40"/>
      <c r="P395" s="40"/>
      <c r="Q395" s="40"/>
      <c r="R395" s="40"/>
      <c r="S395" s="61" t="str">
        <f t="shared" si="43"/>
        <v/>
      </c>
      <c r="T395" s="40"/>
      <c r="U395" s="40"/>
      <c r="V395" s="40"/>
      <c r="W395" s="40"/>
      <c r="X395" s="67" t="str">
        <f t="shared" si="49"/>
        <v/>
      </c>
      <c r="Z395" s="71"/>
      <c r="AA395" s="71"/>
      <c r="AB395" s="67" t="str">
        <f t="shared" si="48"/>
        <v/>
      </c>
    </row>
    <row r="396" spans="1:28" x14ac:dyDescent="0.25">
      <c r="A396" s="59"/>
      <c r="B396" s="7"/>
      <c r="C396" s="59"/>
      <c r="D396" s="10"/>
      <c r="E396" s="40"/>
      <c r="F396" s="40"/>
      <c r="G396" s="40"/>
      <c r="H396" s="3" t="str">
        <f t="shared" si="44"/>
        <v/>
      </c>
      <c r="I396" s="3" t="str">
        <f t="shared" si="45"/>
        <v/>
      </c>
      <c r="J396" s="3" t="str">
        <f t="shared" si="46"/>
        <v/>
      </c>
      <c r="K396" s="3"/>
      <c r="L396" s="60" t="str">
        <f t="shared" si="47"/>
        <v/>
      </c>
      <c r="M396" s="40"/>
      <c r="N396" s="40"/>
      <c r="O396" s="40"/>
      <c r="P396" s="40"/>
      <c r="Q396" s="40"/>
      <c r="R396" s="40"/>
      <c r="S396" s="61" t="str">
        <f t="shared" si="43"/>
        <v/>
      </c>
      <c r="T396" s="40"/>
      <c r="U396" s="40"/>
      <c r="V396" s="40"/>
      <c r="W396" s="40"/>
      <c r="X396" s="67" t="str">
        <f t="shared" si="49"/>
        <v/>
      </c>
      <c r="Z396" s="71"/>
      <c r="AA396" s="71"/>
      <c r="AB396" s="67" t="str">
        <f t="shared" si="48"/>
        <v/>
      </c>
    </row>
    <row r="397" spans="1:28" x14ac:dyDescent="0.25">
      <c r="A397" s="59"/>
      <c r="B397" s="7"/>
      <c r="C397" s="59"/>
      <c r="D397" s="10"/>
      <c r="E397" s="40"/>
      <c r="F397" s="40"/>
      <c r="G397" s="40"/>
      <c r="H397" s="3" t="str">
        <f t="shared" si="44"/>
        <v/>
      </c>
      <c r="I397" s="3" t="str">
        <f t="shared" si="45"/>
        <v/>
      </c>
      <c r="J397" s="3" t="str">
        <f t="shared" si="46"/>
        <v/>
      </c>
      <c r="K397" s="3"/>
      <c r="L397" s="60" t="str">
        <f t="shared" si="47"/>
        <v/>
      </c>
      <c r="M397" s="40"/>
      <c r="N397" s="40"/>
      <c r="O397" s="40"/>
      <c r="P397" s="40"/>
      <c r="Q397" s="40"/>
      <c r="R397" s="40"/>
      <c r="S397" s="61" t="str">
        <f t="shared" si="43"/>
        <v/>
      </c>
      <c r="T397" s="40"/>
      <c r="U397" s="40"/>
      <c r="V397" s="40"/>
      <c r="W397" s="40"/>
      <c r="X397" s="67" t="str">
        <f t="shared" si="49"/>
        <v/>
      </c>
      <c r="Z397" s="71"/>
      <c r="AA397" s="71"/>
      <c r="AB397" s="67" t="str">
        <f t="shared" si="48"/>
        <v/>
      </c>
    </row>
    <row r="398" spans="1:28" x14ac:dyDescent="0.25">
      <c r="A398" s="59"/>
      <c r="B398" s="7"/>
      <c r="C398" s="59"/>
      <c r="D398" s="10"/>
      <c r="E398" s="40"/>
      <c r="F398" s="40"/>
      <c r="G398" s="40"/>
      <c r="H398" s="3" t="str">
        <f t="shared" si="44"/>
        <v/>
      </c>
      <c r="I398" s="3" t="str">
        <f t="shared" si="45"/>
        <v/>
      </c>
      <c r="J398" s="3" t="str">
        <f t="shared" si="46"/>
        <v/>
      </c>
      <c r="K398" s="3"/>
      <c r="L398" s="60" t="str">
        <f t="shared" si="47"/>
        <v/>
      </c>
      <c r="M398" s="40"/>
      <c r="N398" s="40"/>
      <c r="O398" s="40"/>
      <c r="P398" s="40"/>
      <c r="Q398" s="40"/>
      <c r="R398" s="40"/>
      <c r="S398" s="61" t="str">
        <f t="shared" si="43"/>
        <v/>
      </c>
      <c r="T398" s="40"/>
      <c r="U398" s="40"/>
      <c r="V398" s="40"/>
      <c r="W398" s="40"/>
      <c r="X398" s="67" t="str">
        <f t="shared" si="49"/>
        <v/>
      </c>
      <c r="Z398" s="71"/>
      <c r="AA398" s="71"/>
      <c r="AB398" s="67" t="str">
        <f t="shared" si="48"/>
        <v/>
      </c>
    </row>
    <row r="399" spans="1:28" x14ac:dyDescent="0.25">
      <c r="A399" s="59"/>
      <c r="B399" s="7"/>
      <c r="C399" s="59"/>
      <c r="D399" s="10"/>
      <c r="E399" s="40"/>
      <c r="F399" s="40"/>
      <c r="G399" s="40"/>
      <c r="H399" s="3" t="str">
        <f t="shared" si="44"/>
        <v/>
      </c>
      <c r="I399" s="3" t="str">
        <f t="shared" si="45"/>
        <v/>
      </c>
      <c r="J399" s="3" t="str">
        <f t="shared" si="46"/>
        <v/>
      </c>
      <c r="K399" s="3"/>
      <c r="L399" s="60" t="str">
        <f t="shared" si="47"/>
        <v/>
      </c>
      <c r="M399" s="40"/>
      <c r="N399" s="40"/>
      <c r="O399" s="40"/>
      <c r="P399" s="40"/>
      <c r="Q399" s="40"/>
      <c r="R399" s="40"/>
      <c r="S399" s="61" t="str">
        <f t="shared" si="43"/>
        <v/>
      </c>
      <c r="T399" s="40"/>
      <c r="U399" s="40"/>
      <c r="V399" s="40"/>
      <c r="W399" s="40"/>
      <c r="X399" s="67" t="str">
        <f t="shared" si="49"/>
        <v/>
      </c>
      <c r="Z399" s="71"/>
      <c r="AA399" s="71"/>
      <c r="AB399" s="67" t="str">
        <f t="shared" si="48"/>
        <v/>
      </c>
    </row>
    <row r="400" spans="1:28" x14ac:dyDescent="0.25">
      <c r="A400" s="59"/>
      <c r="B400" s="7"/>
      <c r="C400" s="59"/>
      <c r="D400" s="10"/>
      <c r="E400" s="40"/>
      <c r="F400" s="40"/>
      <c r="G400" s="40"/>
      <c r="H400" s="3" t="str">
        <f t="shared" si="44"/>
        <v/>
      </c>
      <c r="I400" s="3" t="str">
        <f t="shared" si="45"/>
        <v/>
      </c>
      <c r="J400" s="3" t="str">
        <f t="shared" si="46"/>
        <v/>
      </c>
      <c r="K400" s="3"/>
      <c r="L400" s="60" t="str">
        <f t="shared" si="47"/>
        <v/>
      </c>
      <c r="M400" s="40"/>
      <c r="N400" s="40"/>
      <c r="O400" s="40"/>
      <c r="P400" s="40"/>
      <c r="Q400" s="40"/>
      <c r="R400" s="40"/>
      <c r="S400" s="61" t="str">
        <f t="shared" si="43"/>
        <v/>
      </c>
      <c r="T400" s="40"/>
      <c r="U400" s="40"/>
      <c r="V400" s="40"/>
      <c r="W400" s="40"/>
      <c r="X400" s="67" t="str">
        <f t="shared" si="49"/>
        <v/>
      </c>
      <c r="Z400" s="71"/>
      <c r="AA400" s="71"/>
      <c r="AB400" s="67" t="str">
        <f t="shared" si="48"/>
        <v/>
      </c>
    </row>
    <row r="401" spans="1:28" x14ac:dyDescent="0.25">
      <c r="A401" s="59"/>
      <c r="B401" s="7"/>
      <c r="C401" s="59"/>
      <c r="D401" s="10"/>
      <c r="E401" s="40"/>
      <c r="F401" s="40"/>
      <c r="G401" s="40"/>
      <c r="H401" s="3" t="str">
        <f t="shared" si="44"/>
        <v/>
      </c>
      <c r="I401" s="3" t="str">
        <f t="shared" si="45"/>
        <v/>
      </c>
      <c r="J401" s="3" t="str">
        <f t="shared" si="46"/>
        <v/>
      </c>
      <c r="K401" s="3"/>
      <c r="L401" s="60" t="str">
        <f t="shared" si="47"/>
        <v/>
      </c>
      <c r="M401" s="40"/>
      <c r="N401" s="40"/>
      <c r="O401" s="40"/>
      <c r="P401" s="40"/>
      <c r="Q401" s="40"/>
      <c r="R401" s="40"/>
      <c r="S401" s="61" t="str">
        <f t="shared" si="43"/>
        <v/>
      </c>
      <c r="T401" s="40"/>
      <c r="U401" s="40"/>
      <c r="V401" s="40"/>
      <c r="W401" s="40"/>
      <c r="X401" s="67" t="str">
        <f t="shared" si="49"/>
        <v/>
      </c>
      <c r="Z401" s="71"/>
      <c r="AA401" s="71"/>
      <c r="AB401" s="67" t="str">
        <f t="shared" si="48"/>
        <v/>
      </c>
    </row>
    <row r="402" spans="1:28" x14ac:dyDescent="0.25">
      <c r="A402" s="59"/>
      <c r="B402" s="7"/>
      <c r="C402" s="59"/>
      <c r="D402" s="10"/>
      <c r="E402" s="40"/>
      <c r="F402" s="40"/>
      <c r="G402" s="40"/>
      <c r="H402" s="3" t="str">
        <f t="shared" si="44"/>
        <v/>
      </c>
      <c r="I402" s="3" t="str">
        <f t="shared" si="45"/>
        <v/>
      </c>
      <c r="J402" s="3" t="str">
        <f t="shared" si="46"/>
        <v/>
      </c>
      <c r="K402" s="3"/>
      <c r="L402" s="60" t="str">
        <f t="shared" si="47"/>
        <v/>
      </c>
      <c r="M402" s="40"/>
      <c r="N402" s="40"/>
      <c r="O402" s="40"/>
      <c r="P402" s="40"/>
      <c r="Q402" s="40"/>
      <c r="R402" s="40"/>
      <c r="S402" s="61" t="str">
        <f t="shared" si="43"/>
        <v/>
      </c>
      <c r="T402" s="40"/>
      <c r="U402" s="40"/>
      <c r="V402" s="40"/>
      <c r="W402" s="40"/>
      <c r="X402" s="67" t="str">
        <f t="shared" si="49"/>
        <v/>
      </c>
      <c r="Z402" s="71"/>
      <c r="AA402" s="71"/>
      <c r="AB402" s="67" t="str">
        <f t="shared" si="48"/>
        <v/>
      </c>
    </row>
    <row r="403" spans="1:28" x14ac:dyDescent="0.25">
      <c r="A403" s="59"/>
      <c r="B403" s="7"/>
      <c r="C403" s="59"/>
      <c r="D403" s="10"/>
      <c r="E403" s="40"/>
      <c r="F403" s="40"/>
      <c r="G403" s="40"/>
      <c r="H403" s="3" t="str">
        <f t="shared" si="44"/>
        <v/>
      </c>
      <c r="I403" s="3" t="str">
        <f t="shared" si="45"/>
        <v/>
      </c>
      <c r="J403" s="3" t="str">
        <f t="shared" si="46"/>
        <v/>
      </c>
      <c r="K403" s="3"/>
      <c r="L403" s="60" t="str">
        <f t="shared" si="47"/>
        <v/>
      </c>
      <c r="M403" s="40"/>
      <c r="N403" s="40"/>
      <c r="O403" s="40"/>
      <c r="P403" s="40"/>
      <c r="Q403" s="40"/>
      <c r="R403" s="40"/>
      <c r="S403" s="61" t="str">
        <f t="shared" si="43"/>
        <v/>
      </c>
      <c r="T403" s="40"/>
      <c r="U403" s="40"/>
      <c r="V403" s="40"/>
      <c r="W403" s="40"/>
      <c r="X403" s="67" t="str">
        <f t="shared" si="49"/>
        <v/>
      </c>
      <c r="Z403" s="71"/>
      <c r="AA403" s="71"/>
      <c r="AB403" s="67" t="str">
        <f t="shared" si="48"/>
        <v/>
      </c>
    </row>
    <row r="404" spans="1:28" x14ac:dyDescent="0.25">
      <c r="A404" s="59"/>
      <c r="B404" s="7"/>
      <c r="C404" s="59"/>
      <c r="D404" s="10"/>
      <c r="E404" s="40"/>
      <c r="F404" s="40"/>
      <c r="G404" s="40"/>
      <c r="H404" s="3" t="str">
        <f t="shared" si="44"/>
        <v/>
      </c>
      <c r="I404" s="3" t="str">
        <f t="shared" si="45"/>
        <v/>
      </c>
      <c r="J404" s="3" t="str">
        <f t="shared" si="46"/>
        <v/>
      </c>
      <c r="K404" s="3"/>
      <c r="L404" s="60" t="str">
        <f t="shared" si="47"/>
        <v/>
      </c>
      <c r="M404" s="40"/>
      <c r="N404" s="40"/>
      <c r="O404" s="40"/>
      <c r="P404" s="40"/>
      <c r="Q404" s="40"/>
      <c r="R404" s="40"/>
      <c r="S404" s="61" t="str">
        <f t="shared" si="43"/>
        <v/>
      </c>
      <c r="T404" s="40"/>
      <c r="U404" s="40"/>
      <c r="V404" s="40"/>
      <c r="W404" s="40"/>
      <c r="X404" s="67" t="str">
        <f t="shared" si="49"/>
        <v/>
      </c>
      <c r="Z404" s="71"/>
      <c r="AA404" s="71"/>
      <c r="AB404" s="67" t="str">
        <f t="shared" si="48"/>
        <v/>
      </c>
    </row>
    <row r="405" spans="1:28" x14ac:dyDescent="0.25">
      <c r="A405" s="59"/>
      <c r="B405" s="7"/>
      <c r="C405" s="59"/>
      <c r="D405" s="10"/>
      <c r="E405" s="40"/>
      <c r="F405" s="40"/>
      <c r="G405" s="40"/>
      <c r="H405" s="3" t="str">
        <f t="shared" si="44"/>
        <v/>
      </c>
      <c r="I405" s="3" t="str">
        <f t="shared" si="45"/>
        <v/>
      </c>
      <c r="J405" s="3" t="str">
        <f t="shared" si="46"/>
        <v/>
      </c>
      <c r="K405" s="3"/>
      <c r="L405" s="60" t="str">
        <f t="shared" si="47"/>
        <v/>
      </c>
      <c r="M405" s="40"/>
      <c r="N405" s="40"/>
      <c r="O405" s="40"/>
      <c r="P405" s="40"/>
      <c r="Q405" s="40"/>
      <c r="R405" s="40"/>
      <c r="S405" s="61" t="str">
        <f t="shared" si="43"/>
        <v/>
      </c>
      <c r="T405" s="40"/>
      <c r="U405" s="40"/>
      <c r="V405" s="40"/>
      <c r="W405" s="40"/>
      <c r="X405" s="67" t="str">
        <f t="shared" si="49"/>
        <v/>
      </c>
      <c r="Z405" s="71"/>
      <c r="AA405" s="71"/>
      <c r="AB405" s="67" t="str">
        <f t="shared" si="48"/>
        <v/>
      </c>
    </row>
    <row r="406" spans="1:28" x14ac:dyDescent="0.25">
      <c r="A406" s="59"/>
      <c r="B406" s="7"/>
      <c r="C406" s="59"/>
      <c r="D406" s="10"/>
      <c r="E406" s="40"/>
      <c r="F406" s="40"/>
      <c r="G406" s="40"/>
      <c r="H406" s="3" t="str">
        <f t="shared" si="44"/>
        <v/>
      </c>
      <c r="I406" s="3" t="str">
        <f t="shared" si="45"/>
        <v/>
      </c>
      <c r="J406" s="3" t="str">
        <f t="shared" si="46"/>
        <v/>
      </c>
      <c r="K406" s="3"/>
      <c r="L406" s="60" t="str">
        <f t="shared" si="47"/>
        <v/>
      </c>
      <c r="M406" s="40"/>
      <c r="N406" s="40"/>
      <c r="O406" s="40"/>
      <c r="P406" s="40"/>
      <c r="Q406" s="40"/>
      <c r="R406" s="40"/>
      <c r="S406" s="61" t="str">
        <f t="shared" si="43"/>
        <v/>
      </c>
      <c r="T406" s="40"/>
      <c r="U406" s="40"/>
      <c r="V406" s="40"/>
      <c r="W406" s="40"/>
      <c r="X406" s="67" t="str">
        <f t="shared" si="49"/>
        <v/>
      </c>
      <c r="Z406" s="71"/>
      <c r="AA406" s="71"/>
      <c r="AB406" s="67" t="str">
        <f t="shared" si="48"/>
        <v/>
      </c>
    </row>
    <row r="407" spans="1:28" x14ac:dyDescent="0.25">
      <c r="A407" s="59"/>
      <c r="B407" s="7"/>
      <c r="C407" s="59"/>
      <c r="D407" s="10"/>
      <c r="E407" s="40"/>
      <c r="F407" s="40"/>
      <c r="G407" s="40"/>
      <c r="H407" s="3" t="str">
        <f t="shared" si="44"/>
        <v/>
      </c>
      <c r="I407" s="3" t="str">
        <f t="shared" si="45"/>
        <v/>
      </c>
      <c r="J407" s="3" t="str">
        <f t="shared" si="46"/>
        <v/>
      </c>
      <c r="K407" s="3"/>
      <c r="L407" s="60" t="str">
        <f t="shared" si="47"/>
        <v/>
      </c>
      <c r="M407" s="40"/>
      <c r="N407" s="40"/>
      <c r="O407" s="40"/>
      <c r="P407" s="40"/>
      <c r="Q407" s="40"/>
      <c r="R407" s="40"/>
      <c r="S407" s="61" t="str">
        <f t="shared" si="43"/>
        <v/>
      </c>
      <c r="T407" s="40"/>
      <c r="U407" s="40"/>
      <c r="V407" s="40"/>
      <c r="W407" s="40"/>
      <c r="X407" s="67" t="str">
        <f t="shared" si="49"/>
        <v/>
      </c>
      <c r="Z407" s="71"/>
      <c r="AA407" s="71"/>
      <c r="AB407" s="67" t="str">
        <f t="shared" si="48"/>
        <v/>
      </c>
    </row>
    <row r="408" spans="1:28" x14ac:dyDescent="0.25">
      <c r="A408" s="59"/>
      <c r="B408" s="7"/>
      <c r="C408" s="59"/>
      <c r="D408" s="10"/>
      <c r="E408" s="40"/>
      <c r="F408" s="40"/>
      <c r="G408" s="40"/>
      <c r="H408" s="3" t="str">
        <f t="shared" si="44"/>
        <v/>
      </c>
      <c r="I408" s="3" t="str">
        <f t="shared" si="45"/>
        <v/>
      </c>
      <c r="J408" s="3" t="str">
        <f t="shared" si="46"/>
        <v/>
      </c>
      <c r="K408" s="3"/>
      <c r="L408" s="60" t="str">
        <f t="shared" si="47"/>
        <v/>
      </c>
      <c r="M408" s="40"/>
      <c r="N408" s="40"/>
      <c r="O408" s="40"/>
      <c r="P408" s="40"/>
      <c r="Q408" s="40"/>
      <c r="R408" s="40"/>
      <c r="S408" s="61" t="str">
        <f t="shared" si="43"/>
        <v/>
      </c>
      <c r="T408" s="40"/>
      <c r="U408" s="40"/>
      <c r="V408" s="40"/>
      <c r="W408" s="40"/>
      <c r="X408" s="67" t="str">
        <f t="shared" si="49"/>
        <v/>
      </c>
      <c r="Z408" s="71"/>
      <c r="AA408" s="71"/>
      <c r="AB408" s="67" t="str">
        <f t="shared" si="48"/>
        <v/>
      </c>
    </row>
    <row r="409" spans="1:28" x14ac:dyDescent="0.25">
      <c r="A409" s="59"/>
      <c r="B409" s="7"/>
      <c r="C409" s="59"/>
      <c r="D409" s="10"/>
      <c r="E409" s="40"/>
      <c r="F409" s="40"/>
      <c r="G409" s="40"/>
      <c r="H409" s="3" t="str">
        <f t="shared" si="44"/>
        <v/>
      </c>
      <c r="I409" s="3" t="str">
        <f t="shared" si="45"/>
        <v/>
      </c>
      <c r="J409" s="3" t="str">
        <f t="shared" si="46"/>
        <v/>
      </c>
      <c r="K409" s="3"/>
      <c r="L409" s="60" t="str">
        <f t="shared" si="47"/>
        <v/>
      </c>
      <c r="M409" s="40"/>
      <c r="N409" s="40"/>
      <c r="O409" s="40"/>
      <c r="P409" s="40"/>
      <c r="Q409" s="40"/>
      <c r="R409" s="40"/>
      <c r="S409" s="61" t="str">
        <f t="shared" si="43"/>
        <v/>
      </c>
      <c r="T409" s="40"/>
      <c r="U409" s="40"/>
      <c r="V409" s="40"/>
      <c r="W409" s="40"/>
      <c r="X409" s="67" t="str">
        <f t="shared" si="49"/>
        <v/>
      </c>
      <c r="Z409" s="71"/>
      <c r="AA409" s="71"/>
      <c r="AB409" s="67" t="str">
        <f t="shared" si="48"/>
        <v/>
      </c>
    </row>
    <row r="410" spans="1:28" x14ac:dyDescent="0.25">
      <c r="A410" s="59"/>
      <c r="B410" s="7"/>
      <c r="C410" s="59"/>
      <c r="D410" s="10"/>
      <c r="E410" s="40"/>
      <c r="F410" s="40"/>
      <c r="G410" s="40"/>
      <c r="H410" s="3" t="str">
        <f t="shared" si="44"/>
        <v/>
      </c>
      <c r="I410" s="3" t="str">
        <f t="shared" si="45"/>
        <v/>
      </c>
      <c r="J410" s="3" t="str">
        <f t="shared" si="46"/>
        <v/>
      </c>
      <c r="K410" s="3"/>
      <c r="L410" s="60" t="str">
        <f t="shared" si="47"/>
        <v/>
      </c>
      <c r="M410" s="40"/>
      <c r="N410" s="40"/>
      <c r="O410" s="40"/>
      <c r="P410" s="40"/>
      <c r="Q410" s="40"/>
      <c r="R410" s="40"/>
      <c r="S410" s="61" t="str">
        <f t="shared" si="43"/>
        <v/>
      </c>
      <c r="T410" s="40"/>
      <c r="U410" s="40"/>
      <c r="V410" s="40"/>
      <c r="W410" s="40"/>
      <c r="X410" s="67" t="str">
        <f t="shared" si="49"/>
        <v/>
      </c>
      <c r="Z410" s="71"/>
      <c r="AA410" s="71"/>
      <c r="AB410" s="67" t="str">
        <f t="shared" si="48"/>
        <v/>
      </c>
    </row>
    <row r="411" spans="1:28" x14ac:dyDescent="0.25">
      <c r="A411" s="59"/>
      <c r="B411" s="7"/>
      <c r="C411" s="59"/>
      <c r="D411" s="10"/>
      <c r="E411" s="40"/>
      <c r="F411" s="40"/>
      <c r="G411" s="40"/>
      <c r="H411" s="3" t="str">
        <f t="shared" si="44"/>
        <v/>
      </c>
      <c r="I411" s="3" t="str">
        <f t="shared" si="45"/>
        <v/>
      </c>
      <c r="J411" s="3" t="str">
        <f t="shared" si="46"/>
        <v/>
      </c>
      <c r="K411" s="3"/>
      <c r="L411" s="60" t="str">
        <f t="shared" si="47"/>
        <v/>
      </c>
      <c r="M411" s="40"/>
      <c r="N411" s="40"/>
      <c r="O411" s="40"/>
      <c r="P411" s="40"/>
      <c r="Q411" s="40"/>
      <c r="R411" s="40"/>
      <c r="S411" s="61" t="str">
        <f t="shared" si="43"/>
        <v/>
      </c>
      <c r="T411" s="40"/>
      <c r="U411" s="40"/>
      <c r="V411" s="40"/>
      <c r="W411" s="40"/>
      <c r="X411" s="67" t="str">
        <f t="shared" si="49"/>
        <v/>
      </c>
      <c r="Z411" s="71"/>
      <c r="AA411" s="71"/>
      <c r="AB411" s="67" t="str">
        <f t="shared" si="48"/>
        <v/>
      </c>
    </row>
    <row r="412" spans="1:28" x14ac:dyDescent="0.25">
      <c r="A412" s="59"/>
      <c r="B412" s="7"/>
      <c r="C412" s="59"/>
      <c r="D412" s="10"/>
      <c r="E412" s="40"/>
      <c r="F412" s="40"/>
      <c r="G412" s="40"/>
      <c r="H412" s="3" t="str">
        <f t="shared" si="44"/>
        <v/>
      </c>
      <c r="I412" s="3" t="str">
        <f t="shared" si="45"/>
        <v/>
      </c>
      <c r="J412" s="3" t="str">
        <f t="shared" si="46"/>
        <v/>
      </c>
      <c r="K412" s="3"/>
      <c r="L412" s="60" t="str">
        <f t="shared" si="47"/>
        <v/>
      </c>
      <c r="M412" s="40"/>
      <c r="N412" s="40"/>
      <c r="O412" s="40"/>
      <c r="P412" s="40"/>
      <c r="Q412" s="40"/>
      <c r="R412" s="40"/>
      <c r="S412" s="61" t="str">
        <f t="shared" si="43"/>
        <v/>
      </c>
      <c r="T412" s="40"/>
      <c r="U412" s="40"/>
      <c r="V412" s="40"/>
      <c r="W412" s="40"/>
      <c r="X412" s="67" t="str">
        <f t="shared" si="49"/>
        <v/>
      </c>
      <c r="Z412" s="71"/>
      <c r="AA412" s="71"/>
      <c r="AB412" s="67" t="str">
        <f t="shared" si="48"/>
        <v/>
      </c>
    </row>
    <row r="413" spans="1:28" x14ac:dyDescent="0.25">
      <c r="A413" s="59"/>
      <c r="B413" s="7"/>
      <c r="C413" s="59"/>
      <c r="D413" s="10"/>
      <c r="E413" s="40"/>
      <c r="F413" s="40"/>
      <c r="G413" s="40"/>
      <c r="H413" s="3" t="str">
        <f t="shared" si="44"/>
        <v/>
      </c>
      <c r="I413" s="3" t="str">
        <f t="shared" si="45"/>
        <v/>
      </c>
      <c r="J413" s="3" t="str">
        <f t="shared" si="46"/>
        <v/>
      </c>
      <c r="K413" s="3"/>
      <c r="L413" s="60" t="str">
        <f t="shared" si="47"/>
        <v/>
      </c>
      <c r="M413" s="40"/>
      <c r="N413" s="40"/>
      <c r="O413" s="40"/>
      <c r="P413" s="40"/>
      <c r="Q413" s="40"/>
      <c r="R413" s="40"/>
      <c r="S413" s="61" t="str">
        <f t="shared" si="43"/>
        <v/>
      </c>
      <c r="T413" s="40"/>
      <c r="U413" s="40"/>
      <c r="V413" s="40"/>
      <c r="W413" s="40"/>
      <c r="X413" s="67" t="str">
        <f t="shared" si="49"/>
        <v/>
      </c>
      <c r="Z413" s="71"/>
      <c r="AA413" s="71"/>
      <c r="AB413" s="67" t="str">
        <f t="shared" si="48"/>
        <v/>
      </c>
    </row>
    <row r="414" spans="1:28" x14ac:dyDescent="0.25">
      <c r="A414" s="59"/>
      <c r="B414" s="7"/>
      <c r="C414" s="59"/>
      <c r="D414" s="10"/>
      <c r="E414" s="40"/>
      <c r="F414" s="40"/>
      <c r="G414" s="40"/>
      <c r="H414" s="3" t="str">
        <f t="shared" si="44"/>
        <v/>
      </c>
      <c r="I414" s="3" t="str">
        <f t="shared" si="45"/>
        <v/>
      </c>
      <c r="J414" s="3" t="str">
        <f t="shared" si="46"/>
        <v/>
      </c>
      <c r="K414" s="3"/>
      <c r="L414" s="60" t="str">
        <f t="shared" si="47"/>
        <v/>
      </c>
      <c r="M414" s="40"/>
      <c r="N414" s="40"/>
      <c r="O414" s="40"/>
      <c r="P414" s="40"/>
      <c r="Q414" s="40"/>
      <c r="R414" s="40"/>
      <c r="S414" s="61" t="str">
        <f t="shared" si="43"/>
        <v/>
      </c>
      <c r="T414" s="40"/>
      <c r="U414" s="40"/>
      <c r="V414" s="40"/>
      <c r="W414" s="40"/>
      <c r="X414" s="67" t="str">
        <f t="shared" si="49"/>
        <v/>
      </c>
      <c r="Z414" s="71"/>
      <c r="AA414" s="71"/>
      <c r="AB414" s="67" t="str">
        <f t="shared" si="48"/>
        <v/>
      </c>
    </row>
    <row r="415" spans="1:28" x14ac:dyDescent="0.25">
      <c r="A415" s="59"/>
      <c r="B415" s="7"/>
      <c r="C415" s="59"/>
      <c r="D415" s="10"/>
      <c r="E415" s="40"/>
      <c r="F415" s="40"/>
      <c r="G415" s="40"/>
      <c r="H415" s="3" t="str">
        <f t="shared" si="44"/>
        <v/>
      </c>
      <c r="I415" s="3" t="str">
        <f t="shared" si="45"/>
        <v/>
      </c>
      <c r="J415" s="3" t="str">
        <f t="shared" si="46"/>
        <v/>
      </c>
      <c r="K415" s="3"/>
      <c r="L415" s="60" t="str">
        <f t="shared" si="47"/>
        <v/>
      </c>
      <c r="M415" s="40"/>
      <c r="N415" s="40"/>
      <c r="O415" s="40"/>
      <c r="P415" s="40"/>
      <c r="Q415" s="40"/>
      <c r="R415" s="40"/>
      <c r="S415" s="61" t="str">
        <f t="shared" si="43"/>
        <v/>
      </c>
      <c r="T415" s="40"/>
      <c r="U415" s="40"/>
      <c r="V415" s="40"/>
      <c r="W415" s="40"/>
      <c r="X415" s="67" t="str">
        <f t="shared" si="49"/>
        <v/>
      </c>
      <c r="Z415" s="71"/>
      <c r="AA415" s="71"/>
      <c r="AB415" s="67" t="str">
        <f t="shared" si="48"/>
        <v/>
      </c>
    </row>
    <row r="416" spans="1:28" x14ac:dyDescent="0.25">
      <c r="A416" s="59"/>
      <c r="B416" s="7"/>
      <c r="C416" s="59"/>
      <c r="D416" s="10"/>
      <c r="E416" s="40"/>
      <c r="F416" s="40"/>
      <c r="G416" s="40"/>
      <c r="H416" s="3" t="str">
        <f t="shared" si="44"/>
        <v/>
      </c>
      <c r="I416" s="3" t="str">
        <f t="shared" si="45"/>
        <v/>
      </c>
      <c r="J416" s="3" t="str">
        <f t="shared" si="46"/>
        <v/>
      </c>
      <c r="K416" s="3"/>
      <c r="L416" s="60" t="str">
        <f t="shared" si="47"/>
        <v/>
      </c>
      <c r="M416" s="40"/>
      <c r="N416" s="40"/>
      <c r="O416" s="40"/>
      <c r="P416" s="40"/>
      <c r="Q416" s="40"/>
      <c r="R416" s="40"/>
      <c r="S416" s="61" t="str">
        <f t="shared" si="43"/>
        <v/>
      </c>
      <c r="T416" s="40"/>
      <c r="U416" s="40"/>
      <c r="V416" s="40"/>
      <c r="W416" s="40"/>
      <c r="X416" s="67" t="str">
        <f t="shared" si="49"/>
        <v/>
      </c>
      <c r="Z416" s="71"/>
      <c r="AA416" s="71"/>
      <c r="AB416" s="67" t="str">
        <f t="shared" si="48"/>
        <v/>
      </c>
    </row>
    <row r="417" spans="1:28" x14ac:dyDescent="0.25">
      <c r="A417" s="59"/>
      <c r="B417" s="7"/>
      <c r="C417" s="59"/>
      <c r="D417" s="10"/>
      <c r="E417" s="40"/>
      <c r="F417" s="40"/>
      <c r="G417" s="40"/>
      <c r="H417" s="3" t="str">
        <f t="shared" si="44"/>
        <v/>
      </c>
      <c r="I417" s="3" t="str">
        <f t="shared" si="45"/>
        <v/>
      </c>
      <c r="J417" s="3" t="str">
        <f t="shared" si="46"/>
        <v/>
      </c>
      <c r="K417" s="3"/>
      <c r="L417" s="60" t="str">
        <f t="shared" si="47"/>
        <v/>
      </c>
      <c r="M417" s="40"/>
      <c r="N417" s="40"/>
      <c r="O417" s="40"/>
      <c r="P417" s="40"/>
      <c r="Q417" s="40"/>
      <c r="R417" s="40"/>
      <c r="S417" s="61" t="str">
        <f t="shared" si="43"/>
        <v/>
      </c>
      <c r="T417" s="40"/>
      <c r="U417" s="40"/>
      <c r="V417" s="40"/>
      <c r="W417" s="40"/>
      <c r="X417" s="67" t="str">
        <f t="shared" si="49"/>
        <v/>
      </c>
      <c r="Z417" s="71"/>
      <c r="AA417" s="71"/>
      <c r="AB417" s="67" t="str">
        <f t="shared" si="48"/>
        <v/>
      </c>
    </row>
    <row r="418" spans="1:28" x14ac:dyDescent="0.25">
      <c r="A418" s="59"/>
      <c r="B418" s="7"/>
      <c r="C418" s="59"/>
      <c r="D418" s="10"/>
      <c r="E418" s="40"/>
      <c r="F418" s="40"/>
      <c r="G418" s="40"/>
      <c r="H418" s="3" t="str">
        <f t="shared" si="44"/>
        <v/>
      </c>
      <c r="I418" s="3" t="str">
        <f t="shared" si="45"/>
        <v/>
      </c>
      <c r="J418" s="3" t="str">
        <f t="shared" si="46"/>
        <v/>
      </c>
      <c r="K418" s="3"/>
      <c r="L418" s="60" t="str">
        <f t="shared" si="47"/>
        <v/>
      </c>
      <c r="M418" s="40"/>
      <c r="N418" s="40"/>
      <c r="O418" s="40"/>
      <c r="P418" s="40"/>
      <c r="Q418" s="40"/>
      <c r="R418" s="40"/>
      <c r="S418" s="61" t="str">
        <f t="shared" si="43"/>
        <v/>
      </c>
      <c r="T418" s="40"/>
      <c r="U418" s="40"/>
      <c r="V418" s="40"/>
      <c r="W418" s="40"/>
      <c r="X418" s="67" t="str">
        <f t="shared" si="49"/>
        <v/>
      </c>
      <c r="Z418" s="71"/>
      <c r="AA418" s="71"/>
      <c r="AB418" s="67" t="str">
        <f t="shared" si="48"/>
        <v/>
      </c>
    </row>
    <row r="419" spans="1:28" x14ac:dyDescent="0.25">
      <c r="A419" s="59"/>
      <c r="B419" s="7"/>
      <c r="C419" s="59"/>
      <c r="D419" s="10"/>
      <c r="E419" s="40"/>
      <c r="F419" s="40"/>
      <c r="G419" s="40"/>
      <c r="H419" s="3" t="str">
        <f t="shared" si="44"/>
        <v/>
      </c>
      <c r="I419" s="3" t="str">
        <f t="shared" si="45"/>
        <v/>
      </c>
      <c r="J419" s="3" t="str">
        <f t="shared" si="46"/>
        <v/>
      </c>
      <c r="K419" s="3"/>
      <c r="L419" s="60" t="str">
        <f t="shared" si="47"/>
        <v/>
      </c>
      <c r="M419" s="40"/>
      <c r="N419" s="40"/>
      <c r="O419" s="40"/>
      <c r="P419" s="40"/>
      <c r="Q419" s="40"/>
      <c r="R419" s="40"/>
      <c r="S419" s="61" t="str">
        <f t="shared" si="43"/>
        <v/>
      </c>
      <c r="T419" s="40"/>
      <c r="U419" s="40"/>
      <c r="V419" s="40"/>
      <c r="W419" s="40"/>
      <c r="X419" s="67" t="str">
        <f t="shared" si="49"/>
        <v/>
      </c>
      <c r="Z419" s="71"/>
      <c r="AA419" s="71"/>
      <c r="AB419" s="67" t="str">
        <f t="shared" si="48"/>
        <v/>
      </c>
    </row>
    <row r="420" spans="1:28" x14ac:dyDescent="0.25">
      <c r="A420" s="59"/>
      <c r="B420" s="7"/>
      <c r="C420" s="59"/>
      <c r="D420" s="10"/>
      <c r="E420" s="40"/>
      <c r="F420" s="40"/>
      <c r="G420" s="40"/>
      <c r="H420" s="3" t="str">
        <f t="shared" si="44"/>
        <v/>
      </c>
      <c r="I420" s="3" t="str">
        <f t="shared" si="45"/>
        <v/>
      </c>
      <c r="J420" s="3" t="str">
        <f t="shared" si="46"/>
        <v/>
      </c>
      <c r="K420" s="3"/>
      <c r="L420" s="60" t="str">
        <f t="shared" si="47"/>
        <v/>
      </c>
      <c r="M420" s="40"/>
      <c r="N420" s="40"/>
      <c r="O420" s="40"/>
      <c r="P420" s="40"/>
      <c r="Q420" s="40"/>
      <c r="R420" s="40"/>
      <c r="S420" s="61" t="str">
        <f t="shared" si="43"/>
        <v/>
      </c>
      <c r="T420" s="40"/>
      <c r="U420" s="40"/>
      <c r="V420" s="40"/>
      <c r="W420" s="40"/>
      <c r="X420" s="67" t="str">
        <f t="shared" si="49"/>
        <v/>
      </c>
      <c r="Z420" s="71"/>
      <c r="AA420" s="71"/>
      <c r="AB420" s="67" t="str">
        <f t="shared" si="48"/>
        <v/>
      </c>
    </row>
    <row r="421" spans="1:28" x14ac:dyDescent="0.25">
      <c r="A421" s="59"/>
      <c r="B421" s="7"/>
      <c r="C421" s="59"/>
      <c r="D421" s="10"/>
      <c r="E421" s="40"/>
      <c r="F421" s="40"/>
      <c r="G421" s="40"/>
      <c r="H421" s="3" t="str">
        <f t="shared" si="44"/>
        <v/>
      </c>
      <c r="I421" s="3" t="str">
        <f t="shared" si="45"/>
        <v/>
      </c>
      <c r="J421" s="3" t="str">
        <f t="shared" si="46"/>
        <v/>
      </c>
      <c r="K421" s="3"/>
      <c r="L421" s="60" t="str">
        <f t="shared" si="47"/>
        <v/>
      </c>
      <c r="M421" s="40"/>
      <c r="N421" s="40"/>
      <c r="O421" s="40"/>
      <c r="P421" s="40"/>
      <c r="Q421" s="40"/>
      <c r="R421" s="40"/>
      <c r="S421" s="61" t="str">
        <f t="shared" si="43"/>
        <v/>
      </c>
      <c r="T421" s="40"/>
      <c r="U421" s="40"/>
      <c r="V421" s="40"/>
      <c r="W421" s="40"/>
      <c r="X421" s="67" t="str">
        <f t="shared" si="49"/>
        <v/>
      </c>
      <c r="Z421" s="71"/>
      <c r="AA421" s="71"/>
      <c r="AB421" s="67" t="str">
        <f t="shared" si="48"/>
        <v/>
      </c>
    </row>
    <row r="422" spans="1:28" x14ac:dyDescent="0.25">
      <c r="A422" s="59"/>
      <c r="B422" s="7"/>
      <c r="C422" s="59"/>
      <c r="D422" s="10"/>
      <c r="E422" s="40"/>
      <c r="F422" s="40"/>
      <c r="G422" s="40"/>
      <c r="H422" s="3" t="str">
        <f t="shared" si="44"/>
        <v/>
      </c>
      <c r="I422" s="3" t="str">
        <f t="shared" si="45"/>
        <v/>
      </c>
      <c r="J422" s="3" t="str">
        <f t="shared" si="46"/>
        <v/>
      </c>
      <c r="K422" s="3"/>
      <c r="L422" s="60" t="str">
        <f t="shared" si="47"/>
        <v/>
      </c>
      <c r="M422" s="40"/>
      <c r="N422" s="40"/>
      <c r="O422" s="40"/>
      <c r="P422" s="40"/>
      <c r="Q422" s="40"/>
      <c r="R422" s="40"/>
      <c r="S422" s="61" t="str">
        <f t="shared" si="43"/>
        <v/>
      </c>
      <c r="T422" s="40"/>
      <c r="U422" s="40"/>
      <c r="V422" s="40"/>
      <c r="W422" s="40"/>
      <c r="X422" s="67" t="str">
        <f t="shared" si="49"/>
        <v/>
      </c>
      <c r="Z422" s="71"/>
      <c r="AA422" s="71"/>
      <c r="AB422" s="67" t="str">
        <f t="shared" si="48"/>
        <v/>
      </c>
    </row>
    <row r="423" spans="1:28" x14ac:dyDescent="0.25">
      <c r="A423" s="59"/>
      <c r="B423" s="7"/>
      <c r="C423" s="59"/>
      <c r="D423" s="10"/>
      <c r="E423" s="40"/>
      <c r="F423" s="40"/>
      <c r="G423" s="40"/>
      <c r="H423" s="3" t="str">
        <f t="shared" si="44"/>
        <v/>
      </c>
      <c r="I423" s="3" t="str">
        <f t="shared" si="45"/>
        <v/>
      </c>
      <c r="J423" s="3" t="str">
        <f t="shared" si="46"/>
        <v/>
      </c>
      <c r="K423" s="3"/>
      <c r="L423" s="60" t="str">
        <f t="shared" si="47"/>
        <v/>
      </c>
      <c r="M423" s="40"/>
      <c r="N423" s="40"/>
      <c r="O423" s="40"/>
      <c r="P423" s="40"/>
      <c r="Q423" s="40"/>
      <c r="R423" s="40"/>
      <c r="S423" s="61" t="str">
        <f t="shared" si="43"/>
        <v/>
      </c>
      <c r="T423" s="40"/>
      <c r="U423" s="40"/>
      <c r="V423" s="40"/>
      <c r="W423" s="40"/>
      <c r="X423" s="67" t="str">
        <f t="shared" si="49"/>
        <v/>
      </c>
      <c r="Z423" s="71"/>
      <c r="AA423" s="71"/>
      <c r="AB423" s="67" t="str">
        <f t="shared" si="48"/>
        <v/>
      </c>
    </row>
    <row r="424" spans="1:28" x14ac:dyDescent="0.25">
      <c r="A424" s="59"/>
      <c r="B424" s="7"/>
      <c r="C424" s="59"/>
      <c r="D424" s="10"/>
      <c r="E424" s="40"/>
      <c r="F424" s="40"/>
      <c r="G424" s="40"/>
      <c r="H424" s="3" t="str">
        <f t="shared" si="44"/>
        <v/>
      </c>
      <c r="I424" s="3" t="str">
        <f t="shared" si="45"/>
        <v/>
      </c>
      <c r="J424" s="3" t="str">
        <f t="shared" si="46"/>
        <v/>
      </c>
      <c r="K424" s="3"/>
      <c r="L424" s="60" t="str">
        <f t="shared" si="47"/>
        <v/>
      </c>
      <c r="M424" s="40"/>
      <c r="N424" s="40"/>
      <c r="O424" s="40"/>
      <c r="P424" s="40"/>
      <c r="Q424" s="40"/>
      <c r="R424" s="40"/>
      <c r="S424" s="61" t="str">
        <f t="shared" si="43"/>
        <v/>
      </c>
      <c r="T424" s="40"/>
      <c r="U424" s="40"/>
      <c r="V424" s="40"/>
      <c r="W424" s="40"/>
      <c r="X424" s="67" t="str">
        <f t="shared" si="49"/>
        <v/>
      </c>
      <c r="Z424" s="71"/>
      <c r="AA424" s="71"/>
      <c r="AB424" s="67" t="str">
        <f t="shared" si="48"/>
        <v/>
      </c>
    </row>
    <row r="425" spans="1:28" x14ac:dyDescent="0.25">
      <c r="A425" s="59"/>
      <c r="B425" s="7"/>
      <c r="C425" s="59"/>
      <c r="D425" s="10"/>
      <c r="E425" s="40"/>
      <c r="F425" s="40"/>
      <c r="G425" s="40"/>
      <c r="H425" s="3" t="str">
        <f t="shared" si="44"/>
        <v/>
      </c>
      <c r="I425" s="3" t="str">
        <f t="shared" si="45"/>
        <v/>
      </c>
      <c r="J425" s="3" t="str">
        <f t="shared" si="46"/>
        <v/>
      </c>
      <c r="K425" s="3"/>
      <c r="L425" s="60" t="str">
        <f t="shared" si="47"/>
        <v/>
      </c>
      <c r="M425" s="40"/>
      <c r="N425" s="40"/>
      <c r="O425" s="40"/>
      <c r="P425" s="40"/>
      <c r="Q425" s="40"/>
      <c r="R425" s="40"/>
      <c r="S425" s="61" t="str">
        <f t="shared" ref="S425:S488" si="50">IF(C425="","",(S424+R425)-(M425+N425+O425+P425+Q425))</f>
        <v/>
      </c>
      <c r="T425" s="40"/>
      <c r="U425" s="40"/>
      <c r="V425" s="40"/>
      <c r="W425" s="40"/>
      <c r="X425" s="67" t="str">
        <f t="shared" si="49"/>
        <v/>
      </c>
      <c r="Z425" s="71"/>
      <c r="AA425" s="71"/>
      <c r="AB425" s="67" t="str">
        <f t="shared" si="48"/>
        <v/>
      </c>
    </row>
    <row r="426" spans="1:28" x14ac:dyDescent="0.25">
      <c r="A426" s="59"/>
      <c r="B426" s="7"/>
      <c r="C426" s="59"/>
      <c r="D426" s="10"/>
      <c r="E426" s="40"/>
      <c r="F426" s="40"/>
      <c r="G426" s="40"/>
      <c r="H426" s="3" t="str">
        <f t="shared" si="44"/>
        <v/>
      </c>
      <c r="I426" s="3" t="str">
        <f t="shared" si="45"/>
        <v/>
      </c>
      <c r="J426" s="3" t="str">
        <f t="shared" si="46"/>
        <v/>
      </c>
      <c r="K426" s="3"/>
      <c r="L426" s="60" t="str">
        <f t="shared" si="47"/>
        <v/>
      </c>
      <c r="M426" s="40"/>
      <c r="N426" s="40"/>
      <c r="O426" s="40"/>
      <c r="P426" s="40"/>
      <c r="Q426" s="40"/>
      <c r="R426" s="40"/>
      <c r="S426" s="61" t="str">
        <f t="shared" si="50"/>
        <v/>
      </c>
      <c r="T426" s="40"/>
      <c r="U426" s="40"/>
      <c r="V426" s="40"/>
      <c r="W426" s="40"/>
      <c r="X426" s="67" t="str">
        <f t="shared" si="49"/>
        <v/>
      </c>
      <c r="Z426" s="71"/>
      <c r="AA426" s="71"/>
      <c r="AB426" s="67" t="str">
        <f t="shared" si="48"/>
        <v/>
      </c>
    </row>
    <row r="427" spans="1:28" x14ac:dyDescent="0.25">
      <c r="A427" s="59"/>
      <c r="B427" s="7"/>
      <c r="C427" s="59"/>
      <c r="D427" s="10"/>
      <c r="E427" s="40"/>
      <c r="F427" s="40"/>
      <c r="G427" s="40"/>
      <c r="H427" s="3" t="str">
        <f t="shared" si="44"/>
        <v/>
      </c>
      <c r="I427" s="3" t="str">
        <f t="shared" si="45"/>
        <v/>
      </c>
      <c r="J427" s="3" t="str">
        <f t="shared" si="46"/>
        <v/>
      </c>
      <c r="K427" s="3"/>
      <c r="L427" s="60" t="str">
        <f t="shared" si="47"/>
        <v/>
      </c>
      <c r="M427" s="40"/>
      <c r="N427" s="40"/>
      <c r="O427" s="40"/>
      <c r="P427" s="40"/>
      <c r="Q427" s="40"/>
      <c r="R427" s="40"/>
      <c r="S427" s="61" t="str">
        <f t="shared" si="50"/>
        <v/>
      </c>
      <c r="T427" s="40"/>
      <c r="U427" s="40"/>
      <c r="V427" s="40"/>
      <c r="W427" s="40"/>
      <c r="X427" s="67" t="str">
        <f t="shared" si="49"/>
        <v/>
      </c>
      <c r="Z427" s="71"/>
      <c r="AA427" s="71"/>
      <c r="AB427" s="67" t="str">
        <f t="shared" si="48"/>
        <v/>
      </c>
    </row>
    <row r="428" spans="1:28" x14ac:dyDescent="0.25">
      <c r="A428" s="59"/>
      <c r="B428" s="7"/>
      <c r="C428" s="59"/>
      <c r="D428" s="10"/>
      <c r="E428" s="40"/>
      <c r="F428" s="40"/>
      <c r="G428" s="40"/>
      <c r="H428" s="3" t="str">
        <f t="shared" si="44"/>
        <v/>
      </c>
      <c r="I428" s="3" t="str">
        <f t="shared" si="45"/>
        <v/>
      </c>
      <c r="J428" s="3" t="str">
        <f t="shared" si="46"/>
        <v/>
      </c>
      <c r="K428" s="3"/>
      <c r="L428" s="60" t="str">
        <f t="shared" si="47"/>
        <v/>
      </c>
      <c r="M428" s="40"/>
      <c r="N428" s="40"/>
      <c r="O428" s="40"/>
      <c r="P428" s="40"/>
      <c r="Q428" s="40"/>
      <c r="R428" s="40"/>
      <c r="S428" s="61" t="str">
        <f t="shared" si="50"/>
        <v/>
      </c>
      <c r="T428" s="40"/>
      <c r="U428" s="40"/>
      <c r="V428" s="40"/>
      <c r="W428" s="40"/>
      <c r="X428" s="67" t="str">
        <f t="shared" si="49"/>
        <v/>
      </c>
      <c r="Z428" s="71"/>
      <c r="AA428" s="71"/>
      <c r="AB428" s="67" t="str">
        <f t="shared" si="48"/>
        <v/>
      </c>
    </row>
    <row r="429" spans="1:28" x14ac:dyDescent="0.25">
      <c r="A429" s="59"/>
      <c r="B429" s="7"/>
      <c r="C429" s="59"/>
      <c r="D429" s="10"/>
      <c r="E429" s="40"/>
      <c r="F429" s="40"/>
      <c r="G429" s="40"/>
      <c r="H429" s="3" t="str">
        <f t="shared" si="44"/>
        <v/>
      </c>
      <c r="I429" s="3" t="str">
        <f t="shared" si="45"/>
        <v/>
      </c>
      <c r="J429" s="3" t="str">
        <f t="shared" si="46"/>
        <v/>
      </c>
      <c r="K429" s="3"/>
      <c r="L429" s="60" t="str">
        <f t="shared" si="47"/>
        <v/>
      </c>
      <c r="M429" s="40"/>
      <c r="N429" s="40"/>
      <c r="O429" s="40"/>
      <c r="P429" s="40"/>
      <c r="Q429" s="40"/>
      <c r="R429" s="40"/>
      <c r="S429" s="61" t="str">
        <f t="shared" si="50"/>
        <v/>
      </c>
      <c r="T429" s="40"/>
      <c r="U429" s="40"/>
      <c r="V429" s="40"/>
      <c r="W429" s="40"/>
      <c r="X429" s="67" t="str">
        <f t="shared" si="49"/>
        <v/>
      </c>
      <c r="Z429" s="71"/>
      <c r="AA429" s="71"/>
      <c r="AB429" s="67" t="str">
        <f t="shared" si="48"/>
        <v/>
      </c>
    </row>
    <row r="430" spans="1:28" x14ac:dyDescent="0.25">
      <c r="A430" s="59"/>
      <c r="B430" s="7"/>
      <c r="C430" s="59"/>
      <c r="D430" s="10"/>
      <c r="E430" s="40"/>
      <c r="F430" s="40"/>
      <c r="G430" s="40"/>
      <c r="H430" s="3" t="str">
        <f t="shared" si="44"/>
        <v/>
      </c>
      <c r="I430" s="3" t="str">
        <f t="shared" si="45"/>
        <v/>
      </c>
      <c r="J430" s="3" t="str">
        <f t="shared" si="46"/>
        <v/>
      </c>
      <c r="K430" s="3"/>
      <c r="L430" s="60" t="str">
        <f t="shared" si="47"/>
        <v/>
      </c>
      <c r="M430" s="40"/>
      <c r="N430" s="40"/>
      <c r="O430" s="40"/>
      <c r="P430" s="40"/>
      <c r="Q430" s="40"/>
      <c r="R430" s="40"/>
      <c r="S430" s="61" t="str">
        <f t="shared" si="50"/>
        <v/>
      </c>
      <c r="T430" s="40"/>
      <c r="U430" s="40"/>
      <c r="V430" s="40"/>
      <c r="W430" s="40"/>
      <c r="X430" s="67" t="str">
        <f t="shared" si="49"/>
        <v/>
      </c>
      <c r="Z430" s="71"/>
      <c r="AA430" s="71"/>
      <c r="AB430" s="67" t="str">
        <f t="shared" si="48"/>
        <v/>
      </c>
    </row>
    <row r="431" spans="1:28" x14ac:dyDescent="0.25">
      <c r="A431" s="59"/>
      <c r="B431" s="7"/>
      <c r="C431" s="59"/>
      <c r="D431" s="10"/>
      <c r="E431" s="40"/>
      <c r="F431" s="40"/>
      <c r="G431" s="40"/>
      <c r="H431" s="3" t="str">
        <f t="shared" si="44"/>
        <v/>
      </c>
      <c r="I431" s="3" t="str">
        <f t="shared" si="45"/>
        <v/>
      </c>
      <c r="J431" s="3" t="str">
        <f t="shared" si="46"/>
        <v/>
      </c>
      <c r="K431" s="3"/>
      <c r="L431" s="60" t="str">
        <f t="shared" si="47"/>
        <v/>
      </c>
      <c r="M431" s="40"/>
      <c r="N431" s="40"/>
      <c r="O431" s="40"/>
      <c r="P431" s="40"/>
      <c r="Q431" s="40"/>
      <c r="R431" s="40"/>
      <c r="S431" s="61" t="str">
        <f t="shared" si="50"/>
        <v/>
      </c>
      <c r="T431" s="40"/>
      <c r="U431" s="40"/>
      <c r="V431" s="40"/>
      <c r="W431" s="40"/>
      <c r="X431" s="67" t="str">
        <f t="shared" si="49"/>
        <v/>
      </c>
      <c r="Z431" s="71"/>
      <c r="AA431" s="71"/>
      <c r="AB431" s="67" t="str">
        <f t="shared" si="48"/>
        <v/>
      </c>
    </row>
    <row r="432" spans="1:28" x14ac:dyDescent="0.25">
      <c r="A432" s="59"/>
      <c r="B432" s="7"/>
      <c r="C432" s="59"/>
      <c r="D432" s="10"/>
      <c r="E432" s="40"/>
      <c r="F432" s="40"/>
      <c r="G432" s="40"/>
      <c r="H432" s="3" t="str">
        <f t="shared" si="44"/>
        <v/>
      </c>
      <c r="I432" s="3" t="str">
        <f t="shared" si="45"/>
        <v/>
      </c>
      <c r="J432" s="3" t="str">
        <f t="shared" si="46"/>
        <v/>
      </c>
      <c r="K432" s="3"/>
      <c r="L432" s="60" t="str">
        <f t="shared" si="47"/>
        <v/>
      </c>
      <c r="M432" s="40"/>
      <c r="N432" s="40"/>
      <c r="O432" s="40"/>
      <c r="P432" s="40"/>
      <c r="Q432" s="40"/>
      <c r="R432" s="40"/>
      <c r="S432" s="61" t="str">
        <f t="shared" si="50"/>
        <v/>
      </c>
      <c r="T432" s="40"/>
      <c r="U432" s="40"/>
      <c r="V432" s="40"/>
      <c r="W432" s="40"/>
      <c r="X432" s="67" t="str">
        <f t="shared" si="49"/>
        <v/>
      </c>
      <c r="Z432" s="71"/>
      <c r="AA432" s="71"/>
      <c r="AB432" s="67" t="str">
        <f t="shared" si="48"/>
        <v/>
      </c>
    </row>
    <row r="433" spans="1:28" x14ac:dyDescent="0.25">
      <c r="A433" s="59"/>
      <c r="B433" s="7"/>
      <c r="C433" s="59"/>
      <c r="D433" s="10"/>
      <c r="E433" s="40"/>
      <c r="F433" s="40"/>
      <c r="G433" s="40"/>
      <c r="H433" s="3" t="str">
        <f t="shared" si="44"/>
        <v/>
      </c>
      <c r="I433" s="3" t="str">
        <f t="shared" si="45"/>
        <v/>
      </c>
      <c r="J433" s="3" t="str">
        <f t="shared" si="46"/>
        <v/>
      </c>
      <c r="K433" s="3"/>
      <c r="L433" s="60" t="str">
        <f t="shared" si="47"/>
        <v/>
      </c>
      <c r="M433" s="40"/>
      <c r="N433" s="40"/>
      <c r="O433" s="40"/>
      <c r="P433" s="40"/>
      <c r="Q433" s="40"/>
      <c r="R433" s="40"/>
      <c r="S433" s="61" t="str">
        <f t="shared" si="50"/>
        <v/>
      </c>
      <c r="T433" s="40"/>
      <c r="U433" s="40"/>
      <c r="V433" s="40"/>
      <c r="W433" s="40"/>
      <c r="X433" s="67" t="str">
        <f t="shared" si="49"/>
        <v/>
      </c>
      <c r="Z433" s="71"/>
      <c r="AA433" s="71"/>
      <c r="AB433" s="67" t="str">
        <f t="shared" si="48"/>
        <v/>
      </c>
    </row>
    <row r="434" spans="1:28" x14ac:dyDescent="0.25">
      <c r="A434" s="59"/>
      <c r="B434" s="7"/>
      <c r="C434" s="59"/>
      <c r="D434" s="10"/>
      <c r="E434" s="40"/>
      <c r="F434" s="40"/>
      <c r="G434" s="40"/>
      <c r="H434" s="3" t="str">
        <f t="shared" si="44"/>
        <v/>
      </c>
      <c r="I434" s="3" t="str">
        <f t="shared" si="45"/>
        <v/>
      </c>
      <c r="J434" s="3" t="str">
        <f t="shared" si="46"/>
        <v/>
      </c>
      <c r="K434" s="3"/>
      <c r="L434" s="60" t="str">
        <f t="shared" si="47"/>
        <v/>
      </c>
      <c r="M434" s="40"/>
      <c r="N434" s="40"/>
      <c r="O434" s="40"/>
      <c r="P434" s="40"/>
      <c r="Q434" s="40"/>
      <c r="R434" s="40"/>
      <c r="S434" s="61" t="str">
        <f t="shared" si="50"/>
        <v/>
      </c>
      <c r="T434" s="40"/>
      <c r="U434" s="40"/>
      <c r="V434" s="40"/>
      <c r="W434" s="40"/>
      <c r="X434" s="67" t="str">
        <f t="shared" si="49"/>
        <v/>
      </c>
      <c r="Z434" s="71"/>
      <c r="AA434" s="71"/>
      <c r="AB434" s="67" t="str">
        <f t="shared" si="48"/>
        <v/>
      </c>
    </row>
    <row r="435" spans="1:28" x14ac:dyDescent="0.25">
      <c r="A435" s="59"/>
      <c r="B435" s="7"/>
      <c r="C435" s="59"/>
      <c r="D435" s="10"/>
      <c r="E435" s="40"/>
      <c r="F435" s="40"/>
      <c r="G435" s="40"/>
      <c r="H435" s="3" t="str">
        <f t="shared" si="44"/>
        <v/>
      </c>
      <c r="I435" s="3" t="str">
        <f t="shared" si="45"/>
        <v/>
      </c>
      <c r="J435" s="3" t="str">
        <f t="shared" si="46"/>
        <v/>
      </c>
      <c r="K435" s="3"/>
      <c r="L435" s="60" t="str">
        <f t="shared" si="47"/>
        <v/>
      </c>
      <c r="M435" s="40"/>
      <c r="N435" s="40"/>
      <c r="O435" s="40"/>
      <c r="P435" s="40"/>
      <c r="Q435" s="40"/>
      <c r="R435" s="40"/>
      <c r="S435" s="61" t="str">
        <f t="shared" si="50"/>
        <v/>
      </c>
      <c r="T435" s="40"/>
      <c r="U435" s="40"/>
      <c r="V435" s="40"/>
      <c r="W435" s="40"/>
      <c r="X435" s="67" t="str">
        <f t="shared" si="49"/>
        <v/>
      </c>
      <c r="Z435" s="71"/>
      <c r="AA435" s="71"/>
      <c r="AB435" s="67" t="str">
        <f t="shared" si="48"/>
        <v/>
      </c>
    </row>
    <row r="436" spans="1:28" x14ac:dyDescent="0.25">
      <c r="A436" s="59"/>
      <c r="B436" s="7"/>
      <c r="C436" s="59"/>
      <c r="D436" s="10"/>
      <c r="E436" s="40"/>
      <c r="F436" s="40"/>
      <c r="G436" s="40"/>
      <c r="H436" s="3" t="str">
        <f t="shared" si="44"/>
        <v/>
      </c>
      <c r="I436" s="3" t="str">
        <f t="shared" si="45"/>
        <v/>
      </c>
      <c r="J436" s="3" t="str">
        <f t="shared" si="46"/>
        <v/>
      </c>
      <c r="K436" s="3"/>
      <c r="L436" s="60" t="str">
        <f t="shared" si="47"/>
        <v/>
      </c>
      <c r="M436" s="40"/>
      <c r="N436" s="40"/>
      <c r="O436" s="40"/>
      <c r="P436" s="40"/>
      <c r="Q436" s="40"/>
      <c r="R436" s="40"/>
      <c r="S436" s="61" t="str">
        <f t="shared" si="50"/>
        <v/>
      </c>
      <c r="T436" s="40"/>
      <c r="U436" s="40"/>
      <c r="V436" s="40"/>
      <c r="W436" s="40"/>
      <c r="X436" s="67" t="str">
        <f t="shared" si="49"/>
        <v/>
      </c>
      <c r="Z436" s="71"/>
      <c r="AA436" s="71"/>
      <c r="AB436" s="67" t="str">
        <f t="shared" si="48"/>
        <v/>
      </c>
    </row>
    <row r="437" spans="1:28" x14ac:dyDescent="0.25">
      <c r="A437" s="59"/>
      <c r="B437" s="7"/>
      <c r="C437" s="59"/>
      <c r="D437" s="10"/>
      <c r="E437" s="40"/>
      <c r="F437" s="40"/>
      <c r="G437" s="40"/>
      <c r="H437" s="3" t="str">
        <f t="shared" si="44"/>
        <v/>
      </c>
      <c r="I437" s="3" t="str">
        <f t="shared" si="45"/>
        <v/>
      </c>
      <c r="J437" s="3" t="str">
        <f t="shared" si="46"/>
        <v/>
      </c>
      <c r="K437" s="3"/>
      <c r="L437" s="60" t="str">
        <f t="shared" si="47"/>
        <v/>
      </c>
      <c r="M437" s="40"/>
      <c r="N437" s="40"/>
      <c r="O437" s="40"/>
      <c r="P437" s="40"/>
      <c r="Q437" s="40"/>
      <c r="R437" s="40"/>
      <c r="S437" s="61" t="str">
        <f t="shared" si="50"/>
        <v/>
      </c>
      <c r="T437" s="40"/>
      <c r="U437" s="40"/>
      <c r="V437" s="40"/>
      <c r="W437" s="40"/>
      <c r="X437" s="67" t="str">
        <f t="shared" si="49"/>
        <v/>
      </c>
      <c r="Z437" s="71"/>
      <c r="AA437" s="71"/>
      <c r="AB437" s="67" t="str">
        <f t="shared" si="48"/>
        <v/>
      </c>
    </row>
    <row r="438" spans="1:28" x14ac:dyDescent="0.25">
      <c r="A438" s="59"/>
      <c r="B438" s="7"/>
      <c r="C438" s="59"/>
      <c r="D438" s="10"/>
      <c r="E438" s="40"/>
      <c r="F438" s="40"/>
      <c r="G438" s="40"/>
      <c r="H438" s="3" t="str">
        <f t="shared" si="44"/>
        <v/>
      </c>
      <c r="I438" s="3" t="str">
        <f t="shared" si="45"/>
        <v/>
      </c>
      <c r="J438" s="3" t="str">
        <f t="shared" si="46"/>
        <v/>
      </c>
      <c r="K438" s="3"/>
      <c r="L438" s="60" t="str">
        <f t="shared" si="47"/>
        <v/>
      </c>
      <c r="M438" s="40"/>
      <c r="N438" s="40"/>
      <c r="O438" s="40"/>
      <c r="P438" s="40"/>
      <c r="Q438" s="40"/>
      <c r="R438" s="40"/>
      <c r="S438" s="61" t="str">
        <f t="shared" si="50"/>
        <v/>
      </c>
      <c r="T438" s="40"/>
      <c r="U438" s="40"/>
      <c r="V438" s="40"/>
      <c r="W438" s="40"/>
      <c r="X438" s="67" t="str">
        <f t="shared" si="49"/>
        <v/>
      </c>
      <c r="Z438" s="71"/>
      <c r="AA438" s="71"/>
      <c r="AB438" s="67" t="str">
        <f t="shared" si="48"/>
        <v/>
      </c>
    </row>
    <row r="439" spans="1:28" x14ac:dyDescent="0.25">
      <c r="A439" s="59"/>
      <c r="B439" s="7"/>
      <c r="C439" s="59"/>
      <c r="D439" s="10"/>
      <c r="E439" s="40"/>
      <c r="F439" s="40"/>
      <c r="G439" s="40"/>
      <c r="H439" s="3" t="str">
        <f t="shared" si="44"/>
        <v/>
      </c>
      <c r="I439" s="3" t="str">
        <f t="shared" si="45"/>
        <v/>
      </c>
      <c r="J439" s="3" t="str">
        <f t="shared" si="46"/>
        <v/>
      </c>
      <c r="K439" s="3"/>
      <c r="L439" s="60" t="str">
        <f t="shared" si="47"/>
        <v/>
      </c>
      <c r="M439" s="40"/>
      <c r="N439" s="40"/>
      <c r="O439" s="40"/>
      <c r="P439" s="40"/>
      <c r="Q439" s="40"/>
      <c r="R439" s="40"/>
      <c r="S439" s="61" t="str">
        <f t="shared" si="50"/>
        <v/>
      </c>
      <c r="T439" s="40"/>
      <c r="U439" s="40"/>
      <c r="V439" s="40"/>
      <c r="W439" s="40"/>
      <c r="X439" s="67" t="str">
        <f t="shared" si="49"/>
        <v/>
      </c>
      <c r="Z439" s="71"/>
      <c r="AA439" s="71"/>
      <c r="AB439" s="67" t="str">
        <f t="shared" si="48"/>
        <v/>
      </c>
    </row>
    <row r="440" spans="1:28" x14ac:dyDescent="0.25">
      <c r="A440" s="59"/>
      <c r="B440" s="7"/>
      <c r="C440" s="59"/>
      <c r="D440" s="10"/>
      <c r="E440" s="40"/>
      <c r="F440" s="40"/>
      <c r="G440" s="40"/>
      <c r="H440" s="3" t="str">
        <f t="shared" si="44"/>
        <v/>
      </c>
      <c r="I440" s="3" t="str">
        <f t="shared" si="45"/>
        <v/>
      </c>
      <c r="J440" s="3" t="str">
        <f t="shared" si="46"/>
        <v/>
      </c>
      <c r="K440" s="3"/>
      <c r="L440" s="60" t="str">
        <f t="shared" si="47"/>
        <v/>
      </c>
      <c r="M440" s="40"/>
      <c r="N440" s="40"/>
      <c r="O440" s="40"/>
      <c r="P440" s="40"/>
      <c r="Q440" s="40"/>
      <c r="R440" s="40"/>
      <c r="S440" s="61" t="str">
        <f t="shared" si="50"/>
        <v/>
      </c>
      <c r="T440" s="40"/>
      <c r="U440" s="40"/>
      <c r="V440" s="40"/>
      <c r="W440" s="40"/>
      <c r="X440" s="67" t="str">
        <f t="shared" si="49"/>
        <v/>
      </c>
      <c r="Z440" s="71"/>
      <c r="AA440" s="71"/>
      <c r="AB440" s="67" t="str">
        <f t="shared" si="48"/>
        <v/>
      </c>
    </row>
    <row r="441" spans="1:28" x14ac:dyDescent="0.25">
      <c r="A441" s="59"/>
      <c r="B441" s="7"/>
      <c r="C441" s="59"/>
      <c r="D441" s="10"/>
      <c r="E441" s="40"/>
      <c r="F441" s="40"/>
      <c r="G441" s="40"/>
      <c r="H441" s="3" t="str">
        <f t="shared" si="44"/>
        <v/>
      </c>
      <c r="I441" s="3" t="str">
        <f t="shared" si="45"/>
        <v/>
      </c>
      <c r="J441" s="3" t="str">
        <f t="shared" si="46"/>
        <v/>
      </c>
      <c r="K441" s="3"/>
      <c r="L441" s="60" t="str">
        <f t="shared" si="47"/>
        <v/>
      </c>
      <c r="M441" s="40"/>
      <c r="N441" s="40"/>
      <c r="O441" s="40"/>
      <c r="P441" s="40"/>
      <c r="Q441" s="40"/>
      <c r="R441" s="40"/>
      <c r="S441" s="61" t="str">
        <f t="shared" si="50"/>
        <v/>
      </c>
      <c r="T441" s="40"/>
      <c r="U441" s="40"/>
      <c r="V441" s="40"/>
      <c r="W441" s="40"/>
      <c r="X441" s="67" t="str">
        <f t="shared" si="49"/>
        <v/>
      </c>
      <c r="Z441" s="71"/>
      <c r="AA441" s="71"/>
      <c r="AB441" s="67" t="str">
        <f t="shared" si="48"/>
        <v/>
      </c>
    </row>
    <row r="442" spans="1:28" x14ac:dyDescent="0.25">
      <c r="A442" s="59"/>
      <c r="B442" s="7"/>
      <c r="C442" s="59"/>
      <c r="D442" s="10"/>
      <c r="E442" s="40"/>
      <c r="F442" s="40"/>
      <c r="G442" s="40"/>
      <c r="H442" s="3" t="str">
        <f t="shared" si="44"/>
        <v/>
      </c>
      <c r="I442" s="3" t="str">
        <f t="shared" si="45"/>
        <v/>
      </c>
      <c r="J442" s="3" t="str">
        <f t="shared" si="46"/>
        <v/>
      </c>
      <c r="K442" s="3"/>
      <c r="L442" s="60" t="str">
        <f t="shared" si="47"/>
        <v/>
      </c>
      <c r="M442" s="40"/>
      <c r="N442" s="40"/>
      <c r="O442" s="40"/>
      <c r="P442" s="40"/>
      <c r="Q442" s="40"/>
      <c r="R442" s="40"/>
      <c r="S442" s="61" t="str">
        <f t="shared" si="50"/>
        <v/>
      </c>
      <c r="T442" s="40"/>
      <c r="U442" s="40"/>
      <c r="V442" s="40"/>
      <c r="W442" s="40"/>
      <c r="X442" s="67" t="str">
        <f t="shared" si="49"/>
        <v/>
      </c>
      <c r="Z442" s="71"/>
      <c r="AA442" s="71"/>
      <c r="AB442" s="67" t="str">
        <f t="shared" si="48"/>
        <v/>
      </c>
    </row>
    <row r="443" spans="1:28" x14ac:dyDescent="0.25">
      <c r="A443" s="59"/>
      <c r="B443" s="7"/>
      <c r="C443" s="59"/>
      <c r="D443" s="10"/>
      <c r="E443" s="40"/>
      <c r="F443" s="40"/>
      <c r="G443" s="40"/>
      <c r="H443" s="3" t="str">
        <f t="shared" si="44"/>
        <v/>
      </c>
      <c r="I443" s="3" t="str">
        <f t="shared" si="45"/>
        <v/>
      </c>
      <c r="J443" s="3" t="str">
        <f t="shared" si="46"/>
        <v/>
      </c>
      <c r="K443" s="3"/>
      <c r="L443" s="60" t="str">
        <f t="shared" si="47"/>
        <v/>
      </c>
      <c r="M443" s="40"/>
      <c r="N443" s="40"/>
      <c r="O443" s="40"/>
      <c r="P443" s="40"/>
      <c r="Q443" s="40"/>
      <c r="R443" s="40"/>
      <c r="S443" s="61" t="str">
        <f t="shared" si="50"/>
        <v/>
      </c>
      <c r="T443" s="40"/>
      <c r="U443" s="40"/>
      <c r="V443" s="40"/>
      <c r="W443" s="40"/>
      <c r="X443" s="67" t="str">
        <f t="shared" si="49"/>
        <v/>
      </c>
      <c r="Z443" s="71"/>
      <c r="AA443" s="71"/>
      <c r="AB443" s="67" t="str">
        <f t="shared" si="48"/>
        <v/>
      </c>
    </row>
    <row r="444" spans="1:28" x14ac:dyDescent="0.25">
      <c r="A444" s="59"/>
      <c r="B444" s="7"/>
      <c r="C444" s="59"/>
      <c r="D444" s="10"/>
      <c r="E444" s="40"/>
      <c r="F444" s="40"/>
      <c r="G444" s="40"/>
      <c r="H444" s="3" t="str">
        <f t="shared" si="44"/>
        <v/>
      </c>
      <c r="I444" s="3" t="str">
        <f t="shared" si="45"/>
        <v/>
      </c>
      <c r="J444" s="3" t="str">
        <f t="shared" si="46"/>
        <v/>
      </c>
      <c r="K444" s="3"/>
      <c r="L444" s="60" t="str">
        <f t="shared" si="47"/>
        <v/>
      </c>
      <c r="M444" s="40"/>
      <c r="N444" s="40"/>
      <c r="O444" s="40"/>
      <c r="P444" s="40"/>
      <c r="Q444" s="40"/>
      <c r="R444" s="40"/>
      <c r="S444" s="61" t="str">
        <f t="shared" si="50"/>
        <v/>
      </c>
      <c r="T444" s="40"/>
      <c r="U444" s="40"/>
      <c r="V444" s="40"/>
      <c r="W444" s="40"/>
      <c r="X444" s="67" t="str">
        <f t="shared" si="49"/>
        <v/>
      </c>
      <c r="Z444" s="71"/>
      <c r="AA444" s="71"/>
      <c r="AB444" s="67" t="str">
        <f t="shared" si="48"/>
        <v/>
      </c>
    </row>
    <row r="445" spans="1:28" x14ac:dyDescent="0.25">
      <c r="A445" s="59"/>
      <c r="B445" s="7"/>
      <c r="C445" s="59"/>
      <c r="D445" s="10"/>
      <c r="E445" s="40"/>
      <c r="F445" s="40"/>
      <c r="G445" s="40"/>
      <c r="H445" s="3" t="str">
        <f t="shared" si="44"/>
        <v/>
      </c>
      <c r="I445" s="3" t="str">
        <f t="shared" si="45"/>
        <v/>
      </c>
      <c r="J445" s="3" t="str">
        <f t="shared" si="46"/>
        <v/>
      </c>
      <c r="K445" s="3"/>
      <c r="L445" s="60" t="str">
        <f t="shared" si="47"/>
        <v/>
      </c>
      <c r="M445" s="40"/>
      <c r="N445" s="40"/>
      <c r="O445" s="40"/>
      <c r="P445" s="40"/>
      <c r="Q445" s="40"/>
      <c r="R445" s="40"/>
      <c r="S445" s="61" t="str">
        <f t="shared" si="50"/>
        <v/>
      </c>
      <c r="T445" s="40"/>
      <c r="U445" s="40"/>
      <c r="V445" s="40"/>
      <c r="W445" s="40"/>
      <c r="X445" s="67" t="str">
        <f t="shared" si="49"/>
        <v/>
      </c>
      <c r="Z445" s="71"/>
      <c r="AA445" s="71"/>
      <c r="AB445" s="67" t="str">
        <f t="shared" si="48"/>
        <v/>
      </c>
    </row>
    <row r="446" spans="1:28" x14ac:dyDescent="0.25">
      <c r="A446" s="59"/>
      <c r="B446" s="7"/>
      <c r="C446" s="59"/>
      <c r="D446" s="10"/>
      <c r="E446" s="40"/>
      <c r="F446" s="40"/>
      <c r="G446" s="40"/>
      <c r="H446" s="3" t="str">
        <f t="shared" si="44"/>
        <v/>
      </c>
      <c r="I446" s="3" t="str">
        <f t="shared" si="45"/>
        <v/>
      </c>
      <c r="J446" s="3" t="str">
        <f t="shared" si="46"/>
        <v/>
      </c>
      <c r="K446" s="3"/>
      <c r="L446" s="60" t="str">
        <f t="shared" si="47"/>
        <v/>
      </c>
      <c r="M446" s="40"/>
      <c r="N446" s="40"/>
      <c r="O446" s="40"/>
      <c r="P446" s="40"/>
      <c r="Q446" s="40"/>
      <c r="R446" s="40"/>
      <c r="S446" s="61" t="str">
        <f t="shared" si="50"/>
        <v/>
      </c>
      <c r="T446" s="40"/>
      <c r="U446" s="40"/>
      <c r="V446" s="40"/>
      <c r="W446" s="40"/>
      <c r="X446" s="67" t="str">
        <f t="shared" si="49"/>
        <v/>
      </c>
      <c r="Z446" s="71"/>
      <c r="AA446" s="71"/>
      <c r="AB446" s="67" t="str">
        <f t="shared" si="48"/>
        <v/>
      </c>
    </row>
    <row r="447" spans="1:28" x14ac:dyDescent="0.25">
      <c r="A447" s="59"/>
      <c r="B447" s="7"/>
      <c r="C447" s="59"/>
      <c r="D447" s="10"/>
      <c r="E447" s="40"/>
      <c r="F447" s="40"/>
      <c r="G447" s="40"/>
      <c r="H447" s="3" t="str">
        <f t="shared" si="44"/>
        <v/>
      </c>
      <c r="I447" s="3" t="str">
        <f t="shared" si="45"/>
        <v/>
      </c>
      <c r="J447" s="3" t="str">
        <f t="shared" si="46"/>
        <v/>
      </c>
      <c r="K447" s="3"/>
      <c r="L447" s="60" t="str">
        <f t="shared" si="47"/>
        <v/>
      </c>
      <c r="M447" s="40"/>
      <c r="N447" s="40"/>
      <c r="O447" s="40"/>
      <c r="P447" s="40"/>
      <c r="Q447" s="40"/>
      <c r="R447" s="40"/>
      <c r="S447" s="61" t="str">
        <f t="shared" si="50"/>
        <v/>
      </c>
      <c r="T447" s="40"/>
      <c r="U447" s="40"/>
      <c r="V447" s="40"/>
      <c r="W447" s="40"/>
      <c r="X447" s="67" t="str">
        <f t="shared" si="49"/>
        <v/>
      </c>
      <c r="Z447" s="71"/>
      <c r="AA447" s="71"/>
      <c r="AB447" s="67" t="str">
        <f t="shared" si="48"/>
        <v/>
      </c>
    </row>
    <row r="448" spans="1:28" x14ac:dyDescent="0.25">
      <c r="A448" s="59"/>
      <c r="B448" s="7"/>
      <c r="C448" s="59"/>
      <c r="D448" s="10"/>
      <c r="E448" s="40"/>
      <c r="F448" s="40"/>
      <c r="G448" s="40"/>
      <c r="H448" s="3" t="str">
        <f t="shared" si="44"/>
        <v/>
      </c>
      <c r="I448" s="3" t="str">
        <f t="shared" si="45"/>
        <v/>
      </c>
      <c r="J448" s="3" t="str">
        <f t="shared" si="46"/>
        <v/>
      </c>
      <c r="K448" s="3"/>
      <c r="L448" s="60" t="str">
        <f t="shared" si="47"/>
        <v/>
      </c>
      <c r="M448" s="40"/>
      <c r="N448" s="40"/>
      <c r="O448" s="40"/>
      <c r="P448" s="40"/>
      <c r="Q448" s="40"/>
      <c r="R448" s="40"/>
      <c r="S448" s="61" t="str">
        <f t="shared" si="50"/>
        <v/>
      </c>
      <c r="T448" s="40"/>
      <c r="U448" s="40"/>
      <c r="V448" s="40"/>
      <c r="W448" s="40"/>
      <c r="X448" s="67" t="str">
        <f t="shared" si="49"/>
        <v/>
      </c>
      <c r="Z448" s="71"/>
      <c r="AA448" s="71"/>
      <c r="AB448" s="67" t="str">
        <f t="shared" si="48"/>
        <v/>
      </c>
    </row>
    <row r="449" spans="1:28" x14ac:dyDescent="0.25">
      <c r="A449" s="59"/>
      <c r="B449" s="7"/>
      <c r="C449" s="59"/>
      <c r="D449" s="10"/>
      <c r="E449" s="40"/>
      <c r="F449" s="40"/>
      <c r="G449" s="40"/>
      <c r="H449" s="3" t="str">
        <f t="shared" si="44"/>
        <v/>
      </c>
      <c r="I449" s="3" t="str">
        <f t="shared" si="45"/>
        <v/>
      </c>
      <c r="J449" s="3" t="str">
        <f t="shared" si="46"/>
        <v/>
      </c>
      <c r="K449" s="3"/>
      <c r="L449" s="60" t="str">
        <f t="shared" si="47"/>
        <v/>
      </c>
      <c r="M449" s="40"/>
      <c r="N449" s="40"/>
      <c r="O449" s="40"/>
      <c r="P449" s="40"/>
      <c r="Q449" s="40"/>
      <c r="R449" s="40"/>
      <c r="S449" s="61" t="str">
        <f t="shared" si="50"/>
        <v/>
      </c>
      <c r="T449" s="40"/>
      <c r="U449" s="40"/>
      <c r="V449" s="40"/>
      <c r="W449" s="40"/>
      <c r="X449" s="67" t="str">
        <f t="shared" si="49"/>
        <v/>
      </c>
      <c r="Z449" s="71"/>
      <c r="AA449" s="71"/>
      <c r="AB449" s="67" t="str">
        <f t="shared" si="48"/>
        <v/>
      </c>
    </row>
    <row r="450" spans="1:28" x14ac:dyDescent="0.25">
      <c r="A450" s="59"/>
      <c r="B450" s="7"/>
      <c r="C450" s="59"/>
      <c r="D450" s="10"/>
      <c r="E450" s="40"/>
      <c r="F450" s="40"/>
      <c r="G450" s="40"/>
      <c r="H450" s="3" t="str">
        <f t="shared" si="44"/>
        <v/>
      </c>
      <c r="I450" s="3" t="str">
        <f t="shared" si="45"/>
        <v/>
      </c>
      <c r="J450" s="3" t="str">
        <f t="shared" si="46"/>
        <v/>
      </c>
      <c r="K450" s="3"/>
      <c r="L450" s="60" t="str">
        <f t="shared" si="47"/>
        <v/>
      </c>
      <c r="M450" s="40"/>
      <c r="N450" s="40"/>
      <c r="O450" s="40"/>
      <c r="P450" s="40"/>
      <c r="Q450" s="40"/>
      <c r="R450" s="40"/>
      <c r="S450" s="61" t="str">
        <f t="shared" si="50"/>
        <v/>
      </c>
      <c r="T450" s="40"/>
      <c r="U450" s="40"/>
      <c r="V450" s="40"/>
      <c r="W450" s="40"/>
      <c r="X450" s="67" t="str">
        <f t="shared" si="49"/>
        <v/>
      </c>
      <c r="Z450" s="71"/>
      <c r="AA450" s="71"/>
      <c r="AB450" s="67" t="str">
        <f t="shared" si="48"/>
        <v/>
      </c>
    </row>
    <row r="451" spans="1:28" x14ac:dyDescent="0.25">
      <c r="A451" s="59"/>
      <c r="B451" s="7"/>
      <c r="C451" s="59"/>
      <c r="D451" s="10"/>
      <c r="E451" s="40"/>
      <c r="F451" s="40"/>
      <c r="G451" s="40"/>
      <c r="H451" s="3" t="str">
        <f t="shared" si="44"/>
        <v/>
      </c>
      <c r="I451" s="3" t="str">
        <f t="shared" si="45"/>
        <v/>
      </c>
      <c r="J451" s="3" t="str">
        <f t="shared" si="46"/>
        <v/>
      </c>
      <c r="K451" s="3"/>
      <c r="L451" s="60" t="str">
        <f t="shared" si="47"/>
        <v/>
      </c>
      <c r="M451" s="40"/>
      <c r="N451" s="40"/>
      <c r="O451" s="40"/>
      <c r="P451" s="40"/>
      <c r="Q451" s="40"/>
      <c r="R451" s="40"/>
      <c r="S451" s="61" t="str">
        <f t="shared" si="50"/>
        <v/>
      </c>
      <c r="T451" s="40"/>
      <c r="U451" s="40"/>
      <c r="V451" s="40"/>
      <c r="W451" s="40"/>
      <c r="X451" s="67" t="str">
        <f t="shared" si="49"/>
        <v/>
      </c>
      <c r="Z451" s="71"/>
      <c r="AA451" s="71"/>
      <c r="AB451" s="67" t="str">
        <f t="shared" si="48"/>
        <v/>
      </c>
    </row>
    <row r="452" spans="1:28" x14ac:dyDescent="0.25">
      <c r="A452" s="59"/>
      <c r="B452" s="7"/>
      <c r="C452" s="59"/>
      <c r="D452" s="10"/>
      <c r="E452" s="40"/>
      <c r="F452" s="40"/>
      <c r="G452" s="40"/>
      <c r="H452" s="3" t="str">
        <f t="shared" si="44"/>
        <v/>
      </c>
      <c r="I452" s="3" t="str">
        <f t="shared" si="45"/>
        <v/>
      </c>
      <c r="J452" s="3" t="str">
        <f t="shared" si="46"/>
        <v/>
      </c>
      <c r="K452" s="3"/>
      <c r="L452" s="60" t="str">
        <f t="shared" si="47"/>
        <v/>
      </c>
      <c r="M452" s="40"/>
      <c r="N452" s="40"/>
      <c r="O452" s="40"/>
      <c r="P452" s="40"/>
      <c r="Q452" s="40"/>
      <c r="R452" s="40"/>
      <c r="S452" s="61" t="str">
        <f t="shared" si="50"/>
        <v/>
      </c>
      <c r="T452" s="40"/>
      <c r="U452" s="40"/>
      <c r="V452" s="40"/>
      <c r="W452" s="40"/>
      <c r="X452" s="67" t="str">
        <f t="shared" si="49"/>
        <v/>
      </c>
      <c r="Z452" s="71"/>
      <c r="AA452" s="71"/>
      <c r="AB452" s="67" t="str">
        <f t="shared" si="48"/>
        <v/>
      </c>
    </row>
    <row r="453" spans="1:28" x14ac:dyDescent="0.25">
      <c r="A453" s="59"/>
      <c r="B453" s="7"/>
      <c r="C453" s="59"/>
      <c r="D453" s="10"/>
      <c r="E453" s="40"/>
      <c r="F453" s="40"/>
      <c r="G453" s="40"/>
      <c r="H453" s="3" t="str">
        <f t="shared" ref="H453:H516" si="51">+IF(E453="","",(E453/24)*C453)</f>
        <v/>
      </c>
      <c r="I453" s="3" t="str">
        <f t="shared" ref="I453:I516" si="52">+IF(F453="","",(F453/24)*C453)</f>
        <v/>
      </c>
      <c r="J453" s="3" t="str">
        <f t="shared" ref="J453:J516" si="53">+IF(G453="","",(G453/24)*C453)</f>
        <v/>
      </c>
      <c r="K453" s="3"/>
      <c r="L453" s="60" t="str">
        <f t="shared" ref="L453:L497" si="54">+IF(C453="","",L452-(H453+I453+J453))</f>
        <v/>
      </c>
      <c r="M453" s="40"/>
      <c r="N453" s="40"/>
      <c r="O453" s="40"/>
      <c r="P453" s="40"/>
      <c r="Q453" s="40"/>
      <c r="R453" s="40"/>
      <c r="S453" s="61" t="str">
        <f t="shared" si="50"/>
        <v/>
      </c>
      <c r="T453" s="40"/>
      <c r="U453" s="40"/>
      <c r="V453" s="40"/>
      <c r="W453" s="40"/>
      <c r="X453" s="67" t="str">
        <f t="shared" si="49"/>
        <v/>
      </c>
      <c r="Z453" s="71"/>
      <c r="AA453" s="71"/>
      <c r="AB453" s="67" t="str">
        <f t="shared" ref="AB453:AB516" si="55">IF(Z453="","",Z453+AA453)</f>
        <v/>
      </c>
    </row>
    <row r="454" spans="1:28" x14ac:dyDescent="0.25">
      <c r="A454" s="59"/>
      <c r="B454" s="7"/>
      <c r="C454" s="59"/>
      <c r="D454" s="10"/>
      <c r="E454" s="40"/>
      <c r="F454" s="40"/>
      <c r="G454" s="40"/>
      <c r="H454" s="3" t="str">
        <f t="shared" si="51"/>
        <v/>
      </c>
      <c r="I454" s="3" t="str">
        <f t="shared" si="52"/>
        <v/>
      </c>
      <c r="J454" s="3" t="str">
        <f t="shared" si="53"/>
        <v/>
      </c>
      <c r="K454" s="3"/>
      <c r="L454" s="60" t="str">
        <f t="shared" si="54"/>
        <v/>
      </c>
      <c r="M454" s="40"/>
      <c r="N454" s="40"/>
      <c r="O454" s="40"/>
      <c r="P454" s="40"/>
      <c r="Q454" s="40"/>
      <c r="R454" s="40"/>
      <c r="S454" s="61" t="str">
        <f t="shared" si="50"/>
        <v/>
      </c>
      <c r="T454" s="40"/>
      <c r="U454" s="40"/>
      <c r="V454" s="40"/>
      <c r="W454" s="40"/>
      <c r="X454" s="67" t="str">
        <f t="shared" si="49"/>
        <v/>
      </c>
      <c r="Z454" s="71"/>
      <c r="AA454" s="71"/>
      <c r="AB454" s="67" t="str">
        <f t="shared" si="55"/>
        <v/>
      </c>
    </row>
    <row r="455" spans="1:28" x14ac:dyDescent="0.25">
      <c r="A455" s="59"/>
      <c r="B455" s="7"/>
      <c r="C455" s="59"/>
      <c r="D455" s="10"/>
      <c r="E455" s="40"/>
      <c r="F455" s="40"/>
      <c r="G455" s="40"/>
      <c r="H455" s="3" t="str">
        <f t="shared" si="51"/>
        <v/>
      </c>
      <c r="I455" s="3" t="str">
        <f t="shared" si="52"/>
        <v/>
      </c>
      <c r="J455" s="3" t="str">
        <f t="shared" si="53"/>
        <v/>
      </c>
      <c r="K455" s="3"/>
      <c r="L455" s="60" t="str">
        <f t="shared" si="54"/>
        <v/>
      </c>
      <c r="M455" s="40"/>
      <c r="N455" s="40"/>
      <c r="O455" s="40"/>
      <c r="P455" s="40"/>
      <c r="Q455" s="40"/>
      <c r="R455" s="40"/>
      <c r="S455" s="61" t="str">
        <f t="shared" si="50"/>
        <v/>
      </c>
      <c r="T455" s="40"/>
      <c r="U455" s="40"/>
      <c r="V455" s="40"/>
      <c r="W455" s="40"/>
      <c r="X455" s="67" t="str">
        <f t="shared" si="49"/>
        <v/>
      </c>
      <c r="Z455" s="71"/>
      <c r="AA455" s="71"/>
      <c r="AB455" s="67" t="str">
        <f t="shared" si="55"/>
        <v/>
      </c>
    </row>
    <row r="456" spans="1:28" x14ac:dyDescent="0.25">
      <c r="A456" s="59"/>
      <c r="B456" s="7"/>
      <c r="C456" s="59"/>
      <c r="D456" s="10"/>
      <c r="E456" s="40"/>
      <c r="F456" s="40"/>
      <c r="G456" s="40"/>
      <c r="H456" s="3" t="str">
        <f t="shared" si="51"/>
        <v/>
      </c>
      <c r="I456" s="3" t="str">
        <f t="shared" si="52"/>
        <v/>
      </c>
      <c r="J456" s="3" t="str">
        <f t="shared" si="53"/>
        <v/>
      </c>
      <c r="K456" s="3"/>
      <c r="L456" s="60" t="str">
        <f t="shared" si="54"/>
        <v/>
      </c>
      <c r="M456" s="40"/>
      <c r="N456" s="40"/>
      <c r="O456" s="40"/>
      <c r="P456" s="40"/>
      <c r="Q456" s="40"/>
      <c r="R456" s="40"/>
      <c r="S456" s="61" t="str">
        <f t="shared" si="50"/>
        <v/>
      </c>
      <c r="T456" s="40"/>
      <c r="U456" s="40"/>
      <c r="V456" s="40"/>
      <c r="W456" s="40"/>
      <c r="X456" s="67" t="str">
        <f t="shared" ref="X456:X519" si="56">IF(V456="","",((X455+T456+U456)-(V456+W456)))</f>
        <v/>
      </c>
      <c r="Z456" s="71"/>
      <c r="AA456" s="71"/>
      <c r="AB456" s="67" t="str">
        <f t="shared" si="55"/>
        <v/>
      </c>
    </row>
    <row r="457" spans="1:28" x14ac:dyDescent="0.25">
      <c r="A457" s="59"/>
      <c r="B457" s="7"/>
      <c r="C457" s="59"/>
      <c r="D457" s="10"/>
      <c r="E457" s="40"/>
      <c r="F457" s="40"/>
      <c r="G457" s="40"/>
      <c r="H457" s="3" t="str">
        <f t="shared" si="51"/>
        <v/>
      </c>
      <c r="I457" s="3" t="str">
        <f t="shared" si="52"/>
        <v/>
      </c>
      <c r="J457" s="3" t="str">
        <f t="shared" si="53"/>
        <v/>
      </c>
      <c r="K457" s="3"/>
      <c r="L457" s="60" t="str">
        <f t="shared" si="54"/>
        <v/>
      </c>
      <c r="M457" s="40"/>
      <c r="N457" s="40"/>
      <c r="O457" s="40"/>
      <c r="P457" s="40"/>
      <c r="Q457" s="40"/>
      <c r="R457" s="40"/>
      <c r="S457" s="61" t="str">
        <f t="shared" si="50"/>
        <v/>
      </c>
      <c r="T457" s="40"/>
      <c r="U457" s="40"/>
      <c r="V457" s="40"/>
      <c r="W457" s="40"/>
      <c r="X457" s="67" t="str">
        <f t="shared" si="56"/>
        <v/>
      </c>
      <c r="Z457" s="71"/>
      <c r="AA457" s="71"/>
      <c r="AB457" s="67" t="str">
        <f t="shared" si="55"/>
        <v/>
      </c>
    </row>
    <row r="458" spans="1:28" x14ac:dyDescent="0.25">
      <c r="A458" s="59"/>
      <c r="B458" s="7"/>
      <c r="C458" s="59"/>
      <c r="D458" s="10"/>
      <c r="E458" s="40"/>
      <c r="F458" s="40"/>
      <c r="G458" s="40"/>
      <c r="H458" s="3" t="str">
        <f t="shared" si="51"/>
        <v/>
      </c>
      <c r="I458" s="3" t="str">
        <f t="shared" si="52"/>
        <v/>
      </c>
      <c r="J458" s="3" t="str">
        <f t="shared" si="53"/>
        <v/>
      </c>
      <c r="K458" s="3"/>
      <c r="L458" s="60" t="str">
        <f t="shared" si="54"/>
        <v/>
      </c>
      <c r="M458" s="40"/>
      <c r="N458" s="40"/>
      <c r="O458" s="40"/>
      <c r="P458" s="40"/>
      <c r="Q458" s="40"/>
      <c r="R458" s="40"/>
      <c r="S458" s="61" t="str">
        <f t="shared" si="50"/>
        <v/>
      </c>
      <c r="T458" s="40"/>
      <c r="U458" s="40"/>
      <c r="V458" s="40"/>
      <c r="W458" s="40"/>
      <c r="X458" s="67" t="str">
        <f t="shared" si="56"/>
        <v/>
      </c>
      <c r="Z458" s="71"/>
      <c r="AA458" s="71"/>
      <c r="AB458" s="67" t="str">
        <f t="shared" si="55"/>
        <v/>
      </c>
    </row>
    <row r="459" spans="1:28" x14ac:dyDescent="0.25">
      <c r="A459" s="59"/>
      <c r="B459" s="7"/>
      <c r="C459" s="59"/>
      <c r="D459" s="10"/>
      <c r="E459" s="40"/>
      <c r="F459" s="40"/>
      <c r="G459" s="40"/>
      <c r="H459" s="3" t="str">
        <f t="shared" si="51"/>
        <v/>
      </c>
      <c r="I459" s="3" t="str">
        <f t="shared" si="52"/>
        <v/>
      </c>
      <c r="J459" s="3" t="str">
        <f t="shared" si="53"/>
        <v/>
      </c>
      <c r="K459" s="3"/>
      <c r="L459" s="60" t="str">
        <f t="shared" si="54"/>
        <v/>
      </c>
      <c r="M459" s="40"/>
      <c r="N459" s="40"/>
      <c r="O459" s="40"/>
      <c r="P459" s="40"/>
      <c r="Q459" s="40"/>
      <c r="R459" s="40"/>
      <c r="S459" s="61" t="str">
        <f t="shared" si="50"/>
        <v/>
      </c>
      <c r="T459" s="40"/>
      <c r="U459" s="40"/>
      <c r="V459" s="40"/>
      <c r="W459" s="40"/>
      <c r="X459" s="67" t="str">
        <f t="shared" si="56"/>
        <v/>
      </c>
      <c r="Z459" s="71"/>
      <c r="AA459" s="71"/>
      <c r="AB459" s="67" t="str">
        <f t="shared" si="55"/>
        <v/>
      </c>
    </row>
    <row r="460" spans="1:28" x14ac:dyDescent="0.25">
      <c r="A460" s="59"/>
      <c r="B460" s="7"/>
      <c r="C460" s="59"/>
      <c r="D460" s="10"/>
      <c r="E460" s="40"/>
      <c r="F460" s="40"/>
      <c r="G460" s="40"/>
      <c r="H460" s="3" t="str">
        <f t="shared" si="51"/>
        <v/>
      </c>
      <c r="I460" s="3" t="str">
        <f t="shared" si="52"/>
        <v/>
      </c>
      <c r="J460" s="3" t="str">
        <f t="shared" si="53"/>
        <v/>
      </c>
      <c r="K460" s="3"/>
      <c r="L460" s="60" t="str">
        <f t="shared" si="54"/>
        <v/>
      </c>
      <c r="M460" s="40"/>
      <c r="N460" s="40"/>
      <c r="O460" s="40"/>
      <c r="P460" s="40"/>
      <c r="Q460" s="40"/>
      <c r="R460" s="40"/>
      <c r="S460" s="61" t="str">
        <f t="shared" si="50"/>
        <v/>
      </c>
      <c r="T460" s="40"/>
      <c r="U460" s="40"/>
      <c r="V460" s="40"/>
      <c r="W460" s="40"/>
      <c r="X460" s="67" t="str">
        <f t="shared" si="56"/>
        <v/>
      </c>
      <c r="Z460" s="71"/>
      <c r="AA460" s="71"/>
      <c r="AB460" s="67" t="str">
        <f t="shared" si="55"/>
        <v/>
      </c>
    </row>
    <row r="461" spans="1:28" x14ac:dyDescent="0.25">
      <c r="A461" s="59"/>
      <c r="B461" s="7"/>
      <c r="C461" s="59"/>
      <c r="D461" s="10"/>
      <c r="E461" s="40"/>
      <c r="F461" s="40"/>
      <c r="G461" s="40"/>
      <c r="H461" s="3" t="str">
        <f t="shared" si="51"/>
        <v/>
      </c>
      <c r="I461" s="3" t="str">
        <f t="shared" si="52"/>
        <v/>
      </c>
      <c r="J461" s="3" t="str">
        <f t="shared" si="53"/>
        <v/>
      </c>
      <c r="K461" s="3"/>
      <c r="L461" s="60" t="str">
        <f t="shared" si="54"/>
        <v/>
      </c>
      <c r="M461" s="40"/>
      <c r="N461" s="40"/>
      <c r="O461" s="40"/>
      <c r="P461" s="40"/>
      <c r="Q461" s="40"/>
      <c r="R461" s="40"/>
      <c r="S461" s="61" t="str">
        <f t="shared" si="50"/>
        <v/>
      </c>
      <c r="T461" s="40"/>
      <c r="U461" s="40"/>
      <c r="V461" s="40"/>
      <c r="W461" s="40"/>
      <c r="X461" s="67" t="str">
        <f t="shared" si="56"/>
        <v/>
      </c>
      <c r="Z461" s="71"/>
      <c r="AA461" s="71"/>
      <c r="AB461" s="67" t="str">
        <f t="shared" si="55"/>
        <v/>
      </c>
    </row>
    <row r="462" spans="1:28" x14ac:dyDescent="0.25">
      <c r="A462" s="59"/>
      <c r="B462" s="7"/>
      <c r="C462" s="59"/>
      <c r="D462" s="10"/>
      <c r="E462" s="40"/>
      <c r="F462" s="40"/>
      <c r="G462" s="40"/>
      <c r="H462" s="3" t="str">
        <f t="shared" si="51"/>
        <v/>
      </c>
      <c r="I462" s="3" t="str">
        <f t="shared" si="52"/>
        <v/>
      </c>
      <c r="J462" s="3" t="str">
        <f t="shared" si="53"/>
        <v/>
      </c>
      <c r="K462" s="3"/>
      <c r="L462" s="60" t="str">
        <f t="shared" si="54"/>
        <v/>
      </c>
      <c r="M462" s="40"/>
      <c r="N462" s="40"/>
      <c r="O462" s="40"/>
      <c r="P462" s="40"/>
      <c r="Q462" s="40"/>
      <c r="R462" s="40"/>
      <c r="S462" s="61" t="str">
        <f t="shared" si="50"/>
        <v/>
      </c>
      <c r="T462" s="40"/>
      <c r="U462" s="40"/>
      <c r="V462" s="40"/>
      <c r="W462" s="40"/>
      <c r="X462" s="67" t="str">
        <f t="shared" si="56"/>
        <v/>
      </c>
      <c r="Z462" s="71"/>
      <c r="AA462" s="71"/>
      <c r="AB462" s="67" t="str">
        <f t="shared" si="55"/>
        <v/>
      </c>
    </row>
    <row r="463" spans="1:28" x14ac:dyDescent="0.25">
      <c r="A463" s="59"/>
      <c r="B463" s="7"/>
      <c r="C463" s="59"/>
      <c r="D463" s="10"/>
      <c r="E463" s="40"/>
      <c r="F463" s="40"/>
      <c r="G463" s="40"/>
      <c r="H463" s="3" t="str">
        <f t="shared" si="51"/>
        <v/>
      </c>
      <c r="I463" s="3" t="str">
        <f t="shared" si="52"/>
        <v/>
      </c>
      <c r="J463" s="3" t="str">
        <f t="shared" si="53"/>
        <v/>
      </c>
      <c r="K463" s="3"/>
      <c r="L463" s="60" t="str">
        <f t="shared" si="54"/>
        <v/>
      </c>
      <c r="M463" s="40"/>
      <c r="N463" s="40"/>
      <c r="O463" s="40"/>
      <c r="P463" s="40"/>
      <c r="Q463" s="40"/>
      <c r="R463" s="40"/>
      <c r="S463" s="61" t="str">
        <f t="shared" si="50"/>
        <v/>
      </c>
      <c r="T463" s="40"/>
      <c r="U463" s="40"/>
      <c r="V463" s="40"/>
      <c r="W463" s="40"/>
      <c r="X463" s="67" t="str">
        <f t="shared" si="56"/>
        <v/>
      </c>
      <c r="Z463" s="71"/>
      <c r="AA463" s="71"/>
      <c r="AB463" s="67" t="str">
        <f t="shared" si="55"/>
        <v/>
      </c>
    </row>
    <row r="464" spans="1:28" x14ac:dyDescent="0.25">
      <c r="A464" s="59"/>
      <c r="B464" s="7"/>
      <c r="C464" s="59"/>
      <c r="D464" s="10"/>
      <c r="E464" s="40"/>
      <c r="F464" s="40"/>
      <c r="G464" s="40"/>
      <c r="H464" s="3" t="str">
        <f t="shared" si="51"/>
        <v/>
      </c>
      <c r="I464" s="3" t="str">
        <f t="shared" si="52"/>
        <v/>
      </c>
      <c r="J464" s="3" t="str">
        <f t="shared" si="53"/>
        <v/>
      </c>
      <c r="K464" s="3"/>
      <c r="L464" s="60" t="str">
        <f t="shared" si="54"/>
        <v/>
      </c>
      <c r="M464" s="40"/>
      <c r="N464" s="40"/>
      <c r="O464" s="40"/>
      <c r="P464" s="40"/>
      <c r="Q464" s="40"/>
      <c r="R464" s="40"/>
      <c r="S464" s="61" t="str">
        <f t="shared" si="50"/>
        <v/>
      </c>
      <c r="T464" s="40"/>
      <c r="U464" s="40"/>
      <c r="V464" s="40"/>
      <c r="W464" s="40"/>
      <c r="X464" s="67" t="str">
        <f t="shared" si="56"/>
        <v/>
      </c>
      <c r="Z464" s="71"/>
      <c r="AA464" s="71"/>
      <c r="AB464" s="67" t="str">
        <f t="shared" si="55"/>
        <v/>
      </c>
    </row>
    <row r="465" spans="1:28" x14ac:dyDescent="0.25">
      <c r="A465" s="59"/>
      <c r="B465" s="7"/>
      <c r="C465" s="59"/>
      <c r="D465" s="10"/>
      <c r="E465" s="40"/>
      <c r="F465" s="40"/>
      <c r="G465" s="40"/>
      <c r="H465" s="3" t="str">
        <f t="shared" si="51"/>
        <v/>
      </c>
      <c r="I465" s="3" t="str">
        <f t="shared" si="52"/>
        <v/>
      </c>
      <c r="J465" s="3" t="str">
        <f t="shared" si="53"/>
        <v/>
      </c>
      <c r="K465" s="3"/>
      <c r="L465" s="60" t="str">
        <f t="shared" si="54"/>
        <v/>
      </c>
      <c r="M465" s="40"/>
      <c r="N465" s="40"/>
      <c r="O465" s="40"/>
      <c r="P465" s="40"/>
      <c r="Q465" s="40"/>
      <c r="R465" s="40"/>
      <c r="S465" s="61" t="str">
        <f t="shared" si="50"/>
        <v/>
      </c>
      <c r="T465" s="40"/>
      <c r="U465" s="40"/>
      <c r="V465" s="40"/>
      <c r="W465" s="40"/>
      <c r="X465" s="67" t="str">
        <f t="shared" si="56"/>
        <v/>
      </c>
      <c r="Z465" s="71"/>
      <c r="AA465" s="71"/>
      <c r="AB465" s="67" t="str">
        <f t="shared" si="55"/>
        <v/>
      </c>
    </row>
    <row r="466" spans="1:28" x14ac:dyDescent="0.25">
      <c r="A466" s="59"/>
      <c r="B466" s="7"/>
      <c r="C466" s="59"/>
      <c r="D466" s="10"/>
      <c r="E466" s="40"/>
      <c r="F466" s="40"/>
      <c r="G466" s="40"/>
      <c r="H466" s="3" t="str">
        <f t="shared" si="51"/>
        <v/>
      </c>
      <c r="I466" s="3" t="str">
        <f t="shared" si="52"/>
        <v/>
      </c>
      <c r="J466" s="3" t="str">
        <f t="shared" si="53"/>
        <v/>
      </c>
      <c r="K466" s="3"/>
      <c r="L466" s="60" t="str">
        <f t="shared" si="54"/>
        <v/>
      </c>
      <c r="M466" s="40"/>
      <c r="N466" s="40"/>
      <c r="O466" s="40"/>
      <c r="P466" s="40"/>
      <c r="Q466" s="40"/>
      <c r="R466" s="40"/>
      <c r="S466" s="61" t="str">
        <f t="shared" si="50"/>
        <v/>
      </c>
      <c r="T466" s="40"/>
      <c r="U466" s="40"/>
      <c r="V466" s="40"/>
      <c r="W466" s="40"/>
      <c r="X466" s="67" t="str">
        <f t="shared" si="56"/>
        <v/>
      </c>
      <c r="Z466" s="71"/>
      <c r="AA466" s="71"/>
      <c r="AB466" s="67" t="str">
        <f t="shared" si="55"/>
        <v/>
      </c>
    </row>
    <row r="467" spans="1:28" x14ac:dyDescent="0.25">
      <c r="A467" s="59"/>
      <c r="B467" s="7"/>
      <c r="C467" s="59"/>
      <c r="D467" s="10"/>
      <c r="E467" s="40"/>
      <c r="F467" s="40"/>
      <c r="G467" s="40"/>
      <c r="H467" s="3" t="str">
        <f t="shared" si="51"/>
        <v/>
      </c>
      <c r="I467" s="3" t="str">
        <f t="shared" si="52"/>
        <v/>
      </c>
      <c r="J467" s="3" t="str">
        <f t="shared" si="53"/>
        <v/>
      </c>
      <c r="K467" s="3"/>
      <c r="L467" s="60" t="str">
        <f t="shared" si="54"/>
        <v/>
      </c>
      <c r="M467" s="40"/>
      <c r="N467" s="40"/>
      <c r="O467" s="40"/>
      <c r="P467" s="40"/>
      <c r="Q467" s="40"/>
      <c r="R467" s="40"/>
      <c r="S467" s="61" t="str">
        <f t="shared" si="50"/>
        <v/>
      </c>
      <c r="T467" s="40"/>
      <c r="U467" s="40"/>
      <c r="V467" s="40"/>
      <c r="W467" s="40"/>
      <c r="X467" s="67" t="str">
        <f t="shared" si="56"/>
        <v/>
      </c>
      <c r="Z467" s="71"/>
      <c r="AA467" s="71"/>
      <c r="AB467" s="67" t="str">
        <f t="shared" si="55"/>
        <v/>
      </c>
    </row>
    <row r="468" spans="1:28" x14ac:dyDescent="0.25">
      <c r="A468" s="59"/>
      <c r="B468" s="7"/>
      <c r="C468" s="59"/>
      <c r="D468" s="10"/>
      <c r="E468" s="40"/>
      <c r="F468" s="40"/>
      <c r="G468" s="40"/>
      <c r="H468" s="3" t="str">
        <f t="shared" si="51"/>
        <v/>
      </c>
      <c r="I468" s="3" t="str">
        <f t="shared" si="52"/>
        <v/>
      </c>
      <c r="J468" s="3" t="str">
        <f t="shared" si="53"/>
        <v/>
      </c>
      <c r="K468" s="3"/>
      <c r="L468" s="60" t="str">
        <f t="shared" si="54"/>
        <v/>
      </c>
      <c r="M468" s="40"/>
      <c r="N468" s="40"/>
      <c r="O468" s="40"/>
      <c r="P468" s="40"/>
      <c r="Q468" s="40"/>
      <c r="R468" s="40"/>
      <c r="S468" s="61" t="str">
        <f t="shared" si="50"/>
        <v/>
      </c>
      <c r="T468" s="40"/>
      <c r="U468" s="40"/>
      <c r="V468" s="40"/>
      <c r="W468" s="40"/>
      <c r="X468" s="67" t="str">
        <f t="shared" si="56"/>
        <v/>
      </c>
      <c r="Z468" s="71"/>
      <c r="AA468" s="71"/>
      <c r="AB468" s="67" t="str">
        <f t="shared" si="55"/>
        <v/>
      </c>
    </row>
    <row r="469" spans="1:28" x14ac:dyDescent="0.25">
      <c r="A469" s="59"/>
      <c r="B469" s="7"/>
      <c r="C469" s="59"/>
      <c r="D469" s="10"/>
      <c r="E469" s="40"/>
      <c r="F469" s="40"/>
      <c r="G469" s="40"/>
      <c r="H469" s="3" t="str">
        <f t="shared" si="51"/>
        <v/>
      </c>
      <c r="I469" s="3" t="str">
        <f t="shared" si="52"/>
        <v/>
      </c>
      <c r="J469" s="3" t="str">
        <f t="shared" si="53"/>
        <v/>
      </c>
      <c r="K469" s="3"/>
      <c r="L469" s="60" t="str">
        <f t="shared" si="54"/>
        <v/>
      </c>
      <c r="M469" s="40"/>
      <c r="N469" s="40"/>
      <c r="O469" s="40"/>
      <c r="P469" s="40"/>
      <c r="Q469" s="40"/>
      <c r="R469" s="40"/>
      <c r="S469" s="61" t="str">
        <f t="shared" si="50"/>
        <v/>
      </c>
      <c r="T469" s="40"/>
      <c r="U469" s="40"/>
      <c r="V469" s="40"/>
      <c r="W469" s="40"/>
      <c r="X469" s="67" t="str">
        <f t="shared" si="56"/>
        <v/>
      </c>
      <c r="Z469" s="71"/>
      <c r="AA469" s="71"/>
      <c r="AB469" s="67" t="str">
        <f t="shared" si="55"/>
        <v/>
      </c>
    </row>
    <row r="470" spans="1:28" x14ac:dyDescent="0.25">
      <c r="A470" s="59"/>
      <c r="B470" s="7"/>
      <c r="C470" s="59"/>
      <c r="D470" s="10"/>
      <c r="E470" s="40"/>
      <c r="F470" s="40"/>
      <c r="G470" s="40"/>
      <c r="H470" s="3" t="str">
        <f t="shared" si="51"/>
        <v/>
      </c>
      <c r="I470" s="3" t="str">
        <f t="shared" si="52"/>
        <v/>
      </c>
      <c r="J470" s="3" t="str">
        <f t="shared" si="53"/>
        <v/>
      </c>
      <c r="K470" s="3"/>
      <c r="L470" s="60" t="str">
        <f t="shared" si="54"/>
        <v/>
      </c>
      <c r="M470" s="40"/>
      <c r="N470" s="40"/>
      <c r="O470" s="40"/>
      <c r="P470" s="40"/>
      <c r="Q470" s="40"/>
      <c r="R470" s="40"/>
      <c r="S470" s="61" t="str">
        <f t="shared" si="50"/>
        <v/>
      </c>
      <c r="T470" s="40"/>
      <c r="U470" s="40"/>
      <c r="V470" s="40"/>
      <c r="W470" s="40"/>
      <c r="X470" s="67" t="str">
        <f t="shared" si="56"/>
        <v/>
      </c>
      <c r="Z470" s="71"/>
      <c r="AA470" s="71"/>
      <c r="AB470" s="67" t="str">
        <f t="shared" si="55"/>
        <v/>
      </c>
    </row>
    <row r="471" spans="1:28" x14ac:dyDescent="0.25">
      <c r="A471" s="59"/>
      <c r="B471" s="7"/>
      <c r="C471" s="59"/>
      <c r="D471" s="10"/>
      <c r="E471" s="40"/>
      <c r="F471" s="40"/>
      <c r="G471" s="40"/>
      <c r="H471" s="3" t="str">
        <f t="shared" si="51"/>
        <v/>
      </c>
      <c r="I471" s="3" t="str">
        <f t="shared" si="52"/>
        <v/>
      </c>
      <c r="J471" s="3" t="str">
        <f t="shared" si="53"/>
        <v/>
      </c>
      <c r="K471" s="3"/>
      <c r="L471" s="60" t="str">
        <f t="shared" si="54"/>
        <v/>
      </c>
      <c r="M471" s="40"/>
      <c r="N471" s="40"/>
      <c r="O471" s="40"/>
      <c r="P471" s="40"/>
      <c r="Q471" s="40"/>
      <c r="R471" s="40"/>
      <c r="S471" s="61" t="str">
        <f t="shared" si="50"/>
        <v/>
      </c>
      <c r="T471" s="40"/>
      <c r="U471" s="40"/>
      <c r="V471" s="40"/>
      <c r="W471" s="40"/>
      <c r="X471" s="67" t="str">
        <f t="shared" si="56"/>
        <v/>
      </c>
      <c r="Z471" s="71"/>
      <c r="AA471" s="71"/>
      <c r="AB471" s="67" t="str">
        <f t="shared" si="55"/>
        <v/>
      </c>
    </row>
    <row r="472" spans="1:28" x14ac:dyDescent="0.25">
      <c r="A472" s="59"/>
      <c r="B472" s="7"/>
      <c r="C472" s="59"/>
      <c r="D472" s="10"/>
      <c r="E472" s="40"/>
      <c r="F472" s="40"/>
      <c r="G472" s="40"/>
      <c r="H472" s="3" t="str">
        <f t="shared" si="51"/>
        <v/>
      </c>
      <c r="I472" s="3" t="str">
        <f t="shared" si="52"/>
        <v/>
      </c>
      <c r="J472" s="3" t="str">
        <f t="shared" si="53"/>
        <v/>
      </c>
      <c r="K472" s="3"/>
      <c r="L472" s="60" t="str">
        <f t="shared" si="54"/>
        <v/>
      </c>
      <c r="M472" s="40"/>
      <c r="N472" s="40"/>
      <c r="O472" s="40"/>
      <c r="P472" s="40"/>
      <c r="Q472" s="40"/>
      <c r="R472" s="40"/>
      <c r="S472" s="61" t="str">
        <f t="shared" si="50"/>
        <v/>
      </c>
      <c r="T472" s="40"/>
      <c r="U472" s="40"/>
      <c r="V472" s="40"/>
      <c r="W472" s="40"/>
      <c r="X472" s="67" t="str">
        <f t="shared" si="56"/>
        <v/>
      </c>
      <c r="Z472" s="71"/>
      <c r="AA472" s="71"/>
      <c r="AB472" s="67" t="str">
        <f t="shared" si="55"/>
        <v/>
      </c>
    </row>
    <row r="473" spans="1:28" x14ac:dyDescent="0.25">
      <c r="A473" s="59"/>
      <c r="B473" s="7"/>
      <c r="C473" s="59"/>
      <c r="D473" s="10"/>
      <c r="E473" s="40"/>
      <c r="F473" s="40"/>
      <c r="G473" s="40"/>
      <c r="H473" s="3" t="str">
        <f t="shared" si="51"/>
        <v/>
      </c>
      <c r="I473" s="3" t="str">
        <f t="shared" si="52"/>
        <v/>
      </c>
      <c r="J473" s="3" t="str">
        <f t="shared" si="53"/>
        <v/>
      </c>
      <c r="K473" s="3"/>
      <c r="L473" s="60" t="str">
        <f t="shared" si="54"/>
        <v/>
      </c>
      <c r="M473" s="40"/>
      <c r="N473" s="40"/>
      <c r="O473" s="40"/>
      <c r="P473" s="40"/>
      <c r="Q473" s="40"/>
      <c r="R473" s="40"/>
      <c r="S473" s="61" t="str">
        <f t="shared" si="50"/>
        <v/>
      </c>
      <c r="T473" s="40"/>
      <c r="U473" s="40"/>
      <c r="V473" s="40"/>
      <c r="W473" s="40"/>
      <c r="X473" s="67" t="str">
        <f t="shared" si="56"/>
        <v/>
      </c>
      <c r="Z473" s="71"/>
      <c r="AA473" s="71"/>
      <c r="AB473" s="67" t="str">
        <f t="shared" si="55"/>
        <v/>
      </c>
    </row>
    <row r="474" spans="1:28" x14ac:dyDescent="0.25">
      <c r="A474" s="59"/>
      <c r="B474" s="7"/>
      <c r="C474" s="59"/>
      <c r="D474" s="10"/>
      <c r="E474" s="40"/>
      <c r="F474" s="40"/>
      <c r="G474" s="40"/>
      <c r="H474" s="3" t="str">
        <f t="shared" si="51"/>
        <v/>
      </c>
      <c r="I474" s="3" t="str">
        <f t="shared" si="52"/>
        <v/>
      </c>
      <c r="J474" s="3" t="str">
        <f t="shared" si="53"/>
        <v/>
      </c>
      <c r="K474" s="3"/>
      <c r="L474" s="60" t="str">
        <f t="shared" si="54"/>
        <v/>
      </c>
      <c r="M474" s="40"/>
      <c r="N474" s="40"/>
      <c r="O474" s="40"/>
      <c r="P474" s="40"/>
      <c r="Q474" s="40"/>
      <c r="R474" s="40"/>
      <c r="S474" s="61" t="str">
        <f t="shared" si="50"/>
        <v/>
      </c>
      <c r="T474" s="40"/>
      <c r="U474" s="40"/>
      <c r="V474" s="40"/>
      <c r="W474" s="40"/>
      <c r="X474" s="67" t="str">
        <f t="shared" si="56"/>
        <v/>
      </c>
      <c r="Z474" s="71"/>
      <c r="AA474" s="71"/>
      <c r="AB474" s="67" t="str">
        <f t="shared" si="55"/>
        <v/>
      </c>
    </row>
    <row r="475" spans="1:28" x14ac:dyDescent="0.25">
      <c r="A475" s="59"/>
      <c r="B475" s="7"/>
      <c r="C475" s="59"/>
      <c r="D475" s="10"/>
      <c r="E475" s="40"/>
      <c r="F475" s="40"/>
      <c r="G475" s="40"/>
      <c r="H475" s="3" t="str">
        <f t="shared" si="51"/>
        <v/>
      </c>
      <c r="I475" s="3" t="str">
        <f t="shared" si="52"/>
        <v/>
      </c>
      <c r="J475" s="3" t="str">
        <f t="shared" si="53"/>
        <v/>
      </c>
      <c r="K475" s="3"/>
      <c r="L475" s="60" t="str">
        <f t="shared" si="54"/>
        <v/>
      </c>
      <c r="M475" s="40"/>
      <c r="N475" s="40"/>
      <c r="O475" s="40"/>
      <c r="P475" s="40"/>
      <c r="Q475" s="40"/>
      <c r="R475" s="40"/>
      <c r="S475" s="61" t="str">
        <f t="shared" si="50"/>
        <v/>
      </c>
      <c r="T475" s="40"/>
      <c r="U475" s="40"/>
      <c r="V475" s="40"/>
      <c r="W475" s="40"/>
      <c r="X475" s="67" t="str">
        <f t="shared" si="56"/>
        <v/>
      </c>
      <c r="Z475" s="71"/>
      <c r="AA475" s="71"/>
      <c r="AB475" s="67" t="str">
        <f t="shared" si="55"/>
        <v/>
      </c>
    </row>
    <row r="476" spans="1:28" x14ac:dyDescent="0.25">
      <c r="A476" s="59"/>
      <c r="B476" s="7"/>
      <c r="C476" s="59"/>
      <c r="D476" s="10"/>
      <c r="E476" s="40"/>
      <c r="F476" s="40"/>
      <c r="G476" s="40"/>
      <c r="H476" s="3" t="str">
        <f t="shared" si="51"/>
        <v/>
      </c>
      <c r="I476" s="3" t="str">
        <f t="shared" si="52"/>
        <v/>
      </c>
      <c r="J476" s="3" t="str">
        <f t="shared" si="53"/>
        <v/>
      </c>
      <c r="K476" s="3"/>
      <c r="L476" s="60" t="str">
        <f t="shared" si="54"/>
        <v/>
      </c>
      <c r="M476" s="40"/>
      <c r="N476" s="40"/>
      <c r="O476" s="40"/>
      <c r="P476" s="40"/>
      <c r="Q476" s="40"/>
      <c r="R476" s="40"/>
      <c r="S476" s="61" t="str">
        <f t="shared" si="50"/>
        <v/>
      </c>
      <c r="T476" s="40"/>
      <c r="U476" s="40"/>
      <c r="V476" s="40"/>
      <c r="W476" s="40"/>
      <c r="X476" s="67" t="str">
        <f t="shared" si="56"/>
        <v/>
      </c>
      <c r="Z476" s="71"/>
      <c r="AA476" s="71"/>
      <c r="AB476" s="67" t="str">
        <f t="shared" si="55"/>
        <v/>
      </c>
    </row>
    <row r="477" spans="1:28" x14ac:dyDescent="0.25">
      <c r="A477" s="59"/>
      <c r="B477" s="7"/>
      <c r="C477" s="59"/>
      <c r="D477" s="10"/>
      <c r="E477" s="40"/>
      <c r="F477" s="40"/>
      <c r="G477" s="40"/>
      <c r="H477" s="3" t="str">
        <f t="shared" si="51"/>
        <v/>
      </c>
      <c r="I477" s="3" t="str">
        <f t="shared" si="52"/>
        <v/>
      </c>
      <c r="J477" s="3" t="str">
        <f t="shared" si="53"/>
        <v/>
      </c>
      <c r="K477" s="3"/>
      <c r="L477" s="60" t="str">
        <f t="shared" si="54"/>
        <v/>
      </c>
      <c r="M477" s="40"/>
      <c r="N477" s="40"/>
      <c r="O477" s="40"/>
      <c r="P477" s="40"/>
      <c r="Q477" s="40"/>
      <c r="R477" s="40"/>
      <c r="S477" s="61" t="str">
        <f t="shared" si="50"/>
        <v/>
      </c>
      <c r="T477" s="40"/>
      <c r="U477" s="40"/>
      <c r="V477" s="40"/>
      <c r="W477" s="40"/>
      <c r="X477" s="67" t="str">
        <f t="shared" si="56"/>
        <v/>
      </c>
      <c r="Z477" s="71"/>
      <c r="AA477" s="71"/>
      <c r="AB477" s="67" t="str">
        <f t="shared" si="55"/>
        <v/>
      </c>
    </row>
    <row r="478" spans="1:28" x14ac:dyDescent="0.25">
      <c r="A478" s="59"/>
      <c r="B478" s="7"/>
      <c r="C478" s="59"/>
      <c r="D478" s="10"/>
      <c r="E478" s="40"/>
      <c r="F478" s="40"/>
      <c r="G478" s="40"/>
      <c r="H478" s="3" t="str">
        <f t="shared" si="51"/>
        <v/>
      </c>
      <c r="I478" s="3" t="str">
        <f t="shared" si="52"/>
        <v/>
      </c>
      <c r="J478" s="3" t="str">
        <f t="shared" si="53"/>
        <v/>
      </c>
      <c r="K478" s="3"/>
      <c r="L478" s="60" t="str">
        <f t="shared" si="54"/>
        <v/>
      </c>
      <c r="M478" s="40"/>
      <c r="N478" s="40"/>
      <c r="O478" s="40"/>
      <c r="P478" s="40"/>
      <c r="Q478" s="40"/>
      <c r="R478" s="40"/>
      <c r="S478" s="61" t="str">
        <f t="shared" si="50"/>
        <v/>
      </c>
      <c r="T478" s="40"/>
      <c r="U478" s="40"/>
      <c r="V478" s="40"/>
      <c r="W478" s="40"/>
      <c r="X478" s="67" t="str">
        <f t="shared" si="56"/>
        <v/>
      </c>
      <c r="Z478" s="71"/>
      <c r="AA478" s="71"/>
      <c r="AB478" s="67" t="str">
        <f t="shared" si="55"/>
        <v/>
      </c>
    </row>
    <row r="479" spans="1:28" x14ac:dyDescent="0.25">
      <c r="A479" s="59"/>
      <c r="B479" s="7"/>
      <c r="C479" s="59"/>
      <c r="D479" s="10"/>
      <c r="E479" s="40"/>
      <c r="F479" s="40"/>
      <c r="G479" s="40"/>
      <c r="H479" s="3" t="str">
        <f t="shared" si="51"/>
        <v/>
      </c>
      <c r="I479" s="3" t="str">
        <f t="shared" si="52"/>
        <v/>
      </c>
      <c r="J479" s="3" t="str">
        <f t="shared" si="53"/>
        <v/>
      </c>
      <c r="K479" s="3"/>
      <c r="L479" s="60" t="str">
        <f t="shared" si="54"/>
        <v/>
      </c>
      <c r="M479" s="40"/>
      <c r="N479" s="40"/>
      <c r="O479" s="40"/>
      <c r="P479" s="40"/>
      <c r="Q479" s="40"/>
      <c r="R479" s="40"/>
      <c r="S479" s="61" t="str">
        <f t="shared" si="50"/>
        <v/>
      </c>
      <c r="T479" s="40"/>
      <c r="U479" s="40"/>
      <c r="V479" s="40"/>
      <c r="W479" s="40"/>
      <c r="X479" s="67" t="str">
        <f t="shared" si="56"/>
        <v/>
      </c>
      <c r="Z479" s="71"/>
      <c r="AA479" s="71"/>
      <c r="AB479" s="67" t="str">
        <f t="shared" si="55"/>
        <v/>
      </c>
    </row>
    <row r="480" spans="1:28" x14ac:dyDescent="0.25">
      <c r="A480" s="59"/>
      <c r="B480" s="7"/>
      <c r="C480" s="59"/>
      <c r="D480" s="10"/>
      <c r="E480" s="40"/>
      <c r="F480" s="40"/>
      <c r="G480" s="40"/>
      <c r="H480" s="3" t="str">
        <f t="shared" si="51"/>
        <v/>
      </c>
      <c r="I480" s="3" t="str">
        <f t="shared" si="52"/>
        <v/>
      </c>
      <c r="J480" s="3" t="str">
        <f t="shared" si="53"/>
        <v/>
      </c>
      <c r="K480" s="3"/>
      <c r="L480" s="60" t="str">
        <f t="shared" si="54"/>
        <v/>
      </c>
      <c r="M480" s="40"/>
      <c r="N480" s="40"/>
      <c r="O480" s="40"/>
      <c r="P480" s="40"/>
      <c r="Q480" s="40"/>
      <c r="R480" s="40"/>
      <c r="S480" s="61" t="str">
        <f t="shared" si="50"/>
        <v/>
      </c>
      <c r="T480" s="40"/>
      <c r="U480" s="40"/>
      <c r="V480" s="40"/>
      <c r="W480" s="40"/>
      <c r="X480" s="67" t="str">
        <f t="shared" si="56"/>
        <v/>
      </c>
      <c r="Z480" s="71"/>
      <c r="AA480" s="71"/>
      <c r="AB480" s="67" t="str">
        <f t="shared" si="55"/>
        <v/>
      </c>
    </row>
    <row r="481" spans="1:28" x14ac:dyDescent="0.25">
      <c r="A481" s="59"/>
      <c r="B481" s="7"/>
      <c r="C481" s="59"/>
      <c r="D481" s="10"/>
      <c r="E481" s="40"/>
      <c r="F481" s="40"/>
      <c r="G481" s="40"/>
      <c r="H481" s="3" t="str">
        <f t="shared" si="51"/>
        <v/>
      </c>
      <c r="I481" s="3" t="str">
        <f t="shared" si="52"/>
        <v/>
      </c>
      <c r="J481" s="3" t="str">
        <f t="shared" si="53"/>
        <v/>
      </c>
      <c r="K481" s="3"/>
      <c r="L481" s="60" t="str">
        <f t="shared" si="54"/>
        <v/>
      </c>
      <c r="M481" s="40"/>
      <c r="N481" s="40"/>
      <c r="O481" s="40"/>
      <c r="P481" s="40"/>
      <c r="Q481" s="40"/>
      <c r="R481" s="40"/>
      <c r="S481" s="61" t="str">
        <f t="shared" si="50"/>
        <v/>
      </c>
      <c r="T481" s="40"/>
      <c r="U481" s="40"/>
      <c r="V481" s="40"/>
      <c r="W481" s="40"/>
      <c r="X481" s="67" t="str">
        <f t="shared" si="56"/>
        <v/>
      </c>
      <c r="Z481" s="71"/>
      <c r="AA481" s="71"/>
      <c r="AB481" s="67" t="str">
        <f t="shared" si="55"/>
        <v/>
      </c>
    </row>
    <row r="482" spans="1:28" x14ac:dyDescent="0.25">
      <c r="A482" s="59"/>
      <c r="B482" s="7"/>
      <c r="C482" s="59"/>
      <c r="D482" s="10"/>
      <c r="E482" s="40"/>
      <c r="F482" s="40"/>
      <c r="G482" s="40"/>
      <c r="H482" s="3" t="str">
        <f t="shared" si="51"/>
        <v/>
      </c>
      <c r="I482" s="3" t="str">
        <f t="shared" si="52"/>
        <v/>
      </c>
      <c r="J482" s="3" t="str">
        <f t="shared" si="53"/>
        <v/>
      </c>
      <c r="K482" s="3"/>
      <c r="L482" s="60" t="str">
        <f t="shared" si="54"/>
        <v/>
      </c>
      <c r="M482" s="40"/>
      <c r="N482" s="40"/>
      <c r="O482" s="40"/>
      <c r="P482" s="40"/>
      <c r="Q482" s="40"/>
      <c r="R482" s="40"/>
      <c r="S482" s="61" t="str">
        <f t="shared" si="50"/>
        <v/>
      </c>
      <c r="T482" s="40"/>
      <c r="U482" s="40"/>
      <c r="V482" s="40"/>
      <c r="W482" s="40"/>
      <c r="X482" s="67" t="str">
        <f t="shared" si="56"/>
        <v/>
      </c>
      <c r="Z482" s="71"/>
      <c r="AA482" s="71"/>
      <c r="AB482" s="67" t="str">
        <f t="shared" si="55"/>
        <v/>
      </c>
    </row>
    <row r="483" spans="1:28" x14ac:dyDescent="0.25">
      <c r="A483" s="59"/>
      <c r="B483" s="7"/>
      <c r="C483" s="59"/>
      <c r="D483" s="10"/>
      <c r="E483" s="40"/>
      <c r="F483" s="40"/>
      <c r="G483" s="40"/>
      <c r="H483" s="3" t="str">
        <f t="shared" si="51"/>
        <v/>
      </c>
      <c r="I483" s="3" t="str">
        <f t="shared" si="52"/>
        <v/>
      </c>
      <c r="J483" s="3" t="str">
        <f t="shared" si="53"/>
        <v/>
      </c>
      <c r="K483" s="3"/>
      <c r="L483" s="60" t="str">
        <f t="shared" si="54"/>
        <v/>
      </c>
      <c r="M483" s="40"/>
      <c r="N483" s="40"/>
      <c r="O483" s="40"/>
      <c r="P483" s="40"/>
      <c r="Q483" s="40"/>
      <c r="R483" s="40"/>
      <c r="S483" s="61" t="str">
        <f t="shared" si="50"/>
        <v/>
      </c>
      <c r="T483" s="40"/>
      <c r="U483" s="40"/>
      <c r="V483" s="40"/>
      <c r="W483" s="40"/>
      <c r="X483" s="67" t="str">
        <f t="shared" si="56"/>
        <v/>
      </c>
      <c r="Z483" s="71"/>
      <c r="AA483" s="71"/>
      <c r="AB483" s="67" t="str">
        <f t="shared" si="55"/>
        <v/>
      </c>
    </row>
    <row r="484" spans="1:28" x14ac:dyDescent="0.25">
      <c r="A484" s="59"/>
      <c r="B484" s="7"/>
      <c r="C484" s="59"/>
      <c r="D484" s="10"/>
      <c r="E484" s="40"/>
      <c r="F484" s="40"/>
      <c r="G484" s="40"/>
      <c r="H484" s="3" t="str">
        <f t="shared" si="51"/>
        <v/>
      </c>
      <c r="I484" s="3" t="str">
        <f t="shared" si="52"/>
        <v/>
      </c>
      <c r="J484" s="3" t="str">
        <f t="shared" si="53"/>
        <v/>
      </c>
      <c r="K484" s="3"/>
      <c r="L484" s="60" t="str">
        <f t="shared" si="54"/>
        <v/>
      </c>
      <c r="M484" s="40"/>
      <c r="N484" s="40"/>
      <c r="O484" s="40"/>
      <c r="P484" s="40"/>
      <c r="Q484" s="40"/>
      <c r="R484" s="40"/>
      <c r="S484" s="61" t="str">
        <f t="shared" si="50"/>
        <v/>
      </c>
      <c r="T484" s="40"/>
      <c r="U484" s="40"/>
      <c r="V484" s="40"/>
      <c r="W484" s="40"/>
      <c r="X484" s="67" t="str">
        <f t="shared" si="56"/>
        <v/>
      </c>
      <c r="Z484" s="71"/>
      <c r="AA484" s="71"/>
      <c r="AB484" s="67" t="str">
        <f t="shared" si="55"/>
        <v/>
      </c>
    </row>
    <row r="485" spans="1:28" x14ac:dyDescent="0.25">
      <c r="A485" s="59"/>
      <c r="B485" s="7"/>
      <c r="C485" s="59"/>
      <c r="D485" s="10"/>
      <c r="E485" s="40"/>
      <c r="F485" s="40"/>
      <c r="G485" s="40"/>
      <c r="H485" s="3" t="str">
        <f t="shared" si="51"/>
        <v/>
      </c>
      <c r="I485" s="3" t="str">
        <f t="shared" si="52"/>
        <v/>
      </c>
      <c r="J485" s="3" t="str">
        <f t="shared" si="53"/>
        <v/>
      </c>
      <c r="K485" s="3"/>
      <c r="L485" s="60" t="str">
        <f t="shared" si="54"/>
        <v/>
      </c>
      <c r="M485" s="40"/>
      <c r="N485" s="40"/>
      <c r="O485" s="40"/>
      <c r="P485" s="40"/>
      <c r="Q485" s="40"/>
      <c r="R485" s="40"/>
      <c r="S485" s="61" t="str">
        <f t="shared" si="50"/>
        <v/>
      </c>
      <c r="T485" s="40"/>
      <c r="U485" s="40"/>
      <c r="V485" s="40"/>
      <c r="W485" s="40"/>
      <c r="X485" s="67" t="str">
        <f t="shared" si="56"/>
        <v/>
      </c>
      <c r="Z485" s="71"/>
      <c r="AA485" s="71"/>
      <c r="AB485" s="67" t="str">
        <f t="shared" si="55"/>
        <v/>
      </c>
    </row>
    <row r="486" spans="1:28" x14ac:dyDescent="0.25">
      <c r="A486" s="59"/>
      <c r="B486" s="7"/>
      <c r="C486" s="59"/>
      <c r="D486" s="10"/>
      <c r="E486" s="40"/>
      <c r="F486" s="40"/>
      <c r="G486" s="40"/>
      <c r="H486" s="3" t="str">
        <f t="shared" si="51"/>
        <v/>
      </c>
      <c r="I486" s="3" t="str">
        <f t="shared" si="52"/>
        <v/>
      </c>
      <c r="J486" s="3" t="str">
        <f t="shared" si="53"/>
        <v/>
      </c>
      <c r="K486" s="3"/>
      <c r="L486" s="60" t="str">
        <f t="shared" si="54"/>
        <v/>
      </c>
      <c r="M486" s="40"/>
      <c r="N486" s="40"/>
      <c r="O486" s="40"/>
      <c r="P486" s="40"/>
      <c r="Q486" s="40"/>
      <c r="R486" s="40"/>
      <c r="S486" s="61" t="str">
        <f t="shared" si="50"/>
        <v/>
      </c>
      <c r="T486" s="40"/>
      <c r="U486" s="40"/>
      <c r="V486" s="40"/>
      <c r="W486" s="40"/>
      <c r="X486" s="67" t="str">
        <f t="shared" si="56"/>
        <v/>
      </c>
      <c r="Z486" s="71"/>
      <c r="AA486" s="71"/>
      <c r="AB486" s="67" t="str">
        <f t="shared" si="55"/>
        <v/>
      </c>
    </row>
    <row r="487" spans="1:28" x14ac:dyDescent="0.25">
      <c r="A487" s="59"/>
      <c r="B487" s="7"/>
      <c r="C487" s="59"/>
      <c r="D487" s="10"/>
      <c r="E487" s="40"/>
      <c r="F487" s="40"/>
      <c r="G487" s="40"/>
      <c r="H487" s="3" t="str">
        <f t="shared" si="51"/>
        <v/>
      </c>
      <c r="I487" s="3" t="str">
        <f t="shared" si="52"/>
        <v/>
      </c>
      <c r="J487" s="3" t="str">
        <f t="shared" si="53"/>
        <v/>
      </c>
      <c r="K487" s="3"/>
      <c r="L487" s="60" t="str">
        <f t="shared" si="54"/>
        <v/>
      </c>
      <c r="M487" s="40"/>
      <c r="N487" s="40"/>
      <c r="O487" s="40"/>
      <c r="P487" s="40"/>
      <c r="Q487" s="40"/>
      <c r="R487" s="40"/>
      <c r="S487" s="61" t="str">
        <f t="shared" si="50"/>
        <v/>
      </c>
      <c r="T487" s="40"/>
      <c r="U487" s="40"/>
      <c r="V487" s="40"/>
      <c r="W487" s="40"/>
      <c r="X487" s="67" t="str">
        <f t="shared" si="56"/>
        <v/>
      </c>
      <c r="Z487" s="71"/>
      <c r="AA487" s="71"/>
      <c r="AB487" s="67" t="str">
        <f t="shared" si="55"/>
        <v/>
      </c>
    </row>
    <row r="488" spans="1:28" x14ac:dyDescent="0.25">
      <c r="A488" s="59"/>
      <c r="B488" s="7"/>
      <c r="C488" s="59"/>
      <c r="D488" s="10"/>
      <c r="E488" s="40"/>
      <c r="F488" s="40"/>
      <c r="G488" s="40"/>
      <c r="H488" s="3" t="str">
        <f t="shared" si="51"/>
        <v/>
      </c>
      <c r="I488" s="3" t="str">
        <f t="shared" si="52"/>
        <v/>
      </c>
      <c r="J488" s="3" t="str">
        <f t="shared" si="53"/>
        <v/>
      </c>
      <c r="K488" s="3"/>
      <c r="L488" s="60" t="str">
        <f t="shared" si="54"/>
        <v/>
      </c>
      <c r="M488" s="40"/>
      <c r="N488" s="40"/>
      <c r="O488" s="40"/>
      <c r="P488" s="40"/>
      <c r="Q488" s="40"/>
      <c r="R488" s="40"/>
      <c r="S488" s="61" t="str">
        <f t="shared" si="50"/>
        <v/>
      </c>
      <c r="T488" s="40"/>
      <c r="U488" s="40"/>
      <c r="V488" s="40"/>
      <c r="W488" s="40"/>
      <c r="X488" s="67" t="str">
        <f t="shared" si="56"/>
        <v/>
      </c>
      <c r="Z488" s="71"/>
      <c r="AA488" s="71"/>
      <c r="AB488" s="67" t="str">
        <f t="shared" si="55"/>
        <v/>
      </c>
    </row>
    <row r="489" spans="1:28" x14ac:dyDescent="0.25">
      <c r="A489" s="59"/>
      <c r="B489" s="7"/>
      <c r="C489" s="59"/>
      <c r="D489" s="10"/>
      <c r="E489" s="40"/>
      <c r="F489" s="40"/>
      <c r="G489" s="40"/>
      <c r="H489" s="3" t="str">
        <f t="shared" si="51"/>
        <v/>
      </c>
      <c r="I489" s="3" t="str">
        <f t="shared" si="52"/>
        <v/>
      </c>
      <c r="J489" s="3" t="str">
        <f t="shared" si="53"/>
        <v/>
      </c>
      <c r="K489" s="3"/>
      <c r="L489" s="60" t="str">
        <f t="shared" si="54"/>
        <v/>
      </c>
      <c r="M489" s="40"/>
      <c r="N489" s="40"/>
      <c r="O489" s="40"/>
      <c r="P489" s="40"/>
      <c r="Q489" s="40"/>
      <c r="R489" s="40"/>
      <c r="S489" s="61" t="str">
        <f t="shared" ref="S489:S552" si="57">IF(C489="","",(S488+R489)-(M489+N489+O489+P489+Q489))</f>
        <v/>
      </c>
      <c r="T489" s="40"/>
      <c r="U489" s="40"/>
      <c r="V489" s="40"/>
      <c r="W489" s="40"/>
      <c r="X489" s="67" t="str">
        <f t="shared" si="56"/>
        <v/>
      </c>
      <c r="Z489" s="71"/>
      <c r="AA489" s="71"/>
      <c r="AB489" s="67" t="str">
        <f t="shared" si="55"/>
        <v/>
      </c>
    </row>
    <row r="490" spans="1:28" x14ac:dyDescent="0.25">
      <c r="A490" s="59"/>
      <c r="B490" s="7"/>
      <c r="C490" s="59"/>
      <c r="D490" s="10"/>
      <c r="E490" s="40"/>
      <c r="F490" s="40"/>
      <c r="G490" s="40"/>
      <c r="H490" s="3" t="str">
        <f t="shared" si="51"/>
        <v/>
      </c>
      <c r="I490" s="3" t="str">
        <f t="shared" si="52"/>
        <v/>
      </c>
      <c r="J490" s="3" t="str">
        <f t="shared" si="53"/>
        <v/>
      </c>
      <c r="K490" s="3"/>
      <c r="L490" s="60" t="str">
        <f t="shared" si="54"/>
        <v/>
      </c>
      <c r="M490" s="40"/>
      <c r="N490" s="40"/>
      <c r="O490" s="40"/>
      <c r="P490" s="40"/>
      <c r="Q490" s="40"/>
      <c r="R490" s="40"/>
      <c r="S490" s="61" t="str">
        <f t="shared" si="57"/>
        <v/>
      </c>
      <c r="T490" s="40"/>
      <c r="U490" s="40"/>
      <c r="V490" s="40"/>
      <c r="W490" s="40"/>
      <c r="X490" s="67" t="str">
        <f t="shared" si="56"/>
        <v/>
      </c>
      <c r="Z490" s="71"/>
      <c r="AA490" s="71"/>
      <c r="AB490" s="67" t="str">
        <f t="shared" si="55"/>
        <v/>
      </c>
    </row>
    <row r="491" spans="1:28" x14ac:dyDescent="0.25">
      <c r="A491" s="59"/>
      <c r="B491" s="7"/>
      <c r="C491" s="59"/>
      <c r="D491" s="10"/>
      <c r="E491" s="40"/>
      <c r="F491" s="40"/>
      <c r="G491" s="40"/>
      <c r="H491" s="3" t="str">
        <f t="shared" si="51"/>
        <v/>
      </c>
      <c r="I491" s="3" t="str">
        <f t="shared" si="52"/>
        <v/>
      </c>
      <c r="J491" s="3" t="str">
        <f t="shared" si="53"/>
        <v/>
      </c>
      <c r="K491" s="3"/>
      <c r="L491" s="60" t="str">
        <f t="shared" si="54"/>
        <v/>
      </c>
      <c r="M491" s="40"/>
      <c r="N491" s="40"/>
      <c r="O491" s="40"/>
      <c r="P491" s="40"/>
      <c r="Q491" s="40"/>
      <c r="R491" s="40"/>
      <c r="S491" s="61" t="str">
        <f t="shared" si="57"/>
        <v/>
      </c>
      <c r="T491" s="40"/>
      <c r="U491" s="40"/>
      <c r="V491" s="40"/>
      <c r="W491" s="40"/>
      <c r="X491" s="67" t="str">
        <f t="shared" si="56"/>
        <v/>
      </c>
      <c r="Z491" s="71"/>
      <c r="AA491" s="71"/>
      <c r="AB491" s="67" t="str">
        <f t="shared" si="55"/>
        <v/>
      </c>
    </row>
    <row r="492" spans="1:28" x14ac:dyDescent="0.25">
      <c r="A492" s="59"/>
      <c r="B492" s="7"/>
      <c r="C492" s="59"/>
      <c r="D492" s="10"/>
      <c r="E492" s="40"/>
      <c r="F492" s="40"/>
      <c r="G492" s="40"/>
      <c r="H492" s="3" t="str">
        <f t="shared" si="51"/>
        <v/>
      </c>
      <c r="I492" s="3" t="str">
        <f t="shared" si="52"/>
        <v/>
      </c>
      <c r="J492" s="3" t="str">
        <f t="shared" si="53"/>
        <v/>
      </c>
      <c r="K492" s="3"/>
      <c r="L492" s="60" t="str">
        <f t="shared" si="54"/>
        <v/>
      </c>
      <c r="M492" s="40"/>
      <c r="N492" s="40"/>
      <c r="O492" s="40"/>
      <c r="P492" s="40"/>
      <c r="Q492" s="40"/>
      <c r="R492" s="40"/>
      <c r="S492" s="61" t="str">
        <f t="shared" si="57"/>
        <v/>
      </c>
      <c r="T492" s="40"/>
      <c r="U492" s="40"/>
      <c r="V492" s="40"/>
      <c r="W492" s="40"/>
      <c r="X492" s="67" t="str">
        <f t="shared" si="56"/>
        <v/>
      </c>
      <c r="Z492" s="71"/>
      <c r="AA492" s="71"/>
      <c r="AB492" s="67" t="str">
        <f t="shared" si="55"/>
        <v/>
      </c>
    </row>
    <row r="493" spans="1:28" x14ac:dyDescent="0.25">
      <c r="A493" s="59"/>
      <c r="B493" s="7"/>
      <c r="C493" s="59"/>
      <c r="D493" s="10"/>
      <c r="E493" s="40"/>
      <c r="F493" s="40"/>
      <c r="G493" s="40"/>
      <c r="H493" s="3" t="str">
        <f t="shared" si="51"/>
        <v/>
      </c>
      <c r="I493" s="3" t="str">
        <f t="shared" si="52"/>
        <v/>
      </c>
      <c r="J493" s="3" t="str">
        <f t="shared" si="53"/>
        <v/>
      </c>
      <c r="K493" s="3"/>
      <c r="L493" s="60" t="str">
        <f t="shared" si="54"/>
        <v/>
      </c>
      <c r="M493" s="40"/>
      <c r="N493" s="40"/>
      <c r="O493" s="40"/>
      <c r="P493" s="40"/>
      <c r="Q493" s="40"/>
      <c r="R493" s="40"/>
      <c r="S493" s="61" t="str">
        <f t="shared" si="57"/>
        <v/>
      </c>
      <c r="T493" s="40"/>
      <c r="U493" s="40"/>
      <c r="V493" s="40"/>
      <c r="W493" s="40"/>
      <c r="X493" s="67" t="str">
        <f t="shared" si="56"/>
        <v/>
      </c>
      <c r="Z493" s="71"/>
      <c r="AA493" s="71"/>
      <c r="AB493" s="67" t="str">
        <f t="shared" si="55"/>
        <v/>
      </c>
    </row>
    <row r="494" spans="1:28" x14ac:dyDescent="0.25">
      <c r="A494" s="59"/>
      <c r="B494" s="7"/>
      <c r="C494" s="59"/>
      <c r="D494" s="10"/>
      <c r="E494" s="40"/>
      <c r="F494" s="40"/>
      <c r="G494" s="40"/>
      <c r="H494" s="3" t="str">
        <f t="shared" si="51"/>
        <v/>
      </c>
      <c r="I494" s="3" t="str">
        <f t="shared" si="52"/>
        <v/>
      </c>
      <c r="J494" s="3" t="str">
        <f t="shared" si="53"/>
        <v/>
      </c>
      <c r="K494" s="3"/>
      <c r="L494" s="60" t="str">
        <f t="shared" si="54"/>
        <v/>
      </c>
      <c r="M494" s="40"/>
      <c r="N494" s="40"/>
      <c r="O494" s="40"/>
      <c r="P494" s="40"/>
      <c r="Q494" s="40"/>
      <c r="R494" s="40"/>
      <c r="S494" s="61" t="str">
        <f t="shared" si="57"/>
        <v/>
      </c>
      <c r="T494" s="40"/>
      <c r="U494" s="40"/>
      <c r="V494" s="40"/>
      <c r="W494" s="40"/>
      <c r="X494" s="67" t="str">
        <f t="shared" si="56"/>
        <v/>
      </c>
      <c r="Z494" s="71"/>
      <c r="AA494" s="71"/>
      <c r="AB494" s="67" t="str">
        <f t="shared" si="55"/>
        <v/>
      </c>
    </row>
    <row r="495" spans="1:28" x14ac:dyDescent="0.25">
      <c r="A495" s="59"/>
      <c r="B495" s="7"/>
      <c r="C495" s="59"/>
      <c r="D495" s="10"/>
      <c r="E495" s="40"/>
      <c r="F495" s="40"/>
      <c r="G495" s="40"/>
      <c r="H495" s="3" t="str">
        <f t="shared" si="51"/>
        <v/>
      </c>
      <c r="I495" s="3" t="str">
        <f t="shared" si="52"/>
        <v/>
      </c>
      <c r="J495" s="3" t="str">
        <f t="shared" si="53"/>
        <v/>
      </c>
      <c r="K495" s="3"/>
      <c r="L495" s="60" t="str">
        <f t="shared" si="54"/>
        <v/>
      </c>
      <c r="M495" s="40"/>
      <c r="N495" s="40"/>
      <c r="O495" s="40"/>
      <c r="P495" s="40"/>
      <c r="Q495" s="40"/>
      <c r="R495" s="40"/>
      <c r="S495" s="61" t="str">
        <f t="shared" si="57"/>
        <v/>
      </c>
      <c r="T495" s="40"/>
      <c r="U495" s="40"/>
      <c r="V495" s="40"/>
      <c r="W495" s="40"/>
      <c r="X495" s="67" t="str">
        <f t="shared" si="56"/>
        <v/>
      </c>
      <c r="Z495" s="71"/>
      <c r="AA495" s="71"/>
      <c r="AB495" s="67" t="str">
        <f t="shared" si="55"/>
        <v/>
      </c>
    </row>
    <row r="496" spans="1:28" x14ac:dyDescent="0.25">
      <c r="A496" s="59"/>
      <c r="B496" s="7"/>
      <c r="C496" s="59"/>
      <c r="D496" s="10"/>
      <c r="E496" s="40"/>
      <c r="F496" s="40"/>
      <c r="G496" s="40"/>
      <c r="H496" s="3" t="str">
        <f t="shared" si="51"/>
        <v/>
      </c>
      <c r="I496" s="3" t="str">
        <f t="shared" si="52"/>
        <v/>
      </c>
      <c r="J496" s="3" t="str">
        <f t="shared" si="53"/>
        <v/>
      </c>
      <c r="K496" s="3"/>
      <c r="L496" s="60" t="str">
        <f t="shared" si="54"/>
        <v/>
      </c>
      <c r="M496" s="40"/>
      <c r="N496" s="40"/>
      <c r="O496" s="40"/>
      <c r="P496" s="40"/>
      <c r="Q496" s="40"/>
      <c r="R496" s="40"/>
      <c r="S496" s="61" t="str">
        <f t="shared" si="57"/>
        <v/>
      </c>
      <c r="T496" s="40"/>
      <c r="U496" s="40"/>
      <c r="V496" s="40"/>
      <c r="W496" s="40"/>
      <c r="X496" s="67" t="str">
        <f t="shared" si="56"/>
        <v/>
      </c>
      <c r="Z496" s="71"/>
      <c r="AA496" s="71"/>
      <c r="AB496" s="67" t="str">
        <f t="shared" si="55"/>
        <v/>
      </c>
    </row>
    <row r="497" spans="1:28" x14ac:dyDescent="0.25">
      <c r="A497" s="59"/>
      <c r="B497" s="7"/>
      <c r="C497" s="59"/>
      <c r="D497" s="10"/>
      <c r="E497" s="40"/>
      <c r="F497" s="40"/>
      <c r="G497" s="40"/>
      <c r="H497" s="3" t="str">
        <f t="shared" si="51"/>
        <v/>
      </c>
      <c r="I497" s="3" t="str">
        <f t="shared" si="52"/>
        <v/>
      </c>
      <c r="J497" s="3" t="str">
        <f t="shared" si="53"/>
        <v/>
      </c>
      <c r="K497" s="3"/>
      <c r="L497" s="60" t="str">
        <f t="shared" si="54"/>
        <v/>
      </c>
      <c r="M497" s="40"/>
      <c r="N497" s="40"/>
      <c r="O497" s="40"/>
      <c r="P497" s="40"/>
      <c r="Q497" s="40"/>
      <c r="R497" s="40"/>
      <c r="S497" s="61" t="str">
        <f t="shared" si="57"/>
        <v/>
      </c>
      <c r="T497" s="40"/>
      <c r="U497" s="40"/>
      <c r="V497" s="40"/>
      <c r="W497" s="40"/>
      <c r="X497" s="67" t="str">
        <f t="shared" si="56"/>
        <v/>
      </c>
      <c r="Z497" s="71"/>
      <c r="AA497" s="71"/>
      <c r="AB497" s="67" t="str">
        <f t="shared" si="55"/>
        <v/>
      </c>
    </row>
    <row r="498" spans="1:28" x14ac:dyDescent="0.25">
      <c r="A498" s="59"/>
      <c r="B498" s="7"/>
      <c r="C498" s="59"/>
      <c r="D498" s="10"/>
      <c r="E498" s="40"/>
      <c r="F498" s="40"/>
      <c r="G498" s="40"/>
      <c r="H498" s="3" t="str">
        <f t="shared" si="51"/>
        <v/>
      </c>
      <c r="I498" s="3" t="str">
        <f t="shared" si="52"/>
        <v/>
      </c>
      <c r="J498" s="3" t="str">
        <f t="shared" si="53"/>
        <v/>
      </c>
      <c r="K498" s="3"/>
      <c r="L498" s="60" t="str">
        <f t="shared" ref="L498:L561" si="58">+IF(C498="","",((L497-(H498+I498+J498))+K498))</f>
        <v/>
      </c>
      <c r="M498" s="40"/>
      <c r="N498" s="40"/>
      <c r="O498" s="40"/>
      <c r="P498" s="40"/>
      <c r="Q498" s="40"/>
      <c r="R498" s="40"/>
      <c r="S498" s="61" t="str">
        <f t="shared" si="57"/>
        <v/>
      </c>
      <c r="T498" s="40"/>
      <c r="U498" s="40"/>
      <c r="V498" s="40"/>
      <c r="W498" s="40"/>
      <c r="X498" s="67" t="str">
        <f t="shared" si="56"/>
        <v/>
      </c>
      <c r="Z498" s="71"/>
      <c r="AA498" s="71"/>
      <c r="AB498" s="67" t="str">
        <f t="shared" si="55"/>
        <v/>
      </c>
    </row>
    <row r="499" spans="1:28" x14ac:dyDescent="0.25">
      <c r="A499" s="59"/>
      <c r="B499" s="7"/>
      <c r="C499" s="59"/>
      <c r="D499" s="10"/>
      <c r="E499" s="40"/>
      <c r="F499" s="40"/>
      <c r="G499" s="40"/>
      <c r="H499" s="3" t="str">
        <f t="shared" si="51"/>
        <v/>
      </c>
      <c r="I499" s="3" t="str">
        <f t="shared" si="52"/>
        <v/>
      </c>
      <c r="J499" s="3" t="str">
        <f t="shared" si="53"/>
        <v/>
      </c>
      <c r="K499" s="3"/>
      <c r="L499" s="60" t="str">
        <f t="shared" si="58"/>
        <v/>
      </c>
      <c r="M499" s="40"/>
      <c r="N499" s="40"/>
      <c r="O499" s="40"/>
      <c r="P499" s="40"/>
      <c r="Q499" s="40"/>
      <c r="R499" s="40"/>
      <c r="S499" s="61" t="str">
        <f t="shared" si="57"/>
        <v/>
      </c>
      <c r="T499" s="40"/>
      <c r="U499" s="40"/>
      <c r="V499" s="40"/>
      <c r="W499" s="40"/>
      <c r="X499" s="67" t="str">
        <f t="shared" si="56"/>
        <v/>
      </c>
      <c r="Z499" s="71"/>
      <c r="AA499" s="71"/>
      <c r="AB499" s="67" t="str">
        <f t="shared" si="55"/>
        <v/>
      </c>
    </row>
    <row r="500" spans="1:28" x14ac:dyDescent="0.25">
      <c r="A500" s="59"/>
      <c r="B500" s="7"/>
      <c r="C500" s="59"/>
      <c r="D500" s="10"/>
      <c r="E500" s="40"/>
      <c r="F500" s="40"/>
      <c r="G500" s="40"/>
      <c r="H500" s="3" t="str">
        <f t="shared" si="51"/>
        <v/>
      </c>
      <c r="I500" s="3" t="str">
        <f t="shared" si="52"/>
        <v/>
      </c>
      <c r="J500" s="3" t="str">
        <f t="shared" si="53"/>
        <v/>
      </c>
      <c r="K500" s="3"/>
      <c r="L500" s="60" t="str">
        <f t="shared" si="58"/>
        <v/>
      </c>
      <c r="M500" s="40"/>
      <c r="N500" s="40"/>
      <c r="O500" s="40"/>
      <c r="P500" s="40"/>
      <c r="Q500" s="40"/>
      <c r="R500" s="40"/>
      <c r="S500" s="61" t="str">
        <f t="shared" si="57"/>
        <v/>
      </c>
      <c r="T500" s="40"/>
      <c r="U500" s="40"/>
      <c r="V500" s="40"/>
      <c r="W500" s="40"/>
      <c r="X500" s="67" t="str">
        <f t="shared" si="56"/>
        <v/>
      </c>
      <c r="Z500" s="71"/>
      <c r="AA500" s="71"/>
      <c r="AB500" s="67" t="str">
        <f t="shared" si="55"/>
        <v/>
      </c>
    </row>
    <row r="501" spans="1:28" x14ac:dyDescent="0.25">
      <c r="A501" s="59"/>
      <c r="B501" s="7"/>
      <c r="C501" s="59"/>
      <c r="D501" s="10"/>
      <c r="E501" s="40"/>
      <c r="F501" s="40"/>
      <c r="G501" s="40"/>
      <c r="H501" s="3" t="str">
        <f t="shared" si="51"/>
        <v/>
      </c>
      <c r="I501" s="3" t="str">
        <f t="shared" si="52"/>
        <v/>
      </c>
      <c r="J501" s="3" t="str">
        <f t="shared" si="53"/>
        <v/>
      </c>
      <c r="K501" s="3"/>
      <c r="L501" s="60" t="str">
        <f t="shared" si="58"/>
        <v/>
      </c>
      <c r="M501" s="40"/>
      <c r="N501" s="40"/>
      <c r="O501" s="40"/>
      <c r="P501" s="40"/>
      <c r="Q501" s="40"/>
      <c r="R501" s="40"/>
      <c r="S501" s="61" t="str">
        <f t="shared" si="57"/>
        <v/>
      </c>
      <c r="T501" s="40"/>
      <c r="U501" s="40"/>
      <c r="V501" s="40"/>
      <c r="W501" s="40"/>
      <c r="X501" s="67" t="str">
        <f t="shared" si="56"/>
        <v/>
      </c>
      <c r="Z501" s="71"/>
      <c r="AA501" s="71"/>
      <c r="AB501" s="67" t="str">
        <f t="shared" si="55"/>
        <v/>
      </c>
    </row>
    <row r="502" spans="1:28" x14ac:dyDescent="0.25">
      <c r="A502" s="59"/>
      <c r="B502" s="7"/>
      <c r="C502" s="59"/>
      <c r="D502" s="10"/>
      <c r="E502" s="40"/>
      <c r="F502" s="40"/>
      <c r="G502" s="40"/>
      <c r="H502" s="3" t="str">
        <f t="shared" si="51"/>
        <v/>
      </c>
      <c r="I502" s="3" t="str">
        <f t="shared" si="52"/>
        <v/>
      </c>
      <c r="J502" s="3" t="str">
        <f t="shared" si="53"/>
        <v/>
      </c>
      <c r="K502" s="3"/>
      <c r="L502" s="60" t="str">
        <f t="shared" si="58"/>
        <v/>
      </c>
      <c r="M502" s="40"/>
      <c r="N502" s="40"/>
      <c r="O502" s="40"/>
      <c r="P502" s="40"/>
      <c r="Q502" s="40"/>
      <c r="R502" s="40"/>
      <c r="S502" s="61" t="str">
        <f t="shared" si="57"/>
        <v/>
      </c>
      <c r="T502" s="40"/>
      <c r="U502" s="40"/>
      <c r="V502" s="40"/>
      <c r="W502" s="40"/>
      <c r="X502" s="67" t="str">
        <f t="shared" si="56"/>
        <v/>
      </c>
      <c r="Z502" s="71"/>
      <c r="AA502" s="71"/>
      <c r="AB502" s="67" t="str">
        <f t="shared" si="55"/>
        <v/>
      </c>
    </row>
    <row r="503" spans="1:28" x14ac:dyDescent="0.25">
      <c r="A503" s="59"/>
      <c r="B503" s="7"/>
      <c r="C503" s="59"/>
      <c r="D503" s="10"/>
      <c r="E503" s="40"/>
      <c r="F503" s="40"/>
      <c r="G503" s="40"/>
      <c r="H503" s="3" t="str">
        <f t="shared" si="51"/>
        <v/>
      </c>
      <c r="I503" s="3" t="str">
        <f t="shared" si="52"/>
        <v/>
      </c>
      <c r="J503" s="3" t="str">
        <f t="shared" si="53"/>
        <v/>
      </c>
      <c r="K503" s="3"/>
      <c r="L503" s="60" t="str">
        <f t="shared" si="58"/>
        <v/>
      </c>
      <c r="M503" s="40"/>
      <c r="N503" s="40"/>
      <c r="O503" s="40"/>
      <c r="P503" s="40"/>
      <c r="Q503" s="40"/>
      <c r="R503" s="40"/>
      <c r="S503" s="61" t="str">
        <f t="shared" si="57"/>
        <v/>
      </c>
      <c r="T503" s="40"/>
      <c r="U503" s="40"/>
      <c r="V503" s="40"/>
      <c r="W503" s="40"/>
      <c r="X503" s="67" t="str">
        <f t="shared" si="56"/>
        <v/>
      </c>
      <c r="Z503" s="71"/>
      <c r="AA503" s="71"/>
      <c r="AB503" s="67" t="str">
        <f t="shared" si="55"/>
        <v/>
      </c>
    </row>
    <row r="504" spans="1:28" x14ac:dyDescent="0.25">
      <c r="A504" s="59"/>
      <c r="B504" s="7"/>
      <c r="C504" s="59"/>
      <c r="D504" s="10"/>
      <c r="E504" s="40"/>
      <c r="F504" s="40"/>
      <c r="G504" s="40"/>
      <c r="H504" s="3" t="str">
        <f t="shared" si="51"/>
        <v/>
      </c>
      <c r="I504" s="3" t="str">
        <f t="shared" si="52"/>
        <v/>
      </c>
      <c r="J504" s="3" t="str">
        <f t="shared" si="53"/>
        <v/>
      </c>
      <c r="K504" s="3"/>
      <c r="L504" s="60" t="str">
        <f t="shared" si="58"/>
        <v/>
      </c>
      <c r="M504" s="40"/>
      <c r="N504" s="40"/>
      <c r="O504" s="40"/>
      <c r="P504" s="40"/>
      <c r="Q504" s="40"/>
      <c r="R504" s="40"/>
      <c r="S504" s="61" t="str">
        <f t="shared" si="57"/>
        <v/>
      </c>
      <c r="T504" s="40"/>
      <c r="U504" s="40"/>
      <c r="V504" s="40"/>
      <c r="W504" s="40"/>
      <c r="X504" s="67" t="str">
        <f t="shared" si="56"/>
        <v/>
      </c>
      <c r="Z504" s="71"/>
      <c r="AA504" s="71"/>
      <c r="AB504" s="67" t="str">
        <f t="shared" si="55"/>
        <v/>
      </c>
    </row>
    <row r="505" spans="1:28" x14ac:dyDescent="0.25">
      <c r="A505" s="59"/>
      <c r="B505" s="7"/>
      <c r="C505" s="59"/>
      <c r="D505" s="10"/>
      <c r="E505" s="40"/>
      <c r="F505" s="40"/>
      <c r="G505" s="40"/>
      <c r="H505" s="3" t="str">
        <f t="shared" si="51"/>
        <v/>
      </c>
      <c r="I505" s="3" t="str">
        <f t="shared" si="52"/>
        <v/>
      </c>
      <c r="J505" s="3" t="str">
        <f t="shared" si="53"/>
        <v/>
      </c>
      <c r="K505" s="3"/>
      <c r="L505" s="60" t="str">
        <f t="shared" si="58"/>
        <v/>
      </c>
      <c r="M505" s="40"/>
      <c r="N505" s="40"/>
      <c r="O505" s="40"/>
      <c r="P505" s="40"/>
      <c r="Q505" s="40"/>
      <c r="R505" s="40"/>
      <c r="S505" s="61" t="str">
        <f t="shared" si="57"/>
        <v/>
      </c>
      <c r="T505" s="40"/>
      <c r="U505" s="40"/>
      <c r="V505" s="40"/>
      <c r="W505" s="40"/>
      <c r="X505" s="67" t="str">
        <f t="shared" si="56"/>
        <v/>
      </c>
      <c r="Z505" s="71"/>
      <c r="AA505" s="71"/>
      <c r="AB505" s="67" t="str">
        <f t="shared" si="55"/>
        <v/>
      </c>
    </row>
    <row r="506" spans="1:28" x14ac:dyDescent="0.25">
      <c r="A506" s="59"/>
      <c r="B506" s="7"/>
      <c r="C506" s="59"/>
      <c r="D506" s="10"/>
      <c r="E506" s="40"/>
      <c r="F506" s="40"/>
      <c r="G506" s="40"/>
      <c r="H506" s="3" t="str">
        <f t="shared" si="51"/>
        <v/>
      </c>
      <c r="I506" s="3" t="str">
        <f t="shared" si="52"/>
        <v/>
      </c>
      <c r="J506" s="3" t="str">
        <f t="shared" si="53"/>
        <v/>
      </c>
      <c r="K506" s="3"/>
      <c r="L506" s="60" t="str">
        <f t="shared" si="58"/>
        <v/>
      </c>
      <c r="M506" s="40"/>
      <c r="N506" s="40"/>
      <c r="O506" s="40"/>
      <c r="P506" s="40"/>
      <c r="Q506" s="40"/>
      <c r="R506" s="40"/>
      <c r="S506" s="61" t="str">
        <f t="shared" si="57"/>
        <v/>
      </c>
      <c r="T506" s="40"/>
      <c r="U506" s="40"/>
      <c r="V506" s="40"/>
      <c r="W506" s="40"/>
      <c r="X506" s="67" t="str">
        <f t="shared" si="56"/>
        <v/>
      </c>
      <c r="Z506" s="71"/>
      <c r="AA506" s="71"/>
      <c r="AB506" s="67" t="str">
        <f t="shared" si="55"/>
        <v/>
      </c>
    </row>
    <row r="507" spans="1:28" x14ac:dyDescent="0.25">
      <c r="A507" s="59"/>
      <c r="B507" s="7"/>
      <c r="C507" s="59"/>
      <c r="D507" s="10"/>
      <c r="E507" s="40"/>
      <c r="F507" s="40"/>
      <c r="G507" s="40"/>
      <c r="H507" s="3" t="str">
        <f t="shared" si="51"/>
        <v/>
      </c>
      <c r="I507" s="3" t="str">
        <f t="shared" si="52"/>
        <v/>
      </c>
      <c r="J507" s="3" t="str">
        <f t="shared" si="53"/>
        <v/>
      </c>
      <c r="K507" s="3"/>
      <c r="L507" s="60" t="str">
        <f t="shared" si="58"/>
        <v/>
      </c>
      <c r="M507" s="40"/>
      <c r="N507" s="40"/>
      <c r="O507" s="40"/>
      <c r="P507" s="40"/>
      <c r="Q507" s="40"/>
      <c r="R507" s="40"/>
      <c r="S507" s="61" t="str">
        <f t="shared" si="57"/>
        <v/>
      </c>
      <c r="T507" s="40"/>
      <c r="U507" s="40"/>
      <c r="V507" s="40"/>
      <c r="W507" s="40"/>
      <c r="X507" s="67" t="str">
        <f t="shared" si="56"/>
        <v/>
      </c>
      <c r="Z507" s="71"/>
      <c r="AA507" s="71"/>
      <c r="AB507" s="67" t="str">
        <f t="shared" si="55"/>
        <v/>
      </c>
    </row>
    <row r="508" spans="1:28" x14ac:dyDescent="0.25">
      <c r="A508" s="59"/>
      <c r="B508" s="7"/>
      <c r="C508" s="59"/>
      <c r="D508" s="10"/>
      <c r="E508" s="40"/>
      <c r="F508" s="40"/>
      <c r="G508" s="40"/>
      <c r="H508" s="3" t="str">
        <f t="shared" si="51"/>
        <v/>
      </c>
      <c r="I508" s="3" t="str">
        <f t="shared" si="52"/>
        <v/>
      </c>
      <c r="J508" s="3" t="str">
        <f t="shared" si="53"/>
        <v/>
      </c>
      <c r="K508" s="3"/>
      <c r="L508" s="60" t="str">
        <f t="shared" si="58"/>
        <v/>
      </c>
      <c r="M508" s="40"/>
      <c r="N508" s="40"/>
      <c r="O508" s="40"/>
      <c r="P508" s="40"/>
      <c r="Q508" s="40"/>
      <c r="R508" s="40"/>
      <c r="S508" s="61" t="str">
        <f t="shared" si="57"/>
        <v/>
      </c>
      <c r="T508" s="40"/>
      <c r="U508" s="40"/>
      <c r="V508" s="40"/>
      <c r="W508" s="40"/>
      <c r="X508" s="67" t="str">
        <f t="shared" si="56"/>
        <v/>
      </c>
      <c r="Z508" s="71"/>
      <c r="AA508" s="71"/>
      <c r="AB508" s="67" t="str">
        <f t="shared" si="55"/>
        <v/>
      </c>
    </row>
    <row r="509" spans="1:28" x14ac:dyDescent="0.25">
      <c r="A509" s="59"/>
      <c r="B509" s="7"/>
      <c r="C509" s="59"/>
      <c r="D509" s="10"/>
      <c r="E509" s="40"/>
      <c r="F509" s="40"/>
      <c r="G509" s="40"/>
      <c r="H509" s="3" t="str">
        <f t="shared" si="51"/>
        <v/>
      </c>
      <c r="I509" s="3" t="str">
        <f t="shared" si="52"/>
        <v/>
      </c>
      <c r="J509" s="3" t="str">
        <f t="shared" si="53"/>
        <v/>
      </c>
      <c r="K509" s="3"/>
      <c r="L509" s="60" t="str">
        <f t="shared" si="58"/>
        <v/>
      </c>
      <c r="M509" s="40"/>
      <c r="N509" s="40"/>
      <c r="O509" s="40"/>
      <c r="P509" s="40"/>
      <c r="Q509" s="40"/>
      <c r="R509" s="40"/>
      <c r="S509" s="61" t="str">
        <f t="shared" si="57"/>
        <v/>
      </c>
      <c r="T509" s="40"/>
      <c r="U509" s="40"/>
      <c r="V509" s="40"/>
      <c r="W509" s="40"/>
      <c r="X509" s="67" t="str">
        <f t="shared" si="56"/>
        <v/>
      </c>
      <c r="Z509" s="71"/>
      <c r="AA509" s="71"/>
      <c r="AB509" s="67" t="str">
        <f t="shared" si="55"/>
        <v/>
      </c>
    </row>
    <row r="510" spans="1:28" x14ac:dyDescent="0.25">
      <c r="A510" s="59"/>
      <c r="B510" s="7"/>
      <c r="C510" s="59"/>
      <c r="D510" s="10"/>
      <c r="E510" s="40"/>
      <c r="F510" s="40"/>
      <c r="G510" s="40"/>
      <c r="H510" s="3" t="str">
        <f t="shared" si="51"/>
        <v/>
      </c>
      <c r="I510" s="3" t="str">
        <f t="shared" si="52"/>
        <v/>
      </c>
      <c r="J510" s="3" t="str">
        <f t="shared" si="53"/>
        <v/>
      </c>
      <c r="K510" s="3"/>
      <c r="L510" s="60" t="str">
        <f t="shared" si="58"/>
        <v/>
      </c>
      <c r="M510" s="40"/>
      <c r="N510" s="40"/>
      <c r="O510" s="40"/>
      <c r="P510" s="40"/>
      <c r="Q510" s="40"/>
      <c r="R510" s="40"/>
      <c r="S510" s="61" t="str">
        <f t="shared" si="57"/>
        <v/>
      </c>
      <c r="T510" s="40"/>
      <c r="U510" s="40"/>
      <c r="V510" s="40"/>
      <c r="W510" s="40"/>
      <c r="X510" s="67" t="str">
        <f t="shared" si="56"/>
        <v/>
      </c>
      <c r="Z510" s="71"/>
      <c r="AA510" s="71"/>
      <c r="AB510" s="67" t="str">
        <f t="shared" si="55"/>
        <v/>
      </c>
    </row>
    <row r="511" spans="1:28" x14ac:dyDescent="0.25">
      <c r="A511" s="59"/>
      <c r="B511" s="7"/>
      <c r="C511" s="59"/>
      <c r="D511" s="10"/>
      <c r="E511" s="40"/>
      <c r="F511" s="40"/>
      <c r="G511" s="40"/>
      <c r="H511" s="3" t="str">
        <f t="shared" si="51"/>
        <v/>
      </c>
      <c r="I511" s="3" t="str">
        <f t="shared" si="52"/>
        <v/>
      </c>
      <c r="J511" s="3" t="str">
        <f t="shared" si="53"/>
        <v/>
      </c>
      <c r="K511" s="3"/>
      <c r="L511" s="60" t="str">
        <f t="shared" si="58"/>
        <v/>
      </c>
      <c r="M511" s="40"/>
      <c r="N511" s="40"/>
      <c r="O511" s="40"/>
      <c r="P511" s="40"/>
      <c r="Q511" s="40"/>
      <c r="R511" s="40"/>
      <c r="S511" s="61" t="str">
        <f t="shared" si="57"/>
        <v/>
      </c>
      <c r="T511" s="40"/>
      <c r="U511" s="40"/>
      <c r="V511" s="40"/>
      <c r="W511" s="40"/>
      <c r="X511" s="67" t="str">
        <f t="shared" si="56"/>
        <v/>
      </c>
      <c r="Z511" s="71"/>
      <c r="AA511" s="71"/>
      <c r="AB511" s="67" t="str">
        <f t="shared" si="55"/>
        <v/>
      </c>
    </row>
    <row r="512" spans="1:28" x14ac:dyDescent="0.25">
      <c r="A512" s="59"/>
      <c r="B512" s="7"/>
      <c r="C512" s="59"/>
      <c r="D512" s="10"/>
      <c r="E512" s="40"/>
      <c r="F512" s="40"/>
      <c r="G512" s="40"/>
      <c r="H512" s="3" t="str">
        <f t="shared" si="51"/>
        <v/>
      </c>
      <c r="I512" s="3" t="str">
        <f t="shared" si="52"/>
        <v/>
      </c>
      <c r="J512" s="3" t="str">
        <f t="shared" si="53"/>
        <v/>
      </c>
      <c r="K512" s="3"/>
      <c r="L512" s="60" t="str">
        <f t="shared" si="58"/>
        <v/>
      </c>
      <c r="M512" s="40"/>
      <c r="N512" s="40"/>
      <c r="O512" s="40"/>
      <c r="P512" s="40"/>
      <c r="Q512" s="40"/>
      <c r="R512" s="40"/>
      <c r="S512" s="61" t="str">
        <f t="shared" si="57"/>
        <v/>
      </c>
      <c r="T512" s="40"/>
      <c r="U512" s="40"/>
      <c r="V512" s="40"/>
      <c r="W512" s="40"/>
      <c r="X512" s="67" t="str">
        <f t="shared" si="56"/>
        <v/>
      </c>
      <c r="Z512" s="71"/>
      <c r="AA512" s="71"/>
      <c r="AB512" s="67" t="str">
        <f t="shared" si="55"/>
        <v/>
      </c>
    </row>
    <row r="513" spans="1:28" x14ac:dyDescent="0.25">
      <c r="A513" s="59"/>
      <c r="B513" s="7"/>
      <c r="C513" s="59"/>
      <c r="D513" s="10"/>
      <c r="E513" s="40"/>
      <c r="F513" s="40"/>
      <c r="G513" s="40"/>
      <c r="H513" s="3" t="str">
        <f t="shared" si="51"/>
        <v/>
      </c>
      <c r="I513" s="3" t="str">
        <f t="shared" si="52"/>
        <v/>
      </c>
      <c r="J513" s="3" t="str">
        <f t="shared" si="53"/>
        <v/>
      </c>
      <c r="K513" s="3"/>
      <c r="L513" s="60" t="str">
        <f t="shared" si="58"/>
        <v/>
      </c>
      <c r="M513" s="40"/>
      <c r="N513" s="40"/>
      <c r="O513" s="40"/>
      <c r="P513" s="40"/>
      <c r="Q513" s="40"/>
      <c r="R513" s="40"/>
      <c r="S513" s="61" t="str">
        <f t="shared" si="57"/>
        <v/>
      </c>
      <c r="T513" s="40"/>
      <c r="U513" s="40"/>
      <c r="V513" s="40"/>
      <c r="W513" s="40"/>
      <c r="X513" s="67" t="str">
        <f t="shared" si="56"/>
        <v/>
      </c>
      <c r="Z513" s="71"/>
      <c r="AA513" s="71"/>
      <c r="AB513" s="67" t="str">
        <f t="shared" si="55"/>
        <v/>
      </c>
    </row>
    <row r="514" spans="1:28" x14ac:dyDescent="0.25">
      <c r="A514" s="59"/>
      <c r="B514" s="7"/>
      <c r="C514" s="59"/>
      <c r="D514" s="10"/>
      <c r="E514" s="40"/>
      <c r="F514" s="40"/>
      <c r="G514" s="40"/>
      <c r="H514" s="3" t="str">
        <f t="shared" si="51"/>
        <v/>
      </c>
      <c r="I514" s="3" t="str">
        <f t="shared" si="52"/>
        <v/>
      </c>
      <c r="J514" s="3" t="str">
        <f t="shared" si="53"/>
        <v/>
      </c>
      <c r="K514" s="3"/>
      <c r="L514" s="60" t="str">
        <f t="shared" si="58"/>
        <v/>
      </c>
      <c r="M514" s="40"/>
      <c r="N514" s="40"/>
      <c r="O514" s="40"/>
      <c r="P514" s="40"/>
      <c r="Q514" s="40"/>
      <c r="R514" s="40"/>
      <c r="S514" s="61" t="str">
        <f t="shared" si="57"/>
        <v/>
      </c>
      <c r="T514" s="40"/>
      <c r="U514" s="40"/>
      <c r="V514" s="40"/>
      <c r="W514" s="40"/>
      <c r="X514" s="67" t="str">
        <f t="shared" si="56"/>
        <v/>
      </c>
      <c r="Z514" s="71"/>
      <c r="AA514" s="71"/>
      <c r="AB514" s="67" t="str">
        <f t="shared" si="55"/>
        <v/>
      </c>
    </row>
    <row r="515" spans="1:28" x14ac:dyDescent="0.25">
      <c r="A515" s="59"/>
      <c r="B515" s="7"/>
      <c r="C515" s="59"/>
      <c r="D515" s="10"/>
      <c r="E515" s="40"/>
      <c r="F515" s="40"/>
      <c r="G515" s="40"/>
      <c r="H515" s="3" t="str">
        <f t="shared" si="51"/>
        <v/>
      </c>
      <c r="I515" s="3" t="str">
        <f t="shared" si="52"/>
        <v/>
      </c>
      <c r="J515" s="3" t="str">
        <f t="shared" si="53"/>
        <v/>
      </c>
      <c r="K515" s="3"/>
      <c r="L515" s="60" t="str">
        <f t="shared" si="58"/>
        <v/>
      </c>
      <c r="M515" s="40"/>
      <c r="N515" s="40"/>
      <c r="O515" s="40"/>
      <c r="P515" s="40"/>
      <c r="Q515" s="40"/>
      <c r="R515" s="40"/>
      <c r="S515" s="61" t="str">
        <f t="shared" si="57"/>
        <v/>
      </c>
      <c r="T515" s="40"/>
      <c r="U515" s="40"/>
      <c r="V515" s="40"/>
      <c r="W515" s="40"/>
      <c r="X515" s="67" t="str">
        <f t="shared" si="56"/>
        <v/>
      </c>
      <c r="Z515" s="71"/>
      <c r="AA515" s="71"/>
      <c r="AB515" s="67" t="str">
        <f t="shared" si="55"/>
        <v/>
      </c>
    </row>
    <row r="516" spans="1:28" x14ac:dyDescent="0.25">
      <c r="A516" s="59"/>
      <c r="B516" s="7"/>
      <c r="C516" s="59"/>
      <c r="D516" s="10"/>
      <c r="E516" s="40"/>
      <c r="F516" s="40"/>
      <c r="G516" s="40"/>
      <c r="H516" s="3" t="str">
        <f t="shared" si="51"/>
        <v/>
      </c>
      <c r="I516" s="3" t="str">
        <f t="shared" si="52"/>
        <v/>
      </c>
      <c r="J516" s="3" t="str">
        <f t="shared" si="53"/>
        <v/>
      </c>
      <c r="K516" s="3"/>
      <c r="L516" s="60" t="str">
        <f t="shared" si="58"/>
        <v/>
      </c>
      <c r="M516" s="40"/>
      <c r="N516" s="40"/>
      <c r="O516" s="40"/>
      <c r="P516" s="40"/>
      <c r="Q516" s="40"/>
      <c r="R516" s="40"/>
      <c r="S516" s="61" t="str">
        <f t="shared" si="57"/>
        <v/>
      </c>
      <c r="T516" s="40"/>
      <c r="U516" s="40"/>
      <c r="V516" s="40"/>
      <c r="W516" s="40"/>
      <c r="X516" s="67" t="str">
        <f t="shared" si="56"/>
        <v/>
      </c>
      <c r="Z516" s="71"/>
      <c r="AA516" s="71"/>
      <c r="AB516" s="67" t="str">
        <f t="shared" si="55"/>
        <v/>
      </c>
    </row>
    <row r="517" spans="1:28" x14ac:dyDescent="0.25">
      <c r="A517" s="59"/>
      <c r="B517" s="7"/>
      <c r="C517" s="59"/>
      <c r="D517" s="10"/>
      <c r="E517" s="40"/>
      <c r="F517" s="40"/>
      <c r="G517" s="40"/>
      <c r="H517" s="3" t="str">
        <f t="shared" ref="H517:H580" si="59">+IF(E517="","",(E517/24)*C517)</f>
        <v/>
      </c>
      <c r="I517" s="3" t="str">
        <f t="shared" ref="I517:I580" si="60">+IF(F517="","",(F517/24)*C517)</f>
        <v/>
      </c>
      <c r="J517" s="3" t="str">
        <f t="shared" ref="J517:J580" si="61">+IF(G517="","",(G517/24)*C517)</f>
        <v/>
      </c>
      <c r="K517" s="3"/>
      <c r="L517" s="60" t="str">
        <f t="shared" si="58"/>
        <v/>
      </c>
      <c r="M517" s="40"/>
      <c r="N517" s="40"/>
      <c r="O517" s="40"/>
      <c r="P517" s="40"/>
      <c r="Q517" s="40"/>
      <c r="R517" s="40"/>
      <c r="S517" s="61" t="str">
        <f t="shared" si="57"/>
        <v/>
      </c>
      <c r="T517" s="40"/>
      <c r="U517" s="40"/>
      <c r="V517" s="40"/>
      <c r="W517" s="40"/>
      <c r="X517" s="67" t="str">
        <f t="shared" si="56"/>
        <v/>
      </c>
      <c r="Z517" s="71"/>
      <c r="AA517" s="71"/>
      <c r="AB517" s="67" t="str">
        <f t="shared" ref="AB517:AB580" si="62">IF(Z517="","",Z517+AA517)</f>
        <v/>
      </c>
    </row>
    <row r="518" spans="1:28" x14ac:dyDescent="0.25">
      <c r="A518" s="59"/>
      <c r="B518" s="7"/>
      <c r="C518" s="59"/>
      <c r="D518" s="10"/>
      <c r="E518" s="40"/>
      <c r="F518" s="40"/>
      <c r="G518" s="40"/>
      <c r="H518" s="3" t="str">
        <f t="shared" si="59"/>
        <v/>
      </c>
      <c r="I518" s="3" t="str">
        <f t="shared" si="60"/>
        <v/>
      </c>
      <c r="J518" s="3" t="str">
        <f t="shared" si="61"/>
        <v/>
      </c>
      <c r="K518" s="3"/>
      <c r="L518" s="60" t="str">
        <f t="shared" si="58"/>
        <v/>
      </c>
      <c r="M518" s="40"/>
      <c r="N518" s="40"/>
      <c r="O518" s="40"/>
      <c r="P518" s="40"/>
      <c r="Q518" s="40"/>
      <c r="R518" s="40"/>
      <c r="S518" s="61" t="str">
        <f t="shared" si="57"/>
        <v/>
      </c>
      <c r="T518" s="40"/>
      <c r="U518" s="40"/>
      <c r="V518" s="40"/>
      <c r="W518" s="40"/>
      <c r="X518" s="67" t="str">
        <f t="shared" si="56"/>
        <v/>
      </c>
      <c r="Z518" s="71"/>
      <c r="AA518" s="71"/>
      <c r="AB518" s="67" t="str">
        <f t="shared" si="62"/>
        <v/>
      </c>
    </row>
    <row r="519" spans="1:28" x14ac:dyDescent="0.25">
      <c r="A519" s="59"/>
      <c r="B519" s="7"/>
      <c r="C519" s="59"/>
      <c r="D519" s="10"/>
      <c r="E519" s="40"/>
      <c r="F519" s="40"/>
      <c r="G519" s="40"/>
      <c r="H519" s="3" t="str">
        <f t="shared" si="59"/>
        <v/>
      </c>
      <c r="I519" s="3" t="str">
        <f t="shared" si="60"/>
        <v/>
      </c>
      <c r="J519" s="3" t="str">
        <f t="shared" si="61"/>
        <v/>
      </c>
      <c r="K519" s="3"/>
      <c r="L519" s="60" t="str">
        <f t="shared" si="58"/>
        <v/>
      </c>
      <c r="M519" s="40"/>
      <c r="N519" s="40"/>
      <c r="O519" s="40"/>
      <c r="P519" s="40"/>
      <c r="Q519" s="40"/>
      <c r="R519" s="40"/>
      <c r="S519" s="61" t="str">
        <f t="shared" si="57"/>
        <v/>
      </c>
      <c r="T519" s="40"/>
      <c r="U519" s="40"/>
      <c r="V519" s="40"/>
      <c r="W519" s="40"/>
      <c r="X519" s="67" t="str">
        <f t="shared" si="56"/>
        <v/>
      </c>
      <c r="Z519" s="71"/>
      <c r="AA519" s="71"/>
      <c r="AB519" s="67" t="str">
        <f t="shared" si="62"/>
        <v/>
      </c>
    </row>
    <row r="520" spans="1:28" x14ac:dyDescent="0.25">
      <c r="A520" s="59"/>
      <c r="B520" s="7"/>
      <c r="C520" s="59"/>
      <c r="D520" s="10"/>
      <c r="E520" s="40"/>
      <c r="F520" s="40"/>
      <c r="G520" s="40"/>
      <c r="H520" s="3" t="str">
        <f t="shared" si="59"/>
        <v/>
      </c>
      <c r="I520" s="3" t="str">
        <f t="shared" si="60"/>
        <v/>
      </c>
      <c r="J520" s="3" t="str">
        <f t="shared" si="61"/>
        <v/>
      </c>
      <c r="K520" s="3"/>
      <c r="L520" s="60" t="str">
        <f t="shared" si="58"/>
        <v/>
      </c>
      <c r="M520" s="40"/>
      <c r="N520" s="40"/>
      <c r="O520" s="40"/>
      <c r="P520" s="40"/>
      <c r="Q520" s="40"/>
      <c r="R520" s="40"/>
      <c r="S520" s="61" t="str">
        <f t="shared" si="57"/>
        <v/>
      </c>
      <c r="T520" s="40"/>
      <c r="U520" s="40"/>
      <c r="V520" s="40"/>
      <c r="W520" s="40"/>
      <c r="X520" s="67" t="str">
        <f t="shared" ref="X520:X583" si="63">IF(V520="","",((X519+T520+U520)-(V520+W520)))</f>
        <v/>
      </c>
      <c r="Z520" s="71"/>
      <c r="AA520" s="71"/>
      <c r="AB520" s="67" t="str">
        <f t="shared" si="62"/>
        <v/>
      </c>
    </row>
    <row r="521" spans="1:28" x14ac:dyDescent="0.25">
      <c r="A521" s="59"/>
      <c r="B521" s="7"/>
      <c r="C521" s="59"/>
      <c r="D521" s="10"/>
      <c r="E521" s="40"/>
      <c r="F521" s="40"/>
      <c r="G521" s="40"/>
      <c r="H521" s="3" t="str">
        <f t="shared" si="59"/>
        <v/>
      </c>
      <c r="I521" s="3" t="str">
        <f t="shared" si="60"/>
        <v/>
      </c>
      <c r="J521" s="3" t="str">
        <f t="shared" si="61"/>
        <v/>
      </c>
      <c r="K521" s="3"/>
      <c r="L521" s="60" t="str">
        <f t="shared" si="58"/>
        <v/>
      </c>
      <c r="M521" s="40"/>
      <c r="N521" s="40"/>
      <c r="O521" s="40"/>
      <c r="P521" s="40"/>
      <c r="Q521" s="40"/>
      <c r="R521" s="40"/>
      <c r="S521" s="61" t="str">
        <f t="shared" si="57"/>
        <v/>
      </c>
      <c r="T521" s="40"/>
      <c r="U521" s="40"/>
      <c r="V521" s="40"/>
      <c r="W521" s="40"/>
      <c r="X521" s="67" t="str">
        <f t="shared" si="63"/>
        <v/>
      </c>
      <c r="Z521" s="71"/>
      <c r="AA521" s="71"/>
      <c r="AB521" s="67" t="str">
        <f t="shared" si="62"/>
        <v/>
      </c>
    </row>
    <row r="522" spans="1:28" x14ac:dyDescent="0.25">
      <c r="A522" s="59"/>
      <c r="B522" s="7"/>
      <c r="C522" s="59"/>
      <c r="D522" s="10"/>
      <c r="E522" s="40"/>
      <c r="F522" s="40"/>
      <c r="G522" s="40"/>
      <c r="H522" s="3" t="str">
        <f t="shared" si="59"/>
        <v/>
      </c>
      <c r="I522" s="3" t="str">
        <f t="shared" si="60"/>
        <v/>
      </c>
      <c r="J522" s="3" t="str">
        <f t="shared" si="61"/>
        <v/>
      </c>
      <c r="K522" s="3"/>
      <c r="L522" s="60" t="str">
        <f t="shared" si="58"/>
        <v/>
      </c>
      <c r="M522" s="40"/>
      <c r="N522" s="40"/>
      <c r="O522" s="40"/>
      <c r="P522" s="40"/>
      <c r="Q522" s="40"/>
      <c r="R522" s="40"/>
      <c r="S522" s="61" t="str">
        <f t="shared" si="57"/>
        <v/>
      </c>
      <c r="T522" s="40"/>
      <c r="U522" s="40"/>
      <c r="V522" s="40"/>
      <c r="W522" s="40"/>
      <c r="X522" s="67" t="str">
        <f t="shared" si="63"/>
        <v/>
      </c>
      <c r="Z522" s="71"/>
      <c r="AA522" s="71"/>
      <c r="AB522" s="67" t="str">
        <f t="shared" si="62"/>
        <v/>
      </c>
    </row>
    <row r="523" spans="1:28" x14ac:dyDescent="0.25">
      <c r="A523" s="59"/>
      <c r="B523" s="7"/>
      <c r="C523" s="59"/>
      <c r="D523" s="10"/>
      <c r="E523" s="40"/>
      <c r="F523" s="40"/>
      <c r="G523" s="40"/>
      <c r="H523" s="3" t="str">
        <f t="shared" si="59"/>
        <v/>
      </c>
      <c r="I523" s="3" t="str">
        <f t="shared" si="60"/>
        <v/>
      </c>
      <c r="J523" s="3" t="str">
        <f t="shared" si="61"/>
        <v/>
      </c>
      <c r="K523" s="3"/>
      <c r="L523" s="60" t="str">
        <f t="shared" si="58"/>
        <v/>
      </c>
      <c r="M523" s="40"/>
      <c r="N523" s="40"/>
      <c r="O523" s="40"/>
      <c r="P523" s="40"/>
      <c r="Q523" s="40"/>
      <c r="R523" s="40"/>
      <c r="S523" s="61" t="str">
        <f t="shared" si="57"/>
        <v/>
      </c>
      <c r="T523" s="40"/>
      <c r="U523" s="40"/>
      <c r="V523" s="40"/>
      <c r="W523" s="40"/>
      <c r="X523" s="67" t="str">
        <f t="shared" si="63"/>
        <v/>
      </c>
      <c r="Z523" s="71"/>
      <c r="AA523" s="71"/>
      <c r="AB523" s="67" t="str">
        <f t="shared" si="62"/>
        <v/>
      </c>
    </row>
    <row r="524" spans="1:28" x14ac:dyDescent="0.25">
      <c r="A524" s="59"/>
      <c r="B524" s="7"/>
      <c r="C524" s="59"/>
      <c r="D524" s="10"/>
      <c r="E524" s="40"/>
      <c r="F524" s="40"/>
      <c r="G524" s="40"/>
      <c r="H524" s="3" t="str">
        <f t="shared" si="59"/>
        <v/>
      </c>
      <c r="I524" s="3" t="str">
        <f t="shared" si="60"/>
        <v/>
      </c>
      <c r="J524" s="3" t="str">
        <f t="shared" si="61"/>
        <v/>
      </c>
      <c r="K524" s="3"/>
      <c r="L524" s="60" t="str">
        <f t="shared" si="58"/>
        <v/>
      </c>
      <c r="M524" s="40"/>
      <c r="N524" s="40"/>
      <c r="O524" s="40"/>
      <c r="P524" s="40"/>
      <c r="Q524" s="40"/>
      <c r="R524" s="40"/>
      <c r="S524" s="61" t="str">
        <f t="shared" si="57"/>
        <v/>
      </c>
      <c r="T524" s="40"/>
      <c r="U524" s="40"/>
      <c r="V524" s="40"/>
      <c r="W524" s="40"/>
      <c r="X524" s="67" t="str">
        <f t="shared" si="63"/>
        <v/>
      </c>
      <c r="Z524" s="71"/>
      <c r="AA524" s="71"/>
      <c r="AB524" s="67" t="str">
        <f t="shared" si="62"/>
        <v/>
      </c>
    </row>
    <row r="525" spans="1:28" x14ac:dyDescent="0.25">
      <c r="A525" s="59"/>
      <c r="B525" s="7"/>
      <c r="C525" s="59"/>
      <c r="D525" s="10"/>
      <c r="E525" s="40"/>
      <c r="F525" s="40"/>
      <c r="G525" s="40"/>
      <c r="H525" s="3" t="str">
        <f t="shared" si="59"/>
        <v/>
      </c>
      <c r="I525" s="3" t="str">
        <f t="shared" si="60"/>
        <v/>
      </c>
      <c r="J525" s="3" t="str">
        <f t="shared" si="61"/>
        <v/>
      </c>
      <c r="K525" s="3"/>
      <c r="L525" s="60" t="str">
        <f t="shared" si="58"/>
        <v/>
      </c>
      <c r="M525" s="40"/>
      <c r="N525" s="40"/>
      <c r="O525" s="40"/>
      <c r="P525" s="40"/>
      <c r="Q525" s="40"/>
      <c r="R525" s="40"/>
      <c r="S525" s="61" t="str">
        <f t="shared" si="57"/>
        <v/>
      </c>
      <c r="T525" s="40"/>
      <c r="U525" s="40"/>
      <c r="V525" s="40"/>
      <c r="W525" s="40"/>
      <c r="X525" s="67" t="str">
        <f t="shared" si="63"/>
        <v/>
      </c>
      <c r="Z525" s="71"/>
      <c r="AA525" s="71"/>
      <c r="AB525" s="67" t="str">
        <f t="shared" si="62"/>
        <v/>
      </c>
    </row>
    <row r="526" spans="1:28" x14ac:dyDescent="0.25">
      <c r="A526" s="59"/>
      <c r="B526" s="7"/>
      <c r="C526" s="59"/>
      <c r="D526" s="10"/>
      <c r="E526" s="40"/>
      <c r="F526" s="40"/>
      <c r="G526" s="40"/>
      <c r="H526" s="3" t="str">
        <f t="shared" si="59"/>
        <v/>
      </c>
      <c r="I526" s="3" t="str">
        <f t="shared" si="60"/>
        <v/>
      </c>
      <c r="J526" s="3" t="str">
        <f t="shared" si="61"/>
        <v/>
      </c>
      <c r="K526" s="3"/>
      <c r="L526" s="60" t="str">
        <f t="shared" si="58"/>
        <v/>
      </c>
      <c r="M526" s="40"/>
      <c r="N526" s="40"/>
      <c r="O526" s="40"/>
      <c r="P526" s="40"/>
      <c r="Q526" s="40"/>
      <c r="R526" s="40"/>
      <c r="S526" s="61" t="str">
        <f t="shared" si="57"/>
        <v/>
      </c>
      <c r="T526" s="40"/>
      <c r="U526" s="40"/>
      <c r="V526" s="40"/>
      <c r="W526" s="40"/>
      <c r="X526" s="67" t="str">
        <f t="shared" si="63"/>
        <v/>
      </c>
      <c r="Z526" s="71"/>
      <c r="AA526" s="71"/>
      <c r="AB526" s="67" t="str">
        <f t="shared" si="62"/>
        <v/>
      </c>
    </row>
    <row r="527" spans="1:28" x14ac:dyDescent="0.25">
      <c r="A527" s="59"/>
      <c r="B527" s="7"/>
      <c r="C527" s="59"/>
      <c r="D527" s="10"/>
      <c r="E527" s="40"/>
      <c r="F527" s="40"/>
      <c r="G527" s="40"/>
      <c r="H527" s="3" t="str">
        <f t="shared" si="59"/>
        <v/>
      </c>
      <c r="I527" s="3" t="str">
        <f t="shared" si="60"/>
        <v/>
      </c>
      <c r="J527" s="3" t="str">
        <f t="shared" si="61"/>
        <v/>
      </c>
      <c r="K527" s="3"/>
      <c r="L527" s="60" t="str">
        <f t="shared" si="58"/>
        <v/>
      </c>
      <c r="M527" s="40"/>
      <c r="N527" s="40"/>
      <c r="O527" s="40"/>
      <c r="P527" s="40"/>
      <c r="Q527" s="40"/>
      <c r="R527" s="40"/>
      <c r="S527" s="61" t="str">
        <f t="shared" si="57"/>
        <v/>
      </c>
      <c r="T527" s="40"/>
      <c r="U527" s="40"/>
      <c r="V527" s="40"/>
      <c r="W527" s="40"/>
      <c r="X527" s="67" t="str">
        <f t="shared" si="63"/>
        <v/>
      </c>
      <c r="Z527" s="71"/>
      <c r="AA527" s="71"/>
      <c r="AB527" s="67" t="str">
        <f t="shared" si="62"/>
        <v/>
      </c>
    </row>
    <row r="528" spans="1:28" x14ac:dyDescent="0.25">
      <c r="A528" s="59"/>
      <c r="B528" s="7"/>
      <c r="C528" s="59"/>
      <c r="D528" s="10"/>
      <c r="E528" s="40"/>
      <c r="F528" s="40"/>
      <c r="G528" s="40"/>
      <c r="H528" s="3" t="str">
        <f t="shared" si="59"/>
        <v/>
      </c>
      <c r="I528" s="3" t="str">
        <f t="shared" si="60"/>
        <v/>
      </c>
      <c r="J528" s="3" t="str">
        <f t="shared" si="61"/>
        <v/>
      </c>
      <c r="K528" s="3"/>
      <c r="L528" s="60" t="str">
        <f t="shared" si="58"/>
        <v/>
      </c>
      <c r="M528" s="40"/>
      <c r="N528" s="40"/>
      <c r="O528" s="40"/>
      <c r="P528" s="40"/>
      <c r="Q528" s="40"/>
      <c r="R528" s="40"/>
      <c r="S528" s="61" t="str">
        <f t="shared" si="57"/>
        <v/>
      </c>
      <c r="T528" s="40"/>
      <c r="U528" s="40"/>
      <c r="V528" s="40"/>
      <c r="W528" s="40"/>
      <c r="X528" s="67" t="str">
        <f t="shared" si="63"/>
        <v/>
      </c>
      <c r="Z528" s="71"/>
      <c r="AA528" s="71"/>
      <c r="AB528" s="67" t="str">
        <f t="shared" si="62"/>
        <v/>
      </c>
    </row>
    <row r="529" spans="1:28" x14ac:dyDescent="0.25">
      <c r="A529" s="59"/>
      <c r="B529" s="7"/>
      <c r="C529" s="59"/>
      <c r="D529" s="10"/>
      <c r="E529" s="40"/>
      <c r="F529" s="40"/>
      <c r="G529" s="40"/>
      <c r="H529" s="3" t="str">
        <f t="shared" si="59"/>
        <v/>
      </c>
      <c r="I529" s="3" t="str">
        <f t="shared" si="60"/>
        <v/>
      </c>
      <c r="J529" s="3" t="str">
        <f t="shared" si="61"/>
        <v/>
      </c>
      <c r="K529" s="3"/>
      <c r="L529" s="60" t="str">
        <f t="shared" si="58"/>
        <v/>
      </c>
      <c r="M529" s="40"/>
      <c r="N529" s="40"/>
      <c r="O529" s="40"/>
      <c r="P529" s="40"/>
      <c r="Q529" s="40"/>
      <c r="R529" s="40"/>
      <c r="S529" s="61" t="str">
        <f t="shared" si="57"/>
        <v/>
      </c>
      <c r="T529" s="40"/>
      <c r="U529" s="40"/>
      <c r="V529" s="40"/>
      <c r="W529" s="40"/>
      <c r="X529" s="67" t="str">
        <f t="shared" si="63"/>
        <v/>
      </c>
      <c r="Z529" s="71"/>
      <c r="AA529" s="71"/>
      <c r="AB529" s="67" t="str">
        <f t="shared" si="62"/>
        <v/>
      </c>
    </row>
    <row r="530" spans="1:28" x14ac:dyDescent="0.25">
      <c r="A530" s="59"/>
      <c r="B530" s="7"/>
      <c r="C530" s="59"/>
      <c r="D530" s="10"/>
      <c r="E530" s="40"/>
      <c r="F530" s="40"/>
      <c r="G530" s="40"/>
      <c r="H530" s="3" t="str">
        <f t="shared" si="59"/>
        <v/>
      </c>
      <c r="I530" s="3" t="str">
        <f t="shared" si="60"/>
        <v/>
      </c>
      <c r="J530" s="3" t="str">
        <f t="shared" si="61"/>
        <v/>
      </c>
      <c r="K530" s="3"/>
      <c r="L530" s="60" t="str">
        <f t="shared" si="58"/>
        <v/>
      </c>
      <c r="M530" s="40"/>
      <c r="N530" s="40"/>
      <c r="O530" s="40"/>
      <c r="P530" s="40"/>
      <c r="Q530" s="40"/>
      <c r="R530" s="40"/>
      <c r="S530" s="61" t="str">
        <f t="shared" si="57"/>
        <v/>
      </c>
      <c r="T530" s="40"/>
      <c r="U530" s="40"/>
      <c r="V530" s="40"/>
      <c r="W530" s="40"/>
      <c r="X530" s="67" t="str">
        <f t="shared" si="63"/>
        <v/>
      </c>
      <c r="Z530" s="71"/>
      <c r="AA530" s="71"/>
      <c r="AB530" s="67" t="str">
        <f t="shared" si="62"/>
        <v/>
      </c>
    </row>
    <row r="531" spans="1:28" x14ac:dyDescent="0.25">
      <c r="A531" s="59"/>
      <c r="B531" s="7"/>
      <c r="C531" s="59"/>
      <c r="D531" s="10"/>
      <c r="E531" s="40"/>
      <c r="F531" s="40"/>
      <c r="G531" s="40"/>
      <c r="H531" s="3" t="str">
        <f t="shared" si="59"/>
        <v/>
      </c>
      <c r="I531" s="3" t="str">
        <f t="shared" si="60"/>
        <v/>
      </c>
      <c r="J531" s="3" t="str">
        <f t="shared" si="61"/>
        <v/>
      </c>
      <c r="K531" s="3"/>
      <c r="L531" s="60" t="str">
        <f t="shared" si="58"/>
        <v/>
      </c>
      <c r="M531" s="40"/>
      <c r="N531" s="40"/>
      <c r="O531" s="40"/>
      <c r="P531" s="40"/>
      <c r="Q531" s="40"/>
      <c r="R531" s="40"/>
      <c r="S531" s="61" t="str">
        <f t="shared" si="57"/>
        <v/>
      </c>
      <c r="T531" s="40"/>
      <c r="U531" s="40"/>
      <c r="V531" s="40"/>
      <c r="W531" s="40"/>
      <c r="X531" s="67" t="str">
        <f t="shared" si="63"/>
        <v/>
      </c>
      <c r="Z531" s="71"/>
      <c r="AA531" s="71"/>
      <c r="AB531" s="67" t="str">
        <f t="shared" si="62"/>
        <v/>
      </c>
    </row>
    <row r="532" spans="1:28" x14ac:dyDescent="0.25">
      <c r="A532" s="59"/>
      <c r="B532" s="7"/>
      <c r="C532" s="59"/>
      <c r="D532" s="10"/>
      <c r="E532" s="40"/>
      <c r="F532" s="40"/>
      <c r="G532" s="40"/>
      <c r="H532" s="3" t="str">
        <f t="shared" si="59"/>
        <v/>
      </c>
      <c r="I532" s="3" t="str">
        <f t="shared" si="60"/>
        <v/>
      </c>
      <c r="J532" s="3" t="str">
        <f t="shared" si="61"/>
        <v/>
      </c>
      <c r="K532" s="3"/>
      <c r="L532" s="60" t="str">
        <f t="shared" si="58"/>
        <v/>
      </c>
      <c r="M532" s="40"/>
      <c r="N532" s="40"/>
      <c r="O532" s="40"/>
      <c r="P532" s="40"/>
      <c r="Q532" s="40"/>
      <c r="R532" s="40"/>
      <c r="S532" s="61" t="str">
        <f t="shared" si="57"/>
        <v/>
      </c>
      <c r="T532" s="40"/>
      <c r="U532" s="40"/>
      <c r="V532" s="40"/>
      <c r="W532" s="40"/>
      <c r="X532" s="67" t="str">
        <f t="shared" si="63"/>
        <v/>
      </c>
      <c r="Z532" s="71"/>
      <c r="AA532" s="71"/>
      <c r="AB532" s="67" t="str">
        <f t="shared" si="62"/>
        <v/>
      </c>
    </row>
    <row r="533" spans="1:28" x14ac:dyDescent="0.25">
      <c r="A533" s="59"/>
      <c r="B533" s="7"/>
      <c r="C533" s="59"/>
      <c r="D533" s="10"/>
      <c r="E533" s="40"/>
      <c r="F533" s="40"/>
      <c r="G533" s="40"/>
      <c r="H533" s="3" t="str">
        <f t="shared" si="59"/>
        <v/>
      </c>
      <c r="I533" s="3" t="str">
        <f t="shared" si="60"/>
        <v/>
      </c>
      <c r="J533" s="3" t="str">
        <f t="shared" si="61"/>
        <v/>
      </c>
      <c r="K533" s="3"/>
      <c r="L533" s="60" t="str">
        <f t="shared" si="58"/>
        <v/>
      </c>
      <c r="M533" s="40"/>
      <c r="N533" s="40"/>
      <c r="O533" s="40"/>
      <c r="P533" s="40"/>
      <c r="Q533" s="40"/>
      <c r="R533" s="40"/>
      <c r="S533" s="61" t="str">
        <f t="shared" si="57"/>
        <v/>
      </c>
      <c r="T533" s="40"/>
      <c r="U533" s="40"/>
      <c r="V533" s="40"/>
      <c r="W533" s="40"/>
      <c r="X533" s="67" t="str">
        <f t="shared" si="63"/>
        <v/>
      </c>
      <c r="Z533" s="71"/>
      <c r="AA533" s="71"/>
      <c r="AB533" s="67" t="str">
        <f t="shared" si="62"/>
        <v/>
      </c>
    </row>
    <row r="534" spans="1:28" x14ac:dyDescent="0.25">
      <c r="A534" s="59"/>
      <c r="B534" s="7"/>
      <c r="C534" s="59"/>
      <c r="D534" s="10"/>
      <c r="E534" s="40"/>
      <c r="F534" s="40"/>
      <c r="G534" s="40"/>
      <c r="H534" s="3" t="str">
        <f t="shared" si="59"/>
        <v/>
      </c>
      <c r="I534" s="3" t="str">
        <f t="shared" si="60"/>
        <v/>
      </c>
      <c r="J534" s="3" t="str">
        <f t="shared" si="61"/>
        <v/>
      </c>
      <c r="K534" s="3"/>
      <c r="L534" s="60" t="str">
        <f t="shared" si="58"/>
        <v/>
      </c>
      <c r="M534" s="40"/>
      <c r="N534" s="40"/>
      <c r="O534" s="40"/>
      <c r="P534" s="40"/>
      <c r="Q534" s="40"/>
      <c r="R534" s="40"/>
      <c r="S534" s="61" t="str">
        <f t="shared" si="57"/>
        <v/>
      </c>
      <c r="T534" s="40"/>
      <c r="U534" s="40"/>
      <c r="V534" s="40"/>
      <c r="W534" s="40"/>
      <c r="X534" s="67" t="str">
        <f t="shared" si="63"/>
        <v/>
      </c>
      <c r="Z534" s="71"/>
      <c r="AA534" s="71"/>
      <c r="AB534" s="67" t="str">
        <f t="shared" si="62"/>
        <v/>
      </c>
    </row>
    <row r="535" spans="1:28" x14ac:dyDescent="0.25">
      <c r="A535" s="59"/>
      <c r="B535" s="7"/>
      <c r="C535" s="59"/>
      <c r="D535" s="10"/>
      <c r="E535" s="40"/>
      <c r="F535" s="40"/>
      <c r="G535" s="40"/>
      <c r="H535" s="3" t="str">
        <f t="shared" si="59"/>
        <v/>
      </c>
      <c r="I535" s="3" t="str">
        <f t="shared" si="60"/>
        <v/>
      </c>
      <c r="J535" s="3" t="str">
        <f t="shared" si="61"/>
        <v/>
      </c>
      <c r="K535" s="3"/>
      <c r="L535" s="60" t="str">
        <f t="shared" si="58"/>
        <v/>
      </c>
      <c r="M535" s="40"/>
      <c r="N535" s="40"/>
      <c r="O535" s="40"/>
      <c r="P535" s="40"/>
      <c r="Q535" s="40"/>
      <c r="R535" s="40"/>
      <c r="S535" s="61" t="str">
        <f t="shared" si="57"/>
        <v/>
      </c>
      <c r="T535" s="40"/>
      <c r="U535" s="40"/>
      <c r="V535" s="40"/>
      <c r="W535" s="40"/>
      <c r="X535" s="67" t="str">
        <f t="shared" si="63"/>
        <v/>
      </c>
      <c r="Z535" s="71"/>
      <c r="AA535" s="71"/>
      <c r="AB535" s="67" t="str">
        <f t="shared" si="62"/>
        <v/>
      </c>
    </row>
    <row r="536" spans="1:28" x14ac:dyDescent="0.25">
      <c r="A536" s="59"/>
      <c r="B536" s="7"/>
      <c r="C536" s="59"/>
      <c r="D536" s="10"/>
      <c r="E536" s="40"/>
      <c r="F536" s="40"/>
      <c r="G536" s="40"/>
      <c r="H536" s="3" t="str">
        <f t="shared" si="59"/>
        <v/>
      </c>
      <c r="I536" s="3" t="str">
        <f t="shared" si="60"/>
        <v/>
      </c>
      <c r="J536" s="3" t="str">
        <f t="shared" si="61"/>
        <v/>
      </c>
      <c r="K536" s="3"/>
      <c r="L536" s="60" t="str">
        <f t="shared" si="58"/>
        <v/>
      </c>
      <c r="M536" s="40"/>
      <c r="N536" s="40"/>
      <c r="O536" s="40"/>
      <c r="P536" s="40"/>
      <c r="Q536" s="40"/>
      <c r="R536" s="40"/>
      <c r="S536" s="61" t="str">
        <f t="shared" si="57"/>
        <v/>
      </c>
      <c r="T536" s="40"/>
      <c r="U536" s="40"/>
      <c r="V536" s="40"/>
      <c r="W536" s="40"/>
      <c r="X536" s="67" t="str">
        <f t="shared" si="63"/>
        <v/>
      </c>
      <c r="Z536" s="71"/>
      <c r="AA536" s="71"/>
      <c r="AB536" s="67" t="str">
        <f t="shared" si="62"/>
        <v/>
      </c>
    </row>
    <row r="537" spans="1:28" x14ac:dyDescent="0.25">
      <c r="A537" s="59"/>
      <c r="B537" s="7"/>
      <c r="C537" s="59"/>
      <c r="D537" s="10"/>
      <c r="E537" s="40"/>
      <c r="F537" s="40"/>
      <c r="G537" s="40"/>
      <c r="H537" s="3" t="str">
        <f t="shared" si="59"/>
        <v/>
      </c>
      <c r="I537" s="3" t="str">
        <f t="shared" si="60"/>
        <v/>
      </c>
      <c r="J537" s="3" t="str">
        <f t="shared" si="61"/>
        <v/>
      </c>
      <c r="K537" s="3"/>
      <c r="L537" s="60" t="str">
        <f t="shared" si="58"/>
        <v/>
      </c>
      <c r="M537" s="40"/>
      <c r="N537" s="40"/>
      <c r="O537" s="40"/>
      <c r="P537" s="40"/>
      <c r="Q537" s="40"/>
      <c r="R537" s="40"/>
      <c r="S537" s="61" t="str">
        <f t="shared" si="57"/>
        <v/>
      </c>
      <c r="T537" s="40"/>
      <c r="U537" s="40"/>
      <c r="V537" s="40"/>
      <c r="W537" s="40"/>
      <c r="X537" s="67" t="str">
        <f t="shared" si="63"/>
        <v/>
      </c>
      <c r="Z537" s="71"/>
      <c r="AA537" s="71"/>
      <c r="AB537" s="67" t="str">
        <f t="shared" si="62"/>
        <v/>
      </c>
    </row>
    <row r="538" spans="1:28" x14ac:dyDescent="0.25">
      <c r="A538" s="59"/>
      <c r="B538" s="7"/>
      <c r="C538" s="59"/>
      <c r="D538" s="10"/>
      <c r="E538" s="40"/>
      <c r="F538" s="40"/>
      <c r="G538" s="40"/>
      <c r="H538" s="3" t="str">
        <f t="shared" si="59"/>
        <v/>
      </c>
      <c r="I538" s="3" t="str">
        <f t="shared" si="60"/>
        <v/>
      </c>
      <c r="J538" s="3" t="str">
        <f t="shared" si="61"/>
        <v/>
      </c>
      <c r="K538" s="3"/>
      <c r="L538" s="60" t="str">
        <f t="shared" si="58"/>
        <v/>
      </c>
      <c r="M538" s="40"/>
      <c r="N538" s="40"/>
      <c r="O538" s="40"/>
      <c r="P538" s="40"/>
      <c r="Q538" s="40"/>
      <c r="R538" s="40"/>
      <c r="S538" s="61" t="str">
        <f t="shared" si="57"/>
        <v/>
      </c>
      <c r="T538" s="40"/>
      <c r="U538" s="40"/>
      <c r="V538" s="40"/>
      <c r="W538" s="40"/>
      <c r="X538" s="67" t="str">
        <f t="shared" si="63"/>
        <v/>
      </c>
      <c r="Z538" s="71"/>
      <c r="AA538" s="71"/>
      <c r="AB538" s="67" t="str">
        <f t="shared" si="62"/>
        <v/>
      </c>
    </row>
    <row r="539" spans="1:28" x14ac:dyDescent="0.25">
      <c r="A539" s="59"/>
      <c r="B539" s="7"/>
      <c r="C539" s="59"/>
      <c r="D539" s="10"/>
      <c r="E539" s="40"/>
      <c r="F539" s="40"/>
      <c r="G539" s="40"/>
      <c r="H539" s="3" t="str">
        <f t="shared" si="59"/>
        <v/>
      </c>
      <c r="I539" s="3" t="str">
        <f t="shared" si="60"/>
        <v/>
      </c>
      <c r="J539" s="3" t="str">
        <f t="shared" si="61"/>
        <v/>
      </c>
      <c r="K539" s="3"/>
      <c r="L539" s="60" t="str">
        <f t="shared" si="58"/>
        <v/>
      </c>
      <c r="M539" s="40"/>
      <c r="N539" s="40"/>
      <c r="O539" s="40"/>
      <c r="P539" s="40"/>
      <c r="Q539" s="40"/>
      <c r="R539" s="40"/>
      <c r="S539" s="61" t="str">
        <f t="shared" si="57"/>
        <v/>
      </c>
      <c r="T539" s="40"/>
      <c r="U539" s="40"/>
      <c r="V539" s="40"/>
      <c r="W539" s="40"/>
      <c r="X539" s="67" t="str">
        <f t="shared" si="63"/>
        <v/>
      </c>
      <c r="Z539" s="71"/>
      <c r="AA539" s="71"/>
      <c r="AB539" s="67" t="str">
        <f t="shared" si="62"/>
        <v/>
      </c>
    </row>
    <row r="540" spans="1:28" x14ac:dyDescent="0.25">
      <c r="A540" s="59"/>
      <c r="B540" s="7"/>
      <c r="C540" s="59"/>
      <c r="D540" s="10"/>
      <c r="E540" s="40"/>
      <c r="F540" s="40"/>
      <c r="G540" s="40"/>
      <c r="H540" s="3" t="str">
        <f t="shared" si="59"/>
        <v/>
      </c>
      <c r="I540" s="3" t="str">
        <f t="shared" si="60"/>
        <v/>
      </c>
      <c r="J540" s="3" t="str">
        <f t="shared" si="61"/>
        <v/>
      </c>
      <c r="K540" s="3"/>
      <c r="L540" s="60" t="str">
        <f t="shared" si="58"/>
        <v/>
      </c>
      <c r="M540" s="40"/>
      <c r="N540" s="40"/>
      <c r="O540" s="40"/>
      <c r="P540" s="40"/>
      <c r="Q540" s="40"/>
      <c r="R540" s="40"/>
      <c r="S540" s="61" t="str">
        <f t="shared" si="57"/>
        <v/>
      </c>
      <c r="T540" s="40"/>
      <c r="U540" s="40"/>
      <c r="V540" s="40"/>
      <c r="W540" s="40"/>
      <c r="X540" s="67" t="str">
        <f t="shared" si="63"/>
        <v/>
      </c>
      <c r="Z540" s="71"/>
      <c r="AA540" s="71"/>
      <c r="AB540" s="67" t="str">
        <f t="shared" si="62"/>
        <v/>
      </c>
    </row>
    <row r="541" spans="1:28" x14ac:dyDescent="0.25">
      <c r="A541" s="59"/>
      <c r="B541" s="7"/>
      <c r="C541" s="59"/>
      <c r="D541" s="10"/>
      <c r="E541" s="40"/>
      <c r="F541" s="40"/>
      <c r="G541" s="40"/>
      <c r="H541" s="3" t="str">
        <f t="shared" si="59"/>
        <v/>
      </c>
      <c r="I541" s="3" t="str">
        <f t="shared" si="60"/>
        <v/>
      </c>
      <c r="J541" s="3" t="str">
        <f t="shared" si="61"/>
        <v/>
      </c>
      <c r="K541" s="3"/>
      <c r="L541" s="60" t="str">
        <f t="shared" si="58"/>
        <v/>
      </c>
      <c r="M541" s="40"/>
      <c r="N541" s="40"/>
      <c r="O541" s="40"/>
      <c r="P541" s="40"/>
      <c r="Q541" s="40"/>
      <c r="R541" s="40"/>
      <c r="S541" s="61" t="str">
        <f t="shared" si="57"/>
        <v/>
      </c>
      <c r="T541" s="40"/>
      <c r="U541" s="40"/>
      <c r="V541" s="40"/>
      <c r="W541" s="40"/>
      <c r="X541" s="67" t="str">
        <f t="shared" si="63"/>
        <v/>
      </c>
      <c r="Z541" s="71"/>
      <c r="AA541" s="71"/>
      <c r="AB541" s="67" t="str">
        <f t="shared" si="62"/>
        <v/>
      </c>
    </row>
    <row r="542" spans="1:28" x14ac:dyDescent="0.25">
      <c r="A542" s="59"/>
      <c r="B542" s="7"/>
      <c r="C542" s="59"/>
      <c r="D542" s="10"/>
      <c r="E542" s="40"/>
      <c r="F542" s="40"/>
      <c r="G542" s="40"/>
      <c r="H542" s="3" t="str">
        <f t="shared" si="59"/>
        <v/>
      </c>
      <c r="I542" s="3" t="str">
        <f t="shared" si="60"/>
        <v/>
      </c>
      <c r="J542" s="3" t="str">
        <f t="shared" si="61"/>
        <v/>
      </c>
      <c r="K542" s="3"/>
      <c r="L542" s="60" t="str">
        <f t="shared" si="58"/>
        <v/>
      </c>
      <c r="M542" s="40"/>
      <c r="N542" s="40"/>
      <c r="O542" s="40"/>
      <c r="P542" s="40"/>
      <c r="Q542" s="40"/>
      <c r="R542" s="40"/>
      <c r="S542" s="61" t="str">
        <f t="shared" si="57"/>
        <v/>
      </c>
      <c r="T542" s="40"/>
      <c r="U542" s="40"/>
      <c r="V542" s="40"/>
      <c r="W542" s="40"/>
      <c r="X542" s="67" t="str">
        <f t="shared" si="63"/>
        <v/>
      </c>
      <c r="Z542" s="71"/>
      <c r="AA542" s="71"/>
      <c r="AB542" s="67" t="str">
        <f t="shared" si="62"/>
        <v/>
      </c>
    </row>
    <row r="543" spans="1:28" x14ac:dyDescent="0.25">
      <c r="A543" s="59"/>
      <c r="B543" s="7"/>
      <c r="C543" s="59"/>
      <c r="D543" s="10"/>
      <c r="E543" s="40"/>
      <c r="F543" s="40"/>
      <c r="G543" s="40"/>
      <c r="H543" s="3" t="str">
        <f t="shared" si="59"/>
        <v/>
      </c>
      <c r="I543" s="3" t="str">
        <f t="shared" si="60"/>
        <v/>
      </c>
      <c r="J543" s="3" t="str">
        <f t="shared" si="61"/>
        <v/>
      </c>
      <c r="K543" s="3"/>
      <c r="L543" s="60" t="str">
        <f t="shared" si="58"/>
        <v/>
      </c>
      <c r="M543" s="40"/>
      <c r="N543" s="40"/>
      <c r="O543" s="40"/>
      <c r="P543" s="40"/>
      <c r="Q543" s="40"/>
      <c r="R543" s="40"/>
      <c r="S543" s="61" t="str">
        <f t="shared" si="57"/>
        <v/>
      </c>
      <c r="T543" s="40"/>
      <c r="U543" s="40"/>
      <c r="V543" s="40"/>
      <c r="W543" s="40"/>
      <c r="X543" s="67" t="str">
        <f t="shared" si="63"/>
        <v/>
      </c>
      <c r="Z543" s="71"/>
      <c r="AA543" s="71"/>
      <c r="AB543" s="67" t="str">
        <f t="shared" si="62"/>
        <v/>
      </c>
    </row>
    <row r="544" spans="1:28" x14ac:dyDescent="0.25">
      <c r="A544" s="59"/>
      <c r="B544" s="7"/>
      <c r="C544" s="59"/>
      <c r="D544" s="10"/>
      <c r="E544" s="40"/>
      <c r="F544" s="40"/>
      <c r="G544" s="40"/>
      <c r="H544" s="3" t="str">
        <f t="shared" si="59"/>
        <v/>
      </c>
      <c r="I544" s="3" t="str">
        <f t="shared" si="60"/>
        <v/>
      </c>
      <c r="J544" s="3" t="str">
        <f t="shared" si="61"/>
        <v/>
      </c>
      <c r="K544" s="3"/>
      <c r="L544" s="60" t="str">
        <f t="shared" si="58"/>
        <v/>
      </c>
      <c r="M544" s="40"/>
      <c r="N544" s="40"/>
      <c r="O544" s="40"/>
      <c r="P544" s="40"/>
      <c r="Q544" s="40"/>
      <c r="R544" s="40"/>
      <c r="S544" s="61" t="str">
        <f t="shared" si="57"/>
        <v/>
      </c>
      <c r="T544" s="40"/>
      <c r="U544" s="40"/>
      <c r="V544" s="40"/>
      <c r="W544" s="40"/>
      <c r="X544" s="67" t="str">
        <f t="shared" si="63"/>
        <v/>
      </c>
      <c r="Z544" s="71"/>
      <c r="AA544" s="71"/>
      <c r="AB544" s="67" t="str">
        <f t="shared" si="62"/>
        <v/>
      </c>
    </row>
    <row r="545" spans="1:28" x14ac:dyDescent="0.25">
      <c r="A545" s="59"/>
      <c r="B545" s="7"/>
      <c r="C545" s="59"/>
      <c r="D545" s="10"/>
      <c r="E545" s="40"/>
      <c r="F545" s="40"/>
      <c r="G545" s="40"/>
      <c r="H545" s="3" t="str">
        <f t="shared" si="59"/>
        <v/>
      </c>
      <c r="I545" s="3" t="str">
        <f t="shared" si="60"/>
        <v/>
      </c>
      <c r="J545" s="3" t="str">
        <f t="shared" si="61"/>
        <v/>
      </c>
      <c r="K545" s="3"/>
      <c r="L545" s="60" t="str">
        <f t="shared" si="58"/>
        <v/>
      </c>
      <c r="M545" s="40"/>
      <c r="N545" s="40"/>
      <c r="O545" s="40"/>
      <c r="P545" s="40"/>
      <c r="Q545" s="40"/>
      <c r="R545" s="40"/>
      <c r="S545" s="61" t="str">
        <f t="shared" si="57"/>
        <v/>
      </c>
      <c r="T545" s="40"/>
      <c r="U545" s="40"/>
      <c r="V545" s="40"/>
      <c r="W545" s="40"/>
      <c r="X545" s="67" t="str">
        <f t="shared" si="63"/>
        <v/>
      </c>
      <c r="Z545" s="71"/>
      <c r="AA545" s="71"/>
      <c r="AB545" s="67" t="str">
        <f t="shared" si="62"/>
        <v/>
      </c>
    </row>
    <row r="546" spans="1:28" x14ac:dyDescent="0.25">
      <c r="A546" s="59"/>
      <c r="B546" s="7"/>
      <c r="C546" s="59"/>
      <c r="D546" s="10"/>
      <c r="E546" s="40"/>
      <c r="F546" s="40"/>
      <c r="G546" s="40"/>
      <c r="H546" s="3" t="str">
        <f t="shared" si="59"/>
        <v/>
      </c>
      <c r="I546" s="3" t="str">
        <f t="shared" si="60"/>
        <v/>
      </c>
      <c r="J546" s="3" t="str">
        <f t="shared" si="61"/>
        <v/>
      </c>
      <c r="K546" s="3"/>
      <c r="L546" s="60" t="str">
        <f t="shared" si="58"/>
        <v/>
      </c>
      <c r="M546" s="40"/>
      <c r="N546" s="40"/>
      <c r="O546" s="40"/>
      <c r="P546" s="40"/>
      <c r="Q546" s="40"/>
      <c r="R546" s="40"/>
      <c r="S546" s="61" t="str">
        <f t="shared" si="57"/>
        <v/>
      </c>
      <c r="T546" s="40"/>
      <c r="U546" s="40"/>
      <c r="V546" s="40"/>
      <c r="W546" s="40"/>
      <c r="X546" s="67" t="str">
        <f t="shared" si="63"/>
        <v/>
      </c>
      <c r="Z546" s="71"/>
      <c r="AA546" s="71"/>
      <c r="AB546" s="67" t="str">
        <f t="shared" si="62"/>
        <v/>
      </c>
    </row>
    <row r="547" spans="1:28" x14ac:dyDescent="0.25">
      <c r="A547" s="59"/>
      <c r="B547" s="7"/>
      <c r="C547" s="59"/>
      <c r="D547" s="10"/>
      <c r="E547" s="40"/>
      <c r="F547" s="40"/>
      <c r="G547" s="40"/>
      <c r="H547" s="3" t="str">
        <f t="shared" si="59"/>
        <v/>
      </c>
      <c r="I547" s="3" t="str">
        <f t="shared" si="60"/>
        <v/>
      </c>
      <c r="J547" s="3" t="str">
        <f t="shared" si="61"/>
        <v/>
      </c>
      <c r="K547" s="3"/>
      <c r="L547" s="60" t="str">
        <f t="shared" si="58"/>
        <v/>
      </c>
      <c r="M547" s="40"/>
      <c r="N547" s="40"/>
      <c r="O547" s="40"/>
      <c r="P547" s="40"/>
      <c r="Q547" s="40"/>
      <c r="R547" s="40"/>
      <c r="S547" s="61" t="str">
        <f t="shared" si="57"/>
        <v/>
      </c>
      <c r="T547" s="40"/>
      <c r="U547" s="40"/>
      <c r="V547" s="40"/>
      <c r="W547" s="40"/>
      <c r="X547" s="67" t="str">
        <f t="shared" si="63"/>
        <v/>
      </c>
      <c r="Z547" s="71"/>
      <c r="AA547" s="71"/>
      <c r="AB547" s="67" t="str">
        <f t="shared" si="62"/>
        <v/>
      </c>
    </row>
    <row r="548" spans="1:28" x14ac:dyDescent="0.25">
      <c r="A548" s="59"/>
      <c r="B548" s="7"/>
      <c r="C548" s="59"/>
      <c r="D548" s="10"/>
      <c r="E548" s="40"/>
      <c r="F548" s="40"/>
      <c r="G548" s="40"/>
      <c r="H548" s="3" t="str">
        <f t="shared" si="59"/>
        <v/>
      </c>
      <c r="I548" s="3" t="str">
        <f t="shared" si="60"/>
        <v/>
      </c>
      <c r="J548" s="3" t="str">
        <f t="shared" si="61"/>
        <v/>
      </c>
      <c r="K548" s="3"/>
      <c r="L548" s="60" t="str">
        <f t="shared" si="58"/>
        <v/>
      </c>
      <c r="M548" s="40"/>
      <c r="N548" s="40"/>
      <c r="O548" s="40"/>
      <c r="P548" s="40"/>
      <c r="Q548" s="40"/>
      <c r="R548" s="40"/>
      <c r="S548" s="61" t="str">
        <f t="shared" si="57"/>
        <v/>
      </c>
      <c r="T548" s="40"/>
      <c r="U548" s="40"/>
      <c r="V548" s="40"/>
      <c r="W548" s="40"/>
      <c r="X548" s="67" t="str">
        <f t="shared" si="63"/>
        <v/>
      </c>
      <c r="Z548" s="71"/>
      <c r="AA548" s="71"/>
      <c r="AB548" s="67" t="str">
        <f t="shared" si="62"/>
        <v/>
      </c>
    </row>
    <row r="549" spans="1:28" x14ac:dyDescent="0.25">
      <c r="A549" s="59"/>
      <c r="B549" s="7"/>
      <c r="C549" s="59"/>
      <c r="D549" s="10"/>
      <c r="E549" s="40"/>
      <c r="F549" s="40"/>
      <c r="G549" s="40"/>
      <c r="H549" s="3" t="str">
        <f t="shared" si="59"/>
        <v/>
      </c>
      <c r="I549" s="3" t="str">
        <f t="shared" si="60"/>
        <v/>
      </c>
      <c r="J549" s="3" t="str">
        <f t="shared" si="61"/>
        <v/>
      </c>
      <c r="K549" s="3"/>
      <c r="L549" s="60" t="str">
        <f t="shared" si="58"/>
        <v/>
      </c>
      <c r="M549" s="40"/>
      <c r="N549" s="40"/>
      <c r="O549" s="40"/>
      <c r="P549" s="40"/>
      <c r="Q549" s="40"/>
      <c r="R549" s="40"/>
      <c r="S549" s="61" t="str">
        <f t="shared" si="57"/>
        <v/>
      </c>
      <c r="T549" s="40"/>
      <c r="U549" s="40"/>
      <c r="V549" s="40"/>
      <c r="W549" s="40"/>
      <c r="X549" s="67" t="str">
        <f t="shared" si="63"/>
        <v/>
      </c>
      <c r="Z549" s="71"/>
      <c r="AA549" s="71"/>
      <c r="AB549" s="67" t="str">
        <f t="shared" si="62"/>
        <v/>
      </c>
    </row>
    <row r="550" spans="1:28" x14ac:dyDescent="0.25">
      <c r="A550" s="59"/>
      <c r="B550" s="7"/>
      <c r="C550" s="59"/>
      <c r="D550" s="10"/>
      <c r="E550" s="40"/>
      <c r="F550" s="40"/>
      <c r="G550" s="40"/>
      <c r="H550" s="3" t="str">
        <f t="shared" si="59"/>
        <v/>
      </c>
      <c r="I550" s="3" t="str">
        <f t="shared" si="60"/>
        <v/>
      </c>
      <c r="J550" s="3" t="str">
        <f t="shared" si="61"/>
        <v/>
      </c>
      <c r="K550" s="3"/>
      <c r="L550" s="60" t="str">
        <f t="shared" si="58"/>
        <v/>
      </c>
      <c r="M550" s="40"/>
      <c r="N550" s="40"/>
      <c r="O550" s="40"/>
      <c r="P550" s="40"/>
      <c r="Q550" s="40"/>
      <c r="R550" s="40"/>
      <c r="S550" s="61" t="str">
        <f t="shared" si="57"/>
        <v/>
      </c>
      <c r="T550" s="40"/>
      <c r="U550" s="40"/>
      <c r="V550" s="40"/>
      <c r="W550" s="40"/>
      <c r="X550" s="67" t="str">
        <f t="shared" si="63"/>
        <v/>
      </c>
      <c r="Z550" s="71"/>
      <c r="AA550" s="71"/>
      <c r="AB550" s="67" t="str">
        <f t="shared" si="62"/>
        <v/>
      </c>
    </row>
    <row r="551" spans="1:28" x14ac:dyDescent="0.25">
      <c r="A551" s="59"/>
      <c r="B551" s="7"/>
      <c r="C551" s="59"/>
      <c r="D551" s="10"/>
      <c r="E551" s="40"/>
      <c r="F551" s="40"/>
      <c r="G551" s="40"/>
      <c r="H551" s="3" t="str">
        <f t="shared" si="59"/>
        <v/>
      </c>
      <c r="I551" s="3" t="str">
        <f t="shared" si="60"/>
        <v/>
      </c>
      <c r="J551" s="3" t="str">
        <f t="shared" si="61"/>
        <v/>
      </c>
      <c r="K551" s="3"/>
      <c r="L551" s="60" t="str">
        <f t="shared" si="58"/>
        <v/>
      </c>
      <c r="M551" s="40"/>
      <c r="N551" s="40"/>
      <c r="O551" s="40"/>
      <c r="P551" s="40"/>
      <c r="Q551" s="40"/>
      <c r="R551" s="40"/>
      <c r="S551" s="61" t="str">
        <f t="shared" si="57"/>
        <v/>
      </c>
      <c r="T551" s="40"/>
      <c r="U551" s="40"/>
      <c r="V551" s="40"/>
      <c r="W551" s="40"/>
      <c r="X551" s="67" t="str">
        <f t="shared" si="63"/>
        <v/>
      </c>
      <c r="Z551" s="71"/>
      <c r="AA551" s="71"/>
      <c r="AB551" s="67" t="str">
        <f t="shared" si="62"/>
        <v/>
      </c>
    </row>
    <row r="552" spans="1:28" x14ac:dyDescent="0.25">
      <c r="A552" s="59"/>
      <c r="B552" s="7"/>
      <c r="C552" s="59"/>
      <c r="D552" s="10"/>
      <c r="E552" s="40"/>
      <c r="F552" s="40"/>
      <c r="G552" s="40"/>
      <c r="H552" s="3" t="str">
        <f t="shared" si="59"/>
        <v/>
      </c>
      <c r="I552" s="3" t="str">
        <f t="shared" si="60"/>
        <v/>
      </c>
      <c r="J552" s="3" t="str">
        <f t="shared" si="61"/>
        <v/>
      </c>
      <c r="K552" s="3"/>
      <c r="L552" s="60" t="str">
        <f t="shared" si="58"/>
        <v/>
      </c>
      <c r="M552" s="40"/>
      <c r="N552" s="40"/>
      <c r="O552" s="40"/>
      <c r="P552" s="40"/>
      <c r="Q552" s="40"/>
      <c r="R552" s="40"/>
      <c r="S552" s="61" t="str">
        <f t="shared" si="57"/>
        <v/>
      </c>
      <c r="T552" s="40"/>
      <c r="U552" s="40"/>
      <c r="V552" s="40"/>
      <c r="W552" s="40"/>
      <c r="X552" s="67" t="str">
        <f t="shared" si="63"/>
        <v/>
      </c>
      <c r="Z552" s="71"/>
      <c r="AA552" s="71"/>
      <c r="AB552" s="67" t="str">
        <f t="shared" si="62"/>
        <v/>
      </c>
    </row>
    <row r="553" spans="1:28" x14ac:dyDescent="0.25">
      <c r="A553" s="59"/>
      <c r="B553" s="7"/>
      <c r="C553" s="59"/>
      <c r="D553" s="10"/>
      <c r="E553" s="40"/>
      <c r="F553" s="40"/>
      <c r="G553" s="40"/>
      <c r="H553" s="3" t="str">
        <f t="shared" si="59"/>
        <v/>
      </c>
      <c r="I553" s="3" t="str">
        <f t="shared" si="60"/>
        <v/>
      </c>
      <c r="J553" s="3" t="str">
        <f t="shared" si="61"/>
        <v/>
      </c>
      <c r="K553" s="3"/>
      <c r="L553" s="60" t="str">
        <f t="shared" si="58"/>
        <v/>
      </c>
      <c r="M553" s="40"/>
      <c r="N553" s="40"/>
      <c r="O553" s="40"/>
      <c r="P553" s="40"/>
      <c r="Q553" s="40"/>
      <c r="R553" s="40"/>
      <c r="S553" s="61" t="str">
        <f t="shared" ref="S553:S595" si="64">IF(C553="","",(S552+R553)-(M553+N553+O553+P553+Q553))</f>
        <v/>
      </c>
      <c r="T553" s="40"/>
      <c r="U553" s="40"/>
      <c r="V553" s="40"/>
      <c r="W553" s="40"/>
      <c r="X553" s="67" t="str">
        <f t="shared" si="63"/>
        <v/>
      </c>
      <c r="Z553" s="71"/>
      <c r="AA553" s="71"/>
      <c r="AB553" s="67" t="str">
        <f t="shared" si="62"/>
        <v/>
      </c>
    </row>
    <row r="554" spans="1:28" x14ac:dyDescent="0.25">
      <c r="A554" s="59"/>
      <c r="B554" s="7"/>
      <c r="C554" s="59"/>
      <c r="D554" s="10"/>
      <c r="E554" s="40"/>
      <c r="F554" s="40"/>
      <c r="G554" s="40"/>
      <c r="H554" s="3" t="str">
        <f t="shared" si="59"/>
        <v/>
      </c>
      <c r="I554" s="3" t="str">
        <f t="shared" si="60"/>
        <v/>
      </c>
      <c r="J554" s="3" t="str">
        <f t="shared" si="61"/>
        <v/>
      </c>
      <c r="K554" s="3"/>
      <c r="L554" s="60" t="str">
        <f t="shared" si="58"/>
        <v/>
      </c>
      <c r="M554" s="40"/>
      <c r="N554" s="40"/>
      <c r="O554" s="40"/>
      <c r="P554" s="40"/>
      <c r="Q554" s="40"/>
      <c r="R554" s="40"/>
      <c r="S554" s="61" t="str">
        <f t="shared" si="64"/>
        <v/>
      </c>
      <c r="T554" s="40"/>
      <c r="U554" s="40"/>
      <c r="V554" s="40"/>
      <c r="W554" s="40"/>
      <c r="X554" s="67" t="str">
        <f t="shared" si="63"/>
        <v/>
      </c>
      <c r="Z554" s="71"/>
      <c r="AA554" s="71"/>
      <c r="AB554" s="67" t="str">
        <f t="shared" si="62"/>
        <v/>
      </c>
    </row>
    <row r="555" spans="1:28" x14ac:dyDescent="0.25">
      <c r="A555" s="59"/>
      <c r="B555" s="7"/>
      <c r="C555" s="59"/>
      <c r="D555" s="10"/>
      <c r="E555" s="40"/>
      <c r="F555" s="40"/>
      <c r="G555" s="40"/>
      <c r="H555" s="3" t="str">
        <f t="shared" si="59"/>
        <v/>
      </c>
      <c r="I555" s="3" t="str">
        <f t="shared" si="60"/>
        <v/>
      </c>
      <c r="J555" s="3" t="str">
        <f t="shared" si="61"/>
        <v/>
      </c>
      <c r="K555" s="3"/>
      <c r="L555" s="60" t="str">
        <f t="shared" si="58"/>
        <v/>
      </c>
      <c r="M555" s="40"/>
      <c r="N555" s="40"/>
      <c r="O555" s="40"/>
      <c r="P555" s="40"/>
      <c r="Q555" s="40"/>
      <c r="R555" s="40"/>
      <c r="S555" s="61" t="str">
        <f t="shared" si="64"/>
        <v/>
      </c>
      <c r="T555" s="40"/>
      <c r="U555" s="40"/>
      <c r="V555" s="40"/>
      <c r="W555" s="40"/>
      <c r="X555" s="67" t="str">
        <f t="shared" si="63"/>
        <v/>
      </c>
      <c r="Z555" s="71"/>
      <c r="AA555" s="71"/>
      <c r="AB555" s="67" t="str">
        <f t="shared" si="62"/>
        <v/>
      </c>
    </row>
    <row r="556" spans="1:28" x14ac:dyDescent="0.25">
      <c r="A556" s="59"/>
      <c r="B556" s="7"/>
      <c r="C556" s="59"/>
      <c r="D556" s="10"/>
      <c r="E556" s="40"/>
      <c r="F556" s="40"/>
      <c r="G556" s="40"/>
      <c r="H556" s="3" t="str">
        <f t="shared" si="59"/>
        <v/>
      </c>
      <c r="I556" s="3" t="str">
        <f t="shared" si="60"/>
        <v/>
      </c>
      <c r="J556" s="3" t="str">
        <f t="shared" si="61"/>
        <v/>
      </c>
      <c r="K556" s="3"/>
      <c r="L556" s="60" t="str">
        <f t="shared" si="58"/>
        <v/>
      </c>
      <c r="M556" s="40"/>
      <c r="N556" s="40"/>
      <c r="O556" s="40"/>
      <c r="P556" s="40"/>
      <c r="Q556" s="40"/>
      <c r="R556" s="40"/>
      <c r="S556" s="61" t="str">
        <f t="shared" si="64"/>
        <v/>
      </c>
      <c r="T556" s="40"/>
      <c r="U556" s="40"/>
      <c r="V556" s="40"/>
      <c r="W556" s="40"/>
      <c r="X556" s="67" t="str">
        <f t="shared" si="63"/>
        <v/>
      </c>
      <c r="Z556" s="71"/>
      <c r="AA556" s="71"/>
      <c r="AB556" s="67" t="str">
        <f t="shared" si="62"/>
        <v/>
      </c>
    </row>
    <row r="557" spans="1:28" x14ac:dyDescent="0.25">
      <c r="A557" s="59"/>
      <c r="B557" s="7"/>
      <c r="C557" s="59"/>
      <c r="D557" s="10"/>
      <c r="E557" s="40"/>
      <c r="F557" s="40"/>
      <c r="G557" s="40"/>
      <c r="H557" s="3" t="str">
        <f t="shared" si="59"/>
        <v/>
      </c>
      <c r="I557" s="3" t="str">
        <f t="shared" si="60"/>
        <v/>
      </c>
      <c r="J557" s="3" t="str">
        <f t="shared" si="61"/>
        <v/>
      </c>
      <c r="K557" s="3"/>
      <c r="L557" s="60" t="str">
        <f t="shared" si="58"/>
        <v/>
      </c>
      <c r="M557" s="40"/>
      <c r="N557" s="40"/>
      <c r="O557" s="40"/>
      <c r="P557" s="40"/>
      <c r="Q557" s="40"/>
      <c r="R557" s="40"/>
      <c r="S557" s="61" t="str">
        <f t="shared" si="64"/>
        <v/>
      </c>
      <c r="T557" s="40"/>
      <c r="U557" s="40"/>
      <c r="V557" s="40"/>
      <c r="W557" s="40"/>
      <c r="X557" s="67" t="str">
        <f t="shared" si="63"/>
        <v/>
      </c>
      <c r="Z557" s="71"/>
      <c r="AA557" s="71"/>
      <c r="AB557" s="67" t="str">
        <f t="shared" si="62"/>
        <v/>
      </c>
    </row>
    <row r="558" spans="1:28" x14ac:dyDescent="0.25">
      <c r="A558" s="59"/>
      <c r="B558" s="7"/>
      <c r="C558" s="59"/>
      <c r="D558" s="10"/>
      <c r="E558" s="40"/>
      <c r="F558" s="40"/>
      <c r="G558" s="40"/>
      <c r="H558" s="3" t="str">
        <f t="shared" si="59"/>
        <v/>
      </c>
      <c r="I558" s="3" t="str">
        <f t="shared" si="60"/>
        <v/>
      </c>
      <c r="J558" s="3" t="str">
        <f t="shared" si="61"/>
        <v/>
      </c>
      <c r="K558" s="3"/>
      <c r="L558" s="60" t="str">
        <f t="shared" si="58"/>
        <v/>
      </c>
      <c r="M558" s="40"/>
      <c r="N558" s="40"/>
      <c r="O558" s="40"/>
      <c r="P558" s="40"/>
      <c r="Q558" s="40"/>
      <c r="R558" s="40"/>
      <c r="S558" s="61" t="str">
        <f t="shared" si="64"/>
        <v/>
      </c>
      <c r="T558" s="40"/>
      <c r="U558" s="40"/>
      <c r="V558" s="40"/>
      <c r="W558" s="40"/>
      <c r="X558" s="67" t="str">
        <f t="shared" si="63"/>
        <v/>
      </c>
      <c r="Z558" s="71"/>
      <c r="AA558" s="71"/>
      <c r="AB558" s="67" t="str">
        <f t="shared" si="62"/>
        <v/>
      </c>
    </row>
    <row r="559" spans="1:28" x14ac:dyDescent="0.25">
      <c r="A559" s="59"/>
      <c r="B559" s="7"/>
      <c r="C559" s="59"/>
      <c r="D559" s="10"/>
      <c r="E559" s="40"/>
      <c r="F559" s="40"/>
      <c r="G559" s="40"/>
      <c r="H559" s="3" t="str">
        <f t="shared" si="59"/>
        <v/>
      </c>
      <c r="I559" s="3" t="str">
        <f t="shared" si="60"/>
        <v/>
      </c>
      <c r="J559" s="3" t="str">
        <f t="shared" si="61"/>
        <v/>
      </c>
      <c r="K559" s="3"/>
      <c r="L559" s="60" t="str">
        <f t="shared" si="58"/>
        <v/>
      </c>
      <c r="M559" s="40"/>
      <c r="N559" s="40"/>
      <c r="O559" s="40"/>
      <c r="P559" s="40"/>
      <c r="Q559" s="40"/>
      <c r="R559" s="40"/>
      <c r="S559" s="61" t="str">
        <f t="shared" si="64"/>
        <v/>
      </c>
      <c r="T559" s="40"/>
      <c r="U559" s="40"/>
      <c r="V559" s="40"/>
      <c r="W559" s="40"/>
      <c r="X559" s="67" t="str">
        <f t="shared" si="63"/>
        <v/>
      </c>
      <c r="Z559" s="71"/>
      <c r="AA559" s="71"/>
      <c r="AB559" s="67" t="str">
        <f t="shared" si="62"/>
        <v/>
      </c>
    </row>
    <row r="560" spans="1:28" x14ac:dyDescent="0.25">
      <c r="A560" s="59"/>
      <c r="B560" s="7"/>
      <c r="C560" s="59"/>
      <c r="D560" s="10"/>
      <c r="E560" s="40"/>
      <c r="F560" s="40"/>
      <c r="G560" s="40"/>
      <c r="H560" s="3" t="str">
        <f t="shared" si="59"/>
        <v/>
      </c>
      <c r="I560" s="3" t="str">
        <f t="shared" si="60"/>
        <v/>
      </c>
      <c r="J560" s="3" t="str">
        <f t="shared" si="61"/>
        <v/>
      </c>
      <c r="K560" s="3"/>
      <c r="L560" s="60" t="str">
        <f t="shared" si="58"/>
        <v/>
      </c>
      <c r="M560" s="40"/>
      <c r="N560" s="40"/>
      <c r="O560" s="40"/>
      <c r="P560" s="40"/>
      <c r="Q560" s="40"/>
      <c r="R560" s="40"/>
      <c r="S560" s="61" t="str">
        <f t="shared" si="64"/>
        <v/>
      </c>
      <c r="T560" s="40"/>
      <c r="U560" s="40"/>
      <c r="V560" s="40"/>
      <c r="W560" s="40"/>
      <c r="X560" s="67" t="str">
        <f t="shared" si="63"/>
        <v/>
      </c>
      <c r="Z560" s="71"/>
      <c r="AA560" s="71"/>
      <c r="AB560" s="67" t="str">
        <f t="shared" si="62"/>
        <v/>
      </c>
    </row>
    <row r="561" spans="1:28" x14ac:dyDescent="0.25">
      <c r="A561" s="59"/>
      <c r="B561" s="7"/>
      <c r="C561" s="59"/>
      <c r="D561" s="10"/>
      <c r="E561" s="40"/>
      <c r="F561" s="40"/>
      <c r="G561" s="40"/>
      <c r="H561" s="3" t="str">
        <f t="shared" si="59"/>
        <v/>
      </c>
      <c r="I561" s="3" t="str">
        <f t="shared" si="60"/>
        <v/>
      </c>
      <c r="J561" s="3" t="str">
        <f t="shared" si="61"/>
        <v/>
      </c>
      <c r="K561" s="3"/>
      <c r="L561" s="60" t="str">
        <f t="shared" si="58"/>
        <v/>
      </c>
      <c r="M561" s="40"/>
      <c r="N561" s="40"/>
      <c r="O561" s="40"/>
      <c r="P561" s="40"/>
      <c r="Q561" s="40"/>
      <c r="R561" s="40"/>
      <c r="S561" s="61" t="str">
        <f t="shared" si="64"/>
        <v/>
      </c>
      <c r="T561" s="40"/>
      <c r="U561" s="40"/>
      <c r="V561" s="40"/>
      <c r="W561" s="40"/>
      <c r="X561" s="67" t="str">
        <f t="shared" si="63"/>
        <v/>
      </c>
      <c r="Z561" s="71"/>
      <c r="AA561" s="71"/>
      <c r="AB561" s="67" t="str">
        <f t="shared" si="62"/>
        <v/>
      </c>
    </row>
    <row r="562" spans="1:28" x14ac:dyDescent="0.25">
      <c r="A562" s="59"/>
      <c r="B562" s="7"/>
      <c r="C562" s="59"/>
      <c r="D562" s="10"/>
      <c r="E562" s="40"/>
      <c r="F562" s="40"/>
      <c r="G562" s="40"/>
      <c r="H562" s="3" t="str">
        <f t="shared" si="59"/>
        <v/>
      </c>
      <c r="I562" s="3" t="str">
        <f t="shared" si="60"/>
        <v/>
      </c>
      <c r="J562" s="3" t="str">
        <f t="shared" si="61"/>
        <v/>
      </c>
      <c r="K562" s="3"/>
      <c r="L562" s="60" t="str">
        <f t="shared" ref="L562:L595" si="65">+IF(C562="","",((L561-(H562+I562+J562))+K562))</f>
        <v/>
      </c>
      <c r="M562" s="40"/>
      <c r="N562" s="40"/>
      <c r="O562" s="40"/>
      <c r="P562" s="40"/>
      <c r="Q562" s="40"/>
      <c r="R562" s="40"/>
      <c r="S562" s="61" t="str">
        <f t="shared" si="64"/>
        <v/>
      </c>
      <c r="T562" s="40"/>
      <c r="U562" s="40"/>
      <c r="V562" s="40"/>
      <c r="W562" s="40"/>
      <c r="X562" s="67" t="str">
        <f t="shared" si="63"/>
        <v/>
      </c>
      <c r="Z562" s="71"/>
      <c r="AA562" s="71"/>
      <c r="AB562" s="67" t="str">
        <f t="shared" si="62"/>
        <v/>
      </c>
    </row>
    <row r="563" spans="1:28" x14ac:dyDescent="0.25">
      <c r="A563" s="59"/>
      <c r="B563" s="7"/>
      <c r="C563" s="59"/>
      <c r="D563" s="10"/>
      <c r="E563" s="40"/>
      <c r="F563" s="40"/>
      <c r="G563" s="40"/>
      <c r="H563" s="3" t="str">
        <f t="shared" si="59"/>
        <v/>
      </c>
      <c r="I563" s="3" t="str">
        <f t="shared" si="60"/>
        <v/>
      </c>
      <c r="J563" s="3" t="str">
        <f t="shared" si="61"/>
        <v/>
      </c>
      <c r="K563" s="3"/>
      <c r="L563" s="60" t="str">
        <f t="shared" si="65"/>
        <v/>
      </c>
      <c r="M563" s="40"/>
      <c r="N563" s="40"/>
      <c r="O563" s="40"/>
      <c r="P563" s="40"/>
      <c r="Q563" s="40"/>
      <c r="R563" s="40"/>
      <c r="S563" s="61" t="str">
        <f t="shared" si="64"/>
        <v/>
      </c>
      <c r="T563" s="40"/>
      <c r="U563" s="40"/>
      <c r="V563" s="40"/>
      <c r="W563" s="40"/>
      <c r="X563" s="67" t="str">
        <f t="shared" si="63"/>
        <v/>
      </c>
      <c r="Z563" s="71"/>
      <c r="AA563" s="71"/>
      <c r="AB563" s="67" t="str">
        <f t="shared" si="62"/>
        <v/>
      </c>
    </row>
    <row r="564" spans="1:28" x14ac:dyDescent="0.25">
      <c r="A564" s="59"/>
      <c r="B564" s="7"/>
      <c r="C564" s="59"/>
      <c r="D564" s="10"/>
      <c r="E564" s="40"/>
      <c r="F564" s="40"/>
      <c r="G564" s="40"/>
      <c r="H564" s="3" t="str">
        <f t="shared" si="59"/>
        <v/>
      </c>
      <c r="I564" s="3" t="str">
        <f t="shared" si="60"/>
        <v/>
      </c>
      <c r="J564" s="3" t="str">
        <f t="shared" si="61"/>
        <v/>
      </c>
      <c r="K564" s="3"/>
      <c r="L564" s="60" t="str">
        <f t="shared" si="65"/>
        <v/>
      </c>
      <c r="M564" s="40"/>
      <c r="N564" s="40"/>
      <c r="O564" s="40"/>
      <c r="P564" s="40"/>
      <c r="Q564" s="40"/>
      <c r="R564" s="40"/>
      <c r="S564" s="61" t="str">
        <f t="shared" si="64"/>
        <v/>
      </c>
      <c r="T564" s="40"/>
      <c r="U564" s="40"/>
      <c r="V564" s="40"/>
      <c r="W564" s="40"/>
      <c r="X564" s="67" t="str">
        <f t="shared" si="63"/>
        <v/>
      </c>
      <c r="Z564" s="71"/>
      <c r="AA564" s="71"/>
      <c r="AB564" s="67" t="str">
        <f t="shared" si="62"/>
        <v/>
      </c>
    </row>
    <row r="565" spans="1:28" x14ac:dyDescent="0.25">
      <c r="A565" s="59"/>
      <c r="B565" s="7"/>
      <c r="C565" s="59"/>
      <c r="D565" s="10"/>
      <c r="E565" s="40"/>
      <c r="F565" s="40"/>
      <c r="G565" s="40"/>
      <c r="H565" s="3" t="str">
        <f t="shared" si="59"/>
        <v/>
      </c>
      <c r="I565" s="3" t="str">
        <f t="shared" si="60"/>
        <v/>
      </c>
      <c r="J565" s="3" t="str">
        <f t="shared" si="61"/>
        <v/>
      </c>
      <c r="K565" s="3"/>
      <c r="L565" s="60" t="str">
        <f t="shared" si="65"/>
        <v/>
      </c>
      <c r="M565" s="40"/>
      <c r="N565" s="40"/>
      <c r="O565" s="40"/>
      <c r="P565" s="40"/>
      <c r="Q565" s="40"/>
      <c r="R565" s="40"/>
      <c r="S565" s="61" t="str">
        <f t="shared" si="64"/>
        <v/>
      </c>
      <c r="T565" s="40"/>
      <c r="U565" s="40"/>
      <c r="V565" s="40"/>
      <c r="W565" s="40"/>
      <c r="X565" s="67" t="str">
        <f t="shared" si="63"/>
        <v/>
      </c>
      <c r="Z565" s="71"/>
      <c r="AA565" s="71"/>
      <c r="AB565" s="67" t="str">
        <f t="shared" si="62"/>
        <v/>
      </c>
    </row>
    <row r="566" spans="1:28" x14ac:dyDescent="0.25">
      <c r="A566" s="59"/>
      <c r="B566" s="7"/>
      <c r="C566" s="59"/>
      <c r="D566" s="10"/>
      <c r="E566" s="40"/>
      <c r="F566" s="40"/>
      <c r="G566" s="40"/>
      <c r="H566" s="3" t="str">
        <f t="shared" si="59"/>
        <v/>
      </c>
      <c r="I566" s="3" t="str">
        <f t="shared" si="60"/>
        <v/>
      </c>
      <c r="J566" s="3" t="str">
        <f t="shared" si="61"/>
        <v/>
      </c>
      <c r="K566" s="3"/>
      <c r="L566" s="60" t="str">
        <f t="shared" si="65"/>
        <v/>
      </c>
      <c r="M566" s="40"/>
      <c r="N566" s="40"/>
      <c r="O566" s="40"/>
      <c r="P566" s="40"/>
      <c r="Q566" s="40"/>
      <c r="R566" s="40"/>
      <c r="S566" s="61" t="str">
        <f t="shared" si="64"/>
        <v/>
      </c>
      <c r="T566" s="40"/>
      <c r="U566" s="40"/>
      <c r="V566" s="40"/>
      <c r="W566" s="40"/>
      <c r="X566" s="67" t="str">
        <f t="shared" si="63"/>
        <v/>
      </c>
      <c r="Z566" s="71"/>
      <c r="AA566" s="71"/>
      <c r="AB566" s="67" t="str">
        <f t="shared" si="62"/>
        <v/>
      </c>
    </row>
    <row r="567" spans="1:28" x14ac:dyDescent="0.25">
      <c r="A567" s="59"/>
      <c r="B567" s="7"/>
      <c r="C567" s="59"/>
      <c r="D567" s="10"/>
      <c r="E567" s="40"/>
      <c r="F567" s="40"/>
      <c r="G567" s="40"/>
      <c r="H567" s="3" t="str">
        <f t="shared" si="59"/>
        <v/>
      </c>
      <c r="I567" s="3" t="str">
        <f t="shared" si="60"/>
        <v/>
      </c>
      <c r="J567" s="3" t="str">
        <f t="shared" si="61"/>
        <v/>
      </c>
      <c r="K567" s="3"/>
      <c r="L567" s="60" t="str">
        <f t="shared" si="65"/>
        <v/>
      </c>
      <c r="M567" s="40"/>
      <c r="N567" s="40"/>
      <c r="O567" s="40"/>
      <c r="P567" s="40"/>
      <c r="Q567" s="40"/>
      <c r="R567" s="40"/>
      <c r="S567" s="61" t="str">
        <f t="shared" si="64"/>
        <v/>
      </c>
      <c r="T567" s="40"/>
      <c r="U567" s="40"/>
      <c r="V567" s="40"/>
      <c r="W567" s="40"/>
      <c r="X567" s="67" t="str">
        <f t="shared" si="63"/>
        <v/>
      </c>
      <c r="Z567" s="71"/>
      <c r="AA567" s="71"/>
      <c r="AB567" s="67" t="str">
        <f t="shared" si="62"/>
        <v/>
      </c>
    </row>
    <row r="568" spans="1:28" x14ac:dyDescent="0.25">
      <c r="A568" s="59"/>
      <c r="B568" s="7"/>
      <c r="C568" s="59"/>
      <c r="D568" s="10"/>
      <c r="E568" s="40"/>
      <c r="F568" s="40"/>
      <c r="G568" s="40"/>
      <c r="H568" s="3" t="str">
        <f t="shared" si="59"/>
        <v/>
      </c>
      <c r="I568" s="3" t="str">
        <f t="shared" si="60"/>
        <v/>
      </c>
      <c r="J568" s="3" t="str">
        <f t="shared" si="61"/>
        <v/>
      </c>
      <c r="K568" s="3"/>
      <c r="L568" s="60" t="str">
        <f t="shared" si="65"/>
        <v/>
      </c>
      <c r="M568" s="40"/>
      <c r="N568" s="40"/>
      <c r="O568" s="40"/>
      <c r="P568" s="40"/>
      <c r="Q568" s="40"/>
      <c r="R568" s="40"/>
      <c r="S568" s="61" t="str">
        <f t="shared" si="64"/>
        <v/>
      </c>
      <c r="T568" s="40"/>
      <c r="U568" s="40"/>
      <c r="V568" s="40"/>
      <c r="W568" s="40"/>
      <c r="X568" s="67" t="str">
        <f t="shared" si="63"/>
        <v/>
      </c>
      <c r="Z568" s="71"/>
      <c r="AA568" s="71"/>
      <c r="AB568" s="67" t="str">
        <f t="shared" si="62"/>
        <v/>
      </c>
    </row>
    <row r="569" spans="1:28" x14ac:dyDescent="0.25">
      <c r="A569" s="59"/>
      <c r="B569" s="7"/>
      <c r="C569" s="59"/>
      <c r="D569" s="10"/>
      <c r="E569" s="40"/>
      <c r="F569" s="40"/>
      <c r="G569" s="40"/>
      <c r="H569" s="3" t="str">
        <f t="shared" si="59"/>
        <v/>
      </c>
      <c r="I569" s="3" t="str">
        <f t="shared" si="60"/>
        <v/>
      </c>
      <c r="J569" s="3" t="str">
        <f t="shared" si="61"/>
        <v/>
      </c>
      <c r="K569" s="3"/>
      <c r="L569" s="60" t="str">
        <f t="shared" si="65"/>
        <v/>
      </c>
      <c r="M569" s="40"/>
      <c r="N569" s="40"/>
      <c r="O569" s="40"/>
      <c r="P569" s="40"/>
      <c r="Q569" s="40"/>
      <c r="R569" s="40"/>
      <c r="S569" s="61" t="str">
        <f t="shared" si="64"/>
        <v/>
      </c>
      <c r="T569" s="40"/>
      <c r="U569" s="40"/>
      <c r="V569" s="40"/>
      <c r="W569" s="40"/>
      <c r="X569" s="67" t="str">
        <f t="shared" si="63"/>
        <v/>
      </c>
      <c r="Z569" s="71"/>
      <c r="AA569" s="71"/>
      <c r="AB569" s="67" t="str">
        <f t="shared" si="62"/>
        <v/>
      </c>
    </row>
    <row r="570" spans="1:28" x14ac:dyDescent="0.25">
      <c r="A570" s="59"/>
      <c r="B570" s="7"/>
      <c r="C570" s="59"/>
      <c r="D570" s="10"/>
      <c r="E570" s="40"/>
      <c r="F570" s="40"/>
      <c r="G570" s="40"/>
      <c r="H570" s="3" t="str">
        <f t="shared" si="59"/>
        <v/>
      </c>
      <c r="I570" s="3" t="str">
        <f t="shared" si="60"/>
        <v/>
      </c>
      <c r="J570" s="3" t="str">
        <f t="shared" si="61"/>
        <v/>
      </c>
      <c r="K570" s="3"/>
      <c r="L570" s="60" t="str">
        <f t="shared" si="65"/>
        <v/>
      </c>
      <c r="M570" s="40"/>
      <c r="N570" s="40"/>
      <c r="O570" s="40"/>
      <c r="P570" s="40"/>
      <c r="Q570" s="40"/>
      <c r="R570" s="40"/>
      <c r="S570" s="61" t="str">
        <f t="shared" si="64"/>
        <v/>
      </c>
      <c r="T570" s="40"/>
      <c r="U570" s="40"/>
      <c r="V570" s="40"/>
      <c r="W570" s="40"/>
      <c r="X570" s="67" t="str">
        <f t="shared" si="63"/>
        <v/>
      </c>
      <c r="Z570" s="71"/>
      <c r="AA570" s="71"/>
      <c r="AB570" s="67" t="str">
        <f t="shared" si="62"/>
        <v/>
      </c>
    </row>
    <row r="571" spans="1:28" x14ac:dyDescent="0.25">
      <c r="A571" s="59"/>
      <c r="B571" s="7"/>
      <c r="C571" s="59"/>
      <c r="D571" s="10"/>
      <c r="E571" s="40"/>
      <c r="F571" s="40"/>
      <c r="G571" s="40"/>
      <c r="H571" s="3" t="str">
        <f t="shared" si="59"/>
        <v/>
      </c>
      <c r="I571" s="3" t="str">
        <f t="shared" si="60"/>
        <v/>
      </c>
      <c r="J571" s="3" t="str">
        <f t="shared" si="61"/>
        <v/>
      </c>
      <c r="K571" s="3"/>
      <c r="L571" s="60" t="str">
        <f t="shared" si="65"/>
        <v/>
      </c>
      <c r="M571" s="40"/>
      <c r="N571" s="40"/>
      <c r="O571" s="40"/>
      <c r="P571" s="40"/>
      <c r="Q571" s="40"/>
      <c r="R571" s="40"/>
      <c r="S571" s="61" t="str">
        <f t="shared" si="64"/>
        <v/>
      </c>
      <c r="T571" s="40"/>
      <c r="U571" s="40"/>
      <c r="V571" s="40"/>
      <c r="W571" s="40"/>
      <c r="X571" s="67" t="str">
        <f t="shared" si="63"/>
        <v/>
      </c>
      <c r="Z571" s="71"/>
      <c r="AA571" s="71"/>
      <c r="AB571" s="67" t="str">
        <f t="shared" si="62"/>
        <v/>
      </c>
    </row>
    <row r="572" spans="1:28" x14ac:dyDescent="0.25">
      <c r="A572" s="59"/>
      <c r="B572" s="7"/>
      <c r="C572" s="59"/>
      <c r="D572" s="10"/>
      <c r="E572" s="40"/>
      <c r="F572" s="40"/>
      <c r="G572" s="40"/>
      <c r="H572" s="3" t="str">
        <f t="shared" si="59"/>
        <v/>
      </c>
      <c r="I572" s="3" t="str">
        <f t="shared" si="60"/>
        <v/>
      </c>
      <c r="J572" s="3" t="str">
        <f t="shared" si="61"/>
        <v/>
      </c>
      <c r="K572" s="3"/>
      <c r="L572" s="60" t="str">
        <f t="shared" si="65"/>
        <v/>
      </c>
      <c r="M572" s="40"/>
      <c r="N572" s="40"/>
      <c r="O572" s="40"/>
      <c r="P572" s="40"/>
      <c r="Q572" s="40"/>
      <c r="R572" s="40"/>
      <c r="S572" s="61" t="str">
        <f t="shared" si="64"/>
        <v/>
      </c>
      <c r="T572" s="40"/>
      <c r="U572" s="40"/>
      <c r="V572" s="40"/>
      <c r="W572" s="40"/>
      <c r="X572" s="67" t="str">
        <f t="shared" si="63"/>
        <v/>
      </c>
      <c r="Z572" s="71"/>
      <c r="AA572" s="71"/>
      <c r="AB572" s="67" t="str">
        <f t="shared" si="62"/>
        <v/>
      </c>
    </row>
    <row r="573" spans="1:28" x14ac:dyDescent="0.25">
      <c r="A573" s="59"/>
      <c r="B573" s="7"/>
      <c r="C573" s="59"/>
      <c r="D573" s="10"/>
      <c r="E573" s="40"/>
      <c r="F573" s="40"/>
      <c r="G573" s="40"/>
      <c r="H573" s="3" t="str">
        <f t="shared" si="59"/>
        <v/>
      </c>
      <c r="I573" s="3" t="str">
        <f t="shared" si="60"/>
        <v/>
      </c>
      <c r="J573" s="3" t="str">
        <f t="shared" si="61"/>
        <v/>
      </c>
      <c r="K573" s="3"/>
      <c r="L573" s="60" t="str">
        <f t="shared" si="65"/>
        <v/>
      </c>
      <c r="M573" s="40"/>
      <c r="N573" s="40"/>
      <c r="O573" s="40"/>
      <c r="P573" s="40"/>
      <c r="Q573" s="40"/>
      <c r="R573" s="40"/>
      <c r="S573" s="61" t="str">
        <f t="shared" si="64"/>
        <v/>
      </c>
      <c r="T573" s="40"/>
      <c r="U573" s="40"/>
      <c r="V573" s="40"/>
      <c r="W573" s="40"/>
      <c r="X573" s="67" t="str">
        <f t="shared" si="63"/>
        <v/>
      </c>
      <c r="Z573" s="71"/>
      <c r="AA573" s="71"/>
      <c r="AB573" s="67" t="str">
        <f t="shared" si="62"/>
        <v/>
      </c>
    </row>
    <row r="574" spans="1:28" x14ac:dyDescent="0.25">
      <c r="A574" s="59"/>
      <c r="B574" s="7"/>
      <c r="C574" s="59"/>
      <c r="D574" s="10"/>
      <c r="E574" s="40"/>
      <c r="F574" s="40"/>
      <c r="G574" s="40"/>
      <c r="H574" s="3" t="str">
        <f t="shared" si="59"/>
        <v/>
      </c>
      <c r="I574" s="3" t="str">
        <f t="shared" si="60"/>
        <v/>
      </c>
      <c r="J574" s="3" t="str">
        <f t="shared" si="61"/>
        <v/>
      </c>
      <c r="K574" s="3"/>
      <c r="L574" s="60" t="str">
        <f t="shared" si="65"/>
        <v/>
      </c>
      <c r="M574" s="40"/>
      <c r="N574" s="40"/>
      <c r="O574" s="40"/>
      <c r="P574" s="40"/>
      <c r="Q574" s="40"/>
      <c r="R574" s="40"/>
      <c r="S574" s="61" t="str">
        <f t="shared" si="64"/>
        <v/>
      </c>
      <c r="T574" s="40"/>
      <c r="U574" s="40"/>
      <c r="V574" s="40"/>
      <c r="W574" s="40"/>
      <c r="X574" s="67" t="str">
        <f t="shared" si="63"/>
        <v/>
      </c>
      <c r="Z574" s="71"/>
      <c r="AA574" s="71"/>
      <c r="AB574" s="67" t="str">
        <f t="shared" si="62"/>
        <v/>
      </c>
    </row>
    <row r="575" spans="1:28" x14ac:dyDescent="0.25">
      <c r="A575" s="59"/>
      <c r="B575" s="7"/>
      <c r="C575" s="59"/>
      <c r="D575" s="10"/>
      <c r="E575" s="40"/>
      <c r="F575" s="40"/>
      <c r="G575" s="40"/>
      <c r="H575" s="3" t="str">
        <f t="shared" si="59"/>
        <v/>
      </c>
      <c r="I575" s="3" t="str">
        <f t="shared" si="60"/>
        <v/>
      </c>
      <c r="J575" s="3" t="str">
        <f t="shared" si="61"/>
        <v/>
      </c>
      <c r="K575" s="3"/>
      <c r="L575" s="60" t="str">
        <f t="shared" si="65"/>
        <v/>
      </c>
      <c r="M575" s="40"/>
      <c r="N575" s="40"/>
      <c r="O575" s="40"/>
      <c r="P575" s="40"/>
      <c r="Q575" s="40"/>
      <c r="R575" s="40"/>
      <c r="S575" s="61" t="str">
        <f t="shared" si="64"/>
        <v/>
      </c>
      <c r="T575" s="40"/>
      <c r="U575" s="40"/>
      <c r="V575" s="40"/>
      <c r="W575" s="40"/>
      <c r="X575" s="67" t="str">
        <f t="shared" si="63"/>
        <v/>
      </c>
      <c r="Z575" s="71"/>
      <c r="AA575" s="71"/>
      <c r="AB575" s="67" t="str">
        <f t="shared" si="62"/>
        <v/>
      </c>
    </row>
    <row r="576" spans="1:28" x14ac:dyDescent="0.25">
      <c r="A576" s="59"/>
      <c r="B576" s="7"/>
      <c r="C576" s="59"/>
      <c r="D576" s="10"/>
      <c r="E576" s="40"/>
      <c r="F576" s="40"/>
      <c r="G576" s="40"/>
      <c r="H576" s="3" t="str">
        <f t="shared" si="59"/>
        <v/>
      </c>
      <c r="I576" s="3" t="str">
        <f t="shared" si="60"/>
        <v/>
      </c>
      <c r="J576" s="3" t="str">
        <f t="shared" si="61"/>
        <v/>
      </c>
      <c r="K576" s="3"/>
      <c r="L576" s="60" t="str">
        <f t="shared" si="65"/>
        <v/>
      </c>
      <c r="M576" s="40"/>
      <c r="N576" s="40"/>
      <c r="O576" s="40"/>
      <c r="P576" s="40"/>
      <c r="Q576" s="40"/>
      <c r="R576" s="40"/>
      <c r="S576" s="61" t="str">
        <f t="shared" si="64"/>
        <v/>
      </c>
      <c r="T576" s="40"/>
      <c r="U576" s="40"/>
      <c r="V576" s="40"/>
      <c r="W576" s="40"/>
      <c r="X576" s="67" t="str">
        <f t="shared" si="63"/>
        <v/>
      </c>
      <c r="Z576" s="71"/>
      <c r="AA576" s="71"/>
      <c r="AB576" s="67" t="str">
        <f t="shared" si="62"/>
        <v/>
      </c>
    </row>
    <row r="577" spans="1:28" x14ac:dyDescent="0.25">
      <c r="A577" s="59"/>
      <c r="B577" s="7"/>
      <c r="C577" s="59"/>
      <c r="D577" s="10"/>
      <c r="E577" s="40"/>
      <c r="F577" s="40"/>
      <c r="G577" s="40"/>
      <c r="H577" s="3" t="str">
        <f t="shared" si="59"/>
        <v/>
      </c>
      <c r="I577" s="3" t="str">
        <f t="shared" si="60"/>
        <v/>
      </c>
      <c r="J577" s="3" t="str">
        <f t="shared" si="61"/>
        <v/>
      </c>
      <c r="K577" s="3"/>
      <c r="L577" s="60" t="str">
        <f t="shared" si="65"/>
        <v/>
      </c>
      <c r="M577" s="40"/>
      <c r="N577" s="40"/>
      <c r="O577" s="40"/>
      <c r="P577" s="40"/>
      <c r="Q577" s="40"/>
      <c r="R577" s="40"/>
      <c r="S577" s="61" t="str">
        <f t="shared" si="64"/>
        <v/>
      </c>
      <c r="T577" s="40"/>
      <c r="U577" s="40"/>
      <c r="V577" s="40"/>
      <c r="W577" s="40"/>
      <c r="X577" s="67" t="str">
        <f t="shared" si="63"/>
        <v/>
      </c>
      <c r="Z577" s="71"/>
      <c r="AA577" s="71"/>
      <c r="AB577" s="67" t="str">
        <f t="shared" si="62"/>
        <v/>
      </c>
    </row>
    <row r="578" spans="1:28" x14ac:dyDescent="0.25">
      <c r="A578" s="59"/>
      <c r="B578" s="7"/>
      <c r="C578" s="59"/>
      <c r="D578" s="10"/>
      <c r="E578" s="40"/>
      <c r="F578" s="40"/>
      <c r="G578" s="40"/>
      <c r="H578" s="3" t="str">
        <f t="shared" si="59"/>
        <v/>
      </c>
      <c r="I578" s="3" t="str">
        <f t="shared" si="60"/>
        <v/>
      </c>
      <c r="J578" s="3" t="str">
        <f t="shared" si="61"/>
        <v/>
      </c>
      <c r="K578" s="3"/>
      <c r="L578" s="60" t="str">
        <f t="shared" si="65"/>
        <v/>
      </c>
      <c r="M578" s="40"/>
      <c r="N578" s="40"/>
      <c r="O578" s="40"/>
      <c r="P578" s="40"/>
      <c r="Q578" s="40"/>
      <c r="R578" s="40"/>
      <c r="S578" s="61" t="str">
        <f t="shared" si="64"/>
        <v/>
      </c>
      <c r="T578" s="40"/>
      <c r="U578" s="40"/>
      <c r="V578" s="40"/>
      <c r="W578" s="40"/>
      <c r="X578" s="67" t="str">
        <f t="shared" si="63"/>
        <v/>
      </c>
      <c r="Z578" s="71"/>
      <c r="AA578" s="71"/>
      <c r="AB578" s="67" t="str">
        <f t="shared" si="62"/>
        <v/>
      </c>
    </row>
    <row r="579" spans="1:28" x14ac:dyDescent="0.25">
      <c r="A579" s="59"/>
      <c r="B579" s="7"/>
      <c r="C579" s="59"/>
      <c r="D579" s="10"/>
      <c r="E579" s="40"/>
      <c r="F579" s="40"/>
      <c r="G579" s="40"/>
      <c r="H579" s="3" t="str">
        <f t="shared" si="59"/>
        <v/>
      </c>
      <c r="I579" s="3" t="str">
        <f t="shared" si="60"/>
        <v/>
      </c>
      <c r="J579" s="3" t="str">
        <f t="shared" si="61"/>
        <v/>
      </c>
      <c r="K579" s="3"/>
      <c r="L579" s="60" t="str">
        <f t="shared" si="65"/>
        <v/>
      </c>
      <c r="M579" s="40"/>
      <c r="N579" s="40"/>
      <c r="O579" s="40"/>
      <c r="P579" s="40"/>
      <c r="Q579" s="40"/>
      <c r="R579" s="40"/>
      <c r="S579" s="61" t="str">
        <f t="shared" si="64"/>
        <v/>
      </c>
      <c r="T579" s="40"/>
      <c r="U579" s="40"/>
      <c r="V579" s="40"/>
      <c r="W579" s="40"/>
      <c r="X579" s="67" t="str">
        <f t="shared" si="63"/>
        <v/>
      </c>
      <c r="Z579" s="71"/>
      <c r="AA579" s="71"/>
      <c r="AB579" s="67" t="str">
        <f t="shared" si="62"/>
        <v/>
      </c>
    </row>
    <row r="580" spans="1:28" x14ac:dyDescent="0.25">
      <c r="A580" s="59"/>
      <c r="B580" s="7"/>
      <c r="C580" s="59"/>
      <c r="D580" s="10"/>
      <c r="E580" s="40"/>
      <c r="F580" s="40"/>
      <c r="G580" s="40"/>
      <c r="H580" s="3" t="str">
        <f t="shared" si="59"/>
        <v/>
      </c>
      <c r="I580" s="3" t="str">
        <f t="shared" si="60"/>
        <v/>
      </c>
      <c r="J580" s="3" t="str">
        <f t="shared" si="61"/>
        <v/>
      </c>
      <c r="K580" s="3"/>
      <c r="L580" s="60" t="str">
        <f t="shared" si="65"/>
        <v/>
      </c>
      <c r="M580" s="40"/>
      <c r="N580" s="40"/>
      <c r="O580" s="40"/>
      <c r="P580" s="40"/>
      <c r="Q580" s="40"/>
      <c r="R580" s="40"/>
      <c r="S580" s="61" t="str">
        <f t="shared" si="64"/>
        <v/>
      </c>
      <c r="T580" s="40"/>
      <c r="U580" s="40"/>
      <c r="V580" s="40"/>
      <c r="W580" s="40"/>
      <c r="X580" s="67" t="str">
        <f t="shared" si="63"/>
        <v/>
      </c>
      <c r="Z580" s="71"/>
      <c r="AA580" s="71"/>
      <c r="AB580" s="67" t="str">
        <f t="shared" si="62"/>
        <v/>
      </c>
    </row>
    <row r="581" spans="1:28" x14ac:dyDescent="0.25">
      <c r="A581" s="59"/>
      <c r="B581" s="7"/>
      <c r="C581" s="59"/>
      <c r="D581" s="10"/>
      <c r="E581" s="40"/>
      <c r="F581" s="40"/>
      <c r="G581" s="40"/>
      <c r="H581" s="3" t="str">
        <f t="shared" ref="H581:H594" si="66">+IF(E581="","",(E581/24)*C581)</f>
        <v/>
      </c>
      <c r="I581" s="3" t="str">
        <f t="shared" ref="I581:I594" si="67">+IF(F581="","",(F581/24)*C581)</f>
        <v/>
      </c>
      <c r="J581" s="3" t="str">
        <f t="shared" ref="J581:J594" si="68">+IF(G581="","",(G581/24)*C581)</f>
        <v/>
      </c>
      <c r="K581" s="3"/>
      <c r="L581" s="60" t="str">
        <f t="shared" si="65"/>
        <v/>
      </c>
      <c r="M581" s="40"/>
      <c r="N581" s="40"/>
      <c r="O581" s="40"/>
      <c r="P581" s="40"/>
      <c r="Q581" s="40"/>
      <c r="R581" s="40"/>
      <c r="S581" s="61" t="str">
        <f t="shared" si="64"/>
        <v/>
      </c>
      <c r="T581" s="40"/>
      <c r="U581" s="40"/>
      <c r="V581" s="40"/>
      <c r="W581" s="40"/>
      <c r="X581" s="67" t="str">
        <f t="shared" si="63"/>
        <v/>
      </c>
      <c r="Z581" s="71"/>
      <c r="AA581" s="71"/>
      <c r="AB581" s="67" t="str">
        <f t="shared" ref="AB581:AB595" si="69">IF(Z581="","",Z581+AA581)</f>
        <v/>
      </c>
    </row>
    <row r="582" spans="1:28" x14ac:dyDescent="0.25">
      <c r="A582" s="59"/>
      <c r="B582" s="7"/>
      <c r="C582" s="59"/>
      <c r="D582" s="10"/>
      <c r="E582" s="40"/>
      <c r="F582" s="40"/>
      <c r="G582" s="40"/>
      <c r="H582" s="3" t="str">
        <f t="shared" si="66"/>
        <v/>
      </c>
      <c r="I582" s="3" t="str">
        <f t="shared" si="67"/>
        <v/>
      </c>
      <c r="J582" s="3" t="str">
        <f t="shared" si="68"/>
        <v/>
      </c>
      <c r="K582" s="3"/>
      <c r="L582" s="60" t="str">
        <f t="shared" si="65"/>
        <v/>
      </c>
      <c r="M582" s="40"/>
      <c r="N582" s="40"/>
      <c r="O582" s="40"/>
      <c r="P582" s="40"/>
      <c r="Q582" s="40"/>
      <c r="R582" s="40"/>
      <c r="S582" s="61" t="str">
        <f t="shared" si="64"/>
        <v/>
      </c>
      <c r="T582" s="40"/>
      <c r="U582" s="40"/>
      <c r="V582" s="40"/>
      <c r="W582" s="40"/>
      <c r="X582" s="67" t="str">
        <f t="shared" si="63"/>
        <v/>
      </c>
      <c r="Z582" s="71"/>
      <c r="AA582" s="71"/>
      <c r="AB582" s="67" t="str">
        <f t="shared" si="69"/>
        <v/>
      </c>
    </row>
    <row r="583" spans="1:28" x14ac:dyDescent="0.25">
      <c r="A583" s="59"/>
      <c r="B583" s="7"/>
      <c r="C583" s="59"/>
      <c r="D583" s="10"/>
      <c r="E583" s="40"/>
      <c r="F583" s="40"/>
      <c r="G583" s="40"/>
      <c r="H583" s="3" t="str">
        <f t="shared" si="66"/>
        <v/>
      </c>
      <c r="I583" s="3" t="str">
        <f t="shared" si="67"/>
        <v/>
      </c>
      <c r="J583" s="3" t="str">
        <f t="shared" si="68"/>
        <v/>
      </c>
      <c r="K583" s="3"/>
      <c r="L583" s="60" t="str">
        <f t="shared" si="65"/>
        <v/>
      </c>
      <c r="M583" s="40"/>
      <c r="N583" s="40"/>
      <c r="O583" s="40"/>
      <c r="P583" s="40"/>
      <c r="Q583" s="40"/>
      <c r="R583" s="40"/>
      <c r="S583" s="61" t="str">
        <f t="shared" si="64"/>
        <v/>
      </c>
      <c r="T583" s="40"/>
      <c r="U583" s="40"/>
      <c r="V583" s="40"/>
      <c r="W583" s="40"/>
      <c r="X583" s="67" t="str">
        <f t="shared" si="63"/>
        <v/>
      </c>
      <c r="Z583" s="71"/>
      <c r="AA583" s="71"/>
      <c r="AB583" s="67" t="str">
        <f t="shared" si="69"/>
        <v/>
      </c>
    </row>
    <row r="584" spans="1:28" x14ac:dyDescent="0.25">
      <c r="A584" s="59"/>
      <c r="B584" s="7"/>
      <c r="C584" s="59"/>
      <c r="D584" s="10"/>
      <c r="E584" s="40"/>
      <c r="F584" s="40"/>
      <c r="G584" s="40"/>
      <c r="H584" s="3" t="str">
        <f t="shared" si="66"/>
        <v/>
      </c>
      <c r="I584" s="3" t="str">
        <f t="shared" si="67"/>
        <v/>
      </c>
      <c r="J584" s="3" t="str">
        <f t="shared" si="68"/>
        <v/>
      </c>
      <c r="K584" s="3"/>
      <c r="L584" s="60" t="str">
        <f t="shared" si="65"/>
        <v/>
      </c>
      <c r="M584" s="40"/>
      <c r="N584" s="40"/>
      <c r="O584" s="40"/>
      <c r="P584" s="40"/>
      <c r="Q584" s="40"/>
      <c r="R584" s="40"/>
      <c r="S584" s="61" t="str">
        <f t="shared" si="64"/>
        <v/>
      </c>
      <c r="T584" s="40"/>
      <c r="U584" s="40"/>
      <c r="V584" s="40"/>
      <c r="W584" s="40"/>
      <c r="X584" s="67" t="str">
        <f t="shared" ref="X584:X595" si="70">IF(V584="","",((X583+T584+U584)-(V584+W584)))</f>
        <v/>
      </c>
      <c r="Z584" s="71"/>
      <c r="AA584" s="71"/>
      <c r="AB584" s="67" t="str">
        <f t="shared" si="69"/>
        <v/>
      </c>
    </row>
    <row r="585" spans="1:28" x14ac:dyDescent="0.25">
      <c r="A585" s="59"/>
      <c r="B585" s="7"/>
      <c r="C585" s="59"/>
      <c r="D585" s="10"/>
      <c r="E585" s="40"/>
      <c r="F585" s="40"/>
      <c r="G585" s="40"/>
      <c r="H585" s="3" t="str">
        <f t="shared" si="66"/>
        <v/>
      </c>
      <c r="I585" s="3" t="str">
        <f t="shared" si="67"/>
        <v/>
      </c>
      <c r="J585" s="3" t="str">
        <f t="shared" si="68"/>
        <v/>
      </c>
      <c r="K585" s="3"/>
      <c r="L585" s="60" t="str">
        <f t="shared" si="65"/>
        <v/>
      </c>
      <c r="M585" s="40"/>
      <c r="N585" s="40"/>
      <c r="O585" s="40"/>
      <c r="P585" s="40"/>
      <c r="Q585" s="40"/>
      <c r="R585" s="40"/>
      <c r="S585" s="61" t="str">
        <f t="shared" si="64"/>
        <v/>
      </c>
      <c r="T585" s="40"/>
      <c r="U585" s="40"/>
      <c r="V585" s="40"/>
      <c r="W585" s="40"/>
      <c r="X585" s="67" t="str">
        <f t="shared" si="70"/>
        <v/>
      </c>
      <c r="Z585" s="71"/>
      <c r="AA585" s="71"/>
      <c r="AB585" s="67" t="str">
        <f t="shared" si="69"/>
        <v/>
      </c>
    </row>
    <row r="586" spans="1:28" x14ac:dyDescent="0.25">
      <c r="A586" s="59"/>
      <c r="B586" s="7"/>
      <c r="C586" s="59"/>
      <c r="D586" s="10"/>
      <c r="E586" s="40"/>
      <c r="F586" s="40"/>
      <c r="G586" s="40"/>
      <c r="H586" s="3" t="str">
        <f t="shared" si="66"/>
        <v/>
      </c>
      <c r="I586" s="3" t="str">
        <f t="shared" si="67"/>
        <v/>
      </c>
      <c r="J586" s="3" t="str">
        <f t="shared" si="68"/>
        <v/>
      </c>
      <c r="K586" s="3"/>
      <c r="L586" s="60" t="str">
        <f t="shared" si="65"/>
        <v/>
      </c>
      <c r="M586" s="40"/>
      <c r="N586" s="40"/>
      <c r="O586" s="40"/>
      <c r="P586" s="40"/>
      <c r="Q586" s="40"/>
      <c r="R586" s="40"/>
      <c r="S586" s="61" t="str">
        <f t="shared" si="64"/>
        <v/>
      </c>
      <c r="T586" s="40"/>
      <c r="U586" s="40"/>
      <c r="V586" s="40"/>
      <c r="W586" s="40"/>
      <c r="X586" s="67" t="str">
        <f t="shared" si="70"/>
        <v/>
      </c>
      <c r="Z586" s="71"/>
      <c r="AA586" s="71"/>
      <c r="AB586" s="67" t="str">
        <f t="shared" si="69"/>
        <v/>
      </c>
    </row>
    <row r="587" spans="1:28" x14ac:dyDescent="0.25">
      <c r="A587" s="59"/>
      <c r="B587" s="7"/>
      <c r="C587" s="59"/>
      <c r="D587" s="10"/>
      <c r="E587" s="40"/>
      <c r="F587" s="40"/>
      <c r="G587" s="40"/>
      <c r="H587" s="3" t="str">
        <f t="shared" si="66"/>
        <v/>
      </c>
      <c r="I587" s="3" t="str">
        <f t="shared" si="67"/>
        <v/>
      </c>
      <c r="J587" s="3" t="str">
        <f t="shared" si="68"/>
        <v/>
      </c>
      <c r="K587" s="3"/>
      <c r="L587" s="60" t="str">
        <f t="shared" si="65"/>
        <v/>
      </c>
      <c r="M587" s="40"/>
      <c r="N587" s="40"/>
      <c r="O587" s="40"/>
      <c r="P587" s="40"/>
      <c r="Q587" s="40"/>
      <c r="R587" s="40"/>
      <c r="S587" s="61" t="str">
        <f t="shared" si="64"/>
        <v/>
      </c>
      <c r="T587" s="40"/>
      <c r="U587" s="40"/>
      <c r="V587" s="40"/>
      <c r="W587" s="40"/>
      <c r="X587" s="67" t="str">
        <f t="shared" si="70"/>
        <v/>
      </c>
      <c r="Z587" s="71"/>
      <c r="AA587" s="71"/>
      <c r="AB587" s="67" t="str">
        <f t="shared" si="69"/>
        <v/>
      </c>
    </row>
    <row r="588" spans="1:28" x14ac:dyDescent="0.25">
      <c r="A588" s="59"/>
      <c r="B588" s="7"/>
      <c r="C588" s="59"/>
      <c r="D588" s="10"/>
      <c r="E588" s="40"/>
      <c r="F588" s="40"/>
      <c r="G588" s="40"/>
      <c r="H588" s="3" t="str">
        <f t="shared" si="66"/>
        <v/>
      </c>
      <c r="I588" s="3" t="str">
        <f t="shared" si="67"/>
        <v/>
      </c>
      <c r="J588" s="3" t="str">
        <f t="shared" si="68"/>
        <v/>
      </c>
      <c r="K588" s="3"/>
      <c r="L588" s="60" t="str">
        <f t="shared" si="65"/>
        <v/>
      </c>
      <c r="M588" s="40"/>
      <c r="N588" s="40"/>
      <c r="O588" s="40"/>
      <c r="P588" s="40"/>
      <c r="Q588" s="40"/>
      <c r="R588" s="40"/>
      <c r="S588" s="61" t="str">
        <f t="shared" si="64"/>
        <v/>
      </c>
      <c r="T588" s="40"/>
      <c r="U588" s="40"/>
      <c r="V588" s="40"/>
      <c r="W588" s="40"/>
      <c r="X588" s="67" t="str">
        <f t="shared" si="70"/>
        <v/>
      </c>
      <c r="Z588" s="71"/>
      <c r="AA588" s="71"/>
      <c r="AB588" s="67" t="str">
        <f t="shared" si="69"/>
        <v/>
      </c>
    </row>
    <row r="589" spans="1:28" x14ac:dyDescent="0.25">
      <c r="A589" s="59"/>
      <c r="B589" s="7"/>
      <c r="C589" s="59"/>
      <c r="D589" s="10"/>
      <c r="E589" s="40"/>
      <c r="F589" s="40"/>
      <c r="G589" s="40"/>
      <c r="H589" s="3" t="str">
        <f t="shared" si="66"/>
        <v/>
      </c>
      <c r="I589" s="3" t="str">
        <f t="shared" si="67"/>
        <v/>
      </c>
      <c r="J589" s="3" t="str">
        <f t="shared" si="68"/>
        <v/>
      </c>
      <c r="K589" s="3"/>
      <c r="L589" s="60" t="str">
        <f t="shared" si="65"/>
        <v/>
      </c>
      <c r="M589" s="40"/>
      <c r="N589" s="40"/>
      <c r="O589" s="40"/>
      <c r="P589" s="40"/>
      <c r="Q589" s="40"/>
      <c r="R589" s="40"/>
      <c r="S589" s="61" t="str">
        <f t="shared" si="64"/>
        <v/>
      </c>
      <c r="T589" s="40"/>
      <c r="U589" s="40"/>
      <c r="V589" s="40"/>
      <c r="W589" s="40"/>
      <c r="X589" s="67" t="str">
        <f t="shared" si="70"/>
        <v/>
      </c>
      <c r="Z589" s="71"/>
      <c r="AA589" s="71"/>
      <c r="AB589" s="67" t="str">
        <f t="shared" si="69"/>
        <v/>
      </c>
    </row>
    <row r="590" spans="1:28" x14ac:dyDescent="0.25">
      <c r="A590" s="59"/>
      <c r="B590" s="7"/>
      <c r="C590" s="59"/>
      <c r="D590" s="10"/>
      <c r="E590" s="40"/>
      <c r="F590" s="40"/>
      <c r="G590" s="40"/>
      <c r="H590" s="3" t="str">
        <f t="shared" si="66"/>
        <v/>
      </c>
      <c r="I590" s="3" t="str">
        <f t="shared" si="67"/>
        <v/>
      </c>
      <c r="J590" s="3" t="str">
        <f t="shared" si="68"/>
        <v/>
      </c>
      <c r="K590" s="3"/>
      <c r="L590" s="60" t="str">
        <f t="shared" si="65"/>
        <v/>
      </c>
      <c r="M590" s="40"/>
      <c r="N590" s="40"/>
      <c r="O590" s="40"/>
      <c r="P590" s="40"/>
      <c r="Q590" s="40"/>
      <c r="R590" s="40"/>
      <c r="S590" s="61" t="str">
        <f t="shared" si="64"/>
        <v/>
      </c>
      <c r="T590" s="40"/>
      <c r="U590" s="40"/>
      <c r="V590" s="40"/>
      <c r="W590" s="40"/>
      <c r="X590" s="67" t="str">
        <f t="shared" si="70"/>
        <v/>
      </c>
      <c r="Z590" s="71"/>
      <c r="AA590" s="71"/>
      <c r="AB590" s="67" t="str">
        <f t="shared" si="69"/>
        <v/>
      </c>
    </row>
    <row r="591" spans="1:28" x14ac:dyDescent="0.25">
      <c r="A591" s="59"/>
      <c r="B591" s="7"/>
      <c r="C591" s="59"/>
      <c r="D591" s="10"/>
      <c r="E591" s="40"/>
      <c r="F591" s="40"/>
      <c r="G591" s="40"/>
      <c r="H591" s="3" t="str">
        <f t="shared" si="66"/>
        <v/>
      </c>
      <c r="I591" s="3" t="str">
        <f t="shared" si="67"/>
        <v/>
      </c>
      <c r="J591" s="3" t="str">
        <f t="shared" si="68"/>
        <v/>
      </c>
      <c r="K591" s="3"/>
      <c r="L591" s="60" t="str">
        <f t="shared" si="65"/>
        <v/>
      </c>
      <c r="M591" s="40"/>
      <c r="N591" s="40"/>
      <c r="O591" s="40"/>
      <c r="P591" s="40"/>
      <c r="Q591" s="40"/>
      <c r="R591" s="40"/>
      <c r="S591" s="61" t="str">
        <f t="shared" si="64"/>
        <v/>
      </c>
      <c r="T591" s="40"/>
      <c r="U591" s="40"/>
      <c r="V591" s="40"/>
      <c r="W591" s="40"/>
      <c r="X591" s="67" t="str">
        <f t="shared" si="70"/>
        <v/>
      </c>
      <c r="Z591" s="71"/>
      <c r="AA591" s="71"/>
      <c r="AB591" s="67" t="str">
        <f t="shared" si="69"/>
        <v/>
      </c>
    </row>
    <row r="592" spans="1:28" x14ac:dyDescent="0.25">
      <c r="A592" s="59"/>
      <c r="B592" s="7"/>
      <c r="C592" s="59"/>
      <c r="D592" s="10"/>
      <c r="E592" s="40"/>
      <c r="F592" s="40"/>
      <c r="G592" s="40"/>
      <c r="H592" s="3" t="str">
        <f t="shared" si="66"/>
        <v/>
      </c>
      <c r="I592" s="3" t="str">
        <f t="shared" si="67"/>
        <v/>
      </c>
      <c r="J592" s="3" t="str">
        <f t="shared" si="68"/>
        <v/>
      </c>
      <c r="K592" s="3"/>
      <c r="L592" s="60" t="str">
        <f t="shared" si="65"/>
        <v/>
      </c>
      <c r="M592" s="40"/>
      <c r="N592" s="40"/>
      <c r="O592" s="40"/>
      <c r="P592" s="40"/>
      <c r="Q592" s="40"/>
      <c r="R592" s="40"/>
      <c r="S592" s="61" t="str">
        <f t="shared" si="64"/>
        <v/>
      </c>
      <c r="T592" s="40"/>
      <c r="U592" s="40"/>
      <c r="V592" s="40"/>
      <c r="W592" s="40"/>
      <c r="X592" s="67" t="str">
        <f t="shared" si="70"/>
        <v/>
      </c>
      <c r="Z592" s="71"/>
      <c r="AA592" s="71"/>
      <c r="AB592" s="67" t="str">
        <f t="shared" si="69"/>
        <v/>
      </c>
    </row>
    <row r="593" spans="1:28" x14ac:dyDescent="0.25">
      <c r="A593" s="59"/>
      <c r="B593" s="7"/>
      <c r="C593" s="59"/>
      <c r="D593" s="10"/>
      <c r="E593" s="40"/>
      <c r="F593" s="40"/>
      <c r="G593" s="40"/>
      <c r="H593" s="3" t="str">
        <f t="shared" si="66"/>
        <v/>
      </c>
      <c r="I593" s="3" t="str">
        <f t="shared" si="67"/>
        <v/>
      </c>
      <c r="J593" s="3" t="str">
        <f t="shared" si="68"/>
        <v/>
      </c>
      <c r="K593" s="3"/>
      <c r="L593" s="60" t="str">
        <f t="shared" si="65"/>
        <v/>
      </c>
      <c r="M593" s="40"/>
      <c r="N593" s="40"/>
      <c r="O593" s="40"/>
      <c r="P593" s="40"/>
      <c r="Q593" s="40"/>
      <c r="R593" s="40"/>
      <c r="S593" s="61" t="str">
        <f t="shared" si="64"/>
        <v/>
      </c>
      <c r="T593" s="40"/>
      <c r="U593" s="40"/>
      <c r="V593" s="40"/>
      <c r="W593" s="40"/>
      <c r="X593" s="67" t="str">
        <f t="shared" si="70"/>
        <v/>
      </c>
      <c r="Z593" s="71"/>
      <c r="AA593" s="71"/>
      <c r="AB593" s="67" t="str">
        <f t="shared" si="69"/>
        <v/>
      </c>
    </row>
    <row r="594" spans="1:28" x14ac:dyDescent="0.25">
      <c r="A594" s="59"/>
      <c r="B594" s="7"/>
      <c r="C594" s="59"/>
      <c r="D594" s="10"/>
      <c r="E594" s="40"/>
      <c r="F594" s="40"/>
      <c r="G594" s="40"/>
      <c r="H594" s="3" t="str">
        <f t="shared" si="66"/>
        <v/>
      </c>
      <c r="I594" s="3" t="str">
        <f t="shared" si="67"/>
        <v/>
      </c>
      <c r="J594" s="3" t="str">
        <f t="shared" si="68"/>
        <v/>
      </c>
      <c r="K594" s="3"/>
      <c r="L594" s="60" t="str">
        <f t="shared" si="65"/>
        <v/>
      </c>
      <c r="M594" s="40"/>
      <c r="N594" s="40"/>
      <c r="O594" s="40"/>
      <c r="P594" s="40"/>
      <c r="Q594" s="40"/>
      <c r="R594" s="40"/>
      <c r="S594" s="61" t="str">
        <f t="shared" si="64"/>
        <v/>
      </c>
      <c r="T594" s="40"/>
      <c r="U594" s="40"/>
      <c r="V594" s="40"/>
      <c r="W594" s="40"/>
      <c r="X594" s="67" t="str">
        <f t="shared" si="70"/>
        <v/>
      </c>
      <c r="Z594" s="71"/>
      <c r="AA594" s="71"/>
      <c r="AB594" s="67" t="str">
        <f t="shared" si="69"/>
        <v/>
      </c>
    </row>
    <row r="595" spans="1:28" x14ac:dyDescent="0.25">
      <c r="A595" s="59"/>
      <c r="B595" s="7"/>
      <c r="C595" s="59"/>
      <c r="D595" s="10"/>
      <c r="E595" s="40"/>
      <c r="F595" s="40"/>
      <c r="G595" s="40"/>
      <c r="H595" s="3"/>
      <c r="I595" s="3"/>
      <c r="J595" s="3"/>
      <c r="K595" s="3"/>
      <c r="L595" s="60" t="str">
        <f t="shared" si="65"/>
        <v/>
      </c>
      <c r="M595" s="40"/>
      <c r="N595" s="40"/>
      <c r="O595" s="40"/>
      <c r="P595" s="40"/>
      <c r="Q595" s="40"/>
      <c r="R595" s="40"/>
      <c r="S595" s="61" t="str">
        <f t="shared" si="64"/>
        <v/>
      </c>
      <c r="T595" s="40"/>
      <c r="U595" s="40"/>
      <c r="V595" s="40"/>
      <c r="W595" s="40"/>
      <c r="X595" s="67" t="str">
        <f t="shared" si="70"/>
        <v/>
      </c>
      <c r="Z595" s="71"/>
      <c r="AA595" s="71"/>
      <c r="AB595" s="67" t="str">
        <f t="shared" si="69"/>
        <v/>
      </c>
    </row>
  </sheetData>
  <mergeCells count="5">
    <mergeCell ref="A2:S2"/>
    <mergeCell ref="E3:L3"/>
    <mergeCell ref="M3:S3"/>
    <mergeCell ref="T3:X3"/>
    <mergeCell ref="Z3:AB3"/>
  </mergeCells>
  <pageMargins left="0.7" right="0.7" top="0.75" bottom="0.75" header="0.3" footer="0.3"/>
  <pageSetup orientation="portrait" horizont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0"/>
  <sheetViews>
    <sheetView zoomScale="85" zoomScaleNormal="8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D111" sqref="D111"/>
    </sheetView>
  </sheetViews>
  <sheetFormatPr baseColWidth="10" defaultRowHeight="15" x14ac:dyDescent="0.25"/>
  <cols>
    <col min="1" max="1" width="10.140625" customWidth="1"/>
    <col min="2" max="2" width="14.7109375" customWidth="1"/>
    <col min="4" max="4" width="13.140625" customWidth="1"/>
    <col min="5" max="5" width="25.28515625" customWidth="1"/>
    <col min="6" max="6" width="27.85546875" customWidth="1"/>
    <col min="7" max="7" width="13.85546875" customWidth="1"/>
    <col min="8" max="8" width="14.42578125" style="8" customWidth="1"/>
    <col min="9" max="9" width="13.7109375" customWidth="1"/>
    <col min="11" max="11" width="11.5703125" customWidth="1"/>
    <col min="12" max="12" width="13.7109375" customWidth="1"/>
    <col min="13" max="13" width="12.5703125" customWidth="1"/>
    <col min="14" max="14" width="21.85546875" customWidth="1"/>
    <col min="15" max="15" width="13" customWidth="1"/>
    <col min="16" max="16" width="12.7109375" customWidth="1"/>
    <col min="18" max="18" width="13.140625" customWidth="1"/>
    <col min="19" max="19" width="12.5703125" customWidth="1"/>
    <col min="20" max="20" width="12.28515625" customWidth="1"/>
    <col min="21" max="21" width="9.28515625" customWidth="1"/>
    <col min="22" max="22" width="12.5703125" customWidth="1"/>
    <col min="23" max="23" width="11.28515625" customWidth="1"/>
    <col min="25" max="25" width="13.7109375" customWidth="1"/>
    <col min="27" max="27" width="17.28515625" customWidth="1"/>
    <col min="28" max="28" width="12.5703125" customWidth="1"/>
    <col min="30" max="30" width="16.140625" customWidth="1"/>
    <col min="33" max="33" width="14.140625" customWidth="1"/>
    <col min="34" max="34" width="13" customWidth="1"/>
    <col min="36" max="36" width="16.42578125" customWidth="1"/>
  </cols>
  <sheetData>
    <row r="1" spans="1:36" ht="15.75" thickBot="1" x14ac:dyDescent="0.3"/>
    <row r="2" spans="1:36" ht="15.75" customHeight="1" thickBot="1" x14ac:dyDescent="0.3">
      <c r="A2" s="191"/>
      <c r="B2" s="190"/>
      <c r="C2" s="190"/>
      <c r="D2" s="190"/>
      <c r="E2" s="190"/>
      <c r="F2" s="190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2"/>
    </row>
    <row r="3" spans="1:36" ht="15.75" thickBot="1" x14ac:dyDescent="0.3">
      <c r="G3" s="383" t="s">
        <v>1385</v>
      </c>
      <c r="H3" s="384"/>
      <c r="I3" s="384"/>
      <c r="J3" s="385"/>
      <c r="K3" s="386" t="s">
        <v>1384</v>
      </c>
      <c r="L3" s="387"/>
      <c r="M3" s="387"/>
      <c r="N3" s="387"/>
      <c r="O3" s="387"/>
      <c r="P3" s="388"/>
      <c r="Q3" s="389" t="s">
        <v>1383</v>
      </c>
      <c r="R3" s="390"/>
      <c r="S3" s="390"/>
      <c r="T3" s="390"/>
      <c r="U3" s="390"/>
      <c r="V3" s="390"/>
      <c r="W3" s="390"/>
      <c r="X3" s="391"/>
      <c r="Y3" s="392" t="s">
        <v>1462</v>
      </c>
      <c r="Z3" s="393"/>
      <c r="AA3" s="393"/>
      <c r="AB3" s="393"/>
      <c r="AC3" s="393"/>
      <c r="AD3" s="393"/>
      <c r="AE3" s="393"/>
      <c r="AF3" s="393"/>
      <c r="AG3" s="393"/>
      <c r="AH3" s="393"/>
      <c r="AI3" s="393"/>
      <c r="AJ3" s="394"/>
    </row>
    <row r="4" spans="1:36" ht="15.75" thickBot="1" x14ac:dyDescent="0.3">
      <c r="D4" s="8"/>
      <c r="E4" s="17"/>
      <c r="F4" s="17"/>
      <c r="G4" s="383"/>
      <c r="H4" s="384"/>
      <c r="I4" s="384"/>
      <c r="J4" s="385"/>
      <c r="K4" s="395" t="s">
        <v>1382</v>
      </c>
      <c r="L4" s="396"/>
      <c r="M4" s="396"/>
      <c r="N4" s="396"/>
      <c r="O4" s="396"/>
      <c r="P4" s="189">
        <v>370</v>
      </c>
      <c r="Q4" s="397" t="s">
        <v>1381</v>
      </c>
      <c r="R4" s="398"/>
      <c r="S4" s="398"/>
      <c r="T4" s="398"/>
      <c r="U4" s="398"/>
      <c r="V4" s="398"/>
      <c r="W4" s="399"/>
      <c r="X4" s="189">
        <v>94.34</v>
      </c>
      <c r="Y4" s="188"/>
      <c r="Z4" s="186" t="s">
        <v>1380</v>
      </c>
      <c r="AA4" s="185">
        <v>100</v>
      </c>
      <c r="AB4" s="187"/>
      <c r="AC4" s="186" t="s">
        <v>1380</v>
      </c>
      <c r="AD4" s="185">
        <v>100</v>
      </c>
      <c r="AF4" s="186" t="s">
        <v>1380</v>
      </c>
      <c r="AG4" s="185">
        <v>100</v>
      </c>
      <c r="AI4" s="186" t="s">
        <v>1380</v>
      </c>
      <c r="AJ4" s="185">
        <v>100</v>
      </c>
    </row>
    <row r="5" spans="1:36" ht="26.25" thickBot="1" x14ac:dyDescent="0.3">
      <c r="A5" s="322" t="s">
        <v>1379</v>
      </c>
      <c r="B5" s="323" t="s">
        <v>0</v>
      </c>
      <c r="C5" s="184" t="s">
        <v>1</v>
      </c>
      <c r="D5" s="184" t="s">
        <v>135</v>
      </c>
      <c r="E5" s="184" t="s">
        <v>1358</v>
      </c>
      <c r="F5" s="183" t="s">
        <v>1378</v>
      </c>
      <c r="G5" s="325" t="s">
        <v>1377</v>
      </c>
      <c r="H5" s="326" t="s">
        <v>1376</v>
      </c>
      <c r="I5" s="326" t="s">
        <v>1375</v>
      </c>
      <c r="J5" s="327" t="s">
        <v>1321</v>
      </c>
      <c r="K5" s="182" t="s">
        <v>1374</v>
      </c>
      <c r="L5" s="181" t="s">
        <v>1373</v>
      </c>
      <c r="M5" s="181" t="s">
        <v>1339</v>
      </c>
      <c r="N5" s="181" t="s">
        <v>1372</v>
      </c>
      <c r="O5" s="181" t="s">
        <v>27</v>
      </c>
      <c r="P5" s="324" t="s">
        <v>1371</v>
      </c>
      <c r="Q5" s="180" t="s">
        <v>1370</v>
      </c>
      <c r="R5" s="179" t="s">
        <v>1369</v>
      </c>
      <c r="S5" s="179" t="s">
        <v>1368</v>
      </c>
      <c r="T5" s="178" t="s">
        <v>1367</v>
      </c>
      <c r="U5" s="178" t="s">
        <v>1366</v>
      </c>
      <c r="V5" s="178" t="s">
        <v>31</v>
      </c>
      <c r="W5" s="177" t="s">
        <v>1365</v>
      </c>
      <c r="X5" s="50" t="s">
        <v>14</v>
      </c>
      <c r="Y5" s="175" t="s">
        <v>1364</v>
      </c>
      <c r="Z5" s="176" t="s">
        <v>1454</v>
      </c>
      <c r="AA5" s="175" t="s">
        <v>1455</v>
      </c>
      <c r="AB5" s="174" t="s">
        <v>1363</v>
      </c>
      <c r="AC5" s="174" t="s">
        <v>1456</v>
      </c>
      <c r="AD5" s="174" t="s">
        <v>1457</v>
      </c>
      <c r="AE5" s="174" t="s">
        <v>1362</v>
      </c>
      <c r="AF5" s="174" t="s">
        <v>1458</v>
      </c>
      <c r="AG5" s="174" t="s">
        <v>1459</v>
      </c>
      <c r="AH5" s="174" t="s">
        <v>1361</v>
      </c>
      <c r="AI5" s="173" t="s">
        <v>1460</v>
      </c>
      <c r="AJ5" s="172" t="s">
        <v>1461</v>
      </c>
    </row>
    <row r="6" spans="1:36" x14ac:dyDescent="0.25">
      <c r="A6" s="216" t="s">
        <v>1423</v>
      </c>
      <c r="B6" s="218">
        <v>43831</v>
      </c>
      <c r="C6" s="171">
        <v>0</v>
      </c>
      <c r="D6" s="275">
        <v>0</v>
      </c>
      <c r="E6" s="10" t="s">
        <v>1338</v>
      </c>
      <c r="F6" s="170" t="s">
        <v>1193</v>
      </c>
      <c r="G6" s="210"/>
      <c r="H6" s="200"/>
      <c r="I6" s="200" t="s">
        <v>1297</v>
      </c>
      <c r="J6" s="205">
        <v>95</v>
      </c>
      <c r="K6" s="169">
        <v>0</v>
      </c>
      <c r="L6" s="3">
        <v>0</v>
      </c>
      <c r="M6" s="168">
        <v>0</v>
      </c>
      <c r="N6" s="168">
        <v>0</v>
      </c>
      <c r="O6" s="139"/>
      <c r="P6" s="167">
        <f>$P$4</f>
        <v>370</v>
      </c>
      <c r="Q6" s="165">
        <v>0</v>
      </c>
      <c r="R6" s="5">
        <v>0</v>
      </c>
      <c r="S6" s="5">
        <v>0</v>
      </c>
      <c r="T6" s="5">
        <v>0</v>
      </c>
      <c r="U6" s="5">
        <v>0</v>
      </c>
      <c r="V6" s="5">
        <f>SUM(VSLFO.MGO4[[#This Row],[MPAL2]:[GI]])</f>
        <v>0</v>
      </c>
      <c r="W6" s="5"/>
      <c r="X6" s="166">
        <f>X4</f>
        <v>94.34</v>
      </c>
      <c r="Y6" s="165"/>
      <c r="Z6" s="5"/>
      <c r="AA6" s="164">
        <f>$AA$4</f>
        <v>100</v>
      </c>
      <c r="AB6" s="5"/>
      <c r="AC6" s="5"/>
      <c r="AD6" s="164">
        <f>$AD$4</f>
        <v>100</v>
      </c>
      <c r="AE6" s="5"/>
      <c r="AF6" s="5"/>
      <c r="AG6" s="164">
        <f t="shared" ref="AG6" si="0">$AG$4</f>
        <v>100</v>
      </c>
      <c r="AH6" s="5"/>
      <c r="AI6" s="5"/>
      <c r="AJ6" s="163">
        <f>$AJ$4</f>
        <v>100</v>
      </c>
    </row>
    <row r="7" spans="1:36" x14ac:dyDescent="0.25">
      <c r="A7" s="135"/>
      <c r="B7" s="218">
        <v>43831</v>
      </c>
      <c r="C7" s="7">
        <v>0.3</v>
      </c>
      <c r="D7" s="4">
        <f>IF(VSLFO.MGO4[[#This Row],[FECHA]]-B6=1,((VSLFO.MGO4[[#This Row],[HORA]]-C6)*24)+24,(VSLFO.MGO4[[#This Row],[HORA]]-C6)*24)</f>
        <v>7.1999999999999993</v>
      </c>
      <c r="E7" s="10" t="s">
        <v>1338</v>
      </c>
      <c r="F7" s="154" t="s">
        <v>1162</v>
      </c>
      <c r="G7" s="211">
        <v>91</v>
      </c>
      <c r="H7" s="93">
        <v>10.5</v>
      </c>
      <c r="I7" s="93" t="s">
        <v>1296</v>
      </c>
      <c r="J7" s="206">
        <v>95</v>
      </c>
      <c r="K7" s="169">
        <v>0</v>
      </c>
      <c r="L7" s="3">
        <v>0</v>
      </c>
      <c r="M7" s="13">
        <v>0</v>
      </c>
      <c r="N7" s="3">
        <f t="shared" ref="N7:N70" si="1">K7+L7+M7</f>
        <v>0</v>
      </c>
      <c r="O7" s="1"/>
      <c r="P7" s="152">
        <f>(P6 -N7)+O7</f>
        <v>370</v>
      </c>
      <c r="Q7" s="150">
        <v>7.5</v>
      </c>
      <c r="R7" s="199">
        <v>0.75</v>
      </c>
      <c r="S7" s="199">
        <v>0.06</v>
      </c>
      <c r="T7" s="199">
        <v>0</v>
      </c>
      <c r="U7" s="199">
        <v>0</v>
      </c>
      <c r="V7" s="199">
        <f>SUM(Q7:U7)</f>
        <v>8.31</v>
      </c>
      <c r="W7" s="199"/>
      <c r="X7" s="151">
        <f>(X6-VSLFO.MGO4[[#This Row],[TOTAL]])+VSLFO.MGO4[[#This Row],[FAENA2]]</f>
        <v>86.03</v>
      </c>
      <c r="Y7" s="150"/>
      <c r="Z7" s="199"/>
      <c r="AA7" s="149">
        <f>(AA6-VSLFO.MGO4[[#This Row],[CYLINDER MP]])+VSLFO.MGO4[[#This Row],[FAENA EN LTS]]</f>
        <v>100</v>
      </c>
      <c r="AB7" s="199"/>
      <c r="AC7" s="199"/>
      <c r="AD7" s="149">
        <f>(AD6-VSLFO.MGO4[[#This Row],[CARTER MP.]])+VSLFO.MGO4[[#This Row],[FAENA EN LTS2]]</f>
        <v>100</v>
      </c>
      <c r="AE7" s="199"/>
      <c r="AF7" s="199"/>
      <c r="AG7" s="149">
        <f>(AG6-VSLFO.MGO4[[#This Row],[MOT AUX]])+VSLFO.MGO4[[#This Row],[FAENA EN  LTS]]</f>
        <v>100</v>
      </c>
      <c r="AH7" s="199"/>
      <c r="AI7" s="199"/>
      <c r="AJ7" s="148">
        <f>(AJ6-VSLFO.MGO4[[#This Row],[HIDRAULICO]])+VSLFO.MGO4[[#This Row],[FAENA EN LTS3]]</f>
        <v>100</v>
      </c>
    </row>
    <row r="8" spans="1:36" x14ac:dyDescent="0.25">
      <c r="A8" s="135"/>
      <c r="B8" s="218">
        <v>43831</v>
      </c>
      <c r="C8" s="7">
        <v>0.33333333333333331</v>
      </c>
      <c r="D8" s="4">
        <f>IF(VSLFO.MGO4[[#This Row],[FECHA]]-B7=1,((VSLFO.MGO4[[#This Row],[HORA]]-C7)*24)+24,(VSLFO.MGO4[[#This Row],[HORA]]-C7)*24)</f>
        <v>0.79999999999999982</v>
      </c>
      <c r="E8" s="10" t="s">
        <v>1057</v>
      </c>
      <c r="F8" s="154" t="s">
        <v>1193</v>
      </c>
      <c r="G8" s="212"/>
      <c r="H8" s="201"/>
      <c r="I8" s="201"/>
      <c r="J8" s="207"/>
      <c r="K8" s="169">
        <v>0</v>
      </c>
      <c r="L8" s="3">
        <v>0</v>
      </c>
      <c r="M8" s="3">
        <v>0</v>
      </c>
      <c r="N8" s="3">
        <f t="shared" si="1"/>
        <v>0</v>
      </c>
      <c r="O8" s="1"/>
      <c r="P8" s="152">
        <f>(P7 -N8)+O8</f>
        <v>370</v>
      </c>
      <c r="Q8" s="150">
        <v>0.33</v>
      </c>
      <c r="R8" s="199">
        <v>0.08</v>
      </c>
      <c r="S8" s="199">
        <v>7.0000000000000007E-2</v>
      </c>
      <c r="T8" s="199">
        <v>0</v>
      </c>
      <c r="U8" s="199">
        <v>0</v>
      </c>
      <c r="V8" s="199">
        <f t="shared" ref="V8:V36" si="2">SUM(Q8:U8)</f>
        <v>0.48000000000000004</v>
      </c>
      <c r="W8" s="199">
        <v>0</v>
      </c>
      <c r="X8" s="151">
        <f>(X7-VSLFO.MGO4[[#This Row],[TOTAL]])+VSLFO.MGO4[[#This Row],[FAENA2]]</f>
        <v>85.55</v>
      </c>
      <c r="Y8" s="150"/>
      <c r="Z8" s="199"/>
      <c r="AA8" s="149">
        <f>(AA7-VSLFO.MGO4[[#This Row],[CYLINDER MP]])+VSLFO.MGO4[[#This Row],[FAENA EN LTS]]</f>
        <v>100</v>
      </c>
      <c r="AB8" s="199"/>
      <c r="AC8" s="199"/>
      <c r="AD8" s="149">
        <f>(AD7-VSLFO.MGO4[[#This Row],[CARTER MP.]])+VSLFO.MGO4[[#This Row],[FAENA EN LTS2]]</f>
        <v>100</v>
      </c>
      <c r="AE8" s="199"/>
      <c r="AF8" s="199"/>
      <c r="AG8" s="149">
        <f>(AG7-VSLFO.MGO4[[#This Row],[MOT AUX]])+VSLFO.MGO4[[#This Row],[FAENA EN  LTS]]</f>
        <v>100</v>
      </c>
      <c r="AH8" s="199"/>
      <c r="AI8" s="199"/>
      <c r="AJ8" s="148">
        <f>(AJ7-VSLFO.MGO4[[#This Row],[HIDRAULICO]])+VSLFO.MGO4[[#This Row],[FAENA EN LTS3]]</f>
        <v>100</v>
      </c>
    </row>
    <row r="9" spans="1:36" x14ac:dyDescent="0.25">
      <c r="A9" s="135"/>
      <c r="B9" s="218">
        <v>43831</v>
      </c>
      <c r="C9" s="7">
        <v>0.35000000000000003</v>
      </c>
      <c r="D9" s="4">
        <f>IF(VSLFO.MGO4[[#This Row],[FECHA]]-B8=1,((VSLFO.MGO4[[#This Row],[HORA]]-C8)*24)+24,(VSLFO.MGO4[[#This Row],[HORA]]-C8)*24)</f>
        <v>0.40000000000000124</v>
      </c>
      <c r="E9" s="10" t="s">
        <v>1057</v>
      </c>
      <c r="F9" s="154" t="s">
        <v>1390</v>
      </c>
      <c r="G9" s="212"/>
      <c r="H9" s="201"/>
      <c r="I9" s="201"/>
      <c r="J9" s="207"/>
      <c r="K9" s="153">
        <v>0</v>
      </c>
      <c r="L9" s="3">
        <v>4.1666666666666796E-2</v>
      </c>
      <c r="M9" s="3">
        <v>3.3333333333333437E-2</v>
      </c>
      <c r="N9" s="3">
        <f>K9+L9+M9</f>
        <v>7.5000000000000233E-2</v>
      </c>
      <c r="O9" s="1"/>
      <c r="P9" s="152">
        <f>(P8 -N9)+O9</f>
        <v>369.92500000000001</v>
      </c>
      <c r="Q9" s="150">
        <v>0</v>
      </c>
      <c r="R9" s="199">
        <v>0</v>
      </c>
      <c r="S9" s="199">
        <v>0</v>
      </c>
      <c r="T9" s="199">
        <v>0</v>
      </c>
      <c r="U9" s="199">
        <v>0</v>
      </c>
      <c r="V9" s="199">
        <f t="shared" si="2"/>
        <v>0</v>
      </c>
      <c r="W9" s="199"/>
      <c r="X9" s="151">
        <f>(X8-VSLFO.MGO4[[#This Row],[TOTAL]])+VSLFO.MGO4[[#This Row],[FAENA2]]</f>
        <v>85.55</v>
      </c>
      <c r="Y9" s="150"/>
      <c r="Z9" s="199"/>
      <c r="AA9" s="149">
        <f>(AA8-VSLFO.MGO4[[#This Row],[CYLINDER MP]])+VSLFO.MGO4[[#This Row],[FAENA EN LTS]]</f>
        <v>100</v>
      </c>
      <c r="AB9" s="199"/>
      <c r="AC9" s="199"/>
      <c r="AD9" s="149">
        <f>(AD8-VSLFO.MGO4[[#This Row],[CARTER MP.]])+VSLFO.MGO4[[#This Row],[FAENA EN LTS2]]</f>
        <v>100</v>
      </c>
      <c r="AE9" s="199"/>
      <c r="AF9" s="199"/>
      <c r="AG9" s="149">
        <f>(AG8-VSLFO.MGO4[[#This Row],[MOT AUX]])+VSLFO.MGO4[[#This Row],[FAENA EN  LTS]]</f>
        <v>100</v>
      </c>
      <c r="AH9" s="199"/>
      <c r="AI9" s="199"/>
      <c r="AJ9" s="148">
        <f>(AJ8-VSLFO.MGO4[[#This Row],[HIDRAULICO]])+VSLFO.MGO4[[#This Row],[FAENA EN LTS3]]</f>
        <v>100</v>
      </c>
    </row>
    <row r="10" spans="1:36" x14ac:dyDescent="0.25">
      <c r="A10" s="135"/>
      <c r="B10" s="218">
        <v>43831</v>
      </c>
      <c r="C10" s="7">
        <v>0.38750000000000001</v>
      </c>
      <c r="D10" s="4">
        <f>IF(VSLFO.MGO4[[#This Row],[FECHA]]-B9=1,((VSLFO.MGO4[[#This Row],[HORA]]-C9)*24)+24,(VSLFO.MGO4[[#This Row],[HORA]]-C9)*24)</f>
        <v>0.89999999999999947</v>
      </c>
      <c r="E10" s="10" t="s">
        <v>1057</v>
      </c>
      <c r="F10" s="162" t="s">
        <v>1194</v>
      </c>
      <c r="G10" s="213"/>
      <c r="H10" s="202"/>
      <c r="I10" s="202"/>
      <c r="J10" s="208"/>
      <c r="K10" s="153">
        <v>0.37499999999999978</v>
      </c>
      <c r="L10" s="3">
        <v>9.3749999999999944E-2</v>
      </c>
      <c r="M10" s="3">
        <v>7.4999999999999956E-2</v>
      </c>
      <c r="N10" s="3">
        <f t="shared" si="1"/>
        <v>0.54374999999999973</v>
      </c>
      <c r="O10" s="1"/>
      <c r="P10" s="152">
        <f t="shared" ref="P10:P73" si="3">(P9 -N10)+O10</f>
        <v>369.38125000000002</v>
      </c>
      <c r="Q10" s="150">
        <v>0</v>
      </c>
      <c r="R10" s="199">
        <v>0</v>
      </c>
      <c r="S10" s="199">
        <v>0</v>
      </c>
      <c r="T10" s="199">
        <v>0</v>
      </c>
      <c r="U10" s="199">
        <v>0</v>
      </c>
      <c r="V10" s="199">
        <f t="shared" si="2"/>
        <v>0</v>
      </c>
      <c r="W10" s="199"/>
      <c r="X10" s="151">
        <f>(X9-VSLFO.MGO4[[#This Row],[TOTAL]])+VSLFO.MGO4[[#This Row],[FAENA2]]</f>
        <v>85.55</v>
      </c>
      <c r="Y10" s="150"/>
      <c r="Z10" s="199"/>
      <c r="AA10" s="149">
        <f>(AA9-VSLFO.MGO4[[#This Row],[CYLINDER MP]])+VSLFO.MGO4[[#This Row],[FAENA EN LTS]]</f>
        <v>100</v>
      </c>
      <c r="AB10" s="199"/>
      <c r="AC10" s="199"/>
      <c r="AD10" s="149">
        <f>(AD9-VSLFO.MGO4[[#This Row],[CARTER MP.]])+VSLFO.MGO4[[#This Row],[FAENA EN LTS2]]</f>
        <v>100</v>
      </c>
      <c r="AE10" s="199"/>
      <c r="AF10" s="199"/>
      <c r="AG10" s="149">
        <f>(AG9-VSLFO.MGO4[[#This Row],[MOT AUX]])+VSLFO.MGO4[[#This Row],[FAENA EN  LTS]]</f>
        <v>100</v>
      </c>
      <c r="AH10" s="199"/>
      <c r="AI10" s="199"/>
      <c r="AJ10" s="148">
        <f>(AJ9-VSLFO.MGO4[[#This Row],[HIDRAULICO]])+VSLFO.MGO4[[#This Row],[FAENA EN LTS3]]</f>
        <v>100</v>
      </c>
    </row>
    <row r="11" spans="1:36" x14ac:dyDescent="0.25">
      <c r="A11" s="135"/>
      <c r="B11" s="218">
        <v>43831</v>
      </c>
      <c r="C11" s="7">
        <v>0.50416666666666665</v>
      </c>
      <c r="D11" s="4">
        <f>IF(VSLFO.MGO4[[#This Row],[FECHA]]-B10=1,((VSLFO.MGO4[[#This Row],[HORA]]-C10)*24)+24,(VSLFO.MGO4[[#This Row],[HORA]]-C10)*24)</f>
        <v>2.7999999999999994</v>
      </c>
      <c r="E11" s="10" t="s">
        <v>1425</v>
      </c>
      <c r="F11" s="162" t="s">
        <v>1391</v>
      </c>
      <c r="G11" s="213"/>
      <c r="H11" s="202"/>
      <c r="I11" s="202"/>
      <c r="J11" s="208"/>
      <c r="K11" s="153">
        <v>0</v>
      </c>
      <c r="L11" s="3">
        <v>0.29166666666666663</v>
      </c>
      <c r="M11" s="3">
        <v>0.23333333333333328</v>
      </c>
      <c r="N11" s="3">
        <f t="shared" si="1"/>
        <v>0.52499999999999991</v>
      </c>
      <c r="O11" s="1"/>
      <c r="P11" s="152">
        <f t="shared" si="3"/>
        <v>368.85625000000005</v>
      </c>
      <c r="Q11" s="150">
        <v>0</v>
      </c>
      <c r="R11" s="199">
        <v>0</v>
      </c>
      <c r="S11" s="199">
        <v>0</v>
      </c>
      <c r="T11" s="199">
        <v>0</v>
      </c>
      <c r="U11" s="199">
        <v>0</v>
      </c>
      <c r="V11" s="199">
        <f t="shared" si="2"/>
        <v>0</v>
      </c>
      <c r="W11" s="199"/>
      <c r="X11" s="151">
        <f>(X10-VSLFO.MGO4[[#This Row],[TOTAL]])+VSLFO.MGO4[[#This Row],[FAENA2]]</f>
        <v>85.55</v>
      </c>
      <c r="Y11" s="150"/>
      <c r="Z11" s="199"/>
      <c r="AA11" s="149">
        <f>(AA10-VSLFO.MGO4[[#This Row],[CYLINDER MP]])+VSLFO.MGO4[[#This Row],[FAENA EN LTS]]</f>
        <v>100</v>
      </c>
      <c r="AB11" s="199"/>
      <c r="AC11" s="199"/>
      <c r="AD11" s="149">
        <f>(AD10-VSLFO.MGO4[[#This Row],[CARTER MP.]])+VSLFO.MGO4[[#This Row],[FAENA EN LTS2]]</f>
        <v>100</v>
      </c>
      <c r="AE11" s="199"/>
      <c r="AF11" s="199"/>
      <c r="AG11" s="149">
        <f>(AG10-VSLFO.MGO4[[#This Row],[MOT AUX]])+VSLFO.MGO4[[#This Row],[FAENA EN  LTS]]</f>
        <v>100</v>
      </c>
      <c r="AH11" s="199"/>
      <c r="AI11" s="199"/>
      <c r="AJ11" s="148">
        <f>(AJ10-VSLFO.MGO4[[#This Row],[HIDRAULICO]])+VSLFO.MGO4[[#This Row],[FAENA EN LTS3]]</f>
        <v>100</v>
      </c>
    </row>
    <row r="12" spans="1:36" x14ac:dyDescent="0.25">
      <c r="A12" s="135"/>
      <c r="B12" s="218">
        <v>43831</v>
      </c>
      <c r="C12" s="7">
        <v>0.95833333333333337</v>
      </c>
      <c r="D12" s="4">
        <f>IF(VSLFO.MGO4[[#This Row],[FECHA]]-B11=1,((VSLFO.MGO4[[#This Row],[HORA]]-C11)*24)+24,(VSLFO.MGO4[[#This Row],[HORA]]-C11)*24)</f>
        <v>10.900000000000002</v>
      </c>
      <c r="E12" s="10" t="s">
        <v>966</v>
      </c>
      <c r="F12" s="162" t="s">
        <v>1392</v>
      </c>
      <c r="G12" s="213"/>
      <c r="H12" s="202"/>
      <c r="I12" s="202"/>
      <c r="J12" s="208"/>
      <c r="K12" s="153">
        <v>0</v>
      </c>
      <c r="L12" s="3">
        <v>1.135416666666667</v>
      </c>
      <c r="M12" s="3">
        <v>0.90833333333333344</v>
      </c>
      <c r="N12" s="3">
        <f t="shared" si="1"/>
        <v>2.0437500000000002</v>
      </c>
      <c r="O12" s="1"/>
      <c r="P12" s="152">
        <f t="shared" si="3"/>
        <v>366.81250000000006</v>
      </c>
      <c r="Q12" s="150">
        <v>0</v>
      </c>
      <c r="R12" s="199">
        <v>0</v>
      </c>
      <c r="S12" s="199">
        <v>0</v>
      </c>
      <c r="T12" s="199">
        <v>0</v>
      </c>
      <c r="U12" s="199">
        <v>2.8</v>
      </c>
      <c r="V12" s="199">
        <f t="shared" si="2"/>
        <v>2.8</v>
      </c>
      <c r="W12" s="199"/>
      <c r="X12" s="151">
        <f>(X11-VSLFO.MGO4[[#This Row],[TOTAL]])+VSLFO.MGO4[[#This Row],[FAENA2]]</f>
        <v>82.75</v>
      </c>
      <c r="Y12" s="150"/>
      <c r="Z12" s="199"/>
      <c r="AA12" s="149">
        <f>(AA11-VSLFO.MGO4[[#This Row],[CYLINDER MP]])+VSLFO.MGO4[[#This Row],[FAENA EN LTS]]</f>
        <v>100</v>
      </c>
      <c r="AB12" s="199"/>
      <c r="AC12" s="199"/>
      <c r="AD12" s="149">
        <f>(AD11-VSLFO.MGO4[[#This Row],[CARTER MP.]])+VSLFO.MGO4[[#This Row],[FAENA EN LTS2]]</f>
        <v>100</v>
      </c>
      <c r="AE12" s="199"/>
      <c r="AF12" s="199"/>
      <c r="AG12" s="149">
        <f>(AG11-VSLFO.MGO4[[#This Row],[MOT AUX]])+VSLFO.MGO4[[#This Row],[FAENA EN  LTS]]</f>
        <v>100</v>
      </c>
      <c r="AH12" s="199"/>
      <c r="AI12" s="199"/>
      <c r="AJ12" s="148">
        <f>(AJ11-VSLFO.MGO4[[#This Row],[HIDRAULICO]])+VSLFO.MGO4[[#This Row],[FAENA EN LTS3]]</f>
        <v>100</v>
      </c>
    </row>
    <row r="13" spans="1:36" x14ac:dyDescent="0.25">
      <c r="A13" s="135"/>
      <c r="B13" s="219">
        <v>43832</v>
      </c>
      <c r="C13" s="7">
        <v>8.7500000000000008E-2</v>
      </c>
      <c r="D13" s="4">
        <f>IF(VSLFO.MGO4[[#This Row],[FECHA]]-B12=1,((VSLFO.MGO4[[#This Row],[HORA]]-C12)*24)+24,(VSLFO.MGO4[[#This Row],[HORA]]-C12)*24)</f>
        <v>3.1000000000000014</v>
      </c>
      <c r="E13" s="10" t="s">
        <v>1425</v>
      </c>
      <c r="F13" s="162" t="s">
        <v>1393</v>
      </c>
      <c r="G13" s="213"/>
      <c r="H13" s="202"/>
      <c r="I13" s="202"/>
      <c r="J13" s="208"/>
      <c r="K13" s="153">
        <v>0</v>
      </c>
      <c r="L13" s="3">
        <v>0.32291666666666685</v>
      </c>
      <c r="M13" s="3">
        <v>0.25833333333333341</v>
      </c>
      <c r="N13" s="3">
        <f t="shared" si="1"/>
        <v>0.58125000000000027</v>
      </c>
      <c r="O13" s="1"/>
      <c r="P13" s="152">
        <f t="shared" si="3"/>
        <v>366.23125000000005</v>
      </c>
      <c r="Q13" s="150">
        <v>0</v>
      </c>
      <c r="R13" s="199">
        <v>0</v>
      </c>
      <c r="S13" s="199">
        <v>0</v>
      </c>
      <c r="T13" s="199">
        <v>0</v>
      </c>
      <c r="U13" s="199">
        <v>0</v>
      </c>
      <c r="V13" s="199">
        <f t="shared" si="2"/>
        <v>0</v>
      </c>
      <c r="W13" s="199"/>
      <c r="X13" s="151">
        <f>(X12-VSLFO.MGO4[[#This Row],[TOTAL]])+VSLFO.MGO4[[#This Row],[FAENA2]]</f>
        <v>82.75</v>
      </c>
      <c r="Y13" s="150"/>
      <c r="Z13" s="199"/>
      <c r="AA13" s="149">
        <f>(AA12-VSLFO.MGO4[[#This Row],[CYLINDER MP]])+VSLFO.MGO4[[#This Row],[FAENA EN LTS]]</f>
        <v>100</v>
      </c>
      <c r="AB13" s="199"/>
      <c r="AC13" s="199"/>
      <c r="AD13" s="149">
        <f>(AD12-VSLFO.MGO4[[#This Row],[CARTER MP.]])+VSLFO.MGO4[[#This Row],[FAENA EN LTS2]]</f>
        <v>100</v>
      </c>
      <c r="AE13" s="199"/>
      <c r="AF13" s="199"/>
      <c r="AG13" s="149">
        <f>(AG12-VSLFO.MGO4[[#This Row],[MOT AUX]])+VSLFO.MGO4[[#This Row],[FAENA EN  LTS]]</f>
        <v>100</v>
      </c>
      <c r="AH13" s="199"/>
      <c r="AI13" s="199"/>
      <c r="AJ13" s="148">
        <f>(AJ12-VSLFO.MGO4[[#This Row],[HIDRAULICO]])+VSLFO.MGO4[[#This Row],[FAENA EN LTS3]]</f>
        <v>100</v>
      </c>
    </row>
    <row r="14" spans="1:36" x14ac:dyDescent="0.25">
      <c r="A14" s="135"/>
      <c r="B14" s="219">
        <v>43832</v>
      </c>
      <c r="C14" s="7">
        <v>0.1125</v>
      </c>
      <c r="D14" s="4">
        <f>IF(VSLFO.MGO4[[#This Row],[FECHA]]-B13=1,((VSLFO.MGO4[[#This Row],[HORA]]-C13)*24)+24,(VSLFO.MGO4[[#This Row],[HORA]]-C13)*24)</f>
        <v>0.59999999999999987</v>
      </c>
      <c r="E14" s="10" t="s">
        <v>1057</v>
      </c>
      <c r="F14" s="162" t="s">
        <v>1394</v>
      </c>
      <c r="G14" s="213"/>
      <c r="H14" s="202"/>
      <c r="I14" s="202"/>
      <c r="J14" s="208"/>
      <c r="K14" s="153">
        <v>0.24999999999999994</v>
      </c>
      <c r="L14" s="3">
        <v>6.2499999999999986E-2</v>
      </c>
      <c r="M14" s="3">
        <v>4.9999999999999989E-2</v>
      </c>
      <c r="N14" s="3">
        <f t="shared" si="1"/>
        <v>0.36249999999999993</v>
      </c>
      <c r="O14" s="1"/>
      <c r="P14" s="152">
        <f t="shared" si="3"/>
        <v>365.86875000000003</v>
      </c>
      <c r="Q14" s="150">
        <v>0</v>
      </c>
      <c r="R14" s="199">
        <v>0</v>
      </c>
      <c r="S14" s="199">
        <v>0</v>
      </c>
      <c r="T14" s="199">
        <v>0</v>
      </c>
      <c r="U14" s="199">
        <v>0</v>
      </c>
      <c r="V14" s="199">
        <f t="shared" si="2"/>
        <v>0</v>
      </c>
      <c r="W14" s="199"/>
      <c r="X14" s="151">
        <f>(X13-VSLFO.MGO4[[#This Row],[TOTAL]])+VSLFO.MGO4[[#This Row],[FAENA2]]</f>
        <v>82.75</v>
      </c>
      <c r="Y14" s="150"/>
      <c r="Z14" s="199"/>
      <c r="AA14" s="149">
        <f>(AA13-VSLFO.MGO4[[#This Row],[CYLINDER MP]])+VSLFO.MGO4[[#This Row],[FAENA EN LTS]]</f>
        <v>100</v>
      </c>
      <c r="AB14" s="199"/>
      <c r="AC14" s="199"/>
      <c r="AD14" s="149">
        <f>(AD13-VSLFO.MGO4[[#This Row],[CARTER MP.]])+VSLFO.MGO4[[#This Row],[FAENA EN LTS2]]</f>
        <v>100</v>
      </c>
      <c r="AE14" s="199"/>
      <c r="AF14" s="199"/>
      <c r="AG14" s="149">
        <f>(AG13-VSLFO.MGO4[[#This Row],[MOT AUX]])+VSLFO.MGO4[[#This Row],[FAENA EN  LTS]]</f>
        <v>100</v>
      </c>
      <c r="AH14" s="199"/>
      <c r="AI14" s="199"/>
      <c r="AJ14" s="148">
        <f>(AJ13-VSLFO.MGO4[[#This Row],[HIDRAULICO]])+VSLFO.MGO4[[#This Row],[FAENA EN LTS3]]</f>
        <v>100</v>
      </c>
    </row>
    <row r="15" spans="1:36" x14ac:dyDescent="0.25">
      <c r="A15" s="135"/>
      <c r="B15" s="219">
        <v>43832</v>
      </c>
      <c r="C15" s="7">
        <v>0.33333333333333331</v>
      </c>
      <c r="D15" s="4">
        <f>IF(VSLFO.MGO4[[#This Row],[FECHA]]-B14=1,((VSLFO.MGO4[[#This Row],[HORA]]-C14)*24)+24,(VSLFO.MGO4[[#This Row],[HORA]]-C14)*24)</f>
        <v>5.3</v>
      </c>
      <c r="E15" s="10" t="s">
        <v>1338</v>
      </c>
      <c r="F15" s="162" t="s">
        <v>1386</v>
      </c>
      <c r="G15" s="213"/>
      <c r="H15" s="202"/>
      <c r="I15" s="202" t="s">
        <v>1297</v>
      </c>
      <c r="J15" s="208">
        <v>95</v>
      </c>
      <c r="K15" s="153">
        <v>5.5208333333333339</v>
      </c>
      <c r="L15" s="3">
        <v>0.55208333333333337</v>
      </c>
      <c r="M15" s="3">
        <v>0.44166666666666665</v>
      </c>
      <c r="N15" s="3">
        <f t="shared" si="1"/>
        <v>6.5145833333333334</v>
      </c>
      <c r="O15" s="1"/>
      <c r="P15" s="152">
        <f t="shared" si="3"/>
        <v>359.35416666666669</v>
      </c>
      <c r="Q15" s="150">
        <v>0</v>
      </c>
      <c r="R15" s="199">
        <v>0</v>
      </c>
      <c r="S15" s="199">
        <v>0</v>
      </c>
      <c r="T15" s="199">
        <v>0</v>
      </c>
      <c r="U15" s="199">
        <v>0</v>
      </c>
      <c r="V15" s="199">
        <f t="shared" si="2"/>
        <v>0</v>
      </c>
      <c r="W15" s="199"/>
      <c r="X15" s="151">
        <f>(X14-VSLFO.MGO4[[#This Row],[TOTAL]])+VSLFO.MGO4[[#This Row],[FAENA2]]</f>
        <v>82.75</v>
      </c>
      <c r="Y15" s="150"/>
      <c r="Z15" s="199"/>
      <c r="AA15" s="149">
        <f>(AA14-VSLFO.MGO4[[#This Row],[CYLINDER MP]])+VSLFO.MGO4[[#This Row],[FAENA EN LTS]]</f>
        <v>100</v>
      </c>
      <c r="AB15" s="199"/>
      <c r="AC15" s="199"/>
      <c r="AD15" s="149">
        <f>(AD14-VSLFO.MGO4[[#This Row],[CARTER MP.]])+VSLFO.MGO4[[#This Row],[FAENA EN LTS2]]</f>
        <v>100</v>
      </c>
      <c r="AE15" s="199"/>
      <c r="AF15" s="199"/>
      <c r="AG15" s="149">
        <f>(AG14-VSLFO.MGO4[[#This Row],[MOT AUX]])+VSLFO.MGO4[[#This Row],[FAENA EN  LTS]]</f>
        <v>100</v>
      </c>
      <c r="AH15" s="199"/>
      <c r="AI15" s="199"/>
      <c r="AJ15" s="148">
        <f>(AJ14-VSLFO.MGO4[[#This Row],[HIDRAULICO]])+VSLFO.MGO4[[#This Row],[FAENA EN LTS3]]</f>
        <v>100</v>
      </c>
    </row>
    <row r="16" spans="1:36" x14ac:dyDescent="0.25">
      <c r="A16" s="135"/>
      <c r="B16" s="219">
        <v>43833</v>
      </c>
      <c r="C16" s="7">
        <v>9.5833333333333326E-2</v>
      </c>
      <c r="D16" s="4">
        <f>IF(VSLFO.MGO4[[#This Row],[FECHA]]-B15=1,((VSLFO.MGO4[[#This Row],[HORA]]-C15)*24)+24,(VSLFO.MGO4[[#This Row],[HORA]]-C15)*24)</f>
        <v>18.3</v>
      </c>
      <c r="E16" s="10" t="s">
        <v>1338</v>
      </c>
      <c r="F16" s="162" t="s">
        <v>152</v>
      </c>
      <c r="G16" s="213">
        <v>266</v>
      </c>
      <c r="H16" s="202">
        <v>10.8</v>
      </c>
      <c r="I16" s="202" t="s">
        <v>1296</v>
      </c>
      <c r="J16" s="208">
        <v>95</v>
      </c>
      <c r="K16" s="153">
        <v>19.062500000000004</v>
      </c>
      <c r="L16" s="3">
        <v>1.9062500000000002</v>
      </c>
      <c r="M16" s="3">
        <v>1.5249999999999999</v>
      </c>
      <c r="N16" s="3">
        <f t="shared" si="1"/>
        <v>22.493750000000002</v>
      </c>
      <c r="O16" s="1"/>
      <c r="P16" s="152">
        <f t="shared" si="3"/>
        <v>336.86041666666671</v>
      </c>
      <c r="Q16" s="150">
        <v>0</v>
      </c>
      <c r="R16" s="199">
        <v>0</v>
      </c>
      <c r="S16" s="199">
        <v>0</v>
      </c>
      <c r="T16" s="199">
        <v>0</v>
      </c>
      <c r="U16" s="199">
        <v>0</v>
      </c>
      <c r="V16" s="199">
        <f t="shared" si="2"/>
        <v>0</v>
      </c>
      <c r="W16" s="199"/>
      <c r="X16" s="151">
        <f>(X15-VSLFO.MGO4[[#This Row],[TOTAL]])+VSLFO.MGO4[[#This Row],[FAENA2]]</f>
        <v>82.75</v>
      </c>
      <c r="Y16" s="150"/>
      <c r="Z16" s="199"/>
      <c r="AA16" s="149">
        <f>(AA15-VSLFO.MGO4[[#This Row],[CYLINDER MP]])+VSLFO.MGO4[[#This Row],[FAENA EN LTS]]</f>
        <v>100</v>
      </c>
      <c r="AB16" s="199"/>
      <c r="AC16" s="199"/>
      <c r="AD16" s="149">
        <f>(AD15-VSLFO.MGO4[[#This Row],[CARTER MP.]])+VSLFO.MGO4[[#This Row],[FAENA EN LTS2]]</f>
        <v>100</v>
      </c>
      <c r="AE16" s="199"/>
      <c r="AF16" s="199"/>
      <c r="AG16" s="149">
        <f>(AG15-VSLFO.MGO4[[#This Row],[MOT AUX]])+VSLFO.MGO4[[#This Row],[FAENA EN  LTS]]</f>
        <v>100</v>
      </c>
      <c r="AH16" s="199"/>
      <c r="AI16" s="199"/>
      <c r="AJ16" s="148">
        <f>(AJ15-VSLFO.MGO4[[#This Row],[HIDRAULICO]])+VSLFO.MGO4[[#This Row],[FAENA EN LTS3]]</f>
        <v>100</v>
      </c>
    </row>
    <row r="17" spans="1:36" x14ac:dyDescent="0.25">
      <c r="A17" s="135"/>
      <c r="B17" s="219">
        <v>43833</v>
      </c>
      <c r="C17" s="7">
        <v>0.11666666666666665</v>
      </c>
      <c r="D17" s="4">
        <f>IF(VSLFO.MGO4[[#This Row],[FECHA]]-B16=1,((VSLFO.MGO4[[#This Row],[HORA]]-C16)*24)+24,(VSLFO.MGO4[[#This Row],[HORA]]-C16)*24)</f>
        <v>0.49999999999999989</v>
      </c>
      <c r="E17" s="10" t="s">
        <v>1057</v>
      </c>
      <c r="F17" s="162" t="s">
        <v>1395</v>
      </c>
      <c r="G17" s="213"/>
      <c r="H17" s="202"/>
      <c r="I17" s="202"/>
      <c r="J17" s="208"/>
      <c r="K17" s="153">
        <v>0.20833333333333329</v>
      </c>
      <c r="L17" s="3">
        <v>5.2083333333333322E-2</v>
      </c>
      <c r="M17" s="3">
        <v>4.1666666666666657E-2</v>
      </c>
      <c r="N17" s="3">
        <f t="shared" si="1"/>
        <v>0.30208333333333326</v>
      </c>
      <c r="O17" s="1"/>
      <c r="P17" s="152">
        <f t="shared" si="3"/>
        <v>336.55833333333339</v>
      </c>
      <c r="Q17" s="150">
        <v>0</v>
      </c>
      <c r="R17" s="199">
        <v>0</v>
      </c>
      <c r="S17" s="199">
        <v>0</v>
      </c>
      <c r="T17" s="199">
        <v>0</v>
      </c>
      <c r="U17" s="199">
        <v>0</v>
      </c>
      <c r="V17" s="199">
        <f t="shared" si="2"/>
        <v>0</v>
      </c>
      <c r="W17" s="199"/>
      <c r="X17" s="151">
        <f>(X16-VSLFO.MGO4[[#This Row],[TOTAL]])+VSLFO.MGO4[[#This Row],[FAENA2]]</f>
        <v>82.75</v>
      </c>
      <c r="Y17" s="150"/>
      <c r="Z17" s="199"/>
      <c r="AA17" s="149">
        <f>(AA16-VSLFO.MGO4[[#This Row],[CYLINDER MP]])+VSLFO.MGO4[[#This Row],[FAENA EN LTS]]</f>
        <v>100</v>
      </c>
      <c r="AB17" s="199"/>
      <c r="AC17" s="199"/>
      <c r="AD17" s="149">
        <f>(AD16-VSLFO.MGO4[[#This Row],[CARTER MP.]])+VSLFO.MGO4[[#This Row],[FAENA EN LTS2]]</f>
        <v>100</v>
      </c>
      <c r="AE17" s="199"/>
      <c r="AF17" s="199"/>
      <c r="AG17" s="149">
        <f>(AG16-VSLFO.MGO4[[#This Row],[MOT AUX]])+VSLFO.MGO4[[#This Row],[FAENA EN  LTS]]</f>
        <v>100</v>
      </c>
      <c r="AH17" s="199"/>
      <c r="AI17" s="199"/>
      <c r="AJ17" s="148">
        <f>(AJ16-VSLFO.MGO4[[#This Row],[HIDRAULICO]])+VSLFO.MGO4[[#This Row],[FAENA EN LTS3]]</f>
        <v>100</v>
      </c>
    </row>
    <row r="18" spans="1:36" x14ac:dyDescent="0.25">
      <c r="A18" s="135"/>
      <c r="B18" s="219">
        <v>43833</v>
      </c>
      <c r="C18" s="7">
        <v>0.33333333333333331</v>
      </c>
      <c r="D18" s="4">
        <f>IF(VSLFO.MGO4[[#This Row],[FECHA]]-B17=1,((VSLFO.MGO4[[#This Row],[HORA]]-C17)*24)+24,(VSLFO.MGO4[[#This Row],[HORA]]-C17)*24)</f>
        <v>5.2</v>
      </c>
      <c r="E18" s="10" t="s">
        <v>351</v>
      </c>
      <c r="F18" s="162" t="s">
        <v>1387</v>
      </c>
      <c r="G18" s="213"/>
      <c r="H18" s="202"/>
      <c r="I18" s="202"/>
      <c r="J18" s="208"/>
      <c r="K18" s="153">
        <v>0</v>
      </c>
      <c r="L18" s="3">
        <v>0.54166666666666674</v>
      </c>
      <c r="M18" s="3">
        <v>0.43333333333333335</v>
      </c>
      <c r="N18" s="3">
        <f t="shared" si="1"/>
        <v>0.97500000000000009</v>
      </c>
      <c r="O18" s="1"/>
      <c r="P18" s="152">
        <f t="shared" si="3"/>
        <v>335.58333333333337</v>
      </c>
      <c r="Q18" s="150">
        <v>0</v>
      </c>
      <c r="R18" s="199">
        <v>0</v>
      </c>
      <c r="S18" s="199">
        <v>0</v>
      </c>
      <c r="T18" s="199">
        <v>0</v>
      </c>
      <c r="U18" s="199">
        <v>0</v>
      </c>
      <c r="V18" s="199">
        <f t="shared" si="2"/>
        <v>0</v>
      </c>
      <c r="W18" s="199"/>
      <c r="X18" s="151">
        <f>(X17-VSLFO.MGO4[[#This Row],[TOTAL]])+VSLFO.MGO4[[#This Row],[FAENA2]]</f>
        <v>82.75</v>
      </c>
      <c r="Y18" s="150"/>
      <c r="Z18" s="199"/>
      <c r="AA18" s="149">
        <f>(AA17-VSLFO.MGO4[[#This Row],[CYLINDER MP]])+VSLFO.MGO4[[#This Row],[FAENA EN LTS]]</f>
        <v>100</v>
      </c>
      <c r="AB18" s="199"/>
      <c r="AC18" s="199"/>
      <c r="AD18" s="149">
        <f>(AD17-VSLFO.MGO4[[#This Row],[CARTER MP.]])+VSLFO.MGO4[[#This Row],[FAENA EN LTS2]]</f>
        <v>100</v>
      </c>
      <c r="AE18" s="199"/>
      <c r="AF18" s="199"/>
      <c r="AG18" s="149">
        <f>(AG17-VSLFO.MGO4[[#This Row],[MOT AUX]])+VSLFO.MGO4[[#This Row],[FAENA EN  LTS]]</f>
        <v>100</v>
      </c>
      <c r="AH18" s="199"/>
      <c r="AI18" s="199"/>
      <c r="AJ18" s="148">
        <f>(AJ17-VSLFO.MGO4[[#This Row],[HIDRAULICO]])+VSLFO.MGO4[[#This Row],[FAENA EN LTS3]]</f>
        <v>100</v>
      </c>
    </row>
    <row r="19" spans="1:36" x14ac:dyDescent="0.25">
      <c r="A19" s="135"/>
      <c r="B19" s="219">
        <v>43834</v>
      </c>
      <c r="C19" s="7">
        <v>0.33333333333333331</v>
      </c>
      <c r="D19" s="4">
        <f>IF(VSLFO.MGO4[[#This Row],[FECHA]]-B18=1,((VSLFO.MGO4[[#This Row],[HORA]]-C18)*24)+24,(VSLFO.MGO4[[#This Row],[HORA]]-C18)*24)</f>
        <v>24</v>
      </c>
      <c r="E19" s="10" t="s">
        <v>351</v>
      </c>
      <c r="F19" s="162" t="s">
        <v>1387</v>
      </c>
      <c r="G19" s="213"/>
      <c r="H19" s="202"/>
      <c r="I19" s="202"/>
      <c r="J19" s="208"/>
      <c r="K19" s="153">
        <v>0</v>
      </c>
      <c r="L19" s="3">
        <v>2.5</v>
      </c>
      <c r="M19" s="20">
        <v>2</v>
      </c>
      <c r="N19" s="3">
        <f t="shared" si="1"/>
        <v>4.5</v>
      </c>
      <c r="O19" s="1"/>
      <c r="P19" s="152">
        <f t="shared" si="3"/>
        <v>331.08333333333337</v>
      </c>
      <c r="Q19" s="150">
        <v>0</v>
      </c>
      <c r="R19" s="199">
        <v>0</v>
      </c>
      <c r="S19" s="199">
        <v>0</v>
      </c>
      <c r="T19" s="199">
        <v>0</v>
      </c>
      <c r="U19" s="199">
        <v>0</v>
      </c>
      <c r="V19" s="199">
        <f t="shared" si="2"/>
        <v>0</v>
      </c>
      <c r="W19" s="199"/>
      <c r="X19" s="151">
        <f>(X18-VSLFO.MGO4[[#This Row],[TOTAL]])+VSLFO.MGO4[[#This Row],[FAENA2]]</f>
        <v>82.75</v>
      </c>
      <c r="Y19" s="150"/>
      <c r="Z19" s="199"/>
      <c r="AA19" s="149">
        <f>(AA18-VSLFO.MGO4[[#This Row],[CYLINDER MP]])+VSLFO.MGO4[[#This Row],[FAENA EN LTS]]</f>
        <v>100</v>
      </c>
      <c r="AB19" s="199"/>
      <c r="AC19" s="199"/>
      <c r="AD19" s="149">
        <f>(AD18-VSLFO.MGO4[[#This Row],[CARTER MP.]])+VSLFO.MGO4[[#This Row],[FAENA EN LTS2]]</f>
        <v>100</v>
      </c>
      <c r="AE19" s="199"/>
      <c r="AF19" s="199"/>
      <c r="AG19" s="149">
        <f>(AG18-VSLFO.MGO4[[#This Row],[MOT AUX]])+VSLFO.MGO4[[#This Row],[FAENA EN  LTS]]</f>
        <v>100</v>
      </c>
      <c r="AH19" s="199"/>
      <c r="AI19" s="199"/>
      <c r="AJ19" s="148">
        <f>(AJ18-VSLFO.MGO4[[#This Row],[HIDRAULICO]])+VSLFO.MGO4[[#This Row],[FAENA EN LTS3]]</f>
        <v>100</v>
      </c>
    </row>
    <row r="20" spans="1:36" x14ac:dyDescent="0.25">
      <c r="A20" s="135"/>
      <c r="B20" s="219">
        <v>43835</v>
      </c>
      <c r="C20" s="7">
        <v>0.33333333333333331</v>
      </c>
      <c r="D20" s="4">
        <f>IF(VSLFO.MGO4[[#This Row],[FECHA]]-B19=1,((VSLFO.MGO4[[#This Row],[HORA]]-C19)*24)+24,(VSLFO.MGO4[[#This Row],[HORA]]-C19)*24)</f>
        <v>24</v>
      </c>
      <c r="E20" s="10" t="s">
        <v>351</v>
      </c>
      <c r="F20" s="162" t="s">
        <v>1387</v>
      </c>
      <c r="G20" s="213"/>
      <c r="H20" s="202"/>
      <c r="I20" s="202"/>
      <c r="J20" s="208"/>
      <c r="K20" s="153">
        <v>0</v>
      </c>
      <c r="L20" s="3">
        <v>2.2000000000000002</v>
      </c>
      <c r="M20" s="3">
        <v>2</v>
      </c>
      <c r="N20" s="3">
        <f t="shared" si="1"/>
        <v>4.2</v>
      </c>
      <c r="O20" s="1"/>
      <c r="P20" s="152">
        <f t="shared" si="3"/>
        <v>326.88333333333338</v>
      </c>
      <c r="Q20" s="150">
        <v>0</v>
      </c>
      <c r="R20" s="199">
        <v>0</v>
      </c>
      <c r="S20" s="199">
        <v>0</v>
      </c>
      <c r="T20" s="199">
        <v>0</v>
      </c>
      <c r="U20" s="199">
        <v>0</v>
      </c>
      <c r="V20" s="199">
        <f t="shared" si="2"/>
        <v>0</v>
      </c>
      <c r="W20" s="199"/>
      <c r="X20" s="151">
        <f>(X19-VSLFO.MGO4[[#This Row],[TOTAL]])+VSLFO.MGO4[[#This Row],[FAENA2]]</f>
        <v>82.75</v>
      </c>
      <c r="Y20" s="150"/>
      <c r="Z20" s="199"/>
      <c r="AA20" s="149">
        <f>(AA19-VSLFO.MGO4[[#This Row],[CYLINDER MP]])+VSLFO.MGO4[[#This Row],[FAENA EN LTS]]</f>
        <v>100</v>
      </c>
      <c r="AB20" s="199"/>
      <c r="AC20" s="199"/>
      <c r="AD20" s="149">
        <f>(AD19-VSLFO.MGO4[[#This Row],[CARTER MP.]])+VSLFO.MGO4[[#This Row],[FAENA EN LTS2]]</f>
        <v>100</v>
      </c>
      <c r="AE20" s="199"/>
      <c r="AF20" s="199"/>
      <c r="AG20" s="149">
        <f>(AG19-VSLFO.MGO4[[#This Row],[MOT AUX]])+VSLFO.MGO4[[#This Row],[FAENA EN  LTS]]</f>
        <v>100</v>
      </c>
      <c r="AH20" s="199"/>
      <c r="AI20" s="199"/>
      <c r="AJ20" s="148">
        <f>(AJ19-VSLFO.MGO4[[#This Row],[HIDRAULICO]])+VSLFO.MGO4[[#This Row],[FAENA EN LTS3]]</f>
        <v>100</v>
      </c>
    </row>
    <row r="21" spans="1:36" x14ac:dyDescent="0.25">
      <c r="A21" s="135"/>
      <c r="B21" s="219">
        <v>43836</v>
      </c>
      <c r="C21" s="7">
        <v>0.33333333333333331</v>
      </c>
      <c r="D21" s="4">
        <f>IF(VSLFO.MGO4[[#This Row],[FECHA]]-B20=1,((VSLFO.MGO4[[#This Row],[HORA]]-C20)*24)+24,(VSLFO.MGO4[[#This Row],[HORA]]-C20)*24)</f>
        <v>24</v>
      </c>
      <c r="E21" s="10" t="s">
        <v>351</v>
      </c>
      <c r="F21" s="162" t="s">
        <v>1387</v>
      </c>
      <c r="G21" s="213"/>
      <c r="H21" s="202"/>
      <c r="I21" s="202"/>
      <c r="J21" s="208"/>
      <c r="K21" s="153">
        <v>0</v>
      </c>
      <c r="L21" s="3">
        <v>2.2000000000000002</v>
      </c>
      <c r="M21" s="3">
        <v>2</v>
      </c>
      <c r="N21" s="3">
        <f t="shared" si="1"/>
        <v>4.2</v>
      </c>
      <c r="O21" s="1"/>
      <c r="P21" s="152">
        <f t="shared" si="3"/>
        <v>322.68333333333339</v>
      </c>
      <c r="Q21" s="150">
        <v>0</v>
      </c>
      <c r="R21" s="199">
        <v>0</v>
      </c>
      <c r="S21" s="199">
        <v>0</v>
      </c>
      <c r="T21" s="199">
        <v>0</v>
      </c>
      <c r="U21" s="199">
        <v>0</v>
      </c>
      <c r="V21" s="199">
        <f t="shared" si="2"/>
        <v>0</v>
      </c>
      <c r="W21" s="199"/>
      <c r="X21" s="151">
        <f>(X20-VSLFO.MGO4[[#This Row],[TOTAL]])+VSLFO.MGO4[[#This Row],[FAENA2]]</f>
        <v>82.75</v>
      </c>
      <c r="Y21" s="150"/>
      <c r="Z21" s="199"/>
      <c r="AA21" s="149">
        <f>(AA20-VSLFO.MGO4[[#This Row],[CYLINDER MP]])+VSLFO.MGO4[[#This Row],[FAENA EN LTS]]</f>
        <v>100</v>
      </c>
      <c r="AB21" s="199"/>
      <c r="AC21" s="199"/>
      <c r="AD21" s="149">
        <f>(AD20-VSLFO.MGO4[[#This Row],[CARTER MP.]])+VSLFO.MGO4[[#This Row],[FAENA EN LTS2]]</f>
        <v>100</v>
      </c>
      <c r="AE21" s="199"/>
      <c r="AF21" s="199"/>
      <c r="AG21" s="149">
        <f>(AG20-VSLFO.MGO4[[#This Row],[MOT AUX]])+VSLFO.MGO4[[#This Row],[FAENA EN  LTS]]</f>
        <v>100</v>
      </c>
      <c r="AH21" s="199"/>
      <c r="AI21" s="199"/>
      <c r="AJ21" s="148">
        <f>(AJ20-VSLFO.MGO4[[#This Row],[HIDRAULICO]])+VSLFO.MGO4[[#This Row],[FAENA EN LTS3]]</f>
        <v>100</v>
      </c>
    </row>
    <row r="22" spans="1:36" x14ac:dyDescent="0.25">
      <c r="A22" s="135"/>
      <c r="B22" s="219">
        <v>43836</v>
      </c>
      <c r="C22" s="7">
        <v>0.54166666666666663</v>
      </c>
      <c r="D22" s="4">
        <f>IF(VSLFO.MGO4[[#This Row],[FECHA]]-B21=1,((VSLFO.MGO4[[#This Row],[HORA]]-C21)*24)+24,(VSLFO.MGO4[[#This Row],[HORA]]-C21)*24)</f>
        <v>5</v>
      </c>
      <c r="E22" s="10" t="s">
        <v>351</v>
      </c>
      <c r="F22" s="162" t="s">
        <v>1396</v>
      </c>
      <c r="G22" s="213"/>
      <c r="H22" s="202"/>
      <c r="I22" s="202"/>
      <c r="J22" s="208"/>
      <c r="K22" s="153">
        <v>0</v>
      </c>
      <c r="L22" s="3">
        <v>0.45833333333333337</v>
      </c>
      <c r="M22" s="3">
        <v>0.41666666666666663</v>
      </c>
      <c r="N22" s="3">
        <f t="shared" si="1"/>
        <v>0.875</v>
      </c>
      <c r="O22" s="1"/>
      <c r="P22" s="152">
        <f t="shared" si="3"/>
        <v>321.80833333333339</v>
      </c>
      <c r="Q22" s="150">
        <v>0</v>
      </c>
      <c r="R22" s="199">
        <v>0</v>
      </c>
      <c r="S22" s="199">
        <v>0</v>
      </c>
      <c r="T22" s="199">
        <v>0</v>
      </c>
      <c r="U22" s="199">
        <v>0</v>
      </c>
      <c r="V22" s="199">
        <f t="shared" si="2"/>
        <v>0</v>
      </c>
      <c r="W22" s="199"/>
      <c r="X22" s="151">
        <f>(X21-VSLFO.MGO4[[#This Row],[TOTAL]])+VSLFO.MGO4[[#This Row],[FAENA2]]</f>
        <v>82.75</v>
      </c>
      <c r="Y22" s="150"/>
      <c r="Z22" s="199"/>
      <c r="AA22" s="149">
        <f>(AA21-VSLFO.MGO4[[#This Row],[CYLINDER MP]])+VSLFO.MGO4[[#This Row],[FAENA EN LTS]]</f>
        <v>100</v>
      </c>
      <c r="AB22" s="199"/>
      <c r="AC22" s="199"/>
      <c r="AD22" s="149">
        <f>(AD21-VSLFO.MGO4[[#This Row],[CARTER MP.]])+VSLFO.MGO4[[#This Row],[FAENA EN LTS2]]</f>
        <v>100</v>
      </c>
      <c r="AE22" s="199"/>
      <c r="AF22" s="199"/>
      <c r="AG22" s="149">
        <f>(AG21-VSLFO.MGO4[[#This Row],[MOT AUX]])+VSLFO.MGO4[[#This Row],[FAENA EN  LTS]]</f>
        <v>100</v>
      </c>
      <c r="AH22" s="199"/>
      <c r="AI22" s="199"/>
      <c r="AJ22" s="148">
        <f>(AJ21-VSLFO.MGO4[[#This Row],[HIDRAULICO]])+VSLFO.MGO4[[#This Row],[FAENA EN LTS3]]</f>
        <v>100</v>
      </c>
    </row>
    <row r="23" spans="1:36" x14ac:dyDescent="0.25">
      <c r="A23" s="135"/>
      <c r="B23" s="219">
        <v>43836</v>
      </c>
      <c r="C23" s="7">
        <v>0.59583333333333333</v>
      </c>
      <c r="D23" s="4">
        <f>IF(VSLFO.MGO4[[#This Row],[FECHA]]-B22=1,((VSLFO.MGO4[[#This Row],[HORA]]-C22)*24)+24,(VSLFO.MGO4[[#This Row],[HORA]]-C22)*24)</f>
        <v>1.3000000000000007</v>
      </c>
      <c r="E23" s="10" t="s">
        <v>1057</v>
      </c>
      <c r="F23" s="162" t="s">
        <v>1167</v>
      </c>
      <c r="G23" s="213"/>
      <c r="H23" s="202"/>
      <c r="I23" s="202"/>
      <c r="J23" s="208"/>
      <c r="K23" s="153">
        <v>0.10833333333333339</v>
      </c>
      <c r="L23" s="3">
        <v>0.11916666666666674</v>
      </c>
      <c r="M23" s="3">
        <v>0.10833333333333339</v>
      </c>
      <c r="N23" s="3">
        <f t="shared" si="1"/>
        <v>0.33583333333333354</v>
      </c>
      <c r="O23" s="1"/>
      <c r="P23" s="152">
        <f t="shared" si="3"/>
        <v>321.47250000000008</v>
      </c>
      <c r="Q23" s="150">
        <v>0</v>
      </c>
      <c r="R23" s="199">
        <v>0</v>
      </c>
      <c r="S23" s="199">
        <v>0</v>
      </c>
      <c r="T23" s="199">
        <v>0</v>
      </c>
      <c r="U23" s="199">
        <v>0</v>
      </c>
      <c r="V23" s="199">
        <f t="shared" si="2"/>
        <v>0</v>
      </c>
      <c r="W23" s="199"/>
      <c r="X23" s="151">
        <f>(X22-VSLFO.MGO4[[#This Row],[TOTAL]])+VSLFO.MGO4[[#This Row],[FAENA2]]</f>
        <v>82.75</v>
      </c>
      <c r="Y23" s="150"/>
      <c r="Z23" s="199"/>
      <c r="AA23" s="149">
        <f>(AA22-VSLFO.MGO4[[#This Row],[CYLINDER MP]])+VSLFO.MGO4[[#This Row],[FAENA EN LTS]]</f>
        <v>100</v>
      </c>
      <c r="AB23" s="199"/>
      <c r="AC23" s="199"/>
      <c r="AD23" s="149">
        <f>(AD22-VSLFO.MGO4[[#This Row],[CARTER MP.]])+VSLFO.MGO4[[#This Row],[FAENA EN LTS2]]</f>
        <v>100</v>
      </c>
      <c r="AE23" s="199"/>
      <c r="AF23" s="199"/>
      <c r="AG23" s="149">
        <f>(AG22-VSLFO.MGO4[[#This Row],[MOT AUX]])+VSLFO.MGO4[[#This Row],[FAENA EN  LTS]]</f>
        <v>100</v>
      </c>
      <c r="AH23" s="199"/>
      <c r="AI23" s="199"/>
      <c r="AJ23" s="148">
        <f>(AJ22-VSLFO.MGO4[[#This Row],[HIDRAULICO]])+VSLFO.MGO4[[#This Row],[FAENA EN LTS3]]</f>
        <v>100</v>
      </c>
    </row>
    <row r="24" spans="1:36" x14ac:dyDescent="0.25">
      <c r="A24" s="135"/>
      <c r="B24" s="219">
        <v>43836</v>
      </c>
      <c r="C24" s="7">
        <v>0.72083333333333333</v>
      </c>
      <c r="D24" s="4">
        <f>IF(VSLFO.MGO4[[#This Row],[FECHA]]-B23=1,((VSLFO.MGO4[[#This Row],[HORA]]-C23)*24)+24,(VSLFO.MGO4[[#This Row],[HORA]]-C23)*24)</f>
        <v>3</v>
      </c>
      <c r="E24" s="10" t="s">
        <v>1425</v>
      </c>
      <c r="F24" s="162" t="s">
        <v>1397</v>
      </c>
      <c r="G24" s="213"/>
      <c r="H24" s="202"/>
      <c r="I24" s="202"/>
      <c r="J24" s="208"/>
      <c r="K24" s="153">
        <v>0</v>
      </c>
      <c r="L24" s="3">
        <v>0.3125</v>
      </c>
      <c r="M24" s="3">
        <v>0.25</v>
      </c>
      <c r="N24" s="3">
        <f t="shared" si="1"/>
        <v>0.5625</v>
      </c>
      <c r="O24" s="1"/>
      <c r="P24" s="152">
        <f t="shared" si="3"/>
        <v>320.91000000000008</v>
      </c>
      <c r="Q24" s="150">
        <v>0</v>
      </c>
      <c r="R24" s="199">
        <v>0</v>
      </c>
      <c r="S24" s="199">
        <v>0</v>
      </c>
      <c r="T24" s="199">
        <v>0</v>
      </c>
      <c r="U24" s="199">
        <v>0</v>
      </c>
      <c r="V24" s="199">
        <f t="shared" si="2"/>
        <v>0</v>
      </c>
      <c r="W24" s="199"/>
      <c r="X24" s="151">
        <f>(X23-VSLFO.MGO4[[#This Row],[TOTAL]])+VSLFO.MGO4[[#This Row],[FAENA2]]</f>
        <v>82.75</v>
      </c>
      <c r="Y24" s="150"/>
      <c r="Z24" s="199"/>
      <c r="AA24" s="149">
        <f>(AA23-VSLFO.MGO4[[#This Row],[CYLINDER MP]])+VSLFO.MGO4[[#This Row],[FAENA EN LTS]]</f>
        <v>100</v>
      </c>
      <c r="AB24" s="199"/>
      <c r="AC24" s="199"/>
      <c r="AD24" s="149">
        <f>(AD23-VSLFO.MGO4[[#This Row],[CARTER MP.]])+VSLFO.MGO4[[#This Row],[FAENA EN LTS2]]</f>
        <v>100</v>
      </c>
      <c r="AE24" s="199"/>
      <c r="AF24" s="199"/>
      <c r="AG24" s="149">
        <f>(AG23-VSLFO.MGO4[[#This Row],[MOT AUX]])+VSLFO.MGO4[[#This Row],[FAENA EN  LTS]]</f>
        <v>100</v>
      </c>
      <c r="AH24" s="199"/>
      <c r="AI24" s="199"/>
      <c r="AJ24" s="148">
        <f>(AJ23-VSLFO.MGO4[[#This Row],[HIDRAULICO]])+VSLFO.MGO4[[#This Row],[FAENA EN LTS3]]</f>
        <v>100</v>
      </c>
    </row>
    <row r="25" spans="1:36" x14ac:dyDescent="0.25">
      <c r="A25" s="135"/>
      <c r="B25" s="219">
        <v>43837</v>
      </c>
      <c r="C25" s="7">
        <v>0.33333333333333331</v>
      </c>
      <c r="D25" s="4">
        <f>IF(VSLFO.MGO4[[#This Row],[FECHA]]-B24=1,((VSLFO.MGO4[[#This Row],[HORA]]-C24)*24)+24,(VSLFO.MGO4[[#This Row],[HORA]]-C24)*24)</f>
        <v>14.7</v>
      </c>
      <c r="E25" s="10" t="s">
        <v>966</v>
      </c>
      <c r="F25" s="162" t="s">
        <v>966</v>
      </c>
      <c r="G25" s="213"/>
      <c r="H25" s="202"/>
      <c r="I25" s="202"/>
      <c r="J25" s="208"/>
      <c r="K25" s="153">
        <v>0</v>
      </c>
      <c r="L25" s="3">
        <v>1.53125</v>
      </c>
      <c r="M25" s="3">
        <v>1.2249999999999999</v>
      </c>
      <c r="N25" s="3">
        <f t="shared" si="1"/>
        <v>2.7562499999999996</v>
      </c>
      <c r="O25" s="1"/>
      <c r="P25" s="152">
        <f t="shared" si="3"/>
        <v>318.15375000000006</v>
      </c>
      <c r="Q25" s="150">
        <v>0</v>
      </c>
      <c r="R25" s="199">
        <v>0</v>
      </c>
      <c r="S25" s="199">
        <v>0</v>
      </c>
      <c r="T25" s="199">
        <v>0</v>
      </c>
      <c r="U25" s="199">
        <v>2.2999999999999998</v>
      </c>
      <c r="V25" s="199">
        <f t="shared" si="2"/>
        <v>2.2999999999999998</v>
      </c>
      <c r="W25" s="199"/>
      <c r="X25" s="151">
        <f>(X24-VSLFO.MGO4[[#This Row],[TOTAL]])+VSLFO.MGO4[[#This Row],[FAENA2]]</f>
        <v>80.45</v>
      </c>
      <c r="Y25" s="150"/>
      <c r="Z25" s="199"/>
      <c r="AA25" s="149">
        <f>(AA24-VSLFO.MGO4[[#This Row],[CYLINDER MP]])+VSLFO.MGO4[[#This Row],[FAENA EN LTS]]</f>
        <v>100</v>
      </c>
      <c r="AB25" s="199"/>
      <c r="AC25" s="199"/>
      <c r="AD25" s="149">
        <f>(AD24-VSLFO.MGO4[[#This Row],[CARTER MP.]])+VSLFO.MGO4[[#This Row],[FAENA EN LTS2]]</f>
        <v>100</v>
      </c>
      <c r="AE25" s="199"/>
      <c r="AF25" s="199"/>
      <c r="AG25" s="149">
        <f>(AG24-VSLFO.MGO4[[#This Row],[MOT AUX]])+VSLFO.MGO4[[#This Row],[FAENA EN  LTS]]</f>
        <v>100</v>
      </c>
      <c r="AH25" s="199"/>
      <c r="AI25" s="199"/>
      <c r="AJ25" s="148">
        <f>(AJ24-VSLFO.MGO4[[#This Row],[HIDRAULICO]])+VSLFO.MGO4[[#This Row],[FAENA EN LTS3]]</f>
        <v>100</v>
      </c>
    </row>
    <row r="26" spans="1:36" x14ac:dyDescent="0.25">
      <c r="A26" s="135"/>
      <c r="B26" s="219">
        <v>43837</v>
      </c>
      <c r="C26" s="7">
        <v>0.8833333333333333</v>
      </c>
      <c r="D26" s="4">
        <f>IF(VSLFO.MGO4[[#This Row],[FECHA]]-B25=1,((VSLFO.MGO4[[#This Row],[HORA]]-C25)*24)+24,(VSLFO.MGO4[[#This Row],[HORA]]-C25)*24)</f>
        <v>13.200000000000001</v>
      </c>
      <c r="E26" s="10" t="s">
        <v>966</v>
      </c>
      <c r="F26" s="162" t="s">
        <v>1398</v>
      </c>
      <c r="G26" s="212"/>
      <c r="H26" s="201"/>
      <c r="I26" s="201"/>
      <c r="J26" s="207"/>
      <c r="K26" s="153">
        <v>0</v>
      </c>
      <c r="L26" s="3">
        <v>1.3750000000000002</v>
      </c>
      <c r="M26" s="3">
        <v>1.1000000000000001</v>
      </c>
      <c r="N26" s="3">
        <f t="shared" si="1"/>
        <v>2.4750000000000005</v>
      </c>
      <c r="O26" s="1"/>
      <c r="P26" s="152">
        <f t="shared" si="3"/>
        <v>315.67875000000004</v>
      </c>
      <c r="Q26" s="150">
        <v>0</v>
      </c>
      <c r="R26" s="199">
        <v>0</v>
      </c>
      <c r="S26" s="199">
        <v>0</v>
      </c>
      <c r="T26" s="199">
        <v>0</v>
      </c>
      <c r="U26" s="199">
        <v>2.2000000000000002</v>
      </c>
      <c r="V26" s="199">
        <f t="shared" si="2"/>
        <v>2.2000000000000002</v>
      </c>
      <c r="W26" s="199"/>
      <c r="X26" s="151">
        <f>(X25-VSLFO.MGO4[[#This Row],[TOTAL]])+VSLFO.MGO4[[#This Row],[FAENA2]]</f>
        <v>78.25</v>
      </c>
      <c r="Y26" s="150"/>
      <c r="Z26" s="199"/>
      <c r="AA26" s="149">
        <f>(AA25-VSLFO.MGO4[[#This Row],[CYLINDER MP]])+VSLFO.MGO4[[#This Row],[FAENA EN LTS]]</f>
        <v>100</v>
      </c>
      <c r="AB26" s="199"/>
      <c r="AC26" s="199"/>
      <c r="AD26" s="149">
        <f>(AD25-VSLFO.MGO4[[#This Row],[CARTER MP.]])+VSLFO.MGO4[[#This Row],[FAENA EN LTS2]]</f>
        <v>100</v>
      </c>
      <c r="AE26" s="199"/>
      <c r="AF26" s="199"/>
      <c r="AG26" s="149">
        <f>(AG25-VSLFO.MGO4[[#This Row],[MOT AUX]])+VSLFO.MGO4[[#This Row],[FAENA EN  LTS]]</f>
        <v>100</v>
      </c>
      <c r="AH26" s="199"/>
      <c r="AI26" s="199"/>
      <c r="AJ26" s="148">
        <f>(AJ25-VSLFO.MGO4[[#This Row],[HIDRAULICO]])+VSLFO.MGO4[[#This Row],[FAENA EN LTS3]]</f>
        <v>100</v>
      </c>
    </row>
    <row r="27" spans="1:36" x14ac:dyDescent="0.25">
      <c r="A27" s="135"/>
      <c r="B27" s="219">
        <v>43838</v>
      </c>
      <c r="C27" s="7">
        <v>1.6666666666666666E-2</v>
      </c>
      <c r="D27" s="4">
        <f>IF(VSLFO.MGO4[[#This Row],[FECHA]]-B26=1,((VSLFO.MGO4[[#This Row],[HORA]]-C26)*24)+24,(VSLFO.MGO4[[#This Row],[HORA]]-C26)*24)</f>
        <v>3.2000000000000028</v>
      </c>
      <c r="E27" s="10" t="s">
        <v>1425</v>
      </c>
      <c r="F27" s="162" t="s">
        <v>1396</v>
      </c>
      <c r="G27" s="212"/>
      <c r="H27" s="201"/>
      <c r="I27" s="201"/>
      <c r="J27" s="207"/>
      <c r="K27" s="153">
        <v>0</v>
      </c>
      <c r="L27" s="3">
        <v>0.33333333333333365</v>
      </c>
      <c r="M27" s="3">
        <v>0.26666666666666689</v>
      </c>
      <c r="N27" s="3">
        <f t="shared" si="1"/>
        <v>0.60000000000000053</v>
      </c>
      <c r="O27" s="1"/>
      <c r="P27" s="152">
        <f t="shared" si="3"/>
        <v>315.07875000000001</v>
      </c>
      <c r="Q27" s="150">
        <v>0</v>
      </c>
      <c r="R27" s="199">
        <v>0</v>
      </c>
      <c r="S27" s="199">
        <v>0</v>
      </c>
      <c r="T27" s="199">
        <v>0</v>
      </c>
      <c r="U27" s="199">
        <v>0</v>
      </c>
      <c r="V27" s="199">
        <f t="shared" si="2"/>
        <v>0</v>
      </c>
      <c r="W27" s="199"/>
      <c r="X27" s="151">
        <f>(X26-VSLFO.MGO4[[#This Row],[TOTAL]])+VSLFO.MGO4[[#This Row],[FAENA2]]</f>
        <v>78.25</v>
      </c>
      <c r="Y27" s="150"/>
      <c r="Z27" s="199"/>
      <c r="AA27" s="149">
        <f>(AA26-VSLFO.MGO4[[#This Row],[CYLINDER MP]])+VSLFO.MGO4[[#This Row],[FAENA EN LTS]]</f>
        <v>100</v>
      </c>
      <c r="AB27" s="199"/>
      <c r="AC27" s="199"/>
      <c r="AD27" s="149">
        <f>(AD26-VSLFO.MGO4[[#This Row],[CARTER MP.]])+VSLFO.MGO4[[#This Row],[FAENA EN LTS2]]</f>
        <v>100</v>
      </c>
      <c r="AE27" s="199"/>
      <c r="AF27" s="199"/>
      <c r="AG27" s="149">
        <f>(AG26-VSLFO.MGO4[[#This Row],[MOT AUX]])+VSLFO.MGO4[[#This Row],[FAENA EN  LTS]]</f>
        <v>100</v>
      </c>
      <c r="AH27" s="199"/>
      <c r="AI27" s="199"/>
      <c r="AJ27" s="148">
        <f>(AJ26-VSLFO.MGO4[[#This Row],[HIDRAULICO]])+VSLFO.MGO4[[#This Row],[FAENA EN LTS3]]</f>
        <v>100</v>
      </c>
    </row>
    <row r="28" spans="1:36" x14ac:dyDescent="0.25">
      <c r="A28" s="135"/>
      <c r="B28" s="219">
        <v>43838</v>
      </c>
      <c r="C28" s="7">
        <v>4.1666666666666664E-2</v>
      </c>
      <c r="D28" s="4">
        <f>IF(VSLFO.MGO4[[#This Row],[FECHA]]-B27=1,((VSLFO.MGO4[[#This Row],[HORA]]-C27)*24)+24,(VSLFO.MGO4[[#This Row],[HORA]]-C27)*24)</f>
        <v>0.6</v>
      </c>
      <c r="E28" s="10" t="s">
        <v>1057</v>
      </c>
      <c r="F28" s="154" t="s">
        <v>1399</v>
      </c>
      <c r="G28" s="212"/>
      <c r="H28" s="201"/>
      <c r="I28" s="201"/>
      <c r="J28" s="207"/>
      <c r="K28" s="153">
        <v>0.125</v>
      </c>
      <c r="L28" s="3">
        <v>6.25E-2</v>
      </c>
      <c r="M28" s="3">
        <v>4.9999999999999996E-2</v>
      </c>
      <c r="N28" s="3">
        <f t="shared" si="1"/>
        <v>0.23749999999999999</v>
      </c>
      <c r="O28" s="1"/>
      <c r="P28" s="152">
        <f t="shared" si="3"/>
        <v>314.84125</v>
      </c>
      <c r="Q28" s="150">
        <v>0</v>
      </c>
      <c r="R28" s="199">
        <v>0</v>
      </c>
      <c r="S28" s="199">
        <v>0</v>
      </c>
      <c r="T28" s="199">
        <v>0</v>
      </c>
      <c r="U28" s="199">
        <v>0</v>
      </c>
      <c r="V28" s="199">
        <f t="shared" si="2"/>
        <v>0</v>
      </c>
      <c r="W28" s="199"/>
      <c r="X28" s="151">
        <f>(X27-VSLFO.MGO4[[#This Row],[TOTAL]])+VSLFO.MGO4[[#This Row],[FAENA2]]</f>
        <v>78.25</v>
      </c>
      <c r="Y28" s="150"/>
      <c r="Z28" s="199"/>
      <c r="AA28" s="149">
        <f>(AA27-VSLFO.MGO4[[#This Row],[CYLINDER MP]])+VSLFO.MGO4[[#This Row],[FAENA EN LTS]]</f>
        <v>100</v>
      </c>
      <c r="AB28" s="199"/>
      <c r="AC28" s="199"/>
      <c r="AD28" s="149">
        <f>(AD27-VSLFO.MGO4[[#This Row],[CARTER MP.]])+VSLFO.MGO4[[#This Row],[FAENA EN LTS2]]</f>
        <v>100</v>
      </c>
      <c r="AE28" s="199"/>
      <c r="AF28" s="199"/>
      <c r="AG28" s="149">
        <f>(AG27-VSLFO.MGO4[[#This Row],[MOT AUX]])+VSLFO.MGO4[[#This Row],[FAENA EN  LTS]]</f>
        <v>100</v>
      </c>
      <c r="AH28" s="199"/>
      <c r="AI28" s="199"/>
      <c r="AJ28" s="148">
        <f>(AJ27-VSLFO.MGO4[[#This Row],[HIDRAULICO]])+VSLFO.MGO4[[#This Row],[FAENA EN LTS3]]</f>
        <v>100</v>
      </c>
    </row>
    <row r="29" spans="1:36" x14ac:dyDescent="0.25">
      <c r="A29" s="135"/>
      <c r="B29" s="219">
        <v>43838</v>
      </c>
      <c r="C29" s="7">
        <v>0.33333333333333331</v>
      </c>
      <c r="D29" s="4">
        <f>IF(VSLFO.MGO4[[#This Row],[FECHA]]-B28=1,((VSLFO.MGO4[[#This Row],[HORA]]-C28)*24)+24,(VSLFO.MGO4[[#This Row],[HORA]]-C28)*24)</f>
        <v>6.9999999999999991</v>
      </c>
      <c r="E29" s="10" t="s">
        <v>1338</v>
      </c>
      <c r="F29" s="154" t="s">
        <v>1388</v>
      </c>
      <c r="G29" s="212"/>
      <c r="H29" s="201"/>
      <c r="I29" s="201" t="s">
        <v>1420</v>
      </c>
      <c r="J29" s="207">
        <v>95</v>
      </c>
      <c r="K29" s="153">
        <v>6.4166666666666652</v>
      </c>
      <c r="L29" s="3">
        <v>0.72916666666666663</v>
      </c>
      <c r="M29" s="3">
        <v>0</v>
      </c>
      <c r="N29" s="3">
        <f t="shared" si="1"/>
        <v>7.1458333333333321</v>
      </c>
      <c r="O29" s="1"/>
      <c r="P29" s="152">
        <f t="shared" si="3"/>
        <v>307.69541666666669</v>
      </c>
      <c r="Q29" s="150">
        <v>0</v>
      </c>
      <c r="R29" s="199">
        <v>0</v>
      </c>
      <c r="S29" s="199">
        <v>0</v>
      </c>
      <c r="T29" s="199">
        <v>0</v>
      </c>
      <c r="U29" s="199">
        <v>0</v>
      </c>
      <c r="V29" s="199">
        <f t="shared" si="2"/>
        <v>0</v>
      </c>
      <c r="W29" s="199"/>
      <c r="X29" s="151">
        <f>(X28-VSLFO.MGO4[[#This Row],[TOTAL]])+VSLFO.MGO4[[#This Row],[FAENA2]]</f>
        <v>78.25</v>
      </c>
      <c r="Y29" s="150"/>
      <c r="Z29" s="199"/>
      <c r="AA29" s="149">
        <f>(AA28-VSLFO.MGO4[[#This Row],[CYLINDER MP]])+VSLFO.MGO4[[#This Row],[FAENA EN LTS]]</f>
        <v>100</v>
      </c>
      <c r="AB29" s="199"/>
      <c r="AC29" s="199"/>
      <c r="AD29" s="149">
        <f>(AD28-VSLFO.MGO4[[#This Row],[CARTER MP.]])+VSLFO.MGO4[[#This Row],[FAENA EN LTS2]]</f>
        <v>100</v>
      </c>
      <c r="AE29" s="199"/>
      <c r="AF29" s="199"/>
      <c r="AG29" s="149">
        <f>(AG28-VSLFO.MGO4[[#This Row],[MOT AUX]])+VSLFO.MGO4[[#This Row],[FAENA EN  LTS]]</f>
        <v>100</v>
      </c>
      <c r="AH29" s="199"/>
      <c r="AI29" s="199"/>
      <c r="AJ29" s="148">
        <f>(AJ28-VSLFO.MGO4[[#This Row],[HIDRAULICO]])+VSLFO.MGO4[[#This Row],[FAENA EN LTS3]]</f>
        <v>100</v>
      </c>
    </row>
    <row r="30" spans="1:36" x14ac:dyDescent="0.25">
      <c r="A30" s="135"/>
      <c r="B30" s="219">
        <v>43838</v>
      </c>
      <c r="C30" s="7">
        <v>0.41666666666666669</v>
      </c>
      <c r="D30" s="4">
        <f>IF(VSLFO.MGO4[[#This Row],[FECHA]]-B29=1,((VSLFO.MGO4[[#This Row],[HORA]]-C29)*24)+24,(VSLFO.MGO4[[#This Row],[HORA]]-C29)*24)</f>
        <v>2.0000000000000009</v>
      </c>
      <c r="E30" s="10" t="s">
        <v>1338</v>
      </c>
      <c r="F30" s="154" t="s">
        <v>1003</v>
      </c>
      <c r="G30" s="212">
        <v>96</v>
      </c>
      <c r="H30" s="201">
        <v>10.199999999999999</v>
      </c>
      <c r="I30" s="201" t="s">
        <v>1303</v>
      </c>
      <c r="J30" s="207">
        <v>95</v>
      </c>
      <c r="K30" s="153">
        <v>1.8333333333333341</v>
      </c>
      <c r="L30" s="3">
        <v>0.20833333333333343</v>
      </c>
      <c r="M30" s="3">
        <v>0</v>
      </c>
      <c r="N30" s="3">
        <f t="shared" si="1"/>
        <v>2.0416666666666674</v>
      </c>
      <c r="O30" s="1"/>
      <c r="P30" s="152">
        <f t="shared" si="3"/>
        <v>305.65375</v>
      </c>
      <c r="Q30" s="150">
        <v>0</v>
      </c>
      <c r="R30" s="199">
        <v>0</v>
      </c>
      <c r="S30" s="199">
        <v>0</v>
      </c>
      <c r="T30" s="199">
        <v>0</v>
      </c>
      <c r="U30" s="199">
        <v>0</v>
      </c>
      <c r="V30" s="199">
        <f t="shared" si="2"/>
        <v>0</v>
      </c>
      <c r="W30" s="199"/>
      <c r="X30" s="151">
        <f>(X29-VSLFO.MGO4[[#This Row],[TOTAL]])+VSLFO.MGO4[[#This Row],[FAENA2]]</f>
        <v>78.25</v>
      </c>
      <c r="Y30" s="150"/>
      <c r="Z30" s="199"/>
      <c r="AA30" s="149">
        <f>(AA29-VSLFO.MGO4[[#This Row],[CYLINDER MP]])+VSLFO.MGO4[[#This Row],[FAENA EN LTS]]</f>
        <v>100</v>
      </c>
      <c r="AB30" s="199"/>
      <c r="AC30" s="199"/>
      <c r="AD30" s="149">
        <f>(AD29-VSLFO.MGO4[[#This Row],[CARTER MP.]])+VSLFO.MGO4[[#This Row],[FAENA EN LTS2]]</f>
        <v>100</v>
      </c>
      <c r="AE30" s="199"/>
      <c r="AF30" s="199"/>
      <c r="AG30" s="149">
        <f>(AG29-VSLFO.MGO4[[#This Row],[MOT AUX]])+VSLFO.MGO4[[#This Row],[FAENA EN  LTS]]</f>
        <v>100</v>
      </c>
      <c r="AH30" s="199"/>
      <c r="AI30" s="199"/>
      <c r="AJ30" s="148">
        <f>(AJ29-VSLFO.MGO4[[#This Row],[HIDRAULICO]])+VSLFO.MGO4[[#This Row],[FAENA EN LTS3]]</f>
        <v>100</v>
      </c>
    </row>
    <row r="31" spans="1:36" x14ac:dyDescent="0.25">
      <c r="A31" s="135"/>
      <c r="B31" s="219">
        <v>43838</v>
      </c>
      <c r="C31" s="7">
        <v>0.49583333333333335</v>
      </c>
      <c r="D31" s="4">
        <f>IF(VSLFO.MGO4[[#This Row],[FECHA]]-B30=1,((VSLFO.MGO4[[#This Row],[HORA]]-C30)*24)+24,(VSLFO.MGO4[[#This Row],[HORA]]-C30)*24)</f>
        <v>1.9</v>
      </c>
      <c r="E31" s="10" t="s">
        <v>1057</v>
      </c>
      <c r="F31" s="154" t="s">
        <v>1400</v>
      </c>
      <c r="G31" s="212"/>
      <c r="H31" s="201"/>
      <c r="I31" s="201"/>
      <c r="J31" s="207"/>
      <c r="K31" s="153">
        <v>0.15833333333333333</v>
      </c>
      <c r="L31" s="3">
        <v>0.19791666666666666</v>
      </c>
      <c r="M31" s="3">
        <v>0.15833333333333333</v>
      </c>
      <c r="N31" s="3">
        <f t="shared" si="1"/>
        <v>0.51458333333333328</v>
      </c>
      <c r="O31" s="1"/>
      <c r="P31" s="152">
        <f t="shared" si="3"/>
        <v>305.13916666666665</v>
      </c>
      <c r="Q31" s="150">
        <v>0</v>
      </c>
      <c r="R31" s="199">
        <v>0</v>
      </c>
      <c r="S31" s="199">
        <v>0</v>
      </c>
      <c r="T31" s="199">
        <v>0</v>
      </c>
      <c r="U31" s="199">
        <v>0</v>
      </c>
      <c r="V31" s="199">
        <f t="shared" si="2"/>
        <v>0</v>
      </c>
      <c r="W31" s="199"/>
      <c r="X31" s="151">
        <f>(X30-VSLFO.MGO4[[#This Row],[TOTAL]])+VSLFO.MGO4[[#This Row],[FAENA2]]</f>
        <v>78.25</v>
      </c>
      <c r="Y31" s="150"/>
      <c r="Z31" s="199"/>
      <c r="AA31" s="149">
        <f>(AA30-VSLFO.MGO4[[#This Row],[CYLINDER MP]])+VSLFO.MGO4[[#This Row],[FAENA EN LTS]]</f>
        <v>100</v>
      </c>
      <c r="AB31" s="199"/>
      <c r="AC31" s="199"/>
      <c r="AD31" s="149">
        <f>(AD30-VSLFO.MGO4[[#This Row],[CARTER MP.]])+VSLFO.MGO4[[#This Row],[FAENA EN LTS2]]</f>
        <v>100</v>
      </c>
      <c r="AE31" s="199"/>
      <c r="AF31" s="199"/>
      <c r="AG31" s="149">
        <f>(AG30-VSLFO.MGO4[[#This Row],[MOT AUX]])+VSLFO.MGO4[[#This Row],[FAENA EN  LTS]]</f>
        <v>100</v>
      </c>
      <c r="AH31" s="199"/>
      <c r="AI31" s="199"/>
      <c r="AJ31" s="148">
        <f>(AJ30-VSLFO.MGO4[[#This Row],[HIDRAULICO]])+VSLFO.MGO4[[#This Row],[FAENA EN LTS3]]</f>
        <v>100</v>
      </c>
    </row>
    <row r="32" spans="1:36" x14ac:dyDescent="0.25">
      <c r="A32" s="135"/>
      <c r="B32" s="219">
        <v>43838</v>
      </c>
      <c r="C32" s="7">
        <v>0.67499999999999993</v>
      </c>
      <c r="D32" s="4">
        <f>IF(VSLFO.MGO4[[#This Row],[FECHA]]-B31=1,((VSLFO.MGO4[[#This Row],[HORA]]-C31)*24)+24,(VSLFO.MGO4[[#This Row],[HORA]]-C31)*24)</f>
        <v>4.299999999999998</v>
      </c>
      <c r="E32" s="10" t="s">
        <v>1425</v>
      </c>
      <c r="F32" s="154" t="s">
        <v>1401</v>
      </c>
      <c r="G32" s="212"/>
      <c r="H32" s="201"/>
      <c r="I32" s="201"/>
      <c r="J32" s="207"/>
      <c r="K32" s="153">
        <v>0</v>
      </c>
      <c r="L32" s="3">
        <v>0.44791666666666646</v>
      </c>
      <c r="M32" s="3">
        <v>0.35833333333333317</v>
      </c>
      <c r="N32" s="3">
        <f t="shared" si="1"/>
        <v>0.80624999999999969</v>
      </c>
      <c r="O32" s="1"/>
      <c r="P32" s="152">
        <f t="shared" si="3"/>
        <v>304.33291666666668</v>
      </c>
      <c r="Q32" s="150">
        <v>0</v>
      </c>
      <c r="R32" s="199">
        <v>0</v>
      </c>
      <c r="S32" s="199">
        <v>0</v>
      </c>
      <c r="T32" s="199">
        <v>0</v>
      </c>
      <c r="U32" s="199">
        <v>0</v>
      </c>
      <c r="V32" s="199">
        <f t="shared" si="2"/>
        <v>0</v>
      </c>
      <c r="W32" s="199"/>
      <c r="X32" s="151">
        <f>(X31-VSLFO.MGO4[[#This Row],[TOTAL]])+VSLFO.MGO4[[#This Row],[FAENA2]]</f>
        <v>78.25</v>
      </c>
      <c r="Y32" s="150"/>
      <c r="Z32" s="199"/>
      <c r="AA32" s="149">
        <f>(AA31-VSLFO.MGO4[[#This Row],[CYLINDER MP]])+VSLFO.MGO4[[#This Row],[FAENA EN LTS]]</f>
        <v>100</v>
      </c>
      <c r="AB32" s="199"/>
      <c r="AC32" s="199"/>
      <c r="AD32" s="149">
        <f>(AD31-VSLFO.MGO4[[#This Row],[CARTER MP.]])+VSLFO.MGO4[[#This Row],[FAENA EN LTS2]]</f>
        <v>100</v>
      </c>
      <c r="AE32" s="199"/>
      <c r="AF32" s="199"/>
      <c r="AG32" s="149">
        <f>(AG31-VSLFO.MGO4[[#This Row],[MOT AUX]])+VSLFO.MGO4[[#This Row],[FAENA EN  LTS]]</f>
        <v>100</v>
      </c>
      <c r="AH32" s="199"/>
      <c r="AI32" s="199"/>
      <c r="AJ32" s="148">
        <f>(AJ31-VSLFO.MGO4[[#This Row],[HIDRAULICO]])+VSLFO.MGO4[[#This Row],[FAENA EN LTS3]]</f>
        <v>100</v>
      </c>
    </row>
    <row r="33" spans="1:36" x14ac:dyDescent="0.25">
      <c r="A33" s="135"/>
      <c r="B33" s="219">
        <v>43839</v>
      </c>
      <c r="C33" s="7">
        <v>0.33333333333333331</v>
      </c>
      <c r="D33" s="4">
        <f>IF(VSLFO.MGO4[[#This Row],[FECHA]]-B32=1,((VSLFO.MGO4[[#This Row],[HORA]]-C32)*24)+24,(VSLFO.MGO4[[#This Row],[HORA]]-C32)*24)</f>
        <v>15.8</v>
      </c>
      <c r="E33" s="10" t="s">
        <v>966</v>
      </c>
      <c r="F33" s="154" t="s">
        <v>966</v>
      </c>
      <c r="G33" s="212"/>
      <c r="H33" s="201"/>
      <c r="I33" s="201"/>
      <c r="J33" s="207"/>
      <c r="K33" s="153">
        <v>0</v>
      </c>
      <c r="L33" s="3">
        <v>1.6458333333333335</v>
      </c>
      <c r="M33" s="3">
        <v>1.3166666666666667</v>
      </c>
      <c r="N33" s="3">
        <f t="shared" si="1"/>
        <v>2.9625000000000004</v>
      </c>
      <c r="O33" s="1"/>
      <c r="P33" s="152">
        <f t="shared" si="3"/>
        <v>301.3704166666667</v>
      </c>
      <c r="Q33" s="150">
        <v>0</v>
      </c>
      <c r="R33" s="199">
        <v>0</v>
      </c>
      <c r="S33" s="199">
        <v>0</v>
      </c>
      <c r="T33" s="199">
        <v>0</v>
      </c>
      <c r="U33" s="199">
        <v>2.6</v>
      </c>
      <c r="V33" s="199">
        <f t="shared" si="2"/>
        <v>2.6</v>
      </c>
      <c r="W33" s="199"/>
      <c r="X33" s="151">
        <f>(X32-VSLFO.MGO4[[#This Row],[TOTAL]])+VSLFO.MGO4[[#This Row],[FAENA2]]</f>
        <v>75.650000000000006</v>
      </c>
      <c r="Y33" s="150"/>
      <c r="Z33" s="199"/>
      <c r="AA33" s="149">
        <f>(AA32-VSLFO.MGO4[[#This Row],[CYLINDER MP]])+VSLFO.MGO4[[#This Row],[FAENA EN LTS]]</f>
        <v>100</v>
      </c>
      <c r="AB33" s="199"/>
      <c r="AC33" s="199"/>
      <c r="AD33" s="149">
        <f>(AD32-VSLFO.MGO4[[#This Row],[CARTER MP.]])+VSLFO.MGO4[[#This Row],[FAENA EN LTS2]]</f>
        <v>100</v>
      </c>
      <c r="AE33" s="199"/>
      <c r="AF33" s="199"/>
      <c r="AG33" s="149">
        <f>(AG32-VSLFO.MGO4[[#This Row],[MOT AUX]])+VSLFO.MGO4[[#This Row],[FAENA EN  LTS]]</f>
        <v>100</v>
      </c>
      <c r="AH33" s="199"/>
      <c r="AI33" s="199"/>
      <c r="AJ33" s="148">
        <f>(AJ32-VSLFO.MGO4[[#This Row],[HIDRAULICO]])+VSLFO.MGO4[[#This Row],[FAENA EN LTS3]]</f>
        <v>100</v>
      </c>
    </row>
    <row r="34" spans="1:36" x14ac:dyDescent="0.25">
      <c r="A34" s="135"/>
      <c r="B34" s="219">
        <v>43839</v>
      </c>
      <c r="C34" s="7">
        <v>0.42499999999999999</v>
      </c>
      <c r="D34" s="4">
        <f>IF(VSLFO.MGO4[[#This Row],[FECHA]]-B33=1,((VSLFO.MGO4[[#This Row],[HORA]]-C33)*24)+24,(VSLFO.MGO4[[#This Row],[HORA]]-C33)*24)</f>
        <v>2.2000000000000002</v>
      </c>
      <c r="E34" s="10" t="s">
        <v>966</v>
      </c>
      <c r="F34" s="154" t="s">
        <v>1402</v>
      </c>
      <c r="G34" s="212"/>
      <c r="H34" s="201"/>
      <c r="I34" s="201"/>
      <c r="J34" s="207"/>
      <c r="K34" s="153">
        <v>0</v>
      </c>
      <c r="L34" s="3">
        <v>0.22916666666666669</v>
      </c>
      <c r="M34" s="3">
        <v>0.18333333333333335</v>
      </c>
      <c r="N34" s="3">
        <f t="shared" si="1"/>
        <v>0.41250000000000003</v>
      </c>
      <c r="O34" s="1"/>
      <c r="P34" s="152">
        <f t="shared" si="3"/>
        <v>300.95791666666668</v>
      </c>
      <c r="Q34" s="150">
        <v>0</v>
      </c>
      <c r="R34" s="199">
        <v>0</v>
      </c>
      <c r="S34" s="199">
        <v>0</v>
      </c>
      <c r="T34" s="199">
        <v>0</v>
      </c>
      <c r="U34" s="199">
        <v>0.3</v>
      </c>
      <c r="V34" s="199">
        <f t="shared" si="2"/>
        <v>0.3</v>
      </c>
      <c r="W34" s="199"/>
      <c r="X34" s="151">
        <f>(X33-VSLFO.MGO4[[#This Row],[TOTAL]])+VSLFO.MGO4[[#This Row],[FAENA2]]</f>
        <v>75.350000000000009</v>
      </c>
      <c r="Y34" s="150"/>
      <c r="Z34" s="199"/>
      <c r="AA34" s="149">
        <f>(AA33-VSLFO.MGO4[[#This Row],[CYLINDER MP]])+VSLFO.MGO4[[#This Row],[FAENA EN LTS]]</f>
        <v>100</v>
      </c>
      <c r="AB34" s="199"/>
      <c r="AC34" s="199"/>
      <c r="AD34" s="149">
        <f>(AD33-VSLFO.MGO4[[#This Row],[CARTER MP.]])+VSLFO.MGO4[[#This Row],[FAENA EN LTS2]]</f>
        <v>100</v>
      </c>
      <c r="AE34" s="199"/>
      <c r="AF34" s="199"/>
      <c r="AG34" s="149">
        <f>(AG33-VSLFO.MGO4[[#This Row],[MOT AUX]])+VSLFO.MGO4[[#This Row],[FAENA EN  LTS]]</f>
        <v>100</v>
      </c>
      <c r="AH34" s="199"/>
      <c r="AI34" s="199"/>
      <c r="AJ34" s="148">
        <f>(AJ33-VSLFO.MGO4[[#This Row],[HIDRAULICO]])+VSLFO.MGO4[[#This Row],[FAENA EN LTS3]]</f>
        <v>100</v>
      </c>
    </row>
    <row r="35" spans="1:36" x14ac:dyDescent="0.25">
      <c r="A35" s="135"/>
      <c r="B35" s="219">
        <v>43839</v>
      </c>
      <c r="C35" s="7">
        <v>0.57500000000000007</v>
      </c>
      <c r="D35" s="4">
        <f>IF(VSLFO.MGO4[[#This Row],[FECHA]]-B34=1,((VSLFO.MGO4[[#This Row],[HORA]]-C34)*24)+24,(VSLFO.MGO4[[#This Row],[HORA]]-C34)*24)</f>
        <v>3.6000000000000019</v>
      </c>
      <c r="E35" s="10" t="s">
        <v>1425</v>
      </c>
      <c r="F35" s="154" t="s">
        <v>1403</v>
      </c>
      <c r="G35" s="212"/>
      <c r="H35" s="201"/>
      <c r="I35" s="201"/>
      <c r="J35" s="207"/>
      <c r="K35" s="153">
        <v>0</v>
      </c>
      <c r="L35" s="3">
        <v>0.37500000000000022</v>
      </c>
      <c r="M35" s="3">
        <v>0.30000000000000016</v>
      </c>
      <c r="N35" s="3">
        <f t="shared" si="1"/>
        <v>0.67500000000000038</v>
      </c>
      <c r="O35" s="1"/>
      <c r="P35" s="152">
        <f t="shared" si="3"/>
        <v>300.28291666666667</v>
      </c>
      <c r="Q35" s="150">
        <v>0</v>
      </c>
      <c r="R35" s="199">
        <v>0</v>
      </c>
      <c r="S35" s="199">
        <v>0</v>
      </c>
      <c r="T35" s="199">
        <v>0</v>
      </c>
      <c r="U35" s="199">
        <v>0</v>
      </c>
      <c r="V35" s="199">
        <f t="shared" si="2"/>
        <v>0</v>
      </c>
      <c r="W35" s="199"/>
      <c r="X35" s="151">
        <f>(X34-VSLFO.MGO4[[#This Row],[TOTAL]])+VSLFO.MGO4[[#This Row],[FAENA2]]</f>
        <v>75.350000000000009</v>
      </c>
      <c r="Y35" s="150"/>
      <c r="Z35" s="199"/>
      <c r="AA35" s="149">
        <f>(AA34-VSLFO.MGO4[[#This Row],[CYLINDER MP]])+VSLFO.MGO4[[#This Row],[FAENA EN LTS]]</f>
        <v>100</v>
      </c>
      <c r="AB35" s="199"/>
      <c r="AC35" s="199"/>
      <c r="AD35" s="149">
        <f>(AD34-VSLFO.MGO4[[#This Row],[CARTER MP.]])+VSLFO.MGO4[[#This Row],[FAENA EN LTS2]]</f>
        <v>100</v>
      </c>
      <c r="AE35" s="199"/>
      <c r="AF35" s="199"/>
      <c r="AG35" s="149">
        <f>(AG34-VSLFO.MGO4[[#This Row],[MOT AUX]])+VSLFO.MGO4[[#This Row],[FAENA EN  LTS]]</f>
        <v>100</v>
      </c>
      <c r="AH35" s="199"/>
      <c r="AI35" s="199"/>
      <c r="AJ35" s="148">
        <f>(AJ34-VSLFO.MGO4[[#This Row],[HIDRAULICO]])+VSLFO.MGO4[[#This Row],[FAENA EN LTS3]]</f>
        <v>100</v>
      </c>
    </row>
    <row r="36" spans="1:36" x14ac:dyDescent="0.25">
      <c r="A36" s="135"/>
      <c r="B36" s="219">
        <v>43839</v>
      </c>
      <c r="C36" s="7">
        <v>0.60416666666666663</v>
      </c>
      <c r="D36" s="4">
        <f>IF(VSLFO.MGO4[[#This Row],[FECHA]]-B35=1,((VSLFO.MGO4[[#This Row],[HORA]]-C35)*24)+24,(VSLFO.MGO4[[#This Row],[HORA]]-C35)*24)</f>
        <v>0.69999999999999751</v>
      </c>
      <c r="E36" s="10" t="s">
        <v>1057</v>
      </c>
      <c r="F36" s="154" t="s">
        <v>1404</v>
      </c>
      <c r="G36" s="212"/>
      <c r="H36" s="201"/>
      <c r="I36" s="201"/>
      <c r="J36" s="207"/>
      <c r="K36" s="153">
        <v>0.14583333333333282</v>
      </c>
      <c r="L36" s="3">
        <v>7.2916666666666408E-2</v>
      </c>
      <c r="M36" s="3">
        <v>5.8333333333333126E-2</v>
      </c>
      <c r="N36" s="3">
        <f t="shared" si="1"/>
        <v>0.27708333333333235</v>
      </c>
      <c r="O36" s="1"/>
      <c r="P36" s="152">
        <f t="shared" si="3"/>
        <v>300.00583333333333</v>
      </c>
      <c r="Q36" s="150">
        <v>0</v>
      </c>
      <c r="R36" s="199">
        <v>0</v>
      </c>
      <c r="S36" s="199">
        <v>0</v>
      </c>
      <c r="T36" s="199">
        <v>0</v>
      </c>
      <c r="U36" s="199">
        <v>0</v>
      </c>
      <c r="V36" s="199">
        <f t="shared" si="2"/>
        <v>0</v>
      </c>
      <c r="W36" s="199"/>
      <c r="X36" s="151">
        <f>(X35-VSLFO.MGO4[[#This Row],[TOTAL]])+VSLFO.MGO4[[#This Row],[FAENA2]]</f>
        <v>75.350000000000009</v>
      </c>
      <c r="Y36" s="150"/>
      <c r="Z36" s="199"/>
      <c r="AA36" s="149">
        <f>(AA35-VSLFO.MGO4[[#This Row],[CYLINDER MP]])+VSLFO.MGO4[[#This Row],[FAENA EN LTS]]</f>
        <v>100</v>
      </c>
      <c r="AB36" s="199"/>
      <c r="AC36" s="199"/>
      <c r="AD36" s="149">
        <f>(AD35-VSLFO.MGO4[[#This Row],[CARTER MP.]])+VSLFO.MGO4[[#This Row],[FAENA EN LTS2]]</f>
        <v>100</v>
      </c>
      <c r="AE36" s="199"/>
      <c r="AF36" s="199"/>
      <c r="AG36" s="149">
        <f>(AG35-VSLFO.MGO4[[#This Row],[MOT AUX]])+VSLFO.MGO4[[#This Row],[FAENA EN  LTS]]</f>
        <v>100</v>
      </c>
      <c r="AH36" s="199"/>
      <c r="AI36" s="199"/>
      <c r="AJ36" s="148">
        <f>(AJ35-VSLFO.MGO4[[#This Row],[HIDRAULICO]])+VSLFO.MGO4[[#This Row],[FAENA EN LTS3]]</f>
        <v>100</v>
      </c>
    </row>
    <row r="37" spans="1:36" x14ac:dyDescent="0.25">
      <c r="A37" s="161"/>
      <c r="B37" s="219">
        <v>43840</v>
      </c>
      <c r="C37" s="160">
        <v>0.33333333333333331</v>
      </c>
      <c r="D37" s="4">
        <f>IF(VSLFO.MGO4[[#This Row],[FECHA]]-B36=1,((VSLFO.MGO4[[#This Row],[HORA]]-C36)*24)+24,(VSLFO.MGO4[[#This Row],[HORA]]-C36)*24)</f>
        <v>17.5</v>
      </c>
      <c r="E37" s="10" t="s">
        <v>1340</v>
      </c>
      <c r="F37" s="154" t="s">
        <v>1389</v>
      </c>
      <c r="G37" s="214"/>
      <c r="H37" s="203"/>
      <c r="I37" s="203" t="s">
        <v>1421</v>
      </c>
      <c r="J37" s="209">
        <v>95</v>
      </c>
      <c r="K37" s="159">
        <v>16.041666666666664</v>
      </c>
      <c r="L37" s="158">
        <v>1.8229166666666667</v>
      </c>
      <c r="M37" s="158">
        <v>0</v>
      </c>
      <c r="N37" s="3">
        <f t="shared" si="1"/>
        <v>17.864583333333332</v>
      </c>
      <c r="O37" s="157"/>
      <c r="P37" s="152">
        <f t="shared" si="3"/>
        <v>282.14125000000001</v>
      </c>
      <c r="Q37" s="156">
        <v>0</v>
      </c>
      <c r="R37" s="155">
        <v>0</v>
      </c>
      <c r="S37" s="155">
        <v>0</v>
      </c>
      <c r="T37" s="155">
        <v>0</v>
      </c>
      <c r="U37" s="155">
        <v>0</v>
      </c>
      <c r="V37" s="155">
        <f t="shared" ref="V37:V100" si="4">SUM(Q37:U37)</f>
        <v>0</v>
      </c>
      <c r="W37" s="155"/>
      <c r="X37" s="151">
        <f>(X36-VSLFO.MGO4[[#This Row],[TOTAL]])+VSLFO.MGO4[[#This Row],[FAENA2]]</f>
        <v>75.350000000000009</v>
      </c>
      <c r="Y37" s="156"/>
      <c r="Z37" s="155"/>
      <c r="AA37" s="149">
        <f>(AA36-VSLFO.MGO4[[#This Row],[CYLINDER MP]])+VSLFO.MGO4[[#This Row],[FAENA EN LTS]]</f>
        <v>100</v>
      </c>
      <c r="AB37" s="155"/>
      <c r="AC37" s="155"/>
      <c r="AD37" s="149">
        <f>(AD36-VSLFO.MGO4[[#This Row],[CARTER MP.]])+VSLFO.MGO4[[#This Row],[FAENA EN LTS2]]</f>
        <v>100</v>
      </c>
      <c r="AE37" s="155"/>
      <c r="AF37" s="155"/>
      <c r="AG37" s="149">
        <f>(AG36-VSLFO.MGO4[[#This Row],[MOT AUX]])+VSLFO.MGO4[[#This Row],[FAENA EN  LTS]]</f>
        <v>100</v>
      </c>
      <c r="AH37" s="155"/>
      <c r="AI37" s="155"/>
      <c r="AJ37" s="148">
        <f>(AJ36-VSLFO.MGO4[[#This Row],[HIDRAULICO]])+VSLFO.MGO4[[#This Row],[FAENA EN LTS3]]</f>
        <v>100</v>
      </c>
    </row>
    <row r="38" spans="1:36" x14ac:dyDescent="0.25">
      <c r="A38" s="215" t="s">
        <v>1422</v>
      </c>
      <c r="B38" s="219">
        <v>43840</v>
      </c>
      <c r="C38" s="160">
        <v>0.625</v>
      </c>
      <c r="D38" s="4">
        <f>IF(VSLFO.MGO4[[#This Row],[FECHA]]-B37=1,((VSLFO.MGO4[[#This Row],[HORA]]-C37)*24)+24,(VSLFO.MGO4[[#This Row],[HORA]]-C37)*24)</f>
        <v>7</v>
      </c>
      <c r="E38" s="10" t="s">
        <v>1340</v>
      </c>
      <c r="F38" s="154" t="s">
        <v>956</v>
      </c>
      <c r="G38" s="214">
        <v>265</v>
      </c>
      <c r="H38" s="203">
        <v>10.7</v>
      </c>
      <c r="I38" s="203" t="s">
        <v>1302</v>
      </c>
      <c r="J38" s="209">
        <v>95</v>
      </c>
      <c r="K38" s="159">
        <v>6.4166666666666661</v>
      </c>
      <c r="L38" s="158">
        <v>0.72916666666666674</v>
      </c>
      <c r="M38" s="158">
        <v>0</v>
      </c>
      <c r="N38" s="3">
        <f t="shared" si="1"/>
        <v>7.145833333333333</v>
      </c>
      <c r="O38" s="157"/>
      <c r="P38" s="152">
        <f t="shared" si="3"/>
        <v>274.9954166666667</v>
      </c>
      <c r="Q38" s="156">
        <v>0</v>
      </c>
      <c r="R38" s="155">
        <v>0</v>
      </c>
      <c r="S38" s="155">
        <v>0</v>
      </c>
      <c r="T38" s="155">
        <v>0</v>
      </c>
      <c r="U38" s="155">
        <v>0</v>
      </c>
      <c r="V38" s="155">
        <f t="shared" si="4"/>
        <v>0</v>
      </c>
      <c r="W38" s="155"/>
      <c r="X38" s="151">
        <f>(X37-VSLFO.MGO4[[#This Row],[TOTAL]])+VSLFO.MGO4[[#This Row],[FAENA2]]</f>
        <v>75.350000000000009</v>
      </c>
      <c r="Y38" s="156"/>
      <c r="Z38" s="155"/>
      <c r="AA38" s="149">
        <f>(AA37-VSLFO.MGO4[[#This Row],[CYLINDER MP]])+VSLFO.MGO4[[#This Row],[FAENA EN LTS]]</f>
        <v>100</v>
      </c>
      <c r="AB38" s="155"/>
      <c r="AC38" s="155"/>
      <c r="AD38" s="149">
        <f>(AD37-VSLFO.MGO4[[#This Row],[CARTER MP.]])+VSLFO.MGO4[[#This Row],[FAENA EN LTS2]]</f>
        <v>100</v>
      </c>
      <c r="AE38" s="155"/>
      <c r="AF38" s="155"/>
      <c r="AG38" s="149">
        <f>(AG37-VSLFO.MGO4[[#This Row],[MOT AUX]])+VSLFO.MGO4[[#This Row],[FAENA EN  LTS]]</f>
        <v>100</v>
      </c>
      <c r="AH38" s="155"/>
      <c r="AI38" s="155"/>
      <c r="AJ38" s="148">
        <f>(AJ37-VSLFO.MGO4[[#This Row],[HIDRAULICO]])+VSLFO.MGO4[[#This Row],[FAENA EN LTS3]]</f>
        <v>100</v>
      </c>
    </row>
    <row r="39" spans="1:36" x14ac:dyDescent="0.25">
      <c r="A39" s="161"/>
      <c r="B39" s="219">
        <v>43840</v>
      </c>
      <c r="C39" s="160">
        <v>0.64583333333333337</v>
      </c>
      <c r="D39" s="4">
        <f>IF(VSLFO.MGO4[[#This Row],[FECHA]]-B38=1,((VSLFO.MGO4[[#This Row],[HORA]]-C38)*24)+24,(VSLFO.MGO4[[#This Row],[HORA]]-C38)*24)</f>
        <v>0.50000000000000089</v>
      </c>
      <c r="E39" s="10" t="s">
        <v>1057</v>
      </c>
      <c r="F39" s="154" t="s">
        <v>1253</v>
      </c>
      <c r="G39" s="214"/>
      <c r="H39" s="203"/>
      <c r="I39" s="203"/>
      <c r="J39" s="209"/>
      <c r="K39" s="159">
        <v>0.10416666666666685</v>
      </c>
      <c r="L39" s="158">
        <v>5.2083333333333426E-2</v>
      </c>
      <c r="M39" s="158">
        <v>4.1666666666666741E-2</v>
      </c>
      <c r="N39" s="3">
        <f t="shared" si="1"/>
        <v>0.19791666666666702</v>
      </c>
      <c r="O39" s="157"/>
      <c r="P39" s="152">
        <f t="shared" si="3"/>
        <v>274.79750000000001</v>
      </c>
      <c r="Q39" s="156">
        <v>0</v>
      </c>
      <c r="R39" s="155">
        <v>0</v>
      </c>
      <c r="S39" s="155">
        <v>0</v>
      </c>
      <c r="T39" s="155">
        <v>0</v>
      </c>
      <c r="U39" s="155">
        <v>0</v>
      </c>
      <c r="V39" s="155">
        <f t="shared" si="4"/>
        <v>0</v>
      </c>
      <c r="W39" s="155"/>
      <c r="X39" s="151">
        <f>(X38-VSLFO.MGO4[[#This Row],[TOTAL]])+VSLFO.MGO4[[#This Row],[FAENA2]]</f>
        <v>75.350000000000009</v>
      </c>
      <c r="Y39" s="156"/>
      <c r="Z39" s="155"/>
      <c r="AA39" s="149">
        <f>(AA38-VSLFO.MGO4[[#This Row],[CYLINDER MP]])+VSLFO.MGO4[[#This Row],[FAENA EN LTS]]</f>
        <v>100</v>
      </c>
      <c r="AB39" s="155"/>
      <c r="AC39" s="155"/>
      <c r="AD39" s="149">
        <f>(AD38-VSLFO.MGO4[[#This Row],[CARTER MP.]])+VSLFO.MGO4[[#This Row],[FAENA EN LTS2]]</f>
        <v>100</v>
      </c>
      <c r="AE39" s="155"/>
      <c r="AF39" s="155"/>
      <c r="AG39" s="149">
        <f>(AG38-VSLFO.MGO4[[#This Row],[MOT AUX]])+VSLFO.MGO4[[#This Row],[FAENA EN  LTS]]</f>
        <v>100</v>
      </c>
      <c r="AH39" s="155"/>
      <c r="AI39" s="155"/>
      <c r="AJ39" s="148">
        <f>(AJ38-VSLFO.MGO4[[#This Row],[HIDRAULICO]])+VSLFO.MGO4[[#This Row],[FAENA EN LTS3]]</f>
        <v>100</v>
      </c>
    </row>
    <row r="40" spans="1:36" x14ac:dyDescent="0.25">
      <c r="A40" s="135"/>
      <c r="B40" s="219">
        <v>43840</v>
      </c>
      <c r="C40" s="7">
        <v>0.6791666666666667</v>
      </c>
      <c r="D40" s="4">
        <f>IF(VSLFO.MGO4[[#This Row],[FECHA]]-B39=1,((VSLFO.MGO4[[#This Row],[HORA]]-C39)*24)+24,(VSLFO.MGO4[[#This Row],[HORA]]-C39)*24)</f>
        <v>0.79999999999999982</v>
      </c>
      <c r="E40" s="10" t="s">
        <v>1425</v>
      </c>
      <c r="F40" s="154" t="s">
        <v>1405</v>
      </c>
      <c r="G40" s="212"/>
      <c r="H40" s="201"/>
      <c r="I40" s="201"/>
      <c r="J40" s="207"/>
      <c r="K40" s="153">
        <v>0</v>
      </c>
      <c r="L40" s="3">
        <v>8.3333333333333315E-2</v>
      </c>
      <c r="M40" s="3">
        <v>6.6666666666666652E-2</v>
      </c>
      <c r="N40" s="3">
        <f t="shared" si="1"/>
        <v>0.14999999999999997</v>
      </c>
      <c r="O40" s="1"/>
      <c r="P40" s="152">
        <f t="shared" si="3"/>
        <v>274.64750000000004</v>
      </c>
      <c r="Q40" s="150">
        <v>0</v>
      </c>
      <c r="R40" s="199">
        <v>0</v>
      </c>
      <c r="S40" s="199">
        <v>0</v>
      </c>
      <c r="T40" s="199">
        <v>0</v>
      </c>
      <c r="U40" s="199">
        <v>0</v>
      </c>
      <c r="V40" s="155">
        <f t="shared" si="4"/>
        <v>0</v>
      </c>
      <c r="W40" s="199"/>
      <c r="X40" s="151">
        <f>(X39-VSLFO.MGO4[[#This Row],[TOTAL]])+VSLFO.MGO4[[#This Row],[FAENA2]]</f>
        <v>75.350000000000009</v>
      </c>
      <c r="Y40" s="150"/>
      <c r="Z40" s="199"/>
      <c r="AA40" s="149">
        <f>(AA39-VSLFO.MGO4[[#This Row],[CYLINDER MP]])+VSLFO.MGO4[[#This Row],[FAENA EN LTS]]</f>
        <v>100</v>
      </c>
      <c r="AB40" s="199"/>
      <c r="AC40" s="199"/>
      <c r="AD40" s="149">
        <f>(AD39-VSLFO.MGO4[[#This Row],[CARTER MP.]])+VSLFO.MGO4[[#This Row],[FAENA EN LTS2]]</f>
        <v>100</v>
      </c>
      <c r="AE40" s="199"/>
      <c r="AF40" s="199"/>
      <c r="AG40" s="149">
        <f>(AG39-VSLFO.MGO4[[#This Row],[MOT AUX]])+VSLFO.MGO4[[#This Row],[FAENA EN  LTS]]</f>
        <v>100</v>
      </c>
      <c r="AH40" s="199"/>
      <c r="AI40" s="199"/>
      <c r="AJ40" s="148">
        <f>(AJ39-VSLFO.MGO4[[#This Row],[HIDRAULICO]])+VSLFO.MGO4[[#This Row],[FAENA EN LTS3]]</f>
        <v>100</v>
      </c>
    </row>
    <row r="41" spans="1:36" x14ac:dyDescent="0.25">
      <c r="A41" s="161"/>
      <c r="B41" s="219">
        <v>43840</v>
      </c>
      <c r="C41" s="160">
        <v>0.85</v>
      </c>
      <c r="D41" s="4">
        <f>IF(VSLFO.MGO4[[#This Row],[FECHA]]-B40=1,((VSLFO.MGO4[[#This Row],[HORA]]-C40)*24)+24,(VSLFO.MGO4[[#This Row],[HORA]]-C40)*24)</f>
        <v>4.0999999999999988</v>
      </c>
      <c r="E41" s="10" t="s">
        <v>1057</v>
      </c>
      <c r="F41" s="154" t="s">
        <v>1253</v>
      </c>
      <c r="G41" s="214"/>
      <c r="H41" s="203"/>
      <c r="I41" s="203"/>
      <c r="J41" s="209"/>
      <c r="K41" s="159">
        <v>0.51249999999999984</v>
      </c>
      <c r="L41" s="158">
        <v>0.4270833333333332</v>
      </c>
      <c r="M41" s="158">
        <v>0.34166666666666656</v>
      </c>
      <c r="N41" s="3">
        <f t="shared" si="1"/>
        <v>1.2812499999999996</v>
      </c>
      <c r="O41" s="157"/>
      <c r="P41" s="152">
        <f t="shared" si="3"/>
        <v>273.36625000000004</v>
      </c>
      <c r="Q41" s="156">
        <v>0</v>
      </c>
      <c r="R41" s="155">
        <v>0</v>
      </c>
      <c r="S41" s="155">
        <v>0</v>
      </c>
      <c r="T41" s="155">
        <v>0</v>
      </c>
      <c r="U41" s="155">
        <v>0</v>
      </c>
      <c r="V41" s="155">
        <f t="shared" si="4"/>
        <v>0</v>
      </c>
      <c r="W41" s="155"/>
      <c r="X41" s="151">
        <f>(X40-VSLFO.MGO4[[#This Row],[TOTAL]])+VSLFO.MGO4[[#This Row],[FAENA2]]</f>
        <v>75.350000000000009</v>
      </c>
      <c r="Y41" s="156"/>
      <c r="Z41" s="155"/>
      <c r="AA41" s="149">
        <f>(AA40-VSLFO.MGO4[[#This Row],[CYLINDER MP]])+VSLFO.MGO4[[#This Row],[FAENA EN LTS]]</f>
        <v>100</v>
      </c>
      <c r="AB41" s="155"/>
      <c r="AC41" s="155"/>
      <c r="AD41" s="149">
        <f>(AD40-VSLFO.MGO4[[#This Row],[CARTER MP.]])+VSLFO.MGO4[[#This Row],[FAENA EN LTS2]]</f>
        <v>100</v>
      </c>
      <c r="AE41" s="155"/>
      <c r="AF41" s="155"/>
      <c r="AG41" s="149">
        <f>(AG40-VSLFO.MGO4[[#This Row],[MOT AUX]])+VSLFO.MGO4[[#This Row],[FAENA EN  LTS]]</f>
        <v>100</v>
      </c>
      <c r="AH41" s="155"/>
      <c r="AI41" s="155"/>
      <c r="AJ41" s="148">
        <f>(AJ40-VSLFO.MGO4[[#This Row],[HIDRAULICO]])+VSLFO.MGO4[[#This Row],[FAENA EN LTS3]]</f>
        <v>100</v>
      </c>
    </row>
    <row r="42" spans="1:36" x14ac:dyDescent="0.25">
      <c r="A42" s="135"/>
      <c r="B42" s="219">
        <v>43841</v>
      </c>
      <c r="C42" s="7">
        <v>0.33333333333333331</v>
      </c>
      <c r="D42" s="4">
        <f>IF(VSLFO.MGO4[[#This Row],[FECHA]]-B41=1,((VSLFO.MGO4[[#This Row],[HORA]]-C41)*24)+24,(VSLFO.MGO4[[#This Row],[HORA]]-C41)*24)</f>
        <v>11.600000000000001</v>
      </c>
      <c r="E42" s="10" t="s">
        <v>351</v>
      </c>
      <c r="F42" s="154" t="s">
        <v>1389</v>
      </c>
      <c r="G42" s="212"/>
      <c r="H42" s="201"/>
      <c r="I42" s="201"/>
      <c r="J42" s="207"/>
      <c r="K42" s="153">
        <v>0</v>
      </c>
      <c r="L42" s="3">
        <v>1.2083333333333335</v>
      </c>
      <c r="M42" s="3">
        <v>0.96666666666666679</v>
      </c>
      <c r="N42" s="3">
        <f t="shared" si="1"/>
        <v>2.1750000000000003</v>
      </c>
      <c r="O42" s="1"/>
      <c r="P42" s="152">
        <f t="shared" si="3"/>
        <v>271.19125000000003</v>
      </c>
      <c r="Q42" s="150">
        <v>0</v>
      </c>
      <c r="R42" s="199">
        <v>0</v>
      </c>
      <c r="S42" s="199">
        <v>0</v>
      </c>
      <c r="T42" s="199">
        <v>0</v>
      </c>
      <c r="U42" s="199">
        <v>0</v>
      </c>
      <c r="V42" s="155">
        <f t="shared" si="4"/>
        <v>0</v>
      </c>
      <c r="W42" s="199"/>
      <c r="X42" s="151">
        <f>(X41-VSLFO.MGO4[[#This Row],[TOTAL]])+VSLFO.MGO4[[#This Row],[FAENA2]]</f>
        <v>75.350000000000009</v>
      </c>
      <c r="Y42" s="150"/>
      <c r="Z42" s="199"/>
      <c r="AA42" s="149">
        <f>(AA41-VSLFO.MGO4[[#This Row],[CYLINDER MP]])+VSLFO.MGO4[[#This Row],[FAENA EN LTS]]</f>
        <v>100</v>
      </c>
      <c r="AB42" s="199"/>
      <c r="AC42" s="199"/>
      <c r="AD42" s="149">
        <f>(AD41-VSLFO.MGO4[[#This Row],[CARTER MP.]])+VSLFO.MGO4[[#This Row],[FAENA EN LTS2]]</f>
        <v>100</v>
      </c>
      <c r="AE42" s="199"/>
      <c r="AF42" s="199"/>
      <c r="AG42" s="149">
        <f>(AG41-VSLFO.MGO4[[#This Row],[MOT AUX]])+VSLFO.MGO4[[#This Row],[FAENA EN  LTS]]</f>
        <v>100</v>
      </c>
      <c r="AH42" s="199"/>
      <c r="AI42" s="199"/>
      <c r="AJ42" s="148">
        <f>(AJ41-VSLFO.MGO4[[#This Row],[HIDRAULICO]])+VSLFO.MGO4[[#This Row],[FAENA EN LTS3]]</f>
        <v>100</v>
      </c>
    </row>
    <row r="43" spans="1:36" x14ac:dyDescent="0.25">
      <c r="A43" s="135"/>
      <c r="B43" s="219">
        <v>43841</v>
      </c>
      <c r="C43" s="7">
        <v>0.5541666666666667</v>
      </c>
      <c r="D43" s="4">
        <f>IF(VSLFO.MGO4[[#This Row],[FECHA]]-B42=1,((VSLFO.MGO4[[#This Row],[HORA]]-C42)*24)+24,(VSLFO.MGO4[[#This Row],[HORA]]-C42)*24)</f>
        <v>5.3000000000000007</v>
      </c>
      <c r="E43" s="10" t="s">
        <v>351</v>
      </c>
      <c r="F43" s="154" t="s">
        <v>1405</v>
      </c>
      <c r="G43" s="212"/>
      <c r="H43" s="201"/>
      <c r="I43" s="201"/>
      <c r="J43" s="207"/>
      <c r="K43" s="153">
        <v>0</v>
      </c>
      <c r="L43" s="3">
        <v>0.55208333333333348</v>
      </c>
      <c r="M43" s="3">
        <v>0.44166666666666671</v>
      </c>
      <c r="N43" s="3">
        <f t="shared" si="1"/>
        <v>0.99375000000000013</v>
      </c>
      <c r="O43" s="1"/>
      <c r="P43" s="152">
        <f t="shared" si="3"/>
        <v>270.19750000000005</v>
      </c>
      <c r="Q43" s="150">
        <v>0</v>
      </c>
      <c r="R43" s="199">
        <v>0</v>
      </c>
      <c r="S43" s="199">
        <v>0</v>
      </c>
      <c r="T43" s="199">
        <v>0</v>
      </c>
      <c r="U43" s="199">
        <v>0</v>
      </c>
      <c r="V43" s="155">
        <f t="shared" si="4"/>
        <v>0</v>
      </c>
      <c r="W43" s="199"/>
      <c r="X43" s="151">
        <f>(X42-VSLFO.MGO4[[#This Row],[TOTAL]])+VSLFO.MGO4[[#This Row],[FAENA2]]</f>
        <v>75.350000000000009</v>
      </c>
      <c r="Y43" s="150"/>
      <c r="Z43" s="199"/>
      <c r="AA43" s="149">
        <f>(AA42-VSLFO.MGO4[[#This Row],[CYLINDER MP]])+VSLFO.MGO4[[#This Row],[FAENA EN LTS]]</f>
        <v>100</v>
      </c>
      <c r="AB43" s="199"/>
      <c r="AC43" s="199"/>
      <c r="AD43" s="149">
        <f>(AD42-VSLFO.MGO4[[#This Row],[CARTER MP.]])+VSLFO.MGO4[[#This Row],[FAENA EN LTS2]]</f>
        <v>100</v>
      </c>
      <c r="AE43" s="199"/>
      <c r="AF43" s="199"/>
      <c r="AG43" s="149">
        <f>(AG42-VSLFO.MGO4[[#This Row],[MOT AUX]])+VSLFO.MGO4[[#This Row],[FAENA EN  LTS]]</f>
        <v>100</v>
      </c>
      <c r="AH43" s="199"/>
      <c r="AI43" s="199"/>
      <c r="AJ43" s="148">
        <f>(AJ42-VSLFO.MGO4[[#This Row],[HIDRAULICO]])+VSLFO.MGO4[[#This Row],[FAENA EN LTS3]]</f>
        <v>100</v>
      </c>
    </row>
    <row r="44" spans="1:36" x14ac:dyDescent="0.25">
      <c r="A44" s="192"/>
      <c r="B44" s="219">
        <v>43841</v>
      </c>
      <c r="C44" s="7">
        <v>0.65416666666666667</v>
      </c>
      <c r="D44" s="4">
        <f>IF(VSLFO.MGO4[[#This Row],[FECHA]]-B43=1,((VSLFO.MGO4[[#This Row],[HORA]]-C43)*24)+24,(VSLFO.MGO4[[#This Row],[HORA]]-C43)*24)</f>
        <v>2.3999999999999995</v>
      </c>
      <c r="E44" s="10" t="s">
        <v>1057</v>
      </c>
      <c r="F44" s="154" t="s">
        <v>1253</v>
      </c>
      <c r="G44" s="212"/>
      <c r="H44" s="201"/>
      <c r="I44" s="201"/>
      <c r="J44" s="207"/>
      <c r="K44" s="153">
        <v>0.29999999999999993</v>
      </c>
      <c r="L44" s="3">
        <v>0.24999999999999994</v>
      </c>
      <c r="M44" s="3">
        <v>0.19999999999999996</v>
      </c>
      <c r="N44" s="3">
        <f t="shared" si="1"/>
        <v>0.74999999999999978</v>
      </c>
      <c r="O44" s="1"/>
      <c r="P44" s="152">
        <f t="shared" si="3"/>
        <v>269.44750000000005</v>
      </c>
      <c r="Q44" s="150">
        <v>0</v>
      </c>
      <c r="R44" s="199">
        <v>0</v>
      </c>
      <c r="S44" s="199">
        <v>0</v>
      </c>
      <c r="T44" s="199">
        <v>0</v>
      </c>
      <c r="U44" s="199">
        <v>0</v>
      </c>
      <c r="V44" s="155">
        <f t="shared" si="4"/>
        <v>0</v>
      </c>
      <c r="W44" s="199"/>
      <c r="X44" s="151">
        <f>(X43-VSLFO.MGO4[[#This Row],[TOTAL]])+VSLFO.MGO4[[#This Row],[FAENA2]]</f>
        <v>75.350000000000009</v>
      </c>
      <c r="Y44" s="150"/>
      <c r="Z44" s="199"/>
      <c r="AA44" s="149">
        <f t="shared" ref="AA44:AA107" si="5">AA42</f>
        <v>100</v>
      </c>
      <c r="AB44" s="199"/>
      <c r="AC44" s="199"/>
      <c r="AD44" s="149">
        <f>($AD$4-VSLFO.MGO4[[#This Row],[CARTER MP.]])+VSLFO.MGO4[[#This Row],[FAENA EN LTS2]]</f>
        <v>100</v>
      </c>
      <c r="AE44" s="199"/>
      <c r="AF44" s="199"/>
      <c r="AG44" s="149">
        <f t="shared" ref="AG44:AG107" si="6">$AG$4</f>
        <v>100</v>
      </c>
      <c r="AH44" s="199"/>
      <c r="AI44" s="199"/>
      <c r="AJ44" s="148">
        <f>(AJ43-VSLFO.MGO4[[#This Row],[HIDRAULICO]])+VSLFO.MGO4[[#This Row],[FAENA EN LTS3]]</f>
        <v>100</v>
      </c>
    </row>
    <row r="45" spans="1:36" x14ac:dyDescent="0.25">
      <c r="A45" s="192"/>
      <c r="B45" s="219">
        <v>43841</v>
      </c>
      <c r="C45" s="7">
        <v>0.91249999999999998</v>
      </c>
      <c r="D45" s="4">
        <f>IF(VSLFO.MGO4[[#This Row],[FECHA]]-B44=1,((VSLFO.MGO4[[#This Row],[HORA]]-C44)*24)+24,(VSLFO.MGO4[[#This Row],[HORA]]-C44)*24)</f>
        <v>6.1999999999999993</v>
      </c>
      <c r="E45" s="10" t="s">
        <v>1425</v>
      </c>
      <c r="F45" s="154" t="s">
        <v>1406</v>
      </c>
      <c r="G45" s="212"/>
      <c r="H45" s="201"/>
      <c r="I45" s="201"/>
      <c r="J45" s="207"/>
      <c r="K45" s="153">
        <v>0</v>
      </c>
      <c r="L45" s="3">
        <v>0.64583333333333326</v>
      </c>
      <c r="M45" s="3">
        <v>0.51666666666666661</v>
      </c>
      <c r="N45" s="3">
        <f t="shared" si="1"/>
        <v>1.1624999999999999</v>
      </c>
      <c r="O45" s="1"/>
      <c r="P45" s="152">
        <f t="shared" si="3"/>
        <v>268.28500000000003</v>
      </c>
      <c r="Q45" s="150">
        <v>0</v>
      </c>
      <c r="R45" s="199">
        <v>0</v>
      </c>
      <c r="S45" s="199">
        <v>0</v>
      </c>
      <c r="T45" s="199">
        <v>0</v>
      </c>
      <c r="U45" s="199">
        <v>0</v>
      </c>
      <c r="V45" s="155">
        <f t="shared" si="4"/>
        <v>0</v>
      </c>
      <c r="W45" s="199"/>
      <c r="X45" s="151">
        <f>(X44-VSLFO.MGO4[[#This Row],[TOTAL]])+VSLFO.MGO4[[#This Row],[FAENA2]]</f>
        <v>75.350000000000009</v>
      </c>
      <c r="Y45" s="150"/>
      <c r="Z45" s="199"/>
      <c r="AA45" s="149">
        <f t="shared" si="5"/>
        <v>100</v>
      </c>
      <c r="AB45" s="199"/>
      <c r="AC45" s="199"/>
      <c r="AD45" s="149">
        <f>($AD$4-VSLFO.MGO4[[#This Row],[CARTER MP.]])+VSLFO.MGO4[[#This Row],[FAENA EN LTS2]]</f>
        <v>100</v>
      </c>
      <c r="AE45" s="199"/>
      <c r="AF45" s="199"/>
      <c r="AG45" s="149">
        <f t="shared" si="6"/>
        <v>100</v>
      </c>
      <c r="AH45" s="199"/>
      <c r="AI45" s="199"/>
      <c r="AJ45" s="148">
        <f>(AJ44-VSLFO.MGO4[[#This Row],[HIDRAULICO]])+VSLFO.MGO4[[#This Row],[FAENA EN LTS3]]</f>
        <v>100</v>
      </c>
    </row>
    <row r="46" spans="1:36" x14ac:dyDescent="0.25">
      <c r="A46" s="192"/>
      <c r="B46" s="219">
        <v>43842</v>
      </c>
      <c r="C46" s="7">
        <v>0.33333333333333331</v>
      </c>
      <c r="D46" s="4">
        <f>IF(VSLFO.MGO4[[#This Row],[FECHA]]-B45=1,((VSLFO.MGO4[[#This Row],[HORA]]-C45)*24)+24,(VSLFO.MGO4[[#This Row],[HORA]]-C45)*24)</f>
        <v>10.100000000000001</v>
      </c>
      <c r="E46" s="10" t="s">
        <v>1051</v>
      </c>
      <c r="F46" s="154" t="s">
        <v>1389</v>
      </c>
      <c r="G46" s="212"/>
      <c r="H46" s="201"/>
      <c r="I46" s="201"/>
      <c r="J46" s="207"/>
      <c r="K46" s="153">
        <v>0</v>
      </c>
      <c r="L46" s="3">
        <v>1.0520833333333335</v>
      </c>
      <c r="M46" s="3">
        <v>0.84166666666666679</v>
      </c>
      <c r="N46" s="3">
        <f t="shared" si="1"/>
        <v>1.8937500000000003</v>
      </c>
      <c r="O46" s="1"/>
      <c r="P46" s="152">
        <f t="shared" si="3"/>
        <v>266.39125000000001</v>
      </c>
      <c r="Q46" s="150">
        <v>0</v>
      </c>
      <c r="R46" s="199">
        <v>0</v>
      </c>
      <c r="S46" s="199">
        <v>0</v>
      </c>
      <c r="T46" s="199">
        <v>0</v>
      </c>
      <c r="U46" s="199">
        <v>0</v>
      </c>
      <c r="V46" s="155">
        <f t="shared" si="4"/>
        <v>0</v>
      </c>
      <c r="W46" s="199"/>
      <c r="X46" s="151">
        <f>(X45-VSLFO.MGO4[[#This Row],[TOTAL]])+VSLFO.MGO4[[#This Row],[FAENA2]]</f>
        <v>75.350000000000009</v>
      </c>
      <c r="Y46" s="150"/>
      <c r="Z46" s="199"/>
      <c r="AA46" s="149">
        <f t="shared" si="5"/>
        <v>100</v>
      </c>
      <c r="AB46" s="199"/>
      <c r="AC46" s="199"/>
      <c r="AD46" s="149">
        <f>($AD$4-VSLFO.MGO4[[#This Row],[CARTER MP.]])+VSLFO.MGO4[[#This Row],[FAENA EN LTS2]]</f>
        <v>100</v>
      </c>
      <c r="AE46" s="199"/>
      <c r="AF46" s="199"/>
      <c r="AG46" s="149">
        <f t="shared" si="6"/>
        <v>100</v>
      </c>
      <c r="AH46" s="199"/>
      <c r="AI46" s="199"/>
      <c r="AJ46" s="148">
        <f>(AJ45-VSLFO.MGO4[[#This Row],[HIDRAULICO]])+VSLFO.MGO4[[#This Row],[FAENA EN LTS3]]</f>
        <v>100</v>
      </c>
    </row>
    <row r="47" spans="1:36" x14ac:dyDescent="0.25">
      <c r="A47" s="192"/>
      <c r="B47" s="219">
        <v>43843</v>
      </c>
      <c r="C47" s="7">
        <v>0.33333333333333331</v>
      </c>
      <c r="D47" s="4">
        <f>IF(VSLFO.MGO4[[#This Row],[FECHA]]-B46=1,((VSLFO.MGO4[[#This Row],[HORA]]-C46)*24)+24,(VSLFO.MGO4[[#This Row],[HORA]]-C46)*24)</f>
        <v>24</v>
      </c>
      <c r="E47" s="10" t="s">
        <v>1051</v>
      </c>
      <c r="F47" s="154" t="s">
        <v>1389</v>
      </c>
      <c r="G47" s="212"/>
      <c r="H47" s="201"/>
      <c r="I47" s="201"/>
      <c r="J47" s="207"/>
      <c r="K47" s="153">
        <v>0</v>
      </c>
      <c r="L47" s="3">
        <v>2.5</v>
      </c>
      <c r="M47" s="3">
        <v>2</v>
      </c>
      <c r="N47" s="3">
        <f t="shared" si="1"/>
        <v>4.5</v>
      </c>
      <c r="O47" s="1"/>
      <c r="P47" s="152">
        <f t="shared" si="3"/>
        <v>261.89125000000001</v>
      </c>
      <c r="Q47" s="150">
        <v>0</v>
      </c>
      <c r="R47" s="199">
        <v>0</v>
      </c>
      <c r="S47" s="199">
        <v>0</v>
      </c>
      <c r="T47" s="199">
        <v>0</v>
      </c>
      <c r="U47" s="199">
        <v>0</v>
      </c>
      <c r="V47" s="155">
        <f t="shared" si="4"/>
        <v>0</v>
      </c>
      <c r="W47" s="199"/>
      <c r="X47" s="151">
        <f>(X46-VSLFO.MGO4[[#This Row],[TOTAL]])+VSLFO.MGO4[[#This Row],[FAENA2]]</f>
        <v>75.350000000000009</v>
      </c>
      <c r="Y47" s="150"/>
      <c r="Z47" s="199"/>
      <c r="AA47" s="149">
        <f t="shared" si="5"/>
        <v>100</v>
      </c>
      <c r="AB47" s="199"/>
      <c r="AC47" s="199"/>
      <c r="AD47" s="149">
        <f>($AD$4-VSLFO.MGO4[[#This Row],[CARTER MP.]])+VSLFO.MGO4[[#This Row],[FAENA EN LTS2]]</f>
        <v>100</v>
      </c>
      <c r="AE47" s="199"/>
      <c r="AF47" s="199"/>
      <c r="AG47" s="149">
        <f t="shared" si="6"/>
        <v>100</v>
      </c>
      <c r="AH47" s="199"/>
      <c r="AI47" s="199"/>
      <c r="AJ47" s="148">
        <f>(AJ46-VSLFO.MGO4[[#This Row],[HIDRAULICO]])+VSLFO.MGO4[[#This Row],[FAENA EN LTS3]]</f>
        <v>100</v>
      </c>
    </row>
    <row r="48" spans="1:36" x14ac:dyDescent="0.25">
      <c r="A48" s="192"/>
      <c r="B48" s="219">
        <v>43843</v>
      </c>
      <c r="C48" s="7">
        <v>0.63750000000000007</v>
      </c>
      <c r="D48" s="4">
        <f>IF(VSLFO.MGO4[[#This Row],[FECHA]]-B47=1,((VSLFO.MGO4[[#This Row],[HORA]]-C47)*24)+24,(VSLFO.MGO4[[#This Row],[HORA]]-C47)*24)</f>
        <v>7.3000000000000025</v>
      </c>
      <c r="E48" s="10" t="s">
        <v>1051</v>
      </c>
      <c r="F48" s="154" t="s">
        <v>1407</v>
      </c>
      <c r="G48" s="212"/>
      <c r="H48" s="201"/>
      <c r="I48" s="201"/>
      <c r="J48" s="207"/>
      <c r="K48" s="153">
        <v>0</v>
      </c>
      <c r="L48" s="3">
        <v>0.76041666666666696</v>
      </c>
      <c r="M48" s="3">
        <v>0.6083333333333335</v>
      </c>
      <c r="N48" s="3">
        <f t="shared" si="1"/>
        <v>1.3687500000000004</v>
      </c>
      <c r="O48" s="1"/>
      <c r="P48" s="152">
        <f t="shared" si="3"/>
        <v>260.52250000000004</v>
      </c>
      <c r="Q48" s="150">
        <v>0</v>
      </c>
      <c r="R48" s="199">
        <v>0</v>
      </c>
      <c r="S48" s="199">
        <v>0</v>
      </c>
      <c r="T48" s="199">
        <v>0</v>
      </c>
      <c r="U48" s="199">
        <v>0</v>
      </c>
      <c r="V48" s="155">
        <f t="shared" si="4"/>
        <v>0</v>
      </c>
      <c r="W48" s="199"/>
      <c r="X48" s="151">
        <f>(X47-VSLFO.MGO4[[#This Row],[TOTAL]])+VSLFO.MGO4[[#This Row],[FAENA2]]</f>
        <v>75.350000000000009</v>
      </c>
      <c r="Y48" s="150"/>
      <c r="Z48" s="199"/>
      <c r="AA48" s="149">
        <f t="shared" si="5"/>
        <v>100</v>
      </c>
      <c r="AB48" s="199"/>
      <c r="AC48" s="199"/>
      <c r="AD48" s="149">
        <f>($AD$4-VSLFO.MGO4[[#This Row],[CARTER MP.]])+VSLFO.MGO4[[#This Row],[FAENA EN LTS2]]</f>
        <v>100</v>
      </c>
      <c r="AE48" s="199"/>
      <c r="AF48" s="199"/>
      <c r="AG48" s="149">
        <f t="shared" si="6"/>
        <v>100</v>
      </c>
      <c r="AH48" s="199"/>
      <c r="AI48" s="199"/>
      <c r="AJ48" s="148">
        <f>(AJ47-VSLFO.MGO4[[#This Row],[HIDRAULICO]])+VSLFO.MGO4[[#This Row],[FAENA EN LTS3]]</f>
        <v>100</v>
      </c>
    </row>
    <row r="49" spans="1:36" x14ac:dyDescent="0.25">
      <c r="A49" s="192"/>
      <c r="B49" s="219">
        <v>43843</v>
      </c>
      <c r="C49" s="7">
        <v>0.8125</v>
      </c>
      <c r="D49" s="4">
        <f>IF(VSLFO.MGO4[[#This Row],[FECHA]]-B48=1,((VSLFO.MGO4[[#This Row],[HORA]]-C48)*24)+24,(VSLFO.MGO4[[#This Row],[HORA]]-C48)*24)</f>
        <v>4.1999999999999984</v>
      </c>
      <c r="E49" s="10" t="s">
        <v>1425</v>
      </c>
      <c r="F49" s="154" t="s">
        <v>1405</v>
      </c>
      <c r="G49" s="212"/>
      <c r="H49" s="201"/>
      <c r="I49" s="201"/>
      <c r="J49" s="207"/>
      <c r="K49" s="153">
        <v>0</v>
      </c>
      <c r="L49" s="3">
        <v>0.43749999999999983</v>
      </c>
      <c r="M49" s="3">
        <v>0.34999999999999987</v>
      </c>
      <c r="N49" s="3">
        <f t="shared" si="1"/>
        <v>0.78749999999999964</v>
      </c>
      <c r="O49" s="1"/>
      <c r="P49" s="152">
        <f t="shared" si="3"/>
        <v>259.73500000000001</v>
      </c>
      <c r="Q49" s="150">
        <v>0</v>
      </c>
      <c r="R49" s="199">
        <v>0</v>
      </c>
      <c r="S49" s="199">
        <v>0</v>
      </c>
      <c r="T49" s="199">
        <v>0</v>
      </c>
      <c r="U49" s="199">
        <v>0</v>
      </c>
      <c r="V49" s="155">
        <f t="shared" si="4"/>
        <v>0</v>
      </c>
      <c r="W49" s="199"/>
      <c r="X49" s="151">
        <f>(X48-VSLFO.MGO4[[#This Row],[TOTAL]])+VSLFO.MGO4[[#This Row],[FAENA2]]</f>
        <v>75.350000000000009</v>
      </c>
      <c r="Y49" s="150"/>
      <c r="Z49" s="199"/>
      <c r="AA49" s="149">
        <f t="shared" si="5"/>
        <v>100</v>
      </c>
      <c r="AB49" s="199"/>
      <c r="AC49" s="199"/>
      <c r="AD49" s="149">
        <f>($AD$4-VSLFO.MGO4[[#This Row],[CARTER MP.]])+VSLFO.MGO4[[#This Row],[FAENA EN LTS2]]</f>
        <v>100</v>
      </c>
      <c r="AE49" s="199"/>
      <c r="AF49" s="199"/>
      <c r="AG49" s="149">
        <f t="shared" si="6"/>
        <v>100</v>
      </c>
      <c r="AH49" s="199"/>
      <c r="AI49" s="199"/>
      <c r="AJ49" s="148">
        <f>(AJ48-VSLFO.MGO4[[#This Row],[HIDRAULICO]])+VSLFO.MGO4[[#This Row],[FAENA EN LTS3]]</f>
        <v>100</v>
      </c>
    </row>
    <row r="50" spans="1:36" x14ac:dyDescent="0.25">
      <c r="A50" s="192"/>
      <c r="B50" s="219">
        <v>43843</v>
      </c>
      <c r="C50" s="7">
        <v>0.84166666666666667</v>
      </c>
      <c r="D50" s="4">
        <f>IF(VSLFO.MGO4[[#This Row],[FECHA]]-B49=1,((VSLFO.MGO4[[#This Row],[HORA]]-C49)*24)+24,(VSLFO.MGO4[[#This Row],[HORA]]-C49)*24)</f>
        <v>0.70000000000000018</v>
      </c>
      <c r="E50" s="10" t="s">
        <v>1057</v>
      </c>
      <c r="F50" s="154" t="s">
        <v>1253</v>
      </c>
      <c r="G50" s="212"/>
      <c r="H50" s="201"/>
      <c r="I50" s="201"/>
      <c r="J50" s="207"/>
      <c r="K50" s="153">
        <v>5.8333333333333348E-2</v>
      </c>
      <c r="L50" s="3">
        <v>7.2916666666666685E-2</v>
      </c>
      <c r="M50" s="3">
        <v>5.8333333333333348E-2</v>
      </c>
      <c r="N50" s="3">
        <f t="shared" si="1"/>
        <v>0.18958333333333338</v>
      </c>
      <c r="O50" s="1"/>
      <c r="P50" s="152">
        <f t="shared" si="3"/>
        <v>259.54541666666665</v>
      </c>
      <c r="Q50" s="150">
        <v>0</v>
      </c>
      <c r="R50" s="199">
        <v>0</v>
      </c>
      <c r="S50" s="199">
        <v>0</v>
      </c>
      <c r="T50" s="199">
        <v>0</v>
      </c>
      <c r="U50" s="199">
        <v>0</v>
      </c>
      <c r="V50" s="155">
        <f t="shared" si="4"/>
        <v>0</v>
      </c>
      <c r="W50" s="199"/>
      <c r="X50" s="151">
        <f>(X49-VSLFO.MGO4[[#This Row],[TOTAL]])+VSLFO.MGO4[[#This Row],[FAENA2]]</f>
        <v>75.350000000000009</v>
      </c>
      <c r="Y50" s="150"/>
      <c r="Z50" s="199"/>
      <c r="AA50" s="149">
        <f t="shared" si="5"/>
        <v>100</v>
      </c>
      <c r="AB50" s="199"/>
      <c r="AC50" s="199"/>
      <c r="AD50" s="149">
        <f>($AD$4-VSLFO.MGO4[[#This Row],[CARTER MP.]])+VSLFO.MGO4[[#This Row],[FAENA EN LTS2]]</f>
        <v>100</v>
      </c>
      <c r="AE50" s="199"/>
      <c r="AF50" s="199"/>
      <c r="AG50" s="149">
        <f t="shared" si="6"/>
        <v>100</v>
      </c>
      <c r="AH50" s="199"/>
      <c r="AI50" s="199"/>
      <c r="AJ50" s="148">
        <f>(AJ49-VSLFO.MGO4[[#This Row],[HIDRAULICO]])+VSLFO.MGO4[[#This Row],[FAENA EN LTS3]]</f>
        <v>100</v>
      </c>
    </row>
    <row r="51" spans="1:36" x14ac:dyDescent="0.25">
      <c r="A51" s="192"/>
      <c r="B51" s="219">
        <v>43844</v>
      </c>
      <c r="C51" s="7">
        <v>0.30416666666666664</v>
      </c>
      <c r="D51" s="4">
        <f>IF(VSLFO.MGO4[[#This Row],[FECHA]]-B50=1,((VSLFO.MGO4[[#This Row],[HORA]]-C50)*24)+24,(VSLFO.MGO4[[#This Row],[HORA]]-C50)*24)</f>
        <v>11.099999999999998</v>
      </c>
      <c r="E51" s="10" t="s">
        <v>351</v>
      </c>
      <c r="F51" s="154" t="s">
        <v>1405</v>
      </c>
      <c r="G51" s="212"/>
      <c r="H51" s="201"/>
      <c r="I51" s="201"/>
      <c r="J51" s="207"/>
      <c r="K51" s="153">
        <v>0</v>
      </c>
      <c r="L51" s="3">
        <v>1.1562499999999998</v>
      </c>
      <c r="M51" s="3">
        <v>0.92499999999999982</v>
      </c>
      <c r="N51" s="3">
        <f t="shared" si="1"/>
        <v>2.0812499999999998</v>
      </c>
      <c r="O51" s="1"/>
      <c r="P51" s="152">
        <f t="shared" si="3"/>
        <v>257.46416666666664</v>
      </c>
      <c r="Q51" s="150">
        <v>0</v>
      </c>
      <c r="R51" s="199">
        <v>0</v>
      </c>
      <c r="S51" s="199">
        <v>0</v>
      </c>
      <c r="T51" s="199">
        <v>0</v>
      </c>
      <c r="U51" s="199">
        <v>0</v>
      </c>
      <c r="V51" s="155">
        <f t="shared" si="4"/>
        <v>0</v>
      </c>
      <c r="W51" s="199"/>
      <c r="X51" s="151">
        <f>(X50-VSLFO.MGO4[[#This Row],[TOTAL]])+VSLFO.MGO4[[#This Row],[FAENA2]]</f>
        <v>75.350000000000009</v>
      </c>
      <c r="Y51" s="150"/>
      <c r="Z51" s="199"/>
      <c r="AA51" s="149">
        <f t="shared" si="5"/>
        <v>100</v>
      </c>
      <c r="AB51" s="199"/>
      <c r="AC51" s="199"/>
      <c r="AD51" s="149">
        <f>($AD$4-VSLFO.MGO4[[#This Row],[CARTER MP.]])+VSLFO.MGO4[[#This Row],[FAENA EN LTS2]]</f>
        <v>100</v>
      </c>
      <c r="AE51" s="199"/>
      <c r="AF51" s="199"/>
      <c r="AG51" s="149">
        <f t="shared" si="6"/>
        <v>100</v>
      </c>
      <c r="AH51" s="199"/>
      <c r="AI51" s="199"/>
      <c r="AJ51" s="148">
        <f>(AJ50-VSLFO.MGO4[[#This Row],[HIDRAULICO]])+VSLFO.MGO4[[#This Row],[FAENA EN LTS3]]</f>
        <v>100</v>
      </c>
    </row>
    <row r="52" spans="1:36" x14ac:dyDescent="0.25">
      <c r="A52" s="192"/>
      <c r="B52" s="219">
        <v>43844</v>
      </c>
      <c r="C52" s="7">
        <v>0.32083333333333336</v>
      </c>
      <c r="D52" s="4">
        <f>IF(VSLFO.MGO4[[#This Row],[FECHA]]-B51=1,((VSLFO.MGO4[[#This Row],[HORA]]-C51)*24)+24,(VSLFO.MGO4[[#This Row],[HORA]]-C51)*24)</f>
        <v>0.40000000000000124</v>
      </c>
      <c r="E52" s="10" t="s">
        <v>1057</v>
      </c>
      <c r="F52" s="154" t="s">
        <v>1408</v>
      </c>
      <c r="G52" s="212"/>
      <c r="H52" s="201"/>
      <c r="I52" s="201"/>
      <c r="J52" s="207"/>
      <c r="K52" s="153">
        <v>8.3333333333333592E-2</v>
      </c>
      <c r="L52" s="3">
        <v>4.1666666666666796E-2</v>
      </c>
      <c r="M52" s="3">
        <v>3.3333333333333437E-2</v>
      </c>
      <c r="N52" s="3">
        <f t="shared" si="1"/>
        <v>0.15833333333333383</v>
      </c>
      <c r="O52" s="1"/>
      <c r="P52" s="152">
        <f t="shared" si="3"/>
        <v>257.30583333333328</v>
      </c>
      <c r="Q52" s="150">
        <v>0</v>
      </c>
      <c r="R52" s="199">
        <v>0</v>
      </c>
      <c r="S52" s="199">
        <v>0</v>
      </c>
      <c r="T52" s="199">
        <v>0</v>
      </c>
      <c r="U52" s="199">
        <v>0</v>
      </c>
      <c r="V52" s="155">
        <f t="shared" si="4"/>
        <v>0</v>
      </c>
      <c r="W52" s="199"/>
      <c r="X52" s="151">
        <f>(X51-VSLFO.MGO4[[#This Row],[TOTAL]])+VSLFO.MGO4[[#This Row],[FAENA2]]</f>
        <v>75.350000000000009</v>
      </c>
      <c r="Y52" s="150"/>
      <c r="Z52" s="199"/>
      <c r="AA52" s="149">
        <f t="shared" si="5"/>
        <v>100</v>
      </c>
      <c r="AB52" s="199"/>
      <c r="AC52" s="199"/>
      <c r="AD52" s="149">
        <f>($AD$4-VSLFO.MGO4[[#This Row],[CARTER MP.]])+VSLFO.MGO4[[#This Row],[FAENA EN LTS2]]</f>
        <v>100</v>
      </c>
      <c r="AE52" s="199"/>
      <c r="AF52" s="199"/>
      <c r="AG52" s="149">
        <f t="shared" si="6"/>
        <v>100</v>
      </c>
      <c r="AH52" s="199"/>
      <c r="AI52" s="199"/>
      <c r="AJ52" s="148">
        <f>(AJ51-VSLFO.MGO4[[#This Row],[HIDRAULICO]])+VSLFO.MGO4[[#This Row],[FAENA EN LTS3]]</f>
        <v>100</v>
      </c>
    </row>
    <row r="53" spans="1:36" x14ac:dyDescent="0.25">
      <c r="A53" s="192"/>
      <c r="B53" s="219">
        <v>43844</v>
      </c>
      <c r="C53" s="7">
        <v>0.33333333333333331</v>
      </c>
      <c r="D53" s="4">
        <f>IF(VSLFO.MGO4[[#This Row],[FECHA]]-B52=1,((VSLFO.MGO4[[#This Row],[HORA]]-C52)*24)+24,(VSLFO.MGO4[[#This Row],[HORA]]-C52)*24)</f>
        <v>0.29999999999999893</v>
      </c>
      <c r="E53" s="10" t="s">
        <v>1338</v>
      </c>
      <c r="F53" s="154" t="s">
        <v>1193</v>
      </c>
      <c r="G53" s="212"/>
      <c r="H53" s="201"/>
      <c r="I53" s="201" t="s">
        <v>1297</v>
      </c>
      <c r="J53" s="207">
        <v>95</v>
      </c>
      <c r="K53" s="153">
        <v>0.27499999999999902</v>
      </c>
      <c r="L53" s="3">
        <v>3.1249999999999889E-2</v>
      </c>
      <c r="M53" s="3">
        <v>0</v>
      </c>
      <c r="N53" s="3">
        <f t="shared" si="1"/>
        <v>0.30624999999999891</v>
      </c>
      <c r="O53" s="1"/>
      <c r="P53" s="152">
        <f t="shared" si="3"/>
        <v>256.99958333333331</v>
      </c>
      <c r="Q53" s="150">
        <v>0</v>
      </c>
      <c r="R53" s="199">
        <v>0</v>
      </c>
      <c r="S53" s="199">
        <v>0</v>
      </c>
      <c r="T53" s="199">
        <v>0</v>
      </c>
      <c r="U53" s="199">
        <v>0</v>
      </c>
      <c r="V53" s="155">
        <f t="shared" si="4"/>
        <v>0</v>
      </c>
      <c r="W53" s="199"/>
      <c r="X53" s="151">
        <f>(X52-VSLFO.MGO4[[#This Row],[TOTAL]])+VSLFO.MGO4[[#This Row],[FAENA2]]</f>
        <v>75.350000000000009</v>
      </c>
      <c r="Y53" s="150"/>
      <c r="Z53" s="199"/>
      <c r="AA53" s="149">
        <f t="shared" si="5"/>
        <v>100</v>
      </c>
      <c r="AB53" s="199"/>
      <c r="AC53" s="199"/>
      <c r="AD53" s="149">
        <f>($AD$4-VSLFO.MGO4[[#This Row],[CARTER MP.]])+VSLFO.MGO4[[#This Row],[FAENA EN LTS2]]</f>
        <v>100</v>
      </c>
      <c r="AE53" s="199"/>
      <c r="AF53" s="199"/>
      <c r="AG53" s="149">
        <f t="shared" si="6"/>
        <v>100</v>
      </c>
      <c r="AH53" s="199"/>
      <c r="AI53" s="199"/>
      <c r="AJ53" s="148">
        <f>(AJ52-VSLFO.MGO4[[#This Row],[HIDRAULICO]])+VSLFO.MGO4[[#This Row],[FAENA EN LTS3]]</f>
        <v>100</v>
      </c>
    </row>
    <row r="54" spans="1:36" x14ac:dyDescent="0.25">
      <c r="A54" s="192"/>
      <c r="B54" s="219">
        <v>43844</v>
      </c>
      <c r="C54" s="7">
        <v>0.64583333333333337</v>
      </c>
      <c r="D54" s="4">
        <f>IF(VSLFO.MGO4[[#This Row],[FECHA]]-B53=1,((VSLFO.MGO4[[#This Row],[HORA]]-C53)*24)+24,(VSLFO.MGO4[[#This Row],[HORA]]-C53)*24)</f>
        <v>7.5000000000000018</v>
      </c>
      <c r="E54" s="10" t="s">
        <v>1338</v>
      </c>
      <c r="F54" s="154" t="s">
        <v>1162</v>
      </c>
      <c r="G54" s="212">
        <v>91</v>
      </c>
      <c r="H54" s="201">
        <v>10.3</v>
      </c>
      <c r="I54" s="201" t="s">
        <v>1296</v>
      </c>
      <c r="J54" s="207">
        <v>95</v>
      </c>
      <c r="K54" s="153">
        <v>6.8750000000000018</v>
      </c>
      <c r="L54" s="3">
        <v>0.78125000000000022</v>
      </c>
      <c r="M54" s="3">
        <v>0</v>
      </c>
      <c r="N54" s="3">
        <f t="shared" si="1"/>
        <v>7.6562500000000018</v>
      </c>
      <c r="O54" s="1"/>
      <c r="P54" s="152">
        <f t="shared" si="3"/>
        <v>249.34333333333331</v>
      </c>
      <c r="Q54" s="150">
        <v>0</v>
      </c>
      <c r="R54" s="199">
        <v>0</v>
      </c>
      <c r="S54" s="199">
        <v>0</v>
      </c>
      <c r="T54" s="199">
        <v>0</v>
      </c>
      <c r="U54" s="199">
        <v>0</v>
      </c>
      <c r="V54" s="155">
        <f t="shared" si="4"/>
        <v>0</v>
      </c>
      <c r="W54" s="199"/>
      <c r="X54" s="151">
        <f>(X53-VSLFO.MGO4[[#This Row],[TOTAL]])+VSLFO.MGO4[[#This Row],[FAENA2]]</f>
        <v>75.350000000000009</v>
      </c>
      <c r="Y54" s="150"/>
      <c r="Z54" s="199"/>
      <c r="AA54" s="149">
        <f t="shared" si="5"/>
        <v>100</v>
      </c>
      <c r="AB54" s="199"/>
      <c r="AC54" s="199"/>
      <c r="AD54" s="149">
        <f>($AD$4-VSLFO.MGO4[[#This Row],[CARTER MP.]])+VSLFO.MGO4[[#This Row],[FAENA EN LTS2]]</f>
        <v>100</v>
      </c>
      <c r="AE54" s="199"/>
      <c r="AF54" s="199"/>
      <c r="AG54" s="149">
        <f t="shared" si="6"/>
        <v>100</v>
      </c>
      <c r="AH54" s="199"/>
      <c r="AI54" s="199"/>
      <c r="AJ54" s="148">
        <f>(AJ53-VSLFO.MGO4[[#This Row],[HIDRAULICO]])+VSLFO.MGO4[[#This Row],[FAENA EN LTS3]]</f>
        <v>100</v>
      </c>
    </row>
    <row r="55" spans="1:36" x14ac:dyDescent="0.25">
      <c r="A55" s="192"/>
      <c r="B55" s="219">
        <v>43844</v>
      </c>
      <c r="C55" s="7">
        <v>0.65416666666666667</v>
      </c>
      <c r="D55" s="4">
        <f>IF(VSLFO.MGO4[[#This Row],[FECHA]]-B54=1,((VSLFO.MGO4[[#This Row],[HORA]]-C54)*24)+24,(VSLFO.MGO4[[#This Row],[HORA]]-C54)*24)</f>
        <v>0.19999999999999929</v>
      </c>
      <c r="E55" s="10" t="s">
        <v>1057</v>
      </c>
      <c r="F55" s="154" t="s">
        <v>1194</v>
      </c>
      <c r="G55" s="212"/>
      <c r="H55" s="201"/>
      <c r="I55" s="201"/>
      <c r="J55" s="207"/>
      <c r="K55" s="153">
        <v>4.1666666666666519E-2</v>
      </c>
      <c r="L55" s="3">
        <v>2.0833333333333259E-2</v>
      </c>
      <c r="M55" s="3">
        <v>1.6666666666666607E-2</v>
      </c>
      <c r="N55" s="3">
        <f t="shared" si="1"/>
        <v>7.9166666666666385E-2</v>
      </c>
      <c r="O55" s="1"/>
      <c r="P55" s="152">
        <f t="shared" si="3"/>
        <v>249.26416666666663</v>
      </c>
      <c r="Q55" s="150">
        <v>0</v>
      </c>
      <c r="R55" s="199">
        <v>0</v>
      </c>
      <c r="S55" s="199">
        <v>0</v>
      </c>
      <c r="T55" s="199">
        <v>0</v>
      </c>
      <c r="U55" s="199">
        <v>0</v>
      </c>
      <c r="V55" s="155">
        <f t="shared" si="4"/>
        <v>0</v>
      </c>
      <c r="W55" s="199"/>
      <c r="X55" s="151">
        <f>(X54-VSLFO.MGO4[[#This Row],[TOTAL]])+VSLFO.MGO4[[#This Row],[FAENA2]]</f>
        <v>75.350000000000009</v>
      </c>
      <c r="Y55" s="150"/>
      <c r="Z55" s="199"/>
      <c r="AA55" s="149">
        <f t="shared" si="5"/>
        <v>100</v>
      </c>
      <c r="AB55" s="199"/>
      <c r="AC55" s="199"/>
      <c r="AD55" s="149">
        <f>($AD$4-VSLFO.MGO4[[#This Row],[CARTER MP.]])+VSLFO.MGO4[[#This Row],[FAENA EN LTS2]]</f>
        <v>100</v>
      </c>
      <c r="AE55" s="199"/>
      <c r="AF55" s="199"/>
      <c r="AG55" s="149">
        <f t="shared" si="6"/>
        <v>100</v>
      </c>
      <c r="AH55" s="199"/>
      <c r="AI55" s="199"/>
      <c r="AJ55" s="148">
        <f>(AJ54-VSLFO.MGO4[[#This Row],[HIDRAULICO]])+VSLFO.MGO4[[#This Row],[FAENA EN LTS3]]</f>
        <v>100</v>
      </c>
    </row>
    <row r="56" spans="1:36" x14ac:dyDescent="0.25">
      <c r="A56" s="192"/>
      <c r="B56" s="219">
        <v>43844</v>
      </c>
      <c r="C56" s="7">
        <v>0.8666666666666667</v>
      </c>
      <c r="D56" s="4">
        <f>IF(VSLFO.MGO4[[#This Row],[FECHA]]-B55=1,((VSLFO.MGO4[[#This Row],[HORA]]-C55)*24)+24,(VSLFO.MGO4[[#This Row],[HORA]]-C55)*24)</f>
        <v>5.1000000000000005</v>
      </c>
      <c r="E56" s="10" t="s">
        <v>351</v>
      </c>
      <c r="F56" s="154" t="s">
        <v>1409</v>
      </c>
      <c r="G56" s="212"/>
      <c r="H56" s="201"/>
      <c r="I56" s="201"/>
      <c r="J56" s="207"/>
      <c r="K56" s="153">
        <v>0</v>
      </c>
      <c r="L56" s="3">
        <v>0.53125000000000011</v>
      </c>
      <c r="M56" s="3">
        <v>0.42500000000000004</v>
      </c>
      <c r="N56" s="3">
        <f t="shared" si="1"/>
        <v>0.95625000000000016</v>
      </c>
      <c r="O56" s="1"/>
      <c r="P56" s="152">
        <f t="shared" si="3"/>
        <v>248.30791666666661</v>
      </c>
      <c r="Q56" s="150">
        <v>0</v>
      </c>
      <c r="R56" s="199">
        <v>0</v>
      </c>
      <c r="S56" s="199">
        <v>0</v>
      </c>
      <c r="T56" s="199">
        <v>0</v>
      </c>
      <c r="U56" s="199">
        <v>0</v>
      </c>
      <c r="V56" s="155">
        <f t="shared" si="4"/>
        <v>0</v>
      </c>
      <c r="W56" s="199"/>
      <c r="X56" s="151">
        <f>(X55-VSLFO.MGO4[[#This Row],[TOTAL]])+VSLFO.MGO4[[#This Row],[FAENA2]]</f>
        <v>75.350000000000009</v>
      </c>
      <c r="Y56" s="150"/>
      <c r="Z56" s="199"/>
      <c r="AA56" s="149">
        <f t="shared" si="5"/>
        <v>100</v>
      </c>
      <c r="AB56" s="199"/>
      <c r="AC56" s="199"/>
      <c r="AD56" s="149">
        <f>($AD$4-VSLFO.MGO4[[#This Row],[CARTER MP.]])+VSLFO.MGO4[[#This Row],[FAENA EN LTS2]]</f>
        <v>100</v>
      </c>
      <c r="AE56" s="199"/>
      <c r="AF56" s="199"/>
      <c r="AG56" s="149">
        <f t="shared" si="6"/>
        <v>100</v>
      </c>
      <c r="AH56" s="199"/>
      <c r="AI56" s="199"/>
      <c r="AJ56" s="148">
        <f>(AJ55-VSLFO.MGO4[[#This Row],[HIDRAULICO]])+VSLFO.MGO4[[#This Row],[FAENA EN LTS3]]</f>
        <v>100</v>
      </c>
    </row>
    <row r="57" spans="1:36" x14ac:dyDescent="0.25">
      <c r="A57" s="192"/>
      <c r="B57" s="219">
        <v>43844</v>
      </c>
      <c r="C57" s="7">
        <v>0.94166666666666676</v>
      </c>
      <c r="D57" s="4">
        <f>IF(VSLFO.MGO4[[#This Row],[FECHA]]-B56=1,((VSLFO.MGO4[[#This Row],[HORA]]-C56)*24)+24,(VSLFO.MGO4[[#This Row],[HORA]]-C56)*24)</f>
        <v>1.8000000000000016</v>
      </c>
      <c r="E57" s="10" t="s">
        <v>1057</v>
      </c>
      <c r="F57" s="154" t="s">
        <v>1194</v>
      </c>
      <c r="G57" s="212"/>
      <c r="H57" s="201"/>
      <c r="I57" s="201"/>
      <c r="J57" s="207"/>
      <c r="K57" s="153">
        <v>0.15000000000000013</v>
      </c>
      <c r="L57" s="3">
        <v>0.18750000000000017</v>
      </c>
      <c r="M57" s="3">
        <v>0.15000000000000013</v>
      </c>
      <c r="N57" s="3">
        <f t="shared" si="1"/>
        <v>0.48750000000000043</v>
      </c>
      <c r="O57" s="1"/>
      <c r="P57" s="152">
        <f t="shared" si="3"/>
        <v>247.8204166666666</v>
      </c>
      <c r="Q57" s="150">
        <v>0</v>
      </c>
      <c r="R57" s="199">
        <v>0</v>
      </c>
      <c r="S57" s="199">
        <v>0</v>
      </c>
      <c r="T57" s="199">
        <v>0</v>
      </c>
      <c r="U57" s="199">
        <v>0</v>
      </c>
      <c r="V57" s="155">
        <f t="shared" si="4"/>
        <v>0</v>
      </c>
      <c r="W57" s="199"/>
      <c r="X57" s="151">
        <f>(X56-VSLFO.MGO4[[#This Row],[TOTAL]])+VSLFO.MGO4[[#This Row],[FAENA2]]</f>
        <v>75.350000000000009</v>
      </c>
      <c r="Y57" s="150"/>
      <c r="Z57" s="199"/>
      <c r="AA57" s="149">
        <f t="shared" si="5"/>
        <v>100</v>
      </c>
      <c r="AB57" s="199"/>
      <c r="AC57" s="199"/>
      <c r="AD57" s="149">
        <f>($AD$4-VSLFO.MGO4[[#This Row],[CARTER MP.]])+VSLFO.MGO4[[#This Row],[FAENA EN LTS2]]</f>
        <v>100</v>
      </c>
      <c r="AE57" s="199"/>
      <c r="AF57" s="199"/>
      <c r="AG57" s="149">
        <f t="shared" si="6"/>
        <v>100</v>
      </c>
      <c r="AH57" s="199"/>
      <c r="AI57" s="199"/>
      <c r="AJ57" s="148">
        <f>(AJ56-VSLFO.MGO4[[#This Row],[HIDRAULICO]])+VSLFO.MGO4[[#This Row],[FAENA EN LTS3]]</f>
        <v>100</v>
      </c>
    </row>
    <row r="58" spans="1:36" x14ac:dyDescent="0.25">
      <c r="A58" s="192"/>
      <c r="B58" s="219">
        <v>43844</v>
      </c>
      <c r="C58" s="7">
        <v>0.99583333333333324</v>
      </c>
      <c r="D58" s="4">
        <f>IF(VSLFO.MGO4[[#This Row],[FECHA]]-B57=1,((VSLFO.MGO4[[#This Row],[HORA]]-C57)*24)+24,(VSLFO.MGO4[[#This Row],[HORA]]-C57)*24)</f>
        <v>1.2999999999999954</v>
      </c>
      <c r="E58" s="10" t="s">
        <v>1425</v>
      </c>
      <c r="F58" s="154" t="s">
        <v>1391</v>
      </c>
      <c r="G58" s="212"/>
      <c r="H58" s="201"/>
      <c r="I58" s="201"/>
      <c r="J58" s="207"/>
      <c r="K58" s="153">
        <v>0</v>
      </c>
      <c r="L58" s="3">
        <v>0.14583333333333309</v>
      </c>
      <c r="M58" s="3">
        <v>0.11666666666666647</v>
      </c>
      <c r="N58" s="3">
        <f t="shared" si="1"/>
        <v>0.26249999999999957</v>
      </c>
      <c r="O58" s="1"/>
      <c r="P58" s="152">
        <f t="shared" si="3"/>
        <v>247.55791666666661</v>
      </c>
      <c r="Q58" s="150">
        <v>0</v>
      </c>
      <c r="R58" s="199">
        <v>0</v>
      </c>
      <c r="S58" s="199">
        <v>0</v>
      </c>
      <c r="T58" s="199">
        <v>0</v>
      </c>
      <c r="U58" s="199">
        <v>0</v>
      </c>
      <c r="V58" s="155">
        <f t="shared" si="4"/>
        <v>0</v>
      </c>
      <c r="W58" s="199"/>
      <c r="X58" s="151">
        <f>(X57-VSLFO.MGO4[[#This Row],[TOTAL]])+VSLFO.MGO4[[#This Row],[FAENA2]]</f>
        <v>75.350000000000009</v>
      </c>
      <c r="Y58" s="150"/>
      <c r="Z58" s="199"/>
      <c r="AA58" s="149">
        <f t="shared" si="5"/>
        <v>100</v>
      </c>
      <c r="AB58" s="199"/>
      <c r="AC58" s="199"/>
      <c r="AD58" s="149">
        <f>($AD$4-VSLFO.MGO4[[#This Row],[CARTER MP.]])+VSLFO.MGO4[[#This Row],[FAENA EN LTS2]]</f>
        <v>100</v>
      </c>
      <c r="AE58" s="199"/>
      <c r="AF58" s="199"/>
      <c r="AG58" s="149">
        <f t="shared" si="6"/>
        <v>100</v>
      </c>
      <c r="AH58" s="199"/>
      <c r="AI58" s="199"/>
      <c r="AJ58" s="148">
        <f>(AJ57-VSLFO.MGO4[[#This Row],[HIDRAULICO]])+VSLFO.MGO4[[#This Row],[FAENA EN LTS3]]</f>
        <v>100</v>
      </c>
    </row>
    <row r="59" spans="1:36" x14ac:dyDescent="0.25">
      <c r="A59" s="192"/>
      <c r="B59" s="219">
        <v>43845</v>
      </c>
      <c r="C59" s="7">
        <v>0.33333333333333331</v>
      </c>
      <c r="D59" s="4">
        <f>IF(VSLFO.MGO4[[#This Row],[FECHA]]-B58=1,((VSLFO.MGO4[[#This Row],[HORA]]-C58)*24)+24,(VSLFO.MGO4[[#This Row],[HORA]]-C58)*24)</f>
        <v>8.1000000000000032</v>
      </c>
      <c r="E59" s="10" t="s">
        <v>966</v>
      </c>
      <c r="F59" s="154" t="s">
        <v>1193</v>
      </c>
      <c r="G59" s="212"/>
      <c r="H59" s="201"/>
      <c r="I59" s="201"/>
      <c r="J59" s="207"/>
      <c r="K59" s="153">
        <v>0</v>
      </c>
      <c r="L59" s="3">
        <v>0.83333333333333337</v>
      </c>
      <c r="M59" s="3">
        <v>0.66666666666666663</v>
      </c>
      <c r="N59" s="3">
        <f t="shared" si="1"/>
        <v>1.5</v>
      </c>
      <c r="O59" s="1"/>
      <c r="P59" s="152">
        <f t="shared" si="3"/>
        <v>246.05791666666661</v>
      </c>
      <c r="Q59" s="150">
        <v>0</v>
      </c>
      <c r="R59" s="199">
        <v>0</v>
      </c>
      <c r="S59" s="199">
        <v>0</v>
      </c>
      <c r="T59" s="199">
        <v>0</v>
      </c>
      <c r="U59" s="199">
        <v>1.3</v>
      </c>
      <c r="V59" s="155">
        <f t="shared" si="4"/>
        <v>1.3</v>
      </c>
      <c r="W59" s="199"/>
      <c r="X59" s="151">
        <f>(X58-VSLFO.MGO4[[#This Row],[TOTAL]])+VSLFO.MGO4[[#This Row],[FAENA2]]</f>
        <v>74.050000000000011</v>
      </c>
      <c r="Y59" s="150"/>
      <c r="Z59" s="199"/>
      <c r="AA59" s="149">
        <f t="shared" si="5"/>
        <v>100</v>
      </c>
      <c r="AB59" s="199"/>
      <c r="AC59" s="199"/>
      <c r="AD59" s="149">
        <f>($AD$4-VSLFO.MGO4[[#This Row],[CARTER MP.]])+VSLFO.MGO4[[#This Row],[FAENA EN LTS2]]</f>
        <v>100</v>
      </c>
      <c r="AE59" s="199"/>
      <c r="AF59" s="199"/>
      <c r="AG59" s="149">
        <f t="shared" si="6"/>
        <v>100</v>
      </c>
      <c r="AH59" s="199"/>
      <c r="AI59" s="199"/>
      <c r="AJ59" s="148">
        <f>(AJ58-VSLFO.MGO4[[#This Row],[HIDRAULICO]])+VSLFO.MGO4[[#This Row],[FAENA EN LTS3]]</f>
        <v>100</v>
      </c>
    </row>
    <row r="60" spans="1:36" x14ac:dyDescent="0.25">
      <c r="A60" s="192"/>
      <c r="B60" s="219">
        <v>43845</v>
      </c>
      <c r="C60" s="7">
        <v>0.42083333333333334</v>
      </c>
      <c r="D60" s="4">
        <f>IF(VSLFO.MGO4[[#This Row],[FECHA]]-B59=1,((VSLFO.MGO4[[#This Row],[HORA]]-C59)*24)+24,(VSLFO.MGO4[[#This Row],[HORA]]-C59)*24)</f>
        <v>2.1000000000000005</v>
      </c>
      <c r="E60" s="10" t="s">
        <v>966</v>
      </c>
      <c r="F60" s="154" t="s">
        <v>1410</v>
      </c>
      <c r="G60" s="212"/>
      <c r="H60" s="201"/>
      <c r="I60" s="201"/>
      <c r="J60" s="207"/>
      <c r="K60" s="153">
        <v>0</v>
      </c>
      <c r="L60" s="3">
        <v>0.21875000000000006</v>
      </c>
      <c r="M60" s="3">
        <v>0.17500000000000004</v>
      </c>
      <c r="N60" s="3">
        <f t="shared" si="1"/>
        <v>0.3937500000000001</v>
      </c>
      <c r="O60" s="1"/>
      <c r="P60" s="152">
        <f t="shared" si="3"/>
        <v>245.6641666666666</v>
      </c>
      <c r="Q60" s="150">
        <v>0</v>
      </c>
      <c r="R60" s="199">
        <v>0</v>
      </c>
      <c r="S60" s="199">
        <v>0</v>
      </c>
      <c r="T60" s="199">
        <v>0</v>
      </c>
      <c r="U60" s="199">
        <v>0.3</v>
      </c>
      <c r="V60" s="155">
        <f t="shared" si="4"/>
        <v>0.3</v>
      </c>
      <c r="W60" s="199"/>
      <c r="X60" s="151">
        <f>(X59-VSLFO.MGO4[[#This Row],[TOTAL]])+VSLFO.MGO4[[#This Row],[FAENA2]]</f>
        <v>73.750000000000014</v>
      </c>
      <c r="Y60" s="150"/>
      <c r="Z60" s="199"/>
      <c r="AA60" s="149">
        <f t="shared" si="5"/>
        <v>100</v>
      </c>
      <c r="AB60" s="199"/>
      <c r="AC60" s="199"/>
      <c r="AD60" s="149">
        <f>($AD$4-VSLFO.MGO4[[#This Row],[CARTER MP.]])+VSLFO.MGO4[[#This Row],[FAENA EN LTS2]]</f>
        <v>100</v>
      </c>
      <c r="AE60" s="199"/>
      <c r="AF60" s="199"/>
      <c r="AG60" s="149">
        <f t="shared" si="6"/>
        <v>100</v>
      </c>
      <c r="AH60" s="199"/>
      <c r="AI60" s="199"/>
      <c r="AJ60" s="148">
        <f>(AJ59-VSLFO.MGO4[[#This Row],[HIDRAULICO]])+VSLFO.MGO4[[#This Row],[FAENA EN LTS3]]</f>
        <v>100</v>
      </c>
    </row>
    <row r="61" spans="1:36" x14ac:dyDescent="0.25">
      <c r="A61" s="192"/>
      <c r="B61" s="219">
        <v>43845</v>
      </c>
      <c r="C61" s="7">
        <v>0.57500000000000007</v>
      </c>
      <c r="D61" s="4">
        <f>IF(VSLFO.MGO4[[#This Row],[FECHA]]-B60=1,((VSLFO.MGO4[[#This Row],[HORA]]-C60)*24)+24,(VSLFO.MGO4[[#This Row],[HORA]]-C60)*24)</f>
        <v>3.7000000000000015</v>
      </c>
      <c r="E61" s="10" t="s">
        <v>1425</v>
      </c>
      <c r="F61" s="154" t="s">
        <v>1409</v>
      </c>
      <c r="G61" s="212"/>
      <c r="H61" s="201"/>
      <c r="I61" s="201"/>
      <c r="J61" s="207"/>
      <c r="K61" s="153">
        <v>0</v>
      </c>
      <c r="L61" s="3">
        <v>0.38541666666666685</v>
      </c>
      <c r="M61" s="3">
        <v>0.30833333333333346</v>
      </c>
      <c r="N61" s="3">
        <f t="shared" si="1"/>
        <v>0.69375000000000031</v>
      </c>
      <c r="O61" s="1"/>
      <c r="P61" s="152">
        <f t="shared" si="3"/>
        <v>244.97041666666661</v>
      </c>
      <c r="Q61" s="150">
        <v>0</v>
      </c>
      <c r="R61" s="199">
        <v>0</v>
      </c>
      <c r="S61" s="199">
        <v>0</v>
      </c>
      <c r="T61" s="199">
        <v>0</v>
      </c>
      <c r="U61" s="199">
        <v>0</v>
      </c>
      <c r="V61" s="155">
        <f t="shared" si="4"/>
        <v>0</v>
      </c>
      <c r="W61" s="199"/>
      <c r="X61" s="151">
        <f>(X60-VSLFO.MGO4[[#This Row],[TOTAL]])+VSLFO.MGO4[[#This Row],[FAENA2]]</f>
        <v>73.750000000000014</v>
      </c>
      <c r="Y61" s="150"/>
      <c r="Z61" s="199"/>
      <c r="AA61" s="149">
        <f t="shared" si="5"/>
        <v>100</v>
      </c>
      <c r="AB61" s="199"/>
      <c r="AC61" s="199"/>
      <c r="AD61" s="149">
        <f>($AD$4-VSLFO.MGO4[[#This Row],[CARTER MP.]])+VSLFO.MGO4[[#This Row],[FAENA EN LTS2]]</f>
        <v>100</v>
      </c>
      <c r="AE61" s="199"/>
      <c r="AF61" s="199"/>
      <c r="AG61" s="149">
        <f t="shared" si="6"/>
        <v>100</v>
      </c>
      <c r="AH61" s="199"/>
      <c r="AI61" s="199"/>
      <c r="AJ61" s="148">
        <f>(AJ60-VSLFO.MGO4[[#This Row],[HIDRAULICO]])+VSLFO.MGO4[[#This Row],[FAENA EN LTS3]]</f>
        <v>100</v>
      </c>
    </row>
    <row r="62" spans="1:36" x14ac:dyDescent="0.25">
      <c r="A62" s="192"/>
      <c r="B62" s="219">
        <v>43845</v>
      </c>
      <c r="C62" s="7">
        <v>0.60416666666666663</v>
      </c>
      <c r="D62" s="4">
        <f>IF(VSLFO.MGO4[[#This Row],[FECHA]]-B61=1,((VSLFO.MGO4[[#This Row],[HORA]]-C61)*24)+24,(VSLFO.MGO4[[#This Row],[HORA]]-C61)*24)</f>
        <v>0.69999999999999751</v>
      </c>
      <c r="E62" s="10" t="s">
        <v>1057</v>
      </c>
      <c r="F62" s="154" t="s">
        <v>1411</v>
      </c>
      <c r="G62" s="212"/>
      <c r="H62" s="201"/>
      <c r="I62" s="201"/>
      <c r="J62" s="207"/>
      <c r="K62" s="153">
        <v>5.8333333333333126E-2</v>
      </c>
      <c r="L62" s="3">
        <v>7.2916666666666408E-2</v>
      </c>
      <c r="M62" s="3">
        <v>5.8333333333333126E-2</v>
      </c>
      <c r="N62" s="3">
        <f t="shared" si="1"/>
        <v>0.18958333333333266</v>
      </c>
      <c r="O62" s="1"/>
      <c r="P62" s="152">
        <f t="shared" si="3"/>
        <v>244.78083333333328</v>
      </c>
      <c r="Q62" s="150">
        <v>0</v>
      </c>
      <c r="R62" s="199">
        <v>0</v>
      </c>
      <c r="S62" s="199">
        <v>0</v>
      </c>
      <c r="T62" s="199">
        <v>0</v>
      </c>
      <c r="U62" s="199">
        <v>0</v>
      </c>
      <c r="V62" s="155">
        <f t="shared" si="4"/>
        <v>0</v>
      </c>
      <c r="W62" s="199"/>
      <c r="X62" s="151">
        <f>(X61-VSLFO.MGO4[[#This Row],[TOTAL]])+VSLFO.MGO4[[#This Row],[FAENA2]]</f>
        <v>73.750000000000014</v>
      </c>
      <c r="Y62" s="150"/>
      <c r="Z62" s="199"/>
      <c r="AA62" s="149">
        <f t="shared" si="5"/>
        <v>100</v>
      </c>
      <c r="AB62" s="199"/>
      <c r="AC62" s="199"/>
      <c r="AD62" s="149">
        <f>($AD$4-VSLFO.MGO4[[#This Row],[CARTER MP.]])+VSLFO.MGO4[[#This Row],[FAENA EN LTS2]]</f>
        <v>100</v>
      </c>
      <c r="AE62" s="199"/>
      <c r="AF62" s="199"/>
      <c r="AG62" s="149">
        <f t="shared" si="6"/>
        <v>100</v>
      </c>
      <c r="AH62" s="199"/>
      <c r="AI62" s="199"/>
      <c r="AJ62" s="148">
        <f>(AJ61-VSLFO.MGO4[[#This Row],[HIDRAULICO]])+VSLFO.MGO4[[#This Row],[FAENA EN LTS3]]</f>
        <v>100</v>
      </c>
    </row>
    <row r="63" spans="1:36" x14ac:dyDescent="0.25">
      <c r="A63" s="192"/>
      <c r="B63" s="219">
        <v>43846</v>
      </c>
      <c r="C63" s="7">
        <v>0.33333333333333331</v>
      </c>
      <c r="D63" s="4">
        <f>IF(VSLFO.MGO4[[#This Row],[FECHA]]-B62=1,((VSLFO.MGO4[[#This Row],[HORA]]-C62)*24)+24,(VSLFO.MGO4[[#This Row],[HORA]]-C62)*24)</f>
        <v>17.5</v>
      </c>
      <c r="E63" s="10" t="s">
        <v>1338</v>
      </c>
      <c r="F63" s="154" t="s">
        <v>1387</v>
      </c>
      <c r="G63" s="212"/>
      <c r="H63" s="201"/>
      <c r="I63" s="201" t="s">
        <v>1297</v>
      </c>
      <c r="J63" s="207">
        <v>95</v>
      </c>
      <c r="K63" s="153">
        <v>16.041666666666664</v>
      </c>
      <c r="L63" s="3">
        <v>1.8229166666666667</v>
      </c>
      <c r="M63" s="3">
        <v>0</v>
      </c>
      <c r="N63" s="3">
        <f t="shared" si="1"/>
        <v>17.864583333333332</v>
      </c>
      <c r="O63" s="1"/>
      <c r="P63" s="152">
        <f t="shared" si="3"/>
        <v>226.91624999999993</v>
      </c>
      <c r="Q63" s="150">
        <v>0</v>
      </c>
      <c r="R63" s="199">
        <v>0</v>
      </c>
      <c r="S63" s="199">
        <v>0</v>
      </c>
      <c r="T63" s="199">
        <v>0</v>
      </c>
      <c r="U63" s="199">
        <v>0</v>
      </c>
      <c r="V63" s="155">
        <f t="shared" si="4"/>
        <v>0</v>
      </c>
      <c r="W63" s="199"/>
      <c r="X63" s="151">
        <f>(X62-VSLFO.MGO4[[#This Row],[TOTAL]])+VSLFO.MGO4[[#This Row],[FAENA2]]</f>
        <v>73.750000000000014</v>
      </c>
      <c r="Y63" s="150"/>
      <c r="Z63" s="199"/>
      <c r="AA63" s="149">
        <f t="shared" si="5"/>
        <v>100</v>
      </c>
      <c r="AB63" s="199"/>
      <c r="AC63" s="199"/>
      <c r="AD63" s="149">
        <f>($AD$4-VSLFO.MGO4[[#This Row],[CARTER MP.]])+VSLFO.MGO4[[#This Row],[FAENA EN LTS2]]</f>
        <v>100</v>
      </c>
      <c r="AE63" s="199"/>
      <c r="AF63" s="199"/>
      <c r="AG63" s="149">
        <f t="shared" si="6"/>
        <v>100</v>
      </c>
      <c r="AH63" s="199"/>
      <c r="AI63" s="199"/>
      <c r="AJ63" s="148">
        <f>(AJ62-VSLFO.MGO4[[#This Row],[HIDRAULICO]])+VSLFO.MGO4[[#This Row],[FAENA EN LTS3]]</f>
        <v>100</v>
      </c>
    </row>
    <row r="64" spans="1:36" x14ac:dyDescent="0.25">
      <c r="A64" s="192"/>
      <c r="B64" s="219">
        <v>43846</v>
      </c>
      <c r="C64" s="7">
        <v>0.54166666666666663</v>
      </c>
      <c r="D64" s="4">
        <f>IF(VSLFO.MGO4[[#This Row],[FECHA]]-B63=1,((VSLFO.MGO4[[#This Row],[HORA]]-C63)*24)+24,(VSLFO.MGO4[[#This Row],[HORA]]-C63)*24)</f>
        <v>5</v>
      </c>
      <c r="E64" s="10" t="s">
        <v>1338</v>
      </c>
      <c r="F64" s="154" t="s">
        <v>1412</v>
      </c>
      <c r="G64" s="212">
        <v>266</v>
      </c>
      <c r="H64" s="201">
        <v>11.3</v>
      </c>
      <c r="I64" s="201" t="s">
        <v>1296</v>
      </c>
      <c r="J64" s="207">
        <v>95</v>
      </c>
      <c r="K64" s="153">
        <v>4.583333333333333</v>
      </c>
      <c r="L64" s="3">
        <v>0.52083333333333337</v>
      </c>
      <c r="M64" s="3">
        <v>0</v>
      </c>
      <c r="N64" s="3">
        <f t="shared" si="1"/>
        <v>5.1041666666666661</v>
      </c>
      <c r="O64" s="1"/>
      <c r="P64" s="152">
        <f t="shared" si="3"/>
        <v>221.81208333333328</v>
      </c>
      <c r="Q64" s="150">
        <v>0</v>
      </c>
      <c r="R64" s="199">
        <v>0</v>
      </c>
      <c r="S64" s="199">
        <v>0</v>
      </c>
      <c r="T64" s="199">
        <v>0</v>
      </c>
      <c r="U64" s="199">
        <v>0</v>
      </c>
      <c r="V64" s="155">
        <f t="shared" si="4"/>
        <v>0</v>
      </c>
      <c r="W64" s="199"/>
      <c r="X64" s="151">
        <f>(X63-VSLFO.MGO4[[#This Row],[TOTAL]])+VSLFO.MGO4[[#This Row],[FAENA2]]</f>
        <v>73.750000000000014</v>
      </c>
      <c r="Y64" s="150"/>
      <c r="Z64" s="199"/>
      <c r="AA64" s="149">
        <f t="shared" si="5"/>
        <v>100</v>
      </c>
      <c r="AB64" s="199"/>
      <c r="AC64" s="199"/>
      <c r="AD64" s="149">
        <f>($AD$4-VSLFO.MGO4[[#This Row],[CARTER MP.]])+VSLFO.MGO4[[#This Row],[FAENA EN LTS2]]</f>
        <v>100</v>
      </c>
      <c r="AE64" s="199"/>
      <c r="AF64" s="199"/>
      <c r="AG64" s="149">
        <f t="shared" si="6"/>
        <v>100</v>
      </c>
      <c r="AH64" s="199"/>
      <c r="AI64" s="199"/>
      <c r="AJ64" s="148">
        <f>(AJ63-VSLFO.MGO4[[#This Row],[HIDRAULICO]])+VSLFO.MGO4[[#This Row],[FAENA EN LTS3]]</f>
        <v>100</v>
      </c>
    </row>
    <row r="65" spans="1:36" x14ac:dyDescent="0.25">
      <c r="A65" s="192"/>
      <c r="B65" s="219">
        <v>43846</v>
      </c>
      <c r="C65" s="7">
        <v>0.5625</v>
      </c>
      <c r="D65" s="4">
        <f>IF(VSLFO.MGO4[[#This Row],[FECHA]]-B64=1,((VSLFO.MGO4[[#This Row],[HORA]]-C64)*24)+24,(VSLFO.MGO4[[#This Row],[HORA]]-C64)*24)</f>
        <v>0.50000000000000089</v>
      </c>
      <c r="E65" s="10" t="s">
        <v>1057</v>
      </c>
      <c r="F65" s="154" t="s">
        <v>1167</v>
      </c>
      <c r="G65" s="212"/>
      <c r="H65" s="201"/>
      <c r="I65" s="201"/>
      <c r="J65" s="207"/>
      <c r="K65" s="153">
        <v>4.1666666666666741E-2</v>
      </c>
      <c r="L65" s="3">
        <v>5.2083333333333426E-2</v>
      </c>
      <c r="M65" s="3">
        <v>4.1666666666666741E-2</v>
      </c>
      <c r="N65" s="3">
        <f t="shared" si="1"/>
        <v>0.13541666666666691</v>
      </c>
      <c r="O65" s="1"/>
      <c r="P65" s="152">
        <f t="shared" si="3"/>
        <v>221.67666666666662</v>
      </c>
      <c r="Q65" s="150">
        <v>0</v>
      </c>
      <c r="R65" s="199">
        <v>0</v>
      </c>
      <c r="S65" s="199">
        <v>0</v>
      </c>
      <c r="T65" s="199">
        <v>0</v>
      </c>
      <c r="U65" s="199">
        <v>0</v>
      </c>
      <c r="V65" s="155">
        <f t="shared" si="4"/>
        <v>0</v>
      </c>
      <c r="W65" s="199"/>
      <c r="X65" s="151">
        <f>(X64-VSLFO.MGO4[[#This Row],[TOTAL]])+VSLFO.MGO4[[#This Row],[FAENA2]]</f>
        <v>73.750000000000014</v>
      </c>
      <c r="Y65" s="150"/>
      <c r="Z65" s="199"/>
      <c r="AA65" s="149">
        <f t="shared" si="5"/>
        <v>100</v>
      </c>
      <c r="AB65" s="199"/>
      <c r="AC65" s="199"/>
      <c r="AD65" s="149">
        <f>($AD$4-VSLFO.MGO4[[#This Row],[CARTER MP.]])+VSLFO.MGO4[[#This Row],[FAENA EN LTS2]]</f>
        <v>100</v>
      </c>
      <c r="AE65" s="199"/>
      <c r="AF65" s="199"/>
      <c r="AG65" s="149">
        <f t="shared" si="6"/>
        <v>100</v>
      </c>
      <c r="AH65" s="199"/>
      <c r="AI65" s="199"/>
      <c r="AJ65" s="148">
        <f>(AJ64-VSLFO.MGO4[[#This Row],[HIDRAULICO]])+VSLFO.MGO4[[#This Row],[FAENA EN LTS3]]</f>
        <v>100</v>
      </c>
    </row>
    <row r="66" spans="1:36" x14ac:dyDescent="0.25">
      <c r="A66" s="192"/>
      <c r="B66" s="219">
        <v>43847</v>
      </c>
      <c r="C66" s="7">
        <v>0.33333333333333331</v>
      </c>
      <c r="D66" s="4">
        <f>IF(VSLFO.MGO4[[#This Row],[FECHA]]-B65=1,((VSLFO.MGO4[[#This Row],[HORA]]-C65)*24)+24,(VSLFO.MGO4[[#This Row],[HORA]]-C65)*24)</f>
        <v>18.5</v>
      </c>
      <c r="E66" s="10" t="s">
        <v>351</v>
      </c>
      <c r="F66" s="154" t="s">
        <v>1387</v>
      </c>
      <c r="G66" s="212"/>
      <c r="H66" s="201"/>
      <c r="I66" s="201"/>
      <c r="J66" s="207"/>
      <c r="K66" s="153">
        <v>0</v>
      </c>
      <c r="L66" s="3">
        <v>1.9270833333333335</v>
      </c>
      <c r="M66" s="3">
        <v>1.5416666666666665</v>
      </c>
      <c r="N66" s="3">
        <f t="shared" si="1"/>
        <v>3.46875</v>
      </c>
      <c r="O66" s="1"/>
      <c r="P66" s="152">
        <f t="shared" si="3"/>
        <v>218.20791666666662</v>
      </c>
      <c r="Q66" s="150">
        <v>0</v>
      </c>
      <c r="R66" s="199">
        <v>0</v>
      </c>
      <c r="S66" s="199">
        <v>0</v>
      </c>
      <c r="T66" s="199">
        <v>0</v>
      </c>
      <c r="U66" s="199">
        <v>0</v>
      </c>
      <c r="V66" s="155">
        <f t="shared" si="4"/>
        <v>0</v>
      </c>
      <c r="W66" s="199"/>
      <c r="X66" s="151">
        <f>(X65-VSLFO.MGO4[[#This Row],[TOTAL]])+VSLFO.MGO4[[#This Row],[FAENA2]]</f>
        <v>73.750000000000014</v>
      </c>
      <c r="Y66" s="150"/>
      <c r="Z66" s="199"/>
      <c r="AA66" s="149">
        <f t="shared" si="5"/>
        <v>100</v>
      </c>
      <c r="AB66" s="199"/>
      <c r="AC66" s="199"/>
      <c r="AD66" s="149">
        <f>($AD$4-VSLFO.MGO4[[#This Row],[CARTER MP.]])+VSLFO.MGO4[[#This Row],[FAENA EN LTS2]]</f>
        <v>100</v>
      </c>
      <c r="AE66" s="199"/>
      <c r="AF66" s="199"/>
      <c r="AG66" s="149">
        <f t="shared" si="6"/>
        <v>100</v>
      </c>
      <c r="AH66" s="199"/>
      <c r="AI66" s="199"/>
      <c r="AJ66" s="148">
        <f>(AJ65-VSLFO.MGO4[[#This Row],[HIDRAULICO]])+VSLFO.MGO4[[#This Row],[FAENA EN LTS3]]</f>
        <v>100</v>
      </c>
    </row>
    <row r="67" spans="1:36" x14ac:dyDescent="0.25">
      <c r="A67" s="192"/>
      <c r="B67" s="219">
        <v>43848</v>
      </c>
      <c r="C67" s="7">
        <v>0.28333333333333333</v>
      </c>
      <c r="D67" s="4">
        <f>IF(VSLFO.MGO4[[#This Row],[FECHA]]-B66=1,((VSLFO.MGO4[[#This Row],[HORA]]-C66)*24)+24,(VSLFO.MGO4[[#This Row],[HORA]]-C66)*24)</f>
        <v>22.8</v>
      </c>
      <c r="E67" s="10" t="s">
        <v>351</v>
      </c>
      <c r="F67" s="154" t="s">
        <v>1396</v>
      </c>
      <c r="G67" s="212"/>
      <c r="H67" s="201"/>
      <c r="I67" s="201"/>
      <c r="J67" s="207"/>
      <c r="K67" s="153">
        <v>0</v>
      </c>
      <c r="L67" s="3">
        <v>2.375</v>
      </c>
      <c r="M67" s="3">
        <v>1.9</v>
      </c>
      <c r="N67" s="3">
        <f t="shared" si="1"/>
        <v>4.2750000000000004</v>
      </c>
      <c r="O67" s="1"/>
      <c r="P67" s="152">
        <f t="shared" si="3"/>
        <v>213.93291666666661</v>
      </c>
      <c r="Q67" s="150">
        <v>0</v>
      </c>
      <c r="R67" s="199">
        <v>0</v>
      </c>
      <c r="S67" s="199">
        <v>0</v>
      </c>
      <c r="T67" s="199">
        <v>0</v>
      </c>
      <c r="U67" s="199">
        <v>0</v>
      </c>
      <c r="V67" s="155">
        <f t="shared" si="4"/>
        <v>0</v>
      </c>
      <c r="W67" s="199"/>
      <c r="X67" s="151">
        <f>(X66-VSLFO.MGO4[[#This Row],[TOTAL]])+VSLFO.MGO4[[#This Row],[FAENA2]]</f>
        <v>73.750000000000014</v>
      </c>
      <c r="Y67" s="150"/>
      <c r="Z67" s="199"/>
      <c r="AA67" s="149">
        <f t="shared" si="5"/>
        <v>100</v>
      </c>
      <c r="AB67" s="199"/>
      <c r="AC67" s="199"/>
      <c r="AD67" s="149">
        <f>($AD$4-VSLFO.MGO4[[#This Row],[CARTER MP.]])+VSLFO.MGO4[[#This Row],[FAENA EN LTS2]]</f>
        <v>100</v>
      </c>
      <c r="AE67" s="199"/>
      <c r="AF67" s="199"/>
      <c r="AG67" s="149">
        <f t="shared" si="6"/>
        <v>100</v>
      </c>
      <c r="AH67" s="199"/>
      <c r="AI67" s="199"/>
      <c r="AJ67" s="148">
        <f>(AJ66-VSLFO.MGO4[[#This Row],[HIDRAULICO]])+VSLFO.MGO4[[#This Row],[FAENA EN LTS3]]</f>
        <v>100</v>
      </c>
    </row>
    <row r="68" spans="1:36" x14ac:dyDescent="0.25">
      <c r="A68" s="192"/>
      <c r="B68" s="219">
        <v>43848</v>
      </c>
      <c r="C68" s="7">
        <v>0.33333333333333331</v>
      </c>
      <c r="D68" s="4">
        <f>IF(VSLFO.MGO4[[#This Row],[FECHA]]-B67=1,((VSLFO.MGO4[[#This Row],[HORA]]-C67)*24)+24,(VSLFO.MGO4[[#This Row],[HORA]]-C67)*24)</f>
        <v>1.1999999999999997</v>
      </c>
      <c r="E68" s="10" t="s">
        <v>1057</v>
      </c>
      <c r="F68" s="154" t="s">
        <v>1387</v>
      </c>
      <c r="G68" s="212"/>
      <c r="H68" s="201"/>
      <c r="I68" s="201"/>
      <c r="J68" s="207"/>
      <c r="K68" s="153">
        <v>9.9999999999999978E-2</v>
      </c>
      <c r="L68" s="3">
        <v>0.12499999999999997</v>
      </c>
      <c r="M68" s="3">
        <v>9.9999999999999978E-2</v>
      </c>
      <c r="N68" s="3">
        <f t="shared" si="1"/>
        <v>0.32499999999999996</v>
      </c>
      <c r="O68" s="1"/>
      <c r="P68" s="152">
        <f t="shared" si="3"/>
        <v>213.60791666666663</v>
      </c>
      <c r="Q68" s="150">
        <v>0</v>
      </c>
      <c r="R68" s="199">
        <v>0</v>
      </c>
      <c r="S68" s="199">
        <v>0</v>
      </c>
      <c r="T68" s="199">
        <v>0</v>
      </c>
      <c r="U68" s="199">
        <v>0</v>
      </c>
      <c r="V68" s="155">
        <f t="shared" si="4"/>
        <v>0</v>
      </c>
      <c r="W68" s="199"/>
      <c r="X68" s="151">
        <f>(X67-VSLFO.MGO4[[#This Row],[TOTAL]])+VSLFO.MGO4[[#This Row],[FAENA2]]</f>
        <v>73.750000000000014</v>
      </c>
      <c r="Y68" s="150"/>
      <c r="Z68" s="199"/>
      <c r="AA68" s="149">
        <f t="shared" si="5"/>
        <v>100</v>
      </c>
      <c r="AB68" s="199"/>
      <c r="AC68" s="199"/>
      <c r="AD68" s="149">
        <f>($AD$4-VSLFO.MGO4[[#This Row],[CARTER MP.]])+VSLFO.MGO4[[#This Row],[FAENA EN LTS2]]</f>
        <v>100</v>
      </c>
      <c r="AE68" s="199"/>
      <c r="AF68" s="199"/>
      <c r="AG68" s="149">
        <f t="shared" si="6"/>
        <v>100</v>
      </c>
      <c r="AH68" s="199"/>
      <c r="AI68" s="199"/>
      <c r="AJ68" s="148">
        <f>(AJ67-VSLFO.MGO4[[#This Row],[HIDRAULICO]])+VSLFO.MGO4[[#This Row],[FAENA EN LTS3]]</f>
        <v>100</v>
      </c>
    </row>
    <row r="69" spans="1:36" x14ac:dyDescent="0.25">
      <c r="A69" s="192"/>
      <c r="B69" s="219">
        <v>43848</v>
      </c>
      <c r="C69" s="7">
        <v>0.35416666666666669</v>
      </c>
      <c r="D69" s="4">
        <f>IF(VSLFO.MGO4[[#This Row],[FECHA]]-B68=1,((VSLFO.MGO4[[#This Row],[HORA]]-C68)*24)+24,(VSLFO.MGO4[[#This Row],[HORA]]-C68)*24)</f>
        <v>0.50000000000000089</v>
      </c>
      <c r="E69" s="10" t="s">
        <v>1057</v>
      </c>
      <c r="F69" s="154" t="s">
        <v>1167</v>
      </c>
      <c r="G69" s="212"/>
      <c r="H69" s="201"/>
      <c r="I69" s="201"/>
      <c r="J69" s="207"/>
      <c r="K69" s="153">
        <v>4.1666666666666741E-2</v>
      </c>
      <c r="L69" s="3">
        <v>5.2083333333333426E-2</v>
      </c>
      <c r="M69" s="3">
        <v>4.1666666666666741E-2</v>
      </c>
      <c r="N69" s="3">
        <f t="shared" si="1"/>
        <v>0.13541666666666691</v>
      </c>
      <c r="O69" s="1"/>
      <c r="P69" s="152">
        <f t="shared" si="3"/>
        <v>213.47249999999997</v>
      </c>
      <c r="Q69" s="150">
        <v>0</v>
      </c>
      <c r="R69" s="199">
        <v>0</v>
      </c>
      <c r="S69" s="199">
        <v>0</v>
      </c>
      <c r="T69" s="199">
        <v>0</v>
      </c>
      <c r="U69" s="199">
        <v>0</v>
      </c>
      <c r="V69" s="155">
        <f t="shared" si="4"/>
        <v>0</v>
      </c>
      <c r="W69" s="199"/>
      <c r="X69" s="151">
        <f>(X68-VSLFO.MGO4[[#This Row],[TOTAL]])+VSLFO.MGO4[[#This Row],[FAENA2]]</f>
        <v>73.750000000000014</v>
      </c>
      <c r="Y69" s="150"/>
      <c r="Z69" s="199"/>
      <c r="AA69" s="149">
        <f t="shared" si="5"/>
        <v>100</v>
      </c>
      <c r="AB69" s="199"/>
      <c r="AC69" s="199"/>
      <c r="AD69" s="149">
        <f>($AD$4-VSLFO.MGO4[[#This Row],[CARTER MP.]])+VSLFO.MGO4[[#This Row],[FAENA EN LTS2]]</f>
        <v>100</v>
      </c>
      <c r="AE69" s="199"/>
      <c r="AF69" s="199"/>
      <c r="AG69" s="149">
        <f t="shared" si="6"/>
        <v>100</v>
      </c>
      <c r="AH69" s="199"/>
      <c r="AI69" s="199"/>
      <c r="AJ69" s="148">
        <f>(AJ68-VSLFO.MGO4[[#This Row],[HIDRAULICO]])+VSLFO.MGO4[[#This Row],[FAENA EN LTS3]]</f>
        <v>100</v>
      </c>
    </row>
    <row r="70" spans="1:36" x14ac:dyDescent="0.25">
      <c r="A70" s="192"/>
      <c r="B70" s="219">
        <v>43848</v>
      </c>
      <c r="C70" s="7">
        <v>0.47916666666666669</v>
      </c>
      <c r="D70" s="4">
        <f>IF(VSLFO.MGO4[[#This Row],[FECHA]]-B69=1,((VSLFO.MGO4[[#This Row],[HORA]]-C69)*24)+24,(VSLFO.MGO4[[#This Row],[HORA]]-C69)*24)</f>
        <v>3</v>
      </c>
      <c r="E70" s="10" t="s">
        <v>1425</v>
      </c>
      <c r="F70" s="154" t="s">
        <v>1448</v>
      </c>
      <c r="G70" s="212"/>
      <c r="H70" s="201"/>
      <c r="I70" s="201"/>
      <c r="J70" s="207"/>
      <c r="K70" s="153">
        <v>0</v>
      </c>
      <c r="L70" s="3">
        <v>0.3125</v>
      </c>
      <c r="M70" s="3">
        <v>0.25</v>
      </c>
      <c r="N70" s="3">
        <f t="shared" si="1"/>
        <v>0.5625</v>
      </c>
      <c r="O70" s="1"/>
      <c r="P70" s="152">
        <f t="shared" si="3"/>
        <v>212.90999999999997</v>
      </c>
      <c r="Q70" s="150">
        <v>0</v>
      </c>
      <c r="R70" s="199">
        <v>0</v>
      </c>
      <c r="S70" s="199">
        <v>0</v>
      </c>
      <c r="T70" s="199">
        <v>0</v>
      </c>
      <c r="U70" s="199">
        <v>0</v>
      </c>
      <c r="V70" s="155">
        <f t="shared" si="4"/>
        <v>0</v>
      </c>
      <c r="W70" s="199"/>
      <c r="X70" s="151">
        <f>(X69-VSLFO.MGO4[[#This Row],[TOTAL]])+VSLFO.MGO4[[#This Row],[FAENA2]]</f>
        <v>73.750000000000014</v>
      </c>
      <c r="Y70" s="150"/>
      <c r="Z70" s="199"/>
      <c r="AA70" s="149">
        <f t="shared" si="5"/>
        <v>100</v>
      </c>
      <c r="AB70" s="199"/>
      <c r="AC70" s="199"/>
      <c r="AD70" s="149">
        <f>($AD$4-VSLFO.MGO4[[#This Row],[CARTER MP.]])+VSLFO.MGO4[[#This Row],[FAENA EN LTS2]]</f>
        <v>100</v>
      </c>
      <c r="AE70" s="199"/>
      <c r="AF70" s="199"/>
      <c r="AG70" s="149">
        <f t="shared" si="6"/>
        <v>100</v>
      </c>
      <c r="AH70" s="199"/>
      <c r="AI70" s="199"/>
      <c r="AJ70" s="148">
        <f>(AJ69-VSLFO.MGO4[[#This Row],[HIDRAULICO]])+VSLFO.MGO4[[#This Row],[FAENA EN LTS3]]</f>
        <v>100</v>
      </c>
    </row>
    <row r="71" spans="1:36" x14ac:dyDescent="0.25">
      <c r="A71" s="192"/>
      <c r="B71" s="219">
        <v>43849</v>
      </c>
      <c r="C71" s="7">
        <v>0.33333333333333331</v>
      </c>
      <c r="D71" s="4">
        <f>IF(VSLFO.MGO4[[#This Row],[FECHA]]-B70=1,((VSLFO.MGO4[[#This Row],[HORA]]-C70)*24)+24,(VSLFO.MGO4[[#This Row],[HORA]]-C70)*24)</f>
        <v>20.5</v>
      </c>
      <c r="E71" s="10" t="s">
        <v>966</v>
      </c>
      <c r="F71" s="154" t="s">
        <v>1387</v>
      </c>
      <c r="G71" s="212"/>
      <c r="H71" s="201"/>
      <c r="I71" s="201"/>
      <c r="J71" s="207"/>
      <c r="K71" s="153">
        <v>0</v>
      </c>
      <c r="L71" s="3">
        <v>2.135416666666667</v>
      </c>
      <c r="M71" s="3">
        <v>1.7083333333333333</v>
      </c>
      <c r="N71" s="3">
        <f t="shared" ref="N71:N116" si="7">K71+L71+M71</f>
        <v>3.84375</v>
      </c>
      <c r="O71" s="1"/>
      <c r="P71" s="152">
        <f t="shared" si="3"/>
        <v>209.06624999999997</v>
      </c>
      <c r="Q71" s="150">
        <v>0</v>
      </c>
      <c r="R71" s="199">
        <v>0</v>
      </c>
      <c r="S71" s="199">
        <v>0</v>
      </c>
      <c r="T71" s="199">
        <v>0</v>
      </c>
      <c r="U71" s="199">
        <v>3.35</v>
      </c>
      <c r="V71" s="155">
        <f t="shared" si="4"/>
        <v>3.35</v>
      </c>
      <c r="W71" s="199"/>
      <c r="X71" s="151">
        <f>(X70-VSLFO.MGO4[[#This Row],[TOTAL]])+VSLFO.MGO4[[#This Row],[FAENA2]]</f>
        <v>70.40000000000002</v>
      </c>
      <c r="Y71" s="150"/>
      <c r="Z71" s="199"/>
      <c r="AA71" s="149">
        <f t="shared" si="5"/>
        <v>100</v>
      </c>
      <c r="AB71" s="199"/>
      <c r="AC71" s="199"/>
      <c r="AD71" s="149">
        <f>($AD$4-VSLFO.MGO4[[#This Row],[CARTER MP.]])+VSLFO.MGO4[[#This Row],[FAENA EN LTS2]]</f>
        <v>100</v>
      </c>
      <c r="AE71" s="199"/>
      <c r="AF71" s="199"/>
      <c r="AG71" s="149">
        <f t="shared" si="6"/>
        <v>100</v>
      </c>
      <c r="AH71" s="199"/>
      <c r="AI71" s="199"/>
      <c r="AJ71" s="148">
        <f>(AJ70-VSLFO.MGO4[[#This Row],[HIDRAULICO]])+VSLFO.MGO4[[#This Row],[FAENA EN LTS3]]</f>
        <v>100</v>
      </c>
    </row>
    <row r="72" spans="1:36" x14ac:dyDescent="0.25">
      <c r="A72" s="192"/>
      <c r="B72" s="219">
        <v>43849</v>
      </c>
      <c r="C72" s="7">
        <v>0.48749999999999999</v>
      </c>
      <c r="D72" s="4">
        <f>IF(VSLFO.MGO4[[#This Row],[FECHA]]-B71=1,((VSLFO.MGO4[[#This Row],[HORA]]-C71)*24)+24,(VSLFO.MGO4[[#This Row],[HORA]]-C71)*24)</f>
        <v>3.7</v>
      </c>
      <c r="E72" s="10" t="s">
        <v>966</v>
      </c>
      <c r="F72" s="154" t="s">
        <v>1398</v>
      </c>
      <c r="G72" s="212"/>
      <c r="H72" s="201"/>
      <c r="I72" s="201"/>
      <c r="J72" s="207"/>
      <c r="K72" s="153">
        <v>0</v>
      </c>
      <c r="L72" s="3">
        <v>0.38541666666666669</v>
      </c>
      <c r="M72" s="3">
        <v>0.30833333333333335</v>
      </c>
      <c r="N72" s="3">
        <f t="shared" si="7"/>
        <v>0.69375000000000009</v>
      </c>
      <c r="O72" s="1"/>
      <c r="P72" s="152">
        <f t="shared" si="3"/>
        <v>208.37249999999997</v>
      </c>
      <c r="Q72" s="150">
        <v>0</v>
      </c>
      <c r="R72" s="199">
        <v>0</v>
      </c>
      <c r="S72" s="199">
        <v>0</v>
      </c>
      <c r="T72" s="199">
        <v>0</v>
      </c>
      <c r="U72" s="199">
        <v>0.6</v>
      </c>
      <c r="V72" s="155">
        <f t="shared" si="4"/>
        <v>0.6</v>
      </c>
      <c r="W72" s="199"/>
      <c r="X72" s="151">
        <f>(X71-VSLFO.MGO4[[#This Row],[TOTAL]])+VSLFO.MGO4[[#This Row],[FAENA2]]</f>
        <v>69.800000000000026</v>
      </c>
      <c r="Y72" s="150"/>
      <c r="Z72" s="199"/>
      <c r="AA72" s="149">
        <f t="shared" si="5"/>
        <v>100</v>
      </c>
      <c r="AB72" s="199"/>
      <c r="AC72" s="199"/>
      <c r="AD72" s="149">
        <f>($AD$4-VSLFO.MGO4[[#This Row],[CARTER MP.]])+VSLFO.MGO4[[#This Row],[FAENA EN LTS2]]</f>
        <v>100</v>
      </c>
      <c r="AE72" s="199"/>
      <c r="AF72" s="199"/>
      <c r="AG72" s="149">
        <f t="shared" si="6"/>
        <v>100</v>
      </c>
      <c r="AH72" s="199"/>
      <c r="AI72" s="199"/>
      <c r="AJ72" s="148">
        <f>(AJ71-VSLFO.MGO4[[#This Row],[HIDRAULICO]])+VSLFO.MGO4[[#This Row],[FAENA EN LTS3]]</f>
        <v>100</v>
      </c>
    </row>
    <row r="73" spans="1:36" x14ac:dyDescent="0.25">
      <c r="A73" s="192"/>
      <c r="B73" s="219">
        <v>43849</v>
      </c>
      <c r="C73" s="7">
        <v>0.625</v>
      </c>
      <c r="D73" s="4">
        <f>IF(VSLFO.MGO4[[#This Row],[FECHA]]-B72=1,((VSLFO.MGO4[[#This Row],[HORA]]-C72)*24)+24,(VSLFO.MGO4[[#This Row],[HORA]]-C72)*24)</f>
        <v>3.3000000000000003</v>
      </c>
      <c r="E73" s="10" t="s">
        <v>1425</v>
      </c>
      <c r="F73" s="154" t="s">
        <v>1396</v>
      </c>
      <c r="G73" s="212"/>
      <c r="H73" s="201"/>
      <c r="I73" s="201"/>
      <c r="J73" s="207"/>
      <c r="K73" s="153">
        <v>0</v>
      </c>
      <c r="L73" s="3">
        <v>0.34375000000000006</v>
      </c>
      <c r="M73" s="3">
        <v>0.27500000000000002</v>
      </c>
      <c r="N73" s="3">
        <f t="shared" si="7"/>
        <v>0.61875000000000013</v>
      </c>
      <c r="O73" s="1"/>
      <c r="P73" s="152">
        <f t="shared" si="3"/>
        <v>207.75374999999997</v>
      </c>
      <c r="Q73" s="150">
        <v>0</v>
      </c>
      <c r="R73" s="199">
        <v>0</v>
      </c>
      <c r="S73" s="199">
        <v>0</v>
      </c>
      <c r="T73" s="199">
        <v>0</v>
      </c>
      <c r="U73" s="199">
        <v>0</v>
      </c>
      <c r="V73" s="155">
        <f t="shared" si="4"/>
        <v>0</v>
      </c>
      <c r="W73" s="199"/>
      <c r="X73" s="151">
        <f>(X72-VSLFO.MGO4[[#This Row],[TOTAL]])+VSLFO.MGO4[[#This Row],[FAENA2]]</f>
        <v>69.800000000000026</v>
      </c>
      <c r="Y73" s="150"/>
      <c r="Z73" s="199"/>
      <c r="AA73" s="149">
        <f t="shared" si="5"/>
        <v>100</v>
      </c>
      <c r="AB73" s="199"/>
      <c r="AC73" s="199"/>
      <c r="AD73" s="149">
        <f>($AD$4-VSLFO.MGO4[[#This Row],[CARTER MP.]])+VSLFO.MGO4[[#This Row],[FAENA EN LTS2]]</f>
        <v>100</v>
      </c>
      <c r="AE73" s="199"/>
      <c r="AF73" s="199"/>
      <c r="AG73" s="149">
        <f t="shared" si="6"/>
        <v>100</v>
      </c>
      <c r="AH73" s="199"/>
      <c r="AI73" s="199"/>
      <c r="AJ73" s="148">
        <f>(AJ72-VSLFO.MGO4[[#This Row],[HIDRAULICO]])+VSLFO.MGO4[[#This Row],[FAENA EN LTS3]]</f>
        <v>100</v>
      </c>
    </row>
    <row r="74" spans="1:36" x14ac:dyDescent="0.25">
      <c r="A74" s="192"/>
      <c r="B74" s="219">
        <v>43849</v>
      </c>
      <c r="C74" s="7">
        <v>0.64583333333333337</v>
      </c>
      <c r="D74" s="4">
        <f>IF(VSLFO.MGO4[[#This Row],[FECHA]]-B73=1,((VSLFO.MGO4[[#This Row],[HORA]]-C73)*24)+24,(VSLFO.MGO4[[#This Row],[HORA]]-C73)*24)</f>
        <v>0.50000000000000089</v>
      </c>
      <c r="E74" s="10" t="s">
        <v>1057</v>
      </c>
      <c r="F74" s="154" t="s">
        <v>1413</v>
      </c>
      <c r="G74" s="212"/>
      <c r="H74" s="201"/>
      <c r="I74" s="201" t="s">
        <v>1297</v>
      </c>
      <c r="J74" s="207">
        <v>95</v>
      </c>
      <c r="K74" s="153">
        <v>0.10416666666666685</v>
      </c>
      <c r="L74" s="3">
        <v>5.2083333333333426E-2</v>
      </c>
      <c r="M74" s="3">
        <v>4.1666666666666741E-2</v>
      </c>
      <c r="N74" s="3">
        <f t="shared" si="7"/>
        <v>0.19791666666666702</v>
      </c>
      <c r="O74" s="1"/>
      <c r="P74" s="152">
        <f t="shared" ref="P74:P113" si="8">(P73 -N74)+O74</f>
        <v>207.55583333333331</v>
      </c>
      <c r="Q74" s="150">
        <v>0</v>
      </c>
      <c r="R74" s="199">
        <v>0</v>
      </c>
      <c r="S74" s="199">
        <v>0</v>
      </c>
      <c r="T74" s="199">
        <v>0</v>
      </c>
      <c r="U74" s="199">
        <v>0</v>
      </c>
      <c r="V74" s="155">
        <f t="shared" si="4"/>
        <v>0</v>
      </c>
      <c r="W74" s="199"/>
      <c r="X74" s="151">
        <f>(X73-VSLFO.MGO4[[#This Row],[TOTAL]])+VSLFO.MGO4[[#This Row],[FAENA2]]</f>
        <v>69.800000000000026</v>
      </c>
      <c r="Y74" s="150"/>
      <c r="Z74" s="199"/>
      <c r="AA74" s="149">
        <f t="shared" si="5"/>
        <v>100</v>
      </c>
      <c r="AB74" s="199"/>
      <c r="AC74" s="199"/>
      <c r="AD74" s="149">
        <f>($AD$4-VSLFO.MGO4[[#This Row],[CARTER MP.]])+VSLFO.MGO4[[#This Row],[FAENA EN LTS2]]</f>
        <v>100</v>
      </c>
      <c r="AE74" s="199"/>
      <c r="AF74" s="199"/>
      <c r="AG74" s="149">
        <f t="shared" si="6"/>
        <v>100</v>
      </c>
      <c r="AH74" s="199"/>
      <c r="AI74" s="199"/>
      <c r="AJ74" s="148">
        <f>(AJ73-VSLFO.MGO4[[#This Row],[HIDRAULICO]])+VSLFO.MGO4[[#This Row],[FAENA EN LTS3]]</f>
        <v>100</v>
      </c>
    </row>
    <row r="75" spans="1:36" x14ac:dyDescent="0.25">
      <c r="A75" s="192"/>
      <c r="B75" s="219">
        <v>43850</v>
      </c>
      <c r="C75" s="7">
        <v>1.2499999999999999E-2</v>
      </c>
      <c r="D75" s="4">
        <f>IF(VSLFO.MGO4[[#This Row],[FECHA]]-B74=1,((VSLFO.MGO4[[#This Row],[HORA]]-C74)*24)+24,(VSLFO.MGO4[[#This Row],[HORA]]-C74)*24)</f>
        <v>8.7999999999999972</v>
      </c>
      <c r="E75" s="10" t="s">
        <v>1338</v>
      </c>
      <c r="F75" s="154" t="s">
        <v>1003</v>
      </c>
      <c r="G75" s="212">
        <v>96</v>
      </c>
      <c r="H75" s="201">
        <v>10.4</v>
      </c>
      <c r="I75" s="201" t="s">
        <v>1296</v>
      </c>
      <c r="J75" s="207">
        <v>95</v>
      </c>
      <c r="K75" s="153">
        <v>8.0666666666666629</v>
      </c>
      <c r="L75" s="3">
        <v>0.91666666666666641</v>
      </c>
      <c r="M75" s="3">
        <v>0</v>
      </c>
      <c r="N75" s="3">
        <f t="shared" si="7"/>
        <v>8.983333333333329</v>
      </c>
      <c r="O75" s="1"/>
      <c r="P75" s="152">
        <f t="shared" si="8"/>
        <v>198.57249999999999</v>
      </c>
      <c r="Q75" s="150">
        <v>0</v>
      </c>
      <c r="R75" s="199">
        <v>0</v>
      </c>
      <c r="S75" s="199">
        <v>0</v>
      </c>
      <c r="T75" s="199">
        <v>0</v>
      </c>
      <c r="U75" s="199">
        <v>0</v>
      </c>
      <c r="V75" s="155">
        <f t="shared" si="4"/>
        <v>0</v>
      </c>
      <c r="W75" s="199"/>
      <c r="X75" s="151">
        <f>(X74-VSLFO.MGO4[[#This Row],[TOTAL]])+VSLFO.MGO4[[#This Row],[FAENA2]]</f>
        <v>69.800000000000026</v>
      </c>
      <c r="Y75" s="150"/>
      <c r="Z75" s="199"/>
      <c r="AA75" s="149">
        <f t="shared" si="5"/>
        <v>100</v>
      </c>
      <c r="AB75" s="199"/>
      <c r="AC75" s="199"/>
      <c r="AD75" s="149">
        <f>($AD$4-VSLFO.MGO4[[#This Row],[CARTER MP.]])+VSLFO.MGO4[[#This Row],[FAENA EN LTS2]]</f>
        <v>100</v>
      </c>
      <c r="AE75" s="199"/>
      <c r="AF75" s="199"/>
      <c r="AG75" s="149">
        <f t="shared" si="6"/>
        <v>100</v>
      </c>
      <c r="AH75" s="199"/>
      <c r="AI75" s="199"/>
      <c r="AJ75" s="148">
        <f>(AJ74-VSLFO.MGO4[[#This Row],[HIDRAULICO]])+VSLFO.MGO4[[#This Row],[FAENA EN LTS3]]</f>
        <v>100</v>
      </c>
    </row>
    <row r="76" spans="1:36" x14ac:dyDescent="0.25">
      <c r="A76" s="192"/>
      <c r="B76" s="219">
        <v>43850</v>
      </c>
      <c r="C76" s="7">
        <v>9.9999999999999992E-2</v>
      </c>
      <c r="D76" s="4">
        <f>IF(VSLFO.MGO4[[#This Row],[FECHA]]-B75=1,((VSLFO.MGO4[[#This Row],[HORA]]-C75)*24)+24,(VSLFO.MGO4[[#This Row],[HORA]]-C75)*24)</f>
        <v>2.0999999999999996</v>
      </c>
      <c r="E76" s="10" t="s">
        <v>1057</v>
      </c>
      <c r="F76" s="154" t="s">
        <v>1400</v>
      </c>
      <c r="G76" s="212"/>
      <c r="H76" s="201"/>
      <c r="I76" s="201"/>
      <c r="J76" s="207"/>
      <c r="K76" s="153">
        <v>0.17499999999999996</v>
      </c>
      <c r="L76" s="3">
        <v>0.21874999999999997</v>
      </c>
      <c r="M76" s="3">
        <v>0.17499999999999996</v>
      </c>
      <c r="N76" s="3">
        <f t="shared" si="7"/>
        <v>0.56874999999999987</v>
      </c>
      <c r="O76" s="1"/>
      <c r="P76" s="152">
        <f t="shared" si="8"/>
        <v>198.00375</v>
      </c>
      <c r="Q76" s="150">
        <v>0</v>
      </c>
      <c r="R76" s="199">
        <v>0</v>
      </c>
      <c r="S76" s="199">
        <v>0</v>
      </c>
      <c r="T76" s="199">
        <v>0</v>
      </c>
      <c r="U76" s="199">
        <v>0</v>
      </c>
      <c r="V76" s="155">
        <f t="shared" si="4"/>
        <v>0</v>
      </c>
      <c r="W76" s="199"/>
      <c r="X76" s="151">
        <f>(X75-VSLFO.MGO4[[#This Row],[TOTAL]])+VSLFO.MGO4[[#This Row],[FAENA2]]</f>
        <v>69.800000000000026</v>
      </c>
      <c r="Y76" s="150"/>
      <c r="Z76" s="199"/>
      <c r="AA76" s="149">
        <f t="shared" si="5"/>
        <v>100</v>
      </c>
      <c r="AB76" s="199"/>
      <c r="AC76" s="199"/>
      <c r="AD76" s="149">
        <f>($AD$4-VSLFO.MGO4[[#This Row],[CARTER MP.]])+VSLFO.MGO4[[#This Row],[FAENA EN LTS2]]</f>
        <v>100</v>
      </c>
      <c r="AE76" s="199"/>
      <c r="AF76" s="199"/>
      <c r="AG76" s="149">
        <f t="shared" si="6"/>
        <v>100</v>
      </c>
      <c r="AH76" s="199"/>
      <c r="AI76" s="199"/>
      <c r="AJ76" s="148">
        <f>(AJ75-VSLFO.MGO4[[#This Row],[HIDRAULICO]])+VSLFO.MGO4[[#This Row],[FAENA EN LTS3]]</f>
        <v>100</v>
      </c>
    </row>
    <row r="77" spans="1:36" x14ac:dyDescent="0.25">
      <c r="A77" s="192"/>
      <c r="B77" s="219">
        <v>43850</v>
      </c>
      <c r="C77" s="7">
        <v>0.3</v>
      </c>
      <c r="D77" s="4">
        <f>IF(VSLFO.MGO4[[#This Row],[FECHA]]-B76=1,((VSLFO.MGO4[[#This Row],[HORA]]-C76)*24)+24,(VSLFO.MGO4[[#This Row],[HORA]]-C76)*24)</f>
        <v>4.8000000000000007</v>
      </c>
      <c r="E77" s="10" t="s">
        <v>1425</v>
      </c>
      <c r="F77" s="154" t="s">
        <v>1401</v>
      </c>
      <c r="G77" s="212"/>
      <c r="H77" s="201"/>
      <c r="I77" s="201"/>
      <c r="J77" s="207"/>
      <c r="K77" s="153">
        <v>0</v>
      </c>
      <c r="L77" s="3">
        <v>0.50000000000000011</v>
      </c>
      <c r="M77" s="3">
        <v>0.4</v>
      </c>
      <c r="N77" s="3">
        <f t="shared" si="7"/>
        <v>0.90000000000000013</v>
      </c>
      <c r="O77" s="1"/>
      <c r="P77" s="152">
        <f t="shared" si="8"/>
        <v>197.10374999999999</v>
      </c>
      <c r="Q77" s="150">
        <v>0</v>
      </c>
      <c r="R77" s="199">
        <v>0</v>
      </c>
      <c r="S77" s="199">
        <v>0</v>
      </c>
      <c r="T77" s="199">
        <v>0</v>
      </c>
      <c r="U77" s="199">
        <v>0</v>
      </c>
      <c r="V77" s="155">
        <f t="shared" si="4"/>
        <v>0</v>
      </c>
      <c r="W77" s="199"/>
      <c r="X77" s="151">
        <f>(X76-VSLFO.MGO4[[#This Row],[TOTAL]])+VSLFO.MGO4[[#This Row],[FAENA2]]</f>
        <v>69.800000000000026</v>
      </c>
      <c r="Y77" s="150"/>
      <c r="Z77" s="199"/>
      <c r="AA77" s="149">
        <f t="shared" si="5"/>
        <v>100</v>
      </c>
      <c r="AB77" s="199"/>
      <c r="AC77" s="199"/>
      <c r="AD77" s="149">
        <f>($AD$4-VSLFO.MGO4[[#This Row],[CARTER MP.]])+VSLFO.MGO4[[#This Row],[FAENA EN LTS2]]</f>
        <v>100</v>
      </c>
      <c r="AE77" s="199"/>
      <c r="AF77" s="199"/>
      <c r="AG77" s="149">
        <f t="shared" si="6"/>
        <v>100</v>
      </c>
      <c r="AH77" s="199"/>
      <c r="AI77" s="199"/>
      <c r="AJ77" s="148">
        <f>(AJ76-VSLFO.MGO4[[#This Row],[HIDRAULICO]])+VSLFO.MGO4[[#This Row],[FAENA EN LTS3]]</f>
        <v>100</v>
      </c>
    </row>
    <row r="78" spans="1:36" x14ac:dyDescent="0.25">
      <c r="A78" s="192"/>
      <c r="B78" s="219">
        <v>43850</v>
      </c>
      <c r="C78" s="7">
        <v>0.33333333333333331</v>
      </c>
      <c r="D78" s="4">
        <f>IF(VSLFO.MGO4[[#This Row],[FECHA]]-B77=1,((VSLFO.MGO4[[#This Row],[HORA]]-C77)*24)+24,(VSLFO.MGO4[[#This Row],[HORA]]-C77)*24)</f>
        <v>0.79999999999999982</v>
      </c>
      <c r="E78" s="10" t="s">
        <v>966</v>
      </c>
      <c r="F78" s="154" t="s">
        <v>1388</v>
      </c>
      <c r="G78" s="212"/>
      <c r="H78" s="201"/>
      <c r="I78" s="201"/>
      <c r="J78" s="207"/>
      <c r="K78" s="153">
        <v>0</v>
      </c>
      <c r="L78" s="3">
        <v>8.3333333333333315E-2</v>
      </c>
      <c r="M78" s="3">
        <v>6.6666666666666652E-2</v>
      </c>
      <c r="N78" s="3">
        <f t="shared" si="7"/>
        <v>0.14999999999999997</v>
      </c>
      <c r="O78" s="1"/>
      <c r="P78" s="152">
        <f t="shared" si="8"/>
        <v>196.95374999999999</v>
      </c>
      <c r="Q78" s="150">
        <v>0</v>
      </c>
      <c r="R78" s="199">
        <v>0</v>
      </c>
      <c r="S78" s="199">
        <v>0</v>
      </c>
      <c r="T78" s="199">
        <v>0</v>
      </c>
      <c r="U78" s="199">
        <v>0.1</v>
      </c>
      <c r="V78" s="155">
        <f t="shared" si="4"/>
        <v>0.1</v>
      </c>
      <c r="W78" s="199"/>
      <c r="X78" s="151">
        <f>(X77-VSLFO.MGO4[[#This Row],[TOTAL]])+VSLFO.MGO4[[#This Row],[FAENA2]]</f>
        <v>69.700000000000031</v>
      </c>
      <c r="Y78" s="150"/>
      <c r="Z78" s="199"/>
      <c r="AA78" s="149">
        <f t="shared" si="5"/>
        <v>100</v>
      </c>
      <c r="AB78" s="199"/>
      <c r="AC78" s="199"/>
      <c r="AD78" s="149">
        <f>($AD$4-VSLFO.MGO4[[#This Row],[CARTER MP.]])+VSLFO.MGO4[[#This Row],[FAENA EN LTS2]]</f>
        <v>100</v>
      </c>
      <c r="AE78" s="199"/>
      <c r="AF78" s="199"/>
      <c r="AG78" s="149">
        <f t="shared" si="6"/>
        <v>100</v>
      </c>
      <c r="AH78" s="199"/>
      <c r="AI78" s="199"/>
      <c r="AJ78" s="148">
        <f>(AJ77-VSLFO.MGO4[[#This Row],[HIDRAULICO]])+VSLFO.MGO4[[#This Row],[FAENA EN LTS3]]</f>
        <v>100</v>
      </c>
    </row>
    <row r="79" spans="1:36" x14ac:dyDescent="0.25">
      <c r="A79" s="192"/>
      <c r="B79" s="219">
        <v>43850</v>
      </c>
      <c r="C79" s="7">
        <v>0.90833333333333333</v>
      </c>
      <c r="D79" s="4">
        <f>IF(VSLFO.MGO4[[#This Row],[FECHA]]-B78=1,((VSLFO.MGO4[[#This Row],[HORA]]-C78)*24)+24,(VSLFO.MGO4[[#This Row],[HORA]]-C78)*24)</f>
        <v>13.799999999999999</v>
      </c>
      <c r="E79" s="10" t="s">
        <v>966</v>
      </c>
      <c r="F79" s="154" t="s">
        <v>1402</v>
      </c>
      <c r="G79" s="212"/>
      <c r="H79" s="201"/>
      <c r="I79" s="201"/>
      <c r="J79" s="207"/>
      <c r="K79" s="153">
        <v>0</v>
      </c>
      <c r="L79" s="3">
        <v>1.4375</v>
      </c>
      <c r="M79" s="3">
        <v>1.1499999999999999</v>
      </c>
      <c r="N79" s="3">
        <f t="shared" si="7"/>
        <v>2.5874999999999999</v>
      </c>
      <c r="O79" s="1"/>
      <c r="P79" s="152">
        <f t="shared" si="8"/>
        <v>194.36624999999998</v>
      </c>
      <c r="Q79" s="150">
        <v>0</v>
      </c>
      <c r="R79" s="199">
        <v>0</v>
      </c>
      <c r="S79" s="199">
        <v>0</v>
      </c>
      <c r="T79" s="199">
        <v>0</v>
      </c>
      <c r="U79" s="199">
        <v>2.2999999999999998</v>
      </c>
      <c r="V79" s="155">
        <f t="shared" si="4"/>
        <v>2.2999999999999998</v>
      </c>
      <c r="W79" s="199"/>
      <c r="X79" s="151">
        <f>(X78-VSLFO.MGO4[[#This Row],[TOTAL]])+VSLFO.MGO4[[#This Row],[FAENA2]]</f>
        <v>67.400000000000034</v>
      </c>
      <c r="Y79" s="150"/>
      <c r="Z79" s="199"/>
      <c r="AA79" s="149">
        <f t="shared" si="5"/>
        <v>100</v>
      </c>
      <c r="AB79" s="199"/>
      <c r="AC79" s="199"/>
      <c r="AD79" s="149">
        <f>($AD$4-VSLFO.MGO4[[#This Row],[CARTER MP.]])+VSLFO.MGO4[[#This Row],[FAENA EN LTS2]]</f>
        <v>100</v>
      </c>
      <c r="AE79" s="199"/>
      <c r="AF79" s="199"/>
      <c r="AG79" s="149">
        <f t="shared" si="6"/>
        <v>100</v>
      </c>
      <c r="AH79" s="199"/>
      <c r="AI79" s="199"/>
      <c r="AJ79" s="148">
        <f>(AJ78-VSLFO.MGO4[[#This Row],[HIDRAULICO]])+VSLFO.MGO4[[#This Row],[FAENA EN LTS3]]</f>
        <v>100</v>
      </c>
    </row>
    <row r="80" spans="1:36" x14ac:dyDescent="0.25">
      <c r="A80" s="192"/>
      <c r="B80" s="219">
        <v>43851</v>
      </c>
      <c r="C80" s="7">
        <v>2.4999999999999998E-2</v>
      </c>
      <c r="D80" s="4">
        <f>IF(VSLFO.MGO4[[#This Row],[FECHA]]-B79=1,((VSLFO.MGO4[[#This Row],[HORA]]-C79)*24)+24,(VSLFO.MGO4[[#This Row],[HORA]]-C79)*24)</f>
        <v>2.8000000000000007</v>
      </c>
      <c r="E80" s="10" t="s">
        <v>1425</v>
      </c>
      <c r="F80" s="154" t="s">
        <v>1403</v>
      </c>
      <c r="G80" s="212"/>
      <c r="H80" s="201"/>
      <c r="I80" s="201"/>
      <c r="J80" s="207"/>
      <c r="K80" s="153">
        <v>0</v>
      </c>
      <c r="L80" s="3">
        <v>0.29166666666666674</v>
      </c>
      <c r="M80" s="3">
        <v>0.23333333333333339</v>
      </c>
      <c r="N80" s="3">
        <f t="shared" si="7"/>
        <v>0.52500000000000013</v>
      </c>
      <c r="O80" s="1"/>
      <c r="P80" s="152">
        <f t="shared" si="8"/>
        <v>193.84124999999997</v>
      </c>
      <c r="Q80" s="150">
        <v>0</v>
      </c>
      <c r="R80" s="199">
        <v>0</v>
      </c>
      <c r="S80" s="199">
        <v>0</v>
      </c>
      <c r="T80" s="199">
        <v>0</v>
      </c>
      <c r="U80" s="199">
        <v>0</v>
      </c>
      <c r="V80" s="155">
        <f t="shared" si="4"/>
        <v>0</v>
      </c>
      <c r="W80" s="199"/>
      <c r="X80" s="151">
        <f>(X79-VSLFO.MGO4[[#This Row],[TOTAL]])+VSLFO.MGO4[[#This Row],[FAENA2]]</f>
        <v>67.400000000000034</v>
      </c>
      <c r="Y80" s="150"/>
      <c r="Z80" s="199"/>
      <c r="AA80" s="149">
        <f t="shared" si="5"/>
        <v>100</v>
      </c>
      <c r="AB80" s="199"/>
      <c r="AC80" s="199"/>
      <c r="AD80" s="149">
        <f>($AD$4-VSLFO.MGO4[[#This Row],[CARTER MP.]])+VSLFO.MGO4[[#This Row],[FAENA EN LTS2]]</f>
        <v>100</v>
      </c>
      <c r="AE80" s="199"/>
      <c r="AF80" s="199"/>
      <c r="AG80" s="149">
        <f t="shared" si="6"/>
        <v>100</v>
      </c>
      <c r="AH80" s="199"/>
      <c r="AI80" s="199"/>
      <c r="AJ80" s="148">
        <f>(AJ79-VSLFO.MGO4[[#This Row],[HIDRAULICO]])+VSLFO.MGO4[[#This Row],[FAENA EN LTS3]]</f>
        <v>100</v>
      </c>
    </row>
    <row r="81" spans="1:36" x14ac:dyDescent="0.25">
      <c r="A81" s="192"/>
      <c r="B81" s="219">
        <v>43851</v>
      </c>
      <c r="C81" s="7">
        <v>4.9999999999999996E-2</v>
      </c>
      <c r="D81" s="4">
        <f>IF(VSLFO.MGO4[[#This Row],[FECHA]]-B80=1,((VSLFO.MGO4[[#This Row],[HORA]]-C80)*24)+24,(VSLFO.MGO4[[#This Row],[HORA]]-C80)*24)</f>
        <v>0.6</v>
      </c>
      <c r="E81" s="10" t="s">
        <v>1057</v>
      </c>
      <c r="F81" s="154" t="s">
        <v>1414</v>
      </c>
      <c r="G81" s="212"/>
      <c r="H81" s="201"/>
      <c r="I81" s="201" t="s">
        <v>1297</v>
      </c>
      <c r="J81" s="207">
        <v>95</v>
      </c>
      <c r="K81" s="153">
        <v>0.125</v>
      </c>
      <c r="L81" s="3">
        <v>6.25E-2</v>
      </c>
      <c r="M81" s="3">
        <v>4.9999999999999996E-2</v>
      </c>
      <c r="N81" s="3">
        <f t="shared" si="7"/>
        <v>0.23749999999999999</v>
      </c>
      <c r="O81" s="1"/>
      <c r="P81" s="152">
        <f t="shared" si="8"/>
        <v>193.60374999999996</v>
      </c>
      <c r="Q81" s="150">
        <v>0</v>
      </c>
      <c r="R81" s="199">
        <v>0</v>
      </c>
      <c r="S81" s="199">
        <v>0</v>
      </c>
      <c r="T81" s="199">
        <v>0</v>
      </c>
      <c r="U81" s="199">
        <v>0</v>
      </c>
      <c r="V81" s="155">
        <f t="shared" si="4"/>
        <v>0</v>
      </c>
      <c r="W81" s="199"/>
      <c r="X81" s="151">
        <f>(X80-VSLFO.MGO4[[#This Row],[TOTAL]])+VSLFO.MGO4[[#This Row],[FAENA2]]</f>
        <v>67.400000000000034</v>
      </c>
      <c r="Y81" s="150"/>
      <c r="Z81" s="199"/>
      <c r="AA81" s="149">
        <f t="shared" si="5"/>
        <v>100</v>
      </c>
      <c r="AB81" s="199"/>
      <c r="AC81" s="199"/>
      <c r="AD81" s="149">
        <f>($AD$4-VSLFO.MGO4[[#This Row],[CARTER MP.]])+VSLFO.MGO4[[#This Row],[FAENA EN LTS2]]</f>
        <v>100</v>
      </c>
      <c r="AE81" s="199"/>
      <c r="AF81" s="199"/>
      <c r="AG81" s="149">
        <f t="shared" si="6"/>
        <v>100</v>
      </c>
      <c r="AH81" s="199"/>
      <c r="AI81" s="199"/>
      <c r="AJ81" s="148">
        <f>(AJ80-VSLFO.MGO4[[#This Row],[HIDRAULICO]])+VSLFO.MGO4[[#This Row],[FAENA EN LTS3]]</f>
        <v>100</v>
      </c>
    </row>
    <row r="82" spans="1:36" x14ac:dyDescent="0.25">
      <c r="A82" s="192"/>
      <c r="B82" s="219">
        <v>43851</v>
      </c>
      <c r="C82" s="7">
        <v>0.3</v>
      </c>
      <c r="D82" s="4">
        <f>IF(VSLFO.MGO4[[#This Row],[FECHA]]-B81=1,((VSLFO.MGO4[[#This Row],[HORA]]-C81)*24)+24,(VSLFO.MGO4[[#This Row],[HORA]]-C81)*24)</f>
        <v>6</v>
      </c>
      <c r="E82" s="10" t="s">
        <v>1338</v>
      </c>
      <c r="F82" s="154" t="s">
        <v>1171</v>
      </c>
      <c r="G82" s="212">
        <v>62</v>
      </c>
      <c r="H82" s="201">
        <v>10.5</v>
      </c>
      <c r="I82" s="201" t="s">
        <v>1296</v>
      </c>
      <c r="J82" s="207">
        <v>95</v>
      </c>
      <c r="K82" s="153">
        <v>5.5</v>
      </c>
      <c r="L82" s="3">
        <v>0.625</v>
      </c>
      <c r="M82" s="3">
        <v>0</v>
      </c>
      <c r="N82" s="3">
        <f t="shared" si="7"/>
        <v>6.125</v>
      </c>
      <c r="O82" s="1"/>
      <c r="P82" s="152">
        <f t="shared" si="8"/>
        <v>187.47874999999996</v>
      </c>
      <c r="Q82" s="150">
        <v>0</v>
      </c>
      <c r="R82" s="199">
        <v>0</v>
      </c>
      <c r="S82" s="199">
        <v>0</v>
      </c>
      <c r="T82" s="199">
        <v>0</v>
      </c>
      <c r="U82" s="199">
        <v>0</v>
      </c>
      <c r="V82" s="155">
        <f t="shared" si="4"/>
        <v>0</v>
      </c>
      <c r="W82" s="199"/>
      <c r="X82" s="151">
        <f>(X81-VSLFO.MGO4[[#This Row],[TOTAL]])+VSLFO.MGO4[[#This Row],[FAENA2]]</f>
        <v>67.400000000000034</v>
      </c>
      <c r="Y82" s="150"/>
      <c r="Z82" s="199"/>
      <c r="AA82" s="149">
        <f t="shared" si="5"/>
        <v>100</v>
      </c>
      <c r="AB82" s="199"/>
      <c r="AC82" s="199"/>
      <c r="AD82" s="149">
        <f>($AD$4-VSLFO.MGO4[[#This Row],[CARTER MP.]])+VSLFO.MGO4[[#This Row],[FAENA EN LTS2]]</f>
        <v>100</v>
      </c>
      <c r="AE82" s="199"/>
      <c r="AF82" s="199"/>
      <c r="AG82" s="149">
        <f t="shared" si="6"/>
        <v>100</v>
      </c>
      <c r="AH82" s="199"/>
      <c r="AI82" s="199"/>
      <c r="AJ82" s="148">
        <f>(AJ81-VSLFO.MGO4[[#This Row],[HIDRAULICO]])+VSLFO.MGO4[[#This Row],[FAENA EN LTS3]]</f>
        <v>100</v>
      </c>
    </row>
    <row r="83" spans="1:36" x14ac:dyDescent="0.25">
      <c r="A83" s="192"/>
      <c r="B83" s="219">
        <v>43851</v>
      </c>
      <c r="C83" s="7">
        <v>0.33333333333333331</v>
      </c>
      <c r="D83" s="4">
        <f>IF(VSLFO.MGO4[[#This Row],[FECHA]]-B82=1,((VSLFO.MGO4[[#This Row],[HORA]]-C82)*24)+24,(VSLFO.MGO4[[#This Row],[HORA]]-C82)*24)</f>
        <v>0.79999999999999982</v>
      </c>
      <c r="E83" s="10" t="s">
        <v>1057</v>
      </c>
      <c r="F83" s="154" t="s">
        <v>1175</v>
      </c>
      <c r="G83" s="212"/>
      <c r="H83" s="201"/>
      <c r="I83" s="201"/>
      <c r="J83" s="207"/>
      <c r="K83" s="153">
        <v>6.6666666666666652E-2</v>
      </c>
      <c r="L83" s="3">
        <v>8.3333333333333315E-2</v>
      </c>
      <c r="M83" s="3">
        <v>6.6666666666666652E-2</v>
      </c>
      <c r="N83" s="3">
        <f t="shared" si="7"/>
        <v>0.21666666666666662</v>
      </c>
      <c r="O83" s="1"/>
      <c r="P83" s="152">
        <f t="shared" si="8"/>
        <v>187.26208333333329</v>
      </c>
      <c r="Q83" s="150">
        <v>0</v>
      </c>
      <c r="R83" s="199">
        <v>0</v>
      </c>
      <c r="S83" s="199">
        <v>0</v>
      </c>
      <c r="T83" s="199">
        <v>0</v>
      </c>
      <c r="U83" s="199">
        <v>0</v>
      </c>
      <c r="V83" s="155">
        <f t="shared" si="4"/>
        <v>0</v>
      </c>
      <c r="W83" s="199"/>
      <c r="X83" s="151">
        <f>(X82-VSLFO.MGO4[[#This Row],[TOTAL]])+VSLFO.MGO4[[#This Row],[FAENA2]]</f>
        <v>67.400000000000034</v>
      </c>
      <c r="Y83" s="150"/>
      <c r="Z83" s="199"/>
      <c r="AA83" s="149">
        <f t="shared" si="5"/>
        <v>100</v>
      </c>
      <c r="AB83" s="199"/>
      <c r="AC83" s="199"/>
      <c r="AD83" s="149">
        <f>($AD$4-VSLFO.MGO4[[#This Row],[CARTER MP.]])+VSLFO.MGO4[[#This Row],[FAENA EN LTS2]]</f>
        <v>100</v>
      </c>
      <c r="AE83" s="199"/>
      <c r="AF83" s="199"/>
      <c r="AG83" s="149">
        <f t="shared" si="6"/>
        <v>100</v>
      </c>
      <c r="AH83" s="199"/>
      <c r="AI83" s="199"/>
      <c r="AJ83" s="148">
        <f>(AJ82-VSLFO.MGO4[[#This Row],[HIDRAULICO]])+VSLFO.MGO4[[#This Row],[FAENA EN LTS3]]</f>
        <v>100</v>
      </c>
    </row>
    <row r="84" spans="1:36" x14ac:dyDescent="0.25">
      <c r="A84" s="192"/>
      <c r="B84" s="219">
        <v>43851</v>
      </c>
      <c r="C84" s="7">
        <v>0.4375</v>
      </c>
      <c r="D84" s="4">
        <f>IF(VSLFO.MGO4[[#This Row],[FECHA]]-B83=1,((VSLFO.MGO4[[#This Row],[HORA]]-C83)*24)+24,(VSLFO.MGO4[[#This Row],[HORA]]-C83)*24)</f>
        <v>2.5000000000000004</v>
      </c>
      <c r="E84" s="10" t="s">
        <v>1057</v>
      </c>
      <c r="F84" s="154" t="s">
        <v>1415</v>
      </c>
      <c r="G84" s="212"/>
      <c r="H84" s="201"/>
      <c r="I84" s="201"/>
      <c r="J84" s="207"/>
      <c r="K84" s="153">
        <v>0.20833333333333337</v>
      </c>
      <c r="L84" s="3">
        <v>0.26041666666666674</v>
      </c>
      <c r="M84" s="3">
        <v>0.20833333333333337</v>
      </c>
      <c r="N84" s="3">
        <f t="shared" si="7"/>
        <v>0.67708333333333348</v>
      </c>
      <c r="O84" s="1"/>
      <c r="P84" s="152">
        <f t="shared" si="8"/>
        <v>186.58499999999995</v>
      </c>
      <c r="Q84" s="150">
        <v>0</v>
      </c>
      <c r="R84" s="199">
        <v>0</v>
      </c>
      <c r="S84" s="199">
        <v>0</v>
      </c>
      <c r="T84" s="199">
        <v>0</v>
      </c>
      <c r="U84" s="199">
        <v>0</v>
      </c>
      <c r="V84" s="155">
        <f t="shared" si="4"/>
        <v>0</v>
      </c>
      <c r="W84" s="199"/>
      <c r="X84" s="151">
        <f>(X83-VSLFO.MGO4[[#This Row],[TOTAL]])+VSLFO.MGO4[[#This Row],[FAENA2]]</f>
        <v>67.400000000000034</v>
      </c>
      <c r="Y84" s="150"/>
      <c r="Z84" s="199"/>
      <c r="AA84" s="149">
        <f t="shared" si="5"/>
        <v>100</v>
      </c>
      <c r="AB84" s="199"/>
      <c r="AC84" s="199"/>
      <c r="AD84" s="149">
        <f>($AD$4-VSLFO.MGO4[[#This Row],[CARTER MP.]])+VSLFO.MGO4[[#This Row],[FAENA EN LTS2]]</f>
        <v>100</v>
      </c>
      <c r="AE84" s="199"/>
      <c r="AF84" s="199"/>
      <c r="AG84" s="149">
        <f t="shared" si="6"/>
        <v>100</v>
      </c>
      <c r="AH84" s="199"/>
      <c r="AI84" s="199"/>
      <c r="AJ84" s="148">
        <f>(AJ83-VSLFO.MGO4[[#This Row],[HIDRAULICO]])+VSLFO.MGO4[[#This Row],[FAENA EN LTS3]]</f>
        <v>100</v>
      </c>
    </row>
    <row r="85" spans="1:36" x14ac:dyDescent="0.25">
      <c r="A85" s="192"/>
      <c r="B85" s="219">
        <v>43851</v>
      </c>
      <c r="C85" s="7">
        <v>0.97499999999999998</v>
      </c>
      <c r="D85" s="4">
        <f>IF(VSLFO.MGO4[[#This Row],[FECHA]]-B84=1,((VSLFO.MGO4[[#This Row],[HORA]]-C84)*24)+24,(VSLFO.MGO4[[#This Row],[HORA]]-C84)*24)</f>
        <v>12.899999999999999</v>
      </c>
      <c r="E85" s="10" t="s">
        <v>966</v>
      </c>
      <c r="F85" s="154" t="s">
        <v>1175</v>
      </c>
      <c r="G85" s="212"/>
      <c r="H85" s="201"/>
      <c r="I85" s="201"/>
      <c r="J85" s="207"/>
      <c r="K85" s="153">
        <v>0</v>
      </c>
      <c r="L85" s="3">
        <v>1.34375</v>
      </c>
      <c r="M85" s="3">
        <v>1.0749999999999997</v>
      </c>
      <c r="N85" s="3">
        <f t="shared" si="7"/>
        <v>2.4187499999999997</v>
      </c>
      <c r="O85" s="1"/>
      <c r="P85" s="152">
        <f t="shared" si="8"/>
        <v>184.16624999999996</v>
      </c>
      <c r="Q85" s="150">
        <v>0</v>
      </c>
      <c r="R85" s="199">
        <v>0</v>
      </c>
      <c r="S85" s="199">
        <v>0</v>
      </c>
      <c r="T85" s="199">
        <v>0</v>
      </c>
      <c r="U85" s="199">
        <v>2.1</v>
      </c>
      <c r="V85" s="155">
        <f t="shared" si="4"/>
        <v>2.1</v>
      </c>
      <c r="W85" s="199"/>
      <c r="X85" s="151">
        <f>(X84-VSLFO.MGO4[[#This Row],[TOTAL]])+VSLFO.MGO4[[#This Row],[FAENA2]]</f>
        <v>65.30000000000004</v>
      </c>
      <c r="Y85" s="150"/>
      <c r="Z85" s="199"/>
      <c r="AA85" s="149">
        <f t="shared" si="5"/>
        <v>100</v>
      </c>
      <c r="AB85" s="199"/>
      <c r="AC85" s="199"/>
      <c r="AD85" s="149">
        <f>($AD$4-VSLFO.MGO4[[#This Row],[CARTER MP.]])+VSLFO.MGO4[[#This Row],[FAENA EN LTS2]]</f>
        <v>100</v>
      </c>
      <c r="AE85" s="199"/>
      <c r="AF85" s="199"/>
      <c r="AG85" s="149">
        <f t="shared" si="6"/>
        <v>100</v>
      </c>
      <c r="AH85" s="199"/>
      <c r="AI85" s="199"/>
      <c r="AJ85" s="148">
        <f>(AJ84-VSLFO.MGO4[[#This Row],[HIDRAULICO]])+VSLFO.MGO4[[#This Row],[FAENA EN LTS3]]</f>
        <v>100</v>
      </c>
    </row>
    <row r="86" spans="1:36" x14ac:dyDescent="0.25">
      <c r="A86" s="192"/>
      <c r="B86" s="219">
        <v>43852</v>
      </c>
      <c r="C86" s="7">
        <v>0.11666666666666665</v>
      </c>
      <c r="D86" s="4">
        <f>IF(VSLFO.MGO4[[#This Row],[FECHA]]-B85=1,((VSLFO.MGO4[[#This Row],[HORA]]-C85)*24)+24,(VSLFO.MGO4[[#This Row],[HORA]]-C85)*24)</f>
        <v>3.4000000000000021</v>
      </c>
      <c r="E86" s="10" t="s">
        <v>1425</v>
      </c>
      <c r="F86" s="154" t="s">
        <v>1416</v>
      </c>
      <c r="G86" s="212"/>
      <c r="H86" s="201"/>
      <c r="I86" s="201"/>
      <c r="J86" s="207"/>
      <c r="K86" s="153">
        <v>0</v>
      </c>
      <c r="L86" s="3">
        <v>0.35416666666666691</v>
      </c>
      <c r="M86" s="3">
        <v>0.28333333333333349</v>
      </c>
      <c r="N86" s="3">
        <f t="shared" si="7"/>
        <v>0.6375000000000004</v>
      </c>
      <c r="O86" s="1"/>
      <c r="P86" s="152">
        <f t="shared" si="8"/>
        <v>183.52874999999997</v>
      </c>
      <c r="Q86" s="150">
        <v>0</v>
      </c>
      <c r="R86" s="199">
        <v>0</v>
      </c>
      <c r="S86" s="199">
        <v>0</v>
      </c>
      <c r="T86" s="199">
        <v>0</v>
      </c>
      <c r="U86" s="199">
        <v>0</v>
      </c>
      <c r="V86" s="155">
        <f t="shared" si="4"/>
        <v>0</v>
      </c>
      <c r="W86" s="199"/>
      <c r="X86" s="151">
        <f>(X85-VSLFO.MGO4[[#This Row],[TOTAL]])+VSLFO.MGO4[[#This Row],[FAENA2]]</f>
        <v>65.30000000000004</v>
      </c>
      <c r="Y86" s="150"/>
      <c r="Z86" s="199"/>
      <c r="AA86" s="149">
        <f t="shared" si="5"/>
        <v>100</v>
      </c>
      <c r="AB86" s="199"/>
      <c r="AC86" s="199"/>
      <c r="AD86" s="149">
        <f>($AD$4-VSLFO.MGO4[[#This Row],[CARTER MP.]])+VSLFO.MGO4[[#This Row],[FAENA EN LTS2]]</f>
        <v>100</v>
      </c>
      <c r="AE86" s="199"/>
      <c r="AF86" s="199"/>
      <c r="AG86" s="149">
        <f t="shared" si="6"/>
        <v>100</v>
      </c>
      <c r="AH86" s="199"/>
      <c r="AI86" s="199"/>
      <c r="AJ86" s="148">
        <f>(AJ85-VSLFO.MGO4[[#This Row],[HIDRAULICO]])+VSLFO.MGO4[[#This Row],[FAENA EN LTS3]]</f>
        <v>100</v>
      </c>
    </row>
    <row r="87" spans="1:36" x14ac:dyDescent="0.25">
      <c r="A87" s="192"/>
      <c r="B87" s="219">
        <v>43852</v>
      </c>
      <c r="C87" s="7">
        <v>0.15416666666666667</v>
      </c>
      <c r="D87" s="4">
        <f>IF(VSLFO.MGO4[[#This Row],[FECHA]]-B86=1,((VSLFO.MGO4[[#This Row],[HORA]]-C86)*24)+24,(VSLFO.MGO4[[#This Row],[HORA]]-C86)*24)</f>
        <v>0.90000000000000047</v>
      </c>
      <c r="E87" s="10" t="s">
        <v>1057</v>
      </c>
      <c r="F87" s="154" t="s">
        <v>1404</v>
      </c>
      <c r="G87" s="212"/>
      <c r="H87" s="201"/>
      <c r="I87" s="201" t="s">
        <v>1297</v>
      </c>
      <c r="J87" s="207">
        <v>95</v>
      </c>
      <c r="K87" s="153">
        <v>0.18750000000000011</v>
      </c>
      <c r="L87" s="3">
        <v>9.3750000000000056E-2</v>
      </c>
      <c r="M87" s="3">
        <v>7.5000000000000039E-2</v>
      </c>
      <c r="N87" s="3">
        <f t="shared" si="7"/>
        <v>0.35625000000000018</v>
      </c>
      <c r="O87" s="1"/>
      <c r="P87" s="152">
        <f t="shared" si="8"/>
        <v>183.17249999999999</v>
      </c>
      <c r="Q87" s="150">
        <v>0</v>
      </c>
      <c r="R87" s="199">
        <v>0</v>
      </c>
      <c r="S87" s="199">
        <v>0</v>
      </c>
      <c r="T87" s="199">
        <v>0</v>
      </c>
      <c r="U87" s="199">
        <v>0</v>
      </c>
      <c r="V87" s="155">
        <f t="shared" si="4"/>
        <v>0</v>
      </c>
      <c r="W87" s="199"/>
      <c r="X87" s="151">
        <f>(X86-VSLFO.MGO4[[#This Row],[TOTAL]])+VSLFO.MGO4[[#This Row],[FAENA2]]</f>
        <v>65.30000000000004</v>
      </c>
      <c r="Y87" s="150"/>
      <c r="Z87" s="199"/>
      <c r="AA87" s="149">
        <f t="shared" si="5"/>
        <v>100</v>
      </c>
      <c r="AB87" s="199"/>
      <c r="AC87" s="199"/>
      <c r="AD87" s="149">
        <f>($AD$4-VSLFO.MGO4[[#This Row],[CARTER MP.]])+VSLFO.MGO4[[#This Row],[FAENA EN LTS2]]</f>
        <v>100</v>
      </c>
      <c r="AE87" s="199"/>
      <c r="AF87" s="199"/>
      <c r="AG87" s="149">
        <f t="shared" si="6"/>
        <v>100</v>
      </c>
      <c r="AH87" s="199"/>
      <c r="AI87" s="199"/>
      <c r="AJ87" s="148">
        <f>(AJ86-VSLFO.MGO4[[#This Row],[HIDRAULICO]])+VSLFO.MGO4[[#This Row],[FAENA EN LTS3]]</f>
        <v>100</v>
      </c>
    </row>
    <row r="88" spans="1:36" x14ac:dyDescent="0.25">
      <c r="A88" s="192"/>
      <c r="B88" s="219">
        <v>43852</v>
      </c>
      <c r="C88" s="7">
        <v>0.33333333333333331</v>
      </c>
      <c r="D88" s="4">
        <f>IF(VSLFO.MGO4[[#This Row],[FECHA]]-B87=1,((VSLFO.MGO4[[#This Row],[HORA]]-C87)*24)+24,(VSLFO.MGO4[[#This Row],[HORA]]-C87)*24)</f>
        <v>4.2999999999999989</v>
      </c>
      <c r="E88" s="10" t="s">
        <v>1340</v>
      </c>
      <c r="F88" s="154" t="s">
        <v>1389</v>
      </c>
      <c r="G88" s="212"/>
      <c r="H88" s="201"/>
      <c r="I88" s="201" t="s">
        <v>1297</v>
      </c>
      <c r="J88" s="207">
        <v>95</v>
      </c>
      <c r="K88" s="153">
        <v>3.9416666666666655</v>
      </c>
      <c r="L88" s="3">
        <v>0.44791666666666657</v>
      </c>
      <c r="M88" s="3">
        <v>0</v>
      </c>
      <c r="N88" s="3">
        <f t="shared" si="7"/>
        <v>4.3895833333333325</v>
      </c>
      <c r="O88" s="1"/>
      <c r="P88" s="152">
        <f t="shared" si="8"/>
        <v>178.78291666666667</v>
      </c>
      <c r="Q88" s="150">
        <v>0</v>
      </c>
      <c r="R88" s="199">
        <v>0</v>
      </c>
      <c r="S88" s="199">
        <v>0</v>
      </c>
      <c r="T88" s="199">
        <v>0</v>
      </c>
      <c r="U88" s="199">
        <v>0</v>
      </c>
      <c r="V88" s="155">
        <f t="shared" si="4"/>
        <v>0</v>
      </c>
      <c r="W88" s="199"/>
      <c r="X88" s="151">
        <f>(X87-VSLFO.MGO4[[#This Row],[TOTAL]])+VSLFO.MGO4[[#This Row],[FAENA2]]</f>
        <v>65.30000000000004</v>
      </c>
      <c r="Y88" s="150"/>
      <c r="Z88" s="199"/>
      <c r="AA88" s="149">
        <f t="shared" si="5"/>
        <v>100</v>
      </c>
      <c r="AB88" s="199"/>
      <c r="AC88" s="199"/>
      <c r="AD88" s="149">
        <f>($AD$4-VSLFO.MGO4[[#This Row],[CARTER MP.]])+VSLFO.MGO4[[#This Row],[FAENA EN LTS2]]</f>
        <v>100</v>
      </c>
      <c r="AE88" s="199"/>
      <c r="AF88" s="199"/>
      <c r="AG88" s="149">
        <f t="shared" si="6"/>
        <v>100</v>
      </c>
      <c r="AH88" s="199"/>
      <c r="AI88" s="199"/>
      <c r="AJ88" s="148">
        <f>(AJ87-VSLFO.MGO4[[#This Row],[HIDRAULICO]])+VSLFO.MGO4[[#This Row],[FAENA EN LTS3]]</f>
        <v>100</v>
      </c>
    </row>
    <row r="89" spans="1:36" x14ac:dyDescent="0.25">
      <c r="A89" s="217" t="s">
        <v>1424</v>
      </c>
      <c r="B89" s="219">
        <v>43852</v>
      </c>
      <c r="C89" s="7">
        <v>0.85416666666666663</v>
      </c>
      <c r="D89" s="4">
        <f>IF(VSLFO.MGO4[[#This Row],[FECHA]]-B88=1,((VSLFO.MGO4[[#This Row],[HORA]]-C88)*24)+24,(VSLFO.MGO4[[#This Row],[HORA]]-C88)*24)</f>
        <v>12.499999999999998</v>
      </c>
      <c r="E89" s="10" t="s">
        <v>1340</v>
      </c>
      <c r="F89" s="154" t="s">
        <v>956</v>
      </c>
      <c r="G89" s="212">
        <v>201</v>
      </c>
      <c r="H89" s="201">
        <v>11.3</v>
      </c>
      <c r="I89" s="201" t="s">
        <v>1296</v>
      </c>
      <c r="J89" s="207">
        <v>95</v>
      </c>
      <c r="K89" s="153">
        <v>11.45833333333333</v>
      </c>
      <c r="L89" s="3">
        <v>1.3020833333333333</v>
      </c>
      <c r="M89" s="3">
        <v>0</v>
      </c>
      <c r="N89" s="3">
        <f t="shared" si="7"/>
        <v>12.760416666666664</v>
      </c>
      <c r="O89" s="1"/>
      <c r="P89" s="152">
        <f t="shared" si="8"/>
        <v>166.02250000000001</v>
      </c>
      <c r="Q89" s="150">
        <v>0</v>
      </c>
      <c r="R89" s="199">
        <v>0</v>
      </c>
      <c r="S89" s="199">
        <v>0</v>
      </c>
      <c r="T89" s="199">
        <v>0</v>
      </c>
      <c r="U89" s="199">
        <v>0</v>
      </c>
      <c r="V89" s="155">
        <f t="shared" si="4"/>
        <v>0</v>
      </c>
      <c r="W89" s="199"/>
      <c r="X89" s="151">
        <f>(X88-VSLFO.MGO4[[#This Row],[TOTAL]])+VSLFO.MGO4[[#This Row],[FAENA2]]</f>
        <v>65.30000000000004</v>
      </c>
      <c r="Y89" s="150"/>
      <c r="Z89" s="199"/>
      <c r="AA89" s="149">
        <f t="shared" si="5"/>
        <v>100</v>
      </c>
      <c r="AB89" s="199"/>
      <c r="AC89" s="199"/>
      <c r="AD89" s="149">
        <f>($AD$4-VSLFO.MGO4[[#This Row],[CARTER MP.]])+VSLFO.MGO4[[#This Row],[FAENA EN LTS2]]</f>
        <v>100</v>
      </c>
      <c r="AE89" s="199"/>
      <c r="AF89" s="199"/>
      <c r="AG89" s="149">
        <f t="shared" si="6"/>
        <v>100</v>
      </c>
      <c r="AH89" s="199"/>
      <c r="AI89" s="199"/>
      <c r="AJ89" s="148">
        <f>(AJ88-VSLFO.MGO4[[#This Row],[HIDRAULICO]])+VSLFO.MGO4[[#This Row],[FAENA EN LTS3]]</f>
        <v>100</v>
      </c>
    </row>
    <row r="90" spans="1:36" x14ac:dyDescent="0.25">
      <c r="A90" s="192"/>
      <c r="B90" s="219">
        <v>43852</v>
      </c>
      <c r="C90" s="7">
        <v>0.875</v>
      </c>
      <c r="D90" s="4">
        <f>IF(VSLFO.MGO4[[#This Row],[FECHA]]-B89=1,((VSLFO.MGO4[[#This Row],[HORA]]-C89)*24)+24,(VSLFO.MGO4[[#This Row],[HORA]]-C89)*24)</f>
        <v>0.50000000000000089</v>
      </c>
      <c r="E90" s="10" t="s">
        <v>1057</v>
      </c>
      <c r="F90" s="154" t="s">
        <v>1389</v>
      </c>
      <c r="G90" s="212"/>
      <c r="H90" s="201"/>
      <c r="I90" s="201"/>
      <c r="J90" s="207"/>
      <c r="K90" s="153">
        <v>0.10416666666666685</v>
      </c>
      <c r="L90" s="3">
        <v>5.2083333333333426E-2</v>
      </c>
      <c r="M90" s="3">
        <v>4.1666666666666741E-2</v>
      </c>
      <c r="N90" s="3">
        <f t="shared" si="7"/>
        <v>0.19791666666666702</v>
      </c>
      <c r="O90" s="1"/>
      <c r="P90" s="152">
        <f t="shared" si="8"/>
        <v>165.82458333333335</v>
      </c>
      <c r="Q90" s="150">
        <v>0</v>
      </c>
      <c r="R90" s="199">
        <v>0</v>
      </c>
      <c r="S90" s="199">
        <v>0</v>
      </c>
      <c r="T90" s="199">
        <v>0</v>
      </c>
      <c r="U90" s="199">
        <v>0</v>
      </c>
      <c r="V90" s="155">
        <f t="shared" si="4"/>
        <v>0</v>
      </c>
      <c r="W90" s="199"/>
      <c r="X90" s="151">
        <f>(X89-VSLFO.MGO4[[#This Row],[TOTAL]])+VSLFO.MGO4[[#This Row],[FAENA2]]</f>
        <v>65.30000000000004</v>
      </c>
      <c r="Y90" s="150"/>
      <c r="Z90" s="199"/>
      <c r="AA90" s="149">
        <f t="shared" si="5"/>
        <v>100</v>
      </c>
      <c r="AB90" s="199"/>
      <c r="AC90" s="199"/>
      <c r="AD90" s="149">
        <f>($AD$4-VSLFO.MGO4[[#This Row],[CARTER MP.]])+VSLFO.MGO4[[#This Row],[FAENA EN LTS2]]</f>
        <v>100</v>
      </c>
      <c r="AE90" s="199"/>
      <c r="AF90" s="199"/>
      <c r="AG90" s="149">
        <f t="shared" si="6"/>
        <v>100</v>
      </c>
      <c r="AH90" s="199"/>
      <c r="AI90" s="199"/>
      <c r="AJ90" s="148">
        <f>(AJ89-VSLFO.MGO4[[#This Row],[HIDRAULICO]])+VSLFO.MGO4[[#This Row],[FAENA EN LTS3]]</f>
        <v>100</v>
      </c>
    </row>
    <row r="91" spans="1:36" x14ac:dyDescent="0.25">
      <c r="A91" s="192"/>
      <c r="B91" s="219">
        <v>43852</v>
      </c>
      <c r="C91" s="7">
        <v>0.93333333333333324</v>
      </c>
      <c r="D91" s="4">
        <f>IF(VSLFO.MGO4[[#This Row],[FECHA]]-B90=1,((VSLFO.MGO4[[#This Row],[HORA]]-C90)*24)+24,(VSLFO.MGO4[[#This Row],[HORA]]-C90)*24)</f>
        <v>1.3999999999999977</v>
      </c>
      <c r="E91" s="10" t="s">
        <v>351</v>
      </c>
      <c r="F91" s="154" t="s">
        <v>1405</v>
      </c>
      <c r="G91" s="212"/>
      <c r="H91" s="201"/>
      <c r="I91" s="201"/>
      <c r="J91" s="207"/>
      <c r="K91" s="153">
        <v>0</v>
      </c>
      <c r="L91" s="3">
        <v>0.14583333333333309</v>
      </c>
      <c r="M91" s="3">
        <v>0.11666666666666647</v>
      </c>
      <c r="N91" s="3">
        <f t="shared" si="7"/>
        <v>0.26249999999999957</v>
      </c>
      <c r="O91" s="1"/>
      <c r="P91" s="152">
        <f t="shared" si="8"/>
        <v>165.56208333333336</v>
      </c>
      <c r="Q91" s="150">
        <v>0</v>
      </c>
      <c r="R91" s="199">
        <v>0</v>
      </c>
      <c r="S91" s="199">
        <v>0</v>
      </c>
      <c r="T91" s="199">
        <v>0</v>
      </c>
      <c r="U91" s="199">
        <v>0</v>
      </c>
      <c r="V91" s="155">
        <f t="shared" si="4"/>
        <v>0</v>
      </c>
      <c r="W91" s="199"/>
      <c r="X91" s="151">
        <f>(X90-VSLFO.MGO4[[#This Row],[TOTAL]])+VSLFO.MGO4[[#This Row],[FAENA2]]</f>
        <v>65.30000000000004</v>
      </c>
      <c r="Y91" s="150"/>
      <c r="Z91" s="199"/>
      <c r="AA91" s="149">
        <f t="shared" si="5"/>
        <v>100</v>
      </c>
      <c r="AB91" s="199"/>
      <c r="AC91" s="199"/>
      <c r="AD91" s="149">
        <f>($AD$4-VSLFO.MGO4[[#This Row],[CARTER MP.]])+VSLFO.MGO4[[#This Row],[FAENA EN LTS2]]</f>
        <v>100</v>
      </c>
      <c r="AE91" s="199"/>
      <c r="AF91" s="199"/>
      <c r="AG91" s="149">
        <f t="shared" si="6"/>
        <v>100</v>
      </c>
      <c r="AH91" s="199"/>
      <c r="AI91" s="199"/>
      <c r="AJ91" s="148">
        <f>(AJ90-VSLFO.MGO4[[#This Row],[HIDRAULICO]])+VSLFO.MGO4[[#This Row],[FAENA EN LTS3]]</f>
        <v>100</v>
      </c>
    </row>
    <row r="92" spans="1:36" x14ac:dyDescent="0.25">
      <c r="A92" s="192"/>
      <c r="B92" s="219">
        <v>43853</v>
      </c>
      <c r="C92" s="7">
        <v>2.0833333333333332E-2</v>
      </c>
      <c r="D92" s="4">
        <f>IF(VSLFO.MGO4[[#This Row],[FECHA]]-B91=1,((VSLFO.MGO4[[#This Row],[HORA]]-C91)*24)+24,(VSLFO.MGO4[[#This Row],[HORA]]-C91)*24)</f>
        <v>2.1000000000000014</v>
      </c>
      <c r="E92" s="10" t="s">
        <v>1057</v>
      </c>
      <c r="F92" s="154" t="s">
        <v>1253</v>
      </c>
      <c r="G92" s="212"/>
      <c r="H92" s="201"/>
      <c r="I92" s="201"/>
      <c r="J92" s="207"/>
      <c r="K92" s="153">
        <v>0.43750000000000033</v>
      </c>
      <c r="L92" s="3">
        <v>0.21875000000000017</v>
      </c>
      <c r="M92" s="3">
        <v>0.1750000000000001</v>
      </c>
      <c r="N92" s="3">
        <f t="shared" si="7"/>
        <v>0.83125000000000049</v>
      </c>
      <c r="O92" s="1"/>
      <c r="P92" s="152">
        <f t="shared" si="8"/>
        <v>164.73083333333335</v>
      </c>
      <c r="Q92" s="150">
        <v>0</v>
      </c>
      <c r="R92" s="199">
        <v>0</v>
      </c>
      <c r="S92" s="199">
        <v>0</v>
      </c>
      <c r="T92" s="199">
        <v>0</v>
      </c>
      <c r="U92" s="199">
        <v>0</v>
      </c>
      <c r="V92" s="155">
        <f t="shared" si="4"/>
        <v>0</v>
      </c>
      <c r="W92" s="199"/>
      <c r="X92" s="151">
        <f>(X91-VSLFO.MGO4[[#This Row],[TOTAL]])+VSLFO.MGO4[[#This Row],[FAENA2]]</f>
        <v>65.30000000000004</v>
      </c>
      <c r="Y92" s="150"/>
      <c r="Z92" s="199"/>
      <c r="AA92" s="149">
        <f t="shared" si="5"/>
        <v>100</v>
      </c>
      <c r="AB92" s="199"/>
      <c r="AC92" s="199"/>
      <c r="AD92" s="149">
        <f>($AD$4-VSLFO.MGO4[[#This Row],[CARTER MP.]])+VSLFO.MGO4[[#This Row],[FAENA EN LTS2]]</f>
        <v>100</v>
      </c>
      <c r="AE92" s="199"/>
      <c r="AF92" s="199"/>
      <c r="AG92" s="149">
        <f t="shared" si="6"/>
        <v>100</v>
      </c>
      <c r="AH92" s="199"/>
      <c r="AI92" s="199"/>
      <c r="AJ92" s="148">
        <f>(AJ91-VSLFO.MGO4[[#This Row],[HIDRAULICO]])+VSLFO.MGO4[[#This Row],[FAENA EN LTS3]]</f>
        <v>100</v>
      </c>
    </row>
    <row r="93" spans="1:36" x14ac:dyDescent="0.25">
      <c r="A93" s="192"/>
      <c r="B93" s="219">
        <v>43853</v>
      </c>
      <c r="C93" s="7">
        <v>0.23750000000000002</v>
      </c>
      <c r="D93" s="4">
        <f>IF(VSLFO.MGO4[[#This Row],[FECHA]]-B92=1,((VSLFO.MGO4[[#This Row],[HORA]]-C92)*24)+24,(VSLFO.MGO4[[#This Row],[HORA]]-C92)*24)</f>
        <v>5.2</v>
      </c>
      <c r="E93" s="10" t="s">
        <v>1425</v>
      </c>
      <c r="F93" s="154" t="s">
        <v>1406</v>
      </c>
      <c r="G93" s="212"/>
      <c r="H93" s="201"/>
      <c r="I93" s="201"/>
      <c r="J93" s="207"/>
      <c r="K93" s="153">
        <v>0</v>
      </c>
      <c r="L93" s="3">
        <v>0.54166666666666674</v>
      </c>
      <c r="M93" s="3">
        <v>0.43333333333333335</v>
      </c>
      <c r="N93" s="3">
        <f t="shared" si="7"/>
        <v>0.97500000000000009</v>
      </c>
      <c r="O93" s="1"/>
      <c r="P93" s="152">
        <f t="shared" si="8"/>
        <v>163.75583333333336</v>
      </c>
      <c r="Q93" s="150">
        <v>0</v>
      </c>
      <c r="R93" s="199">
        <v>0</v>
      </c>
      <c r="S93" s="199">
        <v>0</v>
      </c>
      <c r="T93" s="199">
        <v>0</v>
      </c>
      <c r="U93" s="199">
        <v>0</v>
      </c>
      <c r="V93" s="155">
        <f t="shared" si="4"/>
        <v>0</v>
      </c>
      <c r="W93" s="199"/>
      <c r="X93" s="151">
        <f>(X92-VSLFO.MGO4[[#This Row],[TOTAL]])+VSLFO.MGO4[[#This Row],[FAENA2]]</f>
        <v>65.30000000000004</v>
      </c>
      <c r="Y93" s="150"/>
      <c r="Z93" s="199"/>
      <c r="AA93" s="149">
        <f t="shared" si="5"/>
        <v>100</v>
      </c>
      <c r="AB93" s="199"/>
      <c r="AC93" s="199"/>
      <c r="AD93" s="149">
        <f>($AD$4-VSLFO.MGO4[[#This Row],[CARTER MP.]])+VSLFO.MGO4[[#This Row],[FAENA EN LTS2]]</f>
        <v>100</v>
      </c>
      <c r="AE93" s="199"/>
      <c r="AF93" s="199"/>
      <c r="AG93" s="149">
        <f t="shared" si="6"/>
        <v>100</v>
      </c>
      <c r="AH93" s="199"/>
      <c r="AI93" s="199"/>
      <c r="AJ93" s="148">
        <f>(AJ92-VSLFO.MGO4[[#This Row],[HIDRAULICO]])+VSLFO.MGO4[[#This Row],[FAENA EN LTS3]]</f>
        <v>100</v>
      </c>
    </row>
    <row r="94" spans="1:36" x14ac:dyDescent="0.25">
      <c r="A94" s="192"/>
      <c r="B94" s="219">
        <v>43853</v>
      </c>
      <c r="C94" s="7">
        <v>0.33333333333333331</v>
      </c>
      <c r="D94" s="4">
        <f>IF(VSLFO.MGO4[[#This Row],[FECHA]]-B93=1,((VSLFO.MGO4[[#This Row],[HORA]]-C93)*24)+24,(VSLFO.MGO4[[#This Row],[HORA]]-C93)*24)</f>
        <v>2.2999999999999989</v>
      </c>
      <c r="E94" s="10" t="s">
        <v>1051</v>
      </c>
      <c r="F94" s="154" t="s">
        <v>1389</v>
      </c>
      <c r="G94" s="212"/>
      <c r="H94" s="201"/>
      <c r="I94" s="201"/>
      <c r="J94" s="207"/>
      <c r="K94" s="153">
        <v>0</v>
      </c>
      <c r="L94" s="3">
        <v>0.23958333333333323</v>
      </c>
      <c r="M94" s="3">
        <v>0.19166666666666657</v>
      </c>
      <c r="N94" s="3">
        <f t="shared" si="7"/>
        <v>0.4312499999999998</v>
      </c>
      <c r="O94" s="1"/>
      <c r="P94" s="152">
        <f t="shared" si="8"/>
        <v>163.32458333333335</v>
      </c>
      <c r="Q94" s="150">
        <v>0</v>
      </c>
      <c r="R94" s="199">
        <v>0</v>
      </c>
      <c r="S94" s="199">
        <v>0</v>
      </c>
      <c r="T94" s="199">
        <v>0</v>
      </c>
      <c r="U94" s="199">
        <v>0</v>
      </c>
      <c r="V94" s="155">
        <f t="shared" si="4"/>
        <v>0</v>
      </c>
      <c r="W94" s="199"/>
      <c r="X94" s="151">
        <f>(X93-VSLFO.MGO4[[#This Row],[TOTAL]])+VSLFO.MGO4[[#This Row],[FAENA2]]</f>
        <v>65.30000000000004</v>
      </c>
      <c r="Y94" s="150"/>
      <c r="Z94" s="199"/>
      <c r="AA94" s="149">
        <f t="shared" si="5"/>
        <v>100</v>
      </c>
      <c r="AB94" s="199"/>
      <c r="AC94" s="199"/>
      <c r="AD94" s="149">
        <f>($AD$4-VSLFO.MGO4[[#This Row],[CARTER MP.]])+VSLFO.MGO4[[#This Row],[FAENA EN LTS2]]</f>
        <v>100</v>
      </c>
      <c r="AE94" s="199"/>
      <c r="AF94" s="199"/>
      <c r="AG94" s="149">
        <f t="shared" si="6"/>
        <v>100</v>
      </c>
      <c r="AH94" s="199"/>
      <c r="AI94" s="199"/>
      <c r="AJ94" s="148">
        <f>(AJ93-VSLFO.MGO4[[#This Row],[HIDRAULICO]])+VSLFO.MGO4[[#This Row],[FAENA EN LTS3]]</f>
        <v>100</v>
      </c>
    </row>
    <row r="95" spans="1:36" x14ac:dyDescent="0.25">
      <c r="A95" s="192"/>
      <c r="B95" s="219">
        <v>43854</v>
      </c>
      <c r="C95" s="7">
        <v>0.33333333333333331</v>
      </c>
      <c r="D95" s="4">
        <f>IF(VSLFO.MGO4[[#This Row],[FECHA]]-B94=1,((VSLFO.MGO4[[#This Row],[HORA]]-C94)*24)+24,(VSLFO.MGO4[[#This Row],[HORA]]-C94)*24)</f>
        <v>24</v>
      </c>
      <c r="E95" s="10" t="s">
        <v>1051</v>
      </c>
      <c r="F95" s="154" t="s">
        <v>1389</v>
      </c>
      <c r="G95" s="212"/>
      <c r="H95" s="201"/>
      <c r="I95" s="201"/>
      <c r="J95" s="207"/>
      <c r="K95" s="153">
        <v>0</v>
      </c>
      <c r="L95" s="3">
        <v>2.5</v>
      </c>
      <c r="M95" s="3">
        <v>2</v>
      </c>
      <c r="N95" s="3">
        <f t="shared" si="7"/>
        <v>4.5</v>
      </c>
      <c r="O95" s="1"/>
      <c r="P95" s="152">
        <f t="shared" si="8"/>
        <v>158.82458333333335</v>
      </c>
      <c r="Q95" s="150">
        <v>0</v>
      </c>
      <c r="R95" s="199">
        <v>0</v>
      </c>
      <c r="S95" s="199">
        <v>0</v>
      </c>
      <c r="T95" s="199">
        <v>0</v>
      </c>
      <c r="U95" s="199">
        <v>0</v>
      </c>
      <c r="V95" s="155">
        <f t="shared" si="4"/>
        <v>0</v>
      </c>
      <c r="W95" s="199"/>
      <c r="X95" s="151">
        <f>(X94-VSLFO.MGO4[[#This Row],[TOTAL]])+VSLFO.MGO4[[#This Row],[FAENA2]]</f>
        <v>65.30000000000004</v>
      </c>
      <c r="Y95" s="150"/>
      <c r="Z95" s="199"/>
      <c r="AA95" s="149">
        <f t="shared" si="5"/>
        <v>100</v>
      </c>
      <c r="AB95" s="199"/>
      <c r="AC95" s="199"/>
      <c r="AD95" s="149">
        <f>($AD$4-VSLFO.MGO4[[#This Row],[CARTER MP.]])+VSLFO.MGO4[[#This Row],[FAENA EN LTS2]]</f>
        <v>100</v>
      </c>
      <c r="AE95" s="199"/>
      <c r="AF95" s="199"/>
      <c r="AG95" s="149">
        <f t="shared" si="6"/>
        <v>100</v>
      </c>
      <c r="AH95" s="199"/>
      <c r="AI95" s="199"/>
      <c r="AJ95" s="148">
        <f>(AJ94-VSLFO.MGO4[[#This Row],[HIDRAULICO]])+VSLFO.MGO4[[#This Row],[FAENA EN LTS3]]</f>
        <v>100</v>
      </c>
    </row>
    <row r="96" spans="1:36" x14ac:dyDescent="0.25">
      <c r="A96" s="192"/>
      <c r="B96" s="219">
        <v>43854</v>
      </c>
      <c r="C96" s="7">
        <v>0.82500000000000007</v>
      </c>
      <c r="D96" s="4">
        <f>IF(VSLFO.MGO4[[#This Row],[FECHA]]-B95=1,((VSLFO.MGO4[[#This Row],[HORA]]-C95)*24)+24,(VSLFO.MGO4[[#This Row],[HORA]]-C95)*24)</f>
        <v>11.800000000000002</v>
      </c>
      <c r="E96" s="10" t="s">
        <v>1051</v>
      </c>
      <c r="F96" s="154" t="s">
        <v>1407</v>
      </c>
      <c r="G96" s="212"/>
      <c r="H96" s="201"/>
      <c r="I96" s="201"/>
      <c r="J96" s="207"/>
      <c r="K96" s="153">
        <v>0</v>
      </c>
      <c r="L96" s="3">
        <v>1.229166666666667</v>
      </c>
      <c r="M96" s="3">
        <v>0.9833333333333335</v>
      </c>
      <c r="N96" s="3">
        <f t="shared" si="7"/>
        <v>2.2125000000000004</v>
      </c>
      <c r="O96" s="1"/>
      <c r="P96" s="152">
        <f t="shared" si="8"/>
        <v>156.61208333333335</v>
      </c>
      <c r="Q96" s="150">
        <v>0</v>
      </c>
      <c r="R96" s="199">
        <v>0</v>
      </c>
      <c r="S96" s="199">
        <v>0</v>
      </c>
      <c r="T96" s="199">
        <v>0</v>
      </c>
      <c r="U96" s="199">
        <v>0</v>
      </c>
      <c r="V96" s="155">
        <f t="shared" si="4"/>
        <v>0</v>
      </c>
      <c r="W96" s="199"/>
      <c r="X96" s="151">
        <f>(X95-VSLFO.MGO4[[#This Row],[TOTAL]])+VSLFO.MGO4[[#This Row],[FAENA2]]</f>
        <v>65.30000000000004</v>
      </c>
      <c r="Y96" s="150"/>
      <c r="Z96" s="199"/>
      <c r="AA96" s="149">
        <f t="shared" si="5"/>
        <v>100</v>
      </c>
      <c r="AB96" s="199"/>
      <c r="AC96" s="199"/>
      <c r="AD96" s="149">
        <f>($AD$4-VSLFO.MGO4[[#This Row],[CARTER MP.]])+VSLFO.MGO4[[#This Row],[FAENA EN LTS2]]</f>
        <v>100</v>
      </c>
      <c r="AE96" s="199"/>
      <c r="AF96" s="199"/>
      <c r="AG96" s="149">
        <f t="shared" si="6"/>
        <v>100</v>
      </c>
      <c r="AH96" s="199"/>
      <c r="AI96" s="199"/>
      <c r="AJ96" s="148">
        <f>(AJ95-VSLFO.MGO4[[#This Row],[HIDRAULICO]])+VSLFO.MGO4[[#This Row],[FAENA EN LTS3]]</f>
        <v>100</v>
      </c>
    </row>
    <row r="97" spans="1:36" x14ac:dyDescent="0.25">
      <c r="A97" s="192"/>
      <c r="B97" s="219">
        <v>43855</v>
      </c>
      <c r="C97" s="7">
        <v>0.14166666666666666</v>
      </c>
      <c r="D97" s="4">
        <f>IF(VSLFO.MGO4[[#This Row],[FECHA]]-B96=1,((VSLFO.MGO4[[#This Row],[HORA]]-C96)*24)+24,(VSLFO.MGO4[[#This Row],[HORA]]-C96)*24)</f>
        <v>7.6000000000000014</v>
      </c>
      <c r="E97" s="10" t="s">
        <v>1425</v>
      </c>
      <c r="F97" s="154" t="s">
        <v>1405</v>
      </c>
      <c r="G97" s="212"/>
      <c r="H97" s="201"/>
      <c r="I97" s="201"/>
      <c r="J97" s="207"/>
      <c r="K97" s="153">
        <v>0</v>
      </c>
      <c r="L97" s="3">
        <v>0.79166666666666685</v>
      </c>
      <c r="M97" s="3">
        <v>0.63333333333333341</v>
      </c>
      <c r="N97" s="3">
        <f t="shared" si="7"/>
        <v>1.4250000000000003</v>
      </c>
      <c r="O97" s="1"/>
      <c r="P97" s="152">
        <f t="shared" si="8"/>
        <v>155.18708333333333</v>
      </c>
      <c r="Q97" s="150">
        <v>0</v>
      </c>
      <c r="R97" s="199">
        <v>0</v>
      </c>
      <c r="S97" s="199">
        <v>0</v>
      </c>
      <c r="T97" s="199">
        <v>0</v>
      </c>
      <c r="U97" s="199">
        <v>0</v>
      </c>
      <c r="V97" s="155">
        <f t="shared" si="4"/>
        <v>0</v>
      </c>
      <c r="W97" s="199"/>
      <c r="X97" s="151">
        <f>(X96-VSLFO.MGO4[[#This Row],[TOTAL]])+VSLFO.MGO4[[#This Row],[FAENA2]]</f>
        <v>65.30000000000004</v>
      </c>
      <c r="Y97" s="150"/>
      <c r="Z97" s="199"/>
      <c r="AA97" s="149">
        <f t="shared" si="5"/>
        <v>100</v>
      </c>
      <c r="AB97" s="199"/>
      <c r="AC97" s="199"/>
      <c r="AD97" s="149">
        <f>($AD$4-VSLFO.MGO4[[#This Row],[CARTER MP.]])+VSLFO.MGO4[[#This Row],[FAENA EN LTS2]]</f>
        <v>100</v>
      </c>
      <c r="AE97" s="199"/>
      <c r="AF97" s="199"/>
      <c r="AG97" s="149">
        <f t="shared" si="6"/>
        <v>100</v>
      </c>
      <c r="AH97" s="199"/>
      <c r="AI97" s="199"/>
      <c r="AJ97" s="148">
        <f>(AJ96-VSLFO.MGO4[[#This Row],[HIDRAULICO]])+VSLFO.MGO4[[#This Row],[FAENA EN LTS3]]</f>
        <v>100</v>
      </c>
    </row>
    <row r="98" spans="1:36" x14ac:dyDescent="0.25">
      <c r="A98" s="192"/>
      <c r="B98" s="219">
        <v>43855</v>
      </c>
      <c r="C98" s="7">
        <v>0.19166666666666665</v>
      </c>
      <c r="D98" s="4">
        <f>IF(VSLFO.MGO4[[#This Row],[FECHA]]-B97=1,((VSLFO.MGO4[[#This Row],[HORA]]-C97)*24)+24,(VSLFO.MGO4[[#This Row],[HORA]]-C97)*24)</f>
        <v>1.1999999999999997</v>
      </c>
      <c r="E98" s="10" t="s">
        <v>1057</v>
      </c>
      <c r="F98" s="154" t="s">
        <v>1417</v>
      </c>
      <c r="G98" s="212"/>
      <c r="H98" s="201"/>
      <c r="I98" s="201"/>
      <c r="J98" s="207"/>
      <c r="K98" s="153">
        <v>0.24999999999999994</v>
      </c>
      <c r="L98" s="3">
        <v>0.12499999999999997</v>
      </c>
      <c r="M98" s="3">
        <v>9.9999999999999978E-2</v>
      </c>
      <c r="N98" s="3">
        <f t="shared" si="7"/>
        <v>0.47499999999999987</v>
      </c>
      <c r="O98" s="1"/>
      <c r="P98" s="152">
        <f t="shared" si="8"/>
        <v>154.71208333333334</v>
      </c>
      <c r="Q98" s="150">
        <v>0</v>
      </c>
      <c r="R98" s="199">
        <v>0</v>
      </c>
      <c r="S98" s="199">
        <v>0</v>
      </c>
      <c r="T98" s="199">
        <v>0</v>
      </c>
      <c r="U98" s="199">
        <v>0</v>
      </c>
      <c r="V98" s="155">
        <f t="shared" si="4"/>
        <v>0</v>
      </c>
      <c r="W98" s="199"/>
      <c r="X98" s="151">
        <f>(X97-VSLFO.MGO4[[#This Row],[TOTAL]])+VSLFO.MGO4[[#This Row],[FAENA2]]</f>
        <v>65.30000000000004</v>
      </c>
      <c r="Y98" s="150"/>
      <c r="Z98" s="199"/>
      <c r="AA98" s="149">
        <f t="shared" si="5"/>
        <v>100</v>
      </c>
      <c r="AB98" s="199"/>
      <c r="AC98" s="199"/>
      <c r="AD98" s="149">
        <f>($AD$4-VSLFO.MGO4[[#This Row],[CARTER MP.]])+VSLFO.MGO4[[#This Row],[FAENA EN LTS2]]</f>
        <v>100</v>
      </c>
      <c r="AE98" s="199"/>
      <c r="AF98" s="199"/>
      <c r="AG98" s="149">
        <f t="shared" si="6"/>
        <v>100</v>
      </c>
      <c r="AH98" s="199"/>
      <c r="AI98" s="199"/>
      <c r="AJ98" s="148">
        <f>(AJ97-VSLFO.MGO4[[#This Row],[HIDRAULICO]])+VSLFO.MGO4[[#This Row],[FAENA EN LTS3]]</f>
        <v>100</v>
      </c>
    </row>
    <row r="99" spans="1:36" x14ac:dyDescent="0.25">
      <c r="A99" s="192"/>
      <c r="B99" s="219">
        <v>43855</v>
      </c>
      <c r="C99" s="7">
        <v>0.29166666666666669</v>
      </c>
      <c r="D99" s="4">
        <f>IF(VSLFO.MGO4[[#This Row],[FECHA]]-B98=1,((VSLFO.MGO4[[#This Row],[HORA]]-C98)*24)+24,(VSLFO.MGO4[[#This Row],[HORA]]-C98)*24)</f>
        <v>2.4000000000000008</v>
      </c>
      <c r="E99" s="10" t="s">
        <v>351</v>
      </c>
      <c r="F99" s="154" t="s">
        <v>1405</v>
      </c>
      <c r="G99" s="212"/>
      <c r="H99" s="201"/>
      <c r="I99" s="201"/>
      <c r="J99" s="207"/>
      <c r="K99" s="153">
        <v>0</v>
      </c>
      <c r="L99" s="3">
        <v>0.25000000000000011</v>
      </c>
      <c r="M99" s="3">
        <v>0.20000000000000007</v>
      </c>
      <c r="N99" s="3">
        <f t="shared" si="7"/>
        <v>0.45000000000000018</v>
      </c>
      <c r="O99" s="1"/>
      <c r="P99" s="152">
        <f t="shared" si="8"/>
        <v>154.26208333333335</v>
      </c>
      <c r="Q99" s="150">
        <v>0</v>
      </c>
      <c r="R99" s="199">
        <v>0</v>
      </c>
      <c r="S99" s="199">
        <v>0</v>
      </c>
      <c r="T99" s="199">
        <v>0</v>
      </c>
      <c r="U99" s="199">
        <v>0</v>
      </c>
      <c r="V99" s="155">
        <f t="shared" si="4"/>
        <v>0</v>
      </c>
      <c r="W99" s="199"/>
      <c r="X99" s="151">
        <f>(X98-VSLFO.MGO4[[#This Row],[TOTAL]])+VSLFO.MGO4[[#This Row],[FAENA2]]</f>
        <v>65.30000000000004</v>
      </c>
      <c r="Y99" s="150"/>
      <c r="Z99" s="199"/>
      <c r="AA99" s="149">
        <f t="shared" si="5"/>
        <v>100</v>
      </c>
      <c r="AB99" s="199"/>
      <c r="AC99" s="199"/>
      <c r="AD99" s="149">
        <f>($AD$4-VSLFO.MGO4[[#This Row],[CARTER MP.]])+VSLFO.MGO4[[#This Row],[FAENA EN LTS2]]</f>
        <v>100</v>
      </c>
      <c r="AE99" s="199"/>
      <c r="AF99" s="199"/>
      <c r="AG99" s="149">
        <f t="shared" si="6"/>
        <v>100</v>
      </c>
      <c r="AH99" s="199"/>
      <c r="AI99" s="199"/>
      <c r="AJ99" s="148">
        <f>(AJ98-VSLFO.MGO4[[#This Row],[HIDRAULICO]])+VSLFO.MGO4[[#This Row],[FAENA EN LTS3]]</f>
        <v>100</v>
      </c>
    </row>
    <row r="100" spans="1:36" x14ac:dyDescent="0.25">
      <c r="A100" s="192"/>
      <c r="B100" s="219">
        <v>43855</v>
      </c>
      <c r="C100" s="7">
        <v>0.3</v>
      </c>
      <c r="D100" s="4">
        <f>IF(VSLFO.MGO4[[#This Row],[FECHA]]-B99=1,((VSLFO.MGO4[[#This Row],[HORA]]-C99)*24)+24,(VSLFO.MGO4[[#This Row],[HORA]]-C99)*24)</f>
        <v>0.19999999999999929</v>
      </c>
      <c r="E100" s="10" t="s">
        <v>1057</v>
      </c>
      <c r="F100" s="154" t="s">
        <v>1408</v>
      </c>
      <c r="G100" s="212"/>
      <c r="H100" s="201"/>
      <c r="I100" s="201"/>
      <c r="J100" s="207"/>
      <c r="K100" s="153">
        <v>8.3333333333333037E-2</v>
      </c>
      <c r="L100" s="3">
        <v>2.0833333333333259E-2</v>
      </c>
      <c r="M100" s="3">
        <v>1.6666666666666607E-2</v>
      </c>
      <c r="N100" s="3">
        <f t="shared" si="7"/>
        <v>0.1208333333333329</v>
      </c>
      <c r="O100" s="1"/>
      <c r="P100" s="152">
        <f t="shared" si="8"/>
        <v>154.14125000000001</v>
      </c>
      <c r="Q100" s="150">
        <v>0</v>
      </c>
      <c r="R100" s="199">
        <v>0</v>
      </c>
      <c r="S100" s="199">
        <v>0</v>
      </c>
      <c r="T100" s="199">
        <v>0</v>
      </c>
      <c r="U100" s="199">
        <v>0</v>
      </c>
      <c r="V100" s="155">
        <f t="shared" si="4"/>
        <v>0</v>
      </c>
      <c r="W100" s="199"/>
      <c r="X100" s="151">
        <f>(X99-VSLFO.MGO4[[#This Row],[TOTAL]])+VSLFO.MGO4[[#This Row],[FAENA2]]</f>
        <v>65.30000000000004</v>
      </c>
      <c r="Y100" s="150"/>
      <c r="Z100" s="199"/>
      <c r="AA100" s="149">
        <f t="shared" si="5"/>
        <v>100</v>
      </c>
      <c r="AB100" s="199"/>
      <c r="AC100" s="199"/>
      <c r="AD100" s="149">
        <f>($AD$4-VSLFO.MGO4[[#This Row],[CARTER MP.]])+VSLFO.MGO4[[#This Row],[FAENA EN LTS2]]</f>
        <v>100</v>
      </c>
      <c r="AE100" s="199"/>
      <c r="AF100" s="199"/>
      <c r="AG100" s="149">
        <f t="shared" si="6"/>
        <v>100</v>
      </c>
      <c r="AH100" s="199"/>
      <c r="AI100" s="199"/>
      <c r="AJ100" s="148">
        <f>(AJ99-VSLFO.MGO4[[#This Row],[HIDRAULICO]])+VSLFO.MGO4[[#This Row],[FAENA EN LTS3]]</f>
        <v>100</v>
      </c>
    </row>
    <row r="101" spans="1:36" x14ac:dyDescent="0.25">
      <c r="A101" s="192"/>
      <c r="B101" s="219">
        <v>43855</v>
      </c>
      <c r="C101" s="7">
        <v>0.33333333333333331</v>
      </c>
      <c r="D101" s="4">
        <f>IF(VSLFO.MGO4[[#This Row],[FECHA]]-B100=1,((VSLFO.MGO4[[#This Row],[HORA]]-C100)*24)+24,(VSLFO.MGO4[[#This Row],[HORA]]-C100)*24)</f>
        <v>0.79999999999999982</v>
      </c>
      <c r="E101" s="10" t="s">
        <v>1338</v>
      </c>
      <c r="F101" s="154" t="s">
        <v>1193</v>
      </c>
      <c r="G101" s="212"/>
      <c r="H101" s="201"/>
      <c r="I101" s="201" t="s">
        <v>1297</v>
      </c>
      <c r="J101" s="207">
        <v>95</v>
      </c>
      <c r="K101" s="153">
        <v>0.73333333333333317</v>
      </c>
      <c r="L101" s="3">
        <v>8.3333333333333315E-2</v>
      </c>
      <c r="M101" s="3">
        <v>0</v>
      </c>
      <c r="N101" s="3">
        <f t="shared" si="7"/>
        <v>0.81666666666666643</v>
      </c>
      <c r="O101" s="1"/>
      <c r="P101" s="152">
        <f t="shared" si="8"/>
        <v>153.32458333333335</v>
      </c>
      <c r="Q101" s="150">
        <v>0</v>
      </c>
      <c r="R101" s="199">
        <v>0</v>
      </c>
      <c r="S101" s="199">
        <v>0</v>
      </c>
      <c r="T101" s="199">
        <v>0</v>
      </c>
      <c r="U101" s="199">
        <v>0</v>
      </c>
      <c r="V101" s="155">
        <f t="shared" ref="V101:V116" si="9">SUM(Q101:U101)</f>
        <v>0</v>
      </c>
      <c r="W101" s="199"/>
      <c r="X101" s="151">
        <f>(X100-VSLFO.MGO4[[#This Row],[TOTAL]])+VSLFO.MGO4[[#This Row],[FAENA2]]</f>
        <v>65.30000000000004</v>
      </c>
      <c r="Y101" s="150"/>
      <c r="Z101" s="199"/>
      <c r="AA101" s="149">
        <f t="shared" si="5"/>
        <v>100</v>
      </c>
      <c r="AB101" s="199"/>
      <c r="AC101" s="199"/>
      <c r="AD101" s="149">
        <f>($AD$4-VSLFO.MGO4[[#This Row],[CARTER MP.]])+VSLFO.MGO4[[#This Row],[FAENA EN LTS2]]</f>
        <v>100</v>
      </c>
      <c r="AE101" s="199"/>
      <c r="AF101" s="199"/>
      <c r="AG101" s="149">
        <f t="shared" si="6"/>
        <v>100</v>
      </c>
      <c r="AH101" s="199"/>
      <c r="AI101" s="199"/>
      <c r="AJ101" s="148">
        <f>(AJ100-VSLFO.MGO4[[#This Row],[HIDRAULICO]])+VSLFO.MGO4[[#This Row],[FAENA EN LTS3]]</f>
        <v>100</v>
      </c>
    </row>
    <row r="102" spans="1:36" x14ac:dyDescent="0.25">
      <c r="A102" s="192"/>
      <c r="B102" s="219">
        <v>43855</v>
      </c>
      <c r="C102" s="7">
        <v>0.63750000000000007</v>
      </c>
      <c r="D102" s="4">
        <f>IF(VSLFO.MGO4[[#This Row],[FECHA]]-B101=1,((VSLFO.MGO4[[#This Row],[HORA]]-C101)*24)+24,(VSLFO.MGO4[[#This Row],[HORA]]-C101)*24)</f>
        <v>7.3000000000000025</v>
      </c>
      <c r="E102" s="10" t="s">
        <v>1338</v>
      </c>
      <c r="F102" s="154" t="s">
        <v>1162</v>
      </c>
      <c r="G102" s="212">
        <v>91</v>
      </c>
      <c r="H102" s="201">
        <v>10.199999999999999</v>
      </c>
      <c r="I102" s="201" t="s">
        <v>1296</v>
      </c>
      <c r="J102" s="207">
        <v>95</v>
      </c>
      <c r="K102" s="153">
        <v>6.6916666666666691</v>
      </c>
      <c r="L102" s="3">
        <v>0.76041666666666696</v>
      </c>
      <c r="M102" s="3">
        <v>0</v>
      </c>
      <c r="N102" s="3">
        <f t="shared" si="7"/>
        <v>7.4520833333333361</v>
      </c>
      <c r="O102" s="1"/>
      <c r="P102" s="152">
        <f t="shared" si="8"/>
        <v>145.8725</v>
      </c>
      <c r="Q102" s="150">
        <v>0</v>
      </c>
      <c r="R102" s="199">
        <v>0</v>
      </c>
      <c r="S102" s="199">
        <v>0</v>
      </c>
      <c r="T102" s="199">
        <v>0</v>
      </c>
      <c r="U102" s="199">
        <v>0</v>
      </c>
      <c r="V102" s="155">
        <f t="shared" si="9"/>
        <v>0</v>
      </c>
      <c r="W102" s="199"/>
      <c r="X102" s="151">
        <f>(X101-VSLFO.MGO4[[#This Row],[TOTAL]])+VSLFO.MGO4[[#This Row],[FAENA2]]</f>
        <v>65.30000000000004</v>
      </c>
      <c r="Y102" s="150"/>
      <c r="Z102" s="199"/>
      <c r="AA102" s="149">
        <f t="shared" si="5"/>
        <v>100</v>
      </c>
      <c r="AB102" s="199"/>
      <c r="AC102" s="199"/>
      <c r="AD102" s="149">
        <f>($AD$4-VSLFO.MGO4[[#This Row],[CARTER MP.]])+VSLFO.MGO4[[#This Row],[FAENA EN LTS2]]</f>
        <v>100</v>
      </c>
      <c r="AE102" s="199"/>
      <c r="AF102" s="199"/>
      <c r="AG102" s="149">
        <f t="shared" si="6"/>
        <v>100</v>
      </c>
      <c r="AH102" s="199"/>
      <c r="AI102" s="199"/>
      <c r="AJ102" s="148">
        <f>(AJ101-VSLFO.MGO4[[#This Row],[HIDRAULICO]])+VSLFO.MGO4[[#This Row],[FAENA EN LTS3]]</f>
        <v>100</v>
      </c>
    </row>
    <row r="103" spans="1:36" x14ac:dyDescent="0.25">
      <c r="A103" s="192"/>
      <c r="B103" s="219">
        <v>43855</v>
      </c>
      <c r="C103" s="7">
        <v>0.71250000000000002</v>
      </c>
      <c r="D103" s="4">
        <f>IF(VSLFO.MGO4[[#This Row],[FECHA]]-B102=1,((VSLFO.MGO4[[#This Row],[HORA]]-C102)*24)+24,(VSLFO.MGO4[[#This Row],[HORA]]-C102)*24)</f>
        <v>1.7999999999999989</v>
      </c>
      <c r="E103" s="10" t="s">
        <v>1057</v>
      </c>
      <c r="F103" s="154" t="s">
        <v>1194</v>
      </c>
      <c r="G103" s="212"/>
      <c r="H103" s="201"/>
      <c r="I103" s="201"/>
      <c r="J103" s="207"/>
      <c r="K103" s="153">
        <v>0.22499999999999987</v>
      </c>
      <c r="L103" s="3">
        <v>0.18749999999999989</v>
      </c>
      <c r="M103" s="3">
        <v>0.14999999999999991</v>
      </c>
      <c r="N103" s="3">
        <f t="shared" si="7"/>
        <v>0.56249999999999967</v>
      </c>
      <c r="O103" s="1"/>
      <c r="P103" s="152">
        <f t="shared" si="8"/>
        <v>145.31</v>
      </c>
      <c r="Q103" s="150">
        <v>0</v>
      </c>
      <c r="R103" s="199">
        <v>0</v>
      </c>
      <c r="S103" s="199">
        <v>0</v>
      </c>
      <c r="T103" s="199">
        <v>0</v>
      </c>
      <c r="U103" s="199">
        <v>0</v>
      </c>
      <c r="V103" s="155">
        <f t="shared" si="9"/>
        <v>0</v>
      </c>
      <c r="W103" s="199"/>
      <c r="X103" s="151">
        <f>(X102-VSLFO.MGO4[[#This Row],[TOTAL]])+VSLFO.MGO4[[#This Row],[FAENA2]]</f>
        <v>65.30000000000004</v>
      </c>
      <c r="Y103" s="150"/>
      <c r="Z103" s="199"/>
      <c r="AA103" s="149">
        <f t="shared" si="5"/>
        <v>100</v>
      </c>
      <c r="AB103" s="199"/>
      <c r="AC103" s="199"/>
      <c r="AD103" s="149">
        <f>($AD$4-VSLFO.MGO4[[#This Row],[CARTER MP.]])+VSLFO.MGO4[[#This Row],[FAENA EN LTS2]]</f>
        <v>100</v>
      </c>
      <c r="AE103" s="199"/>
      <c r="AF103" s="199"/>
      <c r="AG103" s="149">
        <f t="shared" si="6"/>
        <v>100</v>
      </c>
      <c r="AH103" s="199"/>
      <c r="AI103" s="199"/>
      <c r="AJ103" s="148">
        <f>(AJ102-VSLFO.MGO4[[#This Row],[HIDRAULICO]])+VSLFO.MGO4[[#This Row],[FAENA EN LTS3]]</f>
        <v>100</v>
      </c>
    </row>
    <row r="104" spans="1:36" x14ac:dyDescent="0.25">
      <c r="A104" s="192"/>
      <c r="B104" s="219">
        <v>43855</v>
      </c>
      <c r="C104" s="7">
        <v>0.85416666666666663</v>
      </c>
      <c r="D104" s="4">
        <f>IF(VSLFO.MGO4[[#This Row],[FECHA]]-B103=1,((VSLFO.MGO4[[#This Row],[HORA]]-C103)*24)+24,(VSLFO.MGO4[[#This Row],[HORA]]-C103)*24)</f>
        <v>3.3999999999999986</v>
      </c>
      <c r="E104" s="10" t="s">
        <v>1425</v>
      </c>
      <c r="F104" s="154" t="s">
        <v>1418</v>
      </c>
      <c r="G104" s="212"/>
      <c r="H104" s="201"/>
      <c r="I104" s="201"/>
      <c r="J104" s="207"/>
      <c r="K104" s="153">
        <v>0</v>
      </c>
      <c r="L104" s="3">
        <v>0.35416666666666652</v>
      </c>
      <c r="M104" s="3">
        <v>0.28333333333333321</v>
      </c>
      <c r="N104" s="3">
        <f t="shared" si="7"/>
        <v>0.63749999999999973</v>
      </c>
      <c r="O104" s="1"/>
      <c r="P104" s="152">
        <f t="shared" si="8"/>
        <v>144.67250000000001</v>
      </c>
      <c r="Q104" s="150">
        <v>0</v>
      </c>
      <c r="R104" s="199">
        <v>0</v>
      </c>
      <c r="S104" s="199">
        <v>0</v>
      </c>
      <c r="T104" s="199">
        <v>0</v>
      </c>
      <c r="U104" s="199">
        <v>0</v>
      </c>
      <c r="V104" s="155">
        <f t="shared" si="9"/>
        <v>0</v>
      </c>
      <c r="W104" s="199"/>
      <c r="X104" s="151">
        <f>(X103-VSLFO.MGO4[[#This Row],[TOTAL]])+VSLFO.MGO4[[#This Row],[FAENA2]]</f>
        <v>65.30000000000004</v>
      </c>
      <c r="Y104" s="150"/>
      <c r="Z104" s="199"/>
      <c r="AA104" s="149">
        <f t="shared" si="5"/>
        <v>100</v>
      </c>
      <c r="AB104" s="199"/>
      <c r="AC104" s="199"/>
      <c r="AD104" s="149">
        <f>($AD$4-VSLFO.MGO4[[#This Row],[CARTER MP.]])+VSLFO.MGO4[[#This Row],[FAENA EN LTS2]]</f>
        <v>100</v>
      </c>
      <c r="AE104" s="199"/>
      <c r="AF104" s="199"/>
      <c r="AG104" s="149">
        <f t="shared" si="6"/>
        <v>100</v>
      </c>
      <c r="AH104" s="199"/>
      <c r="AI104" s="199"/>
      <c r="AJ104" s="148">
        <f>(AJ103-VSLFO.MGO4[[#This Row],[HIDRAULICO]])+VSLFO.MGO4[[#This Row],[FAENA EN LTS3]]</f>
        <v>100</v>
      </c>
    </row>
    <row r="105" spans="1:36" x14ac:dyDescent="0.25">
      <c r="A105" s="192"/>
      <c r="B105" s="219">
        <v>43856</v>
      </c>
      <c r="C105" s="7">
        <v>0.33333333333333331</v>
      </c>
      <c r="D105" s="4">
        <f>IF(VSLFO.MGO4[[#This Row],[FECHA]]-B104=1,((VSLFO.MGO4[[#This Row],[HORA]]-C104)*24)+24,(VSLFO.MGO4[[#This Row],[HORA]]-C104)*24)</f>
        <v>11.500000000000002</v>
      </c>
      <c r="E105" s="10" t="s">
        <v>966</v>
      </c>
      <c r="F105" s="154" t="s">
        <v>1193</v>
      </c>
      <c r="G105" s="212"/>
      <c r="H105" s="201"/>
      <c r="I105" s="201"/>
      <c r="J105" s="207"/>
      <c r="K105" s="153">
        <v>0</v>
      </c>
      <c r="L105" s="3">
        <v>1.197916666666667</v>
      </c>
      <c r="M105" s="3">
        <v>0.95833333333333348</v>
      </c>
      <c r="N105" s="3">
        <f t="shared" si="7"/>
        <v>2.1562500000000004</v>
      </c>
      <c r="O105" s="1"/>
      <c r="P105" s="152">
        <f t="shared" si="8"/>
        <v>142.51625000000001</v>
      </c>
      <c r="Q105" s="150">
        <v>0</v>
      </c>
      <c r="R105" s="199">
        <v>0</v>
      </c>
      <c r="S105" s="199">
        <v>0</v>
      </c>
      <c r="T105" s="199">
        <v>0</v>
      </c>
      <c r="U105" s="199">
        <v>0</v>
      </c>
      <c r="V105" s="155">
        <f t="shared" si="9"/>
        <v>0</v>
      </c>
      <c r="W105" s="199"/>
      <c r="X105" s="151">
        <f>(X104-VSLFO.MGO4[[#This Row],[TOTAL]])+VSLFO.MGO4[[#This Row],[FAENA2]]</f>
        <v>65.30000000000004</v>
      </c>
      <c r="Y105" s="150"/>
      <c r="Z105" s="199"/>
      <c r="AA105" s="149">
        <f t="shared" si="5"/>
        <v>100</v>
      </c>
      <c r="AB105" s="199"/>
      <c r="AC105" s="199"/>
      <c r="AD105" s="149">
        <f>($AD$4-VSLFO.MGO4[[#This Row],[CARTER MP.]])+VSLFO.MGO4[[#This Row],[FAENA EN LTS2]]</f>
        <v>100</v>
      </c>
      <c r="AE105" s="199"/>
      <c r="AF105" s="199"/>
      <c r="AG105" s="149">
        <f t="shared" si="6"/>
        <v>100</v>
      </c>
      <c r="AH105" s="199"/>
      <c r="AI105" s="199"/>
      <c r="AJ105" s="148">
        <f>(AJ104-VSLFO.MGO4[[#This Row],[HIDRAULICO]])+VSLFO.MGO4[[#This Row],[FAENA EN LTS3]]</f>
        <v>100</v>
      </c>
    </row>
    <row r="106" spans="1:36" x14ac:dyDescent="0.25">
      <c r="A106" s="192"/>
      <c r="B106" s="219">
        <v>43857</v>
      </c>
      <c r="C106" s="7">
        <v>0.33333333333333331</v>
      </c>
      <c r="D106" s="4">
        <f>IF(VSLFO.MGO4[[#This Row],[FECHA]]-B105=1,((VSLFO.MGO4[[#This Row],[HORA]]-C105)*24)+24,(VSLFO.MGO4[[#This Row],[HORA]]-C105)*24)</f>
        <v>24</v>
      </c>
      <c r="E106" s="10" t="s">
        <v>966</v>
      </c>
      <c r="F106" s="154" t="s">
        <v>1193</v>
      </c>
      <c r="G106" s="212"/>
      <c r="H106" s="201"/>
      <c r="I106" s="201"/>
      <c r="J106" s="207"/>
      <c r="K106" s="153">
        <v>0</v>
      </c>
      <c r="L106" s="3">
        <v>2.5</v>
      </c>
      <c r="M106" s="3">
        <v>2</v>
      </c>
      <c r="N106" s="3">
        <f t="shared" si="7"/>
        <v>4.5</v>
      </c>
      <c r="O106" s="1"/>
      <c r="P106" s="152">
        <f t="shared" si="8"/>
        <v>138.01625000000001</v>
      </c>
      <c r="Q106" s="150">
        <v>0</v>
      </c>
      <c r="R106" s="199">
        <v>0</v>
      </c>
      <c r="S106" s="199">
        <v>0</v>
      </c>
      <c r="T106" s="199">
        <v>0</v>
      </c>
      <c r="U106" s="199">
        <v>0</v>
      </c>
      <c r="V106" s="155">
        <f t="shared" si="9"/>
        <v>0</v>
      </c>
      <c r="W106" s="199"/>
      <c r="X106" s="151">
        <f>(X105-VSLFO.MGO4[[#This Row],[TOTAL]])+VSLFO.MGO4[[#This Row],[FAENA2]]</f>
        <v>65.30000000000004</v>
      </c>
      <c r="Y106" s="150"/>
      <c r="Z106" s="199"/>
      <c r="AA106" s="149">
        <f t="shared" si="5"/>
        <v>100</v>
      </c>
      <c r="AB106" s="199"/>
      <c r="AC106" s="199"/>
      <c r="AD106" s="149">
        <f>($AD$4-VSLFO.MGO4[[#This Row],[CARTER MP.]])+VSLFO.MGO4[[#This Row],[FAENA EN LTS2]]</f>
        <v>100</v>
      </c>
      <c r="AE106" s="199"/>
      <c r="AF106" s="199"/>
      <c r="AG106" s="149">
        <f t="shared" si="6"/>
        <v>100</v>
      </c>
      <c r="AH106" s="199"/>
      <c r="AI106" s="199"/>
      <c r="AJ106" s="148">
        <f>(AJ105-VSLFO.MGO4[[#This Row],[HIDRAULICO]])+VSLFO.MGO4[[#This Row],[FAENA EN LTS3]]</f>
        <v>100</v>
      </c>
    </row>
    <row r="107" spans="1:36" x14ac:dyDescent="0.25">
      <c r="A107" s="192"/>
      <c r="B107" s="219">
        <v>43857</v>
      </c>
      <c r="C107" s="7">
        <v>0.97916666666666663</v>
      </c>
      <c r="D107" s="4">
        <f>IF(VSLFO.MGO4[[#This Row],[FECHA]]-B106=1,((VSLFO.MGO4[[#This Row],[HORA]]-C106)*24)+24,(VSLFO.MGO4[[#This Row],[HORA]]-C106)*24)</f>
        <v>15.499999999999998</v>
      </c>
      <c r="E107" s="10" t="s">
        <v>966</v>
      </c>
      <c r="F107" s="154" t="s">
        <v>1410</v>
      </c>
      <c r="G107" s="212"/>
      <c r="H107" s="201"/>
      <c r="I107" s="201"/>
      <c r="J107" s="207"/>
      <c r="K107" s="153">
        <v>0</v>
      </c>
      <c r="L107" s="3">
        <v>1.6145833333333333</v>
      </c>
      <c r="M107" s="3">
        <v>1.2916666666666665</v>
      </c>
      <c r="N107" s="3">
        <f t="shared" si="7"/>
        <v>2.90625</v>
      </c>
      <c r="O107" s="1"/>
      <c r="P107" s="152">
        <f t="shared" si="8"/>
        <v>135.11000000000001</v>
      </c>
      <c r="Q107" s="150">
        <v>0</v>
      </c>
      <c r="R107" s="199">
        <v>0</v>
      </c>
      <c r="S107" s="199">
        <v>0</v>
      </c>
      <c r="T107" s="199">
        <v>0</v>
      </c>
      <c r="U107" s="199">
        <v>1.9</v>
      </c>
      <c r="V107" s="155">
        <f t="shared" si="9"/>
        <v>1.9</v>
      </c>
      <c r="W107" s="199"/>
      <c r="X107" s="151">
        <f>(X106-VSLFO.MGO4[[#This Row],[TOTAL]])+VSLFO.MGO4[[#This Row],[FAENA2]]</f>
        <v>63.400000000000041</v>
      </c>
      <c r="Y107" s="150"/>
      <c r="Z107" s="199"/>
      <c r="AA107" s="149">
        <f t="shared" si="5"/>
        <v>100</v>
      </c>
      <c r="AB107" s="199"/>
      <c r="AC107" s="199"/>
      <c r="AD107" s="149">
        <f>($AD$4-VSLFO.MGO4[[#This Row],[CARTER MP.]])+VSLFO.MGO4[[#This Row],[FAENA EN LTS2]]</f>
        <v>100</v>
      </c>
      <c r="AE107" s="199"/>
      <c r="AF107" s="199"/>
      <c r="AG107" s="149">
        <f t="shared" si="6"/>
        <v>100</v>
      </c>
      <c r="AH107" s="199"/>
      <c r="AI107" s="199"/>
      <c r="AJ107" s="148">
        <f>(AJ106-VSLFO.MGO4[[#This Row],[HIDRAULICO]])+VSLFO.MGO4[[#This Row],[FAENA EN LTS3]]</f>
        <v>100</v>
      </c>
    </row>
    <row r="108" spans="1:36" x14ac:dyDescent="0.25">
      <c r="A108" s="192"/>
      <c r="B108" s="219">
        <v>43858</v>
      </c>
      <c r="C108" s="7">
        <v>0.1125</v>
      </c>
      <c r="D108" s="4">
        <f>IF(VSLFO.MGO4[[#This Row],[FECHA]]-B107=1,((VSLFO.MGO4[[#This Row],[HORA]]-C107)*24)+24,(VSLFO.MGO4[[#This Row],[HORA]]-C107)*24)</f>
        <v>3.2000000000000028</v>
      </c>
      <c r="E108" s="10" t="s">
        <v>1425</v>
      </c>
      <c r="F108" s="154" t="s">
        <v>1409</v>
      </c>
      <c r="G108" s="212"/>
      <c r="H108" s="201"/>
      <c r="I108" s="201"/>
      <c r="J108" s="207"/>
      <c r="K108" s="153">
        <v>0</v>
      </c>
      <c r="L108" s="3">
        <v>0.33333333333333365</v>
      </c>
      <c r="M108" s="3">
        <v>0.26666666666666689</v>
      </c>
      <c r="N108" s="3">
        <f t="shared" si="7"/>
        <v>0.60000000000000053</v>
      </c>
      <c r="O108" s="1"/>
      <c r="P108" s="152">
        <f t="shared" si="8"/>
        <v>134.51000000000002</v>
      </c>
      <c r="Q108" s="150">
        <v>0</v>
      </c>
      <c r="R108" s="199">
        <v>0</v>
      </c>
      <c r="S108" s="199">
        <v>0</v>
      </c>
      <c r="T108" s="199">
        <v>0</v>
      </c>
      <c r="U108" s="199">
        <v>0</v>
      </c>
      <c r="V108" s="155">
        <f t="shared" si="9"/>
        <v>0</v>
      </c>
      <c r="W108" s="199"/>
      <c r="X108" s="151">
        <f>(X107-VSLFO.MGO4[[#This Row],[TOTAL]])+VSLFO.MGO4[[#This Row],[FAENA2]]</f>
        <v>63.400000000000041</v>
      </c>
      <c r="Y108" s="150"/>
      <c r="Z108" s="199"/>
      <c r="AA108" s="149">
        <f t="shared" ref="AA108:AA113" si="10">AA106</f>
        <v>100</v>
      </c>
      <c r="AB108" s="199"/>
      <c r="AC108" s="199"/>
      <c r="AD108" s="149">
        <f>($AD$4-VSLFO.MGO4[[#This Row],[CARTER MP.]])+VSLFO.MGO4[[#This Row],[FAENA EN LTS2]]</f>
        <v>100</v>
      </c>
      <c r="AE108" s="199"/>
      <c r="AF108" s="199"/>
      <c r="AG108" s="149">
        <f t="shared" ref="AG108:AG116" si="11">$AG$4</f>
        <v>100</v>
      </c>
      <c r="AH108" s="199"/>
      <c r="AI108" s="199"/>
      <c r="AJ108" s="148">
        <f>(AJ107-VSLFO.MGO4[[#This Row],[HIDRAULICO]])+VSLFO.MGO4[[#This Row],[FAENA EN LTS3]]</f>
        <v>100</v>
      </c>
    </row>
    <row r="109" spans="1:36" x14ac:dyDescent="0.25">
      <c r="A109" s="192"/>
      <c r="B109" s="219">
        <v>43858</v>
      </c>
      <c r="C109" s="7">
        <v>0.13749999999999998</v>
      </c>
      <c r="D109" s="4">
        <f>IF(VSLFO.MGO4[[#This Row],[FECHA]]-B108=1,((VSLFO.MGO4[[#This Row],[HORA]]-C108)*24)+24,(VSLFO.MGO4[[#This Row],[HORA]]-C108)*24)</f>
        <v>0.59999999999999953</v>
      </c>
      <c r="E109" s="10" t="s">
        <v>1057</v>
      </c>
      <c r="F109" s="154" t="s">
        <v>1411</v>
      </c>
      <c r="G109" s="212"/>
      <c r="H109" s="201"/>
      <c r="I109" s="201"/>
      <c r="J109" s="207"/>
      <c r="K109" s="153">
        <v>2.4999999999999981E-2</v>
      </c>
      <c r="L109" s="3">
        <v>6.2499999999999951E-2</v>
      </c>
      <c r="M109" s="3">
        <v>4.9999999999999961E-2</v>
      </c>
      <c r="N109" s="3">
        <f t="shared" si="7"/>
        <v>0.1374999999999999</v>
      </c>
      <c r="O109" s="1"/>
      <c r="P109" s="152">
        <f t="shared" si="8"/>
        <v>134.37250000000003</v>
      </c>
      <c r="Q109" s="150">
        <v>0</v>
      </c>
      <c r="R109" s="199">
        <v>0</v>
      </c>
      <c r="S109" s="199">
        <v>0</v>
      </c>
      <c r="T109" s="199">
        <v>0</v>
      </c>
      <c r="U109" s="199">
        <v>0</v>
      </c>
      <c r="V109" s="155">
        <f t="shared" si="9"/>
        <v>0</v>
      </c>
      <c r="W109" s="199"/>
      <c r="X109" s="151">
        <f>(X108-VSLFO.MGO4[[#This Row],[TOTAL]])+VSLFO.MGO4[[#This Row],[FAENA2]]</f>
        <v>63.400000000000041</v>
      </c>
      <c r="Y109" s="150"/>
      <c r="Z109" s="199"/>
      <c r="AA109" s="149">
        <f t="shared" si="10"/>
        <v>100</v>
      </c>
      <c r="AB109" s="199"/>
      <c r="AC109" s="199"/>
      <c r="AD109" s="149">
        <f>($AD$4-VSLFO.MGO4[[#This Row],[CARTER MP.]])+VSLFO.MGO4[[#This Row],[FAENA EN LTS2]]</f>
        <v>100</v>
      </c>
      <c r="AE109" s="199"/>
      <c r="AF109" s="199"/>
      <c r="AG109" s="149">
        <f t="shared" si="11"/>
        <v>100</v>
      </c>
      <c r="AH109" s="199"/>
      <c r="AI109" s="199"/>
      <c r="AJ109" s="148">
        <f>(AJ108-VSLFO.MGO4[[#This Row],[HIDRAULICO]])+VSLFO.MGO4[[#This Row],[FAENA EN LTS3]]</f>
        <v>100</v>
      </c>
    </row>
    <row r="110" spans="1:36" x14ac:dyDescent="0.25">
      <c r="A110" s="192"/>
      <c r="B110" s="219">
        <v>43858</v>
      </c>
      <c r="C110" s="7">
        <v>0.33333333333333331</v>
      </c>
      <c r="D110" s="4">
        <f>IF(VSLFO.MGO4[[#This Row],[FECHA]]-B109=1,((VSLFO.MGO4[[#This Row],[HORA]]-C109)*24)+24,(VSLFO.MGO4[[#This Row],[HORA]]-C109)*24)</f>
        <v>4.7</v>
      </c>
      <c r="E110" s="10" t="s">
        <v>1338</v>
      </c>
      <c r="F110" s="154" t="s">
        <v>1387</v>
      </c>
      <c r="G110" s="212"/>
      <c r="H110" s="201"/>
      <c r="I110" s="201" t="s">
        <v>1297</v>
      </c>
      <c r="J110" s="207">
        <v>95</v>
      </c>
      <c r="K110" s="153">
        <v>3.916666666666667</v>
      </c>
      <c r="L110" s="3">
        <v>0.48958333333333337</v>
      </c>
      <c r="M110" s="3">
        <v>0</v>
      </c>
      <c r="N110" s="3">
        <f t="shared" si="7"/>
        <v>4.40625</v>
      </c>
      <c r="O110" s="1"/>
      <c r="P110" s="152">
        <f t="shared" si="8"/>
        <v>129.96625000000003</v>
      </c>
      <c r="Q110" s="150">
        <v>0</v>
      </c>
      <c r="R110" s="199">
        <v>0</v>
      </c>
      <c r="S110" s="199">
        <v>0</v>
      </c>
      <c r="T110" s="199">
        <v>0</v>
      </c>
      <c r="U110" s="199">
        <v>0</v>
      </c>
      <c r="V110" s="155">
        <f t="shared" si="9"/>
        <v>0</v>
      </c>
      <c r="W110" s="199"/>
      <c r="X110" s="151">
        <f>(X109-VSLFO.MGO4[[#This Row],[TOTAL]])+VSLFO.MGO4[[#This Row],[FAENA2]]</f>
        <v>63.400000000000041</v>
      </c>
      <c r="Y110" s="150"/>
      <c r="Z110" s="199"/>
      <c r="AA110" s="149">
        <f t="shared" si="10"/>
        <v>100</v>
      </c>
      <c r="AB110" s="199"/>
      <c r="AC110" s="199"/>
      <c r="AD110" s="149">
        <f>($AD$4-VSLFO.MGO4[[#This Row],[CARTER MP.]])+VSLFO.MGO4[[#This Row],[FAENA EN LTS2]]</f>
        <v>100</v>
      </c>
      <c r="AE110" s="199"/>
      <c r="AF110" s="199"/>
      <c r="AG110" s="149">
        <f t="shared" si="11"/>
        <v>100</v>
      </c>
      <c r="AH110" s="199"/>
      <c r="AI110" s="199"/>
      <c r="AJ110" s="148">
        <f>(AJ109-VSLFO.MGO4[[#This Row],[HIDRAULICO]])+VSLFO.MGO4[[#This Row],[FAENA EN LTS3]]</f>
        <v>100</v>
      </c>
    </row>
    <row r="111" spans="1:36" x14ac:dyDescent="0.25">
      <c r="A111" s="192"/>
      <c r="B111" s="219">
        <v>43859</v>
      </c>
      <c r="C111" s="7">
        <v>0.14583333333333334</v>
      </c>
      <c r="D111" s="4">
        <f>IF(VSLFO.MGO4[[#This Row],[FECHA]]-B110=1,((VSLFO.MGO4[[#This Row],[HORA]]-C110)*24)+24,(VSLFO.MGO4[[#This Row],[HORA]]-C110)*24)</f>
        <v>19.5</v>
      </c>
      <c r="E111" s="10" t="s">
        <v>1338</v>
      </c>
      <c r="F111" s="154" t="s">
        <v>152</v>
      </c>
      <c r="G111" s="212">
        <v>266</v>
      </c>
      <c r="H111" s="201">
        <v>10.5</v>
      </c>
      <c r="I111" s="201" t="s">
        <v>1296</v>
      </c>
      <c r="J111" s="207">
        <v>95</v>
      </c>
      <c r="K111" s="153">
        <v>16.25</v>
      </c>
      <c r="L111" s="3">
        <v>2.03125</v>
      </c>
      <c r="M111" s="3">
        <v>0</v>
      </c>
      <c r="N111" s="3">
        <f t="shared" si="7"/>
        <v>18.28125</v>
      </c>
      <c r="O111" s="1"/>
      <c r="P111" s="152">
        <f t="shared" si="8"/>
        <v>111.68500000000003</v>
      </c>
      <c r="Q111" s="150">
        <v>0</v>
      </c>
      <c r="R111" s="199">
        <v>0</v>
      </c>
      <c r="S111" s="199">
        <v>0</v>
      </c>
      <c r="T111" s="199">
        <v>0</v>
      </c>
      <c r="U111" s="199">
        <v>0</v>
      </c>
      <c r="V111" s="155">
        <f t="shared" si="9"/>
        <v>0</v>
      </c>
      <c r="W111" s="199"/>
      <c r="X111" s="151">
        <f>(X110-VSLFO.MGO4[[#This Row],[TOTAL]])+VSLFO.MGO4[[#This Row],[FAENA2]]</f>
        <v>63.400000000000041</v>
      </c>
      <c r="Y111" s="150"/>
      <c r="Z111" s="199"/>
      <c r="AA111" s="149">
        <f t="shared" si="10"/>
        <v>100</v>
      </c>
      <c r="AB111" s="199"/>
      <c r="AC111" s="199"/>
      <c r="AD111" s="149">
        <f>($AD$4-VSLFO.MGO4[[#This Row],[CARTER MP.]])+VSLFO.MGO4[[#This Row],[FAENA EN LTS2]]</f>
        <v>100</v>
      </c>
      <c r="AE111" s="199"/>
      <c r="AF111" s="199"/>
      <c r="AG111" s="149">
        <f t="shared" si="11"/>
        <v>100</v>
      </c>
      <c r="AH111" s="199"/>
      <c r="AI111" s="199"/>
      <c r="AJ111" s="148">
        <f>(AJ110-VSLFO.MGO4[[#This Row],[HIDRAULICO]])+VSLFO.MGO4[[#This Row],[FAENA EN LTS3]]</f>
        <v>100</v>
      </c>
    </row>
    <row r="112" spans="1:36" x14ac:dyDescent="0.25">
      <c r="A112" s="192"/>
      <c r="B112" s="219">
        <v>43859</v>
      </c>
      <c r="C112" s="7">
        <v>0.16666666666666666</v>
      </c>
      <c r="D112" s="4">
        <f>IF(VSLFO.MGO4[[#This Row],[FECHA]]-B111=1,((VSLFO.MGO4[[#This Row],[HORA]]-C111)*24)+24,(VSLFO.MGO4[[#This Row],[HORA]]-C111)*24)</f>
        <v>0.49999999999999956</v>
      </c>
      <c r="E112" s="10" t="s">
        <v>1057</v>
      </c>
      <c r="F112" s="154" t="s">
        <v>1419</v>
      </c>
      <c r="G112" s="212"/>
      <c r="H112" s="201"/>
      <c r="I112" s="201"/>
      <c r="J112" s="207"/>
      <c r="K112" s="153">
        <v>2.0833333333333315E-2</v>
      </c>
      <c r="L112" s="3">
        <v>5.2083333333333287E-2</v>
      </c>
      <c r="M112" s="3">
        <v>4.166666666666663E-2</v>
      </c>
      <c r="N112" s="3">
        <f t="shared" si="7"/>
        <v>0.11458333333333323</v>
      </c>
      <c r="O112" s="1"/>
      <c r="P112" s="152">
        <f t="shared" si="8"/>
        <v>111.5704166666667</v>
      </c>
      <c r="Q112" s="150">
        <v>0</v>
      </c>
      <c r="R112" s="199">
        <v>0</v>
      </c>
      <c r="S112" s="199">
        <v>0</v>
      </c>
      <c r="T112" s="199">
        <v>0</v>
      </c>
      <c r="U112" s="199">
        <v>0</v>
      </c>
      <c r="V112" s="155">
        <f t="shared" si="9"/>
        <v>0</v>
      </c>
      <c r="W112" s="199"/>
      <c r="X112" s="151">
        <f>(X111-VSLFO.MGO4[[#This Row],[TOTAL]])+VSLFO.MGO4[[#This Row],[FAENA2]]</f>
        <v>63.400000000000041</v>
      </c>
      <c r="Y112" s="150"/>
      <c r="Z112" s="199"/>
      <c r="AA112" s="149">
        <f t="shared" si="10"/>
        <v>100</v>
      </c>
      <c r="AB112" s="199"/>
      <c r="AC112" s="199"/>
      <c r="AD112" s="149">
        <f>($AD$4-VSLFO.MGO4[[#This Row],[CARTER MP.]])+VSLFO.MGO4[[#This Row],[FAENA EN LTS2]]</f>
        <v>100</v>
      </c>
      <c r="AE112" s="199"/>
      <c r="AF112" s="199"/>
      <c r="AG112" s="149">
        <f t="shared" si="11"/>
        <v>100</v>
      </c>
      <c r="AH112" s="199"/>
      <c r="AI112" s="199"/>
      <c r="AJ112" s="148">
        <f>(AJ111-VSLFO.MGO4[[#This Row],[HIDRAULICO]])+VSLFO.MGO4[[#This Row],[FAENA EN LTS3]]</f>
        <v>100</v>
      </c>
    </row>
    <row r="113" spans="1:36" x14ac:dyDescent="0.25">
      <c r="A113" s="192"/>
      <c r="B113" s="219">
        <v>43859</v>
      </c>
      <c r="C113" s="7">
        <v>0.33333333333333331</v>
      </c>
      <c r="D113" s="4">
        <f>IF(VSLFO.MGO4[[#This Row],[FECHA]]-B112=1,((VSLFO.MGO4[[#This Row],[HORA]]-C112)*24)+24,(VSLFO.MGO4[[#This Row],[HORA]]-C112)*24)</f>
        <v>4</v>
      </c>
      <c r="E113" s="10" t="s">
        <v>351</v>
      </c>
      <c r="F113" s="154" t="s">
        <v>1387</v>
      </c>
      <c r="G113" s="212"/>
      <c r="H113" s="201"/>
      <c r="I113" s="201"/>
      <c r="J113" s="207"/>
      <c r="K113" s="153">
        <v>0</v>
      </c>
      <c r="L113" s="3">
        <v>0.41666666666666669</v>
      </c>
      <c r="M113" s="3">
        <v>0.33333333333333331</v>
      </c>
      <c r="N113" s="3">
        <f t="shared" si="7"/>
        <v>0.75</v>
      </c>
      <c r="O113" s="1"/>
      <c r="P113" s="152">
        <f t="shared" si="8"/>
        <v>110.8204166666667</v>
      </c>
      <c r="Q113" s="150">
        <v>0</v>
      </c>
      <c r="R113" s="199">
        <v>0</v>
      </c>
      <c r="S113" s="199">
        <v>0</v>
      </c>
      <c r="T113" s="199">
        <v>0</v>
      </c>
      <c r="U113" s="199">
        <v>0</v>
      </c>
      <c r="V113" s="155">
        <f t="shared" si="9"/>
        <v>0</v>
      </c>
      <c r="W113" s="199"/>
      <c r="X113" s="151">
        <f>(X112-VSLFO.MGO4[[#This Row],[TOTAL]])+VSLFO.MGO4[[#This Row],[FAENA2]]</f>
        <v>63.400000000000041</v>
      </c>
      <c r="Y113" s="150"/>
      <c r="Z113" s="199"/>
      <c r="AA113" s="149">
        <f t="shared" si="10"/>
        <v>100</v>
      </c>
      <c r="AB113" s="199"/>
      <c r="AC113" s="199"/>
      <c r="AD113" s="149">
        <f>($AD$4-VSLFO.MGO4[[#This Row],[CARTER MP.]])+VSLFO.MGO4[[#This Row],[FAENA EN LTS2]]</f>
        <v>100</v>
      </c>
      <c r="AE113" s="199"/>
      <c r="AF113" s="199"/>
      <c r="AG113" s="149">
        <f t="shared" si="11"/>
        <v>100</v>
      </c>
      <c r="AH113" s="199"/>
      <c r="AI113" s="199"/>
      <c r="AJ113" s="148">
        <f>(AJ112-VSLFO.MGO4[[#This Row],[HIDRAULICO]])+VSLFO.MGO4[[#This Row],[FAENA EN LTS3]]</f>
        <v>100</v>
      </c>
    </row>
    <row r="114" spans="1:36" x14ac:dyDescent="0.25">
      <c r="A114" s="192"/>
      <c r="B114" s="219">
        <v>43860</v>
      </c>
      <c r="C114" s="7">
        <v>0.33333333333333331</v>
      </c>
      <c r="D114" s="4">
        <f>IF(VSLFO.MGO4[[#This Row],[FECHA]]-B113=1,((VSLFO.MGO4[[#This Row],[HORA]]-C113)*24)+24,(VSLFO.MGO4[[#This Row],[HORA]]-C113)*24)</f>
        <v>24</v>
      </c>
      <c r="E114" s="10" t="s">
        <v>351</v>
      </c>
      <c r="F114" s="154" t="s">
        <v>1387</v>
      </c>
      <c r="G114" s="212"/>
      <c r="H114" s="201"/>
      <c r="I114" s="201"/>
      <c r="J114" s="207"/>
      <c r="K114" s="153">
        <v>0</v>
      </c>
      <c r="L114" s="3">
        <v>2.5</v>
      </c>
      <c r="M114" s="3">
        <v>2</v>
      </c>
      <c r="N114" s="3">
        <f t="shared" si="7"/>
        <v>4.5</v>
      </c>
      <c r="O114" s="1"/>
      <c r="P114" s="152">
        <f>(P113 -N114)+O114</f>
        <v>106.3204166666667</v>
      </c>
      <c r="Q114" s="150">
        <v>0</v>
      </c>
      <c r="R114" s="199">
        <v>0</v>
      </c>
      <c r="S114" s="199">
        <v>0</v>
      </c>
      <c r="T114" s="199">
        <v>0</v>
      </c>
      <c r="U114" s="199">
        <v>0</v>
      </c>
      <c r="V114" s="155">
        <f t="shared" si="9"/>
        <v>0</v>
      </c>
      <c r="W114" s="199"/>
      <c r="X114" s="151">
        <f>(X113-VSLFO.MGO4[[#This Row],[TOTAL]])+VSLFO.MGO4[[#This Row],[FAENA2]]</f>
        <v>63.400000000000041</v>
      </c>
      <c r="Y114" s="150"/>
      <c r="Z114" s="199"/>
      <c r="AA114" s="149">
        <f>AA112</f>
        <v>100</v>
      </c>
      <c r="AB114" s="199"/>
      <c r="AC114" s="199"/>
      <c r="AD114" s="149">
        <f>($AD$4-VSLFO.MGO4[[#This Row],[CARTER MP.]])+VSLFO.MGO4[[#This Row],[FAENA EN LTS2]]</f>
        <v>100</v>
      </c>
      <c r="AE114" s="199"/>
      <c r="AF114" s="199"/>
      <c r="AG114" s="149">
        <f t="shared" si="11"/>
        <v>100</v>
      </c>
      <c r="AH114" s="199"/>
      <c r="AI114" s="199"/>
      <c r="AJ114" s="148">
        <f>(AJ113-VSLFO.MGO4[[#This Row],[HIDRAULICO]])+VSLFO.MGO4[[#This Row],[FAENA EN LTS3]]</f>
        <v>100</v>
      </c>
    </row>
    <row r="115" spans="1:36" x14ac:dyDescent="0.25">
      <c r="A115" s="192"/>
      <c r="B115" s="230">
        <v>43861</v>
      </c>
      <c r="C115" s="193">
        <v>0.33333333333333331</v>
      </c>
      <c r="D115" s="4">
        <f>IF(VSLFO.MGO4[[#This Row],[FECHA]]-B114=1,((VSLFO.MGO4[[#This Row],[HORA]]-C114)*24)+24,(VSLFO.MGO4[[#This Row],[HORA]]-C114)*24)</f>
        <v>24</v>
      </c>
      <c r="E115" s="235" t="s">
        <v>351</v>
      </c>
      <c r="F115" s="198" t="s">
        <v>1387</v>
      </c>
      <c r="G115" s="231"/>
      <c r="H115" s="204"/>
      <c r="I115" s="204"/>
      <c r="J115" s="232"/>
      <c r="K115" s="195">
        <v>0</v>
      </c>
      <c r="L115" s="194">
        <v>2.5</v>
      </c>
      <c r="M115" s="194">
        <v>2</v>
      </c>
      <c r="N115" s="194">
        <f>K115+L115+M115</f>
        <v>4.5</v>
      </c>
      <c r="O115" s="196"/>
      <c r="P115" s="152">
        <f t="shared" ref="P115:P116" si="12">(P114 -N115)+O115</f>
        <v>101.8204166666667</v>
      </c>
      <c r="Q115" s="197">
        <v>0</v>
      </c>
      <c r="R115" s="122">
        <v>0</v>
      </c>
      <c r="S115" s="122">
        <v>0</v>
      </c>
      <c r="T115" s="122">
        <v>0</v>
      </c>
      <c r="U115" s="122">
        <v>0</v>
      </c>
      <c r="V115" s="122">
        <v>0</v>
      </c>
      <c r="W115" s="122"/>
      <c r="X115" s="233">
        <f>($X$4-VSLFO.MGO4[[#This Row],[TOTAL]])+VSLFO.MGO4[[#This Row],[FAENA2]]</f>
        <v>94.34</v>
      </c>
      <c r="Y115" s="197"/>
      <c r="Z115" s="122"/>
      <c r="AA115" s="234">
        <f>AA113</f>
        <v>100</v>
      </c>
      <c r="AB115" s="122"/>
      <c r="AC115" s="122"/>
      <c r="AD115" s="234">
        <f>($AD$4-VSLFO.MGO4[[#This Row],[CARTER MP.]])+VSLFO.MGO4[[#This Row],[FAENA EN LTS2]]</f>
        <v>100</v>
      </c>
      <c r="AE115" s="122"/>
      <c r="AF115" s="122"/>
      <c r="AG115" s="234">
        <f>$AG$4</f>
        <v>100</v>
      </c>
      <c r="AH115" s="122"/>
      <c r="AI115" s="122"/>
      <c r="AJ115" s="148">
        <f>(AJ114-VSLFO.MGO4[[#This Row],[HIDRAULICO]])+VSLFO.MGO4[[#This Row],[FAENA EN LTS3]]</f>
        <v>100</v>
      </c>
    </row>
    <row r="116" spans="1:36" x14ac:dyDescent="0.25">
      <c r="A116" s="192"/>
      <c r="B116" s="219">
        <v>43862</v>
      </c>
      <c r="C116" s="7">
        <v>1</v>
      </c>
      <c r="D116" s="4">
        <f>IF(VSLFO.MGO4[[#This Row],[FECHA]]-B114=1,((VSLFO.MGO4[[#This Row],[HORA]]-C114)*24)+24,(VSLFO.MGO4[[#This Row],[HORA]]-C114)*24)</f>
        <v>16</v>
      </c>
      <c r="E116" s="10" t="s">
        <v>351</v>
      </c>
      <c r="F116" s="154" t="s">
        <v>1387</v>
      </c>
      <c r="G116" s="212"/>
      <c r="H116" s="201"/>
      <c r="I116" s="201"/>
      <c r="J116" s="207"/>
      <c r="K116" s="153">
        <v>0</v>
      </c>
      <c r="L116" s="3">
        <v>1.25</v>
      </c>
      <c r="M116" s="3">
        <v>1</v>
      </c>
      <c r="N116" s="3">
        <f t="shared" si="7"/>
        <v>2.25</v>
      </c>
      <c r="O116" s="1"/>
      <c r="P116" s="152">
        <f t="shared" si="12"/>
        <v>99.570416666666702</v>
      </c>
      <c r="Q116" s="150">
        <v>0</v>
      </c>
      <c r="R116" s="199">
        <v>0</v>
      </c>
      <c r="S116" s="199">
        <v>0</v>
      </c>
      <c r="T116" s="199">
        <v>0</v>
      </c>
      <c r="U116" s="199">
        <v>0</v>
      </c>
      <c r="V116" s="155">
        <f t="shared" si="9"/>
        <v>0</v>
      </c>
      <c r="W116" s="199"/>
      <c r="X116" s="151">
        <f>(X114-VSLFO.MGO4[[#This Row],[TOTAL]])+VSLFO.MGO4[[#This Row],[FAENA2]]</f>
        <v>63.400000000000041</v>
      </c>
      <c r="Y116" s="150"/>
      <c r="Z116" s="199"/>
      <c r="AA116" s="149">
        <f>AA113</f>
        <v>100</v>
      </c>
      <c r="AB116" s="199"/>
      <c r="AC116" s="199"/>
      <c r="AD116" s="149">
        <f>($AD$4-VSLFO.MGO4[[#This Row],[CARTER MP.]])+VSLFO.MGO4[[#This Row],[FAENA EN LTS2]]</f>
        <v>100</v>
      </c>
      <c r="AE116" s="199"/>
      <c r="AF116" s="199"/>
      <c r="AG116" s="149">
        <f t="shared" si="11"/>
        <v>100</v>
      </c>
      <c r="AH116" s="199"/>
      <c r="AI116" s="199"/>
      <c r="AJ116" s="148">
        <f>(AJ115-VSLFO.MGO4[[#This Row],[HIDRAULICO]])+VSLFO.MGO4[[#This Row],[FAENA EN LTS3]]</f>
        <v>100</v>
      </c>
    </row>
    <row r="117" spans="1:36" x14ac:dyDescent="0.25">
      <c r="D117" s="147">
        <f>SUBTOTAL(109,VSLFO.MGO4[TIEMPO Hrs])</f>
        <v>744.00000000000011</v>
      </c>
      <c r="K117">
        <f>SUBTOTAL(109,VSLFO.MGO4[MPAL])</f>
        <v>144.5</v>
      </c>
      <c r="L117" s="288">
        <f>SUBTOTAL(109,VSLFO.MGO4[AUX.])</f>
        <v>75.571249999999992</v>
      </c>
      <c r="M117" s="288">
        <f>SUBTOTAL(109,VSLFO.MGO4[CALDERA])</f>
        <v>50.358333333333334</v>
      </c>
    </row>
    <row r="118" spans="1:36" x14ac:dyDescent="0.25">
      <c r="L118" s="288"/>
      <c r="M118" s="147">
        <f>SUM(K117:M117)</f>
        <v>270.42958333333331</v>
      </c>
      <c r="P118" s="238"/>
    </row>
    <row r="119" spans="1:36" ht="19.5" thickBot="1" x14ac:dyDescent="0.35">
      <c r="C119" s="146" t="s">
        <v>1360</v>
      </c>
      <c r="D119" s="146"/>
      <c r="E119" s="146"/>
      <c r="F119" s="146"/>
      <c r="G119" s="146"/>
      <c r="M119" s="146"/>
      <c r="N119" s="146"/>
      <c r="O119" s="120"/>
      <c r="S119" s="253" t="s">
        <v>1359</v>
      </c>
    </row>
    <row r="120" spans="1:36" x14ac:dyDescent="0.25">
      <c r="C120" s="375" t="s">
        <v>1358</v>
      </c>
      <c r="D120" s="376"/>
      <c r="E120" s="259" t="s">
        <v>1357</v>
      </c>
      <c r="F120" s="319" t="s">
        <v>1438</v>
      </c>
      <c r="G120" s="400" t="s">
        <v>1450</v>
      </c>
      <c r="H120" s="402" t="s">
        <v>1451</v>
      </c>
      <c r="I120" s="259" t="s">
        <v>1356</v>
      </c>
      <c r="J120" s="404" t="s">
        <v>1452</v>
      </c>
      <c r="K120" s="404" t="s">
        <v>1453</v>
      </c>
      <c r="L120" s="261" t="s">
        <v>1355</v>
      </c>
      <c r="M120" s="262" t="s">
        <v>1441</v>
      </c>
      <c r="N120" s="263" t="s">
        <v>1354</v>
      </c>
      <c r="O120" s="264" t="s">
        <v>1442</v>
      </c>
      <c r="S120" s="379" t="s">
        <v>1353</v>
      </c>
      <c r="T120" s="271" t="s">
        <v>1352</v>
      </c>
      <c r="U120" s="271" t="s">
        <v>1352</v>
      </c>
      <c r="V120" s="271" t="s">
        <v>1352</v>
      </c>
      <c r="W120" s="271" t="s">
        <v>1352</v>
      </c>
      <c r="X120" s="271" t="s">
        <v>1351</v>
      </c>
      <c r="Y120" s="271" t="s">
        <v>1350</v>
      </c>
    </row>
    <row r="121" spans="1:36" ht="15.75" thickBot="1" x14ac:dyDescent="0.3">
      <c r="C121" s="377"/>
      <c r="D121" s="378"/>
      <c r="E121" s="265" t="s">
        <v>1349</v>
      </c>
      <c r="F121" s="320" t="s">
        <v>1439</v>
      </c>
      <c r="G121" s="401"/>
      <c r="H121" s="403"/>
      <c r="I121" s="265" t="s">
        <v>1449</v>
      </c>
      <c r="J121" s="405"/>
      <c r="K121" s="405"/>
      <c r="L121" s="267" t="s">
        <v>1345</v>
      </c>
      <c r="M121" s="268" t="s">
        <v>1345</v>
      </c>
      <c r="N121" s="269" t="s">
        <v>1347</v>
      </c>
      <c r="O121" s="270" t="s">
        <v>1439</v>
      </c>
      <c r="R121" s="120"/>
      <c r="S121" s="380"/>
      <c r="T121" s="272" t="s">
        <v>1447</v>
      </c>
      <c r="U121" s="272" t="s">
        <v>1346</v>
      </c>
      <c r="V121" s="272" t="s">
        <v>1445</v>
      </c>
      <c r="W121" s="272" t="s">
        <v>1446</v>
      </c>
      <c r="X121" s="272" t="s">
        <v>1344</v>
      </c>
      <c r="Y121" s="272" t="s">
        <v>1343</v>
      </c>
    </row>
    <row r="122" spans="1:36" ht="15.75" thickBot="1" x14ac:dyDescent="0.3">
      <c r="C122" s="242" t="s">
        <v>1051</v>
      </c>
      <c r="D122" s="252"/>
      <c r="E122" s="243">
        <f>SUMIF($E$6:$E$116,C122,$D$6:$D$116)</f>
        <v>79.5</v>
      </c>
      <c r="F122" s="144"/>
      <c r="G122" s="3"/>
      <c r="H122" s="244"/>
      <c r="I122" s="274">
        <f t="shared" ref="I122:I128" si="13">SUMIF($E$6:$E$116,C122,$K$6:$K$116)+SUMIF($E$6:$E$116,C122,$L$6:$L$116)+SUMIF($E$6:$E$116,C122,$M$6:$M$116)</f>
        <v>14.90625</v>
      </c>
      <c r="J122" s="276">
        <f t="shared" ref="J122:J128" si="14">I122*24/E122</f>
        <v>4.5</v>
      </c>
      <c r="K122" s="244">
        <v>4.5</v>
      </c>
      <c r="L122" s="145"/>
      <c r="M122" s="244">
        <f>E122*K122/24</f>
        <v>14.90625</v>
      </c>
      <c r="N122" s="283">
        <f t="shared" ref="N122:N128" si="15">M122-I122</f>
        <v>0</v>
      </c>
      <c r="O122" s="248"/>
      <c r="R122" s="254"/>
      <c r="S122" s="257" t="s">
        <v>1342</v>
      </c>
      <c r="T122" s="140">
        <f>SUM(U6:U116)</f>
        <v>22.150000000000002</v>
      </c>
      <c r="U122" s="293">
        <f>T122*24/E123</f>
        <v>3.1325869180907482</v>
      </c>
      <c r="V122" s="139">
        <v>6</v>
      </c>
      <c r="W122" s="295">
        <f>E123*V122/24</f>
        <v>42.425000000000004</v>
      </c>
      <c r="X122" s="293">
        <f>6-U122</f>
        <v>2.8674130819092518</v>
      </c>
      <c r="Y122" s="296">
        <f>W122-T122</f>
        <v>20.275000000000002</v>
      </c>
    </row>
    <row r="123" spans="1:36" ht="15.75" thickBot="1" x14ac:dyDescent="0.3">
      <c r="C123" s="245" t="s">
        <v>966</v>
      </c>
      <c r="D123" s="249"/>
      <c r="E123" s="243">
        <f t="shared" ref="E123:E128" si="16">SUMIF($E$6:$E$116,C123,$D$6:$D$116)</f>
        <v>169.70000000000002</v>
      </c>
      <c r="F123" s="256"/>
      <c r="G123" s="3"/>
      <c r="H123" s="3"/>
      <c r="I123" s="274">
        <f t="shared" si="13"/>
        <v>31.8</v>
      </c>
      <c r="J123" s="277">
        <f t="shared" si="14"/>
        <v>4.4973482616381846</v>
      </c>
      <c r="K123" s="168">
        <v>4.5</v>
      </c>
      <c r="L123" s="133"/>
      <c r="M123" s="3">
        <f>E123*4.5/24</f>
        <v>31.818750000000005</v>
      </c>
      <c r="N123" s="284">
        <f t="shared" si="15"/>
        <v>1.8750000000004263E-2</v>
      </c>
      <c r="O123" s="249"/>
      <c r="R123" s="240"/>
      <c r="S123" s="258" t="s">
        <v>1341</v>
      </c>
      <c r="T123" s="135">
        <f>SUM(R6:R116)</f>
        <v>0.83</v>
      </c>
      <c r="U123" s="293">
        <f>T123*24/E124</f>
        <v>0.48232445520581113</v>
      </c>
      <c r="V123" s="1"/>
      <c r="W123" s="1"/>
      <c r="X123" s="1"/>
      <c r="Y123" s="255"/>
    </row>
    <row r="124" spans="1:36" ht="15.75" thickBot="1" x14ac:dyDescent="0.3">
      <c r="C124" s="245" t="s">
        <v>1340</v>
      </c>
      <c r="D124" s="249"/>
      <c r="E124" s="243">
        <f t="shared" si="16"/>
        <v>41.3</v>
      </c>
      <c r="F124" s="256">
        <f>SUMIF($E$6:$E$115,C124,$G$6:$G$115)</f>
        <v>466</v>
      </c>
      <c r="G124" s="3">
        <f>F124/E124</f>
        <v>11.283292978208234</v>
      </c>
      <c r="H124" s="3">
        <v>12.5</v>
      </c>
      <c r="I124" s="274">
        <f t="shared" si="13"/>
        <v>42.160416666666663</v>
      </c>
      <c r="J124" s="277">
        <f t="shared" si="14"/>
        <v>24.5</v>
      </c>
      <c r="K124" s="168">
        <v>30.5</v>
      </c>
      <c r="L124" s="282">
        <f>F124/H124</f>
        <v>37.28</v>
      </c>
      <c r="M124" s="3">
        <f>L124*K124/24</f>
        <v>47.376666666666665</v>
      </c>
      <c r="N124" s="285">
        <f t="shared" si="15"/>
        <v>5.2162500000000023</v>
      </c>
      <c r="O124" s="290">
        <f>L124-E124</f>
        <v>-4.019999999999996</v>
      </c>
      <c r="R124" s="240"/>
      <c r="S124" s="258" t="s">
        <v>1339</v>
      </c>
      <c r="T124" s="135">
        <f>SUM(S6:S116)</f>
        <v>0.13</v>
      </c>
      <c r="U124" s="293">
        <f>T124*24/E125</f>
        <v>2.6621160409556317E-2</v>
      </c>
      <c r="V124" s="1"/>
      <c r="W124" s="1"/>
      <c r="X124" s="1"/>
      <c r="Y124" s="255"/>
    </row>
    <row r="125" spans="1:36" ht="15.75" thickBot="1" x14ac:dyDescent="0.3">
      <c r="C125" s="245" t="s">
        <v>1338</v>
      </c>
      <c r="D125" s="249"/>
      <c r="E125" s="243">
        <f t="shared" si="16"/>
        <v>117.19999999999999</v>
      </c>
      <c r="F125" s="256">
        <f>SUMIF($E$6:$E$115,C125,$G$6:$G$115)</f>
        <v>1325</v>
      </c>
      <c r="G125" s="3">
        <f>F125/E125</f>
        <v>11.305460750853243</v>
      </c>
      <c r="H125" s="3">
        <v>12</v>
      </c>
      <c r="I125" s="274">
        <f t="shared" si="13"/>
        <v>115.19166666666666</v>
      </c>
      <c r="J125" s="277">
        <f t="shared" si="14"/>
        <v>23.588737201365188</v>
      </c>
      <c r="K125" s="168">
        <v>30.5</v>
      </c>
      <c r="L125" s="282">
        <f>F125/H125</f>
        <v>110.41666666666667</v>
      </c>
      <c r="M125" s="3">
        <f>L125*K125/24</f>
        <v>140.32118055555557</v>
      </c>
      <c r="N125" s="286">
        <f t="shared" si="15"/>
        <v>25.129513888888908</v>
      </c>
      <c r="O125" s="290">
        <f>L125-E125</f>
        <v>-6.7833333333333172</v>
      </c>
      <c r="R125" s="240"/>
      <c r="S125" s="258" t="s">
        <v>1337</v>
      </c>
      <c r="T125" s="135">
        <f>SUM(T6:T116)</f>
        <v>0</v>
      </c>
      <c r="U125" s="293">
        <f>T125*24/E126</f>
        <v>0</v>
      </c>
      <c r="V125" s="1"/>
      <c r="W125" s="1"/>
      <c r="X125" s="1"/>
      <c r="Y125" s="255"/>
    </row>
    <row r="126" spans="1:36" ht="15.75" thickBot="1" x14ac:dyDescent="0.3">
      <c r="C126" s="245" t="s">
        <v>351</v>
      </c>
      <c r="D126" s="249"/>
      <c r="E126" s="243">
        <f t="shared" si="16"/>
        <v>228.40000000000003</v>
      </c>
      <c r="F126" s="256"/>
      <c r="G126" s="3"/>
      <c r="H126" s="3"/>
      <c r="I126" s="274">
        <f t="shared" si="13"/>
        <v>41.412500000000009</v>
      </c>
      <c r="J126" s="277">
        <f t="shared" si="14"/>
        <v>4.3515761821366024</v>
      </c>
      <c r="K126" s="168">
        <v>4.5</v>
      </c>
      <c r="L126" s="133"/>
      <c r="M126" s="3">
        <f>E126*K126/24</f>
        <v>42.82500000000001</v>
      </c>
      <c r="N126" s="284">
        <f t="shared" si="15"/>
        <v>1.4125000000000014</v>
      </c>
      <c r="O126" s="290"/>
      <c r="R126" s="240"/>
      <c r="S126" s="250" t="s">
        <v>1370</v>
      </c>
      <c r="T126" s="247">
        <f>SUM(Q6:Q116)</f>
        <v>7.83</v>
      </c>
      <c r="U126" s="294">
        <f>T126*24/E127</f>
        <v>5.369142857142859</v>
      </c>
      <c r="V126" s="143"/>
      <c r="W126" s="143"/>
      <c r="X126" s="143"/>
      <c r="Y126" s="142"/>
    </row>
    <row r="127" spans="1:36" ht="15.75" thickBot="1" x14ac:dyDescent="0.3">
      <c r="C127" s="188" t="s">
        <v>1057</v>
      </c>
      <c r="D127" s="240"/>
      <c r="E127" s="243">
        <f t="shared" si="16"/>
        <v>34.999999999999993</v>
      </c>
      <c r="F127" s="256"/>
      <c r="G127" s="3"/>
      <c r="H127" s="3"/>
      <c r="I127" s="274">
        <f t="shared" si="13"/>
        <v>11.271250000000002</v>
      </c>
      <c r="J127" s="277">
        <f t="shared" si="14"/>
        <v>7.7288571428571462</v>
      </c>
      <c r="K127" s="168">
        <v>4.5</v>
      </c>
      <c r="L127" s="133"/>
      <c r="M127" s="3">
        <f>E127*K127/24</f>
        <v>6.5624999999999991</v>
      </c>
      <c r="N127" s="284">
        <f t="shared" si="15"/>
        <v>-4.7087500000000029</v>
      </c>
      <c r="O127" s="290"/>
      <c r="U127" s="239"/>
    </row>
    <row r="128" spans="1:36" ht="15.75" thickBot="1" x14ac:dyDescent="0.3">
      <c r="C128" s="246" t="s">
        <v>1425</v>
      </c>
      <c r="D128" s="251"/>
      <c r="E128" s="243">
        <f t="shared" si="16"/>
        <v>72.90000000000002</v>
      </c>
      <c r="F128" s="142"/>
      <c r="G128" s="3"/>
      <c r="H128" s="143"/>
      <c r="I128" s="274">
        <f t="shared" si="13"/>
        <v>13.687500000000004</v>
      </c>
      <c r="J128" s="278">
        <f t="shared" si="14"/>
        <v>4.5061728395061733</v>
      </c>
      <c r="K128" s="168">
        <v>4.5</v>
      </c>
      <c r="L128" s="143"/>
      <c r="M128" s="278">
        <f>E128*K128/24</f>
        <v>13.668750000000003</v>
      </c>
      <c r="N128" s="287">
        <f t="shared" si="15"/>
        <v>-1.8750000000000711E-2</v>
      </c>
      <c r="O128" s="291"/>
    </row>
    <row r="129" spans="3:21" ht="15.75" thickBot="1" x14ac:dyDescent="0.3">
      <c r="J129" s="8"/>
      <c r="M129" s="288"/>
      <c r="N129" s="288"/>
      <c r="O129" s="288"/>
    </row>
    <row r="130" spans="3:21" ht="15.75" thickBot="1" x14ac:dyDescent="0.3">
      <c r="C130" s="373" t="s">
        <v>31</v>
      </c>
      <c r="D130" s="374"/>
      <c r="E130" s="281">
        <f>SUM(E122:E128)</f>
        <v>744</v>
      </c>
      <c r="F130" s="138"/>
      <c r="I130" s="279">
        <f>SUM(I122:I128)</f>
        <v>270.42958333333337</v>
      </c>
      <c r="J130" s="280">
        <f>SUM(J122:J128)</f>
        <v>73.672691627503298</v>
      </c>
      <c r="K130" s="138"/>
      <c r="L130" s="138"/>
      <c r="M130" s="281">
        <f>SUM(M122:M128)</f>
        <v>297.47909722222221</v>
      </c>
      <c r="N130" s="289">
        <f>SUM(N122:N128)</f>
        <v>27.049513888888914</v>
      </c>
      <c r="O130" s="292">
        <f>SUM(O122:O128)</f>
        <v>-10.803333333333313</v>
      </c>
      <c r="S130" s="137" t="s">
        <v>31</v>
      </c>
      <c r="T130" s="137">
        <f>SUM(T122:T126)</f>
        <v>30.939999999999998</v>
      </c>
      <c r="U130" s="289">
        <f>SUM(U122:U126)</f>
        <v>9.0106753908489736</v>
      </c>
    </row>
  </sheetData>
  <sheetProtection password="E683" sheet="1" objects="1" scenarios="1"/>
  <protectedRanges>
    <protectedRange sqref="AJ4" name="Rango15"/>
    <protectedRange sqref="AG4" name="R7"/>
    <protectedRange sqref="AD4" name="Rango13"/>
    <protectedRange sqref="AA4" name="Rango12"/>
    <protectedRange sqref="X4" name="Rango11"/>
    <protectedRange sqref="P4" name="Rango10"/>
    <protectedRange sqref="AH6:AI116" name="Rango9"/>
    <protectedRange sqref="AE9:AF116" name="Rango8"/>
    <protectedRange sqref="AB6:AC116" name="Rango7"/>
    <protectedRange sqref="Y6:Z116" name="Rango6"/>
    <protectedRange sqref="W6:W116" name="Rango5"/>
    <protectedRange sqref="Q6:U116" name="Rango4"/>
    <protectedRange sqref="O6:O116" name="Rango3"/>
    <protectedRange sqref="E6:M116" name="Rango2"/>
    <protectedRange sqref="A6:C116" name="Rango1"/>
  </protectedRanges>
  <mergeCells count="14">
    <mergeCell ref="C130:D130"/>
    <mergeCell ref="C120:D121"/>
    <mergeCell ref="S120:S121"/>
    <mergeCell ref="G2:AJ2"/>
    <mergeCell ref="G3:J4"/>
    <mergeCell ref="K3:P3"/>
    <mergeCell ref="Q3:X3"/>
    <mergeCell ref="Y3:AJ3"/>
    <mergeCell ref="K4:O4"/>
    <mergeCell ref="Q4:W4"/>
    <mergeCell ref="G120:G121"/>
    <mergeCell ref="H120:H121"/>
    <mergeCell ref="J120:J121"/>
    <mergeCell ref="K120:K121"/>
  </mergeCells>
  <dataValidations disablePrompts="1" count="1">
    <dataValidation type="list" allowBlank="1" showInputMessage="1" showErrorMessage="1" sqref="E6:E116" xr:uid="{00000000-0002-0000-0400-000000000000}">
      <formula1>$C$122:$C$129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29"/>
  <sheetViews>
    <sheetView tabSelected="1" zoomScale="85" zoomScaleNormal="85" workbookViewId="0">
      <pane xSplit="6" ySplit="5" topLeftCell="G121" activePane="bottomRight" state="frozen"/>
      <selection pane="topRight" activeCell="G1" sqref="G1"/>
      <selection pane="bottomLeft" activeCell="A6" sqref="A6"/>
      <selection pane="bottomRight" activeCell="O144" sqref="O144"/>
    </sheetView>
  </sheetViews>
  <sheetFormatPr baseColWidth="10" defaultRowHeight="15" x14ac:dyDescent="0.25"/>
  <cols>
    <col min="1" max="1" width="10.42578125" customWidth="1"/>
    <col min="2" max="3" width="11.7109375" customWidth="1"/>
    <col min="4" max="4" width="15.28515625" customWidth="1"/>
    <col min="5" max="5" width="22.7109375" customWidth="1"/>
    <col min="6" max="6" width="23.28515625" customWidth="1"/>
    <col min="7" max="7" width="15.7109375" customWidth="1"/>
    <col min="8" max="8" width="15.7109375" style="8" customWidth="1"/>
    <col min="9" max="9" width="15.7109375" customWidth="1"/>
    <col min="10" max="10" width="15.85546875" customWidth="1"/>
    <col min="11" max="13" width="11.5703125" customWidth="1"/>
    <col min="14" max="15" width="14" customWidth="1"/>
    <col min="16" max="16" width="12.7109375" customWidth="1"/>
    <col min="17" max="19" width="11.5703125" customWidth="1"/>
    <col min="21" max="21" width="9.28515625" customWidth="1"/>
    <col min="22" max="22" width="12.5703125" customWidth="1"/>
    <col min="23" max="23" width="11.28515625" customWidth="1"/>
    <col min="25" max="25" width="13.7109375" customWidth="1"/>
    <col min="27" max="27" width="17.28515625" customWidth="1"/>
    <col min="28" max="28" width="12.5703125" customWidth="1"/>
    <col min="30" max="30" width="16.140625" customWidth="1"/>
    <col min="33" max="33" width="14.140625" customWidth="1"/>
    <col min="34" max="34" width="13" customWidth="1"/>
    <col min="36" max="36" width="16.42578125" customWidth="1"/>
  </cols>
  <sheetData>
    <row r="1" spans="1:36" ht="15.75" thickBot="1" x14ac:dyDescent="0.3"/>
    <row r="2" spans="1:36" ht="15.75" customHeight="1" thickBot="1" x14ac:dyDescent="0.3">
      <c r="A2" s="191"/>
      <c r="B2" s="190"/>
      <c r="C2" s="190"/>
      <c r="D2" s="190"/>
      <c r="E2" s="190"/>
      <c r="F2" s="190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2"/>
    </row>
    <row r="3" spans="1:36" ht="15.75" thickBot="1" x14ac:dyDescent="0.3">
      <c r="G3" s="383" t="s">
        <v>1385</v>
      </c>
      <c r="H3" s="384"/>
      <c r="I3" s="384"/>
      <c r="J3" s="385"/>
      <c r="K3" s="386" t="s">
        <v>1384</v>
      </c>
      <c r="L3" s="387"/>
      <c r="M3" s="387"/>
      <c r="N3" s="387"/>
      <c r="O3" s="387"/>
      <c r="P3" s="388"/>
      <c r="Q3" s="389" t="s">
        <v>1383</v>
      </c>
      <c r="R3" s="390"/>
      <c r="S3" s="390"/>
      <c r="T3" s="390"/>
      <c r="U3" s="390"/>
      <c r="V3" s="390"/>
      <c r="W3" s="390"/>
      <c r="X3" s="391"/>
      <c r="Y3" s="392" t="s">
        <v>1462</v>
      </c>
      <c r="Z3" s="393"/>
      <c r="AA3" s="393"/>
      <c r="AB3" s="393"/>
      <c r="AC3" s="393"/>
      <c r="AD3" s="393"/>
      <c r="AE3" s="393"/>
      <c r="AF3" s="393"/>
      <c r="AG3" s="393"/>
      <c r="AH3" s="393"/>
      <c r="AI3" s="393"/>
      <c r="AJ3" s="394"/>
    </row>
    <row r="4" spans="1:36" ht="15.75" thickBot="1" x14ac:dyDescent="0.3">
      <c r="D4" s="8"/>
      <c r="E4" s="17"/>
      <c r="F4" s="17"/>
      <c r="G4" s="383"/>
      <c r="H4" s="384"/>
      <c r="I4" s="384"/>
      <c r="J4" s="385"/>
      <c r="K4" s="395" t="s">
        <v>1382</v>
      </c>
      <c r="L4" s="396"/>
      <c r="M4" s="396"/>
      <c r="N4" s="396"/>
      <c r="O4" s="396"/>
      <c r="P4" s="189">
        <v>99.6</v>
      </c>
      <c r="Q4" s="397" t="s">
        <v>1381</v>
      </c>
      <c r="R4" s="398"/>
      <c r="S4" s="398"/>
      <c r="T4" s="398"/>
      <c r="U4" s="398"/>
      <c r="V4" s="398"/>
      <c r="W4" s="399"/>
      <c r="X4" s="189">
        <v>63.4</v>
      </c>
      <c r="Y4" s="188"/>
      <c r="Z4" s="186" t="s">
        <v>1380</v>
      </c>
      <c r="AA4" s="185">
        <v>100</v>
      </c>
      <c r="AB4" s="187"/>
      <c r="AC4" s="186" t="s">
        <v>1380</v>
      </c>
      <c r="AD4" s="185">
        <v>100</v>
      </c>
      <c r="AF4" s="186" t="s">
        <v>1380</v>
      </c>
      <c r="AG4" s="185">
        <v>100</v>
      </c>
      <c r="AI4" s="186" t="s">
        <v>1380</v>
      </c>
      <c r="AJ4" s="185">
        <v>100</v>
      </c>
    </row>
    <row r="5" spans="1:36" ht="26.25" thickBot="1" x14ac:dyDescent="0.3">
      <c r="A5" s="322" t="s">
        <v>1379</v>
      </c>
      <c r="B5" s="323" t="s">
        <v>0</v>
      </c>
      <c r="C5" s="184" t="s">
        <v>1</v>
      </c>
      <c r="D5" s="184" t="s">
        <v>135</v>
      </c>
      <c r="E5" s="184" t="s">
        <v>1358</v>
      </c>
      <c r="F5" s="183" t="s">
        <v>1378</v>
      </c>
      <c r="G5" s="325" t="s">
        <v>1377</v>
      </c>
      <c r="H5" s="326" t="s">
        <v>1376</v>
      </c>
      <c r="I5" s="326" t="s">
        <v>1375</v>
      </c>
      <c r="J5" s="327" t="s">
        <v>1321</v>
      </c>
      <c r="K5" s="182" t="s">
        <v>1374</v>
      </c>
      <c r="L5" s="181" t="s">
        <v>1373</v>
      </c>
      <c r="M5" s="181" t="s">
        <v>1339</v>
      </c>
      <c r="N5" s="181" t="s">
        <v>1372</v>
      </c>
      <c r="O5" s="181" t="s">
        <v>27</v>
      </c>
      <c r="P5" s="324" t="s">
        <v>1371</v>
      </c>
      <c r="Q5" s="180" t="s">
        <v>1370</v>
      </c>
      <c r="R5" s="179" t="s">
        <v>1369</v>
      </c>
      <c r="S5" s="179" t="s">
        <v>1368</v>
      </c>
      <c r="T5" s="178" t="s">
        <v>1367</v>
      </c>
      <c r="U5" s="178" t="s">
        <v>1366</v>
      </c>
      <c r="V5" s="178" t="s">
        <v>31</v>
      </c>
      <c r="W5" s="177" t="s">
        <v>1365</v>
      </c>
      <c r="X5" s="50" t="s">
        <v>14</v>
      </c>
      <c r="Y5" s="175" t="s">
        <v>1364</v>
      </c>
      <c r="Z5" s="176" t="s">
        <v>1454</v>
      </c>
      <c r="AA5" s="175" t="s">
        <v>1455</v>
      </c>
      <c r="AB5" s="174" t="s">
        <v>1363</v>
      </c>
      <c r="AC5" s="174" t="s">
        <v>1456</v>
      </c>
      <c r="AD5" s="174" t="s">
        <v>1457</v>
      </c>
      <c r="AE5" s="174" t="s">
        <v>1362</v>
      </c>
      <c r="AF5" s="174" t="s">
        <v>1458</v>
      </c>
      <c r="AG5" s="174" t="s">
        <v>1459</v>
      </c>
      <c r="AH5" s="174" t="s">
        <v>1361</v>
      </c>
      <c r="AI5" s="173" t="s">
        <v>1460</v>
      </c>
      <c r="AJ5" s="172" t="s">
        <v>1461</v>
      </c>
    </row>
    <row r="6" spans="1:36" x14ac:dyDescent="0.25">
      <c r="A6" s="226"/>
      <c r="B6" s="218">
        <v>43862</v>
      </c>
      <c r="C6" s="171">
        <v>0</v>
      </c>
      <c r="D6" s="275">
        <v>0</v>
      </c>
      <c r="E6" s="10" t="s">
        <v>351</v>
      </c>
      <c r="F6" s="170" t="s">
        <v>351</v>
      </c>
      <c r="G6" s="210"/>
      <c r="H6" s="200"/>
      <c r="I6" s="200"/>
      <c r="J6" s="205"/>
      <c r="K6" s="169">
        <v>0</v>
      </c>
      <c r="L6" s="3">
        <v>0</v>
      </c>
      <c r="M6" s="168">
        <v>0</v>
      </c>
      <c r="N6" s="168">
        <v>0</v>
      </c>
      <c r="O6" s="139"/>
      <c r="P6" s="167">
        <f>$P$4</f>
        <v>99.6</v>
      </c>
      <c r="Q6" s="165">
        <v>0</v>
      </c>
      <c r="R6" s="5">
        <v>0</v>
      </c>
      <c r="S6" s="5">
        <v>0</v>
      </c>
      <c r="T6" s="5">
        <v>0</v>
      </c>
      <c r="U6" s="5">
        <v>0</v>
      </c>
      <c r="V6" s="5">
        <f>SUM(VSLFO.MGO45[[#This Row],[MPAL2]:[GI]])</f>
        <v>0</v>
      </c>
      <c r="W6" s="5">
        <v>0</v>
      </c>
      <c r="X6" s="166">
        <f>X4</f>
        <v>63.4</v>
      </c>
      <c r="Y6" s="165"/>
      <c r="Z6" s="5"/>
      <c r="AA6" s="164">
        <f>$AA$4</f>
        <v>100</v>
      </c>
      <c r="AB6" s="5"/>
      <c r="AC6" s="5"/>
      <c r="AD6" s="164">
        <f>$AD$4</f>
        <v>100</v>
      </c>
      <c r="AE6" s="5"/>
      <c r="AF6" s="5"/>
      <c r="AG6" s="164">
        <f t="shared" ref="AG6" si="0">$AG$4</f>
        <v>100</v>
      </c>
      <c r="AH6" s="5"/>
      <c r="AI6" s="5"/>
      <c r="AJ6" s="163">
        <f>$AJ$4</f>
        <v>100</v>
      </c>
    </row>
    <row r="7" spans="1:36" x14ac:dyDescent="0.25">
      <c r="A7" s="135"/>
      <c r="B7" s="229">
        <v>43862</v>
      </c>
      <c r="C7" s="7">
        <v>0.33333333333333331</v>
      </c>
      <c r="D7" s="4">
        <f>IF(VSLFO.MGO45[[#This Row],[FECHA]]-B6=1,((VSLFO.MGO45[[#This Row],[HORA]]-C6)*24)+24,(VSLFO.MGO45[[#This Row],[HORA]]-C6)*24)</f>
        <v>8</v>
      </c>
      <c r="E7" s="10" t="s">
        <v>351</v>
      </c>
      <c r="F7" s="10" t="s">
        <v>351</v>
      </c>
      <c r="G7" s="211"/>
      <c r="H7" s="93"/>
      <c r="I7" s="93"/>
      <c r="J7" s="206"/>
      <c r="K7" s="169">
        <v>0</v>
      </c>
      <c r="L7" s="3">
        <v>1.25</v>
      </c>
      <c r="M7" s="13">
        <v>1</v>
      </c>
      <c r="N7" s="3">
        <f t="shared" ref="N7:N70" si="1">K7+L7+M7</f>
        <v>2.25</v>
      </c>
      <c r="O7" s="1"/>
      <c r="P7" s="152">
        <f>(P6 -N7)+O7</f>
        <v>97.35</v>
      </c>
      <c r="Q7" s="150">
        <v>0</v>
      </c>
      <c r="R7" s="199">
        <v>0</v>
      </c>
      <c r="S7" s="199">
        <v>0</v>
      </c>
      <c r="T7" s="199">
        <v>0</v>
      </c>
      <c r="U7" s="199">
        <v>0</v>
      </c>
      <c r="V7" s="199">
        <f>SUM(Q7:U7)</f>
        <v>0</v>
      </c>
      <c r="W7" s="199">
        <v>0</v>
      </c>
      <c r="X7" s="151">
        <f>(X6-VSLFO.MGO45[[#This Row],[TOTAL]])+VSLFO.MGO45[[#This Row],[FAENA2]]</f>
        <v>63.4</v>
      </c>
      <c r="Y7" s="150"/>
      <c r="Z7" s="199"/>
      <c r="AA7" s="149">
        <f>(AA6-VSLFO.MGO45[[#This Row],[CYLINDER MP]])+VSLFO.MGO45[[#This Row],[FAENA EN LTS]]</f>
        <v>100</v>
      </c>
      <c r="AB7" s="199"/>
      <c r="AC7" s="199"/>
      <c r="AD7" s="149">
        <f>(AD6-VSLFO.MGO45[[#This Row],[CARTER MP.]])+VSLFO.MGO45[[#This Row],[FAENA EN LTS2]]</f>
        <v>100</v>
      </c>
      <c r="AE7" s="199"/>
      <c r="AF7" s="199"/>
      <c r="AG7" s="149">
        <f>(AG6-VSLFO.MGO45[[#This Row],[MOT AUX]])+VSLFO.MGO45[[#This Row],[FAENA EN  LTS]]</f>
        <v>100</v>
      </c>
      <c r="AH7" s="199"/>
      <c r="AI7" s="199"/>
      <c r="AJ7" s="148">
        <f>(AJ6-VSLFO.MGO45[[#This Row],[HIDRAULICO]])+VSLFO.MGO45[[#This Row],[FAENA EN LTS3]]</f>
        <v>100</v>
      </c>
    </row>
    <row r="8" spans="1:36" x14ac:dyDescent="0.25">
      <c r="A8" s="135"/>
      <c r="B8" s="219">
        <v>43862</v>
      </c>
      <c r="C8" s="7">
        <v>0.61249999999999993</v>
      </c>
      <c r="D8" s="4">
        <f>IF(VSLFO.MGO45[[#This Row],[FECHA]]-B7=1,((VSLFO.MGO45[[#This Row],[HORA]]-C7)*24)+24,(VSLFO.MGO45[[#This Row],[HORA]]-C7)*24)</f>
        <v>6.6999999999999993</v>
      </c>
      <c r="E8" s="10" t="s">
        <v>351</v>
      </c>
      <c r="F8" s="10" t="s">
        <v>1011</v>
      </c>
      <c r="G8" s="212"/>
      <c r="H8" s="201"/>
      <c r="I8" s="201"/>
      <c r="J8" s="207"/>
      <c r="K8" s="169">
        <v>0</v>
      </c>
      <c r="L8" s="3">
        <v>0.69791666666666663</v>
      </c>
      <c r="M8" s="3">
        <v>0.55833333333333324</v>
      </c>
      <c r="N8" s="3">
        <f t="shared" si="1"/>
        <v>1.2562499999999999</v>
      </c>
      <c r="O8" s="1"/>
      <c r="P8" s="152">
        <f>(P7 -N8)+O8</f>
        <v>96.09375</v>
      </c>
      <c r="Q8" s="150">
        <v>0</v>
      </c>
      <c r="R8" s="199">
        <v>0</v>
      </c>
      <c r="S8" s="199">
        <v>0</v>
      </c>
      <c r="T8" s="199">
        <v>0</v>
      </c>
      <c r="U8" s="199">
        <v>0</v>
      </c>
      <c r="V8" s="199">
        <f t="shared" ref="V8:V36" si="2">SUM(Q8:U8)</f>
        <v>0</v>
      </c>
      <c r="W8" s="199">
        <v>0</v>
      </c>
      <c r="X8" s="151">
        <f>(X7-VSLFO.MGO45[[#This Row],[TOTAL]])+VSLFO.MGO45[[#This Row],[FAENA2]]</f>
        <v>63.4</v>
      </c>
      <c r="Y8" s="150"/>
      <c r="Z8" s="199"/>
      <c r="AA8" s="149">
        <f>(AA7-VSLFO.MGO45[[#This Row],[CYLINDER MP]])+VSLFO.MGO45[[#This Row],[FAENA EN LTS]]</f>
        <v>100</v>
      </c>
      <c r="AB8" s="199"/>
      <c r="AC8" s="199"/>
      <c r="AD8" s="149">
        <f>(AD7-VSLFO.MGO45[[#This Row],[CARTER MP.]])+VSLFO.MGO45[[#This Row],[FAENA EN LTS2]]</f>
        <v>100</v>
      </c>
      <c r="AE8" s="199"/>
      <c r="AF8" s="199"/>
      <c r="AG8" s="149">
        <f>(AG7-VSLFO.MGO45[[#This Row],[MOT AUX]])+VSLFO.MGO45[[#This Row],[FAENA EN  LTS]]</f>
        <v>100</v>
      </c>
      <c r="AH8" s="199"/>
      <c r="AI8" s="199"/>
      <c r="AJ8" s="148">
        <f>(AJ7-VSLFO.MGO45[[#This Row],[HIDRAULICO]])+VSLFO.MGO45[[#This Row],[FAENA EN LTS3]]</f>
        <v>100</v>
      </c>
    </row>
    <row r="9" spans="1:36" x14ac:dyDescent="0.25">
      <c r="A9" s="135"/>
      <c r="B9" s="219">
        <v>43862</v>
      </c>
      <c r="C9" s="7">
        <v>0.68333333333333324</v>
      </c>
      <c r="D9" s="4">
        <f>IF(VSLFO.MGO45[[#This Row],[FECHA]]-B8=1,((VSLFO.MGO45[[#This Row],[HORA]]-C8)*24)+24,(VSLFO.MGO45[[#This Row],[HORA]]-C8)*24)</f>
        <v>1.6999999999999993</v>
      </c>
      <c r="E9" s="10" t="s">
        <v>1057</v>
      </c>
      <c r="F9" s="10" t="s">
        <v>616</v>
      </c>
      <c r="G9" s="212"/>
      <c r="H9" s="201"/>
      <c r="I9" s="201"/>
      <c r="J9" s="207"/>
      <c r="K9" s="153">
        <v>0.14166666666666661</v>
      </c>
      <c r="L9" s="3">
        <v>0.17708333333333326</v>
      </c>
      <c r="M9" s="3">
        <v>0.14166666666666661</v>
      </c>
      <c r="N9" s="3">
        <f>K9+L9+M9</f>
        <v>0.46041666666666647</v>
      </c>
      <c r="O9" s="1"/>
      <c r="P9" s="152">
        <f>(P8 -N9)+O9</f>
        <v>95.63333333333334</v>
      </c>
      <c r="Q9" s="150">
        <v>0</v>
      </c>
      <c r="R9" s="199">
        <v>0</v>
      </c>
      <c r="S9" s="199">
        <v>0</v>
      </c>
      <c r="T9" s="199">
        <v>0</v>
      </c>
      <c r="U9" s="199">
        <v>0</v>
      </c>
      <c r="V9" s="199">
        <f t="shared" si="2"/>
        <v>0</v>
      </c>
      <c r="W9" s="199">
        <v>0</v>
      </c>
      <c r="X9" s="151">
        <f>(X8-VSLFO.MGO45[[#This Row],[TOTAL]])+VSLFO.MGO45[[#This Row],[FAENA2]]</f>
        <v>63.4</v>
      </c>
      <c r="Y9" s="150"/>
      <c r="Z9" s="199"/>
      <c r="AA9" s="149">
        <f>(AA8-VSLFO.MGO45[[#This Row],[CYLINDER MP]])+VSLFO.MGO45[[#This Row],[FAENA EN LTS]]</f>
        <v>100</v>
      </c>
      <c r="AB9" s="199"/>
      <c r="AC9" s="199"/>
      <c r="AD9" s="149">
        <f>(AD8-VSLFO.MGO45[[#This Row],[CARTER MP.]])+VSLFO.MGO45[[#This Row],[FAENA EN LTS2]]</f>
        <v>100</v>
      </c>
      <c r="AE9" s="199"/>
      <c r="AF9" s="199"/>
      <c r="AG9" s="149">
        <f>(AG8-VSLFO.MGO45[[#This Row],[MOT AUX]])+VSLFO.MGO45[[#This Row],[FAENA EN  LTS]]</f>
        <v>100</v>
      </c>
      <c r="AH9" s="199"/>
      <c r="AI9" s="199"/>
      <c r="AJ9" s="148">
        <f>(AJ8-VSLFO.MGO45[[#This Row],[HIDRAULICO]])+VSLFO.MGO45[[#This Row],[FAENA EN LTS3]]</f>
        <v>100</v>
      </c>
    </row>
    <row r="10" spans="1:36" x14ac:dyDescent="0.25">
      <c r="A10" s="135"/>
      <c r="B10" s="219">
        <v>43862</v>
      </c>
      <c r="C10" s="7">
        <v>0.875</v>
      </c>
      <c r="D10" s="4">
        <f>IF(VSLFO.MGO45[[#This Row],[FECHA]]-B9=1,((VSLFO.MGO45[[#This Row],[HORA]]-C9)*24)+24,(VSLFO.MGO45[[#This Row],[HORA]]-C9)*24)</f>
        <v>4.6000000000000023</v>
      </c>
      <c r="E10" s="10" t="s">
        <v>1425</v>
      </c>
      <c r="F10" s="10" t="s">
        <v>1004</v>
      </c>
      <c r="G10" s="213"/>
      <c r="H10" s="202"/>
      <c r="I10" s="202"/>
      <c r="J10" s="208"/>
      <c r="K10" s="153">
        <v>0</v>
      </c>
      <c r="L10" s="3">
        <v>0.47916666666666691</v>
      </c>
      <c r="M10" s="3">
        <v>0.38333333333333353</v>
      </c>
      <c r="N10" s="3">
        <f t="shared" si="1"/>
        <v>0.86250000000000049</v>
      </c>
      <c r="O10" s="1"/>
      <c r="P10" s="152">
        <f t="shared" ref="P10:P73" si="3">(P9 -N10)+O10</f>
        <v>94.770833333333343</v>
      </c>
      <c r="Q10" s="150">
        <v>0</v>
      </c>
      <c r="R10" s="199">
        <v>0</v>
      </c>
      <c r="S10" s="199">
        <v>0</v>
      </c>
      <c r="T10" s="199">
        <v>0</v>
      </c>
      <c r="U10" s="199">
        <v>0</v>
      </c>
      <c r="V10" s="199">
        <f t="shared" si="2"/>
        <v>0</v>
      </c>
      <c r="W10" s="199">
        <v>0</v>
      </c>
      <c r="X10" s="151">
        <f>(X9-VSLFO.MGO45[[#This Row],[TOTAL]])+VSLFO.MGO45[[#This Row],[FAENA2]]</f>
        <v>63.4</v>
      </c>
      <c r="Y10" s="150"/>
      <c r="Z10" s="199"/>
      <c r="AA10" s="149">
        <f>(AA9-VSLFO.MGO45[[#This Row],[CYLINDER MP]])+VSLFO.MGO45[[#This Row],[FAENA EN LTS]]</f>
        <v>100</v>
      </c>
      <c r="AB10" s="199"/>
      <c r="AC10" s="199"/>
      <c r="AD10" s="149">
        <f>(AD9-VSLFO.MGO45[[#This Row],[CARTER MP.]])+VSLFO.MGO45[[#This Row],[FAENA EN LTS2]]</f>
        <v>100</v>
      </c>
      <c r="AE10" s="199"/>
      <c r="AF10" s="199"/>
      <c r="AG10" s="149">
        <f>(AG9-VSLFO.MGO45[[#This Row],[MOT AUX]])+VSLFO.MGO45[[#This Row],[FAENA EN  LTS]]</f>
        <v>100</v>
      </c>
      <c r="AH10" s="199"/>
      <c r="AI10" s="199"/>
      <c r="AJ10" s="148">
        <f>(AJ9-VSLFO.MGO45[[#This Row],[HIDRAULICO]])+VSLFO.MGO45[[#This Row],[FAENA EN LTS3]]</f>
        <v>100</v>
      </c>
    </row>
    <row r="11" spans="1:36" x14ac:dyDescent="0.25">
      <c r="A11" s="135"/>
      <c r="B11" s="219">
        <v>43863</v>
      </c>
      <c r="C11" s="7">
        <v>0.33333333333333331</v>
      </c>
      <c r="D11" s="4">
        <f>IF(VSLFO.MGO45[[#This Row],[FECHA]]-B10=1,((VSLFO.MGO45[[#This Row],[HORA]]-C10)*24)+24,(VSLFO.MGO45[[#This Row],[HORA]]-C10)*24)</f>
        <v>10.999999999999998</v>
      </c>
      <c r="E11" s="10" t="s">
        <v>966</v>
      </c>
      <c r="F11" s="10" t="s">
        <v>966</v>
      </c>
      <c r="G11" s="213"/>
      <c r="H11" s="202"/>
      <c r="I11" s="202"/>
      <c r="J11" s="208"/>
      <c r="K11" s="153">
        <v>0</v>
      </c>
      <c r="L11" s="3">
        <v>1.1458333333333333</v>
      </c>
      <c r="M11" s="3">
        <v>0.91666666666666652</v>
      </c>
      <c r="N11" s="3">
        <f t="shared" si="1"/>
        <v>2.0625</v>
      </c>
      <c r="O11" s="1"/>
      <c r="P11" s="152">
        <f t="shared" si="3"/>
        <v>92.708333333333343</v>
      </c>
      <c r="Q11" s="150">
        <v>0</v>
      </c>
      <c r="R11" s="199">
        <v>0</v>
      </c>
      <c r="S11" s="199">
        <v>0</v>
      </c>
      <c r="T11" s="199">
        <v>0</v>
      </c>
      <c r="U11" s="199">
        <v>1.8</v>
      </c>
      <c r="V11" s="199">
        <f t="shared" si="2"/>
        <v>1.8</v>
      </c>
      <c r="W11" s="199">
        <v>0</v>
      </c>
      <c r="X11" s="151">
        <f>(X10-VSLFO.MGO45[[#This Row],[TOTAL]])+VSLFO.MGO45[[#This Row],[FAENA2]]</f>
        <v>61.6</v>
      </c>
      <c r="Y11" s="150"/>
      <c r="Z11" s="199"/>
      <c r="AA11" s="149">
        <f>(AA10-VSLFO.MGO45[[#This Row],[CYLINDER MP]])+VSLFO.MGO45[[#This Row],[FAENA EN LTS]]</f>
        <v>100</v>
      </c>
      <c r="AB11" s="199"/>
      <c r="AC11" s="199"/>
      <c r="AD11" s="149">
        <f>(AD10-VSLFO.MGO45[[#This Row],[CARTER MP.]])+VSLFO.MGO45[[#This Row],[FAENA EN LTS2]]</f>
        <v>100</v>
      </c>
      <c r="AE11" s="199"/>
      <c r="AF11" s="199"/>
      <c r="AG11" s="149">
        <f>(AG10-VSLFO.MGO45[[#This Row],[MOT AUX]])+VSLFO.MGO45[[#This Row],[FAENA EN  LTS]]</f>
        <v>100</v>
      </c>
      <c r="AH11" s="199"/>
      <c r="AI11" s="199"/>
      <c r="AJ11" s="148">
        <f>(AJ10-VSLFO.MGO45[[#This Row],[HIDRAULICO]])+VSLFO.MGO45[[#This Row],[FAENA EN LTS3]]</f>
        <v>100</v>
      </c>
    </row>
    <row r="12" spans="1:36" x14ac:dyDescent="0.25">
      <c r="A12" s="135"/>
      <c r="B12" s="219">
        <v>43863</v>
      </c>
      <c r="C12" s="7">
        <v>0.8833333333333333</v>
      </c>
      <c r="D12" s="4">
        <f>IF(VSLFO.MGO45[[#This Row],[FECHA]]-B11=1,((VSLFO.MGO45[[#This Row],[HORA]]-C11)*24)+24,(VSLFO.MGO45[[#This Row],[HORA]]-C11)*24)</f>
        <v>13.200000000000001</v>
      </c>
      <c r="E12" s="10" t="s">
        <v>966</v>
      </c>
      <c r="F12" s="10" t="s">
        <v>265</v>
      </c>
      <c r="G12" s="213"/>
      <c r="H12" s="202"/>
      <c r="I12" s="202"/>
      <c r="J12" s="208"/>
      <c r="K12" s="153">
        <v>0</v>
      </c>
      <c r="L12" s="3">
        <v>1.3750000000000002</v>
      </c>
      <c r="M12" s="3">
        <v>1.1000000000000001</v>
      </c>
      <c r="N12" s="3">
        <f t="shared" si="1"/>
        <v>2.4750000000000005</v>
      </c>
      <c r="O12" s="1"/>
      <c r="P12" s="152">
        <f t="shared" si="3"/>
        <v>90.233333333333348</v>
      </c>
      <c r="Q12" s="150">
        <v>0</v>
      </c>
      <c r="R12" s="199">
        <v>0</v>
      </c>
      <c r="S12" s="199">
        <v>0</v>
      </c>
      <c r="T12" s="199">
        <v>0</v>
      </c>
      <c r="U12" s="199">
        <v>2.2000000000000002</v>
      </c>
      <c r="V12" s="199">
        <f t="shared" si="2"/>
        <v>2.2000000000000002</v>
      </c>
      <c r="W12" s="199">
        <v>0</v>
      </c>
      <c r="X12" s="151">
        <f>(X11-VSLFO.MGO45[[#This Row],[TOTAL]])+VSLFO.MGO45[[#This Row],[FAENA2]]</f>
        <v>59.4</v>
      </c>
      <c r="Y12" s="150"/>
      <c r="Z12" s="199"/>
      <c r="AA12" s="149">
        <f>(AA11-VSLFO.MGO45[[#This Row],[CYLINDER MP]])+VSLFO.MGO45[[#This Row],[FAENA EN LTS]]</f>
        <v>100</v>
      </c>
      <c r="AB12" s="199"/>
      <c r="AC12" s="199"/>
      <c r="AD12" s="149">
        <f>(AD11-VSLFO.MGO45[[#This Row],[CARTER MP.]])+VSLFO.MGO45[[#This Row],[FAENA EN LTS2]]</f>
        <v>100</v>
      </c>
      <c r="AE12" s="199"/>
      <c r="AF12" s="199"/>
      <c r="AG12" s="149">
        <f>(AG11-VSLFO.MGO45[[#This Row],[MOT AUX]])+VSLFO.MGO45[[#This Row],[FAENA EN  LTS]]</f>
        <v>100</v>
      </c>
      <c r="AH12" s="199"/>
      <c r="AI12" s="199"/>
      <c r="AJ12" s="148">
        <f>(AJ11-VSLFO.MGO45[[#This Row],[HIDRAULICO]])+VSLFO.MGO45[[#This Row],[FAENA EN LTS3]]</f>
        <v>100</v>
      </c>
    </row>
    <row r="13" spans="1:36" x14ac:dyDescent="0.25">
      <c r="A13" s="135"/>
      <c r="B13" s="219">
        <v>43864</v>
      </c>
      <c r="C13" s="7">
        <v>8.3333333333333332E-3</v>
      </c>
      <c r="D13" s="4">
        <f>IF(VSLFO.MGO45[[#This Row],[FECHA]]-B12=1,((VSLFO.MGO45[[#This Row],[HORA]]-C12)*24)+24,(VSLFO.MGO45[[#This Row],[HORA]]-C12)*24)</f>
        <v>3</v>
      </c>
      <c r="E13" s="10" t="s">
        <v>1425</v>
      </c>
      <c r="F13" s="10" t="s">
        <v>1011</v>
      </c>
      <c r="G13" s="213"/>
      <c r="H13" s="202"/>
      <c r="I13" s="202"/>
      <c r="J13" s="208"/>
      <c r="K13" s="153">
        <v>0</v>
      </c>
      <c r="L13" s="3">
        <v>0.3125</v>
      </c>
      <c r="M13" s="3">
        <v>0.25</v>
      </c>
      <c r="N13" s="3">
        <f t="shared" si="1"/>
        <v>0.5625</v>
      </c>
      <c r="O13" s="1"/>
      <c r="P13" s="152">
        <f t="shared" si="3"/>
        <v>89.670833333333348</v>
      </c>
      <c r="Q13" s="150">
        <v>0</v>
      </c>
      <c r="R13" s="199">
        <v>0</v>
      </c>
      <c r="S13" s="199">
        <v>0</v>
      </c>
      <c r="T13" s="199">
        <v>0</v>
      </c>
      <c r="U13" s="199">
        <v>0</v>
      </c>
      <c r="V13" s="199">
        <f t="shared" si="2"/>
        <v>0</v>
      </c>
      <c r="W13" s="199">
        <v>0</v>
      </c>
      <c r="X13" s="151">
        <f>(X12-VSLFO.MGO45[[#This Row],[TOTAL]])+VSLFO.MGO45[[#This Row],[FAENA2]]</f>
        <v>59.4</v>
      </c>
      <c r="Y13" s="150"/>
      <c r="Z13" s="199"/>
      <c r="AA13" s="149">
        <f>(AA12-VSLFO.MGO45[[#This Row],[CYLINDER MP]])+VSLFO.MGO45[[#This Row],[FAENA EN LTS]]</f>
        <v>100</v>
      </c>
      <c r="AB13" s="199"/>
      <c r="AC13" s="199"/>
      <c r="AD13" s="149">
        <f>(AD12-VSLFO.MGO45[[#This Row],[CARTER MP.]])+VSLFO.MGO45[[#This Row],[FAENA EN LTS2]]</f>
        <v>100</v>
      </c>
      <c r="AE13" s="199"/>
      <c r="AF13" s="199"/>
      <c r="AG13" s="149">
        <f>(AG12-VSLFO.MGO45[[#This Row],[MOT AUX]])+VSLFO.MGO45[[#This Row],[FAENA EN  LTS]]</f>
        <v>100</v>
      </c>
      <c r="AH13" s="199"/>
      <c r="AI13" s="199"/>
      <c r="AJ13" s="148">
        <f>(AJ12-VSLFO.MGO45[[#This Row],[HIDRAULICO]])+VSLFO.MGO45[[#This Row],[FAENA EN LTS3]]</f>
        <v>100</v>
      </c>
    </row>
    <row r="14" spans="1:36" x14ac:dyDescent="0.25">
      <c r="A14" s="135"/>
      <c r="B14" s="219">
        <v>43864</v>
      </c>
      <c r="C14" s="7">
        <v>3.3333333333333333E-2</v>
      </c>
      <c r="D14" s="4">
        <f>IF(VSLFO.MGO45[[#This Row],[FECHA]]-B13=1,((VSLFO.MGO45[[#This Row],[HORA]]-C13)*24)+24,(VSLFO.MGO45[[#This Row],[HORA]]-C13)*24)</f>
        <v>0.60000000000000009</v>
      </c>
      <c r="E14" s="10" t="s">
        <v>1057</v>
      </c>
      <c r="F14" s="10" t="s">
        <v>1399</v>
      </c>
      <c r="G14" s="213"/>
      <c r="H14" s="202"/>
      <c r="I14" s="202" t="s">
        <v>1297</v>
      </c>
      <c r="J14" s="208">
        <v>95</v>
      </c>
      <c r="K14" s="153">
        <v>0.12500000000000003</v>
      </c>
      <c r="L14" s="3">
        <v>6.2500000000000014E-2</v>
      </c>
      <c r="M14" s="3">
        <v>0.05</v>
      </c>
      <c r="N14" s="3">
        <f t="shared" si="1"/>
        <v>0.23750000000000004</v>
      </c>
      <c r="O14" s="1"/>
      <c r="P14" s="152">
        <f t="shared" si="3"/>
        <v>89.433333333333351</v>
      </c>
      <c r="Q14" s="150">
        <v>0</v>
      </c>
      <c r="R14" s="199">
        <v>0</v>
      </c>
      <c r="S14" s="199">
        <v>0</v>
      </c>
      <c r="T14" s="199">
        <v>0</v>
      </c>
      <c r="U14" s="199">
        <v>0</v>
      </c>
      <c r="V14" s="199">
        <f t="shared" si="2"/>
        <v>0</v>
      </c>
      <c r="W14" s="199">
        <v>0</v>
      </c>
      <c r="X14" s="151">
        <f>(X13-VSLFO.MGO45[[#This Row],[TOTAL]])+VSLFO.MGO45[[#This Row],[FAENA2]]</f>
        <v>59.4</v>
      </c>
      <c r="Y14" s="150"/>
      <c r="Z14" s="199"/>
      <c r="AA14" s="149">
        <f>(AA13-VSLFO.MGO45[[#This Row],[CYLINDER MP]])+VSLFO.MGO45[[#This Row],[FAENA EN LTS]]</f>
        <v>100</v>
      </c>
      <c r="AB14" s="199"/>
      <c r="AC14" s="199"/>
      <c r="AD14" s="149">
        <f>(AD13-VSLFO.MGO45[[#This Row],[CARTER MP.]])+VSLFO.MGO45[[#This Row],[FAENA EN LTS2]]</f>
        <v>100</v>
      </c>
      <c r="AE14" s="199"/>
      <c r="AF14" s="199"/>
      <c r="AG14" s="149">
        <f>(AG13-VSLFO.MGO45[[#This Row],[MOT AUX]])+VSLFO.MGO45[[#This Row],[FAENA EN  LTS]]</f>
        <v>100</v>
      </c>
      <c r="AH14" s="199"/>
      <c r="AI14" s="199"/>
      <c r="AJ14" s="148">
        <f>(AJ13-VSLFO.MGO45[[#This Row],[HIDRAULICO]])+VSLFO.MGO45[[#This Row],[FAENA EN LTS3]]</f>
        <v>100</v>
      </c>
    </row>
    <row r="15" spans="1:36" x14ac:dyDescent="0.25">
      <c r="A15" s="135"/>
      <c r="B15" s="219">
        <v>43864</v>
      </c>
      <c r="C15" s="7">
        <v>0.33333333333333331</v>
      </c>
      <c r="D15" s="4">
        <f>IF(VSLFO.MGO45[[#This Row],[FECHA]]-B14=1,((VSLFO.MGO45[[#This Row],[HORA]]-C14)*24)+24,(VSLFO.MGO45[[#This Row],[HORA]]-C14)*24)</f>
        <v>7.1999999999999993</v>
      </c>
      <c r="E15" s="10" t="s">
        <v>1338</v>
      </c>
      <c r="F15" s="10" t="s">
        <v>355</v>
      </c>
      <c r="G15" s="213"/>
      <c r="H15" s="202"/>
      <c r="I15" s="202" t="s">
        <v>1297</v>
      </c>
      <c r="J15" s="208">
        <v>95</v>
      </c>
      <c r="K15" s="153">
        <v>6</v>
      </c>
      <c r="L15" s="3">
        <v>0.75</v>
      </c>
      <c r="M15" s="3">
        <v>0</v>
      </c>
      <c r="N15" s="3">
        <f t="shared" si="1"/>
        <v>6.75</v>
      </c>
      <c r="O15" s="1"/>
      <c r="P15" s="152">
        <f t="shared" si="3"/>
        <v>82.683333333333351</v>
      </c>
      <c r="Q15" s="150">
        <v>0</v>
      </c>
      <c r="R15" s="199">
        <v>0</v>
      </c>
      <c r="S15" s="199">
        <v>0</v>
      </c>
      <c r="T15" s="199">
        <v>0</v>
      </c>
      <c r="U15" s="199">
        <v>0</v>
      </c>
      <c r="V15" s="199">
        <f t="shared" si="2"/>
        <v>0</v>
      </c>
      <c r="W15" s="199">
        <v>0</v>
      </c>
      <c r="X15" s="151">
        <f>(X14-VSLFO.MGO45[[#This Row],[TOTAL]])+VSLFO.MGO45[[#This Row],[FAENA2]]</f>
        <v>59.4</v>
      </c>
      <c r="Y15" s="150"/>
      <c r="Z15" s="199"/>
      <c r="AA15" s="149">
        <f>(AA14-VSLFO.MGO45[[#This Row],[CYLINDER MP]])+VSLFO.MGO45[[#This Row],[FAENA EN LTS]]</f>
        <v>100</v>
      </c>
      <c r="AB15" s="199"/>
      <c r="AC15" s="199"/>
      <c r="AD15" s="149">
        <f>(AD14-VSLFO.MGO45[[#This Row],[CARTER MP.]])+VSLFO.MGO45[[#This Row],[FAENA EN LTS2]]</f>
        <v>100</v>
      </c>
      <c r="AE15" s="199"/>
      <c r="AF15" s="199"/>
      <c r="AG15" s="149">
        <f>(AG14-VSLFO.MGO45[[#This Row],[MOT AUX]])+VSLFO.MGO45[[#This Row],[FAENA EN  LTS]]</f>
        <v>100</v>
      </c>
      <c r="AH15" s="199"/>
      <c r="AI15" s="199"/>
      <c r="AJ15" s="148">
        <f>(AJ14-VSLFO.MGO45[[#This Row],[HIDRAULICO]])+VSLFO.MGO45[[#This Row],[FAENA EN LTS3]]</f>
        <v>100</v>
      </c>
    </row>
    <row r="16" spans="1:36" x14ac:dyDescent="0.25">
      <c r="A16" s="135"/>
      <c r="B16" s="219">
        <v>43864</v>
      </c>
      <c r="C16" s="7">
        <v>0.38750000000000001</v>
      </c>
      <c r="D16" s="4">
        <f>IF(VSLFO.MGO45[[#This Row],[FECHA]]-B15=1,((VSLFO.MGO45[[#This Row],[HORA]]-C15)*24)+24,(VSLFO.MGO45[[#This Row],[HORA]]-C15)*24)</f>
        <v>1.3000000000000007</v>
      </c>
      <c r="E16" s="10" t="s">
        <v>1338</v>
      </c>
      <c r="F16" s="10" t="s">
        <v>1003</v>
      </c>
      <c r="G16" s="213">
        <v>96</v>
      </c>
      <c r="H16" s="202">
        <v>10.8</v>
      </c>
      <c r="I16" s="202" t="s">
        <v>1297</v>
      </c>
      <c r="J16" s="208">
        <v>95</v>
      </c>
      <c r="K16" s="153">
        <v>1.0833333333333339</v>
      </c>
      <c r="L16" s="3">
        <v>0.13541666666666674</v>
      </c>
      <c r="M16" s="3">
        <v>0</v>
      </c>
      <c r="N16" s="3">
        <f t="shared" si="1"/>
        <v>1.2187500000000007</v>
      </c>
      <c r="O16" s="1"/>
      <c r="P16" s="152">
        <f t="shared" si="3"/>
        <v>81.464583333333351</v>
      </c>
      <c r="Q16" s="150">
        <v>0</v>
      </c>
      <c r="R16" s="199">
        <v>0</v>
      </c>
      <c r="S16" s="199">
        <v>0</v>
      </c>
      <c r="T16" s="199">
        <v>0</v>
      </c>
      <c r="U16" s="199">
        <v>0</v>
      </c>
      <c r="V16" s="199">
        <f t="shared" si="2"/>
        <v>0</v>
      </c>
      <c r="W16" s="199">
        <v>0</v>
      </c>
      <c r="X16" s="151">
        <f>(X15-VSLFO.MGO45[[#This Row],[TOTAL]])+VSLFO.MGO45[[#This Row],[FAENA2]]</f>
        <v>59.4</v>
      </c>
      <c r="Y16" s="150"/>
      <c r="Z16" s="199"/>
      <c r="AA16" s="149">
        <f>(AA15-VSLFO.MGO45[[#This Row],[CYLINDER MP]])+VSLFO.MGO45[[#This Row],[FAENA EN LTS]]</f>
        <v>100</v>
      </c>
      <c r="AB16" s="199"/>
      <c r="AC16" s="199"/>
      <c r="AD16" s="149">
        <f>(AD15-VSLFO.MGO45[[#This Row],[CARTER MP.]])+VSLFO.MGO45[[#This Row],[FAENA EN LTS2]]</f>
        <v>100</v>
      </c>
      <c r="AE16" s="199"/>
      <c r="AF16" s="199"/>
      <c r="AG16" s="149">
        <f>(AG15-VSLFO.MGO45[[#This Row],[MOT AUX]])+VSLFO.MGO45[[#This Row],[FAENA EN  LTS]]</f>
        <v>100</v>
      </c>
      <c r="AH16" s="199"/>
      <c r="AI16" s="199"/>
      <c r="AJ16" s="148">
        <f>(AJ15-VSLFO.MGO45[[#This Row],[HIDRAULICO]])+VSLFO.MGO45[[#This Row],[FAENA EN LTS3]]</f>
        <v>100</v>
      </c>
    </row>
    <row r="17" spans="1:36" x14ac:dyDescent="0.25">
      <c r="A17" s="135"/>
      <c r="B17" s="219">
        <v>43864</v>
      </c>
      <c r="C17" s="7">
        <v>0.48333333333333334</v>
      </c>
      <c r="D17" s="4">
        <f>IF(VSLFO.MGO45[[#This Row],[FECHA]]-B16=1,((VSLFO.MGO45[[#This Row],[HORA]]-C16)*24)+24,(VSLFO.MGO45[[#This Row],[HORA]]-C16)*24)</f>
        <v>2.2999999999999998</v>
      </c>
      <c r="E17" s="10" t="s">
        <v>1057</v>
      </c>
      <c r="F17" s="10" t="s">
        <v>616</v>
      </c>
      <c r="G17" s="213"/>
      <c r="H17" s="202"/>
      <c r="I17" s="202"/>
      <c r="J17" s="208"/>
      <c r="K17" s="153">
        <v>0.19166666666666665</v>
      </c>
      <c r="L17" s="3">
        <v>0.23958333333333331</v>
      </c>
      <c r="M17" s="3">
        <v>0.19166666666666665</v>
      </c>
      <c r="N17" s="3">
        <f t="shared" si="1"/>
        <v>0.62291666666666656</v>
      </c>
      <c r="O17" s="1"/>
      <c r="P17" s="152">
        <f t="shared" si="3"/>
        <v>80.841666666666683</v>
      </c>
      <c r="Q17" s="150">
        <v>0</v>
      </c>
      <c r="R17" s="199">
        <v>0</v>
      </c>
      <c r="S17" s="199">
        <v>0</v>
      </c>
      <c r="T17" s="199">
        <v>0</v>
      </c>
      <c r="U17" s="199">
        <v>0</v>
      </c>
      <c r="V17" s="199">
        <f t="shared" si="2"/>
        <v>0</v>
      </c>
      <c r="W17" s="199">
        <v>0</v>
      </c>
      <c r="X17" s="151">
        <f>(X16-VSLFO.MGO45[[#This Row],[TOTAL]])+VSLFO.MGO45[[#This Row],[FAENA2]]</f>
        <v>59.4</v>
      </c>
      <c r="Y17" s="150"/>
      <c r="Z17" s="199"/>
      <c r="AA17" s="149">
        <f>(AA16-VSLFO.MGO45[[#This Row],[CYLINDER MP]])+VSLFO.MGO45[[#This Row],[FAENA EN LTS]]</f>
        <v>100</v>
      </c>
      <c r="AB17" s="199"/>
      <c r="AC17" s="199"/>
      <c r="AD17" s="149">
        <f>(AD16-VSLFO.MGO45[[#This Row],[CARTER MP.]])+VSLFO.MGO45[[#This Row],[FAENA EN LTS2]]</f>
        <v>100</v>
      </c>
      <c r="AE17" s="199"/>
      <c r="AF17" s="199"/>
      <c r="AG17" s="149">
        <f>(AG16-VSLFO.MGO45[[#This Row],[MOT AUX]])+VSLFO.MGO45[[#This Row],[FAENA EN  LTS]]</f>
        <v>100</v>
      </c>
      <c r="AH17" s="199"/>
      <c r="AI17" s="199"/>
      <c r="AJ17" s="148">
        <f>(AJ16-VSLFO.MGO45[[#This Row],[HIDRAULICO]])+VSLFO.MGO45[[#This Row],[FAENA EN LTS3]]</f>
        <v>100</v>
      </c>
    </row>
    <row r="18" spans="1:36" x14ac:dyDescent="0.25">
      <c r="A18" s="135"/>
      <c r="B18" s="219">
        <v>43864</v>
      </c>
      <c r="C18" s="7">
        <v>0.6791666666666667</v>
      </c>
      <c r="D18" s="4">
        <f>IF(VSLFO.MGO45[[#This Row],[FECHA]]-B17=1,((VSLFO.MGO45[[#This Row],[HORA]]-C17)*24)+24,(VSLFO.MGO45[[#This Row],[HORA]]-C17)*24)</f>
        <v>4.7000000000000011</v>
      </c>
      <c r="E18" s="10" t="s">
        <v>1425</v>
      </c>
      <c r="F18" s="10" t="s">
        <v>1232</v>
      </c>
      <c r="G18" s="213"/>
      <c r="H18" s="202"/>
      <c r="I18" s="202"/>
      <c r="J18" s="208"/>
      <c r="K18" s="153">
        <v>0</v>
      </c>
      <c r="L18" s="3">
        <v>0.48958333333333348</v>
      </c>
      <c r="M18" s="3">
        <v>0.39166666666666672</v>
      </c>
      <c r="N18" s="3">
        <f t="shared" si="1"/>
        <v>0.8812500000000002</v>
      </c>
      <c r="O18" s="1"/>
      <c r="P18" s="152">
        <f t="shared" si="3"/>
        <v>79.960416666666688</v>
      </c>
      <c r="Q18" s="150">
        <v>0</v>
      </c>
      <c r="R18" s="199">
        <v>0</v>
      </c>
      <c r="S18" s="199">
        <v>0</v>
      </c>
      <c r="T18" s="199">
        <v>0</v>
      </c>
      <c r="U18" s="199">
        <v>0</v>
      </c>
      <c r="V18" s="199">
        <f t="shared" si="2"/>
        <v>0</v>
      </c>
      <c r="W18" s="199">
        <v>0</v>
      </c>
      <c r="X18" s="151">
        <f>(X17-VSLFO.MGO45[[#This Row],[TOTAL]])+VSLFO.MGO45[[#This Row],[FAENA2]]</f>
        <v>59.4</v>
      </c>
      <c r="Y18" s="150"/>
      <c r="Z18" s="199"/>
      <c r="AA18" s="149">
        <f>(AA17-VSLFO.MGO45[[#This Row],[CYLINDER MP]])+VSLFO.MGO45[[#This Row],[FAENA EN LTS]]</f>
        <v>100</v>
      </c>
      <c r="AB18" s="199"/>
      <c r="AC18" s="199"/>
      <c r="AD18" s="149">
        <f>(AD17-VSLFO.MGO45[[#This Row],[CARTER MP.]])+VSLFO.MGO45[[#This Row],[FAENA EN LTS2]]</f>
        <v>100</v>
      </c>
      <c r="AE18" s="199"/>
      <c r="AF18" s="199"/>
      <c r="AG18" s="149">
        <f>(AG17-VSLFO.MGO45[[#This Row],[MOT AUX]])+VSLFO.MGO45[[#This Row],[FAENA EN  LTS]]</f>
        <v>100</v>
      </c>
      <c r="AH18" s="199"/>
      <c r="AI18" s="199"/>
      <c r="AJ18" s="148">
        <f>(AJ17-VSLFO.MGO45[[#This Row],[HIDRAULICO]])+VSLFO.MGO45[[#This Row],[FAENA EN LTS3]]</f>
        <v>100</v>
      </c>
    </row>
    <row r="19" spans="1:36" x14ac:dyDescent="0.25">
      <c r="A19" s="135"/>
      <c r="B19" s="219">
        <v>43865</v>
      </c>
      <c r="C19" s="7">
        <v>0.26250000000000001</v>
      </c>
      <c r="D19" s="4">
        <f>IF(VSLFO.MGO45[[#This Row],[FECHA]]-B18=1,((VSLFO.MGO45[[#This Row],[HORA]]-C18)*24)+24,(VSLFO.MGO45[[#This Row],[HORA]]-C18)*24)</f>
        <v>14</v>
      </c>
      <c r="E19" s="10" t="s">
        <v>966</v>
      </c>
      <c r="F19" s="10" t="s">
        <v>265</v>
      </c>
      <c r="G19" s="213"/>
      <c r="H19" s="202"/>
      <c r="I19" s="202"/>
      <c r="J19" s="208"/>
      <c r="K19" s="153">
        <v>0</v>
      </c>
      <c r="L19" s="3">
        <v>1.4583333333333335</v>
      </c>
      <c r="M19" s="20">
        <v>1.1666666666666665</v>
      </c>
      <c r="N19" s="3">
        <f t="shared" si="1"/>
        <v>2.625</v>
      </c>
      <c r="O19" s="1"/>
      <c r="P19" s="152">
        <f t="shared" si="3"/>
        <v>77.335416666666688</v>
      </c>
      <c r="Q19" s="150">
        <v>0</v>
      </c>
      <c r="R19" s="199">
        <v>0</v>
      </c>
      <c r="S19" s="199">
        <v>0</v>
      </c>
      <c r="T19" s="199">
        <v>0</v>
      </c>
      <c r="U19" s="199">
        <v>3.5</v>
      </c>
      <c r="V19" s="199">
        <f t="shared" si="2"/>
        <v>3.5</v>
      </c>
      <c r="W19" s="199">
        <v>0</v>
      </c>
      <c r="X19" s="151">
        <f>(X18-VSLFO.MGO45[[#This Row],[TOTAL]])+VSLFO.MGO45[[#This Row],[FAENA2]]</f>
        <v>55.9</v>
      </c>
      <c r="Y19" s="150"/>
      <c r="Z19" s="199"/>
      <c r="AA19" s="149">
        <f>(AA18-VSLFO.MGO45[[#This Row],[CYLINDER MP]])+VSLFO.MGO45[[#This Row],[FAENA EN LTS]]</f>
        <v>100</v>
      </c>
      <c r="AB19" s="199"/>
      <c r="AC19" s="199"/>
      <c r="AD19" s="149">
        <f>(AD18-VSLFO.MGO45[[#This Row],[CARTER MP.]])+VSLFO.MGO45[[#This Row],[FAENA EN LTS2]]</f>
        <v>100</v>
      </c>
      <c r="AE19" s="199"/>
      <c r="AF19" s="199"/>
      <c r="AG19" s="149">
        <f>(AG18-VSLFO.MGO45[[#This Row],[MOT AUX]])+VSLFO.MGO45[[#This Row],[FAENA EN  LTS]]</f>
        <v>100</v>
      </c>
      <c r="AH19" s="199"/>
      <c r="AI19" s="199"/>
      <c r="AJ19" s="148">
        <f>(AJ18-VSLFO.MGO45[[#This Row],[HIDRAULICO]])+VSLFO.MGO45[[#This Row],[FAENA EN LTS3]]</f>
        <v>100</v>
      </c>
    </row>
    <row r="20" spans="1:36" x14ac:dyDescent="0.25">
      <c r="A20" s="135"/>
      <c r="B20" s="219">
        <v>43865</v>
      </c>
      <c r="C20" s="7">
        <v>0.33333333333333331</v>
      </c>
      <c r="D20" s="4">
        <f>IF(VSLFO.MGO45[[#This Row],[FECHA]]-B19=1,((VSLFO.MGO45[[#This Row],[HORA]]-C19)*24)+24,(VSLFO.MGO45[[#This Row],[HORA]]-C19)*24)</f>
        <v>1.6999999999999993</v>
      </c>
      <c r="E20" s="10" t="s">
        <v>1425</v>
      </c>
      <c r="F20" s="10" t="s">
        <v>1066</v>
      </c>
      <c r="G20" s="213"/>
      <c r="H20" s="202"/>
      <c r="I20" s="202"/>
      <c r="J20" s="208"/>
      <c r="K20" s="153">
        <v>0</v>
      </c>
      <c r="L20" s="3">
        <v>0.17708333333333326</v>
      </c>
      <c r="M20" s="3">
        <v>0.14166666666666661</v>
      </c>
      <c r="N20" s="3">
        <f t="shared" si="1"/>
        <v>0.31874999999999987</v>
      </c>
      <c r="O20" s="1"/>
      <c r="P20" s="152">
        <f t="shared" si="3"/>
        <v>77.016666666666694</v>
      </c>
      <c r="Q20" s="150">
        <v>0</v>
      </c>
      <c r="R20" s="199">
        <v>0</v>
      </c>
      <c r="S20" s="199">
        <v>0</v>
      </c>
      <c r="T20" s="199">
        <v>0</v>
      </c>
      <c r="U20" s="199">
        <v>0</v>
      </c>
      <c r="V20" s="199">
        <f t="shared" si="2"/>
        <v>0</v>
      </c>
      <c r="W20" s="199">
        <v>0</v>
      </c>
      <c r="X20" s="151">
        <f>(X19-VSLFO.MGO45[[#This Row],[TOTAL]])+VSLFO.MGO45[[#This Row],[FAENA2]]</f>
        <v>55.9</v>
      </c>
      <c r="Y20" s="150"/>
      <c r="Z20" s="199"/>
      <c r="AA20" s="149">
        <f>(AA19-VSLFO.MGO45[[#This Row],[CYLINDER MP]])+VSLFO.MGO45[[#This Row],[FAENA EN LTS]]</f>
        <v>100</v>
      </c>
      <c r="AB20" s="199"/>
      <c r="AC20" s="199"/>
      <c r="AD20" s="149">
        <f>(AD19-VSLFO.MGO45[[#This Row],[CARTER MP.]])+VSLFO.MGO45[[#This Row],[FAENA EN LTS2]]</f>
        <v>100</v>
      </c>
      <c r="AE20" s="199"/>
      <c r="AF20" s="199"/>
      <c r="AG20" s="149">
        <f>(AG19-VSLFO.MGO45[[#This Row],[MOT AUX]])+VSLFO.MGO45[[#This Row],[FAENA EN  LTS]]</f>
        <v>100</v>
      </c>
      <c r="AH20" s="199"/>
      <c r="AI20" s="199"/>
      <c r="AJ20" s="148">
        <f>(AJ19-VSLFO.MGO45[[#This Row],[HIDRAULICO]])+VSLFO.MGO45[[#This Row],[FAENA EN LTS3]]</f>
        <v>100</v>
      </c>
    </row>
    <row r="21" spans="1:36" x14ac:dyDescent="0.25">
      <c r="A21" s="135"/>
      <c r="B21" s="219">
        <v>43865</v>
      </c>
      <c r="C21" s="7">
        <v>0.45416666666666666</v>
      </c>
      <c r="D21" s="4">
        <f>IF(VSLFO.MGO45[[#This Row],[FECHA]]-B20=1,((VSLFO.MGO45[[#This Row],[HORA]]-C20)*24)+24,(VSLFO.MGO45[[#This Row],[HORA]]-C20)*24)</f>
        <v>2.9000000000000004</v>
      </c>
      <c r="E21" s="10" t="s">
        <v>1425</v>
      </c>
      <c r="F21" s="10" t="s">
        <v>1011</v>
      </c>
      <c r="G21" s="213"/>
      <c r="H21" s="202"/>
      <c r="I21" s="202"/>
      <c r="J21" s="208"/>
      <c r="K21" s="153">
        <v>0</v>
      </c>
      <c r="L21" s="3">
        <v>0.30208333333333337</v>
      </c>
      <c r="M21" s="3">
        <v>0.2416666666666667</v>
      </c>
      <c r="N21" s="3">
        <f t="shared" si="1"/>
        <v>0.54375000000000007</v>
      </c>
      <c r="O21" s="1"/>
      <c r="P21" s="152">
        <f t="shared" si="3"/>
        <v>76.472916666666691</v>
      </c>
      <c r="Q21" s="150">
        <v>0</v>
      </c>
      <c r="R21" s="199">
        <v>0</v>
      </c>
      <c r="S21" s="199">
        <v>0</v>
      </c>
      <c r="T21" s="199">
        <v>0</v>
      </c>
      <c r="U21" s="199">
        <v>0</v>
      </c>
      <c r="V21" s="199">
        <f t="shared" si="2"/>
        <v>0</v>
      </c>
      <c r="W21" s="199">
        <v>0</v>
      </c>
      <c r="X21" s="151">
        <f>(X20-VSLFO.MGO45[[#This Row],[TOTAL]])+VSLFO.MGO45[[#This Row],[FAENA2]]</f>
        <v>55.9</v>
      </c>
      <c r="Y21" s="150"/>
      <c r="Z21" s="199"/>
      <c r="AA21" s="149">
        <f>(AA20-VSLFO.MGO45[[#This Row],[CYLINDER MP]])+VSLFO.MGO45[[#This Row],[FAENA EN LTS]]</f>
        <v>100</v>
      </c>
      <c r="AB21" s="199"/>
      <c r="AC21" s="199"/>
      <c r="AD21" s="149">
        <f>(AD20-VSLFO.MGO45[[#This Row],[CARTER MP.]])+VSLFO.MGO45[[#This Row],[FAENA EN LTS2]]</f>
        <v>100</v>
      </c>
      <c r="AE21" s="199"/>
      <c r="AF21" s="199"/>
      <c r="AG21" s="149">
        <f>(AG20-VSLFO.MGO45[[#This Row],[MOT AUX]])+VSLFO.MGO45[[#This Row],[FAENA EN  LTS]]</f>
        <v>100</v>
      </c>
      <c r="AH21" s="199"/>
      <c r="AI21" s="199"/>
      <c r="AJ21" s="148">
        <f>(AJ20-VSLFO.MGO45[[#This Row],[HIDRAULICO]])+VSLFO.MGO45[[#This Row],[FAENA EN LTS3]]</f>
        <v>100</v>
      </c>
    </row>
    <row r="22" spans="1:36" x14ac:dyDescent="0.25">
      <c r="A22" s="135"/>
      <c r="B22" s="219">
        <v>43865</v>
      </c>
      <c r="C22" s="7">
        <v>0.5</v>
      </c>
      <c r="D22" s="4">
        <f>IF(VSLFO.MGO45[[#This Row],[FECHA]]-B21=1,((VSLFO.MGO45[[#This Row],[HORA]]-C21)*24)+24,(VSLFO.MGO45[[#This Row],[HORA]]-C21)*24)</f>
        <v>1.1000000000000001</v>
      </c>
      <c r="E22" s="10" t="s">
        <v>1057</v>
      </c>
      <c r="F22" s="10" t="s">
        <v>1404</v>
      </c>
      <c r="G22" s="213"/>
      <c r="H22" s="202"/>
      <c r="I22" s="202" t="s">
        <v>1297</v>
      </c>
      <c r="J22" s="208">
        <v>95</v>
      </c>
      <c r="K22" s="153">
        <v>0.13750000000000001</v>
      </c>
      <c r="L22" s="3">
        <v>0.11458333333333334</v>
      </c>
      <c r="M22" s="3">
        <v>9.1666666666666674E-2</v>
      </c>
      <c r="N22" s="3">
        <f t="shared" si="1"/>
        <v>0.34375</v>
      </c>
      <c r="O22" s="1"/>
      <c r="P22" s="152">
        <f t="shared" si="3"/>
        <v>76.129166666666691</v>
      </c>
      <c r="Q22" s="150">
        <v>0</v>
      </c>
      <c r="R22" s="199">
        <v>0</v>
      </c>
      <c r="S22" s="199">
        <v>0</v>
      </c>
      <c r="T22" s="199">
        <v>0</v>
      </c>
      <c r="U22" s="199">
        <v>0</v>
      </c>
      <c r="V22" s="199">
        <f t="shared" si="2"/>
        <v>0</v>
      </c>
      <c r="W22" s="199">
        <v>0</v>
      </c>
      <c r="X22" s="151">
        <f>(X21-VSLFO.MGO45[[#This Row],[TOTAL]])+VSLFO.MGO45[[#This Row],[FAENA2]]</f>
        <v>55.9</v>
      </c>
      <c r="Y22" s="150"/>
      <c r="Z22" s="199"/>
      <c r="AA22" s="149">
        <f>(AA21-VSLFO.MGO45[[#This Row],[CYLINDER MP]])+VSLFO.MGO45[[#This Row],[FAENA EN LTS]]</f>
        <v>100</v>
      </c>
      <c r="AB22" s="199"/>
      <c r="AC22" s="199"/>
      <c r="AD22" s="149">
        <f>(AD21-VSLFO.MGO45[[#This Row],[CARTER MP.]])+VSLFO.MGO45[[#This Row],[FAENA EN LTS2]]</f>
        <v>100</v>
      </c>
      <c r="AE22" s="199"/>
      <c r="AF22" s="199"/>
      <c r="AG22" s="149">
        <f>(AG21-VSLFO.MGO45[[#This Row],[MOT AUX]])+VSLFO.MGO45[[#This Row],[FAENA EN  LTS]]</f>
        <v>100</v>
      </c>
      <c r="AH22" s="199"/>
      <c r="AI22" s="199"/>
      <c r="AJ22" s="148">
        <f>(AJ21-VSLFO.MGO45[[#This Row],[HIDRAULICO]])+VSLFO.MGO45[[#This Row],[FAENA EN LTS3]]</f>
        <v>100</v>
      </c>
    </row>
    <row r="23" spans="1:36" x14ac:dyDescent="0.25">
      <c r="A23" s="135"/>
      <c r="B23" s="219">
        <v>43866</v>
      </c>
      <c r="C23" s="7">
        <v>0.33333333333333331</v>
      </c>
      <c r="D23" s="4">
        <f>IF(VSLFO.MGO45[[#This Row],[FECHA]]-B22=1,((VSLFO.MGO45[[#This Row],[HORA]]-C22)*24)+24,(VSLFO.MGO45[[#This Row],[HORA]]-C22)*24)</f>
        <v>20</v>
      </c>
      <c r="E23" s="10" t="s">
        <v>1340</v>
      </c>
      <c r="F23" s="10" t="s">
        <v>355</v>
      </c>
      <c r="G23" s="213"/>
      <c r="H23" s="202"/>
      <c r="I23" s="202" t="s">
        <v>1297</v>
      </c>
      <c r="J23" s="208">
        <v>95</v>
      </c>
      <c r="K23" s="153">
        <v>16.666666666666668</v>
      </c>
      <c r="L23" s="3">
        <v>2.0833333333333335</v>
      </c>
      <c r="M23" s="3">
        <v>0</v>
      </c>
      <c r="N23" s="3">
        <f t="shared" si="1"/>
        <v>18.75</v>
      </c>
      <c r="O23" s="1"/>
      <c r="P23" s="152">
        <f t="shared" si="3"/>
        <v>57.379166666666691</v>
      </c>
      <c r="Q23" s="150">
        <v>0</v>
      </c>
      <c r="R23" s="199">
        <v>0</v>
      </c>
      <c r="S23" s="199">
        <v>0</v>
      </c>
      <c r="T23" s="199">
        <v>0</v>
      </c>
      <c r="U23" s="199">
        <v>0</v>
      </c>
      <c r="V23" s="199">
        <f t="shared" si="2"/>
        <v>0</v>
      </c>
      <c r="W23" s="199">
        <v>0</v>
      </c>
      <c r="X23" s="151">
        <f>(X22-VSLFO.MGO45[[#This Row],[TOTAL]])+VSLFO.MGO45[[#This Row],[FAENA2]]</f>
        <v>55.9</v>
      </c>
      <c r="Y23" s="150"/>
      <c r="Z23" s="199"/>
      <c r="AA23" s="149">
        <f>(AA22-VSLFO.MGO45[[#This Row],[CYLINDER MP]])+VSLFO.MGO45[[#This Row],[FAENA EN LTS]]</f>
        <v>100</v>
      </c>
      <c r="AB23" s="199"/>
      <c r="AC23" s="199"/>
      <c r="AD23" s="149">
        <f>(AD22-VSLFO.MGO45[[#This Row],[CARTER MP.]])+VSLFO.MGO45[[#This Row],[FAENA EN LTS2]]</f>
        <v>100</v>
      </c>
      <c r="AE23" s="199"/>
      <c r="AF23" s="199"/>
      <c r="AG23" s="149">
        <f>(AG22-VSLFO.MGO45[[#This Row],[MOT AUX]])+VSLFO.MGO45[[#This Row],[FAENA EN  LTS]]</f>
        <v>100</v>
      </c>
      <c r="AH23" s="199"/>
      <c r="AI23" s="199"/>
      <c r="AJ23" s="148">
        <f>(AJ22-VSLFO.MGO45[[#This Row],[HIDRAULICO]])+VSLFO.MGO45[[#This Row],[FAENA EN LTS3]]</f>
        <v>100</v>
      </c>
    </row>
    <row r="24" spans="1:36" x14ac:dyDescent="0.25">
      <c r="A24" s="217" t="s">
        <v>1430</v>
      </c>
      <c r="B24" s="219">
        <v>43866</v>
      </c>
      <c r="C24" s="7">
        <v>0.5</v>
      </c>
      <c r="D24" s="4">
        <f>IF(VSLFO.MGO45[[#This Row],[FECHA]]-B23=1,((VSLFO.MGO45[[#This Row],[HORA]]-C23)*24)+24,(VSLFO.MGO45[[#This Row],[HORA]]-C23)*24)</f>
        <v>4</v>
      </c>
      <c r="E24" s="10" t="s">
        <v>1340</v>
      </c>
      <c r="F24" s="10" t="s">
        <v>956</v>
      </c>
      <c r="G24" s="213">
        <v>265</v>
      </c>
      <c r="H24" s="202">
        <v>10.8</v>
      </c>
      <c r="I24" s="202" t="s">
        <v>1297</v>
      </c>
      <c r="J24" s="208">
        <v>95</v>
      </c>
      <c r="K24" s="153">
        <v>3.3333333333333335</v>
      </c>
      <c r="L24" s="3">
        <v>0.41666666666666669</v>
      </c>
      <c r="M24" s="3">
        <v>0</v>
      </c>
      <c r="N24" s="3">
        <f t="shared" si="1"/>
        <v>3.75</v>
      </c>
      <c r="O24" s="1"/>
      <c r="P24" s="152">
        <f t="shared" si="3"/>
        <v>53.629166666666691</v>
      </c>
      <c r="Q24" s="150">
        <v>0</v>
      </c>
      <c r="R24" s="199">
        <v>0</v>
      </c>
      <c r="S24" s="199">
        <v>0</v>
      </c>
      <c r="T24" s="199">
        <v>0</v>
      </c>
      <c r="U24" s="199">
        <v>0</v>
      </c>
      <c r="V24" s="199">
        <f t="shared" si="2"/>
        <v>0</v>
      </c>
      <c r="W24" s="199">
        <v>0</v>
      </c>
      <c r="X24" s="151">
        <f>(X23-VSLFO.MGO45[[#This Row],[TOTAL]])+VSLFO.MGO45[[#This Row],[FAENA2]]</f>
        <v>55.9</v>
      </c>
      <c r="Y24" s="150"/>
      <c r="Z24" s="199"/>
      <c r="AA24" s="149">
        <f>(AA23-VSLFO.MGO45[[#This Row],[CYLINDER MP]])+VSLFO.MGO45[[#This Row],[FAENA EN LTS]]</f>
        <v>100</v>
      </c>
      <c r="AB24" s="199"/>
      <c r="AC24" s="199"/>
      <c r="AD24" s="149">
        <f>(AD23-VSLFO.MGO45[[#This Row],[CARTER MP.]])+VSLFO.MGO45[[#This Row],[FAENA EN LTS2]]</f>
        <v>100</v>
      </c>
      <c r="AE24" s="199"/>
      <c r="AF24" s="199"/>
      <c r="AG24" s="149">
        <f>(AG23-VSLFO.MGO45[[#This Row],[MOT AUX]])+VSLFO.MGO45[[#This Row],[FAENA EN  LTS]]</f>
        <v>100</v>
      </c>
      <c r="AH24" s="199"/>
      <c r="AI24" s="199"/>
      <c r="AJ24" s="148">
        <f>(AJ23-VSLFO.MGO45[[#This Row],[HIDRAULICO]])+VSLFO.MGO45[[#This Row],[FAENA EN LTS3]]</f>
        <v>100</v>
      </c>
    </row>
    <row r="25" spans="1:36" x14ac:dyDescent="0.25">
      <c r="A25" s="135"/>
      <c r="B25" s="219">
        <v>43866</v>
      </c>
      <c r="C25" s="7">
        <v>0.52083333333333337</v>
      </c>
      <c r="D25" s="4">
        <f>IF(VSLFO.MGO45[[#This Row],[FECHA]]-B24=1,((VSLFO.MGO45[[#This Row],[HORA]]-C24)*24)+24,(VSLFO.MGO45[[#This Row],[HORA]]-C24)*24)</f>
        <v>0.50000000000000089</v>
      </c>
      <c r="E25" s="10" t="s">
        <v>1057</v>
      </c>
      <c r="F25" s="10" t="s">
        <v>1426</v>
      </c>
      <c r="G25" s="213"/>
      <c r="H25" s="202"/>
      <c r="I25" s="202"/>
      <c r="J25" s="208"/>
      <c r="K25" s="153">
        <v>0.10416666666666685</v>
      </c>
      <c r="L25" s="3">
        <v>5.2083333333333426E-2</v>
      </c>
      <c r="M25" s="3">
        <v>4.1666666666666741E-2</v>
      </c>
      <c r="N25" s="3">
        <f t="shared" si="1"/>
        <v>0.19791666666666702</v>
      </c>
      <c r="O25" s="1"/>
      <c r="P25" s="152">
        <f t="shared" si="3"/>
        <v>53.431250000000027</v>
      </c>
      <c r="Q25" s="150">
        <v>0</v>
      </c>
      <c r="R25" s="199">
        <v>0</v>
      </c>
      <c r="S25" s="199">
        <v>0</v>
      </c>
      <c r="T25" s="199">
        <v>0</v>
      </c>
      <c r="U25" s="199">
        <v>0</v>
      </c>
      <c r="V25" s="199">
        <f t="shared" si="2"/>
        <v>0</v>
      </c>
      <c r="W25" s="199">
        <v>0</v>
      </c>
      <c r="X25" s="151">
        <f>(X24-VSLFO.MGO45[[#This Row],[TOTAL]])+VSLFO.MGO45[[#This Row],[FAENA2]]</f>
        <v>55.9</v>
      </c>
      <c r="Y25" s="150"/>
      <c r="Z25" s="199"/>
      <c r="AA25" s="149">
        <f>(AA24-VSLFO.MGO45[[#This Row],[CYLINDER MP]])+VSLFO.MGO45[[#This Row],[FAENA EN LTS]]</f>
        <v>100</v>
      </c>
      <c r="AB25" s="199"/>
      <c r="AC25" s="199"/>
      <c r="AD25" s="149">
        <f>(AD24-VSLFO.MGO45[[#This Row],[CARTER MP.]])+VSLFO.MGO45[[#This Row],[FAENA EN LTS2]]</f>
        <v>100</v>
      </c>
      <c r="AE25" s="199"/>
      <c r="AF25" s="199"/>
      <c r="AG25" s="149">
        <f>(AG24-VSLFO.MGO45[[#This Row],[MOT AUX]])+VSLFO.MGO45[[#This Row],[FAENA EN  LTS]]</f>
        <v>100</v>
      </c>
      <c r="AH25" s="199"/>
      <c r="AI25" s="199"/>
      <c r="AJ25" s="148">
        <f>(AJ24-VSLFO.MGO45[[#This Row],[HIDRAULICO]])+VSLFO.MGO45[[#This Row],[FAENA EN LTS3]]</f>
        <v>100</v>
      </c>
    </row>
    <row r="26" spans="1:36" x14ac:dyDescent="0.25">
      <c r="A26" s="135"/>
      <c r="B26" s="219">
        <v>43867</v>
      </c>
      <c r="C26" s="7">
        <v>0.33333333333333331</v>
      </c>
      <c r="D26" s="4">
        <f>IF(VSLFO.MGO45[[#This Row],[FECHA]]-B25=1,((VSLFO.MGO45[[#This Row],[HORA]]-C25)*24)+24,(VSLFO.MGO45[[#This Row],[HORA]]-C25)*24)</f>
        <v>19.5</v>
      </c>
      <c r="E26" s="10" t="s">
        <v>351</v>
      </c>
      <c r="F26" s="10" t="s">
        <v>351</v>
      </c>
      <c r="G26" s="212"/>
      <c r="H26" s="201"/>
      <c r="I26" s="201"/>
      <c r="J26" s="207"/>
      <c r="K26" s="153">
        <v>0</v>
      </c>
      <c r="L26" s="3">
        <v>2.03125</v>
      </c>
      <c r="M26" s="3">
        <v>0</v>
      </c>
      <c r="N26" s="3">
        <f t="shared" si="1"/>
        <v>2.03125</v>
      </c>
      <c r="O26" s="1"/>
      <c r="P26" s="152">
        <f t="shared" si="3"/>
        <v>51.400000000000027</v>
      </c>
      <c r="Q26" s="150">
        <v>0</v>
      </c>
      <c r="R26" s="199">
        <v>0</v>
      </c>
      <c r="S26" s="199">
        <v>0</v>
      </c>
      <c r="T26" s="199">
        <v>0</v>
      </c>
      <c r="U26" s="199">
        <v>0</v>
      </c>
      <c r="V26" s="199">
        <f t="shared" si="2"/>
        <v>0</v>
      </c>
      <c r="W26" s="199">
        <v>0</v>
      </c>
      <c r="X26" s="151">
        <f>(X25-VSLFO.MGO45[[#This Row],[TOTAL]])+VSLFO.MGO45[[#This Row],[FAENA2]]</f>
        <v>55.9</v>
      </c>
      <c r="Y26" s="150"/>
      <c r="Z26" s="199"/>
      <c r="AA26" s="149">
        <f>(AA25-VSLFO.MGO45[[#This Row],[CYLINDER MP]])+VSLFO.MGO45[[#This Row],[FAENA EN LTS]]</f>
        <v>100</v>
      </c>
      <c r="AB26" s="199"/>
      <c r="AC26" s="199"/>
      <c r="AD26" s="149">
        <f>(AD25-VSLFO.MGO45[[#This Row],[CARTER MP.]])+VSLFO.MGO45[[#This Row],[FAENA EN LTS2]]</f>
        <v>100</v>
      </c>
      <c r="AE26" s="199"/>
      <c r="AF26" s="199"/>
      <c r="AG26" s="149">
        <f>(AG25-VSLFO.MGO45[[#This Row],[MOT AUX]])+VSLFO.MGO45[[#This Row],[FAENA EN  LTS]]</f>
        <v>100</v>
      </c>
      <c r="AH26" s="199"/>
      <c r="AI26" s="199"/>
      <c r="AJ26" s="148">
        <f>(AJ25-VSLFO.MGO45[[#This Row],[HIDRAULICO]])+VSLFO.MGO45[[#This Row],[FAENA EN LTS3]]</f>
        <v>100</v>
      </c>
    </row>
    <row r="27" spans="1:36" x14ac:dyDescent="0.25">
      <c r="A27" s="135"/>
      <c r="B27" s="219">
        <v>43867</v>
      </c>
      <c r="C27" s="7">
        <v>0.37916666666666665</v>
      </c>
      <c r="D27" s="4">
        <f>IF(VSLFO.MGO45[[#This Row],[FECHA]]-B26=1,((VSLFO.MGO45[[#This Row],[HORA]]-C26)*24)+24,(VSLFO.MGO45[[#This Row],[HORA]]-C26)*24)</f>
        <v>1.1000000000000001</v>
      </c>
      <c r="E27" s="10" t="s">
        <v>351</v>
      </c>
      <c r="F27" s="10" t="s">
        <v>1237</v>
      </c>
      <c r="G27" s="212"/>
      <c r="H27" s="201"/>
      <c r="I27" s="201"/>
      <c r="J27" s="207"/>
      <c r="K27" s="153">
        <v>0</v>
      </c>
      <c r="L27" s="3">
        <v>0.11458333333333334</v>
      </c>
      <c r="M27" s="3">
        <v>0</v>
      </c>
      <c r="N27" s="3">
        <f t="shared" si="1"/>
        <v>0.11458333333333334</v>
      </c>
      <c r="O27" s="199">
        <v>800</v>
      </c>
      <c r="P27" s="152">
        <f t="shared" si="3"/>
        <v>851.28541666666672</v>
      </c>
      <c r="Q27" s="150">
        <v>0</v>
      </c>
      <c r="R27" s="199">
        <v>0</v>
      </c>
      <c r="S27" s="199">
        <v>0</v>
      </c>
      <c r="T27" s="199">
        <v>0</v>
      </c>
      <c r="U27" s="199">
        <v>0</v>
      </c>
      <c r="V27" s="199">
        <f t="shared" si="2"/>
        <v>0</v>
      </c>
      <c r="W27" s="199">
        <v>0</v>
      </c>
      <c r="X27" s="151">
        <f>(X26-VSLFO.MGO45[[#This Row],[TOTAL]])+VSLFO.MGO45[[#This Row],[FAENA2]]</f>
        <v>55.9</v>
      </c>
      <c r="Y27" s="150"/>
      <c r="Z27" s="199"/>
      <c r="AA27" s="149">
        <f>(AA26-VSLFO.MGO45[[#This Row],[CYLINDER MP]])+VSLFO.MGO45[[#This Row],[FAENA EN LTS]]</f>
        <v>100</v>
      </c>
      <c r="AB27" s="199"/>
      <c r="AC27" s="199"/>
      <c r="AD27" s="149">
        <f>(AD26-VSLFO.MGO45[[#This Row],[CARTER MP.]])+VSLFO.MGO45[[#This Row],[FAENA EN LTS2]]</f>
        <v>100</v>
      </c>
      <c r="AE27" s="199"/>
      <c r="AF27" s="199"/>
      <c r="AG27" s="149">
        <f>(AG26-VSLFO.MGO45[[#This Row],[MOT AUX]])+VSLFO.MGO45[[#This Row],[FAENA EN  LTS]]</f>
        <v>100</v>
      </c>
      <c r="AH27" s="199"/>
      <c r="AI27" s="199"/>
      <c r="AJ27" s="148">
        <f>(AJ26-VSLFO.MGO45[[#This Row],[HIDRAULICO]])+VSLFO.MGO45[[#This Row],[FAENA EN LTS3]]</f>
        <v>100</v>
      </c>
    </row>
    <row r="28" spans="1:36" x14ac:dyDescent="0.25">
      <c r="A28" s="135"/>
      <c r="B28" s="219">
        <v>43867</v>
      </c>
      <c r="C28" s="7">
        <v>0.85972222222222217</v>
      </c>
      <c r="D28" s="4">
        <f>IF(VSLFO.MGO45[[#This Row],[FECHA]]-B27=1,((VSLFO.MGO45[[#This Row],[HORA]]-C27)*24)+24,(VSLFO.MGO45[[#This Row],[HORA]]-C27)*24)</f>
        <v>11.533333333333331</v>
      </c>
      <c r="E28" s="10" t="s">
        <v>351</v>
      </c>
      <c r="F28" s="10" t="s">
        <v>1238</v>
      </c>
      <c r="G28" s="212"/>
      <c r="H28" s="201"/>
      <c r="I28" s="201"/>
      <c r="J28" s="207"/>
      <c r="K28" s="153">
        <v>0</v>
      </c>
      <c r="L28" s="3">
        <v>1.2013888888888888</v>
      </c>
      <c r="M28" s="3">
        <v>0</v>
      </c>
      <c r="N28" s="3">
        <f t="shared" si="1"/>
        <v>1.2013888888888888</v>
      </c>
      <c r="O28" s="1"/>
      <c r="P28" s="152">
        <f t="shared" si="3"/>
        <v>850.08402777777781</v>
      </c>
      <c r="Q28" s="150">
        <v>0</v>
      </c>
      <c r="R28" s="199">
        <v>0</v>
      </c>
      <c r="S28" s="199">
        <v>0</v>
      </c>
      <c r="T28" s="199">
        <v>0</v>
      </c>
      <c r="U28" s="199">
        <v>1.3</v>
      </c>
      <c r="V28" s="199">
        <f t="shared" si="2"/>
        <v>1.3</v>
      </c>
      <c r="W28" s="199">
        <v>0</v>
      </c>
      <c r="X28" s="151">
        <f>(X27-VSLFO.MGO45[[#This Row],[TOTAL]])+VSLFO.MGO45[[#This Row],[FAENA2]]</f>
        <v>54.6</v>
      </c>
      <c r="Y28" s="150"/>
      <c r="Z28" s="199"/>
      <c r="AA28" s="149">
        <f>(AA27-VSLFO.MGO45[[#This Row],[CYLINDER MP]])+VSLFO.MGO45[[#This Row],[FAENA EN LTS]]</f>
        <v>100</v>
      </c>
      <c r="AB28" s="199"/>
      <c r="AC28" s="199"/>
      <c r="AD28" s="149">
        <f>(AD27-VSLFO.MGO45[[#This Row],[CARTER MP.]])+VSLFO.MGO45[[#This Row],[FAENA EN LTS2]]</f>
        <v>100</v>
      </c>
      <c r="AE28" s="199"/>
      <c r="AF28" s="199"/>
      <c r="AG28" s="149">
        <f>(AG27-VSLFO.MGO45[[#This Row],[MOT AUX]])+VSLFO.MGO45[[#This Row],[FAENA EN  LTS]]</f>
        <v>100</v>
      </c>
      <c r="AH28" s="199"/>
      <c r="AI28" s="199"/>
      <c r="AJ28" s="148">
        <f>(AJ27-VSLFO.MGO45[[#This Row],[HIDRAULICO]])+VSLFO.MGO45[[#This Row],[FAENA EN LTS3]]</f>
        <v>100</v>
      </c>
    </row>
    <row r="29" spans="1:36" x14ac:dyDescent="0.25">
      <c r="A29" s="135"/>
      <c r="B29" s="219">
        <v>43867</v>
      </c>
      <c r="C29" s="7">
        <v>0.875</v>
      </c>
      <c r="D29" s="4">
        <f>IF(VSLFO.MGO45[[#This Row],[FECHA]]-B28=1,((VSLFO.MGO45[[#This Row],[HORA]]-C28)*24)+24,(VSLFO.MGO45[[#This Row],[HORA]]-C28)*24)</f>
        <v>0.36666666666666803</v>
      </c>
      <c r="E29" s="10" t="s">
        <v>1057</v>
      </c>
      <c r="F29" s="10" t="s">
        <v>1427</v>
      </c>
      <c r="G29" s="212"/>
      <c r="H29" s="201"/>
      <c r="I29" s="201"/>
      <c r="J29" s="207"/>
      <c r="K29" s="153">
        <v>0.15277777777777835</v>
      </c>
      <c r="L29" s="3">
        <v>3.8194444444444586E-2</v>
      </c>
      <c r="M29" s="3">
        <v>3.0555555555555669E-2</v>
      </c>
      <c r="N29" s="3">
        <f t="shared" si="1"/>
        <v>0.2215277777777786</v>
      </c>
      <c r="O29" s="1"/>
      <c r="P29" s="152">
        <f t="shared" si="3"/>
        <v>849.86250000000007</v>
      </c>
      <c r="Q29" s="150">
        <v>0</v>
      </c>
      <c r="R29" s="199">
        <v>0</v>
      </c>
      <c r="S29" s="199">
        <v>0</v>
      </c>
      <c r="T29" s="199">
        <v>0</v>
      </c>
      <c r="U29" s="199">
        <v>0</v>
      </c>
      <c r="V29" s="199">
        <f t="shared" si="2"/>
        <v>0</v>
      </c>
      <c r="W29" s="199">
        <v>0</v>
      </c>
      <c r="X29" s="151">
        <f>(X28-VSLFO.MGO45[[#This Row],[TOTAL]])+VSLFO.MGO45[[#This Row],[FAENA2]]</f>
        <v>54.6</v>
      </c>
      <c r="Y29" s="150"/>
      <c r="Z29" s="199"/>
      <c r="AA29" s="149">
        <f>(AA28-VSLFO.MGO45[[#This Row],[CYLINDER MP]])+VSLFO.MGO45[[#This Row],[FAENA EN LTS]]</f>
        <v>100</v>
      </c>
      <c r="AB29" s="199"/>
      <c r="AC29" s="199"/>
      <c r="AD29" s="149">
        <f>(AD28-VSLFO.MGO45[[#This Row],[CARTER MP.]])+VSLFO.MGO45[[#This Row],[FAENA EN LTS2]]</f>
        <v>100</v>
      </c>
      <c r="AE29" s="199"/>
      <c r="AF29" s="199"/>
      <c r="AG29" s="149">
        <f>(AG28-VSLFO.MGO45[[#This Row],[MOT AUX]])+VSLFO.MGO45[[#This Row],[FAENA EN  LTS]]</f>
        <v>100</v>
      </c>
      <c r="AH29" s="199"/>
      <c r="AI29" s="199"/>
      <c r="AJ29" s="148">
        <f>(AJ28-VSLFO.MGO45[[#This Row],[HIDRAULICO]])+VSLFO.MGO45[[#This Row],[FAENA EN LTS3]]</f>
        <v>100</v>
      </c>
    </row>
    <row r="30" spans="1:36" x14ac:dyDescent="0.25">
      <c r="A30" s="135"/>
      <c r="B30" s="219">
        <v>43867</v>
      </c>
      <c r="C30" s="7">
        <v>0.91249999999999998</v>
      </c>
      <c r="D30" s="4">
        <f>IF(VSLFO.MGO45[[#This Row],[FECHA]]-B29=1,((VSLFO.MGO45[[#This Row],[HORA]]-C29)*24)+24,(VSLFO.MGO45[[#This Row],[HORA]]-C29)*24)</f>
        <v>0.89999999999999947</v>
      </c>
      <c r="E30" s="10" t="s">
        <v>1057</v>
      </c>
      <c r="F30" s="10" t="s">
        <v>1015</v>
      </c>
      <c r="G30" s="212"/>
      <c r="H30" s="201"/>
      <c r="I30" s="201"/>
      <c r="J30" s="207"/>
      <c r="K30" s="153">
        <v>0.82499999999999951</v>
      </c>
      <c r="L30" s="3">
        <v>9.3749999999999944E-2</v>
      </c>
      <c r="M30" s="3">
        <v>7.4999999999999956E-2</v>
      </c>
      <c r="N30" s="3">
        <f t="shared" si="1"/>
        <v>0.99374999999999947</v>
      </c>
      <c r="O30" s="1"/>
      <c r="P30" s="152">
        <f t="shared" si="3"/>
        <v>848.86875000000009</v>
      </c>
      <c r="Q30" s="150">
        <v>0</v>
      </c>
      <c r="R30" s="199">
        <v>0</v>
      </c>
      <c r="S30" s="199">
        <v>0</v>
      </c>
      <c r="T30" s="199">
        <v>0</v>
      </c>
      <c r="U30" s="199">
        <v>0</v>
      </c>
      <c r="V30" s="199">
        <f t="shared" si="2"/>
        <v>0</v>
      </c>
      <c r="W30" s="199">
        <v>0</v>
      </c>
      <c r="X30" s="151">
        <f>(X29-VSLFO.MGO45[[#This Row],[TOTAL]])+VSLFO.MGO45[[#This Row],[FAENA2]]</f>
        <v>54.6</v>
      </c>
      <c r="Y30" s="150"/>
      <c r="Z30" s="199"/>
      <c r="AA30" s="149">
        <f>(AA29-VSLFO.MGO45[[#This Row],[CYLINDER MP]])+VSLFO.MGO45[[#This Row],[FAENA EN LTS]]</f>
        <v>100</v>
      </c>
      <c r="AB30" s="199"/>
      <c r="AC30" s="199"/>
      <c r="AD30" s="149">
        <f>(AD29-VSLFO.MGO45[[#This Row],[CARTER MP.]])+VSLFO.MGO45[[#This Row],[FAENA EN LTS2]]</f>
        <v>100</v>
      </c>
      <c r="AE30" s="199"/>
      <c r="AF30" s="199"/>
      <c r="AG30" s="149">
        <f>(AG29-VSLFO.MGO45[[#This Row],[MOT AUX]])+VSLFO.MGO45[[#This Row],[FAENA EN  LTS]]</f>
        <v>100</v>
      </c>
      <c r="AH30" s="199"/>
      <c r="AI30" s="199"/>
      <c r="AJ30" s="148">
        <f>(AJ29-VSLFO.MGO45[[#This Row],[HIDRAULICO]])+VSLFO.MGO45[[#This Row],[FAENA EN LTS3]]</f>
        <v>100</v>
      </c>
    </row>
    <row r="31" spans="1:36" x14ac:dyDescent="0.25">
      <c r="A31" s="135"/>
      <c r="B31" s="219">
        <v>43867</v>
      </c>
      <c r="C31" s="7">
        <v>0.94166666666666676</v>
      </c>
      <c r="D31" s="4">
        <f>IF(VSLFO.MGO45[[#This Row],[FECHA]]-B30=1,((VSLFO.MGO45[[#This Row],[HORA]]-C30)*24)+24,(VSLFO.MGO45[[#This Row],[HORA]]-C30)*24)</f>
        <v>0.70000000000000284</v>
      </c>
      <c r="E31" s="10" t="s">
        <v>1057</v>
      </c>
      <c r="F31" s="10" t="s">
        <v>1428</v>
      </c>
      <c r="G31" s="212"/>
      <c r="H31" s="201"/>
      <c r="I31" s="201"/>
      <c r="J31" s="207"/>
      <c r="K31" s="153">
        <v>0.29166666666666785</v>
      </c>
      <c r="L31" s="3">
        <v>7.2916666666666963E-2</v>
      </c>
      <c r="M31" s="3">
        <v>5.833333333333357E-2</v>
      </c>
      <c r="N31" s="3">
        <f t="shared" si="1"/>
        <v>0.42291666666666838</v>
      </c>
      <c r="O31" s="1"/>
      <c r="P31" s="152">
        <f t="shared" si="3"/>
        <v>848.44583333333344</v>
      </c>
      <c r="Q31" s="150">
        <v>0</v>
      </c>
      <c r="R31" s="199">
        <v>0</v>
      </c>
      <c r="S31" s="199">
        <v>0</v>
      </c>
      <c r="T31" s="199">
        <v>0</v>
      </c>
      <c r="U31" s="199">
        <v>0</v>
      </c>
      <c r="V31" s="199">
        <f t="shared" si="2"/>
        <v>0</v>
      </c>
      <c r="W31" s="199">
        <v>0</v>
      </c>
      <c r="X31" s="151">
        <f>(X30-VSLFO.MGO45[[#This Row],[TOTAL]])+VSLFO.MGO45[[#This Row],[FAENA2]]</f>
        <v>54.6</v>
      </c>
      <c r="Y31" s="150"/>
      <c r="Z31" s="199"/>
      <c r="AA31" s="149">
        <f>(AA30-VSLFO.MGO45[[#This Row],[CYLINDER MP]])+VSLFO.MGO45[[#This Row],[FAENA EN LTS]]</f>
        <v>100</v>
      </c>
      <c r="AB31" s="199"/>
      <c r="AC31" s="199"/>
      <c r="AD31" s="149">
        <f>(AD30-VSLFO.MGO45[[#This Row],[CARTER MP.]])+VSLFO.MGO45[[#This Row],[FAENA EN LTS2]]</f>
        <v>100</v>
      </c>
      <c r="AE31" s="199"/>
      <c r="AF31" s="199"/>
      <c r="AG31" s="149">
        <f>(AG30-VSLFO.MGO45[[#This Row],[MOT AUX]])+VSLFO.MGO45[[#This Row],[FAENA EN  LTS]]</f>
        <v>100</v>
      </c>
      <c r="AH31" s="199"/>
      <c r="AI31" s="199"/>
      <c r="AJ31" s="148">
        <f>(AJ30-VSLFO.MGO45[[#This Row],[HIDRAULICO]])+VSLFO.MGO45[[#This Row],[FAENA EN LTS3]]</f>
        <v>100</v>
      </c>
    </row>
    <row r="32" spans="1:36" x14ac:dyDescent="0.25">
      <c r="A32" s="135"/>
      <c r="B32" s="219">
        <v>43867</v>
      </c>
      <c r="C32" s="7">
        <v>0.98333333333333339</v>
      </c>
      <c r="D32" s="4">
        <f>IF(VSLFO.MGO45[[#This Row],[FECHA]]-B31=1,((VSLFO.MGO45[[#This Row],[HORA]]-C31)*24)+24,(VSLFO.MGO45[[#This Row],[HORA]]-C31)*24)</f>
        <v>0.99999999999999911</v>
      </c>
      <c r="E32" s="10" t="s">
        <v>1057</v>
      </c>
      <c r="F32" s="10" t="s">
        <v>616</v>
      </c>
      <c r="G32" s="212"/>
      <c r="H32" s="201"/>
      <c r="I32" s="201"/>
      <c r="J32" s="207"/>
      <c r="K32" s="153">
        <v>0.4166666666666663</v>
      </c>
      <c r="L32" s="3">
        <v>0.10416666666666657</v>
      </c>
      <c r="M32" s="3">
        <v>8.3333333333333259E-2</v>
      </c>
      <c r="N32" s="3">
        <f t="shared" si="1"/>
        <v>0.60416666666666607</v>
      </c>
      <c r="O32" s="1"/>
      <c r="P32" s="152">
        <f t="shared" si="3"/>
        <v>847.84166666666681</v>
      </c>
      <c r="Q32" s="150">
        <v>0</v>
      </c>
      <c r="R32" s="199">
        <v>0</v>
      </c>
      <c r="S32" s="199">
        <v>0</v>
      </c>
      <c r="T32" s="199">
        <v>0</v>
      </c>
      <c r="U32" s="199">
        <v>0</v>
      </c>
      <c r="V32" s="199">
        <f t="shared" si="2"/>
        <v>0</v>
      </c>
      <c r="W32" s="199">
        <v>0</v>
      </c>
      <c r="X32" s="151">
        <f>(X31-VSLFO.MGO45[[#This Row],[TOTAL]])+VSLFO.MGO45[[#This Row],[FAENA2]]</f>
        <v>54.6</v>
      </c>
      <c r="Y32" s="150"/>
      <c r="Z32" s="199"/>
      <c r="AA32" s="149">
        <f>(AA31-VSLFO.MGO45[[#This Row],[CYLINDER MP]])+VSLFO.MGO45[[#This Row],[FAENA EN LTS]]</f>
        <v>100</v>
      </c>
      <c r="AB32" s="199"/>
      <c r="AC32" s="199"/>
      <c r="AD32" s="149">
        <f>(AD31-VSLFO.MGO45[[#This Row],[CARTER MP.]])+VSLFO.MGO45[[#This Row],[FAENA EN LTS2]]</f>
        <v>100</v>
      </c>
      <c r="AE32" s="199"/>
      <c r="AF32" s="199"/>
      <c r="AG32" s="149">
        <f>(AG31-VSLFO.MGO45[[#This Row],[MOT AUX]])+VSLFO.MGO45[[#This Row],[FAENA EN  LTS]]</f>
        <v>100</v>
      </c>
      <c r="AH32" s="199"/>
      <c r="AI32" s="199"/>
      <c r="AJ32" s="148">
        <f>(AJ31-VSLFO.MGO45[[#This Row],[HIDRAULICO]])+VSLFO.MGO45[[#This Row],[FAENA EN LTS3]]</f>
        <v>100</v>
      </c>
    </row>
    <row r="33" spans="1:36" x14ac:dyDescent="0.25">
      <c r="A33" s="135"/>
      <c r="B33" s="219">
        <v>43868</v>
      </c>
      <c r="C33" s="7">
        <v>0.33333333333333331</v>
      </c>
      <c r="D33" s="4">
        <f>IF(VSLFO.MGO45[[#This Row],[FECHA]]-B32=1,((VSLFO.MGO45[[#This Row],[HORA]]-C32)*24)+24,(VSLFO.MGO45[[#This Row],[HORA]]-C32)*24)</f>
        <v>8.3999999999999968</v>
      </c>
      <c r="E33" s="10" t="s">
        <v>1425</v>
      </c>
      <c r="F33" s="10" t="s">
        <v>1429</v>
      </c>
      <c r="G33" s="212"/>
      <c r="H33" s="201"/>
      <c r="I33" s="201"/>
      <c r="J33" s="207"/>
      <c r="K33" s="153">
        <v>0</v>
      </c>
      <c r="L33" s="3">
        <v>0.87499999999999967</v>
      </c>
      <c r="M33" s="3">
        <v>0.41999999999999982</v>
      </c>
      <c r="N33" s="3">
        <f t="shared" si="1"/>
        <v>1.2949999999999995</v>
      </c>
      <c r="O33" s="1"/>
      <c r="P33" s="152">
        <f t="shared" si="3"/>
        <v>846.54666666666685</v>
      </c>
      <c r="Q33" s="150">
        <v>0</v>
      </c>
      <c r="R33" s="199">
        <v>0</v>
      </c>
      <c r="S33" s="199">
        <v>0</v>
      </c>
      <c r="T33" s="199">
        <v>0</v>
      </c>
      <c r="U33" s="199">
        <v>0</v>
      </c>
      <c r="V33" s="199">
        <f t="shared" si="2"/>
        <v>0</v>
      </c>
      <c r="W33" s="199">
        <v>0</v>
      </c>
      <c r="X33" s="151">
        <f>(X32-VSLFO.MGO45[[#This Row],[TOTAL]])+VSLFO.MGO45[[#This Row],[FAENA2]]</f>
        <v>54.6</v>
      </c>
      <c r="Y33" s="150"/>
      <c r="Z33" s="199"/>
      <c r="AA33" s="149">
        <f>(AA32-VSLFO.MGO45[[#This Row],[CYLINDER MP]])+VSLFO.MGO45[[#This Row],[FAENA EN LTS]]</f>
        <v>100</v>
      </c>
      <c r="AB33" s="199"/>
      <c r="AC33" s="199"/>
      <c r="AD33" s="149">
        <f>(AD32-VSLFO.MGO45[[#This Row],[CARTER MP.]])+VSLFO.MGO45[[#This Row],[FAENA EN LTS2]]</f>
        <v>100</v>
      </c>
      <c r="AE33" s="199"/>
      <c r="AF33" s="199"/>
      <c r="AG33" s="149">
        <f>(AG32-VSLFO.MGO45[[#This Row],[MOT AUX]])+VSLFO.MGO45[[#This Row],[FAENA EN  LTS]]</f>
        <v>100</v>
      </c>
      <c r="AH33" s="199"/>
      <c r="AI33" s="199"/>
      <c r="AJ33" s="148">
        <f>(AJ32-VSLFO.MGO45[[#This Row],[HIDRAULICO]])+VSLFO.MGO45[[#This Row],[FAENA EN LTS3]]</f>
        <v>100</v>
      </c>
    </row>
    <row r="34" spans="1:36" x14ac:dyDescent="0.25">
      <c r="A34" s="135"/>
      <c r="B34" s="219">
        <v>43869</v>
      </c>
      <c r="C34" s="7">
        <v>0.33333333333333331</v>
      </c>
      <c r="D34" s="4">
        <f>IF(VSLFO.MGO45[[#This Row],[FECHA]]-B33=1,((VSLFO.MGO45[[#This Row],[HORA]]-C33)*24)+24,(VSLFO.MGO45[[#This Row],[HORA]]-C33)*24)</f>
        <v>24</v>
      </c>
      <c r="E34" s="10" t="s">
        <v>1051</v>
      </c>
      <c r="F34" s="10" t="s">
        <v>179</v>
      </c>
      <c r="G34" s="212"/>
      <c r="H34" s="201"/>
      <c r="I34" s="201"/>
      <c r="J34" s="207"/>
      <c r="K34" s="153">
        <v>0</v>
      </c>
      <c r="L34" s="3">
        <v>2.5</v>
      </c>
      <c r="M34" s="3">
        <v>1.5</v>
      </c>
      <c r="N34" s="3">
        <f t="shared" si="1"/>
        <v>4</v>
      </c>
      <c r="O34" s="1"/>
      <c r="P34" s="152">
        <f t="shared" si="3"/>
        <v>842.54666666666685</v>
      </c>
      <c r="Q34" s="150">
        <v>0</v>
      </c>
      <c r="R34" s="199">
        <v>0</v>
      </c>
      <c r="S34" s="199">
        <v>0</v>
      </c>
      <c r="T34" s="199">
        <v>0</v>
      </c>
      <c r="U34" s="199">
        <v>0</v>
      </c>
      <c r="V34" s="199">
        <f t="shared" si="2"/>
        <v>0</v>
      </c>
      <c r="W34" s="199">
        <v>0</v>
      </c>
      <c r="X34" s="151">
        <f>(X33-VSLFO.MGO45[[#This Row],[TOTAL]])+VSLFO.MGO45[[#This Row],[FAENA2]]</f>
        <v>54.6</v>
      </c>
      <c r="Y34" s="150"/>
      <c r="Z34" s="199"/>
      <c r="AA34" s="149">
        <f>(AA33-VSLFO.MGO45[[#This Row],[CYLINDER MP]])+VSLFO.MGO45[[#This Row],[FAENA EN LTS]]</f>
        <v>100</v>
      </c>
      <c r="AB34" s="199"/>
      <c r="AC34" s="199"/>
      <c r="AD34" s="149">
        <f>(AD33-VSLFO.MGO45[[#This Row],[CARTER MP.]])+VSLFO.MGO45[[#This Row],[FAENA EN LTS2]]</f>
        <v>100</v>
      </c>
      <c r="AE34" s="199"/>
      <c r="AF34" s="199"/>
      <c r="AG34" s="149">
        <f>(AG33-VSLFO.MGO45[[#This Row],[MOT AUX]])+VSLFO.MGO45[[#This Row],[FAENA EN  LTS]]</f>
        <v>100</v>
      </c>
      <c r="AH34" s="199"/>
      <c r="AI34" s="199"/>
      <c r="AJ34" s="148">
        <f>(AJ33-VSLFO.MGO45[[#This Row],[HIDRAULICO]])+VSLFO.MGO45[[#This Row],[FAENA EN LTS3]]</f>
        <v>100</v>
      </c>
    </row>
    <row r="35" spans="1:36" x14ac:dyDescent="0.25">
      <c r="A35" s="135"/>
      <c r="B35" s="219">
        <v>43869</v>
      </c>
      <c r="C35" s="7">
        <v>0.70833333333333337</v>
      </c>
      <c r="D35" s="4">
        <f>IF(VSLFO.MGO45[[#This Row],[FECHA]]-B34=1,((VSLFO.MGO45[[#This Row],[HORA]]-C34)*24)+24,(VSLFO.MGO45[[#This Row],[HORA]]-C34)*24)</f>
        <v>9.0000000000000018</v>
      </c>
      <c r="E35" s="10" t="s">
        <v>1051</v>
      </c>
      <c r="F35" s="10" t="s">
        <v>120</v>
      </c>
      <c r="G35" s="212"/>
      <c r="H35" s="201"/>
      <c r="I35" s="201"/>
      <c r="J35" s="207"/>
      <c r="K35" s="153">
        <v>0</v>
      </c>
      <c r="L35" s="3">
        <v>0.93750000000000022</v>
      </c>
      <c r="M35" s="3">
        <v>0.56250000000000011</v>
      </c>
      <c r="N35" s="3">
        <f t="shared" si="1"/>
        <v>1.5000000000000004</v>
      </c>
      <c r="O35" s="1"/>
      <c r="P35" s="152">
        <f t="shared" si="3"/>
        <v>841.04666666666685</v>
      </c>
      <c r="Q35" s="150">
        <v>0</v>
      </c>
      <c r="R35" s="199">
        <v>0</v>
      </c>
      <c r="S35" s="199">
        <v>0</v>
      </c>
      <c r="T35" s="199">
        <v>0</v>
      </c>
      <c r="U35" s="199">
        <v>0</v>
      </c>
      <c r="V35" s="199">
        <f t="shared" si="2"/>
        <v>0</v>
      </c>
      <c r="W35" s="199">
        <v>0</v>
      </c>
      <c r="X35" s="151">
        <f>(X34-VSLFO.MGO45[[#This Row],[TOTAL]])+VSLFO.MGO45[[#This Row],[FAENA2]]</f>
        <v>54.6</v>
      </c>
      <c r="Y35" s="150"/>
      <c r="Z35" s="199"/>
      <c r="AA35" s="149">
        <f>(AA34-VSLFO.MGO45[[#This Row],[CYLINDER MP]])+VSLFO.MGO45[[#This Row],[FAENA EN LTS]]</f>
        <v>100</v>
      </c>
      <c r="AB35" s="199"/>
      <c r="AC35" s="199"/>
      <c r="AD35" s="149">
        <f>(AD34-VSLFO.MGO45[[#This Row],[CARTER MP.]])+VSLFO.MGO45[[#This Row],[FAENA EN LTS2]]</f>
        <v>100</v>
      </c>
      <c r="AE35" s="199"/>
      <c r="AF35" s="199"/>
      <c r="AG35" s="149">
        <f>(AG34-VSLFO.MGO45[[#This Row],[MOT AUX]])+VSLFO.MGO45[[#This Row],[FAENA EN  LTS]]</f>
        <v>100</v>
      </c>
      <c r="AH35" s="199"/>
      <c r="AI35" s="199"/>
      <c r="AJ35" s="148">
        <f>(AJ34-VSLFO.MGO45[[#This Row],[HIDRAULICO]])+VSLFO.MGO45[[#This Row],[FAENA EN LTS3]]</f>
        <v>100</v>
      </c>
    </row>
    <row r="36" spans="1:36" x14ac:dyDescent="0.25">
      <c r="A36" s="135"/>
      <c r="B36" s="219">
        <v>43870</v>
      </c>
      <c r="C36" s="7">
        <v>3.3333333333333333E-2</v>
      </c>
      <c r="D36" s="4">
        <f>IF(VSLFO.MGO45[[#This Row],[FECHA]]-B35=1,((VSLFO.MGO45[[#This Row],[HORA]]-C35)*24)+24,(VSLFO.MGO45[[#This Row],[HORA]]-C35)*24)</f>
        <v>7.7999999999999972</v>
      </c>
      <c r="E36" s="10" t="s">
        <v>1425</v>
      </c>
      <c r="F36" s="10" t="s">
        <v>190</v>
      </c>
      <c r="G36" s="212"/>
      <c r="H36" s="201"/>
      <c r="I36" s="201"/>
      <c r="J36" s="207"/>
      <c r="K36" s="153">
        <v>0</v>
      </c>
      <c r="L36" s="3">
        <v>0.81249999999999978</v>
      </c>
      <c r="M36" s="3">
        <v>0.48749999999999982</v>
      </c>
      <c r="N36" s="3">
        <f t="shared" si="1"/>
        <v>1.2999999999999996</v>
      </c>
      <c r="O36" s="1"/>
      <c r="P36" s="152">
        <f t="shared" si="3"/>
        <v>839.7466666666669</v>
      </c>
      <c r="Q36" s="150">
        <v>0</v>
      </c>
      <c r="R36" s="199">
        <v>0</v>
      </c>
      <c r="S36" s="199">
        <v>0</v>
      </c>
      <c r="T36" s="199">
        <v>0</v>
      </c>
      <c r="U36" s="199">
        <v>0</v>
      </c>
      <c r="V36" s="199">
        <f t="shared" si="2"/>
        <v>0</v>
      </c>
      <c r="W36" s="199">
        <v>0</v>
      </c>
      <c r="X36" s="151">
        <f>(X35-VSLFO.MGO45[[#This Row],[TOTAL]])+VSLFO.MGO45[[#This Row],[FAENA2]]</f>
        <v>54.6</v>
      </c>
      <c r="Y36" s="150"/>
      <c r="Z36" s="199"/>
      <c r="AA36" s="149">
        <f>(AA35-VSLFO.MGO45[[#This Row],[CYLINDER MP]])+VSLFO.MGO45[[#This Row],[FAENA EN LTS]]</f>
        <v>100</v>
      </c>
      <c r="AB36" s="199"/>
      <c r="AC36" s="199"/>
      <c r="AD36" s="149">
        <f>(AD35-VSLFO.MGO45[[#This Row],[CARTER MP.]])+VSLFO.MGO45[[#This Row],[FAENA EN LTS2]]</f>
        <v>100</v>
      </c>
      <c r="AE36" s="199"/>
      <c r="AF36" s="199"/>
      <c r="AG36" s="149">
        <f>(AG35-VSLFO.MGO45[[#This Row],[MOT AUX]])+VSLFO.MGO45[[#This Row],[FAENA EN  LTS]]</f>
        <v>100</v>
      </c>
      <c r="AH36" s="199"/>
      <c r="AI36" s="199"/>
      <c r="AJ36" s="148">
        <f>(AJ35-VSLFO.MGO45[[#This Row],[HIDRAULICO]])+VSLFO.MGO45[[#This Row],[FAENA EN LTS3]]</f>
        <v>100</v>
      </c>
    </row>
    <row r="37" spans="1:36" x14ac:dyDescent="0.25">
      <c r="A37" s="161"/>
      <c r="B37" s="219">
        <v>43870</v>
      </c>
      <c r="C37" s="160">
        <v>5.4166666666666669E-2</v>
      </c>
      <c r="D37" s="4">
        <f>IF(VSLFO.MGO45[[#This Row],[FECHA]]-B36=1,((VSLFO.MGO45[[#This Row],[HORA]]-C36)*24)+24,(VSLFO.MGO45[[#This Row],[HORA]]-C36)*24)</f>
        <v>0.5</v>
      </c>
      <c r="E37" s="10" t="s">
        <v>1057</v>
      </c>
      <c r="F37" s="10" t="s">
        <v>1408</v>
      </c>
      <c r="G37" s="214"/>
      <c r="H37" s="203"/>
      <c r="I37" s="202" t="s">
        <v>1297</v>
      </c>
      <c r="J37" s="209">
        <v>95</v>
      </c>
      <c r="K37" s="159">
        <v>0.20833333333333334</v>
      </c>
      <c r="L37" s="158">
        <v>5.2083333333333336E-2</v>
      </c>
      <c r="M37" s="158">
        <v>4.1666666666666664E-2</v>
      </c>
      <c r="N37" s="3">
        <f t="shared" si="1"/>
        <v>0.30208333333333337</v>
      </c>
      <c r="O37" s="157"/>
      <c r="P37" s="152">
        <f t="shared" si="3"/>
        <v>839.44458333333353</v>
      </c>
      <c r="Q37" s="156">
        <v>0</v>
      </c>
      <c r="R37" s="155">
        <v>0</v>
      </c>
      <c r="S37" s="155">
        <v>0</v>
      </c>
      <c r="T37" s="155">
        <v>0</v>
      </c>
      <c r="U37" s="155">
        <v>0</v>
      </c>
      <c r="V37" s="155">
        <f t="shared" ref="V37:V100" si="4">SUM(Q37:U37)</f>
        <v>0</v>
      </c>
      <c r="W37" s="155">
        <v>0</v>
      </c>
      <c r="X37" s="151">
        <f>(X36-VSLFO.MGO45[[#This Row],[TOTAL]])+VSLFO.MGO45[[#This Row],[FAENA2]]</f>
        <v>54.6</v>
      </c>
      <c r="Y37" s="156"/>
      <c r="Z37" s="155"/>
      <c r="AA37" s="149">
        <f>(AA36-VSLFO.MGO45[[#This Row],[CYLINDER MP]])+VSLFO.MGO45[[#This Row],[FAENA EN LTS]]</f>
        <v>100</v>
      </c>
      <c r="AB37" s="155"/>
      <c r="AC37" s="155"/>
      <c r="AD37" s="149">
        <f>(AD36-VSLFO.MGO45[[#This Row],[CARTER MP.]])+VSLFO.MGO45[[#This Row],[FAENA EN LTS2]]</f>
        <v>100</v>
      </c>
      <c r="AE37" s="155"/>
      <c r="AF37" s="155"/>
      <c r="AG37" s="149">
        <f>(AG36-VSLFO.MGO45[[#This Row],[MOT AUX]])+VSLFO.MGO45[[#This Row],[FAENA EN  LTS]]</f>
        <v>100</v>
      </c>
      <c r="AH37" s="155"/>
      <c r="AI37" s="155"/>
      <c r="AJ37" s="148">
        <f>(AJ36-VSLFO.MGO45[[#This Row],[HIDRAULICO]])+VSLFO.MGO45[[#This Row],[FAENA EN LTS3]]</f>
        <v>100</v>
      </c>
    </row>
    <row r="38" spans="1:36" x14ac:dyDescent="0.25">
      <c r="A38" s="228"/>
      <c r="B38" s="219">
        <v>43870</v>
      </c>
      <c r="C38" s="160">
        <v>0.33333333333333331</v>
      </c>
      <c r="D38" s="4">
        <f>IF(VSLFO.MGO45[[#This Row],[FECHA]]-B37=1,((VSLFO.MGO45[[#This Row],[HORA]]-C37)*24)+24,(VSLFO.MGO45[[#This Row],[HORA]]-C37)*24)</f>
        <v>6.7</v>
      </c>
      <c r="E38" s="10" t="s">
        <v>1338</v>
      </c>
      <c r="F38" s="10" t="s">
        <v>355</v>
      </c>
      <c r="G38" s="214"/>
      <c r="H38" s="203"/>
      <c r="I38" s="202" t="s">
        <v>1297</v>
      </c>
      <c r="J38" s="209">
        <v>95</v>
      </c>
      <c r="K38" s="159">
        <v>5.5833333333333339</v>
      </c>
      <c r="L38" s="158">
        <v>0.69791666666666674</v>
      </c>
      <c r="M38" s="158">
        <v>0.55833333333333335</v>
      </c>
      <c r="N38" s="3">
        <f t="shared" si="1"/>
        <v>6.8395833333333345</v>
      </c>
      <c r="O38" s="157"/>
      <c r="P38" s="152">
        <f t="shared" si="3"/>
        <v>832.60500000000025</v>
      </c>
      <c r="Q38" s="156">
        <v>0</v>
      </c>
      <c r="R38" s="155">
        <v>0</v>
      </c>
      <c r="S38" s="155">
        <v>0</v>
      </c>
      <c r="T38" s="155">
        <v>0</v>
      </c>
      <c r="U38" s="155">
        <v>0</v>
      </c>
      <c r="V38" s="155">
        <f t="shared" si="4"/>
        <v>0</v>
      </c>
      <c r="W38" s="155">
        <v>0</v>
      </c>
      <c r="X38" s="151">
        <f>(X37-VSLFO.MGO45[[#This Row],[TOTAL]])+VSLFO.MGO45[[#This Row],[FAENA2]]</f>
        <v>54.6</v>
      </c>
      <c r="Y38" s="156"/>
      <c r="Z38" s="155"/>
      <c r="AA38" s="149">
        <f>(AA37-VSLFO.MGO45[[#This Row],[CYLINDER MP]])+VSLFO.MGO45[[#This Row],[FAENA EN LTS]]</f>
        <v>100</v>
      </c>
      <c r="AB38" s="155"/>
      <c r="AC38" s="155"/>
      <c r="AD38" s="149">
        <f>(AD37-VSLFO.MGO45[[#This Row],[CARTER MP.]])+VSLFO.MGO45[[#This Row],[FAENA EN LTS2]]</f>
        <v>100</v>
      </c>
      <c r="AE38" s="155"/>
      <c r="AF38" s="155"/>
      <c r="AG38" s="149">
        <f>(AG37-VSLFO.MGO45[[#This Row],[MOT AUX]])+VSLFO.MGO45[[#This Row],[FAENA EN  LTS]]</f>
        <v>100</v>
      </c>
      <c r="AH38" s="155"/>
      <c r="AI38" s="155"/>
      <c r="AJ38" s="148">
        <f>(AJ37-VSLFO.MGO45[[#This Row],[HIDRAULICO]])+VSLFO.MGO45[[#This Row],[FAENA EN LTS3]]</f>
        <v>100</v>
      </c>
    </row>
    <row r="39" spans="1:36" x14ac:dyDescent="0.25">
      <c r="A39" s="161"/>
      <c r="B39" s="219">
        <v>43870</v>
      </c>
      <c r="C39" s="160">
        <v>0.38750000000000001</v>
      </c>
      <c r="D39" s="4">
        <f>IF(VSLFO.MGO45[[#This Row],[FECHA]]-B38=1,((VSLFO.MGO45[[#This Row],[HORA]]-C38)*24)+24,(VSLFO.MGO45[[#This Row],[HORA]]-C38)*24)</f>
        <v>1.3000000000000007</v>
      </c>
      <c r="E39" s="10" t="s">
        <v>1338</v>
      </c>
      <c r="F39" s="10" t="s">
        <v>1162</v>
      </c>
      <c r="G39" s="214">
        <v>91</v>
      </c>
      <c r="H39" s="203">
        <v>10.4</v>
      </c>
      <c r="I39" s="202" t="s">
        <v>1297</v>
      </c>
      <c r="J39" s="209">
        <v>95</v>
      </c>
      <c r="K39" s="159">
        <v>1.0833333333333339</v>
      </c>
      <c r="L39" s="158">
        <v>0.13541666666666674</v>
      </c>
      <c r="M39" s="158">
        <v>0.10833333333333339</v>
      </c>
      <c r="N39" s="3">
        <f t="shared" si="1"/>
        <v>1.3270833333333341</v>
      </c>
      <c r="O39" s="157"/>
      <c r="P39" s="152">
        <f t="shared" si="3"/>
        <v>831.2779166666669</v>
      </c>
      <c r="Q39" s="156">
        <v>0</v>
      </c>
      <c r="R39" s="155">
        <v>0</v>
      </c>
      <c r="S39" s="155">
        <v>0</v>
      </c>
      <c r="T39" s="155">
        <v>0</v>
      </c>
      <c r="U39" s="155">
        <v>0</v>
      </c>
      <c r="V39" s="155">
        <f t="shared" si="4"/>
        <v>0</v>
      </c>
      <c r="W39" s="155">
        <v>0</v>
      </c>
      <c r="X39" s="151">
        <f>(X38-VSLFO.MGO45[[#This Row],[TOTAL]])+VSLFO.MGO45[[#This Row],[FAENA2]]</f>
        <v>54.6</v>
      </c>
      <c r="Y39" s="156"/>
      <c r="Z39" s="155"/>
      <c r="AA39" s="149">
        <f>(AA38-VSLFO.MGO45[[#This Row],[CYLINDER MP]])+VSLFO.MGO45[[#This Row],[FAENA EN LTS]]</f>
        <v>100</v>
      </c>
      <c r="AB39" s="155"/>
      <c r="AC39" s="155"/>
      <c r="AD39" s="149">
        <f>(AD38-VSLFO.MGO45[[#This Row],[CARTER MP.]])+VSLFO.MGO45[[#This Row],[FAENA EN LTS2]]</f>
        <v>100</v>
      </c>
      <c r="AE39" s="155"/>
      <c r="AF39" s="155"/>
      <c r="AG39" s="149">
        <f>(AG38-VSLFO.MGO45[[#This Row],[MOT AUX]])+VSLFO.MGO45[[#This Row],[FAENA EN  LTS]]</f>
        <v>100</v>
      </c>
      <c r="AH39" s="155"/>
      <c r="AI39" s="155"/>
      <c r="AJ39" s="148">
        <f>(AJ38-VSLFO.MGO45[[#This Row],[HIDRAULICO]])+VSLFO.MGO45[[#This Row],[FAENA EN LTS3]]</f>
        <v>100</v>
      </c>
    </row>
    <row r="40" spans="1:36" x14ac:dyDescent="0.25">
      <c r="A40" s="135"/>
      <c r="B40" s="219">
        <v>43870</v>
      </c>
      <c r="C40" s="7">
        <v>0.40833333333333338</v>
      </c>
      <c r="D40" s="4">
        <f>IF(VSLFO.MGO45[[#This Row],[FECHA]]-B39=1,((VSLFO.MGO45[[#This Row],[HORA]]-C39)*24)+24,(VSLFO.MGO45[[#This Row],[HORA]]-C39)*24)</f>
        <v>0.50000000000000089</v>
      </c>
      <c r="E40" s="10" t="s">
        <v>1057</v>
      </c>
      <c r="F40" s="10" t="s">
        <v>1242</v>
      </c>
      <c r="G40" s="212"/>
      <c r="H40" s="201"/>
      <c r="I40" s="201"/>
      <c r="J40" s="207"/>
      <c r="K40" s="153">
        <v>0.2083333333333337</v>
      </c>
      <c r="L40" s="3">
        <v>5.2083333333333426E-2</v>
      </c>
      <c r="M40" s="3">
        <v>4.1666666666666741E-2</v>
      </c>
      <c r="N40" s="3">
        <f t="shared" si="1"/>
        <v>0.30208333333333387</v>
      </c>
      <c r="O40" s="1"/>
      <c r="P40" s="152">
        <f t="shared" si="3"/>
        <v>830.97583333333353</v>
      </c>
      <c r="Q40" s="150">
        <v>0</v>
      </c>
      <c r="R40" s="199">
        <v>0</v>
      </c>
      <c r="S40" s="199">
        <v>0</v>
      </c>
      <c r="T40" s="199">
        <v>0</v>
      </c>
      <c r="U40" s="199">
        <v>0</v>
      </c>
      <c r="V40" s="155">
        <f t="shared" si="4"/>
        <v>0</v>
      </c>
      <c r="W40" s="199">
        <v>0</v>
      </c>
      <c r="X40" s="151">
        <f>(X39-VSLFO.MGO45[[#This Row],[TOTAL]])+VSLFO.MGO45[[#This Row],[FAENA2]]</f>
        <v>54.6</v>
      </c>
      <c r="Y40" s="150"/>
      <c r="Z40" s="199"/>
      <c r="AA40" s="149">
        <f>(AA39-VSLFO.MGO45[[#This Row],[CYLINDER MP]])+VSLFO.MGO45[[#This Row],[FAENA EN LTS]]</f>
        <v>100</v>
      </c>
      <c r="AB40" s="199"/>
      <c r="AC40" s="199"/>
      <c r="AD40" s="149">
        <f>(AD39-VSLFO.MGO45[[#This Row],[CARTER MP.]])+VSLFO.MGO45[[#This Row],[FAENA EN LTS2]]</f>
        <v>100</v>
      </c>
      <c r="AE40" s="199"/>
      <c r="AF40" s="199"/>
      <c r="AG40" s="149">
        <f>(AG39-VSLFO.MGO45[[#This Row],[MOT AUX]])+VSLFO.MGO45[[#This Row],[FAENA EN  LTS]]</f>
        <v>100</v>
      </c>
      <c r="AH40" s="199"/>
      <c r="AI40" s="199"/>
      <c r="AJ40" s="148"/>
    </row>
    <row r="41" spans="1:36" x14ac:dyDescent="0.25">
      <c r="A41" s="161"/>
      <c r="B41" s="219">
        <v>43870</v>
      </c>
      <c r="C41" s="160">
        <v>0.54583333333333328</v>
      </c>
      <c r="D41" s="4">
        <f>IF(VSLFO.MGO45[[#This Row],[FECHA]]-B40=1,((VSLFO.MGO45[[#This Row],[HORA]]-C40)*24)+24,(VSLFO.MGO45[[#This Row],[HORA]]-C40)*24)</f>
        <v>3.2999999999999976</v>
      </c>
      <c r="E41" s="10" t="s">
        <v>351</v>
      </c>
      <c r="F41" s="10" t="s">
        <v>190</v>
      </c>
      <c r="G41" s="214"/>
      <c r="H41" s="203"/>
      <c r="I41" s="203"/>
      <c r="J41" s="209"/>
      <c r="K41" s="159">
        <v>0</v>
      </c>
      <c r="L41" s="158">
        <v>0.34374999999999978</v>
      </c>
      <c r="M41" s="158">
        <v>0.2749999999999998</v>
      </c>
      <c r="N41" s="3">
        <f t="shared" si="1"/>
        <v>0.61874999999999958</v>
      </c>
      <c r="O41" s="157"/>
      <c r="P41" s="152">
        <f t="shared" si="3"/>
        <v>830.35708333333355</v>
      </c>
      <c r="Q41" s="156">
        <v>0</v>
      </c>
      <c r="R41" s="155">
        <v>0</v>
      </c>
      <c r="S41" s="155">
        <v>0</v>
      </c>
      <c r="T41" s="155">
        <v>0</v>
      </c>
      <c r="U41" s="155">
        <v>0</v>
      </c>
      <c r="V41" s="155">
        <f t="shared" si="4"/>
        <v>0</v>
      </c>
      <c r="W41" s="155">
        <v>0</v>
      </c>
      <c r="X41" s="151">
        <f>(X40-VSLFO.MGO45[[#This Row],[TOTAL]])+VSLFO.MGO45[[#This Row],[FAENA2]]</f>
        <v>54.6</v>
      </c>
      <c r="Y41" s="156"/>
      <c r="Z41" s="155"/>
      <c r="AA41" s="149">
        <f>(AA40-VSLFO.MGO45[[#This Row],[CYLINDER MP]])+VSLFO.MGO45[[#This Row],[FAENA EN LTS]]</f>
        <v>100</v>
      </c>
      <c r="AB41" s="155"/>
      <c r="AC41" s="155"/>
      <c r="AD41" s="149">
        <f>(AD40-VSLFO.MGO45[[#This Row],[CARTER MP.]])+VSLFO.MGO45[[#This Row],[FAENA EN LTS2]]</f>
        <v>100</v>
      </c>
      <c r="AE41" s="155"/>
      <c r="AF41" s="155"/>
      <c r="AG41" s="149">
        <f>(AG40-VSLFO.MGO45[[#This Row],[MOT AUX]])+VSLFO.MGO45[[#This Row],[FAENA EN  LTS]]</f>
        <v>100</v>
      </c>
      <c r="AH41" s="155"/>
      <c r="AI41" s="155"/>
      <c r="AJ41" s="148">
        <f>($AJ$4-VSLFO.MGO45[[#This Row],[HIDRAULICO]])+VSLFO.MGO45[[#This Row],[FAENA EN LTS3]]</f>
        <v>100</v>
      </c>
    </row>
    <row r="42" spans="1:36" x14ac:dyDescent="0.25">
      <c r="A42" s="135"/>
      <c r="B42" s="219">
        <v>43870</v>
      </c>
      <c r="C42" s="7">
        <v>0.57916666666666672</v>
      </c>
      <c r="D42" s="4">
        <f>IF(VSLFO.MGO45[[#This Row],[FECHA]]-B41=1,((VSLFO.MGO45[[#This Row],[HORA]]-C41)*24)+24,(VSLFO.MGO45[[#This Row],[HORA]]-C41)*24)</f>
        <v>0.80000000000000249</v>
      </c>
      <c r="E42" s="10" t="s">
        <v>1057</v>
      </c>
      <c r="F42" s="10" t="s">
        <v>1194</v>
      </c>
      <c r="G42" s="212"/>
      <c r="H42" s="201"/>
      <c r="I42" s="201"/>
      <c r="J42" s="207"/>
      <c r="K42" s="153">
        <v>0.33333333333333437</v>
      </c>
      <c r="L42" s="3">
        <v>8.3333333333333592E-2</v>
      </c>
      <c r="M42" s="3">
        <v>5.0000000000000155E-2</v>
      </c>
      <c r="N42" s="3">
        <f t="shared" si="1"/>
        <v>0.46666666666666812</v>
      </c>
      <c r="O42" s="1"/>
      <c r="P42" s="152">
        <f t="shared" si="3"/>
        <v>829.89041666666685</v>
      </c>
      <c r="Q42" s="150">
        <v>0</v>
      </c>
      <c r="R42" s="199">
        <v>0</v>
      </c>
      <c r="S42" s="199">
        <v>0</v>
      </c>
      <c r="T42" s="199">
        <v>0</v>
      </c>
      <c r="U42" s="199">
        <v>0</v>
      </c>
      <c r="V42" s="155">
        <f t="shared" si="4"/>
        <v>0</v>
      </c>
      <c r="W42" s="199">
        <v>0</v>
      </c>
      <c r="X42" s="151">
        <f>(X41-VSLFO.MGO45[[#This Row],[TOTAL]])+VSLFO.MGO45[[#This Row],[FAENA2]]</f>
        <v>54.6</v>
      </c>
      <c r="Y42" s="150"/>
      <c r="Z42" s="199"/>
      <c r="AA42" s="149">
        <f>(AA41-VSLFO.MGO45[[#This Row],[CYLINDER MP]])+VSLFO.MGO45[[#This Row],[FAENA EN LTS]]</f>
        <v>100</v>
      </c>
      <c r="AB42" s="199"/>
      <c r="AC42" s="199"/>
      <c r="AD42" s="149">
        <f>(AD41-VSLFO.MGO45[[#This Row],[CARTER MP.]])+VSLFO.MGO45[[#This Row],[FAENA EN LTS2]]</f>
        <v>100</v>
      </c>
      <c r="AE42" s="199"/>
      <c r="AF42" s="199"/>
      <c r="AG42" s="149">
        <f>(AG41-VSLFO.MGO45[[#This Row],[MOT AUX]])+VSLFO.MGO45[[#This Row],[FAENA EN  LTS]]</f>
        <v>100</v>
      </c>
      <c r="AH42" s="199"/>
      <c r="AI42" s="199"/>
      <c r="AJ42" s="148"/>
    </row>
    <row r="43" spans="1:36" x14ac:dyDescent="0.25">
      <c r="A43" s="135"/>
      <c r="B43" s="219">
        <v>43871</v>
      </c>
      <c r="C43" s="7">
        <v>0.33333333333333331</v>
      </c>
      <c r="D43" s="4">
        <f>IF(VSLFO.MGO45[[#This Row],[FECHA]]-B42=1,((VSLFO.MGO45[[#This Row],[HORA]]-C42)*24)+24,(VSLFO.MGO45[[#This Row],[HORA]]-C42)*24)</f>
        <v>18.099999999999998</v>
      </c>
      <c r="E43" s="10" t="s">
        <v>1425</v>
      </c>
      <c r="F43" s="10" t="s">
        <v>1004</v>
      </c>
      <c r="G43" s="212"/>
      <c r="H43" s="201"/>
      <c r="I43" s="201"/>
      <c r="J43" s="207"/>
      <c r="K43" s="153">
        <v>0</v>
      </c>
      <c r="L43" s="3">
        <v>1.8854166666666665</v>
      </c>
      <c r="M43" s="3">
        <v>1.1312499999999999</v>
      </c>
      <c r="N43" s="3">
        <f t="shared" si="1"/>
        <v>3.0166666666666666</v>
      </c>
      <c r="O43" s="1"/>
      <c r="P43" s="152">
        <f t="shared" si="3"/>
        <v>826.8737500000002</v>
      </c>
      <c r="Q43" s="150">
        <v>0</v>
      </c>
      <c r="R43" s="199">
        <v>0</v>
      </c>
      <c r="S43" s="199">
        <v>0</v>
      </c>
      <c r="T43" s="199">
        <v>0</v>
      </c>
      <c r="U43" s="199">
        <v>4</v>
      </c>
      <c r="V43" s="155">
        <f t="shared" si="4"/>
        <v>4</v>
      </c>
      <c r="W43" s="199">
        <v>0</v>
      </c>
      <c r="X43" s="151">
        <f>(X42-VSLFO.MGO45[[#This Row],[TOTAL]])+VSLFO.MGO45[[#This Row],[FAENA2]]</f>
        <v>50.6</v>
      </c>
      <c r="Y43" s="150"/>
      <c r="Z43" s="199"/>
      <c r="AA43" s="149">
        <f>(AA42-VSLFO.MGO45[[#This Row],[CYLINDER MP]])+VSLFO.MGO45[[#This Row],[FAENA EN LTS]]</f>
        <v>100</v>
      </c>
      <c r="AB43" s="199"/>
      <c r="AC43" s="199"/>
      <c r="AD43" s="149">
        <f>(AD42-VSLFO.MGO45[[#This Row],[CARTER MP.]])+VSLFO.MGO45[[#This Row],[FAENA EN LTS2]]</f>
        <v>100</v>
      </c>
      <c r="AE43" s="199"/>
      <c r="AF43" s="199"/>
      <c r="AG43" s="149">
        <f>(AG42-VSLFO.MGO45[[#This Row],[MOT AUX]])+VSLFO.MGO45[[#This Row],[FAENA EN  LTS]]</f>
        <v>100</v>
      </c>
      <c r="AH43" s="199"/>
      <c r="AI43" s="199"/>
      <c r="AJ43" s="148"/>
    </row>
    <row r="44" spans="1:36" x14ac:dyDescent="0.25">
      <c r="A44" s="192"/>
      <c r="B44" s="219">
        <v>43872</v>
      </c>
      <c r="C44" s="7">
        <v>0.25</v>
      </c>
      <c r="D44" s="4">
        <f>IF(VSLFO.MGO45[[#This Row],[FECHA]]-B43=1,((VSLFO.MGO45[[#This Row],[HORA]]-C43)*24)+24,(VSLFO.MGO45[[#This Row],[HORA]]-C43)*24)</f>
        <v>22</v>
      </c>
      <c r="E44" s="10" t="s">
        <v>966</v>
      </c>
      <c r="F44" s="10" t="s">
        <v>265</v>
      </c>
      <c r="G44" s="212"/>
      <c r="H44" s="201"/>
      <c r="I44" s="201"/>
      <c r="J44" s="207"/>
      <c r="K44" s="153">
        <v>0</v>
      </c>
      <c r="L44" s="3">
        <v>2.291666666666667</v>
      </c>
      <c r="M44" s="3">
        <v>1.8333333333333333</v>
      </c>
      <c r="N44" s="3">
        <f t="shared" si="1"/>
        <v>4.125</v>
      </c>
      <c r="O44" s="1"/>
      <c r="P44" s="152">
        <f t="shared" si="3"/>
        <v>822.7487500000002</v>
      </c>
      <c r="Q44" s="150">
        <v>0</v>
      </c>
      <c r="R44" s="199">
        <v>0</v>
      </c>
      <c r="S44" s="199">
        <v>0</v>
      </c>
      <c r="T44" s="199">
        <v>0</v>
      </c>
      <c r="U44" s="199">
        <v>3</v>
      </c>
      <c r="V44" s="155">
        <f t="shared" si="4"/>
        <v>3</v>
      </c>
      <c r="W44" s="199">
        <v>0</v>
      </c>
      <c r="X44" s="151">
        <f>(X43-VSLFO.MGO45[[#This Row],[TOTAL]])+VSLFO.MGO45[[#This Row],[FAENA2]]</f>
        <v>47.6</v>
      </c>
      <c r="Y44" s="150"/>
      <c r="Z44" s="199"/>
      <c r="AA44" s="149">
        <f t="shared" ref="AA44:AA107" si="5">AA42</f>
        <v>100</v>
      </c>
      <c r="AB44" s="199"/>
      <c r="AC44" s="199"/>
      <c r="AD44" s="149">
        <f>($AD$4-VSLFO.MGO45[[#This Row],[CARTER MP.]])+VSLFO.MGO45[[#This Row],[FAENA EN LTS2]]</f>
        <v>100</v>
      </c>
      <c r="AE44" s="199"/>
      <c r="AF44" s="199"/>
      <c r="AG44" s="149">
        <f t="shared" ref="AG44:AG107" si="6">$AG$4</f>
        <v>100</v>
      </c>
      <c r="AH44" s="199"/>
      <c r="AI44" s="199"/>
      <c r="AJ44" s="148"/>
    </row>
    <row r="45" spans="1:36" x14ac:dyDescent="0.25">
      <c r="A45" s="192"/>
      <c r="B45" s="219">
        <v>43872</v>
      </c>
      <c r="C45" s="7">
        <v>0.33333333333333331</v>
      </c>
      <c r="D45" s="4">
        <f>IF(VSLFO.MGO45[[#This Row],[FECHA]]-B44=1,((VSLFO.MGO45[[#This Row],[HORA]]-C44)*24)+24,(VSLFO.MGO45[[#This Row],[HORA]]-C44)*24)</f>
        <v>1.9999999999999996</v>
      </c>
      <c r="E45" s="10" t="s">
        <v>1425</v>
      </c>
      <c r="F45" s="10" t="s">
        <v>1066</v>
      </c>
      <c r="G45" s="212"/>
      <c r="H45" s="201"/>
      <c r="I45" s="201"/>
      <c r="J45" s="207"/>
      <c r="K45" s="153">
        <v>0</v>
      </c>
      <c r="L45" s="3">
        <v>0.20833333333333329</v>
      </c>
      <c r="M45" s="3">
        <v>0.12499999999999997</v>
      </c>
      <c r="N45" s="3">
        <f t="shared" si="1"/>
        <v>0.33333333333333326</v>
      </c>
      <c r="O45" s="1"/>
      <c r="P45" s="152">
        <f t="shared" si="3"/>
        <v>822.41541666666683</v>
      </c>
      <c r="Q45" s="150">
        <v>0</v>
      </c>
      <c r="R45" s="199">
        <v>0</v>
      </c>
      <c r="S45" s="199">
        <v>0</v>
      </c>
      <c r="T45" s="199">
        <v>0</v>
      </c>
      <c r="U45" s="199">
        <v>0</v>
      </c>
      <c r="V45" s="155">
        <f t="shared" si="4"/>
        <v>0</v>
      </c>
      <c r="W45" s="199">
        <v>0</v>
      </c>
      <c r="X45" s="151">
        <f>(X44-VSLFO.MGO45[[#This Row],[TOTAL]])+VSLFO.MGO45[[#This Row],[FAENA2]]</f>
        <v>47.6</v>
      </c>
      <c r="Y45" s="150"/>
      <c r="Z45" s="199"/>
      <c r="AA45" s="149">
        <f t="shared" si="5"/>
        <v>100</v>
      </c>
      <c r="AB45" s="199"/>
      <c r="AC45" s="199"/>
      <c r="AD45" s="149">
        <f>($AD$4-VSLFO.MGO45[[#This Row],[CARTER MP.]])+VSLFO.MGO45[[#This Row],[FAENA EN LTS2]]</f>
        <v>100</v>
      </c>
      <c r="AE45" s="199"/>
      <c r="AF45" s="199"/>
      <c r="AG45" s="149">
        <f t="shared" si="6"/>
        <v>100</v>
      </c>
      <c r="AH45" s="199"/>
      <c r="AI45" s="199"/>
      <c r="AJ45" s="148"/>
    </row>
    <row r="46" spans="1:36" x14ac:dyDescent="0.25">
      <c r="A46" s="192"/>
      <c r="B46" s="219">
        <v>43872</v>
      </c>
      <c r="C46" s="7">
        <v>0.375</v>
      </c>
      <c r="D46" s="4">
        <f>IF(VSLFO.MGO45[[#This Row],[FECHA]]-B45=1,((VSLFO.MGO45[[#This Row],[HORA]]-C45)*24)+24,(VSLFO.MGO45[[#This Row],[HORA]]-C45)*24)</f>
        <v>1.0000000000000004</v>
      </c>
      <c r="E46" s="10" t="s">
        <v>1425</v>
      </c>
      <c r="F46" s="10" t="s">
        <v>1011</v>
      </c>
      <c r="G46" s="212"/>
      <c r="H46" s="201"/>
      <c r="I46" s="201"/>
      <c r="J46" s="207"/>
      <c r="K46" s="153">
        <v>0</v>
      </c>
      <c r="L46" s="3">
        <v>0.10416666666666671</v>
      </c>
      <c r="M46" s="3">
        <v>6.2500000000000028E-2</v>
      </c>
      <c r="N46" s="3">
        <f t="shared" si="1"/>
        <v>0.16666666666666674</v>
      </c>
      <c r="O46" s="1"/>
      <c r="P46" s="152">
        <f t="shared" si="3"/>
        <v>822.2487500000002</v>
      </c>
      <c r="Q46" s="150">
        <v>0</v>
      </c>
      <c r="R46" s="199">
        <v>0</v>
      </c>
      <c r="S46" s="199">
        <v>0</v>
      </c>
      <c r="T46" s="199">
        <v>0</v>
      </c>
      <c r="U46" s="199">
        <v>0</v>
      </c>
      <c r="V46" s="155">
        <f t="shared" si="4"/>
        <v>0</v>
      </c>
      <c r="W46" s="199">
        <v>0</v>
      </c>
      <c r="X46" s="151">
        <f>(X45-VSLFO.MGO45[[#This Row],[TOTAL]])+VSLFO.MGO45[[#This Row],[FAENA2]]</f>
        <v>47.6</v>
      </c>
      <c r="Y46" s="150"/>
      <c r="Z46" s="199"/>
      <c r="AA46" s="149">
        <f t="shared" si="5"/>
        <v>100</v>
      </c>
      <c r="AB46" s="199"/>
      <c r="AC46" s="199"/>
      <c r="AD46" s="149">
        <f>($AD$4-VSLFO.MGO45[[#This Row],[CARTER MP.]])+VSLFO.MGO45[[#This Row],[FAENA EN LTS2]]</f>
        <v>100</v>
      </c>
      <c r="AE46" s="199"/>
      <c r="AF46" s="199"/>
      <c r="AG46" s="149">
        <f t="shared" si="6"/>
        <v>100</v>
      </c>
      <c r="AH46" s="199"/>
      <c r="AI46" s="199"/>
      <c r="AJ46" s="148"/>
    </row>
    <row r="47" spans="1:36" x14ac:dyDescent="0.25">
      <c r="A47" s="192"/>
      <c r="B47" s="219">
        <v>43872</v>
      </c>
      <c r="C47" s="7">
        <v>0.39583333333333331</v>
      </c>
      <c r="D47" s="4">
        <f>IF(VSLFO.MGO45[[#This Row],[FECHA]]-B46=1,((VSLFO.MGO45[[#This Row],[HORA]]-C46)*24)+24,(VSLFO.MGO45[[#This Row],[HORA]]-C46)*24)</f>
        <v>0.49999999999999956</v>
      </c>
      <c r="E47" s="10" t="s">
        <v>1057</v>
      </c>
      <c r="F47" s="10" t="s">
        <v>1411</v>
      </c>
      <c r="G47" s="212"/>
      <c r="H47" s="201"/>
      <c r="I47" s="202" t="s">
        <v>1297</v>
      </c>
      <c r="J47" s="207">
        <v>95</v>
      </c>
      <c r="K47" s="153">
        <v>4.166666666666663E-2</v>
      </c>
      <c r="L47" s="3">
        <v>5.2083333333333287E-2</v>
      </c>
      <c r="M47" s="3">
        <v>3.1249999999999972E-2</v>
      </c>
      <c r="N47" s="3">
        <f t="shared" si="1"/>
        <v>0.12499999999999989</v>
      </c>
      <c r="O47" s="1"/>
      <c r="P47" s="152">
        <f t="shared" si="3"/>
        <v>822.1237500000002</v>
      </c>
      <c r="Q47" s="150">
        <v>0</v>
      </c>
      <c r="R47" s="199">
        <v>0</v>
      </c>
      <c r="S47" s="199">
        <v>0</v>
      </c>
      <c r="T47" s="199">
        <v>0</v>
      </c>
      <c r="U47" s="199">
        <v>0</v>
      </c>
      <c r="V47" s="155">
        <f t="shared" si="4"/>
        <v>0</v>
      </c>
      <c r="W47" s="199">
        <v>0</v>
      </c>
      <c r="X47" s="151">
        <f>(X46-VSLFO.MGO45[[#This Row],[TOTAL]])+VSLFO.MGO45[[#This Row],[FAENA2]]</f>
        <v>47.6</v>
      </c>
      <c r="Y47" s="150"/>
      <c r="Z47" s="199"/>
      <c r="AA47" s="149">
        <f t="shared" si="5"/>
        <v>100</v>
      </c>
      <c r="AB47" s="199"/>
      <c r="AC47" s="199"/>
      <c r="AD47" s="149">
        <f>($AD$4-VSLFO.MGO45[[#This Row],[CARTER MP.]])+VSLFO.MGO45[[#This Row],[FAENA EN LTS2]]</f>
        <v>100</v>
      </c>
      <c r="AE47" s="199"/>
      <c r="AF47" s="199"/>
      <c r="AG47" s="149">
        <f t="shared" si="6"/>
        <v>100</v>
      </c>
      <c r="AH47" s="199"/>
      <c r="AI47" s="199"/>
      <c r="AJ47" s="148"/>
    </row>
    <row r="48" spans="1:36" x14ac:dyDescent="0.25">
      <c r="A48" s="192"/>
      <c r="B48" s="219">
        <v>43873</v>
      </c>
      <c r="C48" s="7">
        <v>0.33333333333333331</v>
      </c>
      <c r="D48" s="4">
        <f>IF(VSLFO.MGO45[[#This Row],[FECHA]]-B47=1,((VSLFO.MGO45[[#This Row],[HORA]]-C47)*24)+24,(VSLFO.MGO45[[#This Row],[HORA]]-C47)*24)</f>
        <v>22.5</v>
      </c>
      <c r="E48" s="10" t="s">
        <v>1338</v>
      </c>
      <c r="F48" s="10" t="s">
        <v>355</v>
      </c>
      <c r="G48" s="212"/>
      <c r="H48" s="201"/>
      <c r="I48" s="202" t="s">
        <v>1297</v>
      </c>
      <c r="J48" s="207">
        <v>95</v>
      </c>
      <c r="K48" s="153">
        <v>18.75</v>
      </c>
      <c r="L48" s="3">
        <v>2.34375</v>
      </c>
      <c r="M48" s="3">
        <v>0</v>
      </c>
      <c r="N48" s="3">
        <f t="shared" si="1"/>
        <v>21.09375</v>
      </c>
      <c r="O48" s="1"/>
      <c r="P48" s="152">
        <f t="shared" si="3"/>
        <v>801.0300000000002</v>
      </c>
      <c r="Q48" s="150">
        <v>0</v>
      </c>
      <c r="R48" s="199">
        <v>0</v>
      </c>
      <c r="S48" s="199">
        <v>0</v>
      </c>
      <c r="T48" s="199">
        <v>0</v>
      </c>
      <c r="U48" s="199">
        <v>0</v>
      </c>
      <c r="V48" s="155">
        <f t="shared" si="4"/>
        <v>0</v>
      </c>
      <c r="W48" s="199">
        <v>0</v>
      </c>
      <c r="X48" s="151">
        <f>(X47-VSLFO.MGO45[[#This Row],[TOTAL]])+VSLFO.MGO45[[#This Row],[FAENA2]]</f>
        <v>47.6</v>
      </c>
      <c r="Y48" s="150"/>
      <c r="Z48" s="199"/>
      <c r="AA48" s="149">
        <f t="shared" si="5"/>
        <v>100</v>
      </c>
      <c r="AB48" s="199"/>
      <c r="AC48" s="199"/>
      <c r="AD48" s="149">
        <f>($AD$4-VSLFO.MGO45[[#This Row],[CARTER MP.]])+VSLFO.MGO45[[#This Row],[FAENA EN LTS2]]</f>
        <v>100</v>
      </c>
      <c r="AE48" s="199"/>
      <c r="AF48" s="199"/>
      <c r="AG48" s="149">
        <f t="shared" si="6"/>
        <v>100</v>
      </c>
      <c r="AH48" s="199"/>
      <c r="AI48" s="199"/>
      <c r="AJ48" s="148"/>
    </row>
    <row r="49" spans="1:36" x14ac:dyDescent="0.25">
      <c r="A49" s="192"/>
      <c r="B49" s="219">
        <v>43873</v>
      </c>
      <c r="C49" s="7">
        <v>0.47916666666666669</v>
      </c>
      <c r="D49" s="4">
        <f>IF(VSLFO.MGO45[[#This Row],[FECHA]]-B48=1,((VSLFO.MGO45[[#This Row],[HORA]]-C48)*24)+24,(VSLFO.MGO45[[#This Row],[HORA]]-C48)*24)</f>
        <v>3.5000000000000009</v>
      </c>
      <c r="E49" s="10" t="s">
        <v>1338</v>
      </c>
      <c r="F49" s="10" t="s">
        <v>152</v>
      </c>
      <c r="G49" s="212">
        <v>266</v>
      </c>
      <c r="H49" s="201">
        <v>9.8000000000000007</v>
      </c>
      <c r="I49" s="202" t="s">
        <v>1297</v>
      </c>
      <c r="J49" s="207">
        <v>95</v>
      </c>
      <c r="K49" s="153">
        <v>2.9166666666666674</v>
      </c>
      <c r="L49" s="3">
        <v>0.36458333333333343</v>
      </c>
      <c r="M49" s="3">
        <v>0</v>
      </c>
      <c r="N49" s="3">
        <f t="shared" si="1"/>
        <v>3.2812500000000009</v>
      </c>
      <c r="O49" s="1"/>
      <c r="P49" s="152">
        <f t="shared" si="3"/>
        <v>797.7487500000002</v>
      </c>
      <c r="Q49" s="150">
        <v>0</v>
      </c>
      <c r="R49" s="199">
        <v>0</v>
      </c>
      <c r="S49" s="199">
        <v>0</v>
      </c>
      <c r="T49" s="199">
        <v>0</v>
      </c>
      <c r="U49" s="199">
        <v>0</v>
      </c>
      <c r="V49" s="155">
        <f t="shared" si="4"/>
        <v>0</v>
      </c>
      <c r="W49" s="199">
        <v>0</v>
      </c>
      <c r="X49" s="151">
        <f>(X48-VSLFO.MGO45[[#This Row],[TOTAL]])+VSLFO.MGO45[[#This Row],[FAENA2]]</f>
        <v>47.6</v>
      </c>
      <c r="Y49" s="150"/>
      <c r="Z49" s="199"/>
      <c r="AA49" s="149">
        <f t="shared" si="5"/>
        <v>100</v>
      </c>
      <c r="AB49" s="199"/>
      <c r="AC49" s="199"/>
      <c r="AD49" s="149">
        <f>($AD$4-VSLFO.MGO45[[#This Row],[CARTER MP.]])+VSLFO.MGO45[[#This Row],[FAENA EN LTS2]]</f>
        <v>100</v>
      </c>
      <c r="AE49" s="199"/>
      <c r="AF49" s="199"/>
      <c r="AG49" s="149">
        <f t="shared" si="6"/>
        <v>100</v>
      </c>
      <c r="AH49" s="199"/>
      <c r="AI49" s="199"/>
      <c r="AJ49" s="148"/>
    </row>
    <row r="50" spans="1:36" x14ac:dyDescent="0.25">
      <c r="A50" s="192"/>
      <c r="B50" s="219">
        <v>43873</v>
      </c>
      <c r="C50" s="7">
        <v>0.5</v>
      </c>
      <c r="D50" s="4">
        <f>IF(VSLFO.MGO45[[#This Row],[FECHA]]-B49=1,((VSLFO.MGO45[[#This Row],[HORA]]-C49)*24)+24,(VSLFO.MGO45[[#This Row],[HORA]]-C49)*24)</f>
        <v>0.49999999999999956</v>
      </c>
      <c r="E50" s="10" t="s">
        <v>1057</v>
      </c>
      <c r="F50" s="10" t="s">
        <v>616</v>
      </c>
      <c r="G50" s="212"/>
      <c r="H50" s="201"/>
      <c r="I50" s="201"/>
      <c r="J50" s="207"/>
      <c r="K50" s="153">
        <v>0.10416666666666657</v>
      </c>
      <c r="L50" s="3">
        <v>5.2083333333333287E-2</v>
      </c>
      <c r="M50" s="3">
        <v>4.166666666666663E-2</v>
      </c>
      <c r="N50" s="3">
        <f t="shared" si="1"/>
        <v>0.19791666666666649</v>
      </c>
      <c r="O50" s="1"/>
      <c r="P50" s="152">
        <f t="shared" si="3"/>
        <v>797.55083333333357</v>
      </c>
      <c r="Q50" s="150">
        <v>0</v>
      </c>
      <c r="R50" s="199">
        <v>0</v>
      </c>
      <c r="S50" s="199">
        <v>0</v>
      </c>
      <c r="T50" s="199">
        <v>0</v>
      </c>
      <c r="U50" s="199">
        <v>0</v>
      </c>
      <c r="V50" s="155">
        <f t="shared" si="4"/>
        <v>0</v>
      </c>
      <c r="W50" s="199">
        <v>0</v>
      </c>
      <c r="X50" s="151">
        <f>(X49-VSLFO.MGO45[[#This Row],[TOTAL]])+VSLFO.MGO45[[#This Row],[FAENA2]]</f>
        <v>47.6</v>
      </c>
      <c r="Y50" s="150"/>
      <c r="Z50" s="199"/>
      <c r="AA50" s="149">
        <f t="shared" si="5"/>
        <v>100</v>
      </c>
      <c r="AB50" s="199"/>
      <c r="AC50" s="199"/>
      <c r="AD50" s="149">
        <f>($AD$4-VSLFO.MGO45[[#This Row],[CARTER MP.]])+VSLFO.MGO45[[#This Row],[FAENA EN LTS2]]</f>
        <v>100</v>
      </c>
      <c r="AE50" s="199"/>
      <c r="AF50" s="199"/>
      <c r="AG50" s="149">
        <f t="shared" si="6"/>
        <v>100</v>
      </c>
      <c r="AH50" s="199"/>
      <c r="AI50" s="199"/>
      <c r="AJ50" s="148"/>
    </row>
    <row r="51" spans="1:36" x14ac:dyDescent="0.25">
      <c r="A51" s="192"/>
      <c r="B51" s="219">
        <v>43874</v>
      </c>
      <c r="C51" s="7">
        <v>0.33333333333333331</v>
      </c>
      <c r="D51" s="4">
        <f>IF(VSLFO.MGO45[[#This Row],[FECHA]]-B50=1,((VSLFO.MGO45[[#This Row],[HORA]]-C50)*24)+24,(VSLFO.MGO45[[#This Row],[HORA]]-C50)*24)</f>
        <v>20</v>
      </c>
      <c r="E51" s="10" t="s">
        <v>351</v>
      </c>
      <c r="F51" s="10" t="s">
        <v>351</v>
      </c>
      <c r="G51" s="212"/>
      <c r="H51" s="201"/>
      <c r="I51" s="201"/>
      <c r="J51" s="207"/>
      <c r="K51" s="153">
        <v>0</v>
      </c>
      <c r="L51" s="3">
        <v>2.0833333333333335</v>
      </c>
      <c r="M51" s="3">
        <v>1.6666666666666665</v>
      </c>
      <c r="N51" s="3">
        <f t="shared" si="1"/>
        <v>3.75</v>
      </c>
      <c r="O51" s="1"/>
      <c r="P51" s="152">
        <f t="shared" si="3"/>
        <v>793.80083333333357</v>
      </c>
      <c r="Q51" s="150">
        <v>0</v>
      </c>
      <c r="R51" s="199">
        <v>0</v>
      </c>
      <c r="S51" s="199">
        <v>0</v>
      </c>
      <c r="T51" s="199">
        <v>0</v>
      </c>
      <c r="U51" s="199">
        <v>0</v>
      </c>
      <c r="V51" s="155">
        <f t="shared" si="4"/>
        <v>0</v>
      </c>
      <c r="W51" s="199">
        <v>0</v>
      </c>
      <c r="X51" s="151">
        <f>(X50-VSLFO.MGO45[[#This Row],[TOTAL]])+VSLFO.MGO45[[#This Row],[FAENA2]]</f>
        <v>47.6</v>
      </c>
      <c r="Y51" s="150"/>
      <c r="Z51" s="199"/>
      <c r="AA51" s="149">
        <f t="shared" si="5"/>
        <v>100</v>
      </c>
      <c r="AB51" s="199"/>
      <c r="AC51" s="199"/>
      <c r="AD51" s="149">
        <f>($AD$4-VSLFO.MGO45[[#This Row],[CARTER MP.]])+VSLFO.MGO45[[#This Row],[FAENA EN LTS2]]</f>
        <v>100</v>
      </c>
      <c r="AE51" s="199"/>
      <c r="AF51" s="199"/>
      <c r="AG51" s="149">
        <f t="shared" si="6"/>
        <v>100</v>
      </c>
      <c r="AH51" s="199"/>
      <c r="AI51" s="199"/>
      <c r="AJ51" s="148"/>
    </row>
    <row r="52" spans="1:36" x14ac:dyDescent="0.25">
      <c r="A52" s="192"/>
      <c r="B52" s="219">
        <v>43874</v>
      </c>
      <c r="C52" s="7">
        <v>0.51250000000000007</v>
      </c>
      <c r="D52" s="4">
        <f>IF(VSLFO.MGO45[[#This Row],[FECHA]]-B51=1,((VSLFO.MGO45[[#This Row],[HORA]]-C51)*24)+24,(VSLFO.MGO45[[#This Row],[HORA]]-C51)*24)</f>
        <v>4.3000000000000025</v>
      </c>
      <c r="E52" s="10" t="s">
        <v>351</v>
      </c>
      <c r="F52" s="10" t="s">
        <v>1011</v>
      </c>
      <c r="G52" s="212"/>
      <c r="H52" s="201"/>
      <c r="I52" s="201"/>
      <c r="J52" s="207"/>
      <c r="K52" s="153">
        <v>0</v>
      </c>
      <c r="L52" s="3">
        <v>0.44791666666666696</v>
      </c>
      <c r="M52" s="3">
        <v>0.3583333333333335</v>
      </c>
      <c r="N52" s="3">
        <f t="shared" si="1"/>
        <v>0.80625000000000047</v>
      </c>
      <c r="O52" s="1"/>
      <c r="P52" s="152">
        <f t="shared" si="3"/>
        <v>792.99458333333359</v>
      </c>
      <c r="Q52" s="150">
        <v>0</v>
      </c>
      <c r="R52" s="199">
        <v>0</v>
      </c>
      <c r="S52" s="199">
        <v>0</v>
      </c>
      <c r="T52" s="199">
        <v>0</v>
      </c>
      <c r="U52" s="199">
        <v>0</v>
      </c>
      <c r="V52" s="155">
        <f t="shared" si="4"/>
        <v>0</v>
      </c>
      <c r="W52" s="199">
        <v>0</v>
      </c>
      <c r="X52" s="151">
        <f>(X51-VSLFO.MGO45[[#This Row],[TOTAL]])+VSLFO.MGO45[[#This Row],[FAENA2]]</f>
        <v>47.6</v>
      </c>
      <c r="Y52" s="150"/>
      <c r="Z52" s="199"/>
      <c r="AA52" s="149">
        <f t="shared" si="5"/>
        <v>100</v>
      </c>
      <c r="AB52" s="199"/>
      <c r="AC52" s="199"/>
      <c r="AD52" s="149">
        <f>($AD$4-VSLFO.MGO45[[#This Row],[CARTER MP.]])+VSLFO.MGO45[[#This Row],[FAENA EN LTS2]]</f>
        <v>100</v>
      </c>
      <c r="AE52" s="199"/>
      <c r="AF52" s="199"/>
      <c r="AG52" s="149">
        <f t="shared" si="6"/>
        <v>100</v>
      </c>
      <c r="AH52" s="199"/>
      <c r="AI52" s="199"/>
      <c r="AJ52" s="148"/>
    </row>
    <row r="53" spans="1:36" x14ac:dyDescent="0.25">
      <c r="A53" s="192"/>
      <c r="B53" s="219">
        <v>43874</v>
      </c>
      <c r="C53" s="7">
        <v>0.58333333333333337</v>
      </c>
      <c r="D53" s="4">
        <f>IF(VSLFO.MGO45[[#This Row],[FECHA]]-B52=1,((VSLFO.MGO45[[#This Row],[HORA]]-C52)*24)+24,(VSLFO.MGO45[[#This Row],[HORA]]-C52)*24)</f>
        <v>1.6999999999999993</v>
      </c>
      <c r="E53" s="10" t="s">
        <v>1057</v>
      </c>
      <c r="F53" s="10" t="s">
        <v>616</v>
      </c>
      <c r="G53" s="212"/>
      <c r="H53" s="201"/>
      <c r="I53" s="201"/>
      <c r="J53" s="207"/>
      <c r="K53" s="153">
        <v>0.14166666666666661</v>
      </c>
      <c r="L53" s="3">
        <v>0.17708333333333326</v>
      </c>
      <c r="M53" s="3">
        <v>0.14166666666666661</v>
      </c>
      <c r="N53" s="3">
        <f t="shared" si="1"/>
        <v>0.46041666666666647</v>
      </c>
      <c r="O53" s="1"/>
      <c r="P53" s="152">
        <f t="shared" si="3"/>
        <v>792.53416666666692</v>
      </c>
      <c r="Q53" s="150">
        <v>0</v>
      </c>
      <c r="R53" s="199">
        <v>0</v>
      </c>
      <c r="S53" s="199">
        <v>0</v>
      </c>
      <c r="T53" s="199">
        <v>0</v>
      </c>
      <c r="U53" s="199">
        <v>0</v>
      </c>
      <c r="V53" s="155">
        <f t="shared" si="4"/>
        <v>0</v>
      </c>
      <c r="W53" s="199">
        <v>0</v>
      </c>
      <c r="X53" s="151">
        <f>(X52-VSLFO.MGO45[[#This Row],[TOTAL]])+VSLFO.MGO45[[#This Row],[FAENA2]]</f>
        <v>47.6</v>
      </c>
      <c r="Y53" s="150"/>
      <c r="Z53" s="199"/>
      <c r="AA53" s="149">
        <f t="shared" si="5"/>
        <v>100</v>
      </c>
      <c r="AB53" s="199"/>
      <c r="AC53" s="199"/>
      <c r="AD53" s="149">
        <f>($AD$4-VSLFO.MGO45[[#This Row],[CARTER MP.]])+VSLFO.MGO45[[#This Row],[FAENA EN LTS2]]</f>
        <v>100</v>
      </c>
      <c r="AE53" s="199"/>
      <c r="AF53" s="199"/>
      <c r="AG53" s="149">
        <f t="shared" si="6"/>
        <v>100</v>
      </c>
      <c r="AH53" s="199"/>
      <c r="AI53" s="199"/>
      <c r="AJ53" s="148"/>
    </row>
    <row r="54" spans="1:36" x14ac:dyDescent="0.25">
      <c r="A54" s="192"/>
      <c r="B54" s="219">
        <v>43874</v>
      </c>
      <c r="C54" s="7">
        <v>0.79583333333333339</v>
      </c>
      <c r="D54" s="4">
        <f>IF(VSLFO.MGO45[[#This Row],[FECHA]]-B53=1,((VSLFO.MGO45[[#This Row],[HORA]]-C53)*24)+24,(VSLFO.MGO45[[#This Row],[HORA]]-C53)*24)</f>
        <v>5.1000000000000005</v>
      </c>
      <c r="E54" s="10" t="s">
        <v>1425</v>
      </c>
      <c r="F54" s="10" t="s">
        <v>1004</v>
      </c>
      <c r="G54" s="212"/>
      <c r="H54" s="201"/>
      <c r="I54" s="201"/>
      <c r="J54" s="207"/>
      <c r="K54" s="153">
        <v>0</v>
      </c>
      <c r="L54" s="3">
        <v>0.53125000000000011</v>
      </c>
      <c r="M54" s="3">
        <v>0.42500000000000004</v>
      </c>
      <c r="N54" s="3">
        <f t="shared" si="1"/>
        <v>0.95625000000000016</v>
      </c>
      <c r="O54" s="1"/>
      <c r="P54" s="152">
        <f t="shared" si="3"/>
        <v>791.57791666666697</v>
      </c>
      <c r="Q54" s="150">
        <v>0</v>
      </c>
      <c r="R54" s="199">
        <v>0</v>
      </c>
      <c r="S54" s="199">
        <v>0</v>
      </c>
      <c r="T54" s="199">
        <v>0</v>
      </c>
      <c r="U54" s="199">
        <v>0</v>
      </c>
      <c r="V54" s="155">
        <f t="shared" si="4"/>
        <v>0</v>
      </c>
      <c r="W54" s="199">
        <v>0</v>
      </c>
      <c r="X54" s="151">
        <f>(X53-VSLFO.MGO45[[#This Row],[TOTAL]])+VSLFO.MGO45[[#This Row],[FAENA2]]</f>
        <v>47.6</v>
      </c>
      <c r="Y54" s="150"/>
      <c r="Z54" s="199"/>
      <c r="AA54" s="149">
        <f t="shared" si="5"/>
        <v>100</v>
      </c>
      <c r="AB54" s="199"/>
      <c r="AC54" s="199"/>
      <c r="AD54" s="149">
        <f>($AD$4-VSLFO.MGO45[[#This Row],[CARTER MP.]])+VSLFO.MGO45[[#This Row],[FAENA EN LTS2]]</f>
        <v>100</v>
      </c>
      <c r="AE54" s="199"/>
      <c r="AF54" s="199"/>
      <c r="AG54" s="149">
        <f t="shared" si="6"/>
        <v>100</v>
      </c>
      <c r="AH54" s="199"/>
      <c r="AI54" s="199"/>
      <c r="AJ54" s="148"/>
    </row>
    <row r="55" spans="1:36" x14ac:dyDescent="0.25">
      <c r="A55" s="192"/>
      <c r="B55" s="219">
        <v>43875</v>
      </c>
      <c r="C55" s="7">
        <v>0.33333333333333331</v>
      </c>
      <c r="D55" s="4">
        <f>IF(VSLFO.MGO45[[#This Row],[FECHA]]-B54=1,((VSLFO.MGO45[[#This Row],[HORA]]-C54)*24)+24,(VSLFO.MGO45[[#This Row],[HORA]]-C54)*24)</f>
        <v>12.899999999999999</v>
      </c>
      <c r="E55" s="10" t="s">
        <v>966</v>
      </c>
      <c r="F55" s="10" t="s">
        <v>966</v>
      </c>
      <c r="G55" s="212"/>
      <c r="H55" s="201"/>
      <c r="I55" s="201"/>
      <c r="J55" s="207"/>
      <c r="K55" s="153">
        <v>0</v>
      </c>
      <c r="L55" s="3">
        <v>1.34375</v>
      </c>
      <c r="M55" s="3">
        <v>1.0749999999999997</v>
      </c>
      <c r="N55" s="3">
        <f t="shared" si="1"/>
        <v>2.4187499999999997</v>
      </c>
      <c r="O55" s="1"/>
      <c r="P55" s="152">
        <f t="shared" si="3"/>
        <v>789.15916666666692</v>
      </c>
      <c r="Q55" s="150">
        <v>0</v>
      </c>
      <c r="R55" s="199">
        <v>0</v>
      </c>
      <c r="S55" s="199">
        <v>0</v>
      </c>
      <c r="T55" s="199">
        <v>0</v>
      </c>
      <c r="U55" s="199">
        <v>3.2</v>
      </c>
      <c r="V55" s="155">
        <f t="shared" si="4"/>
        <v>3.2</v>
      </c>
      <c r="W55" s="199">
        <v>0</v>
      </c>
      <c r="X55" s="151">
        <f>(X54-VSLFO.MGO45[[#This Row],[TOTAL]])+VSLFO.MGO45[[#This Row],[FAENA2]]</f>
        <v>44.4</v>
      </c>
      <c r="Y55" s="150"/>
      <c r="Z55" s="199"/>
      <c r="AA55" s="149">
        <f t="shared" si="5"/>
        <v>100</v>
      </c>
      <c r="AB55" s="199"/>
      <c r="AC55" s="199"/>
      <c r="AD55" s="149">
        <f>($AD$4-VSLFO.MGO45[[#This Row],[CARTER MP.]])+VSLFO.MGO45[[#This Row],[FAENA EN LTS2]]</f>
        <v>100</v>
      </c>
      <c r="AE55" s="199"/>
      <c r="AF55" s="199"/>
      <c r="AG55" s="149">
        <f t="shared" si="6"/>
        <v>100</v>
      </c>
      <c r="AH55" s="199"/>
      <c r="AI55" s="199"/>
      <c r="AJ55" s="148"/>
    </row>
    <row r="56" spans="1:36" x14ac:dyDescent="0.25">
      <c r="A56" s="192"/>
      <c r="B56" s="219">
        <v>43875</v>
      </c>
      <c r="C56" s="7">
        <v>0.65</v>
      </c>
      <c r="D56" s="4">
        <f>IF(VSLFO.MGO45[[#This Row],[FECHA]]-B55=1,((VSLFO.MGO45[[#This Row],[HORA]]-C55)*24)+24,(VSLFO.MGO45[[#This Row],[HORA]]-C55)*24)</f>
        <v>7.6000000000000014</v>
      </c>
      <c r="E56" s="10" t="s">
        <v>966</v>
      </c>
      <c r="F56" s="10" t="s">
        <v>265</v>
      </c>
      <c r="G56" s="212"/>
      <c r="H56" s="201"/>
      <c r="I56" s="201"/>
      <c r="J56" s="207"/>
      <c r="K56" s="153">
        <v>0</v>
      </c>
      <c r="L56" s="3">
        <v>0.79166666666666685</v>
      </c>
      <c r="M56" s="3">
        <v>0.63333333333333341</v>
      </c>
      <c r="N56" s="3">
        <f t="shared" si="1"/>
        <v>1.4250000000000003</v>
      </c>
      <c r="O56" s="1"/>
      <c r="P56" s="152">
        <f t="shared" si="3"/>
        <v>787.73416666666697</v>
      </c>
      <c r="Q56" s="150">
        <v>0</v>
      </c>
      <c r="R56" s="199">
        <v>0</v>
      </c>
      <c r="S56" s="199">
        <v>0</v>
      </c>
      <c r="T56" s="199">
        <v>0</v>
      </c>
      <c r="U56" s="199">
        <v>1.9</v>
      </c>
      <c r="V56" s="155">
        <f t="shared" si="4"/>
        <v>1.9</v>
      </c>
      <c r="W56" s="199">
        <v>0</v>
      </c>
      <c r="X56" s="151">
        <f>(X55-VSLFO.MGO45[[#This Row],[TOTAL]])+VSLFO.MGO45[[#This Row],[FAENA2]]</f>
        <v>42.5</v>
      </c>
      <c r="Y56" s="150"/>
      <c r="Z56" s="199"/>
      <c r="AA56" s="149">
        <f t="shared" si="5"/>
        <v>100</v>
      </c>
      <c r="AB56" s="199"/>
      <c r="AC56" s="199"/>
      <c r="AD56" s="149">
        <f>($AD$4-VSLFO.MGO45[[#This Row],[CARTER MP.]])+VSLFO.MGO45[[#This Row],[FAENA EN LTS2]]</f>
        <v>100</v>
      </c>
      <c r="AE56" s="199"/>
      <c r="AF56" s="199"/>
      <c r="AG56" s="149">
        <f t="shared" si="6"/>
        <v>100</v>
      </c>
      <c r="AH56" s="199"/>
      <c r="AI56" s="199"/>
      <c r="AJ56" s="148"/>
    </row>
    <row r="57" spans="1:36" x14ac:dyDescent="0.25">
      <c r="A57" s="192"/>
      <c r="B57" s="219">
        <v>43875</v>
      </c>
      <c r="C57" s="7">
        <v>0.77916666666666667</v>
      </c>
      <c r="D57" s="4">
        <f>IF(VSLFO.MGO45[[#This Row],[FECHA]]-B56=1,((VSLFO.MGO45[[#This Row],[HORA]]-C56)*24)+24,(VSLFO.MGO45[[#This Row],[HORA]]-C56)*24)</f>
        <v>3.0999999999999996</v>
      </c>
      <c r="E57" s="10" t="s">
        <v>1425</v>
      </c>
      <c r="F57" s="10" t="s">
        <v>1011</v>
      </c>
      <c r="G57" s="212"/>
      <c r="H57" s="201"/>
      <c r="I57" s="201" t="s">
        <v>1420</v>
      </c>
      <c r="J57" s="207">
        <v>95</v>
      </c>
      <c r="K57" s="153">
        <v>0</v>
      </c>
      <c r="L57" s="3">
        <v>0.32291666666666663</v>
      </c>
      <c r="M57" s="3">
        <v>0.2583333333333333</v>
      </c>
      <c r="N57" s="3">
        <f t="shared" si="1"/>
        <v>0.58124999999999993</v>
      </c>
      <c r="O57" s="1"/>
      <c r="P57" s="152">
        <f t="shared" si="3"/>
        <v>787.15291666666701</v>
      </c>
      <c r="Q57" s="150">
        <v>0</v>
      </c>
      <c r="R57" s="199">
        <v>0</v>
      </c>
      <c r="S57" s="199">
        <v>0</v>
      </c>
      <c r="T57" s="199">
        <v>0</v>
      </c>
      <c r="U57" s="199">
        <v>0</v>
      </c>
      <c r="V57" s="155">
        <f t="shared" si="4"/>
        <v>0</v>
      </c>
      <c r="W57" s="199">
        <v>0</v>
      </c>
      <c r="X57" s="151">
        <f>(X56-VSLFO.MGO45[[#This Row],[TOTAL]])+VSLFO.MGO45[[#This Row],[FAENA2]]</f>
        <v>42.5</v>
      </c>
      <c r="Y57" s="150"/>
      <c r="Z57" s="199"/>
      <c r="AA57" s="149">
        <f t="shared" si="5"/>
        <v>100</v>
      </c>
      <c r="AB57" s="199"/>
      <c r="AC57" s="199"/>
      <c r="AD57" s="149">
        <f>($AD$4-VSLFO.MGO45[[#This Row],[CARTER MP.]])+VSLFO.MGO45[[#This Row],[FAENA EN LTS2]]</f>
        <v>100</v>
      </c>
      <c r="AE57" s="199"/>
      <c r="AF57" s="199"/>
      <c r="AG57" s="149">
        <f t="shared" si="6"/>
        <v>100</v>
      </c>
      <c r="AH57" s="199"/>
      <c r="AI57" s="199"/>
      <c r="AJ57" s="148"/>
    </row>
    <row r="58" spans="1:36" x14ac:dyDescent="0.25">
      <c r="A58" s="192"/>
      <c r="B58" s="219">
        <v>43875</v>
      </c>
      <c r="C58" s="7">
        <v>0.8041666666666667</v>
      </c>
      <c r="D58" s="4">
        <f>IF(VSLFO.MGO45[[#This Row],[FECHA]]-B57=1,((VSLFO.MGO45[[#This Row],[HORA]]-C57)*24)+24,(VSLFO.MGO45[[#This Row],[HORA]]-C57)*24)</f>
        <v>0.60000000000000053</v>
      </c>
      <c r="E58" s="10" t="s">
        <v>1057</v>
      </c>
      <c r="F58" s="10" t="s">
        <v>1399</v>
      </c>
      <c r="G58" s="212"/>
      <c r="H58" s="201"/>
      <c r="I58" s="201" t="s">
        <v>1420</v>
      </c>
      <c r="J58" s="207">
        <v>95</v>
      </c>
      <c r="K58" s="153">
        <v>0.12500000000000011</v>
      </c>
      <c r="L58" s="3">
        <v>6.2500000000000056E-2</v>
      </c>
      <c r="M58" s="3">
        <v>5.0000000000000044E-2</v>
      </c>
      <c r="N58" s="3">
        <f t="shared" si="1"/>
        <v>0.23750000000000021</v>
      </c>
      <c r="O58" s="1"/>
      <c r="P58" s="152">
        <f t="shared" si="3"/>
        <v>786.91541666666706</v>
      </c>
      <c r="Q58" s="150">
        <v>0</v>
      </c>
      <c r="R58" s="199">
        <v>0</v>
      </c>
      <c r="S58" s="199">
        <v>0</v>
      </c>
      <c r="T58" s="199">
        <v>0</v>
      </c>
      <c r="U58" s="199">
        <v>0</v>
      </c>
      <c r="V58" s="155">
        <f t="shared" si="4"/>
        <v>0</v>
      </c>
      <c r="W58" s="199">
        <v>0</v>
      </c>
      <c r="X58" s="151">
        <f>(X57-VSLFO.MGO45[[#This Row],[TOTAL]])+VSLFO.MGO45[[#This Row],[FAENA2]]</f>
        <v>42.5</v>
      </c>
      <c r="Y58" s="150"/>
      <c r="Z58" s="199"/>
      <c r="AA58" s="149">
        <f t="shared" si="5"/>
        <v>100</v>
      </c>
      <c r="AB58" s="199"/>
      <c r="AC58" s="199"/>
      <c r="AD58" s="149">
        <f>($AD$4-VSLFO.MGO45[[#This Row],[CARTER MP.]])+VSLFO.MGO45[[#This Row],[FAENA EN LTS2]]</f>
        <v>100</v>
      </c>
      <c r="AE58" s="199"/>
      <c r="AF58" s="199"/>
      <c r="AG58" s="149">
        <f t="shared" si="6"/>
        <v>100</v>
      </c>
      <c r="AH58" s="199"/>
      <c r="AI58" s="199"/>
      <c r="AJ58" s="148"/>
    </row>
    <row r="59" spans="1:36" x14ac:dyDescent="0.25">
      <c r="A59" s="192"/>
      <c r="B59" s="219">
        <v>43876</v>
      </c>
      <c r="C59" s="7">
        <v>0.16666666666666666</v>
      </c>
      <c r="D59" s="4">
        <f>IF(VSLFO.MGO45[[#This Row],[FECHA]]-B58=1,((VSLFO.MGO45[[#This Row],[HORA]]-C58)*24)+24,(VSLFO.MGO45[[#This Row],[HORA]]-C58)*24)</f>
        <v>8.6999999999999993</v>
      </c>
      <c r="E59" s="10" t="s">
        <v>1338</v>
      </c>
      <c r="F59" s="10" t="s">
        <v>1003</v>
      </c>
      <c r="G59" s="212">
        <v>96</v>
      </c>
      <c r="H59" s="201">
        <v>10.6</v>
      </c>
      <c r="I59" s="201" t="s">
        <v>1420</v>
      </c>
      <c r="J59" s="207">
        <v>95</v>
      </c>
      <c r="K59" s="153">
        <v>7.25</v>
      </c>
      <c r="L59" s="3">
        <v>0.90625</v>
      </c>
      <c r="M59" s="3">
        <v>0</v>
      </c>
      <c r="N59" s="3">
        <f t="shared" si="1"/>
        <v>8.15625</v>
      </c>
      <c r="O59" s="1"/>
      <c r="P59" s="152">
        <f t="shared" si="3"/>
        <v>778.75916666666706</v>
      </c>
      <c r="Q59" s="150">
        <v>0</v>
      </c>
      <c r="R59" s="199">
        <v>0</v>
      </c>
      <c r="S59" s="199">
        <v>0</v>
      </c>
      <c r="T59" s="199">
        <v>0</v>
      </c>
      <c r="U59" s="199">
        <v>0</v>
      </c>
      <c r="V59" s="155">
        <f t="shared" si="4"/>
        <v>0</v>
      </c>
      <c r="W59" s="199">
        <v>0</v>
      </c>
      <c r="X59" s="151">
        <f>(X58-VSLFO.MGO45[[#This Row],[TOTAL]])+VSLFO.MGO45[[#This Row],[FAENA2]]</f>
        <v>42.5</v>
      </c>
      <c r="Y59" s="150"/>
      <c r="Z59" s="199"/>
      <c r="AA59" s="149">
        <f t="shared" si="5"/>
        <v>100</v>
      </c>
      <c r="AB59" s="199"/>
      <c r="AC59" s="199"/>
      <c r="AD59" s="149">
        <f>($AD$4-VSLFO.MGO45[[#This Row],[CARTER MP.]])+VSLFO.MGO45[[#This Row],[FAENA EN LTS2]]</f>
        <v>100</v>
      </c>
      <c r="AE59" s="199"/>
      <c r="AF59" s="199"/>
      <c r="AG59" s="149">
        <f t="shared" si="6"/>
        <v>100</v>
      </c>
      <c r="AH59" s="199"/>
      <c r="AI59" s="199"/>
      <c r="AJ59" s="148"/>
    </row>
    <row r="60" spans="1:36" x14ac:dyDescent="0.25">
      <c r="A60" s="192"/>
      <c r="B60" s="219">
        <v>43876</v>
      </c>
      <c r="C60" s="7">
        <v>0.3</v>
      </c>
      <c r="D60" s="4">
        <f>IF(VSLFO.MGO45[[#This Row],[FECHA]]-B59=1,((VSLFO.MGO45[[#This Row],[HORA]]-C59)*24)+24,(VSLFO.MGO45[[#This Row],[HORA]]-C59)*24)</f>
        <v>3.2</v>
      </c>
      <c r="E60" s="10" t="s">
        <v>1057</v>
      </c>
      <c r="F60" s="10" t="s">
        <v>616</v>
      </c>
      <c r="G60" s="212"/>
      <c r="H60" s="201"/>
      <c r="I60" s="201"/>
      <c r="J60" s="207"/>
      <c r="K60" s="153">
        <v>0.13333333333333333</v>
      </c>
      <c r="L60" s="3">
        <v>0.33333333333333337</v>
      </c>
      <c r="M60" s="3">
        <v>0.26666666666666666</v>
      </c>
      <c r="N60" s="3">
        <f t="shared" si="1"/>
        <v>0.73333333333333339</v>
      </c>
      <c r="O60" s="1"/>
      <c r="P60" s="152">
        <f t="shared" si="3"/>
        <v>778.02583333333371</v>
      </c>
      <c r="Q60" s="150">
        <v>0</v>
      </c>
      <c r="R60" s="199">
        <v>0</v>
      </c>
      <c r="S60" s="199">
        <v>0</v>
      </c>
      <c r="T60" s="199">
        <v>0</v>
      </c>
      <c r="U60" s="199">
        <v>0</v>
      </c>
      <c r="V60" s="155">
        <f t="shared" si="4"/>
        <v>0</v>
      </c>
      <c r="W60" s="199">
        <v>0</v>
      </c>
      <c r="X60" s="151">
        <f>(X59-VSLFO.MGO45[[#This Row],[TOTAL]])+VSLFO.MGO45[[#This Row],[FAENA2]]</f>
        <v>42.5</v>
      </c>
      <c r="Y60" s="150"/>
      <c r="Z60" s="199"/>
      <c r="AA60" s="149">
        <f t="shared" si="5"/>
        <v>100</v>
      </c>
      <c r="AB60" s="199"/>
      <c r="AC60" s="199"/>
      <c r="AD60" s="149">
        <f>($AD$4-VSLFO.MGO45[[#This Row],[CARTER MP.]])+VSLFO.MGO45[[#This Row],[FAENA EN LTS2]]</f>
        <v>100</v>
      </c>
      <c r="AE60" s="199"/>
      <c r="AF60" s="199"/>
      <c r="AG60" s="149">
        <f t="shared" si="6"/>
        <v>100</v>
      </c>
      <c r="AH60" s="199"/>
      <c r="AI60" s="199"/>
      <c r="AJ60" s="148"/>
    </row>
    <row r="61" spans="1:36" x14ac:dyDescent="0.25">
      <c r="A61" s="192"/>
      <c r="B61" s="219">
        <v>43876</v>
      </c>
      <c r="C61" s="7">
        <v>0.33333333333333331</v>
      </c>
      <c r="D61" s="4">
        <f>IF(VSLFO.MGO45[[#This Row],[FECHA]]-B60=1,((VSLFO.MGO45[[#This Row],[HORA]]-C60)*24)+24,(VSLFO.MGO45[[#This Row],[HORA]]-C60)*24)</f>
        <v>0.79999999999999982</v>
      </c>
      <c r="E61" s="10" t="s">
        <v>1425</v>
      </c>
      <c r="F61" s="10" t="s">
        <v>1066</v>
      </c>
      <c r="G61" s="212"/>
      <c r="H61" s="201"/>
      <c r="I61" s="201"/>
      <c r="J61" s="207"/>
      <c r="K61" s="153">
        <v>0</v>
      </c>
      <c r="L61" s="3">
        <v>8.3333333333333315E-2</v>
      </c>
      <c r="M61" s="3">
        <v>6.6666666666666652E-2</v>
      </c>
      <c r="N61" s="3">
        <f t="shared" si="1"/>
        <v>0.14999999999999997</v>
      </c>
      <c r="O61" s="1"/>
      <c r="P61" s="152">
        <f t="shared" si="3"/>
        <v>777.87583333333373</v>
      </c>
      <c r="Q61" s="150">
        <v>0</v>
      </c>
      <c r="R61" s="199">
        <v>0</v>
      </c>
      <c r="S61" s="199">
        <v>0</v>
      </c>
      <c r="T61" s="199">
        <v>0</v>
      </c>
      <c r="U61" s="199">
        <v>0</v>
      </c>
      <c r="V61" s="155">
        <f t="shared" si="4"/>
        <v>0</v>
      </c>
      <c r="W61" s="199">
        <v>0</v>
      </c>
      <c r="X61" s="151">
        <f>(X60-VSLFO.MGO45[[#This Row],[TOTAL]])+VSLFO.MGO45[[#This Row],[FAENA2]]</f>
        <v>42.5</v>
      </c>
      <c r="Y61" s="150"/>
      <c r="Z61" s="199"/>
      <c r="AA61" s="149">
        <f t="shared" si="5"/>
        <v>100</v>
      </c>
      <c r="AB61" s="199"/>
      <c r="AC61" s="199"/>
      <c r="AD61" s="149">
        <f>($AD$4-VSLFO.MGO45[[#This Row],[CARTER MP.]])+VSLFO.MGO45[[#This Row],[FAENA EN LTS2]]</f>
        <v>100</v>
      </c>
      <c r="AE61" s="199"/>
      <c r="AF61" s="199"/>
      <c r="AG61" s="149">
        <f t="shared" si="6"/>
        <v>100</v>
      </c>
      <c r="AH61" s="199"/>
      <c r="AI61" s="199"/>
      <c r="AJ61" s="148"/>
    </row>
    <row r="62" spans="1:36" x14ac:dyDescent="0.25">
      <c r="A62" s="192"/>
      <c r="B62" s="219">
        <v>43876</v>
      </c>
      <c r="C62" s="7">
        <v>0.41250000000000003</v>
      </c>
      <c r="D62" s="4">
        <f>IF(VSLFO.MGO45[[#This Row],[FECHA]]-B61=1,((VSLFO.MGO45[[#This Row],[HORA]]-C61)*24)+24,(VSLFO.MGO45[[#This Row],[HORA]]-C61)*24)</f>
        <v>1.9000000000000012</v>
      </c>
      <c r="E62" s="10" t="s">
        <v>1425</v>
      </c>
      <c r="F62" s="10" t="s">
        <v>1004</v>
      </c>
      <c r="G62" s="212"/>
      <c r="H62" s="201"/>
      <c r="I62" s="201"/>
      <c r="J62" s="207"/>
      <c r="K62" s="153">
        <v>0</v>
      </c>
      <c r="L62" s="3">
        <v>0.1979166666666668</v>
      </c>
      <c r="M62" s="3">
        <v>0.15833333333333344</v>
      </c>
      <c r="N62" s="3">
        <f t="shared" si="1"/>
        <v>0.35625000000000023</v>
      </c>
      <c r="O62" s="1"/>
      <c r="P62" s="152">
        <f t="shared" si="3"/>
        <v>777.51958333333369</v>
      </c>
      <c r="Q62" s="150">
        <v>0</v>
      </c>
      <c r="R62" s="199">
        <v>0</v>
      </c>
      <c r="S62" s="199">
        <v>0</v>
      </c>
      <c r="T62" s="199">
        <v>0</v>
      </c>
      <c r="U62" s="199">
        <v>0</v>
      </c>
      <c r="V62" s="155">
        <f t="shared" si="4"/>
        <v>0</v>
      </c>
      <c r="W62" s="199">
        <v>0</v>
      </c>
      <c r="X62" s="151">
        <f>(X61-VSLFO.MGO45[[#This Row],[TOTAL]])+VSLFO.MGO45[[#This Row],[FAENA2]]</f>
        <v>42.5</v>
      </c>
      <c r="Y62" s="150"/>
      <c r="Z62" s="199"/>
      <c r="AA62" s="149">
        <f t="shared" si="5"/>
        <v>100</v>
      </c>
      <c r="AB62" s="199"/>
      <c r="AC62" s="199"/>
      <c r="AD62" s="149">
        <f>($AD$4-VSLFO.MGO45[[#This Row],[CARTER MP.]])+VSLFO.MGO45[[#This Row],[FAENA EN LTS2]]</f>
        <v>100</v>
      </c>
      <c r="AE62" s="199"/>
      <c r="AF62" s="199"/>
      <c r="AG62" s="149">
        <f t="shared" si="6"/>
        <v>100</v>
      </c>
      <c r="AH62" s="199"/>
      <c r="AI62" s="199"/>
      <c r="AJ62" s="148"/>
    </row>
    <row r="63" spans="1:36" x14ac:dyDescent="0.25">
      <c r="A63" s="192"/>
      <c r="B63" s="219">
        <v>43876</v>
      </c>
      <c r="C63" s="7">
        <v>0.9458333333333333</v>
      </c>
      <c r="D63" s="4">
        <f>IF(VSLFO.MGO45[[#This Row],[FECHA]]-B62=1,((VSLFO.MGO45[[#This Row],[HORA]]-C62)*24)+24,(VSLFO.MGO45[[#This Row],[HORA]]-C62)*24)</f>
        <v>12.799999999999997</v>
      </c>
      <c r="E63" s="10" t="s">
        <v>966</v>
      </c>
      <c r="F63" s="10" t="s">
        <v>265</v>
      </c>
      <c r="G63" s="212"/>
      <c r="H63" s="201"/>
      <c r="I63" s="201"/>
      <c r="J63" s="207"/>
      <c r="K63" s="153">
        <v>0</v>
      </c>
      <c r="L63" s="3">
        <v>1.333333333333333</v>
      </c>
      <c r="M63" s="3">
        <v>1.0666666666666664</v>
      </c>
      <c r="N63" s="3">
        <f t="shared" si="1"/>
        <v>2.3999999999999995</v>
      </c>
      <c r="O63" s="1"/>
      <c r="P63" s="152">
        <f t="shared" si="3"/>
        <v>775.11958333333371</v>
      </c>
      <c r="Q63" s="150">
        <v>0</v>
      </c>
      <c r="R63" s="199">
        <v>0</v>
      </c>
      <c r="S63" s="199">
        <v>0</v>
      </c>
      <c r="T63" s="199">
        <v>0</v>
      </c>
      <c r="U63" s="199">
        <v>3.2</v>
      </c>
      <c r="V63" s="155">
        <f t="shared" si="4"/>
        <v>3.2</v>
      </c>
      <c r="W63" s="199">
        <v>0</v>
      </c>
      <c r="X63" s="151">
        <f>(X62-VSLFO.MGO45[[#This Row],[TOTAL]])+VSLFO.MGO45[[#This Row],[FAENA2]]</f>
        <v>39.299999999999997</v>
      </c>
      <c r="Y63" s="150"/>
      <c r="Z63" s="199"/>
      <c r="AA63" s="149">
        <f t="shared" si="5"/>
        <v>100</v>
      </c>
      <c r="AB63" s="199"/>
      <c r="AC63" s="199"/>
      <c r="AD63" s="149">
        <f>($AD$4-VSLFO.MGO45[[#This Row],[CARTER MP.]])+VSLFO.MGO45[[#This Row],[FAENA EN LTS2]]</f>
        <v>100</v>
      </c>
      <c r="AE63" s="199"/>
      <c r="AF63" s="199"/>
      <c r="AG63" s="149">
        <f t="shared" si="6"/>
        <v>100</v>
      </c>
      <c r="AH63" s="199"/>
      <c r="AI63" s="199"/>
      <c r="AJ63" s="148"/>
    </row>
    <row r="64" spans="1:36" x14ac:dyDescent="0.25">
      <c r="A64" s="192"/>
      <c r="B64" s="219">
        <v>43877</v>
      </c>
      <c r="C64" s="7">
        <v>7.4999999999999997E-2</v>
      </c>
      <c r="D64" s="4">
        <f>IF(VSLFO.MGO45[[#This Row],[FECHA]]-B63=1,((VSLFO.MGO45[[#This Row],[HORA]]-C63)*24)+24,(VSLFO.MGO45[[#This Row],[HORA]]-C63)*24)</f>
        <v>3.1000000000000014</v>
      </c>
      <c r="E64" s="10" t="s">
        <v>1425</v>
      </c>
      <c r="F64" s="10" t="s">
        <v>1011</v>
      </c>
      <c r="G64" s="212"/>
      <c r="H64" s="201"/>
      <c r="I64" s="201"/>
      <c r="J64" s="207"/>
      <c r="K64" s="153">
        <v>0</v>
      </c>
      <c r="L64" s="3">
        <v>0.32291666666666685</v>
      </c>
      <c r="M64" s="3">
        <v>0.25833333333333341</v>
      </c>
      <c r="N64" s="3">
        <f t="shared" si="1"/>
        <v>0.58125000000000027</v>
      </c>
      <c r="O64" s="1"/>
      <c r="P64" s="152">
        <f t="shared" si="3"/>
        <v>774.53833333333375</v>
      </c>
      <c r="Q64" s="150">
        <v>0</v>
      </c>
      <c r="R64" s="199">
        <v>0</v>
      </c>
      <c r="S64" s="199">
        <v>0</v>
      </c>
      <c r="T64" s="199">
        <v>0</v>
      </c>
      <c r="U64" s="199">
        <v>0</v>
      </c>
      <c r="V64" s="155">
        <f t="shared" si="4"/>
        <v>0</v>
      </c>
      <c r="W64" s="199">
        <v>0</v>
      </c>
      <c r="X64" s="151">
        <f>(X63-VSLFO.MGO45[[#This Row],[TOTAL]])+VSLFO.MGO45[[#This Row],[FAENA2]]</f>
        <v>39.299999999999997</v>
      </c>
      <c r="Y64" s="150"/>
      <c r="Z64" s="199"/>
      <c r="AA64" s="149">
        <f t="shared" si="5"/>
        <v>100</v>
      </c>
      <c r="AB64" s="199"/>
      <c r="AC64" s="199"/>
      <c r="AD64" s="149">
        <f>($AD$4-VSLFO.MGO45[[#This Row],[CARTER MP.]])+VSLFO.MGO45[[#This Row],[FAENA EN LTS2]]</f>
        <v>100</v>
      </c>
      <c r="AE64" s="199"/>
      <c r="AF64" s="199"/>
      <c r="AG64" s="149">
        <f t="shared" si="6"/>
        <v>100</v>
      </c>
      <c r="AH64" s="199"/>
      <c r="AI64" s="199"/>
      <c r="AJ64" s="148"/>
    </row>
    <row r="65" spans="1:36" x14ac:dyDescent="0.25">
      <c r="A65" s="192"/>
      <c r="B65" s="219">
        <v>43877</v>
      </c>
      <c r="C65" s="7">
        <v>0.10416666666666667</v>
      </c>
      <c r="D65" s="4">
        <f>IF(VSLFO.MGO45[[#This Row],[FECHA]]-B64=1,((VSLFO.MGO45[[#This Row],[HORA]]-C64)*24)+24,(VSLFO.MGO45[[#This Row],[HORA]]-C64)*24)</f>
        <v>0.70000000000000018</v>
      </c>
      <c r="E65" s="10" t="s">
        <v>1057</v>
      </c>
      <c r="F65" s="10" t="s">
        <v>1404</v>
      </c>
      <c r="G65" s="212"/>
      <c r="H65" s="201"/>
      <c r="I65" s="201" t="s">
        <v>1297</v>
      </c>
      <c r="J65" s="207">
        <v>95</v>
      </c>
      <c r="K65" s="153">
        <v>0.14583333333333337</v>
      </c>
      <c r="L65" s="3">
        <v>7.2916666666666685E-2</v>
      </c>
      <c r="M65" s="3">
        <v>5.8333333333333348E-2</v>
      </c>
      <c r="N65" s="3">
        <f t="shared" si="1"/>
        <v>0.2770833333333334</v>
      </c>
      <c r="O65" s="1"/>
      <c r="P65" s="152">
        <f t="shared" si="3"/>
        <v>774.26125000000047</v>
      </c>
      <c r="Q65" s="150">
        <v>0</v>
      </c>
      <c r="R65" s="199">
        <v>0</v>
      </c>
      <c r="S65" s="199">
        <v>0</v>
      </c>
      <c r="T65" s="199">
        <v>0</v>
      </c>
      <c r="U65" s="199">
        <v>0</v>
      </c>
      <c r="V65" s="155">
        <f t="shared" si="4"/>
        <v>0</v>
      </c>
      <c r="W65" s="199">
        <v>0</v>
      </c>
      <c r="X65" s="151">
        <f>(X64-VSLFO.MGO45[[#This Row],[TOTAL]])+VSLFO.MGO45[[#This Row],[FAENA2]]</f>
        <v>39.299999999999997</v>
      </c>
      <c r="Y65" s="150"/>
      <c r="Z65" s="199"/>
      <c r="AA65" s="149">
        <f t="shared" si="5"/>
        <v>100</v>
      </c>
      <c r="AB65" s="199"/>
      <c r="AC65" s="199"/>
      <c r="AD65" s="149">
        <f>($AD$4-VSLFO.MGO45[[#This Row],[CARTER MP.]])+VSLFO.MGO45[[#This Row],[FAENA EN LTS2]]</f>
        <v>100</v>
      </c>
      <c r="AE65" s="199"/>
      <c r="AF65" s="199"/>
      <c r="AG65" s="149">
        <f t="shared" si="6"/>
        <v>100</v>
      </c>
      <c r="AH65" s="199"/>
      <c r="AI65" s="199"/>
      <c r="AJ65" s="148"/>
    </row>
    <row r="66" spans="1:36" x14ac:dyDescent="0.25">
      <c r="A66" s="192"/>
      <c r="B66" s="219">
        <v>43877</v>
      </c>
      <c r="C66" s="7">
        <v>0.33333333333333331</v>
      </c>
      <c r="D66" s="4">
        <f>IF(VSLFO.MGO45[[#This Row],[FECHA]]-B65=1,((VSLFO.MGO45[[#This Row],[HORA]]-C65)*24)+24,(VSLFO.MGO45[[#This Row],[HORA]]-C65)*24)</f>
        <v>5.4999999999999991</v>
      </c>
      <c r="E66" s="10" t="s">
        <v>1340</v>
      </c>
      <c r="F66" s="10" t="s">
        <v>355</v>
      </c>
      <c r="G66" s="212"/>
      <c r="H66" s="201"/>
      <c r="I66" s="201" t="s">
        <v>1297</v>
      </c>
      <c r="J66" s="207">
        <v>95</v>
      </c>
      <c r="K66" s="153">
        <v>4.583333333333333</v>
      </c>
      <c r="L66" s="3">
        <v>0.57291666666666663</v>
      </c>
      <c r="M66" s="3">
        <v>0</v>
      </c>
      <c r="N66" s="3">
        <f t="shared" si="1"/>
        <v>5.15625</v>
      </c>
      <c r="O66" s="1"/>
      <c r="P66" s="152">
        <f t="shared" si="3"/>
        <v>769.10500000000047</v>
      </c>
      <c r="Q66" s="150">
        <v>0</v>
      </c>
      <c r="R66" s="199">
        <v>0</v>
      </c>
      <c r="S66" s="199">
        <v>0</v>
      </c>
      <c r="T66" s="199">
        <v>0</v>
      </c>
      <c r="U66" s="199">
        <v>0</v>
      </c>
      <c r="V66" s="155">
        <f t="shared" si="4"/>
        <v>0</v>
      </c>
      <c r="W66" s="199">
        <v>0</v>
      </c>
      <c r="X66" s="151">
        <f>(X65-VSLFO.MGO45[[#This Row],[TOTAL]])+VSLFO.MGO45[[#This Row],[FAENA2]]</f>
        <v>39.299999999999997</v>
      </c>
      <c r="Y66" s="150"/>
      <c r="Z66" s="199"/>
      <c r="AA66" s="149">
        <f t="shared" si="5"/>
        <v>100</v>
      </c>
      <c r="AB66" s="199"/>
      <c r="AC66" s="199"/>
      <c r="AD66" s="149">
        <f>($AD$4-VSLFO.MGO45[[#This Row],[CARTER MP.]])+VSLFO.MGO45[[#This Row],[FAENA EN LTS2]]</f>
        <v>100</v>
      </c>
      <c r="AE66" s="199"/>
      <c r="AF66" s="199"/>
      <c r="AG66" s="149">
        <f t="shared" si="6"/>
        <v>100</v>
      </c>
      <c r="AH66" s="199"/>
      <c r="AI66" s="199"/>
      <c r="AJ66" s="148"/>
    </row>
    <row r="67" spans="1:36" x14ac:dyDescent="0.25">
      <c r="A67" s="217" t="s">
        <v>1431</v>
      </c>
      <c r="B67" s="219">
        <v>43878</v>
      </c>
      <c r="C67" s="7">
        <v>0.10416666666666667</v>
      </c>
      <c r="D67" s="4">
        <f>IF(VSLFO.MGO45[[#This Row],[FECHA]]-B66=1,((VSLFO.MGO45[[#This Row],[HORA]]-C66)*24)+24,(VSLFO.MGO45[[#This Row],[HORA]]-C66)*24)</f>
        <v>18.5</v>
      </c>
      <c r="E67" s="10" t="s">
        <v>1340</v>
      </c>
      <c r="F67" s="10" t="s">
        <v>956</v>
      </c>
      <c r="G67" s="212">
        <v>265</v>
      </c>
      <c r="H67" s="201">
        <v>10.8</v>
      </c>
      <c r="I67" s="201" t="s">
        <v>1297</v>
      </c>
      <c r="J67" s="207">
        <v>95</v>
      </c>
      <c r="K67" s="153">
        <v>15.416666666666668</v>
      </c>
      <c r="L67" s="3">
        <v>1.9270833333333335</v>
      </c>
      <c r="M67" s="3">
        <v>0</v>
      </c>
      <c r="N67" s="3">
        <f t="shared" si="1"/>
        <v>17.34375</v>
      </c>
      <c r="O67" s="1"/>
      <c r="P67" s="152">
        <f t="shared" si="3"/>
        <v>751.76125000000047</v>
      </c>
      <c r="Q67" s="150">
        <v>0</v>
      </c>
      <c r="R67" s="199">
        <v>0</v>
      </c>
      <c r="S67" s="199">
        <v>0</v>
      </c>
      <c r="T67" s="199">
        <v>0</v>
      </c>
      <c r="U67" s="199">
        <v>0</v>
      </c>
      <c r="V67" s="155">
        <f t="shared" si="4"/>
        <v>0</v>
      </c>
      <c r="W67" s="199">
        <v>0</v>
      </c>
      <c r="X67" s="151">
        <f>(X66-VSLFO.MGO45[[#This Row],[TOTAL]])+VSLFO.MGO45[[#This Row],[FAENA2]]</f>
        <v>39.299999999999997</v>
      </c>
      <c r="Y67" s="150"/>
      <c r="Z67" s="199"/>
      <c r="AA67" s="149">
        <f t="shared" si="5"/>
        <v>100</v>
      </c>
      <c r="AB67" s="199"/>
      <c r="AC67" s="199"/>
      <c r="AD67" s="149">
        <f>($AD$4-VSLFO.MGO45[[#This Row],[CARTER MP.]])+VSLFO.MGO45[[#This Row],[FAENA EN LTS2]]</f>
        <v>100</v>
      </c>
      <c r="AE67" s="199"/>
      <c r="AF67" s="199"/>
      <c r="AG67" s="149">
        <f t="shared" si="6"/>
        <v>100</v>
      </c>
      <c r="AH67" s="199"/>
      <c r="AI67" s="199"/>
      <c r="AJ67" s="148"/>
    </row>
    <row r="68" spans="1:36" x14ac:dyDescent="0.25">
      <c r="A68" s="192"/>
      <c r="B68" s="219">
        <v>43878</v>
      </c>
      <c r="C68" s="7">
        <v>0.125</v>
      </c>
      <c r="D68" s="4">
        <f>IF(VSLFO.MGO45[[#This Row],[FECHA]]-B67=1,((VSLFO.MGO45[[#This Row],[HORA]]-C67)*24)+24,(VSLFO.MGO45[[#This Row],[HORA]]-C67)*24)</f>
        <v>0.49999999999999989</v>
      </c>
      <c r="E68" s="10" t="s">
        <v>1057</v>
      </c>
      <c r="F68" s="10" t="s">
        <v>1253</v>
      </c>
      <c r="G68" s="212"/>
      <c r="H68" s="201"/>
      <c r="I68" s="201"/>
      <c r="J68" s="207"/>
      <c r="K68" s="153">
        <v>0.10416666666666664</v>
      </c>
      <c r="L68" s="3">
        <v>5.2083333333333322E-2</v>
      </c>
      <c r="M68" s="3">
        <v>4.1666666666666657E-2</v>
      </c>
      <c r="N68" s="3">
        <f t="shared" si="1"/>
        <v>0.19791666666666663</v>
      </c>
      <c r="O68" s="1"/>
      <c r="P68" s="152">
        <f t="shared" si="3"/>
        <v>751.56333333333384</v>
      </c>
      <c r="Q68" s="150">
        <v>0</v>
      </c>
      <c r="R68" s="199">
        <v>0</v>
      </c>
      <c r="S68" s="199">
        <v>0</v>
      </c>
      <c r="T68" s="199">
        <v>0</v>
      </c>
      <c r="U68" s="199">
        <v>0</v>
      </c>
      <c r="V68" s="155">
        <f t="shared" si="4"/>
        <v>0</v>
      </c>
      <c r="W68" s="199">
        <v>0</v>
      </c>
      <c r="X68" s="151">
        <f>(X67-VSLFO.MGO45[[#This Row],[TOTAL]])+VSLFO.MGO45[[#This Row],[FAENA2]]</f>
        <v>39.299999999999997</v>
      </c>
      <c r="Y68" s="150"/>
      <c r="Z68" s="199"/>
      <c r="AA68" s="149">
        <f t="shared" si="5"/>
        <v>100</v>
      </c>
      <c r="AB68" s="199"/>
      <c r="AC68" s="199"/>
      <c r="AD68" s="149">
        <f>($AD$4-VSLFO.MGO45[[#This Row],[CARTER MP.]])+VSLFO.MGO45[[#This Row],[FAENA EN LTS2]]</f>
        <v>100</v>
      </c>
      <c r="AE68" s="199"/>
      <c r="AF68" s="199"/>
      <c r="AG68" s="149">
        <f t="shared" si="6"/>
        <v>100</v>
      </c>
      <c r="AH68" s="199"/>
      <c r="AI68" s="199"/>
      <c r="AJ68" s="148"/>
    </row>
    <row r="69" spans="1:36" x14ac:dyDescent="0.25">
      <c r="A69" s="192"/>
      <c r="B69" s="219">
        <v>43878</v>
      </c>
      <c r="C69" s="7">
        <v>0.16250000000000001</v>
      </c>
      <c r="D69" s="4">
        <f>IF(VSLFO.MGO45[[#This Row],[FECHA]]-B68=1,((VSLFO.MGO45[[#This Row],[HORA]]-C68)*24)+24,(VSLFO.MGO45[[#This Row],[HORA]]-C68)*24)</f>
        <v>0.90000000000000013</v>
      </c>
      <c r="E69" s="10" t="s">
        <v>351</v>
      </c>
      <c r="F69" s="10" t="s">
        <v>1011</v>
      </c>
      <c r="G69" s="212"/>
      <c r="H69" s="201"/>
      <c r="I69" s="201"/>
      <c r="J69" s="207"/>
      <c r="K69" s="153">
        <v>0</v>
      </c>
      <c r="L69" s="3">
        <v>9.3750000000000014E-2</v>
      </c>
      <c r="M69" s="3">
        <v>7.5000000000000011E-2</v>
      </c>
      <c r="N69" s="3">
        <f t="shared" si="1"/>
        <v>0.16875000000000001</v>
      </c>
      <c r="O69" s="1"/>
      <c r="P69" s="152">
        <f t="shared" si="3"/>
        <v>751.3945833333338</v>
      </c>
      <c r="Q69" s="150">
        <v>0</v>
      </c>
      <c r="R69" s="199">
        <v>0</v>
      </c>
      <c r="S69" s="199">
        <v>0</v>
      </c>
      <c r="T69" s="199">
        <v>0</v>
      </c>
      <c r="U69" s="199">
        <v>0</v>
      </c>
      <c r="V69" s="155">
        <f t="shared" si="4"/>
        <v>0</v>
      </c>
      <c r="W69" s="199">
        <v>0</v>
      </c>
      <c r="X69" s="151">
        <f>(X68-VSLFO.MGO45[[#This Row],[TOTAL]])+VSLFO.MGO45[[#This Row],[FAENA2]]</f>
        <v>39.299999999999997</v>
      </c>
      <c r="Y69" s="150"/>
      <c r="Z69" s="199"/>
      <c r="AA69" s="149">
        <f t="shared" si="5"/>
        <v>100</v>
      </c>
      <c r="AB69" s="199"/>
      <c r="AC69" s="199"/>
      <c r="AD69" s="149">
        <f>($AD$4-VSLFO.MGO45[[#This Row],[CARTER MP.]])+VSLFO.MGO45[[#This Row],[FAENA EN LTS2]]</f>
        <v>100</v>
      </c>
      <c r="AE69" s="199"/>
      <c r="AF69" s="199"/>
      <c r="AG69" s="149">
        <f t="shared" si="6"/>
        <v>100</v>
      </c>
      <c r="AH69" s="199"/>
      <c r="AI69" s="199"/>
      <c r="AJ69" s="148"/>
    </row>
    <row r="70" spans="1:36" x14ac:dyDescent="0.25">
      <c r="A70" s="192"/>
      <c r="B70" s="219">
        <v>43878</v>
      </c>
      <c r="C70" s="7">
        <v>0.27083333333333331</v>
      </c>
      <c r="D70" s="4">
        <f>IF(VSLFO.MGO45[[#This Row],[FECHA]]-B69=1,((VSLFO.MGO45[[#This Row],[HORA]]-C69)*24)+24,(VSLFO.MGO45[[#This Row],[HORA]]-C69)*24)</f>
        <v>2.5999999999999996</v>
      </c>
      <c r="E70" s="10" t="s">
        <v>1057</v>
      </c>
      <c r="F70" s="10" t="s">
        <v>1254</v>
      </c>
      <c r="G70" s="212"/>
      <c r="H70" s="201"/>
      <c r="I70" s="201"/>
      <c r="J70" s="207"/>
      <c r="K70" s="153">
        <v>0.21666666666666662</v>
      </c>
      <c r="L70" s="3">
        <v>0.27083333333333331</v>
      </c>
      <c r="M70" s="3">
        <v>0.21666666666666662</v>
      </c>
      <c r="N70" s="3">
        <f t="shared" si="1"/>
        <v>0.70416666666666661</v>
      </c>
      <c r="O70" s="1"/>
      <c r="P70" s="152">
        <f t="shared" si="3"/>
        <v>750.69041666666715</v>
      </c>
      <c r="Q70" s="150">
        <v>0</v>
      </c>
      <c r="R70" s="199">
        <v>0</v>
      </c>
      <c r="S70" s="199">
        <v>0</v>
      </c>
      <c r="T70" s="199">
        <v>0</v>
      </c>
      <c r="U70" s="199">
        <v>0</v>
      </c>
      <c r="V70" s="155">
        <f t="shared" si="4"/>
        <v>0</v>
      </c>
      <c r="W70" s="199">
        <v>0</v>
      </c>
      <c r="X70" s="151">
        <f>(X69-VSLFO.MGO45[[#This Row],[TOTAL]])+VSLFO.MGO45[[#This Row],[FAENA2]]</f>
        <v>39.299999999999997</v>
      </c>
      <c r="Y70" s="150"/>
      <c r="Z70" s="199"/>
      <c r="AA70" s="149">
        <f t="shared" si="5"/>
        <v>100</v>
      </c>
      <c r="AB70" s="199"/>
      <c r="AC70" s="199"/>
      <c r="AD70" s="149">
        <f>($AD$4-VSLFO.MGO45[[#This Row],[CARTER MP.]])+VSLFO.MGO45[[#This Row],[FAENA EN LTS2]]</f>
        <v>100</v>
      </c>
      <c r="AE70" s="199"/>
      <c r="AF70" s="199"/>
      <c r="AG70" s="149">
        <f t="shared" si="6"/>
        <v>100</v>
      </c>
      <c r="AH70" s="199"/>
      <c r="AI70" s="199"/>
      <c r="AJ70" s="148"/>
    </row>
    <row r="71" spans="1:36" x14ac:dyDescent="0.25">
      <c r="A71" s="192"/>
      <c r="B71" s="219">
        <v>43878</v>
      </c>
      <c r="C71" s="7">
        <v>0.33333333333333331</v>
      </c>
      <c r="D71" s="4">
        <f>IF(VSLFO.MGO45[[#This Row],[FECHA]]-B70=1,((VSLFO.MGO45[[#This Row],[HORA]]-C70)*24)+24,(VSLFO.MGO45[[#This Row],[HORA]]-C70)*24)</f>
        <v>1.5</v>
      </c>
      <c r="E71" s="10" t="s">
        <v>1425</v>
      </c>
      <c r="F71" s="10" t="s">
        <v>1066</v>
      </c>
      <c r="G71" s="212"/>
      <c r="H71" s="201"/>
      <c r="I71" s="201"/>
      <c r="J71" s="207"/>
      <c r="K71" s="153">
        <v>0</v>
      </c>
      <c r="L71" s="3">
        <v>0.15625</v>
      </c>
      <c r="M71" s="3">
        <v>0.125</v>
      </c>
      <c r="N71" s="3">
        <f t="shared" ref="N71:N107" si="7">K71+L71+M71</f>
        <v>0.28125</v>
      </c>
      <c r="O71" s="1"/>
      <c r="P71" s="152">
        <f t="shared" si="3"/>
        <v>750.40916666666715</v>
      </c>
      <c r="Q71" s="150">
        <v>0</v>
      </c>
      <c r="R71" s="199">
        <v>0</v>
      </c>
      <c r="S71" s="199">
        <v>0</v>
      </c>
      <c r="T71" s="199">
        <v>0</v>
      </c>
      <c r="U71" s="199">
        <v>0</v>
      </c>
      <c r="V71" s="155">
        <f t="shared" si="4"/>
        <v>0</v>
      </c>
      <c r="W71" s="199">
        <v>0</v>
      </c>
      <c r="X71" s="151">
        <f>(X70-VSLFO.MGO45[[#This Row],[TOTAL]])+VSLFO.MGO45[[#This Row],[FAENA2]]</f>
        <v>39.299999999999997</v>
      </c>
      <c r="Y71" s="150"/>
      <c r="Z71" s="199"/>
      <c r="AA71" s="149">
        <f t="shared" si="5"/>
        <v>100</v>
      </c>
      <c r="AB71" s="199"/>
      <c r="AC71" s="199"/>
      <c r="AD71" s="149">
        <f>($AD$4-VSLFO.MGO45[[#This Row],[CARTER MP.]])+VSLFO.MGO45[[#This Row],[FAENA EN LTS2]]</f>
        <v>100</v>
      </c>
      <c r="AE71" s="199"/>
      <c r="AF71" s="199"/>
      <c r="AG71" s="149">
        <f t="shared" si="6"/>
        <v>100</v>
      </c>
      <c r="AH71" s="199"/>
      <c r="AI71" s="199"/>
      <c r="AJ71" s="148"/>
    </row>
    <row r="72" spans="1:36" x14ac:dyDescent="0.25">
      <c r="A72" s="192"/>
      <c r="B72" s="219">
        <v>43878</v>
      </c>
      <c r="C72" s="7">
        <v>0.44166666666666665</v>
      </c>
      <c r="D72" s="4">
        <f>IF(VSLFO.MGO45[[#This Row],[FECHA]]-B71=1,((VSLFO.MGO45[[#This Row],[HORA]]-C71)*24)+24,(VSLFO.MGO45[[#This Row],[HORA]]-C71)*24)</f>
        <v>2.6</v>
      </c>
      <c r="E72" s="10" t="s">
        <v>1425</v>
      </c>
      <c r="F72" s="10" t="s">
        <v>1206</v>
      </c>
      <c r="G72" s="212"/>
      <c r="H72" s="201"/>
      <c r="I72" s="201"/>
      <c r="J72" s="207"/>
      <c r="K72" s="153">
        <v>0</v>
      </c>
      <c r="L72" s="3">
        <v>0.27083333333333337</v>
      </c>
      <c r="M72" s="3">
        <v>0.21666666666666667</v>
      </c>
      <c r="N72" s="3">
        <f t="shared" si="7"/>
        <v>0.48750000000000004</v>
      </c>
      <c r="O72" s="1"/>
      <c r="P72" s="152">
        <f t="shared" si="3"/>
        <v>749.92166666666719</v>
      </c>
      <c r="Q72" s="150">
        <v>0</v>
      </c>
      <c r="R72" s="199">
        <v>0</v>
      </c>
      <c r="S72" s="199">
        <v>0</v>
      </c>
      <c r="T72" s="199">
        <v>0</v>
      </c>
      <c r="U72" s="199">
        <v>0</v>
      </c>
      <c r="V72" s="155">
        <f t="shared" si="4"/>
        <v>0</v>
      </c>
      <c r="W72" s="199">
        <v>0</v>
      </c>
      <c r="X72" s="151">
        <f>(X71-VSLFO.MGO45[[#This Row],[TOTAL]])+VSLFO.MGO45[[#This Row],[FAENA2]]</f>
        <v>39.299999999999997</v>
      </c>
      <c r="Y72" s="150"/>
      <c r="Z72" s="199"/>
      <c r="AA72" s="149">
        <f t="shared" si="5"/>
        <v>100</v>
      </c>
      <c r="AB72" s="199"/>
      <c r="AC72" s="199"/>
      <c r="AD72" s="149">
        <f>($AD$4-VSLFO.MGO45[[#This Row],[CARTER MP.]])+VSLFO.MGO45[[#This Row],[FAENA EN LTS2]]</f>
        <v>100</v>
      </c>
      <c r="AE72" s="199"/>
      <c r="AF72" s="199"/>
      <c r="AG72" s="149">
        <f t="shared" si="6"/>
        <v>100</v>
      </c>
      <c r="AH72" s="199"/>
      <c r="AI72" s="199"/>
      <c r="AJ72" s="148"/>
    </row>
    <row r="73" spans="1:36" x14ac:dyDescent="0.25">
      <c r="A73" s="192"/>
      <c r="B73" s="219">
        <v>43879</v>
      </c>
      <c r="C73" s="7">
        <v>0.33333333333333331</v>
      </c>
      <c r="D73" s="4">
        <f>IF(VSLFO.MGO45[[#This Row],[FECHA]]-B72=1,((VSLFO.MGO45[[#This Row],[HORA]]-C72)*24)+24,(VSLFO.MGO45[[#This Row],[HORA]]-C72)*24)</f>
        <v>21.4</v>
      </c>
      <c r="E73" s="10" t="s">
        <v>1051</v>
      </c>
      <c r="F73" s="10" t="s">
        <v>1051</v>
      </c>
      <c r="G73" s="212"/>
      <c r="H73" s="201"/>
      <c r="I73" s="201"/>
      <c r="J73" s="207"/>
      <c r="K73" s="153">
        <v>0</v>
      </c>
      <c r="L73" s="3">
        <v>2.2291666666666665</v>
      </c>
      <c r="M73" s="3">
        <v>1.7833333333333332</v>
      </c>
      <c r="N73" s="3">
        <f t="shared" si="7"/>
        <v>4.0124999999999993</v>
      </c>
      <c r="O73" s="1"/>
      <c r="P73" s="152">
        <f t="shared" si="3"/>
        <v>745.90916666666715</v>
      </c>
      <c r="Q73" s="150">
        <v>0</v>
      </c>
      <c r="R73" s="199">
        <v>0</v>
      </c>
      <c r="S73" s="199">
        <v>0</v>
      </c>
      <c r="T73" s="199">
        <v>0</v>
      </c>
      <c r="U73" s="199">
        <v>0</v>
      </c>
      <c r="V73" s="155">
        <f t="shared" si="4"/>
        <v>0</v>
      </c>
      <c r="W73" s="199">
        <v>0</v>
      </c>
      <c r="X73" s="151">
        <f>(X72-VSLFO.MGO45[[#This Row],[TOTAL]])+VSLFO.MGO45[[#This Row],[FAENA2]]</f>
        <v>39.299999999999997</v>
      </c>
      <c r="Y73" s="150"/>
      <c r="Z73" s="199"/>
      <c r="AA73" s="149">
        <f t="shared" si="5"/>
        <v>100</v>
      </c>
      <c r="AB73" s="199"/>
      <c r="AC73" s="199"/>
      <c r="AD73" s="149">
        <f>($AD$4-VSLFO.MGO45[[#This Row],[CARTER MP.]])+VSLFO.MGO45[[#This Row],[FAENA EN LTS2]]</f>
        <v>100</v>
      </c>
      <c r="AE73" s="199"/>
      <c r="AF73" s="199"/>
      <c r="AG73" s="149">
        <f t="shared" si="6"/>
        <v>100</v>
      </c>
      <c r="AH73" s="199"/>
      <c r="AI73" s="199"/>
      <c r="AJ73" s="148"/>
    </row>
    <row r="74" spans="1:36" x14ac:dyDescent="0.25">
      <c r="A74" s="192"/>
      <c r="B74" s="219">
        <v>43879</v>
      </c>
      <c r="C74" s="7">
        <v>0.85</v>
      </c>
      <c r="D74" s="4">
        <f>IF(VSLFO.MGO45[[#This Row],[FECHA]]-B73=1,((VSLFO.MGO45[[#This Row],[HORA]]-C73)*24)+24,(VSLFO.MGO45[[#This Row],[HORA]]-C73)*24)</f>
        <v>12.399999999999999</v>
      </c>
      <c r="E74" s="10" t="s">
        <v>1051</v>
      </c>
      <c r="F74" s="10" t="s">
        <v>120</v>
      </c>
      <c r="G74" s="212"/>
      <c r="H74" s="201"/>
      <c r="I74" s="201"/>
      <c r="J74" s="207"/>
      <c r="K74" s="153">
        <v>0</v>
      </c>
      <c r="L74" s="3">
        <v>1.2916666666666665</v>
      </c>
      <c r="M74" s="3">
        <v>1.0333333333333332</v>
      </c>
      <c r="N74" s="3">
        <f t="shared" si="7"/>
        <v>2.3249999999999997</v>
      </c>
      <c r="O74" s="1"/>
      <c r="P74" s="152">
        <f t="shared" ref="P74:P107" si="8">(P73 -N74)+O74</f>
        <v>743.5841666666671</v>
      </c>
      <c r="Q74" s="150">
        <v>0</v>
      </c>
      <c r="R74" s="199">
        <v>0</v>
      </c>
      <c r="S74" s="199">
        <v>0</v>
      </c>
      <c r="T74" s="199">
        <v>0</v>
      </c>
      <c r="U74" s="199">
        <v>0</v>
      </c>
      <c r="V74" s="155">
        <f t="shared" si="4"/>
        <v>0</v>
      </c>
      <c r="W74" s="199">
        <v>0</v>
      </c>
      <c r="X74" s="151">
        <f>(X73-VSLFO.MGO45[[#This Row],[TOTAL]])+VSLFO.MGO45[[#This Row],[FAENA2]]</f>
        <v>39.299999999999997</v>
      </c>
      <c r="Y74" s="150"/>
      <c r="Z74" s="199"/>
      <c r="AA74" s="149">
        <f t="shared" si="5"/>
        <v>100</v>
      </c>
      <c r="AB74" s="199"/>
      <c r="AC74" s="199"/>
      <c r="AD74" s="149">
        <f>($AD$4-VSLFO.MGO45[[#This Row],[CARTER MP.]])+VSLFO.MGO45[[#This Row],[FAENA EN LTS2]]</f>
        <v>100</v>
      </c>
      <c r="AE74" s="199"/>
      <c r="AF74" s="199"/>
      <c r="AG74" s="149">
        <f t="shared" si="6"/>
        <v>100</v>
      </c>
      <c r="AH74" s="199"/>
      <c r="AI74" s="199"/>
      <c r="AJ74" s="148"/>
    </row>
    <row r="75" spans="1:36" x14ac:dyDescent="0.25">
      <c r="A75" s="192"/>
      <c r="B75" s="219">
        <v>43880</v>
      </c>
      <c r="C75" s="7">
        <v>7.9166666666666663E-2</v>
      </c>
      <c r="D75" s="4">
        <f>IF(VSLFO.MGO45[[#This Row],[FECHA]]-B74=1,((VSLFO.MGO45[[#This Row],[HORA]]-C74)*24)+24,(VSLFO.MGO45[[#This Row],[HORA]]-C74)*24)</f>
        <v>5.5</v>
      </c>
      <c r="E75" s="10" t="s">
        <v>1425</v>
      </c>
      <c r="F75" s="10" t="s">
        <v>1011</v>
      </c>
      <c r="G75" s="212"/>
      <c r="H75" s="201"/>
      <c r="I75" s="201"/>
      <c r="J75" s="207"/>
      <c r="K75" s="153">
        <v>0</v>
      </c>
      <c r="L75" s="3">
        <v>0.57291666666666674</v>
      </c>
      <c r="M75" s="3">
        <v>0.45833333333333331</v>
      </c>
      <c r="N75" s="3">
        <f t="shared" si="7"/>
        <v>1.03125</v>
      </c>
      <c r="O75" s="1"/>
      <c r="P75" s="152">
        <f t="shared" si="8"/>
        <v>742.5529166666671</v>
      </c>
      <c r="Q75" s="150">
        <v>0</v>
      </c>
      <c r="R75" s="199">
        <v>0</v>
      </c>
      <c r="S75" s="199">
        <v>0</v>
      </c>
      <c r="T75" s="199">
        <v>0</v>
      </c>
      <c r="U75" s="199">
        <v>0</v>
      </c>
      <c r="V75" s="155">
        <f t="shared" si="4"/>
        <v>0</v>
      </c>
      <c r="W75" s="199">
        <v>0</v>
      </c>
      <c r="X75" s="151">
        <f>(X74-VSLFO.MGO45[[#This Row],[TOTAL]])+VSLFO.MGO45[[#This Row],[FAENA2]]</f>
        <v>39.299999999999997</v>
      </c>
      <c r="Y75" s="150"/>
      <c r="Z75" s="199"/>
      <c r="AA75" s="149">
        <f t="shared" si="5"/>
        <v>100</v>
      </c>
      <c r="AB75" s="199"/>
      <c r="AC75" s="199"/>
      <c r="AD75" s="149">
        <f>($AD$4-VSLFO.MGO45[[#This Row],[CARTER MP.]])+VSLFO.MGO45[[#This Row],[FAENA EN LTS2]]</f>
        <v>100</v>
      </c>
      <c r="AE75" s="199"/>
      <c r="AF75" s="199"/>
      <c r="AG75" s="149">
        <f t="shared" si="6"/>
        <v>100</v>
      </c>
      <c r="AH75" s="199"/>
      <c r="AI75" s="199"/>
      <c r="AJ75" s="148"/>
    </row>
    <row r="76" spans="1:36" x14ac:dyDescent="0.25">
      <c r="A76" s="192"/>
      <c r="B76" s="219">
        <v>43880</v>
      </c>
      <c r="C76" s="7">
        <v>0.10416666666666667</v>
      </c>
      <c r="D76" s="4">
        <f>IF(VSLFO.MGO45[[#This Row],[FECHA]]-B75=1,((VSLFO.MGO45[[#This Row],[HORA]]-C75)*24)+24,(VSLFO.MGO45[[#This Row],[HORA]]-C75)*24)</f>
        <v>0.6000000000000002</v>
      </c>
      <c r="E76" s="10" t="s">
        <v>1057</v>
      </c>
      <c r="F76" s="10" t="s">
        <v>1408</v>
      </c>
      <c r="G76" s="212"/>
      <c r="H76" s="201"/>
      <c r="I76" s="201" t="s">
        <v>1297</v>
      </c>
      <c r="J76" s="207">
        <v>95</v>
      </c>
      <c r="K76" s="153">
        <v>0.12500000000000006</v>
      </c>
      <c r="L76" s="3">
        <v>6.2500000000000028E-2</v>
      </c>
      <c r="M76" s="3">
        <v>5.0000000000000017E-2</v>
      </c>
      <c r="N76" s="3">
        <f t="shared" si="7"/>
        <v>0.2375000000000001</v>
      </c>
      <c r="O76" s="1"/>
      <c r="P76" s="152">
        <f t="shared" si="8"/>
        <v>742.31541666666715</v>
      </c>
      <c r="Q76" s="150">
        <v>0</v>
      </c>
      <c r="R76" s="199">
        <v>0</v>
      </c>
      <c r="S76" s="199">
        <v>0</v>
      </c>
      <c r="T76" s="199">
        <v>0</v>
      </c>
      <c r="U76" s="199">
        <v>0</v>
      </c>
      <c r="V76" s="155">
        <f t="shared" si="4"/>
        <v>0</v>
      </c>
      <c r="W76" s="199">
        <v>0</v>
      </c>
      <c r="X76" s="151">
        <f>(X75-VSLFO.MGO45[[#This Row],[TOTAL]])+VSLFO.MGO45[[#This Row],[FAENA2]]</f>
        <v>39.299999999999997</v>
      </c>
      <c r="Y76" s="150"/>
      <c r="Z76" s="199"/>
      <c r="AA76" s="149">
        <f t="shared" si="5"/>
        <v>100</v>
      </c>
      <c r="AB76" s="199"/>
      <c r="AC76" s="199"/>
      <c r="AD76" s="149">
        <f>($AD$4-VSLFO.MGO45[[#This Row],[CARTER MP.]])+VSLFO.MGO45[[#This Row],[FAENA EN LTS2]]</f>
        <v>100</v>
      </c>
      <c r="AE76" s="199"/>
      <c r="AF76" s="199"/>
      <c r="AG76" s="149">
        <f t="shared" si="6"/>
        <v>100</v>
      </c>
      <c r="AH76" s="199"/>
      <c r="AI76" s="199"/>
      <c r="AJ76" s="148"/>
    </row>
    <row r="77" spans="1:36" x14ac:dyDescent="0.25">
      <c r="A77" s="192"/>
      <c r="B77" s="219">
        <v>43880</v>
      </c>
      <c r="C77" s="7">
        <v>0.33333333333333331</v>
      </c>
      <c r="D77" s="4">
        <f>IF(VSLFO.MGO45[[#This Row],[FECHA]]-B76=1,((VSLFO.MGO45[[#This Row],[HORA]]-C76)*24)+24,(VSLFO.MGO45[[#This Row],[HORA]]-C76)*24)</f>
        <v>5.4999999999999991</v>
      </c>
      <c r="E77" s="10" t="s">
        <v>1338</v>
      </c>
      <c r="F77" s="10" t="s">
        <v>355</v>
      </c>
      <c r="G77" s="212"/>
      <c r="H77" s="201"/>
      <c r="I77" s="201" t="s">
        <v>1297</v>
      </c>
      <c r="J77" s="207">
        <v>95</v>
      </c>
      <c r="K77" s="153">
        <v>4.583333333333333</v>
      </c>
      <c r="L77" s="3">
        <v>0.57291666666666663</v>
      </c>
      <c r="M77" s="3">
        <v>0</v>
      </c>
      <c r="N77" s="3">
        <f t="shared" si="7"/>
        <v>5.15625</v>
      </c>
      <c r="O77" s="1"/>
      <c r="P77" s="152">
        <f t="shared" si="8"/>
        <v>737.15916666666715</v>
      </c>
      <c r="Q77" s="150">
        <v>0</v>
      </c>
      <c r="R77" s="199">
        <v>0</v>
      </c>
      <c r="S77" s="199">
        <v>0</v>
      </c>
      <c r="T77" s="199">
        <v>0</v>
      </c>
      <c r="U77" s="199">
        <v>0</v>
      </c>
      <c r="V77" s="155">
        <f t="shared" si="4"/>
        <v>0</v>
      </c>
      <c r="W77" s="199">
        <v>0</v>
      </c>
      <c r="X77" s="151">
        <f>(X76-VSLFO.MGO45[[#This Row],[TOTAL]])+VSLFO.MGO45[[#This Row],[FAENA2]]</f>
        <v>39.299999999999997</v>
      </c>
      <c r="Y77" s="150"/>
      <c r="Z77" s="199"/>
      <c r="AA77" s="149">
        <f t="shared" si="5"/>
        <v>100</v>
      </c>
      <c r="AB77" s="199"/>
      <c r="AC77" s="199"/>
      <c r="AD77" s="149">
        <f>($AD$4-VSLFO.MGO45[[#This Row],[CARTER MP.]])+VSLFO.MGO45[[#This Row],[FAENA EN LTS2]]</f>
        <v>100</v>
      </c>
      <c r="AE77" s="199"/>
      <c r="AF77" s="199"/>
      <c r="AG77" s="149">
        <f t="shared" si="6"/>
        <v>100</v>
      </c>
      <c r="AH77" s="199"/>
      <c r="AI77" s="199"/>
      <c r="AJ77" s="148"/>
    </row>
    <row r="78" spans="1:36" x14ac:dyDescent="0.25">
      <c r="A78" s="192"/>
      <c r="B78" s="219">
        <v>43880</v>
      </c>
      <c r="C78" s="7">
        <v>0.4375</v>
      </c>
      <c r="D78" s="4">
        <f>IF(VSLFO.MGO45[[#This Row],[FECHA]]-B77=1,((VSLFO.MGO45[[#This Row],[HORA]]-C77)*24)+24,(VSLFO.MGO45[[#This Row],[HORA]]-C77)*24)</f>
        <v>2.5000000000000004</v>
      </c>
      <c r="E78" s="10" t="s">
        <v>1338</v>
      </c>
      <c r="F78" s="10" t="s">
        <v>1162</v>
      </c>
      <c r="G78" s="212">
        <v>91</v>
      </c>
      <c r="H78" s="201">
        <v>10.4</v>
      </c>
      <c r="I78" s="201" t="s">
        <v>1297</v>
      </c>
      <c r="J78" s="207">
        <v>95</v>
      </c>
      <c r="K78" s="153">
        <v>2.0833333333333339</v>
      </c>
      <c r="L78" s="3">
        <v>0.26041666666666674</v>
      </c>
      <c r="M78" s="3">
        <v>0</v>
      </c>
      <c r="N78" s="3">
        <f t="shared" si="7"/>
        <v>2.3437500000000009</v>
      </c>
      <c r="O78" s="1"/>
      <c r="P78" s="152">
        <f t="shared" si="8"/>
        <v>734.81541666666715</v>
      </c>
      <c r="Q78" s="150">
        <v>0</v>
      </c>
      <c r="R78" s="199">
        <v>0</v>
      </c>
      <c r="S78" s="199">
        <v>0</v>
      </c>
      <c r="T78" s="199">
        <v>0</v>
      </c>
      <c r="U78" s="199">
        <v>0</v>
      </c>
      <c r="V78" s="155">
        <f t="shared" si="4"/>
        <v>0</v>
      </c>
      <c r="W78" s="199">
        <v>0</v>
      </c>
      <c r="X78" s="151">
        <f>(X77-VSLFO.MGO45[[#This Row],[TOTAL]])+VSLFO.MGO45[[#This Row],[FAENA2]]</f>
        <v>39.299999999999997</v>
      </c>
      <c r="Y78" s="150"/>
      <c r="Z78" s="199"/>
      <c r="AA78" s="149">
        <f t="shared" si="5"/>
        <v>100</v>
      </c>
      <c r="AB78" s="199"/>
      <c r="AC78" s="199"/>
      <c r="AD78" s="149">
        <f>($AD$4-VSLFO.MGO45[[#This Row],[CARTER MP.]])+VSLFO.MGO45[[#This Row],[FAENA EN LTS2]]</f>
        <v>100</v>
      </c>
      <c r="AE78" s="199"/>
      <c r="AF78" s="199"/>
      <c r="AG78" s="149">
        <f t="shared" si="6"/>
        <v>100</v>
      </c>
      <c r="AH78" s="199"/>
      <c r="AI78" s="199"/>
      <c r="AJ78" s="148"/>
    </row>
    <row r="79" spans="1:36" x14ac:dyDescent="0.25">
      <c r="A79" s="192"/>
      <c r="B79" s="219">
        <v>43880</v>
      </c>
      <c r="C79" s="7">
        <v>0.51250000000000007</v>
      </c>
      <c r="D79" s="4">
        <f>IF(VSLFO.MGO45[[#This Row],[FECHA]]-B78=1,((VSLFO.MGO45[[#This Row],[HORA]]-C78)*24)+24,(VSLFO.MGO45[[#This Row],[HORA]]-C78)*24)</f>
        <v>1.8000000000000016</v>
      </c>
      <c r="E79" s="10" t="s">
        <v>1057</v>
      </c>
      <c r="F79" s="10" t="s">
        <v>616</v>
      </c>
      <c r="G79" s="212"/>
      <c r="H79" s="201"/>
      <c r="I79" s="201"/>
      <c r="J79" s="207"/>
      <c r="K79" s="153">
        <v>0.15000000000000013</v>
      </c>
      <c r="L79" s="3">
        <v>0.18750000000000017</v>
      </c>
      <c r="M79" s="3">
        <v>0.15000000000000013</v>
      </c>
      <c r="N79" s="3">
        <f t="shared" si="7"/>
        <v>0.48750000000000043</v>
      </c>
      <c r="O79" s="1"/>
      <c r="P79" s="152">
        <f t="shared" si="8"/>
        <v>734.32791666666719</v>
      </c>
      <c r="Q79" s="150">
        <v>0</v>
      </c>
      <c r="R79" s="199">
        <v>0</v>
      </c>
      <c r="S79" s="199">
        <v>0</v>
      </c>
      <c r="T79" s="199">
        <v>0</v>
      </c>
      <c r="U79" s="199">
        <v>0</v>
      </c>
      <c r="V79" s="155">
        <f t="shared" si="4"/>
        <v>0</v>
      </c>
      <c r="W79" s="199">
        <v>0</v>
      </c>
      <c r="X79" s="151">
        <f>(X78-VSLFO.MGO45[[#This Row],[TOTAL]])+VSLFO.MGO45[[#This Row],[FAENA2]]</f>
        <v>39.299999999999997</v>
      </c>
      <c r="Y79" s="150"/>
      <c r="Z79" s="199"/>
      <c r="AA79" s="149">
        <f t="shared" si="5"/>
        <v>100</v>
      </c>
      <c r="AB79" s="199"/>
      <c r="AC79" s="199"/>
      <c r="AD79" s="149">
        <f>($AD$4-VSLFO.MGO45[[#This Row],[CARTER MP.]])+VSLFO.MGO45[[#This Row],[FAENA EN LTS2]]</f>
        <v>100</v>
      </c>
      <c r="AE79" s="199"/>
      <c r="AF79" s="199"/>
      <c r="AG79" s="149">
        <f t="shared" si="6"/>
        <v>100</v>
      </c>
      <c r="AH79" s="199"/>
      <c r="AI79" s="199"/>
      <c r="AJ79" s="148"/>
    </row>
    <row r="80" spans="1:36" x14ac:dyDescent="0.25">
      <c r="A80" s="192"/>
      <c r="B80" s="219">
        <v>43880</v>
      </c>
      <c r="C80" s="7">
        <v>0.6166666666666667</v>
      </c>
      <c r="D80" s="4">
        <f>IF(VSLFO.MGO45[[#This Row],[FECHA]]-B79=1,((VSLFO.MGO45[[#This Row],[HORA]]-C79)*24)+24,(VSLFO.MGO45[[#This Row],[HORA]]-C79)*24)</f>
        <v>2.4999999999999991</v>
      </c>
      <c r="E80" s="10" t="s">
        <v>1425</v>
      </c>
      <c r="F80" s="10" t="s">
        <v>1004</v>
      </c>
      <c r="G80" s="212"/>
      <c r="H80" s="201"/>
      <c r="I80" s="201"/>
      <c r="J80" s="207"/>
      <c r="K80" s="153">
        <v>0</v>
      </c>
      <c r="L80" s="3">
        <v>0.26041666666666657</v>
      </c>
      <c r="M80" s="3">
        <v>0.20833333333333326</v>
      </c>
      <c r="N80" s="3">
        <f t="shared" si="7"/>
        <v>0.46874999999999983</v>
      </c>
      <c r="O80" s="1"/>
      <c r="P80" s="152">
        <f t="shared" si="8"/>
        <v>733.85916666666719</v>
      </c>
      <c r="Q80" s="150">
        <v>0</v>
      </c>
      <c r="R80" s="199">
        <v>0</v>
      </c>
      <c r="S80" s="199">
        <v>0</v>
      </c>
      <c r="T80" s="199">
        <v>0</v>
      </c>
      <c r="U80" s="199">
        <v>0</v>
      </c>
      <c r="V80" s="155">
        <f t="shared" si="4"/>
        <v>0</v>
      </c>
      <c r="W80" s="199">
        <v>0</v>
      </c>
      <c r="X80" s="151">
        <f>(X79-VSLFO.MGO45[[#This Row],[TOTAL]])+VSLFO.MGO45[[#This Row],[FAENA2]]</f>
        <v>39.299999999999997</v>
      </c>
      <c r="Y80" s="150"/>
      <c r="Z80" s="199"/>
      <c r="AA80" s="149">
        <f t="shared" si="5"/>
        <v>100</v>
      </c>
      <c r="AB80" s="199"/>
      <c r="AC80" s="199"/>
      <c r="AD80" s="149">
        <f>($AD$4-VSLFO.MGO45[[#This Row],[CARTER MP.]])+VSLFO.MGO45[[#This Row],[FAENA EN LTS2]]</f>
        <v>100</v>
      </c>
      <c r="AE80" s="199"/>
      <c r="AF80" s="199"/>
      <c r="AG80" s="149">
        <f t="shared" si="6"/>
        <v>100</v>
      </c>
      <c r="AH80" s="199"/>
      <c r="AI80" s="199"/>
      <c r="AJ80" s="148"/>
    </row>
    <row r="81" spans="1:36" x14ac:dyDescent="0.25">
      <c r="A81" s="192"/>
      <c r="B81" s="219">
        <v>43881</v>
      </c>
      <c r="C81" s="7">
        <v>1</v>
      </c>
      <c r="D81" s="4">
        <f>IF(VSLFO.MGO45[[#This Row],[FECHA]]-B80=1,((VSLFO.MGO45[[#This Row],[HORA]]-C80)*24)+24,(VSLFO.MGO45[[#This Row],[HORA]]-C80)*24)</f>
        <v>33.200000000000003</v>
      </c>
      <c r="E81" s="10" t="s">
        <v>966</v>
      </c>
      <c r="F81" s="10" t="s">
        <v>265</v>
      </c>
      <c r="G81" s="212"/>
      <c r="H81" s="201"/>
      <c r="I81" s="201"/>
      <c r="J81" s="207"/>
      <c r="K81" s="153">
        <v>0</v>
      </c>
      <c r="L81" s="3">
        <v>0.95833333333333326</v>
      </c>
      <c r="M81" s="3">
        <v>0.76666666666666661</v>
      </c>
      <c r="N81" s="3">
        <f t="shared" si="7"/>
        <v>1.7249999999999999</v>
      </c>
      <c r="O81" s="1"/>
      <c r="P81" s="152">
        <f t="shared" si="8"/>
        <v>732.13416666666717</v>
      </c>
      <c r="Q81" s="150">
        <v>0</v>
      </c>
      <c r="R81" s="199">
        <v>0</v>
      </c>
      <c r="S81" s="199">
        <v>0</v>
      </c>
      <c r="T81" s="199">
        <v>0</v>
      </c>
      <c r="U81" s="199">
        <v>2.2999999999999998</v>
      </c>
      <c r="V81" s="155">
        <f t="shared" si="4"/>
        <v>2.2999999999999998</v>
      </c>
      <c r="W81" s="199">
        <v>0</v>
      </c>
      <c r="X81" s="151">
        <f>(X80-VSLFO.MGO45[[#This Row],[TOTAL]])+VSLFO.MGO45[[#This Row],[FAENA2]]</f>
        <v>37</v>
      </c>
      <c r="Y81" s="150"/>
      <c r="Z81" s="199"/>
      <c r="AA81" s="149">
        <f t="shared" si="5"/>
        <v>100</v>
      </c>
      <c r="AB81" s="199"/>
      <c r="AC81" s="199"/>
      <c r="AD81" s="149">
        <f>($AD$4-VSLFO.MGO45[[#This Row],[CARTER MP.]])+VSLFO.MGO45[[#This Row],[FAENA EN LTS2]]</f>
        <v>100</v>
      </c>
      <c r="AE81" s="199"/>
      <c r="AF81" s="199"/>
      <c r="AG81" s="149">
        <f t="shared" si="6"/>
        <v>100</v>
      </c>
      <c r="AH81" s="199"/>
      <c r="AI81" s="199"/>
      <c r="AJ81" s="148"/>
    </row>
    <row r="82" spans="1:36" x14ac:dyDescent="0.25">
      <c r="A82" s="192"/>
      <c r="B82" s="219">
        <v>43881</v>
      </c>
      <c r="C82" s="7">
        <v>7.9166666666666663E-2</v>
      </c>
      <c r="D82" s="4">
        <f>IF(VSLFO.MGO45[[#This Row],[FECHA]]-B81=1,((VSLFO.MGO45[[#This Row],[HORA]]-C81)*24)+24,(VSLFO.MGO45[[#This Row],[HORA]]-C81)*24)</f>
        <v>-22.1</v>
      </c>
      <c r="E82" s="10" t="s">
        <v>1425</v>
      </c>
      <c r="F82" s="10" t="s">
        <v>1011</v>
      </c>
      <c r="G82" s="212"/>
      <c r="H82" s="201"/>
      <c r="I82" s="201"/>
      <c r="J82" s="207"/>
      <c r="K82" s="153">
        <v>0</v>
      </c>
      <c r="L82" s="3">
        <v>0.19791666666666652</v>
      </c>
      <c r="M82" s="3">
        <v>0.15833333333333321</v>
      </c>
      <c r="N82" s="3">
        <f t="shared" si="7"/>
        <v>0.35624999999999973</v>
      </c>
      <c r="O82" s="1"/>
      <c r="P82" s="152">
        <f t="shared" si="8"/>
        <v>731.77791666666712</v>
      </c>
      <c r="Q82" s="150">
        <v>0</v>
      </c>
      <c r="R82" s="199">
        <v>0</v>
      </c>
      <c r="S82" s="199">
        <v>0</v>
      </c>
      <c r="T82" s="199">
        <v>0</v>
      </c>
      <c r="U82" s="199">
        <v>0</v>
      </c>
      <c r="V82" s="155">
        <f t="shared" si="4"/>
        <v>0</v>
      </c>
      <c r="W82" s="199">
        <v>0</v>
      </c>
      <c r="X82" s="151">
        <f>(X81-VSLFO.MGO45[[#This Row],[TOTAL]])+VSLFO.MGO45[[#This Row],[FAENA2]]</f>
        <v>37</v>
      </c>
      <c r="Y82" s="150"/>
      <c r="Z82" s="199"/>
      <c r="AA82" s="149">
        <f t="shared" si="5"/>
        <v>100</v>
      </c>
      <c r="AB82" s="199"/>
      <c r="AC82" s="199"/>
      <c r="AD82" s="149">
        <f>($AD$4-VSLFO.MGO45[[#This Row],[CARTER MP.]])+VSLFO.MGO45[[#This Row],[FAENA EN LTS2]]</f>
        <v>100</v>
      </c>
      <c r="AE82" s="199"/>
      <c r="AF82" s="199"/>
      <c r="AG82" s="149">
        <f t="shared" si="6"/>
        <v>100</v>
      </c>
      <c r="AH82" s="199"/>
      <c r="AI82" s="199"/>
      <c r="AJ82" s="148"/>
    </row>
    <row r="83" spans="1:36" x14ac:dyDescent="0.25">
      <c r="A83" s="192"/>
      <c r="B83" s="219">
        <v>43881</v>
      </c>
      <c r="C83" s="7">
        <v>0.10416666666666667</v>
      </c>
      <c r="D83" s="4">
        <f>IF(VSLFO.MGO45[[#This Row],[FECHA]]-B82=1,((VSLFO.MGO45[[#This Row],[HORA]]-C82)*24)+24,(VSLFO.MGO45[[#This Row],[HORA]]-C82)*24)</f>
        <v>0.6000000000000002</v>
      </c>
      <c r="E83" s="10" t="s">
        <v>1057</v>
      </c>
      <c r="F83" s="10" t="s">
        <v>1411</v>
      </c>
      <c r="G83" s="212"/>
      <c r="H83" s="201"/>
      <c r="I83" s="201" t="s">
        <v>1420</v>
      </c>
      <c r="J83" s="207">
        <v>95</v>
      </c>
      <c r="K83" s="153">
        <v>0.12500000000000006</v>
      </c>
      <c r="L83" s="3">
        <v>6.2500000000000028E-2</v>
      </c>
      <c r="M83" s="3">
        <v>5.0000000000000017E-2</v>
      </c>
      <c r="N83" s="3">
        <f t="shared" si="7"/>
        <v>0.2375000000000001</v>
      </c>
      <c r="O83" s="1"/>
      <c r="P83" s="152">
        <f t="shared" si="8"/>
        <v>731.54041666666717</v>
      </c>
      <c r="Q83" s="150">
        <v>0</v>
      </c>
      <c r="R83" s="199">
        <v>0</v>
      </c>
      <c r="S83" s="199">
        <v>0</v>
      </c>
      <c r="T83" s="199">
        <v>0</v>
      </c>
      <c r="U83" s="199">
        <v>0</v>
      </c>
      <c r="V83" s="155">
        <f t="shared" si="4"/>
        <v>0</v>
      </c>
      <c r="W83" s="199">
        <v>0</v>
      </c>
      <c r="X83" s="151">
        <f>(X82-VSLFO.MGO45[[#This Row],[TOTAL]])+VSLFO.MGO45[[#This Row],[FAENA2]]</f>
        <v>37</v>
      </c>
      <c r="Y83" s="150"/>
      <c r="Z83" s="199"/>
      <c r="AA83" s="149">
        <f t="shared" si="5"/>
        <v>100</v>
      </c>
      <c r="AB83" s="199"/>
      <c r="AC83" s="199"/>
      <c r="AD83" s="149">
        <f>($AD$4-VSLFO.MGO45[[#This Row],[CARTER MP.]])+VSLFO.MGO45[[#This Row],[FAENA EN LTS2]]</f>
        <v>100</v>
      </c>
      <c r="AE83" s="199"/>
      <c r="AF83" s="199"/>
      <c r="AG83" s="149">
        <f t="shared" si="6"/>
        <v>100</v>
      </c>
      <c r="AH83" s="199"/>
      <c r="AI83" s="199"/>
      <c r="AJ83" s="148"/>
    </row>
    <row r="84" spans="1:36" x14ac:dyDescent="0.25">
      <c r="A84" s="192"/>
      <c r="B84" s="219">
        <v>43881</v>
      </c>
      <c r="C84" s="7">
        <v>0.33333333333333331</v>
      </c>
      <c r="D84" s="4">
        <f>IF(VSLFO.MGO45[[#This Row],[FECHA]]-B83=1,((VSLFO.MGO45[[#This Row],[HORA]]-C83)*24)+24,(VSLFO.MGO45[[#This Row],[HORA]]-C83)*24)</f>
        <v>5.4999999999999991</v>
      </c>
      <c r="E84" s="10" t="s">
        <v>1338</v>
      </c>
      <c r="F84" s="10" t="s">
        <v>355</v>
      </c>
      <c r="G84" s="212"/>
      <c r="H84" s="201"/>
      <c r="I84" s="201" t="s">
        <v>1420</v>
      </c>
      <c r="J84" s="207">
        <v>95</v>
      </c>
      <c r="K84" s="153">
        <v>4.583333333333333</v>
      </c>
      <c r="L84" s="3">
        <v>0.57291666666666663</v>
      </c>
      <c r="M84" s="3">
        <v>0</v>
      </c>
      <c r="N84" s="3">
        <f t="shared" si="7"/>
        <v>5.15625</v>
      </c>
      <c r="O84" s="1"/>
      <c r="P84" s="152">
        <f t="shared" si="8"/>
        <v>726.38416666666717</v>
      </c>
      <c r="Q84" s="150">
        <v>0</v>
      </c>
      <c r="R84" s="199">
        <v>0</v>
      </c>
      <c r="S84" s="199">
        <v>0</v>
      </c>
      <c r="T84" s="199">
        <v>0</v>
      </c>
      <c r="U84" s="199">
        <v>0</v>
      </c>
      <c r="V84" s="155">
        <f t="shared" si="4"/>
        <v>0</v>
      </c>
      <c r="W84" s="199">
        <v>0</v>
      </c>
      <c r="X84" s="151">
        <f>(X83-VSLFO.MGO45[[#This Row],[TOTAL]])+VSLFO.MGO45[[#This Row],[FAENA2]]</f>
        <v>37</v>
      </c>
      <c r="Y84" s="150"/>
      <c r="Z84" s="199"/>
      <c r="AA84" s="149">
        <f t="shared" si="5"/>
        <v>100</v>
      </c>
      <c r="AB84" s="199"/>
      <c r="AC84" s="199"/>
      <c r="AD84" s="149">
        <f>($AD$4-VSLFO.MGO45[[#This Row],[CARTER MP.]])+VSLFO.MGO45[[#This Row],[FAENA EN LTS2]]</f>
        <v>100</v>
      </c>
      <c r="AE84" s="199"/>
      <c r="AF84" s="199"/>
      <c r="AG84" s="149">
        <f t="shared" si="6"/>
        <v>100</v>
      </c>
      <c r="AH84" s="199"/>
      <c r="AI84" s="199"/>
      <c r="AJ84" s="148"/>
    </row>
    <row r="85" spans="1:36" x14ac:dyDescent="0.25">
      <c r="A85" s="192"/>
      <c r="B85" s="219">
        <v>43882</v>
      </c>
      <c r="C85" s="7">
        <v>0.125</v>
      </c>
      <c r="D85" s="4">
        <f>IF(VSLFO.MGO45[[#This Row],[FECHA]]-B84=1,((VSLFO.MGO45[[#This Row],[HORA]]-C84)*24)+24,(VSLFO.MGO45[[#This Row],[HORA]]-C84)*24)</f>
        <v>19</v>
      </c>
      <c r="E85" s="10" t="s">
        <v>1338</v>
      </c>
      <c r="F85" s="10" t="s">
        <v>152</v>
      </c>
      <c r="G85" s="212">
        <v>266</v>
      </c>
      <c r="H85" s="201">
        <v>10.5</v>
      </c>
      <c r="I85" s="201" t="s">
        <v>1420</v>
      </c>
      <c r="J85" s="207">
        <v>95</v>
      </c>
      <c r="K85" s="153">
        <v>15.833333333333334</v>
      </c>
      <c r="L85" s="3">
        <v>1.9791666666666667</v>
      </c>
      <c r="M85" s="3">
        <v>0</v>
      </c>
      <c r="N85" s="3">
        <f t="shared" si="7"/>
        <v>17.8125</v>
      </c>
      <c r="O85" s="1"/>
      <c r="P85" s="152">
        <f t="shared" si="8"/>
        <v>708.57166666666717</v>
      </c>
      <c r="Q85" s="150">
        <v>0</v>
      </c>
      <c r="R85" s="199">
        <v>0</v>
      </c>
      <c r="S85" s="199">
        <v>0</v>
      </c>
      <c r="T85" s="199">
        <v>0</v>
      </c>
      <c r="U85" s="199">
        <v>0</v>
      </c>
      <c r="V85" s="155">
        <f t="shared" si="4"/>
        <v>0</v>
      </c>
      <c r="W85" s="199">
        <v>0</v>
      </c>
      <c r="X85" s="151">
        <f>(X84-VSLFO.MGO45[[#This Row],[TOTAL]])+VSLFO.MGO45[[#This Row],[FAENA2]]</f>
        <v>37</v>
      </c>
      <c r="Y85" s="150"/>
      <c r="Z85" s="199"/>
      <c r="AA85" s="149">
        <f t="shared" si="5"/>
        <v>100</v>
      </c>
      <c r="AB85" s="199"/>
      <c r="AC85" s="199"/>
      <c r="AD85" s="149">
        <f>($AD$4-VSLFO.MGO45[[#This Row],[CARTER MP.]])+VSLFO.MGO45[[#This Row],[FAENA EN LTS2]]</f>
        <v>100</v>
      </c>
      <c r="AE85" s="199"/>
      <c r="AF85" s="199"/>
      <c r="AG85" s="149">
        <f t="shared" si="6"/>
        <v>100</v>
      </c>
      <c r="AH85" s="199"/>
      <c r="AI85" s="199"/>
      <c r="AJ85" s="148"/>
    </row>
    <row r="86" spans="1:36" x14ac:dyDescent="0.25">
      <c r="A86" s="192"/>
      <c r="B86" s="219">
        <v>43882</v>
      </c>
      <c r="C86" s="7">
        <v>0.14583333333333334</v>
      </c>
      <c r="D86" s="4">
        <f>IF(VSLFO.MGO45[[#This Row],[FECHA]]-B85=1,((VSLFO.MGO45[[#This Row],[HORA]]-C85)*24)+24,(VSLFO.MGO45[[#This Row],[HORA]]-C85)*24)</f>
        <v>0.50000000000000022</v>
      </c>
      <c r="E86" s="10" t="s">
        <v>1057</v>
      </c>
      <c r="F86" s="10" t="s">
        <v>616</v>
      </c>
      <c r="G86" s="212"/>
      <c r="H86" s="201"/>
      <c r="I86" s="201"/>
      <c r="J86" s="207"/>
      <c r="K86" s="153">
        <v>0.10416666666666671</v>
      </c>
      <c r="L86" s="3">
        <v>5.2083333333333356E-2</v>
      </c>
      <c r="M86" s="3">
        <v>4.1666666666666685E-2</v>
      </c>
      <c r="N86" s="3">
        <f t="shared" si="7"/>
        <v>0.19791666666666674</v>
      </c>
      <c r="O86" s="1"/>
      <c r="P86" s="152">
        <f t="shared" si="8"/>
        <v>708.37375000000054</v>
      </c>
      <c r="Q86" s="150">
        <v>0</v>
      </c>
      <c r="R86" s="199">
        <v>0</v>
      </c>
      <c r="S86" s="199">
        <v>0</v>
      </c>
      <c r="T86" s="199">
        <v>0</v>
      </c>
      <c r="U86" s="199">
        <v>0</v>
      </c>
      <c r="V86" s="155">
        <f t="shared" si="4"/>
        <v>0</v>
      </c>
      <c r="W86" s="199">
        <v>0</v>
      </c>
      <c r="X86" s="151">
        <f>(X85-VSLFO.MGO45[[#This Row],[TOTAL]])+VSLFO.MGO45[[#This Row],[FAENA2]]</f>
        <v>37</v>
      </c>
      <c r="Y86" s="150"/>
      <c r="Z86" s="199"/>
      <c r="AA86" s="149">
        <f t="shared" si="5"/>
        <v>100</v>
      </c>
      <c r="AB86" s="199"/>
      <c r="AC86" s="199"/>
      <c r="AD86" s="149">
        <f>($AD$4-VSLFO.MGO45[[#This Row],[CARTER MP.]])+VSLFO.MGO45[[#This Row],[FAENA EN LTS2]]</f>
        <v>100</v>
      </c>
      <c r="AE86" s="199"/>
      <c r="AF86" s="199"/>
      <c r="AG86" s="149">
        <f t="shared" si="6"/>
        <v>100</v>
      </c>
      <c r="AH86" s="199"/>
      <c r="AI86" s="199"/>
      <c r="AJ86" s="148"/>
    </row>
    <row r="87" spans="1:36" x14ac:dyDescent="0.25">
      <c r="A87" s="192"/>
      <c r="B87" s="219">
        <v>43882</v>
      </c>
      <c r="C87" s="7">
        <v>0.33333333333333331</v>
      </c>
      <c r="D87" s="4">
        <f>IF(VSLFO.MGO45[[#This Row],[FECHA]]-B86=1,((VSLFO.MGO45[[#This Row],[HORA]]-C86)*24)+24,(VSLFO.MGO45[[#This Row],[HORA]]-C86)*24)</f>
        <v>4.4999999999999991</v>
      </c>
      <c r="E87" s="10" t="s">
        <v>351</v>
      </c>
      <c r="F87" s="10" t="s">
        <v>351</v>
      </c>
      <c r="G87" s="212"/>
      <c r="H87" s="201"/>
      <c r="I87" s="201"/>
      <c r="J87" s="207"/>
      <c r="K87" s="153">
        <v>0</v>
      </c>
      <c r="L87" s="3">
        <v>0.46874999999999994</v>
      </c>
      <c r="M87" s="3">
        <v>0.37499999999999989</v>
      </c>
      <c r="N87" s="3">
        <f t="shared" si="7"/>
        <v>0.84374999999999978</v>
      </c>
      <c r="O87" s="1"/>
      <c r="P87" s="152">
        <f t="shared" si="8"/>
        <v>707.53000000000054</v>
      </c>
      <c r="Q87" s="150">
        <v>0</v>
      </c>
      <c r="R87" s="199">
        <v>0</v>
      </c>
      <c r="S87" s="199">
        <v>0</v>
      </c>
      <c r="T87" s="199">
        <v>0</v>
      </c>
      <c r="U87" s="199">
        <v>0</v>
      </c>
      <c r="V87" s="155">
        <f t="shared" si="4"/>
        <v>0</v>
      </c>
      <c r="W87" s="199">
        <v>0</v>
      </c>
      <c r="X87" s="151">
        <f>(X86-VSLFO.MGO45[[#This Row],[TOTAL]])+VSLFO.MGO45[[#This Row],[FAENA2]]</f>
        <v>37</v>
      </c>
      <c r="Y87" s="150"/>
      <c r="Z87" s="199"/>
      <c r="AA87" s="149">
        <f t="shared" si="5"/>
        <v>100</v>
      </c>
      <c r="AB87" s="199"/>
      <c r="AC87" s="199"/>
      <c r="AD87" s="149">
        <f>($AD$4-VSLFO.MGO45[[#This Row],[CARTER MP.]])+VSLFO.MGO45[[#This Row],[FAENA EN LTS2]]</f>
        <v>100</v>
      </c>
      <c r="AE87" s="199"/>
      <c r="AF87" s="199"/>
      <c r="AG87" s="149">
        <f t="shared" si="6"/>
        <v>100</v>
      </c>
      <c r="AH87" s="199"/>
      <c r="AI87" s="199"/>
      <c r="AJ87" s="148"/>
    </row>
    <row r="88" spans="1:36" x14ac:dyDescent="0.25">
      <c r="A88" s="192"/>
      <c r="B88" s="219">
        <v>43883</v>
      </c>
      <c r="C88" s="7">
        <v>0.33333333333333331</v>
      </c>
      <c r="D88" s="4">
        <f>IF(VSLFO.MGO45[[#This Row],[FECHA]]-B87=1,((VSLFO.MGO45[[#This Row],[HORA]]-C87)*24)+24,(VSLFO.MGO45[[#This Row],[HORA]]-C87)*24)</f>
        <v>24</v>
      </c>
      <c r="E88" s="10" t="s">
        <v>351</v>
      </c>
      <c r="F88" s="10" t="s">
        <v>351</v>
      </c>
      <c r="G88" s="212"/>
      <c r="H88" s="201"/>
      <c r="I88" s="201"/>
      <c r="J88" s="207"/>
      <c r="K88" s="153">
        <v>0</v>
      </c>
      <c r="L88" s="3">
        <v>2.4</v>
      </c>
      <c r="M88" s="3">
        <v>2</v>
      </c>
      <c r="N88" s="3">
        <f t="shared" si="7"/>
        <v>4.4000000000000004</v>
      </c>
      <c r="O88" s="1"/>
      <c r="P88" s="152">
        <f t="shared" si="8"/>
        <v>703.13000000000056</v>
      </c>
      <c r="Q88" s="150">
        <v>0</v>
      </c>
      <c r="R88" s="199">
        <v>0</v>
      </c>
      <c r="S88" s="199">
        <v>0</v>
      </c>
      <c r="T88" s="199">
        <v>0</v>
      </c>
      <c r="U88" s="199">
        <v>0</v>
      </c>
      <c r="V88" s="155">
        <f t="shared" si="4"/>
        <v>0</v>
      </c>
      <c r="W88" s="199">
        <v>0</v>
      </c>
      <c r="X88" s="151">
        <f>(X87-VSLFO.MGO45[[#This Row],[TOTAL]])+VSLFO.MGO45[[#This Row],[FAENA2]]</f>
        <v>37</v>
      </c>
      <c r="Y88" s="150"/>
      <c r="Z88" s="199"/>
      <c r="AA88" s="149">
        <f t="shared" si="5"/>
        <v>100</v>
      </c>
      <c r="AB88" s="199"/>
      <c r="AC88" s="199"/>
      <c r="AD88" s="149">
        <f>($AD$4-VSLFO.MGO45[[#This Row],[CARTER MP.]])+VSLFO.MGO45[[#This Row],[FAENA EN LTS2]]</f>
        <v>100</v>
      </c>
      <c r="AE88" s="199"/>
      <c r="AF88" s="199"/>
      <c r="AG88" s="149">
        <f t="shared" si="6"/>
        <v>100</v>
      </c>
      <c r="AH88" s="199"/>
      <c r="AI88" s="199"/>
      <c r="AJ88" s="148"/>
    </row>
    <row r="89" spans="1:36" x14ac:dyDescent="0.25">
      <c r="A89" s="227"/>
      <c r="B89" s="219">
        <v>43884</v>
      </c>
      <c r="C89" s="7">
        <v>0.33333333333333331</v>
      </c>
      <c r="D89" s="4">
        <f>IF(VSLFO.MGO45[[#This Row],[FECHA]]-B88=1,((VSLFO.MGO45[[#This Row],[HORA]]-C88)*24)+24,(VSLFO.MGO45[[#This Row],[HORA]]-C88)*24)</f>
        <v>24</v>
      </c>
      <c r="E89" s="10" t="s">
        <v>351</v>
      </c>
      <c r="F89" s="10" t="s">
        <v>351</v>
      </c>
      <c r="G89" s="212"/>
      <c r="H89" s="201"/>
      <c r="I89" s="201"/>
      <c r="J89" s="207"/>
      <c r="K89" s="153">
        <v>0</v>
      </c>
      <c r="L89" s="3">
        <v>2.5</v>
      </c>
      <c r="M89" s="3">
        <v>2</v>
      </c>
      <c r="N89" s="3">
        <f t="shared" si="7"/>
        <v>4.5</v>
      </c>
      <c r="O89" s="1"/>
      <c r="P89" s="152">
        <f t="shared" si="8"/>
        <v>698.63000000000056</v>
      </c>
      <c r="Q89" s="150">
        <v>0</v>
      </c>
      <c r="R89" s="199">
        <v>0</v>
      </c>
      <c r="S89" s="199">
        <v>0</v>
      </c>
      <c r="T89" s="199">
        <v>0</v>
      </c>
      <c r="U89" s="199">
        <v>0</v>
      </c>
      <c r="V89" s="155">
        <f t="shared" si="4"/>
        <v>0</v>
      </c>
      <c r="W89" s="199">
        <v>0</v>
      </c>
      <c r="X89" s="151">
        <f>(X88-VSLFO.MGO45[[#This Row],[TOTAL]])+VSLFO.MGO45[[#This Row],[FAENA2]]</f>
        <v>37</v>
      </c>
      <c r="Y89" s="150"/>
      <c r="Z89" s="199"/>
      <c r="AA89" s="149">
        <f t="shared" si="5"/>
        <v>100</v>
      </c>
      <c r="AB89" s="199"/>
      <c r="AC89" s="199"/>
      <c r="AD89" s="149">
        <f>($AD$4-VSLFO.MGO45[[#This Row],[CARTER MP.]])+VSLFO.MGO45[[#This Row],[FAENA EN LTS2]]</f>
        <v>100</v>
      </c>
      <c r="AE89" s="199"/>
      <c r="AF89" s="199"/>
      <c r="AG89" s="149">
        <f t="shared" si="6"/>
        <v>100</v>
      </c>
      <c r="AH89" s="199"/>
      <c r="AI89" s="199"/>
      <c r="AJ89" s="148"/>
    </row>
    <row r="90" spans="1:36" x14ac:dyDescent="0.25">
      <c r="A90" s="192"/>
      <c r="B90" s="219">
        <v>43885</v>
      </c>
      <c r="C90" s="7">
        <v>0.33333333333333331</v>
      </c>
      <c r="D90" s="4">
        <f>IF(VSLFO.MGO45[[#This Row],[FECHA]]-B89=1,((VSLFO.MGO45[[#This Row],[HORA]]-C89)*24)+24,(VSLFO.MGO45[[#This Row],[HORA]]-C89)*24)</f>
        <v>24</v>
      </c>
      <c r="E90" s="10" t="s">
        <v>351</v>
      </c>
      <c r="F90" s="10" t="s">
        <v>351</v>
      </c>
      <c r="G90" s="212"/>
      <c r="H90" s="201"/>
      <c r="I90" s="201"/>
      <c r="J90" s="207"/>
      <c r="K90" s="153">
        <v>0</v>
      </c>
      <c r="L90" s="3">
        <v>2.5</v>
      </c>
      <c r="M90" s="3">
        <v>2</v>
      </c>
      <c r="N90" s="3">
        <f t="shared" si="7"/>
        <v>4.5</v>
      </c>
      <c r="O90" s="1"/>
      <c r="P90" s="152">
        <f t="shared" si="8"/>
        <v>694.13000000000056</v>
      </c>
      <c r="Q90" s="150">
        <v>0</v>
      </c>
      <c r="R90" s="199">
        <v>0</v>
      </c>
      <c r="S90" s="199">
        <v>0</v>
      </c>
      <c r="T90" s="199">
        <v>0</v>
      </c>
      <c r="U90" s="199">
        <v>0</v>
      </c>
      <c r="V90" s="155">
        <f t="shared" si="4"/>
        <v>0</v>
      </c>
      <c r="W90" s="199">
        <v>0</v>
      </c>
      <c r="X90" s="151">
        <f>(X89-VSLFO.MGO45[[#This Row],[TOTAL]])+VSLFO.MGO45[[#This Row],[FAENA2]]</f>
        <v>37</v>
      </c>
      <c r="Y90" s="150"/>
      <c r="Z90" s="199"/>
      <c r="AA90" s="149">
        <f t="shared" si="5"/>
        <v>100</v>
      </c>
      <c r="AB90" s="199"/>
      <c r="AC90" s="199"/>
      <c r="AD90" s="149">
        <f>($AD$4-VSLFO.MGO45[[#This Row],[CARTER MP.]])+VSLFO.MGO45[[#This Row],[FAENA EN LTS2]]</f>
        <v>100</v>
      </c>
      <c r="AE90" s="199"/>
      <c r="AF90" s="199"/>
      <c r="AG90" s="149">
        <f t="shared" si="6"/>
        <v>100</v>
      </c>
      <c r="AH90" s="199"/>
      <c r="AI90" s="199"/>
      <c r="AJ90" s="148"/>
    </row>
    <row r="91" spans="1:36" x14ac:dyDescent="0.25">
      <c r="A91" s="192"/>
      <c r="B91" s="219">
        <v>43886</v>
      </c>
      <c r="C91" s="7">
        <v>0.33333333333333331</v>
      </c>
      <c r="D91" s="4">
        <f>IF(VSLFO.MGO45[[#This Row],[FECHA]]-B90=1,((VSLFO.MGO45[[#This Row],[HORA]]-C90)*24)+24,(VSLFO.MGO45[[#This Row],[HORA]]-C90)*24)</f>
        <v>24</v>
      </c>
      <c r="E91" s="10" t="s">
        <v>351</v>
      </c>
      <c r="F91" s="10" t="s">
        <v>351</v>
      </c>
      <c r="G91" s="212"/>
      <c r="H91" s="201"/>
      <c r="I91" s="201"/>
      <c r="J91" s="207"/>
      <c r="K91" s="153">
        <v>0</v>
      </c>
      <c r="L91" s="3">
        <v>2.5</v>
      </c>
      <c r="M91" s="3">
        <v>2</v>
      </c>
      <c r="N91" s="3">
        <f t="shared" si="7"/>
        <v>4.5</v>
      </c>
      <c r="O91" s="1"/>
      <c r="P91" s="152">
        <f t="shared" si="8"/>
        <v>689.63000000000056</v>
      </c>
      <c r="Q91" s="150">
        <v>0</v>
      </c>
      <c r="R91" s="199">
        <v>0</v>
      </c>
      <c r="S91" s="199">
        <v>0</v>
      </c>
      <c r="T91" s="199">
        <v>0</v>
      </c>
      <c r="U91" s="199">
        <v>0</v>
      </c>
      <c r="V91" s="155">
        <f t="shared" si="4"/>
        <v>0</v>
      </c>
      <c r="W91" s="199">
        <v>0</v>
      </c>
      <c r="X91" s="151">
        <f>(X90-VSLFO.MGO45[[#This Row],[TOTAL]])+VSLFO.MGO45[[#This Row],[FAENA2]]</f>
        <v>37</v>
      </c>
      <c r="Y91" s="150"/>
      <c r="Z91" s="199"/>
      <c r="AA91" s="149">
        <f t="shared" si="5"/>
        <v>100</v>
      </c>
      <c r="AB91" s="199"/>
      <c r="AC91" s="199"/>
      <c r="AD91" s="149">
        <f>($AD$4-VSLFO.MGO45[[#This Row],[CARTER MP.]])+VSLFO.MGO45[[#This Row],[FAENA EN LTS2]]</f>
        <v>100</v>
      </c>
      <c r="AE91" s="199"/>
      <c r="AF91" s="199"/>
      <c r="AG91" s="149">
        <f t="shared" si="6"/>
        <v>100</v>
      </c>
      <c r="AH91" s="199"/>
      <c r="AI91" s="199"/>
      <c r="AJ91" s="148"/>
    </row>
    <row r="92" spans="1:36" x14ac:dyDescent="0.25">
      <c r="A92" s="192"/>
      <c r="B92" s="219">
        <v>43887</v>
      </c>
      <c r="C92" s="7">
        <v>0.33333333333333331</v>
      </c>
      <c r="D92" s="4">
        <f>IF(VSLFO.MGO45[[#This Row],[FECHA]]-B91=1,((VSLFO.MGO45[[#This Row],[HORA]]-C91)*24)+24,(VSLFO.MGO45[[#This Row],[HORA]]-C91)*24)</f>
        <v>24</v>
      </c>
      <c r="E92" s="10" t="s">
        <v>351</v>
      </c>
      <c r="F92" s="10" t="s">
        <v>351</v>
      </c>
      <c r="G92" s="212"/>
      <c r="H92" s="201"/>
      <c r="I92" s="201"/>
      <c r="J92" s="207"/>
      <c r="K92" s="153">
        <v>0</v>
      </c>
      <c r="L92" s="3">
        <v>2.5</v>
      </c>
      <c r="M92" s="3">
        <v>2</v>
      </c>
      <c r="N92" s="3">
        <f t="shared" si="7"/>
        <v>4.5</v>
      </c>
      <c r="O92" s="1"/>
      <c r="P92" s="152">
        <f t="shared" si="8"/>
        <v>685.13000000000056</v>
      </c>
      <c r="Q92" s="150">
        <v>0</v>
      </c>
      <c r="R92" s="199">
        <v>0</v>
      </c>
      <c r="S92" s="199">
        <v>0</v>
      </c>
      <c r="T92" s="199">
        <v>0</v>
      </c>
      <c r="U92" s="199">
        <v>0</v>
      </c>
      <c r="V92" s="155">
        <f t="shared" si="4"/>
        <v>0</v>
      </c>
      <c r="W92" s="199">
        <v>0</v>
      </c>
      <c r="X92" s="151">
        <f>(X91-VSLFO.MGO45[[#This Row],[TOTAL]])+VSLFO.MGO45[[#This Row],[FAENA2]]</f>
        <v>37</v>
      </c>
      <c r="Y92" s="150"/>
      <c r="Z92" s="199"/>
      <c r="AA92" s="149">
        <f t="shared" si="5"/>
        <v>100</v>
      </c>
      <c r="AB92" s="199"/>
      <c r="AC92" s="199"/>
      <c r="AD92" s="149">
        <f>($AD$4-VSLFO.MGO45[[#This Row],[CARTER MP.]])+VSLFO.MGO45[[#This Row],[FAENA EN LTS2]]</f>
        <v>100</v>
      </c>
      <c r="AE92" s="199"/>
      <c r="AF92" s="199"/>
      <c r="AG92" s="149">
        <f t="shared" si="6"/>
        <v>100</v>
      </c>
      <c r="AH92" s="199"/>
      <c r="AI92" s="199"/>
      <c r="AJ92" s="148"/>
    </row>
    <row r="93" spans="1:36" x14ac:dyDescent="0.25">
      <c r="A93" s="192"/>
      <c r="B93" s="219">
        <v>43888</v>
      </c>
      <c r="C93" s="7">
        <v>0.33333333333333331</v>
      </c>
      <c r="D93" s="4">
        <f>IF(VSLFO.MGO45[[#This Row],[FECHA]]-B92=1,((VSLFO.MGO45[[#This Row],[HORA]]-C92)*24)+24,(VSLFO.MGO45[[#This Row],[HORA]]-C92)*24)</f>
        <v>24</v>
      </c>
      <c r="E93" s="10" t="s">
        <v>351</v>
      </c>
      <c r="F93" s="10" t="s">
        <v>351</v>
      </c>
      <c r="G93" s="212"/>
      <c r="H93" s="201"/>
      <c r="I93" s="201"/>
      <c r="J93" s="207"/>
      <c r="K93" s="153">
        <v>0</v>
      </c>
      <c r="L93" s="3">
        <v>2.5</v>
      </c>
      <c r="M93" s="3">
        <v>2</v>
      </c>
      <c r="N93" s="3">
        <f t="shared" si="7"/>
        <v>4.5</v>
      </c>
      <c r="O93" s="1"/>
      <c r="P93" s="152">
        <f t="shared" si="8"/>
        <v>680.63000000000056</v>
      </c>
      <c r="Q93" s="150">
        <v>0</v>
      </c>
      <c r="R93" s="199">
        <v>0</v>
      </c>
      <c r="S93" s="199">
        <v>0</v>
      </c>
      <c r="T93" s="199">
        <v>0</v>
      </c>
      <c r="U93" s="199">
        <v>0</v>
      </c>
      <c r="V93" s="155">
        <f t="shared" si="4"/>
        <v>0</v>
      </c>
      <c r="W93" s="199">
        <v>0</v>
      </c>
      <c r="X93" s="151">
        <f>(X92-VSLFO.MGO45[[#This Row],[TOTAL]])+VSLFO.MGO45[[#This Row],[FAENA2]]</f>
        <v>37</v>
      </c>
      <c r="Y93" s="150"/>
      <c r="Z93" s="199"/>
      <c r="AA93" s="149">
        <f t="shared" si="5"/>
        <v>100</v>
      </c>
      <c r="AB93" s="199"/>
      <c r="AC93" s="199"/>
      <c r="AD93" s="149">
        <f>($AD$4-VSLFO.MGO45[[#This Row],[CARTER MP.]])+VSLFO.MGO45[[#This Row],[FAENA EN LTS2]]</f>
        <v>100</v>
      </c>
      <c r="AE93" s="199"/>
      <c r="AF93" s="199"/>
      <c r="AG93" s="149">
        <f t="shared" si="6"/>
        <v>100</v>
      </c>
      <c r="AH93" s="199"/>
      <c r="AI93" s="199"/>
      <c r="AJ93" s="148"/>
    </row>
    <row r="94" spans="1:36" x14ac:dyDescent="0.25">
      <c r="A94" s="192"/>
      <c r="B94" s="219">
        <v>43888</v>
      </c>
      <c r="C94" s="7">
        <v>0.5083333333333333</v>
      </c>
      <c r="D94" s="4">
        <f>IF(VSLFO.MGO45[[#This Row],[FECHA]]-B93=1,((VSLFO.MGO45[[#This Row],[HORA]]-C93)*24)+24,(VSLFO.MGO45[[#This Row],[HORA]]-C93)*24)</f>
        <v>4.1999999999999993</v>
      </c>
      <c r="E94" s="10" t="s">
        <v>351</v>
      </c>
      <c r="F94" s="10" t="s">
        <v>1011</v>
      </c>
      <c r="G94" s="212"/>
      <c r="H94" s="201"/>
      <c r="I94" s="201"/>
      <c r="J94" s="207"/>
      <c r="K94" s="153">
        <v>0</v>
      </c>
      <c r="L94" s="3">
        <v>0.43749999999999994</v>
      </c>
      <c r="M94" s="3">
        <v>0.34999999999999992</v>
      </c>
      <c r="N94" s="3">
        <f t="shared" si="7"/>
        <v>0.78749999999999987</v>
      </c>
      <c r="O94" s="1"/>
      <c r="P94" s="152">
        <f t="shared" si="8"/>
        <v>679.84250000000054</v>
      </c>
      <c r="Q94" s="150">
        <v>0</v>
      </c>
      <c r="R94" s="199">
        <v>0</v>
      </c>
      <c r="S94" s="199">
        <v>0</v>
      </c>
      <c r="T94" s="199">
        <v>0</v>
      </c>
      <c r="U94" s="199">
        <v>0</v>
      </c>
      <c r="V94" s="155">
        <f t="shared" si="4"/>
        <v>0</v>
      </c>
      <c r="W94" s="199">
        <v>0</v>
      </c>
      <c r="X94" s="151">
        <f>(X93-VSLFO.MGO45[[#This Row],[TOTAL]])+VSLFO.MGO45[[#This Row],[FAENA2]]</f>
        <v>37</v>
      </c>
      <c r="Y94" s="150"/>
      <c r="Z94" s="199"/>
      <c r="AA94" s="149">
        <f t="shared" si="5"/>
        <v>100</v>
      </c>
      <c r="AB94" s="199"/>
      <c r="AC94" s="199"/>
      <c r="AD94" s="149">
        <f>($AD$4-VSLFO.MGO45[[#This Row],[CARTER MP.]])+VSLFO.MGO45[[#This Row],[FAENA EN LTS2]]</f>
        <v>100</v>
      </c>
      <c r="AE94" s="199"/>
      <c r="AF94" s="199"/>
      <c r="AG94" s="149">
        <f t="shared" si="6"/>
        <v>100</v>
      </c>
      <c r="AH94" s="199"/>
      <c r="AI94" s="199"/>
      <c r="AJ94" s="148"/>
    </row>
    <row r="95" spans="1:36" x14ac:dyDescent="0.25">
      <c r="A95" s="192"/>
      <c r="B95" s="219">
        <v>43888</v>
      </c>
      <c r="C95" s="7">
        <v>0.5625</v>
      </c>
      <c r="D95" s="4">
        <f>IF(VSLFO.MGO45[[#This Row],[FECHA]]-B94=1,((VSLFO.MGO45[[#This Row],[HORA]]-C94)*24)+24,(VSLFO.MGO45[[#This Row],[HORA]]-C94)*24)</f>
        <v>1.3000000000000007</v>
      </c>
      <c r="E95" s="10" t="s">
        <v>1057</v>
      </c>
      <c r="F95" s="10" t="s">
        <v>616</v>
      </c>
      <c r="G95" s="212"/>
      <c r="H95" s="201"/>
      <c r="I95" s="201"/>
      <c r="J95" s="207"/>
      <c r="K95" s="153">
        <v>0.27083333333333348</v>
      </c>
      <c r="L95" s="3">
        <v>0.13541666666666674</v>
      </c>
      <c r="M95" s="3">
        <v>0.10833333333333339</v>
      </c>
      <c r="N95" s="3">
        <f t="shared" si="7"/>
        <v>0.51458333333333361</v>
      </c>
      <c r="O95" s="1"/>
      <c r="P95" s="152">
        <f t="shared" si="8"/>
        <v>679.32791666666719</v>
      </c>
      <c r="Q95" s="150">
        <v>0</v>
      </c>
      <c r="R95" s="199">
        <v>0</v>
      </c>
      <c r="S95" s="199">
        <v>0</v>
      </c>
      <c r="T95" s="199">
        <v>0</v>
      </c>
      <c r="U95" s="199">
        <v>0</v>
      </c>
      <c r="V95" s="155">
        <f t="shared" si="4"/>
        <v>0</v>
      </c>
      <c r="W95" s="199">
        <v>0</v>
      </c>
      <c r="X95" s="151">
        <f>(X94-VSLFO.MGO45[[#This Row],[TOTAL]])+VSLFO.MGO45[[#This Row],[FAENA2]]</f>
        <v>37</v>
      </c>
      <c r="Y95" s="150"/>
      <c r="Z95" s="199"/>
      <c r="AA95" s="149">
        <f t="shared" si="5"/>
        <v>100</v>
      </c>
      <c r="AB95" s="199"/>
      <c r="AC95" s="199"/>
      <c r="AD95" s="149">
        <f>($AD$4-VSLFO.MGO45[[#This Row],[CARTER MP.]])+VSLFO.MGO45[[#This Row],[FAENA EN LTS2]]</f>
        <v>100</v>
      </c>
      <c r="AE95" s="199"/>
      <c r="AF95" s="199"/>
      <c r="AG95" s="149">
        <f t="shared" si="6"/>
        <v>100</v>
      </c>
      <c r="AH95" s="199"/>
      <c r="AI95" s="199"/>
      <c r="AJ95" s="148"/>
    </row>
    <row r="96" spans="1:36" x14ac:dyDescent="0.25">
      <c r="A96" s="192"/>
      <c r="B96" s="219">
        <v>43888</v>
      </c>
      <c r="C96" s="7">
        <v>0.6958333333333333</v>
      </c>
      <c r="D96" s="4">
        <f>IF(VSLFO.MGO45[[#This Row],[FECHA]]-B95=1,((VSLFO.MGO45[[#This Row],[HORA]]-C95)*24)+24,(VSLFO.MGO45[[#This Row],[HORA]]-C95)*24)</f>
        <v>3.1999999999999993</v>
      </c>
      <c r="E96" s="10" t="s">
        <v>1425</v>
      </c>
      <c r="F96" s="10" t="s">
        <v>1004</v>
      </c>
      <c r="G96" s="212"/>
      <c r="H96" s="201"/>
      <c r="I96" s="201"/>
      <c r="J96" s="207"/>
      <c r="K96" s="153">
        <v>0</v>
      </c>
      <c r="L96" s="3">
        <v>0.33333333333333326</v>
      </c>
      <c r="M96" s="3">
        <v>0.26666666666666661</v>
      </c>
      <c r="N96" s="3">
        <f t="shared" si="7"/>
        <v>0.59999999999999987</v>
      </c>
      <c r="O96" s="1"/>
      <c r="P96" s="152">
        <f t="shared" si="8"/>
        <v>678.72791666666717</v>
      </c>
      <c r="Q96" s="150">
        <v>0</v>
      </c>
      <c r="R96" s="199">
        <v>0</v>
      </c>
      <c r="S96" s="199">
        <v>0</v>
      </c>
      <c r="T96" s="199">
        <v>0</v>
      </c>
      <c r="U96" s="199">
        <v>0.4</v>
      </c>
      <c r="V96" s="155">
        <f t="shared" si="4"/>
        <v>0.4</v>
      </c>
      <c r="W96" s="199">
        <v>0</v>
      </c>
      <c r="X96" s="151">
        <f>(X95-VSLFO.MGO45[[#This Row],[TOTAL]])+VSLFO.MGO45[[#This Row],[FAENA2]]</f>
        <v>36.6</v>
      </c>
      <c r="Y96" s="150"/>
      <c r="Z96" s="199"/>
      <c r="AA96" s="149">
        <f t="shared" si="5"/>
        <v>100</v>
      </c>
      <c r="AB96" s="199"/>
      <c r="AC96" s="199"/>
      <c r="AD96" s="149">
        <f>($AD$4-VSLFO.MGO45[[#This Row],[CARTER MP.]])+VSLFO.MGO45[[#This Row],[FAENA EN LTS2]]</f>
        <v>100</v>
      </c>
      <c r="AE96" s="199"/>
      <c r="AF96" s="199"/>
      <c r="AG96" s="149">
        <f t="shared" si="6"/>
        <v>100</v>
      </c>
      <c r="AH96" s="199"/>
      <c r="AI96" s="199"/>
      <c r="AJ96" s="148"/>
    </row>
    <row r="97" spans="1:36" x14ac:dyDescent="0.25">
      <c r="A97" s="192"/>
      <c r="B97" s="219">
        <v>43889</v>
      </c>
      <c r="C97" s="7">
        <v>0.33333333333333331</v>
      </c>
      <c r="D97" s="4">
        <f>IF(VSLFO.MGO45[[#This Row],[FECHA]]-B96=1,((VSLFO.MGO45[[#This Row],[HORA]]-C96)*24)+24,(VSLFO.MGO45[[#This Row],[HORA]]-C96)*24)</f>
        <v>15.3</v>
      </c>
      <c r="E97" s="10" t="s">
        <v>966</v>
      </c>
      <c r="F97" s="10" t="s">
        <v>966</v>
      </c>
      <c r="G97" s="212"/>
      <c r="H97" s="201"/>
      <c r="I97" s="201"/>
      <c r="J97" s="207"/>
      <c r="K97" s="153">
        <v>0</v>
      </c>
      <c r="L97" s="3">
        <v>1.5937500000000002</v>
      </c>
      <c r="M97" s="3">
        <v>1.2749999999999999</v>
      </c>
      <c r="N97" s="3">
        <f t="shared" si="7"/>
        <v>2.8687500000000004</v>
      </c>
      <c r="O97" s="1"/>
      <c r="P97" s="152">
        <f t="shared" si="8"/>
        <v>675.85916666666719</v>
      </c>
      <c r="Q97" s="150">
        <v>0</v>
      </c>
      <c r="R97" s="199">
        <v>0</v>
      </c>
      <c r="S97" s="199">
        <v>0</v>
      </c>
      <c r="T97" s="199">
        <v>0</v>
      </c>
      <c r="U97" s="199">
        <v>3.8</v>
      </c>
      <c r="V97" s="155">
        <f t="shared" si="4"/>
        <v>3.8</v>
      </c>
      <c r="W97" s="199">
        <v>0</v>
      </c>
      <c r="X97" s="151">
        <f>(X96-VSLFO.MGO45[[#This Row],[TOTAL]])+VSLFO.MGO45[[#This Row],[FAENA2]]</f>
        <v>32.800000000000004</v>
      </c>
      <c r="Y97" s="150"/>
      <c r="Z97" s="199"/>
      <c r="AA97" s="149">
        <f t="shared" si="5"/>
        <v>100</v>
      </c>
      <c r="AB97" s="199"/>
      <c r="AC97" s="199"/>
      <c r="AD97" s="149">
        <f>($AD$4-VSLFO.MGO45[[#This Row],[CARTER MP.]])+VSLFO.MGO45[[#This Row],[FAENA EN LTS2]]</f>
        <v>100</v>
      </c>
      <c r="AE97" s="199"/>
      <c r="AF97" s="199"/>
      <c r="AG97" s="149">
        <f t="shared" si="6"/>
        <v>100</v>
      </c>
      <c r="AH97" s="199"/>
      <c r="AI97" s="199"/>
      <c r="AJ97" s="148"/>
    </row>
    <row r="98" spans="1:36" x14ac:dyDescent="0.25">
      <c r="A98" s="192"/>
      <c r="B98" s="219">
        <v>43889</v>
      </c>
      <c r="C98" s="7">
        <v>0.48333333333333334</v>
      </c>
      <c r="D98" s="4">
        <f>IF(VSLFO.MGO45[[#This Row],[FECHA]]-B97=1,((VSLFO.MGO45[[#This Row],[HORA]]-C97)*24)+24,(VSLFO.MGO45[[#This Row],[HORA]]-C97)*24)</f>
        <v>3.6000000000000005</v>
      </c>
      <c r="E98" s="10" t="s">
        <v>966</v>
      </c>
      <c r="F98" s="10" t="s">
        <v>265</v>
      </c>
      <c r="G98" s="212"/>
      <c r="H98" s="201"/>
      <c r="I98" s="201"/>
      <c r="J98" s="207"/>
      <c r="K98" s="153">
        <v>0</v>
      </c>
      <c r="L98" s="3">
        <v>0.37500000000000006</v>
      </c>
      <c r="M98" s="3">
        <v>0.30000000000000004</v>
      </c>
      <c r="N98" s="3">
        <f t="shared" si="7"/>
        <v>0.67500000000000004</v>
      </c>
      <c r="O98" s="1"/>
      <c r="P98" s="152">
        <f t="shared" si="8"/>
        <v>675.18416666666724</v>
      </c>
      <c r="Q98" s="150">
        <v>0</v>
      </c>
      <c r="R98" s="199">
        <v>0</v>
      </c>
      <c r="S98" s="199">
        <v>0</v>
      </c>
      <c r="T98" s="199">
        <v>0</v>
      </c>
      <c r="U98" s="199">
        <v>0.9</v>
      </c>
      <c r="V98" s="155">
        <f t="shared" si="4"/>
        <v>0.9</v>
      </c>
      <c r="W98" s="199">
        <v>0</v>
      </c>
      <c r="X98" s="151">
        <f>(X97-VSLFO.MGO45[[#This Row],[TOTAL]])+VSLFO.MGO45[[#This Row],[FAENA2]]</f>
        <v>31.900000000000006</v>
      </c>
      <c r="Y98" s="150"/>
      <c r="Z98" s="199"/>
      <c r="AA98" s="149">
        <f t="shared" si="5"/>
        <v>100</v>
      </c>
      <c r="AB98" s="199"/>
      <c r="AC98" s="199"/>
      <c r="AD98" s="149">
        <f>($AD$4-VSLFO.MGO45[[#This Row],[CARTER MP.]])+VSLFO.MGO45[[#This Row],[FAENA EN LTS2]]</f>
        <v>100</v>
      </c>
      <c r="AE98" s="199"/>
      <c r="AF98" s="199"/>
      <c r="AG98" s="149">
        <f t="shared" si="6"/>
        <v>100</v>
      </c>
      <c r="AH98" s="199"/>
      <c r="AI98" s="199"/>
      <c r="AJ98" s="148"/>
    </row>
    <row r="99" spans="1:36" x14ac:dyDescent="0.25">
      <c r="A99" s="192"/>
      <c r="B99" s="219">
        <v>43889</v>
      </c>
      <c r="C99" s="7">
        <v>0.6166666666666667</v>
      </c>
      <c r="D99" s="4">
        <f>IF(VSLFO.MGO45[[#This Row],[FECHA]]-B98=1,((VSLFO.MGO45[[#This Row],[HORA]]-C98)*24)+24,(VSLFO.MGO45[[#This Row],[HORA]]-C98)*24)</f>
        <v>3.2000000000000006</v>
      </c>
      <c r="E99" s="10" t="s">
        <v>1425</v>
      </c>
      <c r="F99" s="10" t="s">
        <v>1011</v>
      </c>
      <c r="G99" s="212"/>
      <c r="H99" s="201"/>
      <c r="I99" s="201"/>
      <c r="J99" s="207"/>
      <c r="K99" s="153">
        <v>0</v>
      </c>
      <c r="L99" s="3">
        <v>0.33333333333333343</v>
      </c>
      <c r="M99" s="3">
        <v>0.26666666666666672</v>
      </c>
      <c r="N99" s="3">
        <f t="shared" si="7"/>
        <v>0.60000000000000009</v>
      </c>
      <c r="O99" s="1"/>
      <c r="P99" s="152">
        <f t="shared" si="8"/>
        <v>674.58416666666722</v>
      </c>
      <c r="Q99" s="150">
        <v>0</v>
      </c>
      <c r="R99" s="199">
        <v>0</v>
      </c>
      <c r="S99" s="199">
        <v>0</v>
      </c>
      <c r="T99" s="199">
        <v>0</v>
      </c>
      <c r="U99" s="199">
        <v>0</v>
      </c>
      <c r="V99" s="155">
        <f t="shared" si="4"/>
        <v>0</v>
      </c>
      <c r="W99" s="199">
        <v>0</v>
      </c>
      <c r="X99" s="151">
        <f>(X98-VSLFO.MGO45[[#This Row],[TOTAL]])+VSLFO.MGO45[[#This Row],[FAENA2]]</f>
        <v>31.900000000000006</v>
      </c>
      <c r="Y99" s="150"/>
      <c r="Z99" s="199"/>
      <c r="AA99" s="149">
        <f t="shared" si="5"/>
        <v>100</v>
      </c>
      <c r="AB99" s="199"/>
      <c r="AC99" s="199"/>
      <c r="AD99" s="149">
        <f>($AD$4-VSLFO.MGO45[[#This Row],[CARTER MP.]])+VSLFO.MGO45[[#This Row],[FAENA EN LTS2]]</f>
        <v>100</v>
      </c>
      <c r="AE99" s="199"/>
      <c r="AF99" s="199"/>
      <c r="AG99" s="149">
        <f t="shared" si="6"/>
        <v>100</v>
      </c>
      <c r="AH99" s="199"/>
      <c r="AI99" s="199"/>
      <c r="AJ99" s="148"/>
    </row>
    <row r="100" spans="1:36" x14ac:dyDescent="0.25">
      <c r="A100" s="192"/>
      <c r="B100" s="219">
        <v>43889</v>
      </c>
      <c r="C100" s="7">
        <v>0.64166666666666672</v>
      </c>
      <c r="D100" s="4">
        <f>IF(VSLFO.MGO45[[#This Row],[FECHA]]-B99=1,((VSLFO.MGO45[[#This Row],[HORA]]-C99)*24)+24,(VSLFO.MGO45[[#This Row],[HORA]]-C99)*24)</f>
        <v>0.60000000000000053</v>
      </c>
      <c r="E100" s="10" t="s">
        <v>1057</v>
      </c>
      <c r="F100" s="10" t="s">
        <v>1399</v>
      </c>
      <c r="G100" s="212"/>
      <c r="H100" s="201"/>
      <c r="I100" s="201" t="s">
        <v>1297</v>
      </c>
      <c r="J100" s="207">
        <v>95</v>
      </c>
      <c r="K100" s="153">
        <v>7.5000000000000067E-2</v>
      </c>
      <c r="L100" s="3">
        <v>6.2500000000000056E-2</v>
      </c>
      <c r="M100" s="3">
        <v>5.0000000000000044E-2</v>
      </c>
      <c r="N100" s="3">
        <f t="shared" si="7"/>
        <v>0.18750000000000017</v>
      </c>
      <c r="O100" s="1"/>
      <c r="P100" s="152">
        <f t="shared" si="8"/>
        <v>674.39666666666722</v>
      </c>
      <c r="Q100" s="150">
        <v>0</v>
      </c>
      <c r="R100" s="199">
        <v>0</v>
      </c>
      <c r="S100" s="199">
        <v>0</v>
      </c>
      <c r="T100" s="199">
        <v>0</v>
      </c>
      <c r="U100" s="199">
        <v>0</v>
      </c>
      <c r="V100" s="155">
        <f t="shared" si="4"/>
        <v>0</v>
      </c>
      <c r="W100" s="199">
        <v>0</v>
      </c>
      <c r="X100" s="151">
        <f>(X99-VSLFO.MGO45[[#This Row],[TOTAL]])+VSLFO.MGO45[[#This Row],[FAENA2]]</f>
        <v>31.900000000000006</v>
      </c>
      <c r="Y100" s="150"/>
      <c r="Z100" s="199"/>
      <c r="AA100" s="149">
        <f t="shared" si="5"/>
        <v>100</v>
      </c>
      <c r="AB100" s="199"/>
      <c r="AC100" s="199"/>
      <c r="AD100" s="149">
        <f>($AD$4-VSLFO.MGO45[[#This Row],[CARTER MP.]])+VSLFO.MGO45[[#This Row],[FAENA EN LTS2]]</f>
        <v>100</v>
      </c>
      <c r="AE100" s="199"/>
      <c r="AF100" s="199"/>
      <c r="AG100" s="149">
        <f t="shared" si="6"/>
        <v>100</v>
      </c>
      <c r="AH100" s="199"/>
      <c r="AI100" s="199"/>
      <c r="AJ100" s="148"/>
    </row>
    <row r="101" spans="1:36" x14ac:dyDescent="0.25">
      <c r="A101" s="192"/>
      <c r="B101" s="219">
        <v>43890</v>
      </c>
      <c r="C101" s="7">
        <v>4.1666666666666664E-2</v>
      </c>
      <c r="D101" s="4">
        <f>IF(VSLFO.MGO45[[#This Row],[FECHA]]-B100=1,((VSLFO.MGO45[[#This Row],[HORA]]-C100)*24)+24,(VSLFO.MGO45[[#This Row],[HORA]]-C100)*24)</f>
        <v>9.5999999999999979</v>
      </c>
      <c r="E101" s="10" t="s">
        <v>1338</v>
      </c>
      <c r="F101" s="10" t="s">
        <v>1003</v>
      </c>
      <c r="G101" s="212">
        <v>96</v>
      </c>
      <c r="H101" s="201">
        <v>9.6</v>
      </c>
      <c r="I101" s="201" t="s">
        <v>1297</v>
      </c>
      <c r="J101" s="207">
        <v>95</v>
      </c>
      <c r="K101" s="153">
        <v>7.9999999999999982</v>
      </c>
      <c r="L101" s="3">
        <v>0.99999999999999978</v>
      </c>
      <c r="M101" s="3">
        <v>0</v>
      </c>
      <c r="N101" s="3">
        <f t="shared" si="7"/>
        <v>8.9999999999999982</v>
      </c>
      <c r="O101" s="1"/>
      <c r="P101" s="152">
        <f t="shared" si="8"/>
        <v>665.39666666666722</v>
      </c>
      <c r="Q101" s="150">
        <v>0</v>
      </c>
      <c r="R101" s="199">
        <v>0</v>
      </c>
      <c r="S101" s="199">
        <v>0</v>
      </c>
      <c r="T101" s="199">
        <v>0</v>
      </c>
      <c r="U101" s="199">
        <v>0</v>
      </c>
      <c r="V101" s="155">
        <f t="shared" ref="V101:V107" si="9">SUM(Q101:U101)</f>
        <v>0</v>
      </c>
      <c r="W101" s="199">
        <v>0</v>
      </c>
      <c r="X101" s="151">
        <f>(X100-VSLFO.MGO45[[#This Row],[TOTAL]])+VSLFO.MGO45[[#This Row],[FAENA2]]</f>
        <v>31.900000000000006</v>
      </c>
      <c r="Y101" s="150"/>
      <c r="Z101" s="199"/>
      <c r="AA101" s="149">
        <f t="shared" si="5"/>
        <v>100</v>
      </c>
      <c r="AB101" s="199"/>
      <c r="AC101" s="199"/>
      <c r="AD101" s="149">
        <f>($AD$4-VSLFO.MGO45[[#This Row],[CARTER MP.]])+VSLFO.MGO45[[#This Row],[FAENA EN LTS2]]</f>
        <v>100</v>
      </c>
      <c r="AE101" s="199"/>
      <c r="AF101" s="199"/>
      <c r="AG101" s="149">
        <f t="shared" si="6"/>
        <v>100</v>
      </c>
      <c r="AH101" s="199"/>
      <c r="AI101" s="199"/>
      <c r="AJ101" s="148"/>
    </row>
    <row r="102" spans="1:36" x14ac:dyDescent="0.25">
      <c r="A102" s="192"/>
      <c r="B102" s="219">
        <v>43890</v>
      </c>
      <c r="C102" s="7">
        <v>0.15833333333333333</v>
      </c>
      <c r="D102" s="4">
        <f>IF(VSLFO.MGO45[[#This Row],[FECHA]]-B101=1,((VSLFO.MGO45[[#This Row],[HORA]]-C101)*24)+24,(VSLFO.MGO45[[#This Row],[HORA]]-C101)*24)</f>
        <v>2.8</v>
      </c>
      <c r="E102" s="10" t="s">
        <v>1057</v>
      </c>
      <c r="F102" s="10" t="s">
        <v>616</v>
      </c>
      <c r="G102" s="212"/>
      <c r="H102" s="201"/>
      <c r="I102" s="201"/>
      <c r="J102" s="207"/>
      <c r="K102" s="153">
        <v>0.23333333333333331</v>
      </c>
      <c r="L102" s="3">
        <v>0.29166666666666669</v>
      </c>
      <c r="M102" s="3">
        <v>0.23333333333333331</v>
      </c>
      <c r="N102" s="3">
        <f t="shared" si="7"/>
        <v>0.7583333333333333</v>
      </c>
      <c r="O102" s="1"/>
      <c r="P102" s="152">
        <f t="shared" si="8"/>
        <v>664.63833333333389</v>
      </c>
      <c r="Q102" s="150">
        <v>0</v>
      </c>
      <c r="R102" s="199">
        <v>0</v>
      </c>
      <c r="S102" s="199">
        <v>0</v>
      </c>
      <c r="T102" s="199">
        <v>0</v>
      </c>
      <c r="U102" s="199">
        <v>0</v>
      </c>
      <c r="V102" s="155">
        <f t="shared" si="9"/>
        <v>0</v>
      </c>
      <c r="W102" s="199">
        <v>0</v>
      </c>
      <c r="X102" s="151">
        <f>(X101-VSLFO.MGO45[[#This Row],[TOTAL]])+VSLFO.MGO45[[#This Row],[FAENA2]]</f>
        <v>31.900000000000006</v>
      </c>
      <c r="Y102" s="150"/>
      <c r="Z102" s="199"/>
      <c r="AA102" s="149">
        <f t="shared" si="5"/>
        <v>100</v>
      </c>
      <c r="AB102" s="199"/>
      <c r="AC102" s="199"/>
      <c r="AD102" s="149">
        <f>($AD$4-VSLFO.MGO45[[#This Row],[CARTER MP.]])+VSLFO.MGO45[[#This Row],[FAENA EN LTS2]]</f>
        <v>100</v>
      </c>
      <c r="AE102" s="199"/>
      <c r="AF102" s="199"/>
      <c r="AG102" s="149">
        <f t="shared" si="6"/>
        <v>100</v>
      </c>
      <c r="AH102" s="199"/>
      <c r="AI102" s="199"/>
      <c r="AJ102" s="148"/>
    </row>
    <row r="103" spans="1:36" x14ac:dyDescent="0.25">
      <c r="A103" s="192"/>
      <c r="B103" s="219">
        <v>43890</v>
      </c>
      <c r="C103" s="7">
        <v>0.30833333333333335</v>
      </c>
      <c r="D103" s="4">
        <f>IF(VSLFO.MGO45[[#This Row],[FECHA]]-B102=1,((VSLFO.MGO45[[#This Row],[HORA]]-C102)*24)+24,(VSLFO.MGO45[[#This Row],[HORA]]-C102)*24)</f>
        <v>3.6000000000000005</v>
      </c>
      <c r="E103" s="10" t="s">
        <v>1425</v>
      </c>
      <c r="F103" s="10" t="s">
        <v>1004</v>
      </c>
      <c r="G103" s="212"/>
      <c r="H103" s="201"/>
      <c r="I103" s="201"/>
      <c r="J103" s="207"/>
      <c r="K103" s="153">
        <v>0</v>
      </c>
      <c r="L103" s="3">
        <v>0.37500000000000006</v>
      </c>
      <c r="M103" s="3">
        <v>0.30000000000000004</v>
      </c>
      <c r="N103" s="3">
        <f t="shared" si="7"/>
        <v>0.67500000000000004</v>
      </c>
      <c r="O103" s="1"/>
      <c r="P103" s="152">
        <f t="shared" si="8"/>
        <v>663.96333333333394</v>
      </c>
      <c r="Q103" s="150">
        <v>0</v>
      </c>
      <c r="R103" s="199">
        <v>0</v>
      </c>
      <c r="S103" s="199">
        <v>0</v>
      </c>
      <c r="T103" s="199">
        <v>0</v>
      </c>
      <c r="U103" s="199">
        <v>0</v>
      </c>
      <c r="V103" s="155">
        <f t="shared" si="9"/>
        <v>0</v>
      </c>
      <c r="W103" s="199">
        <v>0</v>
      </c>
      <c r="X103" s="151">
        <f>(X102-VSLFO.MGO45[[#This Row],[TOTAL]])+VSLFO.MGO45[[#This Row],[FAENA2]]</f>
        <v>31.900000000000006</v>
      </c>
      <c r="Y103" s="150"/>
      <c r="Z103" s="199"/>
      <c r="AA103" s="149">
        <f t="shared" si="5"/>
        <v>100</v>
      </c>
      <c r="AB103" s="199"/>
      <c r="AC103" s="199"/>
      <c r="AD103" s="149">
        <f>($AD$4-VSLFO.MGO45[[#This Row],[CARTER MP.]])+VSLFO.MGO45[[#This Row],[FAENA EN LTS2]]</f>
        <v>100</v>
      </c>
      <c r="AE103" s="199"/>
      <c r="AF103" s="199"/>
      <c r="AG103" s="149">
        <f t="shared" si="6"/>
        <v>100</v>
      </c>
      <c r="AH103" s="199"/>
      <c r="AI103" s="199"/>
      <c r="AJ103" s="148"/>
    </row>
    <row r="104" spans="1:36" x14ac:dyDescent="0.25">
      <c r="A104" s="192"/>
      <c r="B104" s="219">
        <v>43890</v>
      </c>
      <c r="C104" s="7">
        <v>0.33333333333333331</v>
      </c>
      <c r="D104" s="4">
        <f>IF(VSLFO.MGO45[[#This Row],[FECHA]]-B103=1,((VSLFO.MGO45[[#This Row],[HORA]]-C103)*24)+24,(VSLFO.MGO45[[#This Row],[HORA]]-C103)*24)</f>
        <v>0.5999999999999992</v>
      </c>
      <c r="E104" s="10" t="s">
        <v>966</v>
      </c>
      <c r="F104" s="10" t="s">
        <v>966</v>
      </c>
      <c r="G104" s="212"/>
      <c r="H104" s="201"/>
      <c r="I104" s="201"/>
      <c r="J104" s="207"/>
      <c r="K104" s="153">
        <v>0</v>
      </c>
      <c r="L104" s="3">
        <v>6.2499999999999917E-2</v>
      </c>
      <c r="M104" s="3">
        <v>4.9999999999999933E-2</v>
      </c>
      <c r="N104" s="3">
        <f t="shared" si="7"/>
        <v>0.11249999999999985</v>
      </c>
      <c r="O104" s="1"/>
      <c r="P104" s="152">
        <f t="shared" si="8"/>
        <v>663.85083333333398</v>
      </c>
      <c r="Q104" s="150">
        <v>0</v>
      </c>
      <c r="R104" s="199">
        <v>0</v>
      </c>
      <c r="S104" s="199">
        <v>0</v>
      </c>
      <c r="T104" s="199">
        <v>0</v>
      </c>
      <c r="U104" s="199">
        <v>0</v>
      </c>
      <c r="V104" s="155">
        <f t="shared" si="9"/>
        <v>0</v>
      </c>
      <c r="W104" s="199">
        <v>0</v>
      </c>
      <c r="X104" s="151">
        <f>(X103-VSLFO.MGO45[[#This Row],[TOTAL]])+VSLFO.MGO45[[#This Row],[FAENA2]]</f>
        <v>31.900000000000006</v>
      </c>
      <c r="Y104" s="150"/>
      <c r="Z104" s="199"/>
      <c r="AA104" s="149">
        <f t="shared" si="5"/>
        <v>100</v>
      </c>
      <c r="AB104" s="199"/>
      <c r="AC104" s="199"/>
      <c r="AD104" s="149">
        <f>($AD$4-VSLFO.MGO45[[#This Row],[CARTER MP.]])+VSLFO.MGO45[[#This Row],[FAENA EN LTS2]]</f>
        <v>100</v>
      </c>
      <c r="AE104" s="199"/>
      <c r="AF104" s="199"/>
      <c r="AG104" s="149">
        <f t="shared" si="6"/>
        <v>100</v>
      </c>
      <c r="AH104" s="199"/>
      <c r="AI104" s="199"/>
      <c r="AJ104" s="148"/>
    </row>
    <row r="105" spans="1:36" x14ac:dyDescent="0.25">
      <c r="A105" s="192"/>
      <c r="B105" s="219">
        <v>43890</v>
      </c>
      <c r="C105" s="7">
        <v>0.83750000000000002</v>
      </c>
      <c r="D105" s="4">
        <f>IF(VSLFO.MGO45[[#This Row],[FECHA]]-B104=1,((VSLFO.MGO45[[#This Row],[HORA]]-C104)*24)+24,(VSLFO.MGO45[[#This Row],[HORA]]-C104)*24)</f>
        <v>12.1</v>
      </c>
      <c r="E105" s="10" t="s">
        <v>966</v>
      </c>
      <c r="F105" s="10" t="s">
        <v>1142</v>
      </c>
      <c r="G105" s="212"/>
      <c r="H105" s="201"/>
      <c r="I105" s="201"/>
      <c r="J105" s="207"/>
      <c r="K105" s="153">
        <v>0</v>
      </c>
      <c r="L105" s="3">
        <v>1.2604166666666667</v>
      </c>
      <c r="M105" s="3">
        <v>1.0083333333333333</v>
      </c>
      <c r="N105" s="3">
        <f t="shared" si="7"/>
        <v>2.2687499999999998</v>
      </c>
      <c r="O105" s="1"/>
      <c r="P105" s="152">
        <f t="shared" si="8"/>
        <v>661.58208333333403</v>
      </c>
      <c r="Q105" s="150">
        <v>0</v>
      </c>
      <c r="R105" s="199">
        <v>0</v>
      </c>
      <c r="S105" s="199">
        <v>0</v>
      </c>
      <c r="T105" s="199">
        <v>0</v>
      </c>
      <c r="U105" s="199">
        <v>3</v>
      </c>
      <c r="V105" s="155">
        <f t="shared" si="9"/>
        <v>3</v>
      </c>
      <c r="W105" s="199">
        <v>0</v>
      </c>
      <c r="X105" s="151">
        <f>(X104-VSLFO.MGO45[[#This Row],[TOTAL]])+VSLFO.MGO45[[#This Row],[FAENA2]]</f>
        <v>28.900000000000006</v>
      </c>
      <c r="Y105" s="150"/>
      <c r="Z105" s="199"/>
      <c r="AA105" s="149">
        <f t="shared" si="5"/>
        <v>100</v>
      </c>
      <c r="AB105" s="199"/>
      <c r="AC105" s="199"/>
      <c r="AD105" s="149">
        <f>($AD$4-VSLFO.MGO45[[#This Row],[CARTER MP.]])+VSLFO.MGO45[[#This Row],[FAENA EN LTS2]]</f>
        <v>100</v>
      </c>
      <c r="AE105" s="199"/>
      <c r="AF105" s="199"/>
      <c r="AG105" s="149">
        <f t="shared" si="6"/>
        <v>100</v>
      </c>
      <c r="AH105" s="199"/>
      <c r="AI105" s="199"/>
      <c r="AJ105" s="148"/>
    </row>
    <row r="106" spans="1:36" x14ac:dyDescent="0.25">
      <c r="A106" s="192"/>
      <c r="B106" s="219">
        <v>43890</v>
      </c>
      <c r="C106" s="7">
        <v>0.95000000000000007</v>
      </c>
      <c r="D106" s="4">
        <f>IF(VSLFO.MGO45[[#This Row],[FECHA]]-B105=1,((VSLFO.MGO45[[#This Row],[HORA]]-C105)*24)+24,(VSLFO.MGO45[[#This Row],[HORA]]-C105)*24)</f>
        <v>2.7000000000000011</v>
      </c>
      <c r="E106" s="10" t="s">
        <v>1425</v>
      </c>
      <c r="F106" s="10" t="s">
        <v>1011</v>
      </c>
      <c r="G106" s="212"/>
      <c r="H106" s="201"/>
      <c r="I106" s="201"/>
      <c r="J106" s="207"/>
      <c r="K106" s="153">
        <v>0</v>
      </c>
      <c r="L106" s="3">
        <v>0.28125000000000011</v>
      </c>
      <c r="M106" s="3">
        <v>0.22500000000000009</v>
      </c>
      <c r="N106" s="3">
        <f t="shared" si="7"/>
        <v>0.5062500000000002</v>
      </c>
      <c r="O106" s="1"/>
      <c r="P106" s="152">
        <f t="shared" si="8"/>
        <v>661.075833333334</v>
      </c>
      <c r="Q106" s="150">
        <v>0</v>
      </c>
      <c r="R106" s="199">
        <v>0</v>
      </c>
      <c r="S106" s="199">
        <v>0</v>
      </c>
      <c r="T106" s="199">
        <v>0</v>
      </c>
      <c r="U106" s="199">
        <v>0</v>
      </c>
      <c r="V106" s="155">
        <f t="shared" si="9"/>
        <v>0</v>
      </c>
      <c r="W106" s="199">
        <v>0</v>
      </c>
      <c r="X106" s="151">
        <f>(X105-VSLFO.MGO45[[#This Row],[TOTAL]])+VSLFO.MGO45[[#This Row],[FAENA2]]</f>
        <v>28.900000000000006</v>
      </c>
      <c r="Y106" s="150"/>
      <c r="Z106" s="199"/>
      <c r="AA106" s="149">
        <f t="shared" si="5"/>
        <v>100</v>
      </c>
      <c r="AB106" s="199"/>
      <c r="AC106" s="199"/>
      <c r="AD106" s="149">
        <f>($AD$4-VSLFO.MGO45[[#This Row],[CARTER MP.]])+VSLFO.MGO45[[#This Row],[FAENA EN LTS2]]</f>
        <v>100</v>
      </c>
      <c r="AE106" s="199"/>
      <c r="AF106" s="199"/>
      <c r="AG106" s="149">
        <f t="shared" si="6"/>
        <v>100</v>
      </c>
      <c r="AH106" s="199"/>
      <c r="AI106" s="199"/>
      <c r="AJ106" s="148"/>
    </row>
    <row r="107" spans="1:36" x14ac:dyDescent="0.25">
      <c r="A107" s="192"/>
      <c r="B107" s="219">
        <v>43890</v>
      </c>
      <c r="C107" s="7">
        <v>0.97916666666666663</v>
      </c>
      <c r="D107" s="4">
        <f>IF(VSLFO.MGO45[[#This Row],[FECHA]]-B106=1,((VSLFO.MGO45[[#This Row],[HORA]]-C106)*24)+24,(VSLFO.MGO45[[#This Row],[HORA]]-C106)*24)</f>
        <v>0.69999999999999751</v>
      </c>
      <c r="E107" s="10" t="s">
        <v>1057</v>
      </c>
      <c r="F107" s="10" t="s">
        <v>1414</v>
      </c>
      <c r="G107" s="212"/>
      <c r="H107" s="201"/>
      <c r="I107" s="201"/>
      <c r="J107" s="207"/>
      <c r="K107" s="153">
        <v>5.8333333333333126E-2</v>
      </c>
      <c r="L107" s="3">
        <v>7.2916666666666408E-2</v>
      </c>
      <c r="M107" s="3">
        <v>5.8333333333333126E-2</v>
      </c>
      <c r="N107" s="3">
        <f t="shared" si="7"/>
        <v>0.18958333333333266</v>
      </c>
      <c r="O107" s="1"/>
      <c r="P107" s="152">
        <f t="shared" si="8"/>
        <v>660.8862500000007</v>
      </c>
      <c r="Q107" s="150">
        <v>0</v>
      </c>
      <c r="R107" s="199">
        <v>0</v>
      </c>
      <c r="S107" s="199">
        <v>0</v>
      </c>
      <c r="T107" s="199">
        <v>0</v>
      </c>
      <c r="U107" s="199">
        <v>0</v>
      </c>
      <c r="V107" s="155">
        <f t="shared" si="9"/>
        <v>0</v>
      </c>
      <c r="W107" s="199">
        <v>0</v>
      </c>
      <c r="X107" s="151">
        <f>(X106-VSLFO.MGO45[[#This Row],[TOTAL]])+VSLFO.MGO45[[#This Row],[FAENA2]]</f>
        <v>28.900000000000006</v>
      </c>
      <c r="Y107" s="150"/>
      <c r="Z107" s="199"/>
      <c r="AA107" s="149">
        <f t="shared" si="5"/>
        <v>100</v>
      </c>
      <c r="AB107" s="199"/>
      <c r="AC107" s="199"/>
      <c r="AD107" s="149">
        <f>($AD$4-VSLFO.MGO45[[#This Row],[CARTER MP.]])+VSLFO.MGO45[[#This Row],[FAENA EN LTS2]]</f>
        <v>100</v>
      </c>
      <c r="AE107" s="199"/>
      <c r="AF107" s="199"/>
      <c r="AG107" s="149">
        <f t="shared" si="6"/>
        <v>100</v>
      </c>
      <c r="AH107" s="199"/>
      <c r="AI107" s="199"/>
      <c r="AJ107" s="148"/>
    </row>
    <row r="108" spans="1:36" x14ac:dyDescent="0.25">
      <c r="A108" s="192"/>
      <c r="B108" s="219"/>
      <c r="C108" s="7"/>
      <c r="D108" s="3"/>
      <c r="E108" s="10"/>
      <c r="F108" s="154"/>
      <c r="G108" s="212"/>
      <c r="H108" s="201"/>
      <c r="I108" s="201"/>
      <c r="J108" s="207"/>
      <c r="K108" s="153"/>
      <c r="L108" s="3"/>
      <c r="M108" s="3"/>
      <c r="N108" s="3"/>
      <c r="O108" s="1"/>
      <c r="P108" s="152"/>
      <c r="Q108" s="150"/>
      <c r="R108" s="199"/>
      <c r="S108" s="199"/>
      <c r="T108" s="199"/>
      <c r="U108" s="199"/>
      <c r="V108" s="155"/>
      <c r="W108" s="199"/>
      <c r="X108" s="151"/>
      <c r="Y108" s="150"/>
      <c r="Z108" s="199"/>
      <c r="AA108" s="149"/>
      <c r="AB108" s="199"/>
      <c r="AC108" s="199"/>
      <c r="AD108" s="149"/>
      <c r="AE108" s="199"/>
      <c r="AF108" s="199"/>
      <c r="AG108" s="149"/>
      <c r="AH108" s="199"/>
      <c r="AI108" s="199"/>
      <c r="AJ108" s="148"/>
    </row>
    <row r="109" spans="1:36" x14ac:dyDescent="0.25">
      <c r="A109" s="192"/>
      <c r="B109" s="219"/>
      <c r="C109" s="7"/>
      <c r="D109" s="3"/>
      <c r="E109" s="10"/>
      <c r="F109" s="154"/>
      <c r="G109" s="212"/>
      <c r="H109" s="201"/>
      <c r="I109" s="201"/>
      <c r="J109" s="207"/>
      <c r="K109" s="153"/>
      <c r="L109" s="3"/>
      <c r="M109" s="3"/>
      <c r="N109" s="3"/>
      <c r="O109" s="1"/>
      <c r="P109" s="152"/>
      <c r="Q109" s="150"/>
      <c r="R109" s="199"/>
      <c r="S109" s="199"/>
      <c r="T109" s="199"/>
      <c r="U109" s="199"/>
      <c r="V109" s="155"/>
      <c r="W109" s="199"/>
      <c r="X109" s="151"/>
      <c r="Y109" s="150"/>
      <c r="Z109" s="199"/>
      <c r="AA109" s="149"/>
      <c r="AB109" s="199"/>
      <c r="AC109" s="199"/>
      <c r="AD109" s="149"/>
      <c r="AE109" s="199"/>
      <c r="AF109" s="199"/>
      <c r="AG109" s="149"/>
      <c r="AH109" s="199"/>
      <c r="AI109" s="199"/>
      <c r="AJ109" s="148"/>
    </row>
    <row r="110" spans="1:36" x14ac:dyDescent="0.25">
      <c r="A110" s="192"/>
      <c r="B110" s="219"/>
      <c r="C110" s="7"/>
      <c r="D110" s="3"/>
      <c r="E110" s="10"/>
      <c r="F110" s="154"/>
      <c r="G110" s="212"/>
      <c r="H110" s="201"/>
      <c r="I110" s="201"/>
      <c r="J110" s="207"/>
      <c r="K110" s="153"/>
      <c r="L110" s="3"/>
      <c r="M110" s="3"/>
      <c r="N110" s="3"/>
      <c r="O110" s="1"/>
      <c r="P110" s="152"/>
      <c r="Q110" s="150"/>
      <c r="R110" s="199"/>
      <c r="S110" s="199"/>
      <c r="T110" s="199"/>
      <c r="U110" s="199"/>
      <c r="V110" s="155"/>
      <c r="W110" s="199"/>
      <c r="X110" s="151"/>
      <c r="Y110" s="150"/>
      <c r="Z110" s="199"/>
      <c r="AA110" s="149"/>
      <c r="AB110" s="199"/>
      <c r="AC110" s="199"/>
      <c r="AD110" s="149"/>
      <c r="AE110" s="199"/>
      <c r="AF110" s="199"/>
      <c r="AG110" s="149"/>
      <c r="AH110" s="199"/>
      <c r="AI110" s="199"/>
      <c r="AJ110" s="148"/>
    </row>
    <row r="111" spans="1:36" x14ac:dyDescent="0.25">
      <c r="A111" s="192"/>
      <c r="B111" s="219"/>
      <c r="C111" s="7"/>
      <c r="D111" s="3"/>
      <c r="E111" s="10"/>
      <c r="F111" s="154"/>
      <c r="G111" s="212"/>
      <c r="H111" s="201"/>
      <c r="I111" s="201"/>
      <c r="J111" s="207"/>
      <c r="K111" s="153"/>
      <c r="L111" s="3"/>
      <c r="M111" s="3"/>
      <c r="N111" s="3"/>
      <c r="O111" s="1"/>
      <c r="P111" s="152"/>
      <c r="Q111" s="150"/>
      <c r="R111" s="199"/>
      <c r="S111" s="199"/>
      <c r="T111" s="199"/>
      <c r="U111" s="199"/>
      <c r="V111" s="155"/>
      <c r="W111" s="199"/>
      <c r="X111" s="151"/>
      <c r="Y111" s="150"/>
      <c r="Z111" s="199"/>
      <c r="AA111" s="149"/>
      <c r="AB111" s="199"/>
      <c r="AC111" s="199"/>
      <c r="AD111" s="149"/>
      <c r="AE111" s="199"/>
      <c r="AF111" s="199"/>
      <c r="AG111" s="149"/>
      <c r="AH111" s="199"/>
      <c r="AI111" s="199"/>
      <c r="AJ111" s="148"/>
    </row>
    <row r="112" spans="1:36" x14ac:dyDescent="0.25">
      <c r="A112" s="192"/>
      <c r="B112" s="219"/>
      <c r="C112" s="7"/>
      <c r="D112" s="3"/>
      <c r="E112" s="10"/>
      <c r="F112" s="154"/>
      <c r="G112" s="212"/>
      <c r="H112" s="201"/>
      <c r="I112" s="201"/>
      <c r="J112" s="207"/>
      <c r="K112" s="153"/>
      <c r="L112" s="3"/>
      <c r="M112" s="3"/>
      <c r="N112" s="3"/>
      <c r="O112" s="1"/>
      <c r="P112" s="152"/>
      <c r="Q112" s="150"/>
      <c r="R112" s="199"/>
      <c r="S112" s="199"/>
      <c r="T112" s="199"/>
      <c r="U112" s="199"/>
      <c r="V112" s="155"/>
      <c r="W112" s="199"/>
      <c r="X112" s="151"/>
      <c r="Y112" s="150"/>
      <c r="Z112" s="199"/>
      <c r="AA112" s="149"/>
      <c r="AB112" s="199"/>
      <c r="AC112" s="199"/>
      <c r="AD112" s="149"/>
      <c r="AE112" s="199"/>
      <c r="AF112" s="199"/>
      <c r="AG112" s="149"/>
      <c r="AH112" s="199"/>
      <c r="AI112" s="199"/>
      <c r="AJ112" s="148"/>
    </row>
    <row r="113" spans="1:36" x14ac:dyDescent="0.25">
      <c r="A113" s="192"/>
      <c r="B113" s="219"/>
      <c r="C113" s="7"/>
      <c r="D113" s="3"/>
      <c r="E113" s="10"/>
      <c r="F113" s="154"/>
      <c r="G113" s="212"/>
      <c r="H113" s="201"/>
      <c r="I113" s="201"/>
      <c r="J113" s="207"/>
      <c r="K113" s="153"/>
      <c r="L113" s="3"/>
      <c r="M113" s="3"/>
      <c r="N113" s="3"/>
      <c r="O113" s="1"/>
      <c r="P113" s="152"/>
      <c r="Q113" s="150"/>
      <c r="R113" s="199"/>
      <c r="S113" s="199"/>
      <c r="T113" s="199"/>
      <c r="U113" s="199"/>
      <c r="V113" s="155"/>
      <c r="W113" s="199"/>
      <c r="X113" s="151"/>
      <c r="Y113" s="150"/>
      <c r="Z113" s="199"/>
      <c r="AA113" s="149"/>
      <c r="AB113" s="199"/>
      <c r="AC113" s="199"/>
      <c r="AD113" s="149"/>
      <c r="AE113" s="199"/>
      <c r="AF113" s="199"/>
      <c r="AG113" s="149"/>
      <c r="AH113" s="199"/>
      <c r="AI113" s="199"/>
      <c r="AJ113" s="148"/>
    </row>
    <row r="114" spans="1:36" x14ac:dyDescent="0.25">
      <c r="A114" s="192"/>
      <c r="B114" s="219"/>
      <c r="C114" s="7"/>
      <c r="D114" s="3"/>
      <c r="E114" s="10"/>
      <c r="F114" s="154"/>
      <c r="G114" s="212"/>
      <c r="H114" s="201"/>
      <c r="I114" s="201"/>
      <c r="J114" s="207"/>
      <c r="K114" s="153"/>
      <c r="L114" s="3"/>
      <c r="M114" s="3"/>
      <c r="N114" s="3"/>
      <c r="O114" s="1"/>
      <c r="P114" s="152"/>
      <c r="Q114" s="150"/>
      <c r="R114" s="199"/>
      <c r="S114" s="199"/>
      <c r="T114" s="199"/>
      <c r="U114" s="199"/>
      <c r="V114" s="155"/>
      <c r="W114" s="199"/>
      <c r="X114" s="151"/>
      <c r="Y114" s="150"/>
      <c r="Z114" s="199"/>
      <c r="AA114" s="149"/>
      <c r="AB114" s="199"/>
      <c r="AC114" s="199"/>
      <c r="AD114" s="149"/>
      <c r="AE114" s="199"/>
      <c r="AF114" s="199"/>
      <c r="AG114" s="149"/>
      <c r="AH114" s="199"/>
      <c r="AI114" s="199"/>
      <c r="AJ114" s="148"/>
    </row>
    <row r="115" spans="1:36" x14ac:dyDescent="0.25">
      <c r="A115" s="192"/>
      <c r="B115" s="219"/>
      <c r="C115" s="7"/>
      <c r="D115" s="3"/>
      <c r="E115" s="10"/>
      <c r="F115" s="154"/>
      <c r="G115" s="212"/>
      <c r="H115" s="201"/>
      <c r="I115" s="201"/>
      <c r="J115" s="207"/>
      <c r="K115" s="153"/>
      <c r="L115" s="3"/>
      <c r="M115" s="3"/>
      <c r="N115" s="3"/>
      <c r="O115" s="1"/>
      <c r="P115" s="152"/>
      <c r="Q115" s="150"/>
      <c r="R115" s="199"/>
      <c r="S115" s="199"/>
      <c r="T115" s="199"/>
      <c r="U115" s="199"/>
      <c r="V115" s="155"/>
      <c r="W115" s="199"/>
      <c r="X115" s="151"/>
      <c r="Y115" s="150"/>
      <c r="Z115" s="199"/>
      <c r="AA115" s="149"/>
      <c r="AB115" s="199"/>
      <c r="AC115" s="199"/>
      <c r="AD115" s="149"/>
      <c r="AE115" s="199"/>
      <c r="AF115" s="199"/>
      <c r="AG115" s="149"/>
      <c r="AH115" s="199"/>
      <c r="AI115" s="199"/>
      <c r="AJ115" s="148"/>
    </row>
    <row r="116" spans="1:36" x14ac:dyDescent="0.25">
      <c r="D116" s="147">
        <f>SUBTOTAL(109,VSLFO.MGO45[TIEMPO Hrs])</f>
        <v>695.50000000000023</v>
      </c>
      <c r="K116" s="288">
        <f>SUBTOTAL(109,VSLFO.MGO45[MPAL])</f>
        <v>123.04027777777777</v>
      </c>
      <c r="L116" s="288">
        <f>SUBTOTAL(109,VSLFO.MGO45[AUX.])</f>
        <v>72.76458333333332</v>
      </c>
      <c r="M116" s="288">
        <f>SUBTOTAL(109,VSLFO.MGO45[CALDERA])</f>
        <v>42.908888888888868</v>
      </c>
    </row>
    <row r="117" spans="1:36" x14ac:dyDescent="0.25">
      <c r="K117" s="288"/>
      <c r="L117" s="288"/>
      <c r="M117" s="147">
        <f>SUM(K116:M116)</f>
        <v>238.71374999999998</v>
      </c>
    </row>
    <row r="118" spans="1:36" ht="19.5" thickBot="1" x14ac:dyDescent="0.35">
      <c r="C118" s="146" t="s">
        <v>1360</v>
      </c>
      <c r="D118" s="146"/>
      <c r="E118" s="146"/>
      <c r="F118" s="146"/>
      <c r="G118" s="146"/>
      <c r="R118" s="253" t="s">
        <v>1359</v>
      </c>
    </row>
    <row r="119" spans="1:36" x14ac:dyDescent="0.25">
      <c r="C119" s="375" t="s">
        <v>1358</v>
      </c>
      <c r="D119" s="376"/>
      <c r="E119" s="259" t="s">
        <v>1357</v>
      </c>
      <c r="F119" s="259" t="s">
        <v>1438</v>
      </c>
      <c r="G119" s="259" t="s">
        <v>1376</v>
      </c>
      <c r="H119" s="259" t="s">
        <v>1376</v>
      </c>
      <c r="I119" s="259" t="s">
        <v>1356</v>
      </c>
      <c r="J119" s="260" t="s">
        <v>1440</v>
      </c>
      <c r="K119" s="259" t="s">
        <v>1441</v>
      </c>
      <c r="L119" s="261" t="s">
        <v>1355</v>
      </c>
      <c r="M119" s="262" t="s">
        <v>1441</v>
      </c>
      <c r="N119" s="263" t="s">
        <v>1354</v>
      </c>
      <c r="O119" s="264" t="s">
        <v>1442</v>
      </c>
      <c r="R119" s="379" t="s">
        <v>1353</v>
      </c>
      <c r="S119" s="271" t="s">
        <v>1352</v>
      </c>
      <c r="T119" s="271" t="s">
        <v>1352</v>
      </c>
      <c r="U119" s="271" t="s">
        <v>1352</v>
      </c>
      <c r="V119" s="271" t="s">
        <v>1352</v>
      </c>
      <c r="W119" s="271" t="s">
        <v>1351</v>
      </c>
      <c r="X119" s="271" t="s">
        <v>1350</v>
      </c>
    </row>
    <row r="120" spans="1:36" ht="15.75" thickBot="1" x14ac:dyDescent="0.3">
      <c r="C120" s="377"/>
      <c r="D120" s="378"/>
      <c r="E120" s="265" t="s">
        <v>1349</v>
      </c>
      <c r="F120" s="265" t="s">
        <v>1439</v>
      </c>
      <c r="G120" s="265" t="s">
        <v>1449</v>
      </c>
      <c r="H120" s="265" t="s">
        <v>1345</v>
      </c>
      <c r="I120" s="265" t="s">
        <v>1348</v>
      </c>
      <c r="J120" s="266" t="s">
        <v>1443</v>
      </c>
      <c r="K120" s="265" t="s">
        <v>1444</v>
      </c>
      <c r="L120" s="267" t="s">
        <v>1345</v>
      </c>
      <c r="M120" s="268" t="s">
        <v>1345</v>
      </c>
      <c r="N120" s="269" t="s">
        <v>1347</v>
      </c>
      <c r="O120" s="270" t="s">
        <v>1439</v>
      </c>
      <c r="R120" s="380"/>
      <c r="S120" s="272" t="s">
        <v>1447</v>
      </c>
      <c r="T120" s="272" t="s">
        <v>1346</v>
      </c>
      <c r="U120" s="272" t="s">
        <v>1445</v>
      </c>
      <c r="V120" s="272" t="s">
        <v>1446</v>
      </c>
      <c r="W120" s="272" t="s">
        <v>1344</v>
      </c>
      <c r="X120" s="272" t="s">
        <v>1343</v>
      </c>
    </row>
    <row r="121" spans="1:36" ht="15.75" thickBot="1" x14ac:dyDescent="0.3">
      <c r="C121" s="242" t="s">
        <v>1051</v>
      </c>
      <c r="D121" s="252"/>
      <c r="E121" s="243">
        <f>SUMIF($E$6:$E$115,C121,$D$6:$D$115)</f>
        <v>66.8</v>
      </c>
      <c r="F121" s="144"/>
      <c r="G121" s="244"/>
      <c r="H121" s="244"/>
      <c r="I121" s="274">
        <f t="shared" ref="I121:I127" ca="1" si="10">SUMIF($E$6:$E$115,C121,$K$6:$K$115)+SUMIF($E$6:$E$116,C121,$L$6:$L$115)+SUMIF($E$6:$E$116,C121,$M$6:$M$115)</f>
        <v>11.837499999999999</v>
      </c>
      <c r="J121" s="276">
        <f t="shared" ref="J121:J127" ca="1" si="11">I121*24/E121</f>
        <v>4.2529940119760479</v>
      </c>
      <c r="K121" s="244">
        <v>4.5</v>
      </c>
      <c r="L121" s="145"/>
      <c r="M121" s="244">
        <f>E121*K121/24</f>
        <v>12.524999999999999</v>
      </c>
      <c r="N121" s="283">
        <f t="shared" ref="N121:N127" ca="1" si="12">M121-I121</f>
        <v>0.6875</v>
      </c>
      <c r="O121" s="248"/>
      <c r="Q121" s="141"/>
      <c r="R121" s="257" t="s">
        <v>1342</v>
      </c>
      <c r="S121" s="140">
        <f>SUM(U5:U115)</f>
        <v>34.5</v>
      </c>
      <c r="T121" s="293">
        <f>S121*24/E122</f>
        <v>5.2305748578648146</v>
      </c>
      <c r="U121" s="139">
        <v>6</v>
      </c>
      <c r="V121" s="295">
        <f>E122*U121/24</f>
        <v>39.574999999999996</v>
      </c>
      <c r="W121" s="293">
        <f>6-T121</f>
        <v>0.76942514213518542</v>
      </c>
      <c r="X121" s="296">
        <f>V121-S121</f>
        <v>5.0749999999999957</v>
      </c>
    </row>
    <row r="122" spans="1:36" ht="15.75" thickBot="1" x14ac:dyDescent="0.3">
      <c r="C122" s="245" t="s">
        <v>966</v>
      </c>
      <c r="D122" s="249"/>
      <c r="E122" s="243">
        <f>SUMIF($E$6:$E$115,C122,$D$6:$D$115)</f>
        <v>158.29999999999998</v>
      </c>
      <c r="F122" s="256"/>
      <c r="G122" s="3"/>
      <c r="H122" s="3"/>
      <c r="I122" s="274">
        <f t="shared" ca="1" si="10"/>
        <v>25.181249999999999</v>
      </c>
      <c r="J122" s="277">
        <f t="shared" ca="1" si="11"/>
        <v>3.8177511054958937</v>
      </c>
      <c r="K122" s="168">
        <v>4.5</v>
      </c>
      <c r="L122" s="133"/>
      <c r="M122" s="3">
        <f>E122*4.5/24</f>
        <v>29.681249999999995</v>
      </c>
      <c r="N122" s="284">
        <f t="shared" ca="1" si="12"/>
        <v>4.4999999999999964</v>
      </c>
      <c r="O122" s="249"/>
      <c r="R122" s="258" t="s">
        <v>1341</v>
      </c>
      <c r="S122" s="135">
        <f>SUM(R5:R115)</f>
        <v>0</v>
      </c>
      <c r="T122" s="293">
        <f>S122*24/E123</f>
        <v>0</v>
      </c>
      <c r="U122" s="1"/>
      <c r="V122" s="1"/>
      <c r="W122" s="1"/>
      <c r="X122" s="255"/>
    </row>
    <row r="123" spans="1:36" ht="15.75" thickBot="1" x14ac:dyDescent="0.3">
      <c r="C123" s="245" t="s">
        <v>1340</v>
      </c>
      <c r="D123" s="249"/>
      <c r="E123" s="243">
        <f t="shared" ref="E123:E126" si="13">SUMIF($E$6:$E$116,C123,$D$6:$D$116)</f>
        <v>48</v>
      </c>
      <c r="F123" s="256">
        <f>SUMIF($E$6:$E$115,C123,$G$6:$G$115)</f>
        <v>530</v>
      </c>
      <c r="G123" s="3">
        <f>F123/E123</f>
        <v>11.041666666666666</v>
      </c>
      <c r="H123" s="3">
        <v>12.5</v>
      </c>
      <c r="I123" s="274">
        <f t="shared" ca="1" si="10"/>
        <v>45</v>
      </c>
      <c r="J123" s="277">
        <f t="shared" ca="1" si="11"/>
        <v>22.5</v>
      </c>
      <c r="K123" s="168">
        <v>30.5</v>
      </c>
      <c r="L123" s="133">
        <f>F123/G123</f>
        <v>48</v>
      </c>
      <c r="M123" s="3">
        <f>L123*K123/24</f>
        <v>61</v>
      </c>
      <c r="N123" s="285">
        <f t="shared" ca="1" si="12"/>
        <v>16</v>
      </c>
      <c r="O123" s="249">
        <f>L123-E123</f>
        <v>0</v>
      </c>
      <c r="R123" s="258" t="s">
        <v>1339</v>
      </c>
      <c r="S123" s="135">
        <f>SUM(S6:S116)</f>
        <v>0</v>
      </c>
      <c r="T123" s="293">
        <f>S123*24/E124</f>
        <v>0</v>
      </c>
      <c r="U123" s="1"/>
      <c r="V123" s="1"/>
      <c r="W123" s="1"/>
      <c r="X123" s="255"/>
    </row>
    <row r="124" spans="1:36" ht="15.75" thickBot="1" x14ac:dyDescent="0.3">
      <c r="C124" s="245" t="s">
        <v>1338</v>
      </c>
      <c r="D124" s="249"/>
      <c r="E124" s="243">
        <f>SUMIF($E$6:$E$115,C124,$D$6:$D$115)</f>
        <v>93.3</v>
      </c>
      <c r="F124" s="256">
        <f>SUMIF($E$6:$E$115,C124,$G$6:$G$115)</f>
        <v>1002</v>
      </c>
      <c r="G124" s="3">
        <f>F124/E124</f>
        <v>10.739549839228296</v>
      </c>
      <c r="H124" s="3">
        <v>12</v>
      </c>
      <c r="I124" s="274">
        <f t="shared" ca="1" si="10"/>
        <v>88.135416666666671</v>
      </c>
      <c r="J124" s="277">
        <f t="shared" ca="1" si="11"/>
        <v>22.671489817792068</v>
      </c>
      <c r="K124" s="168">
        <v>30.5</v>
      </c>
      <c r="L124" s="133">
        <f>F124/G124</f>
        <v>93.3</v>
      </c>
      <c r="M124" s="3">
        <f>L124*K124/24</f>
        <v>118.56875000000001</v>
      </c>
      <c r="N124" s="286">
        <f t="shared" ca="1" si="12"/>
        <v>30.433333333333337</v>
      </c>
      <c r="O124" s="249">
        <f>L124-E124</f>
        <v>0</v>
      </c>
      <c r="R124" s="258" t="s">
        <v>1337</v>
      </c>
      <c r="S124" s="135">
        <f>SUM(T5:T115)</f>
        <v>0</v>
      </c>
      <c r="T124" s="293">
        <f>S124*24/E125</f>
        <v>0</v>
      </c>
      <c r="U124" s="1"/>
      <c r="V124" s="1"/>
      <c r="W124" s="1"/>
      <c r="X124" s="255"/>
    </row>
    <row r="125" spans="1:36" ht="15.75" thickBot="1" x14ac:dyDescent="0.3">
      <c r="C125" s="245" t="s">
        <v>351</v>
      </c>
      <c r="D125" s="249"/>
      <c r="E125" s="297">
        <f>SUMIF($E$6:$E$115,C125,$D$6:$D$115)</f>
        <v>228.0333333333333</v>
      </c>
      <c r="F125" s="256"/>
      <c r="G125" s="3"/>
      <c r="H125" s="3"/>
      <c r="I125" s="274">
        <f t="shared" ca="1" si="10"/>
        <v>40.728472222222223</v>
      </c>
      <c r="J125" s="277">
        <f t="shared" ca="1" si="11"/>
        <v>4.2865809092237983</v>
      </c>
      <c r="K125" s="168">
        <v>4.5</v>
      </c>
      <c r="L125" s="133"/>
      <c r="M125" s="3">
        <f>E125*K125/24</f>
        <v>42.756249999999994</v>
      </c>
      <c r="N125" s="284">
        <f t="shared" ca="1" si="12"/>
        <v>2.0277777777777715</v>
      </c>
      <c r="O125" s="249"/>
      <c r="R125" s="250" t="s">
        <v>1370</v>
      </c>
      <c r="S125" s="247">
        <f>SUM(Q5:Q115)</f>
        <v>0</v>
      </c>
      <c r="T125" s="294">
        <f>S125*24/E126</f>
        <v>0</v>
      </c>
      <c r="U125" s="143"/>
      <c r="V125" s="143"/>
      <c r="W125" s="143"/>
      <c r="X125" s="142"/>
    </row>
    <row r="126" spans="1:36" ht="15.75" thickBot="1" x14ac:dyDescent="0.3">
      <c r="C126" s="188" t="s">
        <v>1057</v>
      </c>
      <c r="D126" s="240"/>
      <c r="E126" s="297">
        <f t="shared" si="13"/>
        <v>30.166666666666679</v>
      </c>
      <c r="F126" s="256"/>
      <c r="G126" s="3"/>
      <c r="H126" s="3"/>
      <c r="I126" s="274">
        <f t="shared" ca="1" si="10"/>
        <v>10.919444444444448</v>
      </c>
      <c r="J126" s="277">
        <f t="shared" ca="1" si="11"/>
        <v>8.6872928176795572</v>
      </c>
      <c r="K126" s="168">
        <v>4.5</v>
      </c>
      <c r="L126" s="133"/>
      <c r="M126" s="3">
        <f>E126*K126/24</f>
        <v>5.6562500000000027</v>
      </c>
      <c r="N126" s="284">
        <f t="shared" ca="1" si="12"/>
        <v>-5.2631944444444452</v>
      </c>
      <c r="O126" s="249"/>
      <c r="T126" s="239"/>
    </row>
    <row r="127" spans="1:36" ht="15.75" thickBot="1" x14ac:dyDescent="0.3">
      <c r="C127" s="246" t="s">
        <v>1425</v>
      </c>
      <c r="D127" s="251"/>
      <c r="E127" s="243">
        <f>SUMIF($E$6:$E$115,C127,$D$6:$D$115)</f>
        <v>70.900000000000006</v>
      </c>
      <c r="F127" s="142"/>
      <c r="G127" s="143"/>
      <c r="H127" s="143"/>
      <c r="I127" s="274">
        <f t="shared" ca="1" si="10"/>
        <v>16.911666666666665</v>
      </c>
      <c r="J127" s="278">
        <f t="shared" ca="1" si="11"/>
        <v>5.7246826516220022</v>
      </c>
      <c r="K127" s="168">
        <v>4.5</v>
      </c>
      <c r="L127" s="143"/>
      <c r="M127" s="278">
        <f>E127*K127/24</f>
        <v>13.293750000000001</v>
      </c>
      <c r="N127" s="287">
        <f t="shared" ca="1" si="12"/>
        <v>-3.6179166666666642</v>
      </c>
      <c r="O127" s="251"/>
    </row>
    <row r="128" spans="1:36" ht="15.75" thickBot="1" x14ac:dyDescent="0.3">
      <c r="I128" s="288"/>
      <c r="J128" s="298"/>
      <c r="M128" s="288"/>
      <c r="N128" s="288"/>
    </row>
    <row r="129" spans="3:20" ht="15.75" thickBot="1" x14ac:dyDescent="0.3">
      <c r="C129" s="373" t="s">
        <v>31</v>
      </c>
      <c r="D129" s="374"/>
      <c r="E129" s="273">
        <f>SUM(E121:E127)</f>
        <v>695.49999999999989</v>
      </c>
      <c r="F129" s="138"/>
      <c r="I129" s="279">
        <f ca="1">SUM(I121:I127)</f>
        <v>238.71375</v>
      </c>
      <c r="J129" s="280">
        <f ca="1">SUM(J121:J127)</f>
        <v>71.940791313789376</v>
      </c>
      <c r="K129" s="138"/>
      <c r="L129" s="138"/>
      <c r="M129" s="281">
        <f>SUM(M121:M127)</f>
        <v>283.48124999999999</v>
      </c>
      <c r="N129" s="289">
        <f ca="1">SUM(N121:N127)</f>
        <v>44.767499999999998</v>
      </c>
      <c r="O129" s="241">
        <f>SUM(O121:O127)</f>
        <v>0</v>
      </c>
      <c r="R129" s="137" t="s">
        <v>31</v>
      </c>
      <c r="S129" s="137">
        <f>SUM(S121:S125)</f>
        <v>34.5</v>
      </c>
      <c r="T129" s="289">
        <f>SUM(T121:T125)</f>
        <v>5.2305748578648146</v>
      </c>
    </row>
  </sheetData>
  <sheetProtection password="E683" sheet="1" objects="1" scenarios="1"/>
  <protectedRanges>
    <protectedRange sqref="AJ4" name="Rango15"/>
    <protectedRange sqref="AH6:AI115" name="Rango14"/>
    <protectedRange sqref="AG4" name="Rango13"/>
    <protectedRange sqref="AE6:AF115" name="Rango12"/>
    <protectedRange sqref="AD4" name="Rango11"/>
    <protectedRange sqref="AA4" name="Rango10"/>
    <protectedRange sqref="AB6:AC115" name="Rango9"/>
    <protectedRange sqref="Y16:Z115" name="Rango8"/>
    <protectedRange sqref="X4" name="Rango7"/>
    <protectedRange sqref="W16:W115" name="Rango6"/>
    <protectedRange sqref="Q6:U115" name="Rango5"/>
    <protectedRange sqref="P4" name="Rango4"/>
    <protectedRange sqref="O6:O115" name="Rango3"/>
    <protectedRange sqref="E6:M115" name="Rango2"/>
    <protectedRange sqref="A6:C107" name="Rango1"/>
  </protectedRanges>
  <mergeCells count="10">
    <mergeCell ref="C129:D129"/>
    <mergeCell ref="C119:D120"/>
    <mergeCell ref="R119:R120"/>
    <mergeCell ref="G2:AJ2"/>
    <mergeCell ref="G3:J4"/>
    <mergeCell ref="K3:P3"/>
    <mergeCell ref="Q3:X3"/>
    <mergeCell ref="Y3:AJ3"/>
    <mergeCell ref="K4:O4"/>
    <mergeCell ref="Q4:W4"/>
  </mergeCells>
  <phoneticPr fontId="9" type="noConversion"/>
  <dataValidations count="1">
    <dataValidation type="list" allowBlank="1" showInputMessage="1" showErrorMessage="1" sqref="E6:E115" xr:uid="{00000000-0002-0000-0500-000000000000}">
      <formula1>$C$121:$C$128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38"/>
  <sheetViews>
    <sheetView zoomScale="85" zoomScaleNormal="85" workbookViewId="0">
      <pane xSplit="6" ySplit="5" topLeftCell="I116" activePane="bottomRight" state="frozen"/>
      <selection pane="topRight" activeCell="G1" sqref="G1"/>
      <selection pane="bottomLeft" activeCell="A6" sqref="A6"/>
      <selection pane="bottomRight" activeCell="M126" sqref="M126"/>
    </sheetView>
  </sheetViews>
  <sheetFormatPr baseColWidth="10" defaultRowHeight="15" x14ac:dyDescent="0.25"/>
  <cols>
    <col min="1" max="1" width="10.42578125" customWidth="1"/>
    <col min="2" max="2" width="12.7109375" customWidth="1"/>
    <col min="3" max="3" width="11.7109375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8" customWidth="1"/>
    <col min="10" max="10" width="15.7109375" customWidth="1"/>
    <col min="11" max="11" width="15.85546875" customWidth="1"/>
    <col min="12" max="14" width="11.57031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2" max="22" width="9.2851562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6" ht="15.75" thickBot="1" x14ac:dyDescent="0.3"/>
    <row r="2" spans="1:36" ht="15.75" customHeight="1" thickBot="1" x14ac:dyDescent="0.3">
      <c r="A2" s="191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321"/>
    </row>
    <row r="3" spans="1:36" ht="15.75" thickBot="1" x14ac:dyDescent="0.3">
      <c r="G3" s="406" t="s">
        <v>1385</v>
      </c>
      <c r="H3" s="407"/>
      <c r="I3" s="407"/>
      <c r="J3" s="408"/>
      <c r="K3" s="386" t="s">
        <v>1384</v>
      </c>
      <c r="L3" s="387"/>
      <c r="M3" s="387"/>
      <c r="N3" s="387"/>
      <c r="O3" s="387"/>
      <c r="P3" s="388"/>
      <c r="Q3" s="389" t="s">
        <v>1383</v>
      </c>
      <c r="R3" s="390"/>
      <c r="S3" s="390"/>
      <c r="T3" s="390"/>
      <c r="U3" s="390"/>
      <c r="V3" s="390"/>
      <c r="W3" s="390"/>
      <c r="X3" s="391"/>
      <c r="Y3" s="392" t="s">
        <v>1462</v>
      </c>
      <c r="Z3" s="393"/>
      <c r="AA3" s="393"/>
      <c r="AB3" s="393"/>
      <c r="AC3" s="393"/>
      <c r="AD3" s="393"/>
      <c r="AE3" s="393"/>
      <c r="AF3" s="393"/>
      <c r="AG3" s="393"/>
      <c r="AH3" s="393"/>
      <c r="AI3" s="393"/>
      <c r="AJ3" s="394"/>
    </row>
    <row r="4" spans="1:36" ht="15.75" thickBot="1" x14ac:dyDescent="0.3">
      <c r="D4" s="8"/>
      <c r="E4" s="17"/>
      <c r="F4" s="17"/>
      <c r="G4" s="383"/>
      <c r="H4" s="409"/>
      <c r="I4" s="409"/>
      <c r="J4" s="385"/>
      <c r="K4" s="395" t="s">
        <v>1382</v>
      </c>
      <c r="L4" s="396"/>
      <c r="M4" s="396"/>
      <c r="N4" s="396"/>
      <c r="O4" s="396"/>
      <c r="P4" s="189">
        <v>660.9</v>
      </c>
      <c r="Q4" s="397" t="s">
        <v>1381</v>
      </c>
      <c r="R4" s="398"/>
      <c r="S4" s="398"/>
      <c r="T4" s="398"/>
      <c r="U4" s="398"/>
      <c r="V4" s="398"/>
      <c r="W4" s="399"/>
      <c r="X4" s="189">
        <v>28.9</v>
      </c>
      <c r="Y4" s="188"/>
      <c r="Z4" s="186" t="s">
        <v>1380</v>
      </c>
      <c r="AA4" s="185">
        <v>100</v>
      </c>
      <c r="AB4" s="187"/>
      <c r="AC4" s="186" t="s">
        <v>1380</v>
      </c>
      <c r="AD4" s="185">
        <v>100</v>
      </c>
      <c r="AF4" s="186" t="s">
        <v>1380</v>
      </c>
      <c r="AG4" s="185">
        <v>100</v>
      </c>
      <c r="AI4" s="186" t="s">
        <v>1380</v>
      </c>
      <c r="AJ4" s="185">
        <v>100</v>
      </c>
    </row>
    <row r="5" spans="1:36" ht="26.25" thickBot="1" x14ac:dyDescent="0.3">
      <c r="A5" s="322" t="s">
        <v>1379</v>
      </c>
      <c r="B5" s="323" t="s">
        <v>0</v>
      </c>
      <c r="C5" s="184" t="s">
        <v>1</v>
      </c>
      <c r="D5" s="184" t="s">
        <v>135</v>
      </c>
      <c r="E5" s="184" t="s">
        <v>1358</v>
      </c>
      <c r="F5" s="183" t="s">
        <v>1378</v>
      </c>
      <c r="G5" s="325" t="s">
        <v>1377</v>
      </c>
      <c r="H5" s="326" t="s">
        <v>1376</v>
      </c>
      <c r="I5" s="326" t="s">
        <v>1375</v>
      </c>
      <c r="J5" s="327" t="s">
        <v>1321</v>
      </c>
      <c r="K5" s="182" t="s">
        <v>1374</v>
      </c>
      <c r="L5" s="181" t="s">
        <v>1373</v>
      </c>
      <c r="M5" s="181" t="s">
        <v>1339</v>
      </c>
      <c r="N5" s="181" t="s">
        <v>1372</v>
      </c>
      <c r="O5" s="181" t="s">
        <v>27</v>
      </c>
      <c r="P5" s="324" t="s">
        <v>1371</v>
      </c>
      <c r="Q5" s="180" t="s">
        <v>1370</v>
      </c>
      <c r="R5" s="179" t="s">
        <v>1369</v>
      </c>
      <c r="S5" s="179" t="s">
        <v>1368</v>
      </c>
      <c r="T5" s="178" t="s">
        <v>1367</v>
      </c>
      <c r="U5" s="178" t="s">
        <v>1366</v>
      </c>
      <c r="V5" s="178" t="s">
        <v>31</v>
      </c>
      <c r="W5" s="177" t="s">
        <v>1365</v>
      </c>
      <c r="X5" s="50" t="s">
        <v>14</v>
      </c>
      <c r="Y5" s="175" t="s">
        <v>1364</v>
      </c>
      <c r="Z5" s="176" t="s">
        <v>1454</v>
      </c>
      <c r="AA5" s="175" t="s">
        <v>1455</v>
      </c>
      <c r="AB5" s="174" t="s">
        <v>1363</v>
      </c>
      <c r="AC5" s="174" t="s">
        <v>1456</v>
      </c>
      <c r="AD5" s="174" t="s">
        <v>1457</v>
      </c>
      <c r="AE5" s="174" t="s">
        <v>1362</v>
      </c>
      <c r="AF5" s="174" t="s">
        <v>1458</v>
      </c>
      <c r="AG5" s="174" t="s">
        <v>1459</v>
      </c>
      <c r="AH5" s="174" t="s">
        <v>1361</v>
      </c>
      <c r="AI5" s="173" t="s">
        <v>1460</v>
      </c>
      <c r="AJ5" s="172" t="s">
        <v>1461</v>
      </c>
    </row>
    <row r="6" spans="1:36" x14ac:dyDescent="0.25">
      <c r="A6" s="226"/>
      <c r="B6" s="218">
        <v>43891</v>
      </c>
      <c r="C6" s="171">
        <v>0</v>
      </c>
      <c r="D6" s="275">
        <v>0</v>
      </c>
      <c r="E6" s="10" t="s">
        <v>1338</v>
      </c>
      <c r="F6" s="170" t="s">
        <v>1414</v>
      </c>
      <c r="G6" s="210"/>
      <c r="H6" s="200"/>
      <c r="I6" s="200" t="s">
        <v>1297</v>
      </c>
      <c r="J6" s="205">
        <v>95</v>
      </c>
      <c r="K6" s="169">
        <v>0</v>
      </c>
      <c r="L6" s="3">
        <v>0</v>
      </c>
      <c r="M6" s="168">
        <v>0</v>
      </c>
      <c r="N6" s="168">
        <v>0</v>
      </c>
      <c r="O6" s="139"/>
      <c r="P6" s="167">
        <f>$P$4</f>
        <v>660.9</v>
      </c>
      <c r="Q6" s="165">
        <v>0</v>
      </c>
      <c r="R6" s="5">
        <v>0</v>
      </c>
      <c r="S6" s="5">
        <v>0</v>
      </c>
      <c r="T6" s="5">
        <v>0</v>
      </c>
      <c r="U6" s="5">
        <v>0</v>
      </c>
      <c r="V6" s="5">
        <f>SUM(VSLFO.MGO456[[#This Row],[MPAL2]:[GI]])</f>
        <v>0</v>
      </c>
      <c r="W6" s="5">
        <v>0</v>
      </c>
      <c r="X6" s="166">
        <f>X4</f>
        <v>28.9</v>
      </c>
      <c r="Y6" s="165"/>
      <c r="Z6" s="5"/>
      <c r="AA6" s="164">
        <f>$AA$4</f>
        <v>100</v>
      </c>
      <c r="AB6" s="5"/>
      <c r="AC6" s="5"/>
      <c r="AD6" s="164">
        <f>$AD$4</f>
        <v>100</v>
      </c>
      <c r="AE6" s="5"/>
      <c r="AF6" s="5"/>
      <c r="AG6" s="164">
        <f>$AG$4</f>
        <v>100</v>
      </c>
      <c r="AH6" s="5"/>
      <c r="AI6" s="5"/>
      <c r="AJ6" s="163">
        <f>$AJ$4</f>
        <v>100</v>
      </c>
    </row>
    <row r="7" spans="1:36" x14ac:dyDescent="0.25">
      <c r="A7" s="135"/>
      <c r="B7" s="229">
        <v>43891</v>
      </c>
      <c r="C7" s="7">
        <v>0.27083333333333331</v>
      </c>
      <c r="D7" s="4">
        <f>IF(VSLFO.MGO456[[#This Row],[FECHA]]-B6=1,((VSLFO.MGO456[[#This Row],[HORA]]-C6)*24)+24,(VSLFO.MGO456[[#This Row],[HORA]]-C6)*24)</f>
        <v>6.5</v>
      </c>
      <c r="E7" s="10" t="s">
        <v>1338</v>
      </c>
      <c r="F7" s="10" t="s">
        <v>1171</v>
      </c>
      <c r="G7" s="211">
        <v>62</v>
      </c>
      <c r="H7" s="306">
        <v>9.1</v>
      </c>
      <c r="I7" s="93" t="s">
        <v>1297</v>
      </c>
      <c r="J7" s="206">
        <v>95</v>
      </c>
      <c r="K7" s="169">
        <v>5.83</v>
      </c>
      <c r="L7" s="3">
        <v>0.72916666666666674</v>
      </c>
      <c r="M7" s="13">
        <v>0</v>
      </c>
      <c r="N7" s="3">
        <f t="shared" ref="N7:N70" si="0">K7+L7+M7</f>
        <v>6.559166666666667</v>
      </c>
      <c r="O7" s="1"/>
      <c r="P7" s="152">
        <f>(P6 -N7)+O7</f>
        <v>654.34083333333331</v>
      </c>
      <c r="Q7" s="150">
        <v>0</v>
      </c>
      <c r="R7" s="199">
        <v>0</v>
      </c>
      <c r="S7" s="199">
        <v>0</v>
      </c>
      <c r="T7" s="199">
        <v>0</v>
      </c>
      <c r="U7" s="199">
        <v>0</v>
      </c>
      <c r="V7" s="199">
        <f>SUM(Q7:U7)</f>
        <v>0</v>
      </c>
      <c r="W7" s="199">
        <v>0</v>
      </c>
      <c r="X7" s="151">
        <f>(X6-VSLFO.MGO456[[#This Row],[TOTAL]])+VSLFO.MGO456[[#This Row],[FAENA2]]</f>
        <v>28.9</v>
      </c>
      <c r="Y7" s="150"/>
      <c r="Z7" s="199"/>
      <c r="AA7" s="149">
        <f>(AA6-VSLFO.MGO456[[#This Row],[CYLINDER MP]])+VSLFO.MGO456[[#This Row],[FAENA EN LTS]]</f>
        <v>100</v>
      </c>
      <c r="AB7" s="199"/>
      <c r="AC7" s="199"/>
      <c r="AD7" s="149">
        <f>(AD6-VSLFO.MGO456[[#This Row],[CARTER MP.]])+VSLFO.MGO456[[#This Row],[FAENA EN LTS2]]</f>
        <v>100</v>
      </c>
      <c r="AE7" s="199"/>
      <c r="AF7" s="199"/>
      <c r="AG7" s="149">
        <f>(AG6-VSLFO.MGO456[[#This Row],[MOT AUX]])+VSLFO.MGO456[[#This Row],[FAENA EN  LTS]]</f>
        <v>100</v>
      </c>
      <c r="AH7" s="199"/>
      <c r="AI7" s="199"/>
      <c r="AJ7" s="148">
        <f>(AJ6-VSLFO.MGO456[[#This Row],[HIDRAULICO]])+VSLFO.MGO456[[#This Row],[FAENA EN LTS3]]</f>
        <v>100</v>
      </c>
    </row>
    <row r="8" spans="1:36" x14ac:dyDescent="0.25">
      <c r="A8" s="135"/>
      <c r="B8" s="219">
        <v>43891</v>
      </c>
      <c r="C8" s="7">
        <v>0.33333333333333331</v>
      </c>
      <c r="D8" s="4">
        <f>IF(VSLFO.MGO456[[#This Row],[FECHA]]-B7=1,((VSLFO.MGO456[[#This Row],[HORA]]-C7)*24)+24,(VSLFO.MGO456[[#This Row],[HORA]]-C7)*24)</f>
        <v>1.5</v>
      </c>
      <c r="E8" s="10" t="s">
        <v>1057</v>
      </c>
      <c r="F8" s="10" t="s">
        <v>351</v>
      </c>
      <c r="G8" s="212"/>
      <c r="H8" s="201"/>
      <c r="I8" s="201"/>
      <c r="J8" s="207"/>
      <c r="K8" s="169">
        <v>0.125</v>
      </c>
      <c r="L8" s="3">
        <v>0.15625</v>
      </c>
      <c r="M8" s="3">
        <v>0.125</v>
      </c>
      <c r="N8" s="3">
        <f t="shared" si="0"/>
        <v>0.40625</v>
      </c>
      <c r="O8" s="1"/>
      <c r="P8" s="152">
        <f>(P7 -N8)+O8</f>
        <v>653.93458333333331</v>
      </c>
      <c r="Q8" s="150">
        <v>0</v>
      </c>
      <c r="R8" s="199">
        <v>0</v>
      </c>
      <c r="S8" s="199">
        <v>0</v>
      </c>
      <c r="T8" s="199">
        <v>0</v>
      </c>
      <c r="U8" s="199">
        <v>0</v>
      </c>
      <c r="V8" s="199">
        <f t="shared" ref="V8:V36" si="1">SUM(Q8:U8)</f>
        <v>0</v>
      </c>
      <c r="W8" s="199">
        <v>0</v>
      </c>
      <c r="X8" s="151">
        <f>(X7-VSLFO.MGO456[[#This Row],[TOTAL]])+VSLFO.MGO456[[#This Row],[FAENA2]]</f>
        <v>28.9</v>
      </c>
      <c r="Y8" s="150"/>
      <c r="Z8" s="199"/>
      <c r="AA8" s="149">
        <f>(AA7-VSLFO.MGO456[[#This Row],[CYLINDER MP]])+VSLFO.MGO456[[#This Row],[FAENA EN LTS]]</f>
        <v>100</v>
      </c>
      <c r="AB8" s="199"/>
      <c r="AC8" s="199"/>
      <c r="AD8" s="149">
        <f>(AD7-VSLFO.MGO456[[#This Row],[CARTER MP.]])+VSLFO.MGO456[[#This Row],[FAENA EN LTS2]]</f>
        <v>100</v>
      </c>
      <c r="AE8" s="199"/>
      <c r="AF8" s="199"/>
      <c r="AG8" s="149">
        <f>(AG7-VSLFO.MGO456[[#This Row],[MOT AUX]])+VSLFO.MGO456[[#This Row],[FAENA EN  LTS]]</f>
        <v>100</v>
      </c>
      <c r="AH8" s="199"/>
      <c r="AI8" s="199"/>
      <c r="AJ8" s="148">
        <f>(AJ7-VSLFO.MGO456[[#This Row],[HIDRAULICO]])+VSLFO.MGO456[[#This Row],[FAENA EN LTS3]]</f>
        <v>100</v>
      </c>
    </row>
    <row r="9" spans="1:36" x14ac:dyDescent="0.25">
      <c r="A9" s="135"/>
      <c r="B9" s="219">
        <v>43891</v>
      </c>
      <c r="C9" s="7">
        <v>0.35416666666666669</v>
      </c>
      <c r="D9" s="4">
        <f>IF(VSLFO.MGO456[[#This Row],[FECHA]]-B8=1,((VSLFO.MGO456[[#This Row],[HORA]]-C8)*24)+24,(VSLFO.MGO456[[#This Row],[HORA]]-C8)*24)</f>
        <v>0.50000000000000089</v>
      </c>
      <c r="E9" s="10" t="s">
        <v>351</v>
      </c>
      <c r="F9" s="10" t="s">
        <v>1011</v>
      </c>
      <c r="G9" s="212"/>
      <c r="H9" s="201"/>
      <c r="I9" s="201"/>
      <c r="J9" s="207"/>
      <c r="K9" s="153">
        <v>0</v>
      </c>
      <c r="L9" s="3">
        <v>5.2083333333333426E-2</v>
      </c>
      <c r="M9" s="3">
        <v>4.1666666666666741E-2</v>
      </c>
      <c r="N9" s="3">
        <f>K9+L9+M9</f>
        <v>9.3750000000000167E-2</v>
      </c>
      <c r="O9" s="1"/>
      <c r="P9" s="152">
        <f>(P8 -N9)+O9</f>
        <v>653.84083333333331</v>
      </c>
      <c r="Q9" s="150">
        <v>0</v>
      </c>
      <c r="R9" s="199">
        <v>0</v>
      </c>
      <c r="S9" s="199">
        <v>0</v>
      </c>
      <c r="T9" s="199">
        <v>0</v>
      </c>
      <c r="U9" s="199">
        <v>0</v>
      </c>
      <c r="V9" s="199">
        <f t="shared" si="1"/>
        <v>0</v>
      </c>
      <c r="W9" s="199">
        <v>0</v>
      </c>
      <c r="X9" s="151">
        <f>(X8-VSLFO.MGO456[[#This Row],[TOTAL]])+VSLFO.MGO456[[#This Row],[FAENA2]]</f>
        <v>28.9</v>
      </c>
      <c r="Y9" s="150"/>
      <c r="Z9" s="199"/>
      <c r="AA9" s="149">
        <f>(AA8-VSLFO.MGO456[[#This Row],[CYLINDER MP]])+VSLFO.MGO456[[#This Row],[FAENA EN LTS]]</f>
        <v>100</v>
      </c>
      <c r="AB9" s="199"/>
      <c r="AC9" s="199"/>
      <c r="AD9" s="149">
        <f>(AD8-VSLFO.MGO456[[#This Row],[CARTER MP.]])+VSLFO.MGO456[[#This Row],[FAENA EN LTS2]]</f>
        <v>100</v>
      </c>
      <c r="AE9" s="199"/>
      <c r="AF9" s="199"/>
      <c r="AG9" s="149">
        <f>(AG8-VSLFO.MGO456[[#This Row],[MOT AUX]])+VSLFO.MGO456[[#This Row],[FAENA EN  LTS]]</f>
        <v>100</v>
      </c>
      <c r="AH9" s="199"/>
      <c r="AI9" s="199"/>
      <c r="AJ9" s="148">
        <f>(AJ8-VSLFO.MGO456[[#This Row],[HIDRAULICO]])+VSLFO.MGO456[[#This Row],[FAENA EN LTS3]]</f>
        <v>100</v>
      </c>
    </row>
    <row r="10" spans="1:36" x14ac:dyDescent="0.25">
      <c r="A10" s="135"/>
      <c r="B10" s="219">
        <v>43891</v>
      </c>
      <c r="C10" s="7">
        <v>0.40833333333333338</v>
      </c>
      <c r="D10" s="4">
        <f>IF(VSLFO.MGO456[[#This Row],[FECHA]]-B9=1,((VSLFO.MGO456[[#This Row],[HORA]]-C9)*24)+24,(VSLFO.MGO456[[#This Row],[HORA]]-C9)*24)</f>
        <v>1.3000000000000007</v>
      </c>
      <c r="E10" s="10" t="s">
        <v>1057</v>
      </c>
      <c r="F10" s="10" t="s">
        <v>616</v>
      </c>
      <c r="G10" s="213"/>
      <c r="H10" s="202"/>
      <c r="I10" s="202"/>
      <c r="J10" s="208"/>
      <c r="K10" s="153">
        <v>0.10833333333333339</v>
      </c>
      <c r="L10" s="3">
        <v>0.13541666666666674</v>
      </c>
      <c r="M10" s="3">
        <v>0.10833333333333339</v>
      </c>
      <c r="N10" s="3">
        <f t="shared" si="0"/>
        <v>0.35208333333333353</v>
      </c>
      <c r="O10" s="1"/>
      <c r="P10" s="152">
        <f t="shared" ref="P10:P73" si="2">(P9 -N10)+O10</f>
        <v>653.48874999999998</v>
      </c>
      <c r="Q10" s="150">
        <v>0</v>
      </c>
      <c r="R10" s="199">
        <v>0</v>
      </c>
      <c r="S10" s="199">
        <v>0</v>
      </c>
      <c r="T10" s="199">
        <v>0</v>
      </c>
      <c r="U10" s="199">
        <v>0</v>
      </c>
      <c r="V10" s="199">
        <f t="shared" si="1"/>
        <v>0</v>
      </c>
      <c r="W10" s="199">
        <v>0</v>
      </c>
      <c r="X10" s="151">
        <f>(X9-VSLFO.MGO456[[#This Row],[TOTAL]])+VSLFO.MGO456[[#This Row],[FAENA2]]</f>
        <v>28.9</v>
      </c>
      <c r="Y10" s="150"/>
      <c r="Z10" s="199"/>
      <c r="AA10" s="149">
        <f>(AA9-VSLFO.MGO456[[#This Row],[CYLINDER MP]])+VSLFO.MGO456[[#This Row],[FAENA EN LTS]]</f>
        <v>100</v>
      </c>
      <c r="AB10" s="199"/>
      <c r="AC10" s="199"/>
      <c r="AD10" s="149">
        <f>(AD9-VSLFO.MGO456[[#This Row],[CARTER MP.]])+VSLFO.MGO456[[#This Row],[FAENA EN LTS2]]</f>
        <v>100</v>
      </c>
      <c r="AE10" s="199"/>
      <c r="AF10" s="199"/>
      <c r="AG10" s="149">
        <f>(AG9-VSLFO.MGO456[[#This Row],[MOT AUX]])+VSLFO.MGO456[[#This Row],[FAENA EN  LTS]]</f>
        <v>100</v>
      </c>
      <c r="AH10" s="199"/>
      <c r="AI10" s="199"/>
      <c r="AJ10" s="148">
        <f>(AJ9-VSLFO.MGO456[[#This Row],[HIDRAULICO]])+VSLFO.MGO456[[#This Row],[FAENA EN LTS3]]</f>
        <v>100</v>
      </c>
    </row>
    <row r="11" spans="1:36" x14ac:dyDescent="0.25">
      <c r="A11" s="135"/>
      <c r="B11" s="219">
        <v>43891</v>
      </c>
      <c r="C11" s="7">
        <v>0.48749999999999999</v>
      </c>
      <c r="D11" s="4">
        <f>IF(VSLFO.MGO456[[#This Row],[FECHA]]-B10=1,((VSLFO.MGO456[[#This Row],[HORA]]-C10)*24)+24,(VSLFO.MGO456[[#This Row],[HORA]]-C10)*24)</f>
        <v>1.8999999999999986</v>
      </c>
      <c r="E11" s="10" t="s">
        <v>1425</v>
      </c>
      <c r="F11" s="10" t="s">
        <v>1004</v>
      </c>
      <c r="G11" s="213"/>
      <c r="H11" s="202"/>
      <c r="I11" s="202"/>
      <c r="J11" s="208"/>
      <c r="K11" s="153">
        <v>0</v>
      </c>
      <c r="L11" s="3">
        <v>0.19791666666666652</v>
      </c>
      <c r="M11" s="3">
        <v>0.15833333333333321</v>
      </c>
      <c r="N11" s="3">
        <f t="shared" si="0"/>
        <v>0.35624999999999973</v>
      </c>
      <c r="O11" s="1"/>
      <c r="P11" s="152">
        <f t="shared" si="2"/>
        <v>653.13249999999994</v>
      </c>
      <c r="Q11" s="150">
        <v>0</v>
      </c>
      <c r="R11" s="199">
        <v>0</v>
      </c>
      <c r="S11" s="199">
        <v>0</v>
      </c>
      <c r="T11" s="199">
        <v>0</v>
      </c>
      <c r="U11" s="199">
        <v>0</v>
      </c>
      <c r="V11" s="199">
        <f t="shared" si="1"/>
        <v>0</v>
      </c>
      <c r="W11" s="199">
        <v>0</v>
      </c>
      <c r="X11" s="151">
        <f>(X10-VSLFO.MGO456[[#This Row],[TOTAL]])+VSLFO.MGO456[[#This Row],[FAENA2]]</f>
        <v>28.9</v>
      </c>
      <c r="Y11" s="150"/>
      <c r="Z11" s="199"/>
      <c r="AA11" s="149">
        <f>(AA10-VSLFO.MGO456[[#This Row],[CYLINDER MP]])+VSLFO.MGO456[[#This Row],[FAENA EN LTS]]</f>
        <v>100</v>
      </c>
      <c r="AB11" s="199"/>
      <c r="AC11" s="199"/>
      <c r="AD11" s="149">
        <f>(AD10-VSLFO.MGO456[[#This Row],[CARTER MP.]])+VSLFO.MGO456[[#This Row],[FAENA EN LTS2]]</f>
        <v>100</v>
      </c>
      <c r="AE11" s="199"/>
      <c r="AF11" s="199"/>
      <c r="AG11" s="149">
        <f>(AG10-VSLFO.MGO456[[#This Row],[MOT AUX]])+VSLFO.MGO456[[#This Row],[FAENA EN  LTS]]</f>
        <v>100</v>
      </c>
      <c r="AH11" s="199"/>
      <c r="AI11" s="199"/>
      <c r="AJ11" s="148">
        <f>(AJ10-VSLFO.MGO456[[#This Row],[HIDRAULICO]])+VSLFO.MGO456[[#This Row],[FAENA EN LTS3]]</f>
        <v>100</v>
      </c>
    </row>
    <row r="12" spans="1:36" x14ac:dyDescent="0.25">
      <c r="A12" s="135"/>
      <c r="B12" s="219">
        <v>43891</v>
      </c>
      <c r="C12" s="7">
        <v>0.83750000000000002</v>
      </c>
      <c r="D12" s="4">
        <f>IF(VSLFO.MGO456[[#This Row],[FECHA]]-B11=1,((VSLFO.MGO456[[#This Row],[HORA]]-C11)*24)+24,(VSLFO.MGO456[[#This Row],[HORA]]-C11)*24)</f>
        <v>8.4</v>
      </c>
      <c r="E12" s="10" t="s">
        <v>966</v>
      </c>
      <c r="F12" s="10" t="s">
        <v>1142</v>
      </c>
      <c r="G12" s="213"/>
      <c r="H12" s="202"/>
      <c r="I12" s="202"/>
      <c r="J12" s="208"/>
      <c r="K12" s="153">
        <v>0</v>
      </c>
      <c r="L12" s="3">
        <v>0.87500000000000011</v>
      </c>
      <c r="M12" s="3">
        <v>0.7</v>
      </c>
      <c r="N12" s="3">
        <f t="shared" si="0"/>
        <v>1.5750000000000002</v>
      </c>
      <c r="O12" s="1"/>
      <c r="P12" s="152">
        <f t="shared" si="2"/>
        <v>651.55749999999989</v>
      </c>
      <c r="Q12" s="150">
        <v>0</v>
      </c>
      <c r="R12" s="199">
        <v>0</v>
      </c>
      <c r="S12" s="199">
        <v>0</v>
      </c>
      <c r="T12" s="199">
        <v>0</v>
      </c>
      <c r="U12" s="199">
        <v>2.1</v>
      </c>
      <c r="V12" s="199">
        <f t="shared" si="1"/>
        <v>2.1</v>
      </c>
      <c r="W12" s="199">
        <v>0</v>
      </c>
      <c r="X12" s="151">
        <f>(X11-VSLFO.MGO456[[#This Row],[TOTAL]])+VSLFO.MGO456[[#This Row],[FAENA2]]</f>
        <v>26.799999999999997</v>
      </c>
      <c r="Y12" s="150"/>
      <c r="Z12" s="199"/>
      <c r="AA12" s="149">
        <f>(AA11-VSLFO.MGO456[[#This Row],[CYLINDER MP]])+VSLFO.MGO456[[#This Row],[FAENA EN LTS]]</f>
        <v>100</v>
      </c>
      <c r="AB12" s="199"/>
      <c r="AC12" s="199"/>
      <c r="AD12" s="149">
        <f>(AD11-VSLFO.MGO456[[#This Row],[CARTER MP.]])+VSLFO.MGO456[[#This Row],[FAENA EN LTS2]]</f>
        <v>100</v>
      </c>
      <c r="AE12" s="199"/>
      <c r="AF12" s="199"/>
      <c r="AG12" s="149">
        <f>(AG11-VSLFO.MGO456[[#This Row],[MOT AUX]])+VSLFO.MGO456[[#This Row],[FAENA EN  LTS]]</f>
        <v>100</v>
      </c>
      <c r="AH12" s="199"/>
      <c r="AI12" s="199"/>
      <c r="AJ12" s="148">
        <f>(AJ11-VSLFO.MGO456[[#This Row],[HIDRAULICO]])+VSLFO.MGO456[[#This Row],[FAENA EN LTS3]]</f>
        <v>100</v>
      </c>
    </row>
    <row r="13" spans="1:36" x14ac:dyDescent="0.25">
      <c r="A13" s="135"/>
      <c r="B13" s="219">
        <v>43891</v>
      </c>
      <c r="C13" s="7">
        <v>0.93333333333333324</v>
      </c>
      <c r="D13" s="4">
        <f>IF(VSLFO.MGO456[[#This Row],[FECHA]]-B12=1,((VSLFO.MGO456[[#This Row],[HORA]]-C12)*24)+24,(VSLFO.MGO456[[#This Row],[HORA]]-C12)*24)</f>
        <v>2.2999999999999972</v>
      </c>
      <c r="E13" s="10" t="s">
        <v>1425</v>
      </c>
      <c r="F13" s="10" t="s">
        <v>1011</v>
      </c>
      <c r="G13" s="213"/>
      <c r="H13" s="202"/>
      <c r="I13" s="202"/>
      <c r="J13" s="208"/>
      <c r="K13" s="153">
        <v>0</v>
      </c>
      <c r="L13" s="3">
        <v>0.23958333333333304</v>
      </c>
      <c r="M13" s="3">
        <v>0.19166666666666643</v>
      </c>
      <c r="N13" s="3">
        <f t="shared" si="0"/>
        <v>0.43124999999999947</v>
      </c>
      <c r="O13" s="1"/>
      <c r="P13" s="152">
        <f t="shared" si="2"/>
        <v>651.12624999999991</v>
      </c>
      <c r="Q13" s="150">
        <v>0</v>
      </c>
      <c r="R13" s="199">
        <v>0</v>
      </c>
      <c r="S13" s="199">
        <v>0</v>
      </c>
      <c r="T13" s="199">
        <v>0</v>
      </c>
      <c r="U13" s="199">
        <v>0</v>
      </c>
      <c r="V13" s="199">
        <f t="shared" si="1"/>
        <v>0</v>
      </c>
      <c r="W13" s="199">
        <v>0</v>
      </c>
      <c r="X13" s="151">
        <f>(X12-VSLFO.MGO456[[#This Row],[TOTAL]])+VSLFO.MGO456[[#This Row],[FAENA2]]</f>
        <v>26.799999999999997</v>
      </c>
      <c r="Y13" s="150"/>
      <c r="Z13" s="199"/>
      <c r="AA13" s="149">
        <f>(AA12-VSLFO.MGO456[[#This Row],[CYLINDER MP]])+VSLFO.MGO456[[#This Row],[FAENA EN LTS]]</f>
        <v>100</v>
      </c>
      <c r="AB13" s="199"/>
      <c r="AC13" s="199"/>
      <c r="AD13" s="149">
        <f>(AD12-VSLFO.MGO456[[#This Row],[CARTER MP.]])+VSLFO.MGO456[[#This Row],[FAENA EN LTS2]]</f>
        <v>100</v>
      </c>
      <c r="AE13" s="199"/>
      <c r="AF13" s="199"/>
      <c r="AG13" s="149">
        <f>(AG12-VSLFO.MGO456[[#This Row],[MOT AUX]])+VSLFO.MGO456[[#This Row],[FAENA EN  LTS]]</f>
        <v>100</v>
      </c>
      <c r="AH13" s="199"/>
      <c r="AI13" s="199"/>
      <c r="AJ13" s="148">
        <f>(AJ12-VSLFO.MGO456[[#This Row],[HIDRAULICO]])+VSLFO.MGO456[[#This Row],[FAENA EN LTS3]]</f>
        <v>100</v>
      </c>
    </row>
    <row r="14" spans="1:36" x14ac:dyDescent="0.25">
      <c r="A14" s="135"/>
      <c r="B14" s="219">
        <v>43891</v>
      </c>
      <c r="C14" s="7">
        <v>0.96666666666666667</v>
      </c>
      <c r="D14" s="4">
        <f>IF(VSLFO.MGO456[[#This Row],[FECHA]]-B13=1,((VSLFO.MGO456[[#This Row],[HORA]]-C13)*24)+24,(VSLFO.MGO456[[#This Row],[HORA]]-C13)*24)</f>
        <v>0.80000000000000249</v>
      </c>
      <c r="E14" s="10" t="s">
        <v>1057</v>
      </c>
      <c r="F14" s="10" t="s">
        <v>1404</v>
      </c>
      <c r="G14" s="213"/>
      <c r="H14" s="202"/>
      <c r="I14" s="202" t="s">
        <v>1297</v>
      </c>
      <c r="J14" s="208">
        <v>95</v>
      </c>
      <c r="K14" s="153">
        <v>0.16666666666666718</v>
      </c>
      <c r="L14" s="3">
        <v>8.3333333333333592E-2</v>
      </c>
      <c r="M14" s="3">
        <v>6.6666666666666874E-2</v>
      </c>
      <c r="N14" s="3">
        <f t="shared" si="0"/>
        <v>0.31666666666666765</v>
      </c>
      <c r="O14" s="1"/>
      <c r="P14" s="152">
        <f t="shared" si="2"/>
        <v>650.80958333333319</v>
      </c>
      <c r="Q14" s="150">
        <v>0</v>
      </c>
      <c r="R14" s="199">
        <v>0</v>
      </c>
      <c r="S14" s="199">
        <v>0</v>
      </c>
      <c r="T14" s="199">
        <v>0</v>
      </c>
      <c r="U14" s="199">
        <v>0</v>
      </c>
      <c r="V14" s="199">
        <f t="shared" si="1"/>
        <v>0</v>
      </c>
      <c r="W14" s="199">
        <v>0</v>
      </c>
      <c r="X14" s="151">
        <f>(X13-VSLFO.MGO456[[#This Row],[TOTAL]])+VSLFO.MGO456[[#This Row],[FAENA2]]</f>
        <v>26.799999999999997</v>
      </c>
      <c r="Y14" s="150"/>
      <c r="Z14" s="199"/>
      <c r="AA14" s="149">
        <f>(AA13-VSLFO.MGO456[[#This Row],[CYLINDER MP]])+VSLFO.MGO456[[#This Row],[FAENA EN LTS]]</f>
        <v>100</v>
      </c>
      <c r="AB14" s="199"/>
      <c r="AC14" s="199"/>
      <c r="AD14" s="149">
        <f>(AD13-VSLFO.MGO456[[#This Row],[CARTER MP.]])+VSLFO.MGO456[[#This Row],[FAENA EN LTS2]]</f>
        <v>100</v>
      </c>
      <c r="AE14" s="199"/>
      <c r="AF14" s="199"/>
      <c r="AG14" s="149">
        <f>(AG13-VSLFO.MGO456[[#This Row],[MOT AUX]])+VSLFO.MGO456[[#This Row],[FAENA EN  LTS]]</f>
        <v>100</v>
      </c>
      <c r="AH14" s="199"/>
      <c r="AI14" s="199"/>
      <c r="AJ14" s="148">
        <f>(AJ13-VSLFO.MGO456[[#This Row],[HIDRAULICO]])+VSLFO.MGO456[[#This Row],[FAENA EN LTS3]]</f>
        <v>100</v>
      </c>
    </row>
    <row r="15" spans="1:36" x14ac:dyDescent="0.25">
      <c r="A15" s="135"/>
      <c r="B15" s="219">
        <v>43892</v>
      </c>
      <c r="C15" s="7">
        <v>0.33333333333333331</v>
      </c>
      <c r="D15" s="4">
        <f>IF(VSLFO.MGO456[[#This Row],[FECHA]]-B14=1,((VSLFO.MGO456[[#This Row],[HORA]]-C14)*24)+24,(VSLFO.MGO456[[#This Row],[HORA]]-C14)*24)</f>
        <v>8.8000000000000007</v>
      </c>
      <c r="E15" s="10" t="s">
        <v>1340</v>
      </c>
      <c r="F15" s="10" t="s">
        <v>355</v>
      </c>
      <c r="G15" s="213"/>
      <c r="H15" s="202"/>
      <c r="I15" s="202" t="s">
        <v>1297</v>
      </c>
      <c r="J15" s="208">
        <v>95</v>
      </c>
      <c r="K15" s="153">
        <v>7.3333333333333339</v>
      </c>
      <c r="L15" s="3">
        <v>0.91666666666666674</v>
      </c>
      <c r="M15" s="3">
        <v>0</v>
      </c>
      <c r="N15" s="3">
        <f t="shared" si="0"/>
        <v>8.25</v>
      </c>
      <c r="O15" s="1"/>
      <c r="P15" s="152">
        <f t="shared" si="2"/>
        <v>642.55958333333319</v>
      </c>
      <c r="Q15" s="150">
        <v>0</v>
      </c>
      <c r="R15" s="199">
        <v>0</v>
      </c>
      <c r="S15" s="199">
        <v>0</v>
      </c>
      <c r="T15" s="199">
        <v>0</v>
      </c>
      <c r="U15" s="199">
        <v>0</v>
      </c>
      <c r="V15" s="199">
        <f t="shared" si="1"/>
        <v>0</v>
      </c>
      <c r="W15" s="199">
        <v>0</v>
      </c>
      <c r="X15" s="151">
        <f>(X14-VSLFO.MGO456[[#This Row],[TOTAL]])+VSLFO.MGO456[[#This Row],[FAENA2]]</f>
        <v>26.799999999999997</v>
      </c>
      <c r="Y15" s="150"/>
      <c r="Z15" s="199"/>
      <c r="AA15" s="149">
        <f>(AA14-VSLFO.MGO456[[#This Row],[CYLINDER MP]])+VSLFO.MGO456[[#This Row],[FAENA EN LTS]]</f>
        <v>100</v>
      </c>
      <c r="AB15" s="199"/>
      <c r="AC15" s="199"/>
      <c r="AD15" s="149">
        <f>(AD14-VSLFO.MGO456[[#This Row],[CARTER MP.]])+VSLFO.MGO456[[#This Row],[FAENA EN LTS2]]</f>
        <v>100</v>
      </c>
      <c r="AE15" s="199"/>
      <c r="AF15" s="199"/>
      <c r="AG15" s="149">
        <f>(AG14-VSLFO.MGO456[[#This Row],[MOT AUX]])+VSLFO.MGO456[[#This Row],[FAENA EN  LTS]]</f>
        <v>100</v>
      </c>
      <c r="AH15" s="199"/>
      <c r="AI15" s="199"/>
      <c r="AJ15" s="148">
        <f>(AJ14-VSLFO.MGO456[[#This Row],[HIDRAULICO]])+VSLFO.MGO456[[#This Row],[FAENA EN LTS3]]</f>
        <v>100</v>
      </c>
    </row>
    <row r="16" spans="1:36" x14ac:dyDescent="0.25">
      <c r="A16" s="217" t="s">
        <v>1437</v>
      </c>
      <c r="B16" s="219">
        <v>43892</v>
      </c>
      <c r="C16" s="7">
        <v>0.79999999999999993</v>
      </c>
      <c r="D16" s="4">
        <f>IF(VSLFO.MGO456[[#This Row],[FECHA]]-B15=1,((VSLFO.MGO456[[#This Row],[HORA]]-C15)*24)+24,(VSLFO.MGO456[[#This Row],[HORA]]-C15)*24)</f>
        <v>11.2</v>
      </c>
      <c r="E16" s="10" t="s">
        <v>1340</v>
      </c>
      <c r="F16" s="10" t="s">
        <v>956</v>
      </c>
      <c r="G16" s="213">
        <v>201</v>
      </c>
      <c r="H16" s="307">
        <v>9.5</v>
      </c>
      <c r="I16" s="202" t="s">
        <v>1297</v>
      </c>
      <c r="J16" s="208">
        <v>95</v>
      </c>
      <c r="K16" s="153">
        <v>9.3333333333333339</v>
      </c>
      <c r="L16" s="3">
        <v>1.1666666666666667</v>
      </c>
      <c r="M16" s="3">
        <v>0</v>
      </c>
      <c r="N16" s="3">
        <f t="shared" si="0"/>
        <v>10.5</v>
      </c>
      <c r="O16" s="1"/>
      <c r="P16" s="152">
        <f t="shared" si="2"/>
        <v>632.05958333333319</v>
      </c>
      <c r="Q16" s="150">
        <v>0</v>
      </c>
      <c r="R16" s="199">
        <v>0</v>
      </c>
      <c r="S16" s="199">
        <v>0</v>
      </c>
      <c r="T16" s="199">
        <v>0</v>
      </c>
      <c r="U16" s="199">
        <v>0</v>
      </c>
      <c r="V16" s="199">
        <f t="shared" si="1"/>
        <v>0</v>
      </c>
      <c r="W16" s="199">
        <v>0</v>
      </c>
      <c r="X16" s="151">
        <f>(X15-VSLFO.MGO456[[#This Row],[TOTAL]])+VSLFO.MGO456[[#This Row],[FAENA2]]</f>
        <v>26.799999999999997</v>
      </c>
      <c r="Y16" s="150"/>
      <c r="Z16" s="199"/>
      <c r="AA16" s="149">
        <f>(AA15-VSLFO.MGO456[[#This Row],[CYLINDER MP]])+VSLFO.MGO456[[#This Row],[FAENA EN LTS]]</f>
        <v>100</v>
      </c>
      <c r="AB16" s="199"/>
      <c r="AC16" s="199"/>
      <c r="AD16" s="149">
        <f>(AD15-VSLFO.MGO456[[#This Row],[CARTER MP.]])+VSLFO.MGO456[[#This Row],[FAENA EN LTS2]]</f>
        <v>100</v>
      </c>
      <c r="AE16" s="199"/>
      <c r="AF16" s="199"/>
      <c r="AG16" s="149">
        <f>(AG15-VSLFO.MGO456[[#This Row],[MOT AUX]])+VSLFO.MGO456[[#This Row],[FAENA EN  LTS]]</f>
        <v>100</v>
      </c>
      <c r="AH16" s="199"/>
      <c r="AI16" s="199"/>
      <c r="AJ16" s="148">
        <f>(AJ15-VSLFO.MGO456[[#This Row],[HIDRAULICO]])+VSLFO.MGO456[[#This Row],[FAENA EN LTS3]]</f>
        <v>100</v>
      </c>
    </row>
    <row r="17" spans="1:36" x14ac:dyDescent="0.25">
      <c r="A17" s="135"/>
      <c r="B17" s="219">
        <v>43892</v>
      </c>
      <c r="C17" s="7">
        <v>0.82500000000000007</v>
      </c>
      <c r="D17" s="4">
        <f>IF(VSLFO.MGO456[[#This Row],[FECHA]]-B16=1,((VSLFO.MGO456[[#This Row],[HORA]]-C16)*24)+24,(VSLFO.MGO456[[#This Row],[HORA]]-C16)*24)</f>
        <v>0.6000000000000032</v>
      </c>
      <c r="E17" s="10" t="s">
        <v>1057</v>
      </c>
      <c r="F17" s="10" t="s">
        <v>616</v>
      </c>
      <c r="G17" s="213"/>
      <c r="H17" s="202"/>
      <c r="I17" s="202"/>
      <c r="J17" s="208"/>
      <c r="K17" s="153">
        <v>0.12500000000000067</v>
      </c>
      <c r="L17" s="3">
        <v>6.2500000000000333E-2</v>
      </c>
      <c r="M17" s="3">
        <v>5.0000000000000266E-2</v>
      </c>
      <c r="N17" s="3">
        <f t="shared" si="0"/>
        <v>0.23750000000000127</v>
      </c>
      <c r="O17" s="1"/>
      <c r="P17" s="152">
        <f t="shared" si="2"/>
        <v>631.82208333333324</v>
      </c>
      <c r="Q17" s="150">
        <v>0</v>
      </c>
      <c r="R17" s="199">
        <v>0</v>
      </c>
      <c r="S17" s="199">
        <v>0</v>
      </c>
      <c r="T17" s="199">
        <v>0</v>
      </c>
      <c r="U17" s="199">
        <v>0</v>
      </c>
      <c r="V17" s="199">
        <f t="shared" si="1"/>
        <v>0</v>
      </c>
      <c r="W17" s="199">
        <v>0</v>
      </c>
      <c r="X17" s="151">
        <f>(X16-VSLFO.MGO456[[#This Row],[TOTAL]])+VSLFO.MGO456[[#This Row],[FAENA2]]</f>
        <v>26.799999999999997</v>
      </c>
      <c r="Y17" s="150"/>
      <c r="Z17" s="199"/>
      <c r="AA17" s="149">
        <f>(AA16-VSLFO.MGO456[[#This Row],[CYLINDER MP]])+VSLFO.MGO456[[#This Row],[FAENA EN LTS]]</f>
        <v>100</v>
      </c>
      <c r="AB17" s="199"/>
      <c r="AC17" s="199"/>
      <c r="AD17" s="149">
        <f>(AD16-VSLFO.MGO456[[#This Row],[CARTER MP.]])+VSLFO.MGO456[[#This Row],[FAENA EN LTS2]]</f>
        <v>100</v>
      </c>
      <c r="AE17" s="199"/>
      <c r="AF17" s="199"/>
      <c r="AG17" s="149">
        <f>(AG16-VSLFO.MGO456[[#This Row],[MOT AUX]])+VSLFO.MGO456[[#This Row],[FAENA EN  LTS]]</f>
        <v>100</v>
      </c>
      <c r="AH17" s="199"/>
      <c r="AI17" s="199"/>
      <c r="AJ17" s="148">
        <f>(AJ16-VSLFO.MGO456[[#This Row],[HIDRAULICO]])+VSLFO.MGO456[[#This Row],[FAENA EN LTS3]]</f>
        <v>100</v>
      </c>
    </row>
    <row r="18" spans="1:36" x14ac:dyDescent="0.25">
      <c r="A18" s="135"/>
      <c r="B18" s="219">
        <v>43892</v>
      </c>
      <c r="C18" s="7">
        <v>0.9916666666666667</v>
      </c>
      <c r="D18" s="4">
        <f>IF(VSLFO.MGO456[[#This Row],[FECHA]]-B17=1,((VSLFO.MGO456[[#This Row],[HORA]]-C17)*24)+24,(VSLFO.MGO456[[#This Row],[HORA]]-C17)*24)</f>
        <v>3.9999999999999991</v>
      </c>
      <c r="E18" s="10" t="s">
        <v>351</v>
      </c>
      <c r="F18" s="10" t="s">
        <v>1272</v>
      </c>
      <c r="G18" s="213"/>
      <c r="H18" s="202"/>
      <c r="I18" s="202"/>
      <c r="J18" s="208"/>
      <c r="K18" s="153">
        <v>0</v>
      </c>
      <c r="L18" s="3">
        <v>0.41666666666666657</v>
      </c>
      <c r="M18" s="3">
        <v>0.33333333333333326</v>
      </c>
      <c r="N18" s="3">
        <f t="shared" si="0"/>
        <v>0.74999999999999978</v>
      </c>
      <c r="O18" s="1"/>
      <c r="P18" s="152">
        <f t="shared" si="2"/>
        <v>631.07208333333324</v>
      </c>
      <c r="Q18" s="150">
        <v>0</v>
      </c>
      <c r="R18" s="199">
        <v>0</v>
      </c>
      <c r="S18" s="199">
        <v>0</v>
      </c>
      <c r="T18" s="199">
        <v>0</v>
      </c>
      <c r="U18" s="199">
        <v>0</v>
      </c>
      <c r="V18" s="199">
        <f t="shared" si="1"/>
        <v>0</v>
      </c>
      <c r="W18" s="199">
        <v>80</v>
      </c>
      <c r="X18" s="151">
        <f>(X17-VSLFO.MGO456[[#This Row],[TOTAL]])+VSLFO.MGO456[[#This Row],[FAENA2]]</f>
        <v>106.8</v>
      </c>
      <c r="Y18" s="150"/>
      <c r="Z18" s="199"/>
      <c r="AA18" s="149">
        <f>(AA17-VSLFO.MGO456[[#This Row],[CYLINDER MP]])+VSLFO.MGO456[[#This Row],[FAENA EN LTS]]</f>
        <v>100</v>
      </c>
      <c r="AB18" s="199"/>
      <c r="AC18" s="199"/>
      <c r="AD18" s="149">
        <f>(AD17-VSLFO.MGO456[[#This Row],[CARTER MP.]])+VSLFO.MGO456[[#This Row],[FAENA EN LTS2]]</f>
        <v>100</v>
      </c>
      <c r="AE18" s="199"/>
      <c r="AF18" s="199"/>
      <c r="AG18" s="149">
        <f>(AG17-VSLFO.MGO456[[#This Row],[MOT AUX]])+VSLFO.MGO456[[#This Row],[FAENA EN  LTS]]</f>
        <v>100</v>
      </c>
      <c r="AH18" s="199"/>
      <c r="AI18" s="199"/>
      <c r="AJ18" s="148">
        <f>(AJ17-VSLFO.MGO456[[#This Row],[HIDRAULICO]])+VSLFO.MGO456[[#This Row],[FAENA EN LTS3]]</f>
        <v>100</v>
      </c>
    </row>
    <row r="19" spans="1:36" x14ac:dyDescent="0.25">
      <c r="A19" s="135"/>
      <c r="B19" s="219">
        <v>43893</v>
      </c>
      <c r="C19" s="7">
        <v>0.33333333333333331</v>
      </c>
      <c r="D19" s="4">
        <f>IF(VSLFO.MGO456[[#This Row],[FECHA]]-B18=1,((VSLFO.MGO456[[#This Row],[HORA]]-C18)*24)+24,(VSLFO.MGO456[[#This Row],[HORA]]-C18)*24)</f>
        <v>8.1999999999999975</v>
      </c>
      <c r="E19" s="10" t="s">
        <v>351</v>
      </c>
      <c r="F19" s="10" t="s">
        <v>351</v>
      </c>
      <c r="G19" s="213"/>
      <c r="H19" s="202"/>
      <c r="I19" s="202"/>
      <c r="J19" s="208"/>
      <c r="K19" s="153">
        <v>0</v>
      </c>
      <c r="L19" s="3">
        <v>0.85416666666666641</v>
      </c>
      <c r="M19" s="20">
        <v>0.68333333333333313</v>
      </c>
      <c r="N19" s="3">
        <f t="shared" si="0"/>
        <v>1.5374999999999996</v>
      </c>
      <c r="O19" s="1"/>
      <c r="P19" s="152">
        <f t="shared" si="2"/>
        <v>629.53458333333322</v>
      </c>
      <c r="Q19" s="150">
        <v>0</v>
      </c>
      <c r="R19" s="199">
        <v>0</v>
      </c>
      <c r="S19" s="199">
        <v>0</v>
      </c>
      <c r="T19" s="199">
        <v>0</v>
      </c>
      <c r="U19" s="199">
        <v>0</v>
      </c>
      <c r="V19" s="199">
        <f t="shared" si="1"/>
        <v>0</v>
      </c>
      <c r="W19" s="199">
        <v>0</v>
      </c>
      <c r="X19" s="151">
        <f>(X18-VSLFO.MGO456[[#This Row],[TOTAL]])+VSLFO.MGO456[[#This Row],[FAENA2]]</f>
        <v>106.8</v>
      </c>
      <c r="Y19" s="150"/>
      <c r="Z19" s="199"/>
      <c r="AA19" s="149">
        <f>(AA18-VSLFO.MGO456[[#This Row],[CYLINDER MP]])+VSLFO.MGO456[[#This Row],[FAENA EN LTS]]</f>
        <v>100</v>
      </c>
      <c r="AB19" s="199"/>
      <c r="AC19" s="199"/>
      <c r="AD19" s="149">
        <f>(AD18-VSLFO.MGO456[[#This Row],[CARTER MP.]])+VSLFO.MGO456[[#This Row],[FAENA EN LTS2]]</f>
        <v>100</v>
      </c>
      <c r="AE19" s="199"/>
      <c r="AF19" s="199"/>
      <c r="AG19" s="149">
        <f>(AG18-VSLFO.MGO456[[#This Row],[MOT AUX]])+VSLFO.MGO456[[#This Row],[FAENA EN  LTS]]</f>
        <v>100</v>
      </c>
      <c r="AH19" s="199"/>
      <c r="AI19" s="199"/>
      <c r="AJ19" s="148">
        <f>(AJ18-VSLFO.MGO456[[#This Row],[HIDRAULICO]])+VSLFO.MGO456[[#This Row],[FAENA EN LTS3]]</f>
        <v>100</v>
      </c>
    </row>
    <row r="20" spans="1:36" x14ac:dyDescent="0.25">
      <c r="A20" s="135"/>
      <c r="B20" s="219">
        <v>43894</v>
      </c>
      <c r="C20" s="7">
        <v>0.33333333333333331</v>
      </c>
      <c r="D20" s="4">
        <f>IF(VSLFO.MGO456[[#This Row],[FECHA]]-B19=1,((VSLFO.MGO456[[#This Row],[HORA]]-C19)*24)+24,(VSLFO.MGO456[[#This Row],[HORA]]-C19)*24)</f>
        <v>24</v>
      </c>
      <c r="E20" s="10" t="s">
        <v>351</v>
      </c>
      <c r="F20" s="10" t="s">
        <v>351</v>
      </c>
      <c r="G20" s="213"/>
      <c r="H20" s="202"/>
      <c r="I20" s="202"/>
      <c r="J20" s="208"/>
      <c r="K20" s="153">
        <v>0</v>
      </c>
      <c r="L20" s="3">
        <v>2.5</v>
      </c>
      <c r="M20" s="3">
        <v>2</v>
      </c>
      <c r="N20" s="3">
        <f t="shared" si="0"/>
        <v>4.5</v>
      </c>
      <c r="O20" s="1"/>
      <c r="P20" s="152">
        <f t="shared" si="2"/>
        <v>625.03458333333322</v>
      </c>
      <c r="Q20" s="150">
        <v>0</v>
      </c>
      <c r="R20" s="199">
        <v>0</v>
      </c>
      <c r="S20" s="199">
        <v>0</v>
      </c>
      <c r="T20" s="199">
        <v>0</v>
      </c>
      <c r="U20" s="199">
        <v>6</v>
      </c>
      <c r="V20" s="199">
        <f t="shared" si="1"/>
        <v>6</v>
      </c>
      <c r="W20" s="199">
        <v>0</v>
      </c>
      <c r="X20" s="151">
        <f>(X19-VSLFO.MGO456[[#This Row],[TOTAL]])+VSLFO.MGO456[[#This Row],[FAENA2]]</f>
        <v>100.8</v>
      </c>
      <c r="Y20" s="150"/>
      <c r="Z20" s="199"/>
      <c r="AA20" s="149">
        <f>(AA19-VSLFO.MGO456[[#This Row],[CYLINDER MP]])+VSLFO.MGO456[[#This Row],[FAENA EN LTS]]</f>
        <v>100</v>
      </c>
      <c r="AB20" s="199"/>
      <c r="AC20" s="199"/>
      <c r="AD20" s="149">
        <f>(AD19-VSLFO.MGO456[[#This Row],[CARTER MP.]])+VSLFO.MGO456[[#This Row],[FAENA EN LTS2]]</f>
        <v>100</v>
      </c>
      <c r="AE20" s="199"/>
      <c r="AF20" s="199"/>
      <c r="AG20" s="149">
        <f>(AG19-VSLFO.MGO456[[#This Row],[MOT AUX]])+VSLFO.MGO456[[#This Row],[FAENA EN  LTS]]</f>
        <v>100</v>
      </c>
      <c r="AH20" s="199"/>
      <c r="AI20" s="199"/>
      <c r="AJ20" s="148">
        <f>(AJ19-VSLFO.MGO456[[#This Row],[HIDRAULICO]])+VSLFO.MGO456[[#This Row],[FAENA EN LTS3]]</f>
        <v>100</v>
      </c>
    </row>
    <row r="21" spans="1:36" x14ac:dyDescent="0.25">
      <c r="A21" s="135"/>
      <c r="B21" s="219">
        <v>43894</v>
      </c>
      <c r="C21" s="7">
        <v>0.5541666666666667</v>
      </c>
      <c r="D21" s="4">
        <f>IF(VSLFO.MGO456[[#This Row],[FECHA]]-B20=1,((VSLFO.MGO456[[#This Row],[HORA]]-C20)*24)+24,(VSLFO.MGO456[[#This Row],[HORA]]-C20)*24)</f>
        <v>5.3000000000000007</v>
      </c>
      <c r="E21" s="10" t="s">
        <v>351</v>
      </c>
      <c r="F21" s="10" t="s">
        <v>1011</v>
      </c>
      <c r="G21" s="213"/>
      <c r="H21" s="202"/>
      <c r="I21" s="202"/>
      <c r="J21" s="208"/>
      <c r="K21" s="153">
        <v>0</v>
      </c>
      <c r="L21" s="3">
        <v>0.55208333333333348</v>
      </c>
      <c r="M21" s="3">
        <v>0.44166666666666671</v>
      </c>
      <c r="N21" s="3">
        <f t="shared" si="0"/>
        <v>0.99375000000000013</v>
      </c>
      <c r="O21" s="1"/>
      <c r="P21" s="152">
        <f t="shared" si="2"/>
        <v>624.04083333333324</v>
      </c>
      <c r="Q21" s="150">
        <v>0</v>
      </c>
      <c r="R21" s="199">
        <v>0</v>
      </c>
      <c r="S21" s="199">
        <v>0</v>
      </c>
      <c r="T21" s="199">
        <v>0</v>
      </c>
      <c r="U21" s="199">
        <v>1.3</v>
      </c>
      <c r="V21" s="199">
        <f t="shared" si="1"/>
        <v>1.3</v>
      </c>
      <c r="W21" s="199">
        <v>0</v>
      </c>
      <c r="X21" s="151">
        <f>(X20-VSLFO.MGO456[[#This Row],[TOTAL]])+VSLFO.MGO456[[#This Row],[FAENA2]]</f>
        <v>99.5</v>
      </c>
      <c r="Y21" s="150"/>
      <c r="Z21" s="199"/>
      <c r="AA21" s="149">
        <f>(AA20-VSLFO.MGO456[[#This Row],[CYLINDER MP]])+VSLFO.MGO456[[#This Row],[FAENA EN LTS]]</f>
        <v>100</v>
      </c>
      <c r="AB21" s="199"/>
      <c r="AC21" s="199"/>
      <c r="AD21" s="149">
        <f>(AD20-VSLFO.MGO456[[#This Row],[CARTER MP.]])+VSLFO.MGO456[[#This Row],[FAENA EN LTS2]]</f>
        <v>100</v>
      </c>
      <c r="AE21" s="199"/>
      <c r="AF21" s="199"/>
      <c r="AG21" s="149">
        <f>(AG20-VSLFO.MGO456[[#This Row],[MOT AUX]])+VSLFO.MGO456[[#This Row],[FAENA EN  LTS]]</f>
        <v>100</v>
      </c>
      <c r="AH21" s="199"/>
      <c r="AI21" s="199"/>
      <c r="AJ21" s="148">
        <f>(AJ20-VSLFO.MGO456[[#This Row],[HIDRAULICO]])+VSLFO.MGO456[[#This Row],[FAENA EN LTS3]]</f>
        <v>100</v>
      </c>
    </row>
    <row r="22" spans="1:36" x14ac:dyDescent="0.25">
      <c r="A22" s="135"/>
      <c r="B22" s="219">
        <v>43894</v>
      </c>
      <c r="C22" s="7">
        <v>0.5708333333333333</v>
      </c>
      <c r="D22" s="4">
        <f>IF(VSLFO.MGO456[[#This Row],[FECHA]]-B21=1,((VSLFO.MGO456[[#This Row],[HORA]]-C21)*24)+24,(VSLFO.MGO456[[#This Row],[HORA]]-C21)*24)</f>
        <v>0.39999999999999858</v>
      </c>
      <c r="E22" s="10" t="s">
        <v>1057</v>
      </c>
      <c r="F22" s="10" t="s">
        <v>1427</v>
      </c>
      <c r="G22" s="213"/>
      <c r="H22" s="202"/>
      <c r="I22" s="202"/>
      <c r="J22" s="208"/>
      <c r="K22" s="153">
        <v>8.3333333333333037E-2</v>
      </c>
      <c r="L22" s="3">
        <v>4.1666666666666519E-2</v>
      </c>
      <c r="M22" s="3">
        <v>3.3333333333333215E-2</v>
      </c>
      <c r="N22" s="3">
        <f t="shared" si="0"/>
        <v>0.15833333333333277</v>
      </c>
      <c r="O22" s="1"/>
      <c r="P22" s="152">
        <f t="shared" si="2"/>
        <v>623.88249999999994</v>
      </c>
      <c r="Q22" s="150">
        <v>0</v>
      </c>
      <c r="R22" s="199">
        <v>0</v>
      </c>
      <c r="S22" s="199">
        <v>0</v>
      </c>
      <c r="T22" s="199">
        <v>0</v>
      </c>
      <c r="U22" s="199">
        <v>0.1</v>
      </c>
      <c r="V22" s="199">
        <f t="shared" si="1"/>
        <v>0.1</v>
      </c>
      <c r="W22" s="199">
        <v>0</v>
      </c>
      <c r="X22" s="151">
        <f>(X21-VSLFO.MGO456[[#This Row],[TOTAL]])+VSLFO.MGO456[[#This Row],[FAENA2]]</f>
        <v>99.4</v>
      </c>
      <c r="Y22" s="150"/>
      <c r="Z22" s="199"/>
      <c r="AA22" s="149">
        <f>(AA21-VSLFO.MGO456[[#This Row],[CYLINDER MP]])+VSLFO.MGO456[[#This Row],[FAENA EN LTS]]</f>
        <v>100</v>
      </c>
      <c r="AB22" s="199"/>
      <c r="AC22" s="199"/>
      <c r="AD22" s="149">
        <f>(AD21-VSLFO.MGO456[[#This Row],[CARTER MP.]])+VSLFO.MGO456[[#This Row],[FAENA EN LTS2]]</f>
        <v>100</v>
      </c>
      <c r="AE22" s="199"/>
      <c r="AF22" s="199"/>
      <c r="AG22" s="149">
        <f>(AG21-VSLFO.MGO456[[#This Row],[MOT AUX]])+VSLFO.MGO456[[#This Row],[FAENA EN  LTS]]</f>
        <v>100</v>
      </c>
      <c r="AH22" s="199"/>
      <c r="AI22" s="199"/>
      <c r="AJ22" s="148">
        <f>(AJ21-VSLFO.MGO456[[#This Row],[HIDRAULICO]])+VSLFO.MGO456[[#This Row],[FAENA EN LTS3]]</f>
        <v>100</v>
      </c>
    </row>
    <row r="23" spans="1:36" x14ac:dyDescent="0.25">
      <c r="A23" s="135"/>
      <c r="B23" s="219">
        <v>43894</v>
      </c>
      <c r="C23" s="7">
        <v>0.59583333333333333</v>
      </c>
      <c r="D23" s="4">
        <f>IF(VSLFO.MGO456[[#This Row],[FECHA]]-B22=1,((VSLFO.MGO456[[#This Row],[HORA]]-C22)*24)+24,(VSLFO.MGO456[[#This Row],[HORA]]-C22)*24)</f>
        <v>0.60000000000000053</v>
      </c>
      <c r="E23" s="10" t="s">
        <v>1057</v>
      </c>
      <c r="F23" s="10" t="s">
        <v>1427</v>
      </c>
      <c r="G23" s="213"/>
      <c r="H23" s="202"/>
      <c r="I23" s="202"/>
      <c r="J23" s="208"/>
      <c r="K23" s="153">
        <v>0.25000000000000022</v>
      </c>
      <c r="L23" s="3">
        <v>6.2500000000000056E-2</v>
      </c>
      <c r="M23" s="3">
        <v>5.0000000000000044E-2</v>
      </c>
      <c r="N23" s="3">
        <f t="shared" si="0"/>
        <v>0.36250000000000032</v>
      </c>
      <c r="O23" s="1"/>
      <c r="P23" s="152">
        <f t="shared" si="2"/>
        <v>623.52</v>
      </c>
      <c r="Q23" s="150">
        <v>0</v>
      </c>
      <c r="R23" s="199">
        <v>0</v>
      </c>
      <c r="S23" s="199">
        <v>0</v>
      </c>
      <c r="T23" s="199">
        <v>0</v>
      </c>
      <c r="U23" s="199">
        <v>0.1</v>
      </c>
      <c r="V23" s="199">
        <f t="shared" si="1"/>
        <v>0.1</v>
      </c>
      <c r="W23" s="199">
        <v>0</v>
      </c>
      <c r="X23" s="151">
        <f>(X22-VSLFO.MGO456[[#This Row],[TOTAL]])+VSLFO.MGO456[[#This Row],[FAENA2]]</f>
        <v>99.300000000000011</v>
      </c>
      <c r="Y23" s="150"/>
      <c r="Z23" s="199"/>
      <c r="AA23" s="149">
        <f>(AA22-VSLFO.MGO456[[#This Row],[CYLINDER MP]])+VSLFO.MGO456[[#This Row],[FAENA EN LTS]]</f>
        <v>100</v>
      </c>
      <c r="AB23" s="199"/>
      <c r="AC23" s="199"/>
      <c r="AD23" s="149">
        <f>(AD22-VSLFO.MGO456[[#This Row],[CARTER MP.]])+VSLFO.MGO456[[#This Row],[FAENA EN LTS2]]</f>
        <v>100</v>
      </c>
      <c r="AE23" s="199"/>
      <c r="AF23" s="199"/>
      <c r="AG23" s="149">
        <f>(AG22-VSLFO.MGO456[[#This Row],[MOT AUX]])+VSLFO.MGO456[[#This Row],[FAENA EN  LTS]]</f>
        <v>100</v>
      </c>
      <c r="AH23" s="199"/>
      <c r="AI23" s="199"/>
      <c r="AJ23" s="148">
        <f>(AJ22-VSLFO.MGO456[[#This Row],[HIDRAULICO]])+VSLFO.MGO456[[#This Row],[FAENA EN LTS3]]</f>
        <v>100</v>
      </c>
    </row>
    <row r="24" spans="1:36" x14ac:dyDescent="0.25">
      <c r="A24" s="237"/>
      <c r="B24" s="219">
        <v>43894</v>
      </c>
      <c r="C24" s="7">
        <v>0.67499999999999993</v>
      </c>
      <c r="D24" s="4">
        <f>IF(VSLFO.MGO456[[#This Row],[FECHA]]-B23=1,((VSLFO.MGO456[[#This Row],[HORA]]-C23)*24)+24,(VSLFO.MGO456[[#This Row],[HORA]]-C23)*24)</f>
        <v>1.8999999999999986</v>
      </c>
      <c r="E24" s="10" t="s">
        <v>1057</v>
      </c>
      <c r="F24" s="10" t="s">
        <v>616</v>
      </c>
      <c r="G24" s="213"/>
      <c r="H24" s="202"/>
      <c r="I24" s="202"/>
      <c r="J24" s="208"/>
      <c r="K24" s="153">
        <v>0.15833333333333321</v>
      </c>
      <c r="L24" s="3">
        <v>0.19791666666666652</v>
      </c>
      <c r="M24" s="3">
        <v>0.15833333333333321</v>
      </c>
      <c r="N24" s="3">
        <f t="shared" si="0"/>
        <v>0.51458333333333295</v>
      </c>
      <c r="O24" s="1"/>
      <c r="P24" s="152">
        <f t="shared" si="2"/>
        <v>623.00541666666663</v>
      </c>
      <c r="Q24" s="150">
        <v>0</v>
      </c>
      <c r="R24" s="199">
        <v>0</v>
      </c>
      <c r="S24" s="199">
        <v>0</v>
      </c>
      <c r="T24" s="199">
        <v>0</v>
      </c>
      <c r="U24" s="199">
        <v>0.5</v>
      </c>
      <c r="V24" s="199">
        <f t="shared" si="1"/>
        <v>0.5</v>
      </c>
      <c r="W24" s="199">
        <v>0</v>
      </c>
      <c r="X24" s="151">
        <f>(X23-VSLFO.MGO456[[#This Row],[TOTAL]])+VSLFO.MGO456[[#This Row],[FAENA2]]</f>
        <v>98.800000000000011</v>
      </c>
      <c r="Y24" s="150"/>
      <c r="Z24" s="199"/>
      <c r="AA24" s="149">
        <f>(AA23-VSLFO.MGO456[[#This Row],[CYLINDER MP]])+VSLFO.MGO456[[#This Row],[FAENA EN LTS]]</f>
        <v>100</v>
      </c>
      <c r="AB24" s="199"/>
      <c r="AC24" s="199"/>
      <c r="AD24" s="149">
        <f>(AD23-VSLFO.MGO456[[#This Row],[CARTER MP.]])+VSLFO.MGO456[[#This Row],[FAENA EN LTS2]]</f>
        <v>100</v>
      </c>
      <c r="AE24" s="199"/>
      <c r="AF24" s="199"/>
      <c r="AG24" s="149">
        <f>(AG23-VSLFO.MGO456[[#This Row],[MOT AUX]])+VSLFO.MGO456[[#This Row],[FAENA EN  LTS]]</f>
        <v>100</v>
      </c>
      <c r="AH24" s="199"/>
      <c r="AI24" s="199"/>
      <c r="AJ24" s="148">
        <f>(AJ23-VSLFO.MGO456[[#This Row],[HIDRAULICO]])+VSLFO.MGO456[[#This Row],[FAENA EN LTS3]]</f>
        <v>100</v>
      </c>
    </row>
    <row r="25" spans="1:36" x14ac:dyDescent="0.25">
      <c r="A25" s="135"/>
      <c r="B25" s="219">
        <v>43894</v>
      </c>
      <c r="C25" s="7">
        <v>0.91666666666666663</v>
      </c>
      <c r="D25" s="4">
        <f>IF(VSLFO.MGO456[[#This Row],[FECHA]]-B24=1,((VSLFO.MGO456[[#This Row],[HORA]]-C24)*24)+24,(VSLFO.MGO456[[#This Row],[HORA]]-C24)*24)</f>
        <v>5.8000000000000007</v>
      </c>
      <c r="E25" s="10" t="s">
        <v>1425</v>
      </c>
      <c r="F25" s="10" t="s">
        <v>1276</v>
      </c>
      <c r="G25" s="213"/>
      <c r="H25" s="202"/>
      <c r="I25" s="202"/>
      <c r="J25" s="208"/>
      <c r="K25" s="153">
        <v>0</v>
      </c>
      <c r="L25" s="3">
        <v>0.60416666666666674</v>
      </c>
      <c r="M25" s="3">
        <v>0.48333333333333339</v>
      </c>
      <c r="N25" s="3">
        <f t="shared" si="0"/>
        <v>1.0875000000000001</v>
      </c>
      <c r="O25" s="1"/>
      <c r="P25" s="152">
        <f t="shared" si="2"/>
        <v>621.91791666666666</v>
      </c>
      <c r="Q25" s="150">
        <v>0</v>
      </c>
      <c r="R25" s="199">
        <v>0</v>
      </c>
      <c r="S25" s="199">
        <v>0</v>
      </c>
      <c r="T25" s="199">
        <v>0</v>
      </c>
      <c r="U25" s="199">
        <v>1.4</v>
      </c>
      <c r="V25" s="199">
        <f t="shared" si="1"/>
        <v>1.4</v>
      </c>
      <c r="W25" s="199">
        <v>0</v>
      </c>
      <c r="X25" s="151">
        <f>(X24-VSLFO.MGO456[[#This Row],[TOTAL]])+VSLFO.MGO456[[#This Row],[FAENA2]]</f>
        <v>97.4</v>
      </c>
      <c r="Y25" s="150"/>
      <c r="Z25" s="199"/>
      <c r="AA25" s="149">
        <f>(AA24-VSLFO.MGO456[[#This Row],[CYLINDER MP]])+VSLFO.MGO456[[#This Row],[FAENA EN LTS]]</f>
        <v>100</v>
      </c>
      <c r="AB25" s="199"/>
      <c r="AC25" s="199"/>
      <c r="AD25" s="149">
        <f>(AD24-VSLFO.MGO456[[#This Row],[CARTER MP.]])+VSLFO.MGO456[[#This Row],[FAENA EN LTS2]]</f>
        <v>100</v>
      </c>
      <c r="AE25" s="199"/>
      <c r="AF25" s="199"/>
      <c r="AG25" s="149">
        <f>(AG24-VSLFO.MGO456[[#This Row],[MOT AUX]])+VSLFO.MGO456[[#This Row],[FAENA EN  LTS]]</f>
        <v>100</v>
      </c>
      <c r="AH25" s="199"/>
      <c r="AI25" s="199"/>
      <c r="AJ25" s="148">
        <f>(AJ24-VSLFO.MGO456[[#This Row],[HIDRAULICO]])+VSLFO.MGO456[[#This Row],[FAENA EN LTS3]]</f>
        <v>100</v>
      </c>
    </row>
    <row r="26" spans="1:36" x14ac:dyDescent="0.25">
      <c r="A26" s="135"/>
      <c r="B26" s="219">
        <v>43895</v>
      </c>
      <c r="C26" s="7">
        <v>1.2499999999999999E-2</v>
      </c>
      <c r="D26" s="4">
        <f>IF(VSLFO.MGO456[[#This Row],[FECHA]]-B25=1,((VSLFO.MGO456[[#This Row],[HORA]]-C25)*24)+24,(VSLFO.MGO456[[#This Row],[HORA]]-C25)*24)</f>
        <v>2.3000000000000007</v>
      </c>
      <c r="E26" s="10" t="s">
        <v>1425</v>
      </c>
      <c r="F26" s="10" t="s">
        <v>1049</v>
      </c>
      <c r="G26" s="212"/>
      <c r="H26" s="201"/>
      <c r="I26" s="201"/>
      <c r="J26" s="207"/>
      <c r="K26" s="153">
        <v>0</v>
      </c>
      <c r="L26" s="3">
        <v>0.23958333333333343</v>
      </c>
      <c r="M26" s="3">
        <v>0.19166666666666671</v>
      </c>
      <c r="N26" s="3">
        <f t="shared" si="0"/>
        <v>0.43125000000000013</v>
      </c>
      <c r="O26" s="1"/>
      <c r="P26" s="152">
        <f t="shared" si="2"/>
        <v>621.48666666666668</v>
      </c>
      <c r="Q26" s="150">
        <v>0</v>
      </c>
      <c r="R26" s="199">
        <v>0</v>
      </c>
      <c r="S26" s="199">
        <v>0</v>
      </c>
      <c r="T26" s="199">
        <v>0</v>
      </c>
      <c r="U26" s="199">
        <v>0</v>
      </c>
      <c r="V26" s="199">
        <f t="shared" si="1"/>
        <v>0</v>
      </c>
      <c r="W26" s="199">
        <v>0</v>
      </c>
      <c r="X26" s="151">
        <f>(X25-VSLFO.MGO456[[#This Row],[TOTAL]])+VSLFO.MGO456[[#This Row],[FAENA2]]</f>
        <v>97.4</v>
      </c>
      <c r="Y26" s="150"/>
      <c r="Z26" s="199"/>
      <c r="AA26" s="149">
        <f>(AA25-VSLFO.MGO456[[#This Row],[CYLINDER MP]])+VSLFO.MGO456[[#This Row],[FAENA EN LTS]]</f>
        <v>100</v>
      </c>
      <c r="AB26" s="199"/>
      <c r="AC26" s="199"/>
      <c r="AD26" s="149">
        <f>(AD25-VSLFO.MGO456[[#This Row],[CARTER MP.]])+VSLFO.MGO456[[#This Row],[FAENA EN LTS2]]</f>
        <v>100</v>
      </c>
      <c r="AE26" s="199"/>
      <c r="AF26" s="199"/>
      <c r="AG26" s="149">
        <f>(AG25-VSLFO.MGO456[[#This Row],[MOT AUX]])+VSLFO.MGO456[[#This Row],[FAENA EN  LTS]]</f>
        <v>100</v>
      </c>
      <c r="AH26" s="199"/>
      <c r="AI26" s="199"/>
      <c r="AJ26" s="148">
        <f>(AJ25-VSLFO.MGO456[[#This Row],[HIDRAULICO]])+VSLFO.MGO456[[#This Row],[FAENA EN LTS3]]</f>
        <v>100</v>
      </c>
    </row>
    <row r="27" spans="1:36" x14ac:dyDescent="0.25">
      <c r="A27" s="135"/>
      <c r="B27" s="219">
        <v>43895</v>
      </c>
      <c r="C27" s="7">
        <v>0.33333333333333331</v>
      </c>
      <c r="D27" s="4">
        <f>IF(VSLFO.MGO456[[#This Row],[FECHA]]-B26=1,((VSLFO.MGO456[[#This Row],[HORA]]-C26)*24)+24,(VSLFO.MGO456[[#This Row],[HORA]]-C26)*24)</f>
        <v>7.6999999999999993</v>
      </c>
      <c r="E27" s="10" t="s">
        <v>1051</v>
      </c>
      <c r="F27" s="10" t="s">
        <v>1051</v>
      </c>
      <c r="G27" s="212"/>
      <c r="H27" s="201"/>
      <c r="I27" s="201"/>
      <c r="J27" s="207"/>
      <c r="K27" s="153">
        <v>0</v>
      </c>
      <c r="L27" s="3">
        <v>0.80208333333333326</v>
      </c>
      <c r="M27" s="3">
        <v>0.64166666666666661</v>
      </c>
      <c r="N27" s="3">
        <f t="shared" si="0"/>
        <v>1.4437499999999999</v>
      </c>
      <c r="O27" s="199"/>
      <c r="P27" s="152">
        <f t="shared" si="2"/>
        <v>620.04291666666666</v>
      </c>
      <c r="Q27" s="150">
        <v>0</v>
      </c>
      <c r="R27" s="199">
        <v>0</v>
      </c>
      <c r="S27" s="199">
        <v>0</v>
      </c>
      <c r="T27" s="199">
        <v>0</v>
      </c>
      <c r="U27" s="199">
        <v>0</v>
      </c>
      <c r="V27" s="199">
        <f t="shared" si="1"/>
        <v>0</v>
      </c>
      <c r="W27" s="199">
        <v>0</v>
      </c>
      <c r="X27" s="151">
        <f>(X26-VSLFO.MGO456[[#This Row],[TOTAL]])+VSLFO.MGO456[[#This Row],[FAENA2]]</f>
        <v>97.4</v>
      </c>
      <c r="Y27" s="150"/>
      <c r="Z27" s="199"/>
      <c r="AA27" s="149">
        <f>(AA26-VSLFO.MGO456[[#This Row],[CYLINDER MP]])+VSLFO.MGO456[[#This Row],[FAENA EN LTS]]</f>
        <v>100</v>
      </c>
      <c r="AB27" s="199"/>
      <c r="AC27" s="199"/>
      <c r="AD27" s="149">
        <f>(AD26-VSLFO.MGO456[[#This Row],[CARTER MP.]])+VSLFO.MGO456[[#This Row],[FAENA EN LTS2]]</f>
        <v>100</v>
      </c>
      <c r="AE27" s="199"/>
      <c r="AF27" s="199"/>
      <c r="AG27" s="149">
        <f>(AG26-VSLFO.MGO456[[#This Row],[MOT AUX]])+VSLFO.MGO456[[#This Row],[FAENA EN  LTS]]</f>
        <v>100</v>
      </c>
      <c r="AH27" s="199"/>
      <c r="AI27" s="199"/>
      <c r="AJ27" s="148">
        <f>(AJ26-VSLFO.MGO456[[#This Row],[HIDRAULICO]])+VSLFO.MGO456[[#This Row],[FAENA EN LTS3]]</f>
        <v>100</v>
      </c>
    </row>
    <row r="28" spans="1:36" x14ac:dyDescent="0.25">
      <c r="A28" s="135"/>
      <c r="B28" s="219">
        <v>43896</v>
      </c>
      <c r="C28" s="7">
        <v>0.33333333333333331</v>
      </c>
      <c r="D28" s="4">
        <f>IF(VSLFO.MGO456[[#This Row],[FECHA]]-B27=1,((VSLFO.MGO456[[#This Row],[HORA]]-C27)*24)+24,(VSLFO.MGO456[[#This Row],[HORA]]-C27)*24)</f>
        <v>24</v>
      </c>
      <c r="E28" s="10" t="s">
        <v>1051</v>
      </c>
      <c r="F28" s="10" t="s">
        <v>1051</v>
      </c>
      <c r="G28" s="212"/>
      <c r="H28" s="201"/>
      <c r="I28" s="201"/>
      <c r="J28" s="207"/>
      <c r="K28" s="153">
        <v>0</v>
      </c>
      <c r="L28" s="3">
        <v>2.5</v>
      </c>
      <c r="M28" s="3">
        <v>2</v>
      </c>
      <c r="N28" s="3">
        <f t="shared" si="0"/>
        <v>4.5</v>
      </c>
      <c r="O28" s="1"/>
      <c r="P28" s="152">
        <f t="shared" si="2"/>
        <v>615.54291666666666</v>
      </c>
      <c r="Q28" s="150">
        <v>0</v>
      </c>
      <c r="R28" s="199">
        <v>0</v>
      </c>
      <c r="S28" s="199">
        <v>0</v>
      </c>
      <c r="T28" s="199">
        <v>0</v>
      </c>
      <c r="U28" s="199">
        <v>0</v>
      </c>
      <c r="V28" s="199">
        <f t="shared" si="1"/>
        <v>0</v>
      </c>
      <c r="W28" s="199">
        <v>0</v>
      </c>
      <c r="X28" s="151">
        <f>(X27-VSLFO.MGO456[[#This Row],[TOTAL]])+VSLFO.MGO456[[#This Row],[FAENA2]]</f>
        <v>97.4</v>
      </c>
      <c r="Y28" s="150"/>
      <c r="Z28" s="199"/>
      <c r="AA28" s="149">
        <f>(AA27-VSLFO.MGO456[[#This Row],[CYLINDER MP]])+VSLFO.MGO456[[#This Row],[FAENA EN LTS]]</f>
        <v>100</v>
      </c>
      <c r="AB28" s="199"/>
      <c r="AC28" s="199"/>
      <c r="AD28" s="149">
        <f>(AD27-VSLFO.MGO456[[#This Row],[CARTER MP.]])+VSLFO.MGO456[[#This Row],[FAENA EN LTS2]]</f>
        <v>100</v>
      </c>
      <c r="AE28" s="199"/>
      <c r="AF28" s="199"/>
      <c r="AG28" s="149">
        <f>(AG27-VSLFO.MGO456[[#This Row],[MOT AUX]])+VSLFO.MGO456[[#This Row],[FAENA EN  LTS]]</f>
        <v>100</v>
      </c>
      <c r="AH28" s="199"/>
      <c r="AI28" s="199"/>
      <c r="AJ28" s="148">
        <f>(AJ27-VSLFO.MGO456[[#This Row],[HIDRAULICO]])+VSLFO.MGO456[[#This Row],[FAENA EN LTS3]]</f>
        <v>100</v>
      </c>
    </row>
    <row r="29" spans="1:36" x14ac:dyDescent="0.25">
      <c r="A29" s="135"/>
      <c r="B29" s="219">
        <v>43896</v>
      </c>
      <c r="C29" s="7">
        <v>0.97916666666666663</v>
      </c>
      <c r="D29" s="4">
        <f>IF(VSLFO.MGO456[[#This Row],[FECHA]]-B28=1,((VSLFO.MGO456[[#This Row],[HORA]]-C28)*24)+24,(VSLFO.MGO456[[#This Row],[HORA]]-C28)*24)</f>
        <v>15.499999999999998</v>
      </c>
      <c r="E29" s="10" t="s">
        <v>1051</v>
      </c>
      <c r="F29" s="10" t="s">
        <v>1090</v>
      </c>
      <c r="G29" s="212"/>
      <c r="H29" s="201"/>
      <c r="I29" s="201"/>
      <c r="J29" s="207"/>
      <c r="K29" s="153">
        <v>0</v>
      </c>
      <c r="L29" s="3">
        <v>1.6145833333333333</v>
      </c>
      <c r="M29" s="3">
        <v>1.2916666666666665</v>
      </c>
      <c r="N29" s="3">
        <f t="shared" si="0"/>
        <v>2.90625</v>
      </c>
      <c r="O29" s="1"/>
      <c r="P29" s="152">
        <f t="shared" si="2"/>
        <v>612.63666666666666</v>
      </c>
      <c r="Q29" s="150">
        <v>0</v>
      </c>
      <c r="R29" s="199">
        <v>0</v>
      </c>
      <c r="S29" s="199">
        <v>0</v>
      </c>
      <c r="T29" s="199">
        <v>0</v>
      </c>
      <c r="U29" s="199">
        <v>0</v>
      </c>
      <c r="V29" s="199">
        <f t="shared" si="1"/>
        <v>0</v>
      </c>
      <c r="W29" s="199">
        <v>0</v>
      </c>
      <c r="X29" s="151">
        <f>(X28-VSLFO.MGO456[[#This Row],[TOTAL]])+VSLFO.MGO456[[#This Row],[FAENA2]]</f>
        <v>97.4</v>
      </c>
      <c r="Y29" s="150"/>
      <c r="Z29" s="199"/>
      <c r="AA29" s="149">
        <f>(AA28-VSLFO.MGO456[[#This Row],[CYLINDER MP]])+VSLFO.MGO456[[#This Row],[FAENA EN LTS]]</f>
        <v>100</v>
      </c>
      <c r="AB29" s="199"/>
      <c r="AC29" s="199"/>
      <c r="AD29" s="149">
        <f>(AD28-VSLFO.MGO456[[#This Row],[CARTER MP.]])+VSLFO.MGO456[[#This Row],[FAENA EN LTS2]]</f>
        <v>100</v>
      </c>
      <c r="AE29" s="199"/>
      <c r="AF29" s="199"/>
      <c r="AG29" s="149">
        <f>(AG28-VSLFO.MGO456[[#This Row],[MOT AUX]])+VSLFO.MGO456[[#This Row],[FAENA EN  LTS]]</f>
        <v>100</v>
      </c>
      <c r="AH29" s="199"/>
      <c r="AI29" s="199"/>
      <c r="AJ29" s="148">
        <f>(AJ28-VSLFO.MGO456[[#This Row],[HIDRAULICO]])+VSLFO.MGO456[[#This Row],[FAENA EN LTS3]]</f>
        <v>100</v>
      </c>
    </row>
    <row r="30" spans="1:36" x14ac:dyDescent="0.25">
      <c r="A30" s="135"/>
      <c r="B30" s="219">
        <v>43897</v>
      </c>
      <c r="C30" s="7">
        <v>0.20833333333333334</v>
      </c>
      <c r="D30" s="4">
        <f>IF(VSLFO.MGO456[[#This Row],[FECHA]]-B29=1,((VSLFO.MGO456[[#This Row],[HORA]]-C29)*24)+24,(VSLFO.MGO456[[#This Row],[HORA]]-C29)*24)</f>
        <v>5.5</v>
      </c>
      <c r="E30" s="10" t="s">
        <v>1425</v>
      </c>
      <c r="F30" s="10" t="s">
        <v>1011</v>
      </c>
      <c r="G30" s="212"/>
      <c r="H30" s="201"/>
      <c r="I30" s="201"/>
      <c r="J30" s="207"/>
      <c r="K30" s="153">
        <v>0</v>
      </c>
      <c r="L30" s="3">
        <v>0.57291666666666674</v>
      </c>
      <c r="M30" s="3">
        <v>0.45833333333333331</v>
      </c>
      <c r="N30" s="3">
        <f t="shared" si="0"/>
        <v>1.03125</v>
      </c>
      <c r="O30" s="1"/>
      <c r="P30" s="152">
        <f t="shared" si="2"/>
        <v>611.60541666666666</v>
      </c>
      <c r="Q30" s="150">
        <v>0</v>
      </c>
      <c r="R30" s="199">
        <v>0</v>
      </c>
      <c r="S30" s="199">
        <v>0</v>
      </c>
      <c r="T30" s="199">
        <v>0</v>
      </c>
      <c r="U30" s="199">
        <v>0</v>
      </c>
      <c r="V30" s="199">
        <f t="shared" si="1"/>
        <v>0</v>
      </c>
      <c r="W30" s="199">
        <v>0</v>
      </c>
      <c r="X30" s="151">
        <f>(X29-VSLFO.MGO456[[#This Row],[TOTAL]])+VSLFO.MGO456[[#This Row],[FAENA2]]</f>
        <v>97.4</v>
      </c>
      <c r="Y30" s="150"/>
      <c r="Z30" s="199"/>
      <c r="AA30" s="149">
        <f>(AA29-VSLFO.MGO456[[#This Row],[CYLINDER MP]])+VSLFO.MGO456[[#This Row],[FAENA EN LTS]]</f>
        <v>100</v>
      </c>
      <c r="AB30" s="199"/>
      <c r="AC30" s="199"/>
      <c r="AD30" s="149">
        <f>(AD29-VSLFO.MGO456[[#This Row],[CARTER MP.]])+VSLFO.MGO456[[#This Row],[FAENA EN LTS2]]</f>
        <v>100</v>
      </c>
      <c r="AE30" s="199"/>
      <c r="AF30" s="199"/>
      <c r="AG30" s="149">
        <f>(AG29-VSLFO.MGO456[[#This Row],[MOT AUX]])+VSLFO.MGO456[[#This Row],[FAENA EN  LTS]]</f>
        <v>100</v>
      </c>
      <c r="AH30" s="199"/>
      <c r="AI30" s="199"/>
      <c r="AJ30" s="148">
        <f>(AJ29-VSLFO.MGO456[[#This Row],[HIDRAULICO]])+VSLFO.MGO456[[#This Row],[FAENA EN LTS3]]</f>
        <v>100</v>
      </c>
    </row>
    <row r="31" spans="1:36" x14ac:dyDescent="0.25">
      <c r="A31" s="135"/>
      <c r="B31" s="219">
        <v>43897</v>
      </c>
      <c r="C31" s="7">
        <v>0.23750000000000002</v>
      </c>
      <c r="D31" s="4">
        <f>IF(VSLFO.MGO456[[#This Row],[FECHA]]-B30=1,((VSLFO.MGO456[[#This Row],[HORA]]-C30)*24)+24,(VSLFO.MGO456[[#This Row],[HORA]]-C30)*24)</f>
        <v>0.70000000000000018</v>
      </c>
      <c r="E31" s="10" t="s">
        <v>1057</v>
      </c>
      <c r="F31" s="10" t="s">
        <v>1432</v>
      </c>
      <c r="G31" s="212"/>
      <c r="H31" s="201"/>
      <c r="I31" s="201"/>
      <c r="J31" s="207"/>
      <c r="K31" s="153">
        <v>0.14583333333333337</v>
      </c>
      <c r="L31" s="3">
        <v>7.2916666666666685E-2</v>
      </c>
      <c r="M31" s="3">
        <v>5.8333333333333348E-2</v>
      </c>
      <c r="N31" s="3">
        <f t="shared" si="0"/>
        <v>0.2770833333333334</v>
      </c>
      <c r="O31" s="1"/>
      <c r="P31" s="152">
        <f t="shared" si="2"/>
        <v>611.32833333333338</v>
      </c>
      <c r="Q31" s="150">
        <v>0</v>
      </c>
      <c r="R31" s="199">
        <v>0</v>
      </c>
      <c r="S31" s="199">
        <v>0</v>
      </c>
      <c r="T31" s="199">
        <v>0</v>
      </c>
      <c r="U31" s="199">
        <v>0</v>
      </c>
      <c r="V31" s="199">
        <f t="shared" si="1"/>
        <v>0</v>
      </c>
      <c r="W31" s="199">
        <v>0</v>
      </c>
      <c r="X31" s="151">
        <f>(X30-VSLFO.MGO456[[#This Row],[TOTAL]])+VSLFO.MGO456[[#This Row],[FAENA2]]</f>
        <v>97.4</v>
      </c>
      <c r="Y31" s="150"/>
      <c r="Z31" s="199"/>
      <c r="AA31" s="149">
        <f>(AA30-VSLFO.MGO456[[#This Row],[CYLINDER MP]])+VSLFO.MGO456[[#This Row],[FAENA EN LTS]]</f>
        <v>100</v>
      </c>
      <c r="AB31" s="199"/>
      <c r="AC31" s="199"/>
      <c r="AD31" s="149">
        <f>(AD30-VSLFO.MGO456[[#This Row],[CARTER MP.]])+VSLFO.MGO456[[#This Row],[FAENA EN LTS2]]</f>
        <v>100</v>
      </c>
      <c r="AE31" s="199"/>
      <c r="AF31" s="199"/>
      <c r="AG31" s="149">
        <f>(AG30-VSLFO.MGO456[[#This Row],[MOT AUX]])+VSLFO.MGO456[[#This Row],[FAENA EN  LTS]]</f>
        <v>100</v>
      </c>
      <c r="AH31" s="199"/>
      <c r="AI31" s="199"/>
      <c r="AJ31" s="148">
        <f>(AJ30-VSLFO.MGO456[[#This Row],[HIDRAULICO]])+VSLFO.MGO456[[#This Row],[FAENA EN LTS3]]</f>
        <v>100</v>
      </c>
    </row>
    <row r="32" spans="1:36" x14ac:dyDescent="0.25">
      <c r="A32" s="135"/>
      <c r="B32" s="219">
        <v>43897</v>
      </c>
      <c r="C32" s="7">
        <v>0.26527777777777778</v>
      </c>
      <c r="D32" s="4">
        <f>IF(VSLFO.MGO456[[#This Row],[FECHA]]-B31=1,((VSLFO.MGO456[[#This Row],[HORA]]-C31)*24)+24,(VSLFO.MGO456[[#This Row],[HORA]]-C31)*24)</f>
        <v>0.6666666666666663</v>
      </c>
      <c r="E32" s="10" t="s">
        <v>1057</v>
      </c>
      <c r="F32" s="10" t="s">
        <v>1433</v>
      </c>
      <c r="G32" s="212"/>
      <c r="H32" s="201"/>
      <c r="I32" s="201"/>
      <c r="J32" s="207"/>
      <c r="K32" s="153">
        <v>0.27777777777777762</v>
      </c>
      <c r="L32" s="3">
        <v>6.9444444444444406E-2</v>
      </c>
      <c r="M32" s="3">
        <v>5.5555555555555525E-2</v>
      </c>
      <c r="N32" s="3">
        <f t="shared" si="0"/>
        <v>0.40277777777777757</v>
      </c>
      <c r="O32" s="1"/>
      <c r="P32" s="152">
        <f t="shared" si="2"/>
        <v>610.92555555555555</v>
      </c>
      <c r="Q32" s="150">
        <v>0</v>
      </c>
      <c r="R32" s="199">
        <v>0</v>
      </c>
      <c r="S32" s="199">
        <v>0</v>
      </c>
      <c r="T32" s="199">
        <v>0</v>
      </c>
      <c r="U32" s="199">
        <v>0</v>
      </c>
      <c r="V32" s="199">
        <f t="shared" si="1"/>
        <v>0</v>
      </c>
      <c r="W32" s="199">
        <v>0</v>
      </c>
      <c r="X32" s="151">
        <f>(X31-VSLFO.MGO456[[#This Row],[TOTAL]])+VSLFO.MGO456[[#This Row],[FAENA2]]</f>
        <v>97.4</v>
      </c>
      <c r="Y32" s="150"/>
      <c r="Z32" s="199"/>
      <c r="AA32" s="149">
        <f>(AA31-VSLFO.MGO456[[#This Row],[CYLINDER MP]])+VSLFO.MGO456[[#This Row],[FAENA EN LTS]]</f>
        <v>100</v>
      </c>
      <c r="AB32" s="199"/>
      <c r="AC32" s="199"/>
      <c r="AD32" s="149">
        <f>(AD31-VSLFO.MGO456[[#This Row],[CARTER MP.]])+VSLFO.MGO456[[#This Row],[FAENA EN LTS2]]</f>
        <v>100</v>
      </c>
      <c r="AE32" s="199"/>
      <c r="AF32" s="199"/>
      <c r="AG32" s="149">
        <f>(AG31-VSLFO.MGO456[[#This Row],[MOT AUX]])+VSLFO.MGO456[[#This Row],[FAENA EN  LTS]]</f>
        <v>100</v>
      </c>
      <c r="AH32" s="199"/>
      <c r="AI32" s="199"/>
      <c r="AJ32" s="148">
        <f>(AJ31-VSLFO.MGO456[[#This Row],[HIDRAULICO]])+VSLFO.MGO456[[#This Row],[FAENA EN LTS3]]</f>
        <v>100</v>
      </c>
    </row>
    <row r="33" spans="1:36" x14ac:dyDescent="0.25">
      <c r="A33" s="135"/>
      <c r="B33" s="219">
        <v>43897</v>
      </c>
      <c r="C33" s="7">
        <v>0.28333333333333333</v>
      </c>
      <c r="D33" s="4">
        <f>IF(VSLFO.MGO456[[#This Row],[FECHA]]-B32=1,((VSLFO.MGO456[[#This Row],[HORA]]-C32)*24)+24,(VSLFO.MGO456[[#This Row],[HORA]]-C32)*24)</f>
        <v>0.43333333333333313</v>
      </c>
      <c r="E33" s="10" t="s">
        <v>1057</v>
      </c>
      <c r="F33" s="10" t="s">
        <v>616</v>
      </c>
      <c r="G33" s="212"/>
      <c r="H33" s="201"/>
      <c r="I33" s="201"/>
      <c r="J33" s="207"/>
      <c r="K33" s="153">
        <v>9.0277777777777735E-2</v>
      </c>
      <c r="L33" s="3">
        <v>4.5138888888888867E-2</v>
      </c>
      <c r="M33" s="3">
        <v>3.6111111111111094E-2</v>
      </c>
      <c r="N33" s="3">
        <f t="shared" si="0"/>
        <v>0.1715277777777777</v>
      </c>
      <c r="O33" s="1"/>
      <c r="P33" s="152">
        <f t="shared" si="2"/>
        <v>610.75402777777776</v>
      </c>
      <c r="Q33" s="150">
        <v>0</v>
      </c>
      <c r="R33" s="199">
        <v>0</v>
      </c>
      <c r="S33" s="199">
        <v>0</v>
      </c>
      <c r="T33" s="199">
        <v>0</v>
      </c>
      <c r="U33" s="199">
        <v>0</v>
      </c>
      <c r="V33" s="199">
        <f t="shared" si="1"/>
        <v>0</v>
      </c>
      <c r="W33" s="199">
        <v>0</v>
      </c>
      <c r="X33" s="151">
        <f>(X32-VSLFO.MGO456[[#This Row],[TOTAL]])+VSLFO.MGO456[[#This Row],[FAENA2]]</f>
        <v>97.4</v>
      </c>
      <c r="Y33" s="150"/>
      <c r="Z33" s="199"/>
      <c r="AA33" s="149">
        <f>(AA32-VSLFO.MGO456[[#This Row],[CYLINDER MP]])+VSLFO.MGO456[[#This Row],[FAENA EN LTS]]</f>
        <v>100</v>
      </c>
      <c r="AB33" s="199"/>
      <c r="AC33" s="199"/>
      <c r="AD33" s="149">
        <f>(AD32-VSLFO.MGO456[[#This Row],[CARTER MP.]])+VSLFO.MGO456[[#This Row],[FAENA EN LTS2]]</f>
        <v>100</v>
      </c>
      <c r="AE33" s="199"/>
      <c r="AF33" s="199"/>
      <c r="AG33" s="149">
        <f>(AG32-VSLFO.MGO456[[#This Row],[MOT AUX]])+VSLFO.MGO456[[#This Row],[FAENA EN  LTS]]</f>
        <v>100</v>
      </c>
      <c r="AH33" s="199"/>
      <c r="AI33" s="199"/>
      <c r="AJ33" s="148">
        <f>(AJ32-VSLFO.MGO456[[#This Row],[HIDRAULICO]])+VSLFO.MGO456[[#This Row],[FAENA EN LTS3]]</f>
        <v>100</v>
      </c>
    </row>
    <row r="34" spans="1:36" x14ac:dyDescent="0.25">
      <c r="A34" s="135"/>
      <c r="B34" s="219">
        <v>43897</v>
      </c>
      <c r="C34" s="7">
        <v>0.33333333333333331</v>
      </c>
      <c r="D34" s="4">
        <f>IF(VSLFO.MGO456[[#This Row],[FECHA]]-B33=1,((VSLFO.MGO456[[#This Row],[HORA]]-C33)*24)+24,(VSLFO.MGO456[[#This Row],[HORA]]-C33)*24)</f>
        <v>1.1999999999999997</v>
      </c>
      <c r="E34" s="10" t="s">
        <v>351</v>
      </c>
      <c r="F34" s="10" t="s">
        <v>351</v>
      </c>
      <c r="G34" s="212"/>
      <c r="H34" s="201"/>
      <c r="I34" s="201"/>
      <c r="J34" s="207"/>
      <c r="K34" s="153">
        <v>0</v>
      </c>
      <c r="L34" s="3">
        <v>0.12499999999999997</v>
      </c>
      <c r="M34" s="3">
        <v>9.9999999999999978E-2</v>
      </c>
      <c r="N34" s="3">
        <f t="shared" si="0"/>
        <v>0.22499999999999995</v>
      </c>
      <c r="O34" s="1"/>
      <c r="P34" s="152">
        <f t="shared" si="2"/>
        <v>610.52902777777774</v>
      </c>
      <c r="Q34" s="150">
        <v>0</v>
      </c>
      <c r="R34" s="199">
        <v>0</v>
      </c>
      <c r="S34" s="199">
        <v>0</v>
      </c>
      <c r="T34" s="199">
        <v>0</v>
      </c>
      <c r="U34" s="199">
        <v>0</v>
      </c>
      <c r="V34" s="199">
        <f t="shared" si="1"/>
        <v>0</v>
      </c>
      <c r="W34" s="199">
        <v>0</v>
      </c>
      <c r="X34" s="151">
        <f>(X33-VSLFO.MGO456[[#This Row],[TOTAL]])+VSLFO.MGO456[[#This Row],[FAENA2]]</f>
        <v>97.4</v>
      </c>
      <c r="Y34" s="150"/>
      <c r="Z34" s="199"/>
      <c r="AA34" s="149">
        <f>(AA33-VSLFO.MGO456[[#This Row],[CYLINDER MP]])+VSLFO.MGO456[[#This Row],[FAENA EN LTS]]</f>
        <v>100</v>
      </c>
      <c r="AB34" s="199"/>
      <c r="AC34" s="199"/>
      <c r="AD34" s="149">
        <f>(AD33-VSLFO.MGO456[[#This Row],[CARTER MP.]])+VSLFO.MGO456[[#This Row],[FAENA EN LTS2]]</f>
        <v>100</v>
      </c>
      <c r="AE34" s="199"/>
      <c r="AF34" s="199"/>
      <c r="AG34" s="149">
        <f>(AG33-VSLFO.MGO456[[#This Row],[MOT AUX]])+VSLFO.MGO456[[#This Row],[FAENA EN  LTS]]</f>
        <v>100</v>
      </c>
      <c r="AH34" s="199"/>
      <c r="AI34" s="199"/>
      <c r="AJ34" s="148">
        <f>(AJ33-VSLFO.MGO456[[#This Row],[HIDRAULICO]])+VSLFO.MGO456[[#This Row],[FAENA EN LTS3]]</f>
        <v>100</v>
      </c>
    </row>
    <row r="35" spans="1:36" x14ac:dyDescent="0.25">
      <c r="A35" s="135"/>
      <c r="B35" s="219">
        <v>43898</v>
      </c>
      <c r="C35" s="7">
        <v>4.9999999999999996E-2</v>
      </c>
      <c r="D35" s="4">
        <f>IF(VSLFO.MGO456[[#This Row],[FECHA]]-B34=1,((VSLFO.MGO456[[#This Row],[HORA]]-C34)*24)+24,(VSLFO.MGO456[[#This Row],[HORA]]-C34)*24)</f>
        <v>17.2</v>
      </c>
      <c r="E35" s="10" t="s">
        <v>351</v>
      </c>
      <c r="F35" s="10" t="s">
        <v>1011</v>
      </c>
      <c r="G35" s="212"/>
      <c r="H35" s="201"/>
      <c r="I35" s="201"/>
      <c r="J35" s="207"/>
      <c r="K35" s="153">
        <v>0</v>
      </c>
      <c r="L35" s="3">
        <v>1.7916666666666667</v>
      </c>
      <c r="M35" s="3">
        <v>1.4333333333333331</v>
      </c>
      <c r="N35" s="3">
        <f t="shared" si="0"/>
        <v>3.2249999999999996</v>
      </c>
      <c r="O35" s="1"/>
      <c r="P35" s="152">
        <f t="shared" si="2"/>
        <v>607.30402777777772</v>
      </c>
      <c r="Q35" s="150">
        <v>0</v>
      </c>
      <c r="R35" s="199">
        <v>0</v>
      </c>
      <c r="S35" s="199">
        <v>0</v>
      </c>
      <c r="T35" s="199">
        <v>0</v>
      </c>
      <c r="U35" s="199">
        <v>0</v>
      </c>
      <c r="V35" s="199">
        <f t="shared" si="1"/>
        <v>0</v>
      </c>
      <c r="W35" s="199">
        <v>0</v>
      </c>
      <c r="X35" s="151">
        <f>(X34-VSLFO.MGO456[[#This Row],[TOTAL]])+VSLFO.MGO456[[#This Row],[FAENA2]]</f>
        <v>97.4</v>
      </c>
      <c r="Y35" s="150"/>
      <c r="Z35" s="199"/>
      <c r="AA35" s="149">
        <f>(AA34-VSLFO.MGO456[[#This Row],[CYLINDER MP]])+VSLFO.MGO456[[#This Row],[FAENA EN LTS]]</f>
        <v>100</v>
      </c>
      <c r="AB35" s="199"/>
      <c r="AC35" s="199"/>
      <c r="AD35" s="149">
        <f>(AD34-VSLFO.MGO456[[#This Row],[CARTER MP.]])+VSLFO.MGO456[[#This Row],[FAENA EN LTS2]]</f>
        <v>100</v>
      </c>
      <c r="AE35" s="199"/>
      <c r="AF35" s="199"/>
      <c r="AG35" s="149">
        <f>(AG34-VSLFO.MGO456[[#This Row],[MOT AUX]])+VSLFO.MGO456[[#This Row],[FAENA EN  LTS]]</f>
        <v>100</v>
      </c>
      <c r="AH35" s="199"/>
      <c r="AI35" s="199"/>
      <c r="AJ35" s="148">
        <f>(AJ34-VSLFO.MGO456[[#This Row],[HIDRAULICO]])+VSLFO.MGO456[[#This Row],[FAENA EN LTS3]]</f>
        <v>100</v>
      </c>
    </row>
    <row r="36" spans="1:36" x14ac:dyDescent="0.25">
      <c r="A36" s="135"/>
      <c r="B36" s="219">
        <v>43898</v>
      </c>
      <c r="C36" s="7">
        <v>8.3333333333333329E-2</v>
      </c>
      <c r="D36" s="4">
        <f>IF(VSLFO.MGO456[[#This Row],[FECHA]]-B35=1,((VSLFO.MGO456[[#This Row],[HORA]]-C35)*24)+24,(VSLFO.MGO456[[#This Row],[HORA]]-C35)*24)</f>
        <v>0.8</v>
      </c>
      <c r="E36" s="10" t="s">
        <v>1057</v>
      </c>
      <c r="F36" s="10" t="s">
        <v>1434</v>
      </c>
      <c r="G36" s="212"/>
      <c r="H36" s="201"/>
      <c r="I36" s="201" t="s">
        <v>1297</v>
      </c>
      <c r="J36" s="207">
        <v>95</v>
      </c>
      <c r="K36" s="153">
        <v>0.16666666666666669</v>
      </c>
      <c r="L36" s="3">
        <v>8.3333333333333343E-2</v>
      </c>
      <c r="M36" s="3">
        <v>6.6666666666666666E-2</v>
      </c>
      <c r="N36" s="3">
        <f t="shared" si="0"/>
        <v>0.31666666666666665</v>
      </c>
      <c r="O36" s="1"/>
      <c r="P36" s="152">
        <f t="shared" si="2"/>
        <v>606.987361111111</v>
      </c>
      <c r="Q36" s="150">
        <v>0</v>
      </c>
      <c r="R36" s="199">
        <v>0</v>
      </c>
      <c r="S36" s="199">
        <v>0</v>
      </c>
      <c r="T36" s="199">
        <v>0</v>
      </c>
      <c r="U36" s="199">
        <v>0</v>
      </c>
      <c r="V36" s="199">
        <f t="shared" si="1"/>
        <v>0</v>
      </c>
      <c r="W36" s="199">
        <v>0</v>
      </c>
      <c r="X36" s="151">
        <f>(X35-VSLFO.MGO456[[#This Row],[TOTAL]])+VSLFO.MGO456[[#This Row],[FAENA2]]</f>
        <v>97.4</v>
      </c>
      <c r="Y36" s="150"/>
      <c r="Z36" s="199"/>
      <c r="AA36" s="149">
        <f>(AA35-VSLFO.MGO456[[#This Row],[CYLINDER MP]])+VSLFO.MGO456[[#This Row],[FAENA EN LTS]]</f>
        <v>100</v>
      </c>
      <c r="AB36" s="199"/>
      <c r="AC36" s="199"/>
      <c r="AD36" s="149">
        <f>(AD35-VSLFO.MGO456[[#This Row],[CARTER MP.]])+VSLFO.MGO456[[#This Row],[FAENA EN LTS2]]</f>
        <v>100</v>
      </c>
      <c r="AE36" s="199"/>
      <c r="AF36" s="199"/>
      <c r="AG36" s="149">
        <f>(AG35-VSLFO.MGO456[[#This Row],[MOT AUX]])+VSLFO.MGO456[[#This Row],[FAENA EN  LTS]]</f>
        <v>100</v>
      </c>
      <c r="AH36" s="199"/>
      <c r="AI36" s="199"/>
      <c r="AJ36" s="148">
        <f>(AJ35-VSLFO.MGO456[[#This Row],[HIDRAULICO]])+VSLFO.MGO456[[#This Row],[FAENA EN LTS3]]</f>
        <v>100</v>
      </c>
    </row>
    <row r="37" spans="1:36" x14ac:dyDescent="0.25">
      <c r="A37" s="161"/>
      <c r="B37" s="219">
        <v>43898</v>
      </c>
      <c r="C37" s="160">
        <v>0.33333333333333331</v>
      </c>
      <c r="D37" s="4">
        <f>IF(VSLFO.MGO456[[#This Row],[FECHA]]-B36=1,((VSLFO.MGO456[[#This Row],[HORA]]-C36)*24)+24,(VSLFO.MGO456[[#This Row],[HORA]]-C36)*24)</f>
        <v>6</v>
      </c>
      <c r="E37" s="10" t="s">
        <v>1338</v>
      </c>
      <c r="F37" s="10" t="s">
        <v>355</v>
      </c>
      <c r="G37" s="214"/>
      <c r="H37" s="203"/>
      <c r="I37" s="202" t="s">
        <v>1297</v>
      </c>
      <c r="J37" s="209">
        <v>95</v>
      </c>
      <c r="K37" s="159">
        <v>5</v>
      </c>
      <c r="L37" s="158">
        <v>0.625</v>
      </c>
      <c r="M37" s="158">
        <v>0</v>
      </c>
      <c r="N37" s="3">
        <f t="shared" si="0"/>
        <v>5.625</v>
      </c>
      <c r="O37" s="157"/>
      <c r="P37" s="152">
        <f t="shared" si="2"/>
        <v>601.362361111111</v>
      </c>
      <c r="Q37" s="156">
        <v>0</v>
      </c>
      <c r="R37" s="155">
        <v>0</v>
      </c>
      <c r="S37" s="155">
        <v>0</v>
      </c>
      <c r="T37" s="155">
        <v>0</v>
      </c>
      <c r="U37" s="155">
        <v>0</v>
      </c>
      <c r="V37" s="155">
        <f t="shared" ref="V37:V100" si="3">SUM(Q37:U37)</f>
        <v>0</v>
      </c>
      <c r="W37" s="155">
        <v>0</v>
      </c>
      <c r="X37" s="151">
        <f>(X36-VSLFO.MGO456[[#This Row],[TOTAL]])+VSLFO.MGO456[[#This Row],[FAENA2]]</f>
        <v>97.4</v>
      </c>
      <c r="Y37" s="156"/>
      <c r="Z37" s="155"/>
      <c r="AA37" s="149">
        <f>(AA36-VSLFO.MGO456[[#This Row],[CYLINDER MP]])+VSLFO.MGO456[[#This Row],[FAENA EN LTS]]</f>
        <v>100</v>
      </c>
      <c r="AB37" s="155"/>
      <c r="AC37" s="155"/>
      <c r="AD37" s="149">
        <f>(AD36-VSLFO.MGO456[[#This Row],[CARTER MP.]])+VSLFO.MGO456[[#This Row],[FAENA EN LTS2]]</f>
        <v>100</v>
      </c>
      <c r="AE37" s="155"/>
      <c r="AF37" s="155"/>
      <c r="AG37" s="149">
        <f>(AG36-VSLFO.MGO456[[#This Row],[MOT AUX]])+VSLFO.MGO456[[#This Row],[FAENA EN  LTS]]</f>
        <v>100</v>
      </c>
      <c r="AH37" s="155"/>
      <c r="AI37" s="155"/>
      <c r="AJ37" s="148">
        <f>(AJ36-VSLFO.MGO456[[#This Row],[HIDRAULICO]])+VSLFO.MGO456[[#This Row],[FAENA EN LTS3]]</f>
        <v>100</v>
      </c>
    </row>
    <row r="38" spans="1:36" x14ac:dyDescent="0.25">
      <c r="A38" s="228"/>
      <c r="B38" s="219">
        <v>43899</v>
      </c>
      <c r="C38" s="160">
        <v>0.33333333333333331</v>
      </c>
      <c r="D38" s="4">
        <f>IF(VSLFO.MGO456[[#This Row],[FECHA]]-B37=1,((VSLFO.MGO456[[#This Row],[HORA]]-C37)*24)+24,(VSLFO.MGO456[[#This Row],[HORA]]-C37)*24)</f>
        <v>24</v>
      </c>
      <c r="E38" s="10" t="s">
        <v>1338</v>
      </c>
      <c r="F38" s="10" t="s">
        <v>355</v>
      </c>
      <c r="G38" s="214"/>
      <c r="H38" s="203"/>
      <c r="I38" s="202" t="s">
        <v>1297</v>
      </c>
      <c r="J38" s="209">
        <v>95</v>
      </c>
      <c r="K38" s="159">
        <v>22</v>
      </c>
      <c r="L38" s="158">
        <v>2.5</v>
      </c>
      <c r="M38" s="158">
        <v>0</v>
      </c>
      <c r="N38" s="3">
        <f t="shared" si="0"/>
        <v>24.5</v>
      </c>
      <c r="O38" s="157"/>
      <c r="P38" s="152">
        <f t="shared" si="2"/>
        <v>576.862361111111</v>
      </c>
      <c r="Q38" s="156">
        <v>0</v>
      </c>
      <c r="R38" s="155">
        <v>0</v>
      </c>
      <c r="S38" s="155">
        <v>0</v>
      </c>
      <c r="T38" s="155">
        <v>0</v>
      </c>
      <c r="U38" s="155">
        <v>0</v>
      </c>
      <c r="V38" s="155">
        <f t="shared" si="3"/>
        <v>0</v>
      </c>
      <c r="W38" s="155">
        <v>0</v>
      </c>
      <c r="X38" s="151">
        <f>(X37-VSLFO.MGO456[[#This Row],[TOTAL]])+VSLFO.MGO456[[#This Row],[FAENA2]]</f>
        <v>97.4</v>
      </c>
      <c r="Y38" s="156"/>
      <c r="Z38" s="155"/>
      <c r="AA38" s="149">
        <f>(AA37-VSLFO.MGO456[[#This Row],[CYLINDER MP]])+VSLFO.MGO456[[#This Row],[FAENA EN LTS]]</f>
        <v>100</v>
      </c>
      <c r="AB38" s="155"/>
      <c r="AC38" s="155"/>
      <c r="AD38" s="149">
        <f>(AD37-VSLFO.MGO456[[#This Row],[CARTER MP.]])+VSLFO.MGO456[[#This Row],[FAENA EN LTS2]]</f>
        <v>100</v>
      </c>
      <c r="AE38" s="155"/>
      <c r="AF38" s="155"/>
      <c r="AG38" s="149">
        <f>(AG37-VSLFO.MGO456[[#This Row],[MOT AUX]])+VSLFO.MGO456[[#This Row],[FAENA EN  LTS]]</f>
        <v>100</v>
      </c>
      <c r="AH38" s="155"/>
      <c r="AI38" s="155"/>
      <c r="AJ38" s="148">
        <f>(AJ37-VSLFO.MGO456[[#This Row],[HIDRAULICO]])+VSLFO.MGO456[[#This Row],[FAENA EN LTS3]]</f>
        <v>100</v>
      </c>
    </row>
    <row r="39" spans="1:36" x14ac:dyDescent="0.25">
      <c r="A39" s="161"/>
      <c r="B39" s="219">
        <v>43900</v>
      </c>
      <c r="C39" s="160">
        <v>0.29166666666666669</v>
      </c>
      <c r="D39" s="4">
        <f>IF(VSLFO.MGO456[[#This Row],[FECHA]]-B38=1,((VSLFO.MGO456[[#This Row],[HORA]]-C38)*24)+24,(VSLFO.MGO456[[#This Row],[HORA]]-C38)*24)</f>
        <v>23</v>
      </c>
      <c r="E39" s="10" t="s">
        <v>1338</v>
      </c>
      <c r="F39" s="10" t="s">
        <v>109</v>
      </c>
      <c r="G39" s="214">
        <v>530</v>
      </c>
      <c r="H39" s="203">
        <v>10</v>
      </c>
      <c r="I39" s="202" t="s">
        <v>1297</v>
      </c>
      <c r="J39" s="209">
        <v>95</v>
      </c>
      <c r="K39" s="159">
        <v>21.083333333333332</v>
      </c>
      <c r="L39" s="158">
        <v>2.3958333333333335</v>
      </c>
      <c r="M39" s="158">
        <v>0</v>
      </c>
      <c r="N39" s="3">
        <f t="shared" si="0"/>
        <v>23.479166666666664</v>
      </c>
      <c r="O39" s="157"/>
      <c r="P39" s="152">
        <f t="shared" si="2"/>
        <v>553.38319444444437</v>
      </c>
      <c r="Q39" s="156">
        <v>0</v>
      </c>
      <c r="R39" s="155">
        <v>0</v>
      </c>
      <c r="S39" s="155">
        <v>0</v>
      </c>
      <c r="T39" s="155">
        <v>0</v>
      </c>
      <c r="U39" s="155">
        <v>0</v>
      </c>
      <c r="V39" s="155">
        <f t="shared" si="3"/>
        <v>0</v>
      </c>
      <c r="W39" s="155">
        <v>0</v>
      </c>
      <c r="X39" s="151">
        <f>(X38-VSLFO.MGO456[[#This Row],[TOTAL]])+VSLFO.MGO456[[#This Row],[FAENA2]]</f>
        <v>97.4</v>
      </c>
      <c r="Y39" s="156"/>
      <c r="Z39" s="155"/>
      <c r="AA39" s="149">
        <f>(AA38-VSLFO.MGO456[[#This Row],[CYLINDER MP]])+VSLFO.MGO456[[#This Row],[FAENA EN LTS]]</f>
        <v>100</v>
      </c>
      <c r="AB39" s="155"/>
      <c r="AC39" s="155"/>
      <c r="AD39" s="149">
        <f>(AD38-VSLFO.MGO456[[#This Row],[CARTER MP.]])+VSLFO.MGO456[[#This Row],[FAENA EN LTS2]]</f>
        <v>100</v>
      </c>
      <c r="AE39" s="155"/>
      <c r="AF39" s="155"/>
      <c r="AG39" s="149">
        <f>(AG38-VSLFO.MGO456[[#This Row],[MOT AUX]])+VSLFO.MGO456[[#This Row],[FAENA EN  LTS]]</f>
        <v>100</v>
      </c>
      <c r="AH39" s="155"/>
      <c r="AI39" s="155"/>
      <c r="AJ39" s="148">
        <f>(AJ38-VSLFO.MGO456[[#This Row],[HIDRAULICO]])+VSLFO.MGO456[[#This Row],[FAENA EN LTS3]]</f>
        <v>100</v>
      </c>
    </row>
    <row r="40" spans="1:36" x14ac:dyDescent="0.25">
      <c r="A40" s="135"/>
      <c r="B40" s="219">
        <v>43900</v>
      </c>
      <c r="C40" s="7">
        <v>0.33333333333333331</v>
      </c>
      <c r="D40" s="4">
        <f>IF(VSLFO.MGO456[[#This Row],[FECHA]]-B39=1,((VSLFO.MGO456[[#This Row],[HORA]]-C39)*24)+24,(VSLFO.MGO456[[#This Row],[HORA]]-C39)*24)</f>
        <v>0.99999999999999911</v>
      </c>
      <c r="E40" s="10" t="s">
        <v>1057</v>
      </c>
      <c r="F40" s="10" t="s">
        <v>1106</v>
      </c>
      <c r="G40" s="212"/>
      <c r="H40" s="201"/>
      <c r="I40" s="201"/>
      <c r="J40" s="207"/>
      <c r="K40" s="153">
        <v>0.12499999999999989</v>
      </c>
      <c r="L40" s="3">
        <v>0.10416666666666657</v>
      </c>
      <c r="M40" s="3">
        <v>8.3333333333333259E-2</v>
      </c>
      <c r="N40" s="3">
        <f t="shared" si="0"/>
        <v>0.31249999999999972</v>
      </c>
      <c r="O40" s="1"/>
      <c r="P40" s="152">
        <f t="shared" si="2"/>
        <v>553.07069444444437</v>
      </c>
      <c r="Q40" s="150">
        <v>0</v>
      </c>
      <c r="R40" s="199">
        <v>0</v>
      </c>
      <c r="S40" s="199">
        <v>0</v>
      </c>
      <c r="T40" s="199">
        <v>0</v>
      </c>
      <c r="U40" s="199">
        <v>0</v>
      </c>
      <c r="V40" s="155">
        <f t="shared" si="3"/>
        <v>0</v>
      </c>
      <c r="W40" s="199">
        <v>0</v>
      </c>
      <c r="X40" s="151">
        <f>(X39-VSLFO.MGO456[[#This Row],[TOTAL]])+VSLFO.MGO456[[#This Row],[FAENA2]]</f>
        <v>97.4</v>
      </c>
      <c r="Y40" s="150"/>
      <c r="Z40" s="199"/>
      <c r="AA40" s="149">
        <f>(AA39-VSLFO.MGO456[[#This Row],[CYLINDER MP]])+VSLFO.MGO456[[#This Row],[FAENA EN LTS]]</f>
        <v>100</v>
      </c>
      <c r="AB40" s="199"/>
      <c r="AC40" s="199"/>
      <c r="AD40" s="149">
        <f>(AD39-VSLFO.MGO456[[#This Row],[CARTER MP.]])+VSLFO.MGO456[[#This Row],[FAENA EN LTS2]]</f>
        <v>100</v>
      </c>
      <c r="AE40" s="199"/>
      <c r="AF40" s="199"/>
      <c r="AG40" s="149">
        <f>(AG39-VSLFO.MGO456[[#This Row],[MOT AUX]])+VSLFO.MGO456[[#This Row],[FAENA EN  LTS]]</f>
        <v>100</v>
      </c>
      <c r="AH40" s="199"/>
      <c r="AI40" s="199"/>
      <c r="AJ40" s="148">
        <f>(AJ39-VSLFO.MGO456[[#This Row],[HIDRAULICO]])+VSLFO.MGO456[[#This Row],[FAENA EN LTS3]]</f>
        <v>100</v>
      </c>
    </row>
    <row r="41" spans="1:36" x14ac:dyDescent="0.25">
      <c r="A41" s="161"/>
      <c r="B41" s="219">
        <v>43900</v>
      </c>
      <c r="C41" s="160">
        <v>0.41250000000000003</v>
      </c>
      <c r="D41" s="4">
        <f>IF(VSLFO.MGO456[[#This Row],[FECHA]]-B40=1,((VSLFO.MGO456[[#This Row],[HORA]]-C40)*24)+24,(VSLFO.MGO456[[#This Row],[HORA]]-C40)*24)</f>
        <v>1.9000000000000012</v>
      </c>
      <c r="E41" s="10" t="s">
        <v>1057</v>
      </c>
      <c r="F41" s="10" t="s">
        <v>616</v>
      </c>
      <c r="G41" s="214"/>
      <c r="H41" s="203"/>
      <c r="I41" s="203"/>
      <c r="J41" s="209"/>
      <c r="K41" s="159">
        <v>0.23750000000000016</v>
      </c>
      <c r="L41" s="158">
        <v>0.1979166666666668</v>
      </c>
      <c r="M41" s="158">
        <v>0.15833333333333344</v>
      </c>
      <c r="N41" s="3">
        <f t="shared" si="0"/>
        <v>0.59375000000000044</v>
      </c>
      <c r="O41" s="157"/>
      <c r="P41" s="152">
        <f t="shared" si="2"/>
        <v>552.47694444444437</v>
      </c>
      <c r="Q41" s="156">
        <v>0</v>
      </c>
      <c r="R41" s="155">
        <v>0</v>
      </c>
      <c r="S41" s="155">
        <v>0</v>
      </c>
      <c r="T41" s="155">
        <v>0</v>
      </c>
      <c r="U41" s="155">
        <v>0</v>
      </c>
      <c r="V41" s="155">
        <f t="shared" si="3"/>
        <v>0</v>
      </c>
      <c r="W41" s="155">
        <v>0</v>
      </c>
      <c r="X41" s="151">
        <f>(X40-VSLFO.MGO456[[#This Row],[TOTAL]])+VSLFO.MGO456[[#This Row],[FAENA2]]</f>
        <v>97.4</v>
      </c>
      <c r="Y41" s="156"/>
      <c r="Z41" s="155"/>
      <c r="AA41" s="149">
        <f>(AA40-VSLFO.MGO456[[#This Row],[CYLINDER MP]])+VSLFO.MGO456[[#This Row],[FAENA EN LTS]]</f>
        <v>100</v>
      </c>
      <c r="AB41" s="155"/>
      <c r="AC41" s="155"/>
      <c r="AD41" s="149">
        <f>(AD40-VSLFO.MGO456[[#This Row],[CARTER MP.]])+VSLFO.MGO456[[#This Row],[FAENA EN LTS2]]</f>
        <v>100</v>
      </c>
      <c r="AE41" s="155"/>
      <c r="AF41" s="155"/>
      <c r="AG41" s="149">
        <f>(AG40-VSLFO.MGO456[[#This Row],[MOT AUX]])+VSLFO.MGO456[[#This Row],[FAENA EN  LTS]]</f>
        <v>100</v>
      </c>
      <c r="AH41" s="155"/>
      <c r="AI41" s="155"/>
      <c r="AJ41" s="148">
        <f>(AJ40-VSLFO.MGO456[[#This Row],[HIDRAULICO]])+VSLFO.MGO456[[#This Row],[FAENA EN LTS3]]</f>
        <v>100</v>
      </c>
    </row>
    <row r="42" spans="1:36" x14ac:dyDescent="0.25">
      <c r="A42" s="135"/>
      <c r="B42" s="219">
        <v>43900</v>
      </c>
      <c r="C42" s="7">
        <v>0.58333333333333337</v>
      </c>
      <c r="D42" s="4">
        <f>IF(VSLFO.MGO456[[#This Row],[FECHA]]-B41=1,((VSLFO.MGO456[[#This Row],[HORA]]-C41)*24)+24,(VSLFO.MGO456[[#This Row],[HORA]]-C41)*24)</f>
        <v>4.0999999999999996</v>
      </c>
      <c r="E42" s="10" t="s">
        <v>1425</v>
      </c>
      <c r="F42" s="10" t="s">
        <v>1004</v>
      </c>
      <c r="G42" s="212"/>
      <c r="H42" s="201"/>
      <c r="I42" s="201"/>
      <c r="J42" s="207"/>
      <c r="K42" s="153">
        <v>0</v>
      </c>
      <c r="L42" s="3">
        <v>0.42708333333333331</v>
      </c>
      <c r="M42" s="3">
        <v>0.34166666666666662</v>
      </c>
      <c r="N42" s="3">
        <f t="shared" si="0"/>
        <v>0.76874999999999993</v>
      </c>
      <c r="O42" s="1"/>
      <c r="P42" s="152">
        <f t="shared" si="2"/>
        <v>551.70819444444442</v>
      </c>
      <c r="Q42" s="150">
        <v>0</v>
      </c>
      <c r="R42" s="199">
        <v>0</v>
      </c>
      <c r="S42" s="199">
        <v>0</v>
      </c>
      <c r="T42" s="199">
        <v>0</v>
      </c>
      <c r="U42" s="199">
        <v>0</v>
      </c>
      <c r="V42" s="155">
        <f t="shared" si="3"/>
        <v>0</v>
      </c>
      <c r="W42" s="199">
        <v>0</v>
      </c>
      <c r="X42" s="151">
        <f>(X41-VSLFO.MGO456[[#This Row],[TOTAL]])+VSLFO.MGO456[[#This Row],[FAENA2]]</f>
        <v>97.4</v>
      </c>
      <c r="Y42" s="150"/>
      <c r="Z42" s="199"/>
      <c r="AA42" s="149">
        <f>(AA41-VSLFO.MGO456[[#This Row],[CYLINDER MP]])+VSLFO.MGO456[[#This Row],[FAENA EN LTS]]</f>
        <v>100</v>
      </c>
      <c r="AB42" s="199"/>
      <c r="AC42" s="199"/>
      <c r="AD42" s="149">
        <f>(AD41-VSLFO.MGO456[[#This Row],[CARTER MP.]])+VSLFO.MGO456[[#This Row],[FAENA EN LTS2]]</f>
        <v>100</v>
      </c>
      <c r="AE42" s="199"/>
      <c r="AF42" s="199"/>
      <c r="AG42" s="149">
        <f>(AG41-VSLFO.MGO456[[#This Row],[MOT AUX]])+VSLFO.MGO456[[#This Row],[FAENA EN  LTS]]</f>
        <v>100</v>
      </c>
      <c r="AH42" s="199"/>
      <c r="AI42" s="199"/>
      <c r="AJ42" s="148">
        <f>(AJ41-VSLFO.MGO456[[#This Row],[HIDRAULICO]])+VSLFO.MGO456[[#This Row],[FAENA EN LTS3]]</f>
        <v>100</v>
      </c>
    </row>
    <row r="43" spans="1:36" x14ac:dyDescent="0.25">
      <c r="A43" s="135"/>
      <c r="B43" s="219">
        <v>43901</v>
      </c>
      <c r="C43" s="7">
        <v>0.33333333333333331</v>
      </c>
      <c r="D43" s="4">
        <f>IF(VSLFO.MGO456[[#This Row],[FECHA]]-B42=1,((VSLFO.MGO456[[#This Row],[HORA]]-C42)*24)+24,(VSLFO.MGO456[[#This Row],[HORA]]-C42)*24)</f>
        <v>18</v>
      </c>
      <c r="E43" s="10" t="s">
        <v>966</v>
      </c>
      <c r="F43" s="10" t="s">
        <v>966</v>
      </c>
      <c r="G43" s="212"/>
      <c r="H43" s="201"/>
      <c r="I43" s="201"/>
      <c r="J43" s="207"/>
      <c r="K43" s="153">
        <v>0</v>
      </c>
      <c r="L43" s="3">
        <v>1.875</v>
      </c>
      <c r="M43" s="3">
        <v>1.5</v>
      </c>
      <c r="N43" s="3">
        <f t="shared" si="0"/>
        <v>3.375</v>
      </c>
      <c r="O43" s="1"/>
      <c r="P43" s="152">
        <f t="shared" si="2"/>
        <v>548.33319444444442</v>
      </c>
      <c r="Q43" s="150">
        <v>0</v>
      </c>
      <c r="R43" s="199">
        <v>0</v>
      </c>
      <c r="S43" s="199">
        <v>0</v>
      </c>
      <c r="T43" s="199">
        <v>0</v>
      </c>
      <c r="U43" s="199">
        <v>4.5</v>
      </c>
      <c r="V43" s="155">
        <f t="shared" si="3"/>
        <v>4.5</v>
      </c>
      <c r="W43" s="199">
        <v>0</v>
      </c>
      <c r="X43" s="151">
        <f>(X42-VSLFO.MGO456[[#This Row],[TOTAL]])+VSLFO.MGO456[[#This Row],[FAENA2]]</f>
        <v>92.9</v>
      </c>
      <c r="Y43" s="150"/>
      <c r="Z43" s="199"/>
      <c r="AA43" s="149">
        <f>(AA42-VSLFO.MGO456[[#This Row],[CYLINDER MP]])+VSLFO.MGO456[[#This Row],[FAENA EN LTS]]</f>
        <v>100</v>
      </c>
      <c r="AB43" s="199"/>
      <c r="AC43" s="199"/>
      <c r="AD43" s="149">
        <f>(AD42-VSLFO.MGO456[[#This Row],[CARTER MP.]])+VSLFO.MGO456[[#This Row],[FAENA EN LTS2]]</f>
        <v>100</v>
      </c>
      <c r="AE43" s="199"/>
      <c r="AF43" s="199"/>
      <c r="AG43" s="149">
        <f>(AG42-VSLFO.MGO456[[#This Row],[MOT AUX]])+VSLFO.MGO456[[#This Row],[FAENA EN  LTS]]</f>
        <v>100</v>
      </c>
      <c r="AH43" s="199"/>
      <c r="AI43" s="199"/>
      <c r="AJ43" s="148">
        <f>(AJ42-VSLFO.MGO456[[#This Row],[HIDRAULICO]])+VSLFO.MGO456[[#This Row],[FAENA EN LTS3]]</f>
        <v>100</v>
      </c>
    </row>
    <row r="44" spans="1:36" x14ac:dyDescent="0.25">
      <c r="A44" s="192"/>
      <c r="B44" s="219">
        <v>43901</v>
      </c>
      <c r="C44" s="7">
        <v>0.76666666666666661</v>
      </c>
      <c r="D44" s="4">
        <f>IF(VSLFO.MGO456[[#This Row],[FECHA]]-B43=1,((VSLFO.MGO456[[#This Row],[HORA]]-C43)*24)+24,(VSLFO.MGO456[[#This Row],[HORA]]-C43)*24)</f>
        <v>10.399999999999999</v>
      </c>
      <c r="E44" s="10" t="s">
        <v>966</v>
      </c>
      <c r="F44" s="10" t="s">
        <v>1142</v>
      </c>
      <c r="G44" s="212"/>
      <c r="H44" s="201"/>
      <c r="I44" s="201"/>
      <c r="J44" s="207"/>
      <c r="K44" s="153">
        <v>0</v>
      </c>
      <c r="L44" s="3">
        <v>1.0833333333333333</v>
      </c>
      <c r="M44" s="3">
        <v>0.86666666666666647</v>
      </c>
      <c r="N44" s="3">
        <f t="shared" si="0"/>
        <v>1.9499999999999997</v>
      </c>
      <c r="O44" s="1"/>
      <c r="P44" s="152">
        <f t="shared" si="2"/>
        <v>546.38319444444437</v>
      </c>
      <c r="Q44" s="150">
        <v>0</v>
      </c>
      <c r="R44" s="199">
        <v>0</v>
      </c>
      <c r="S44" s="199">
        <v>0</v>
      </c>
      <c r="T44" s="199">
        <v>0</v>
      </c>
      <c r="U44" s="199">
        <v>2.6</v>
      </c>
      <c r="V44" s="155">
        <f t="shared" si="3"/>
        <v>2.6</v>
      </c>
      <c r="W44" s="199">
        <v>0</v>
      </c>
      <c r="X44" s="151">
        <f>(X43-VSLFO.MGO456[[#This Row],[TOTAL]])+VSLFO.MGO456[[#This Row],[FAENA2]]</f>
        <v>90.300000000000011</v>
      </c>
      <c r="Y44" s="150"/>
      <c r="Z44" s="199"/>
      <c r="AA44" s="149">
        <f t="shared" ref="AA44:AA108" si="4">AA42</f>
        <v>100</v>
      </c>
      <c r="AB44" s="199"/>
      <c r="AC44" s="199"/>
      <c r="AD44" s="149">
        <f>($AD$4-VSLFO.MGO456[[#This Row],[CARTER MP.]])+VSLFO.MGO456[[#This Row],[FAENA EN LTS2]]</f>
        <v>100</v>
      </c>
      <c r="AE44" s="199"/>
      <c r="AF44" s="199"/>
      <c r="AG44" s="149">
        <f t="shared" ref="AG44:AG75" si="5">$AG$4</f>
        <v>100</v>
      </c>
      <c r="AH44" s="199"/>
      <c r="AI44" s="199"/>
      <c r="AJ44" s="148">
        <f>(AJ43-VSLFO.MGO456[[#This Row],[HIDRAULICO]])+VSLFO.MGO456[[#This Row],[FAENA EN LTS3]]</f>
        <v>100</v>
      </c>
    </row>
    <row r="45" spans="1:36" x14ac:dyDescent="0.25">
      <c r="A45" s="192"/>
      <c r="B45" s="219">
        <v>43901</v>
      </c>
      <c r="C45" s="7">
        <v>0.90416666666666667</v>
      </c>
      <c r="D45" s="4">
        <f>IF(VSLFO.MGO456[[#This Row],[FECHA]]-B44=1,((VSLFO.MGO456[[#This Row],[HORA]]-C44)*24)+24,(VSLFO.MGO456[[#This Row],[HORA]]-C44)*24)</f>
        <v>3.3000000000000016</v>
      </c>
      <c r="E45" s="10" t="s">
        <v>1425</v>
      </c>
      <c r="F45" s="10" t="s">
        <v>1011</v>
      </c>
      <c r="G45" s="212"/>
      <c r="H45" s="201"/>
      <c r="I45" s="201"/>
      <c r="J45" s="207"/>
      <c r="K45" s="153">
        <v>0</v>
      </c>
      <c r="L45" s="3">
        <v>0.34375000000000017</v>
      </c>
      <c r="M45" s="3">
        <v>0.27500000000000013</v>
      </c>
      <c r="N45" s="3">
        <f t="shared" si="0"/>
        <v>0.61875000000000036</v>
      </c>
      <c r="O45" s="1"/>
      <c r="P45" s="152">
        <f t="shared" si="2"/>
        <v>545.76444444444439</v>
      </c>
      <c r="Q45" s="150">
        <v>0</v>
      </c>
      <c r="R45" s="199">
        <v>0</v>
      </c>
      <c r="S45" s="199">
        <v>0</v>
      </c>
      <c r="T45" s="199">
        <v>0</v>
      </c>
      <c r="U45" s="199">
        <v>0</v>
      </c>
      <c r="V45" s="155">
        <f t="shared" si="3"/>
        <v>0</v>
      </c>
      <c r="W45" s="199">
        <v>0</v>
      </c>
      <c r="X45" s="151">
        <f>(X44-VSLFO.MGO456[[#This Row],[TOTAL]])+VSLFO.MGO456[[#This Row],[FAENA2]]</f>
        <v>90.300000000000011</v>
      </c>
      <c r="Y45" s="150"/>
      <c r="Z45" s="199"/>
      <c r="AA45" s="149">
        <f t="shared" si="4"/>
        <v>100</v>
      </c>
      <c r="AB45" s="199"/>
      <c r="AC45" s="199"/>
      <c r="AD45" s="149">
        <f>($AD$4-VSLFO.MGO456[[#This Row],[CARTER MP.]])+VSLFO.MGO456[[#This Row],[FAENA EN LTS2]]</f>
        <v>100</v>
      </c>
      <c r="AE45" s="199"/>
      <c r="AF45" s="199"/>
      <c r="AG45" s="149">
        <f t="shared" si="5"/>
        <v>100</v>
      </c>
      <c r="AH45" s="199"/>
      <c r="AI45" s="199"/>
      <c r="AJ45" s="148">
        <f>(AJ44-VSLFO.MGO456[[#This Row],[HIDRAULICO]])+VSLFO.MGO456[[#This Row],[FAENA EN LTS3]]</f>
        <v>100</v>
      </c>
    </row>
    <row r="46" spans="1:36" x14ac:dyDescent="0.25">
      <c r="A46" s="192"/>
      <c r="B46" s="219">
        <v>43901</v>
      </c>
      <c r="C46" s="7">
        <v>0.9375</v>
      </c>
      <c r="D46" s="4">
        <f>IF(VSLFO.MGO456[[#This Row],[FECHA]]-B45=1,((VSLFO.MGO456[[#This Row],[HORA]]-C45)*24)+24,(VSLFO.MGO456[[#This Row],[HORA]]-C45)*24)</f>
        <v>0.79999999999999982</v>
      </c>
      <c r="E46" s="10" t="s">
        <v>1057</v>
      </c>
      <c r="F46" s="10" t="s">
        <v>1408</v>
      </c>
      <c r="G46" s="212"/>
      <c r="H46" s="201"/>
      <c r="I46" s="93" t="s">
        <v>1297</v>
      </c>
      <c r="J46" s="207">
        <v>95</v>
      </c>
      <c r="K46" s="153">
        <v>0.16666666666666663</v>
      </c>
      <c r="L46" s="3">
        <v>8.3333333333333315E-2</v>
      </c>
      <c r="M46" s="3">
        <v>6.6666666666666652E-2</v>
      </c>
      <c r="N46" s="3">
        <f t="shared" si="0"/>
        <v>0.3166666666666666</v>
      </c>
      <c r="O46" s="1"/>
      <c r="P46" s="152">
        <f t="shared" si="2"/>
        <v>545.44777777777767</v>
      </c>
      <c r="Q46" s="150">
        <v>0</v>
      </c>
      <c r="R46" s="199">
        <v>0</v>
      </c>
      <c r="S46" s="199">
        <v>0</v>
      </c>
      <c r="T46" s="199">
        <v>0</v>
      </c>
      <c r="U46" s="199">
        <v>0</v>
      </c>
      <c r="V46" s="155">
        <f t="shared" si="3"/>
        <v>0</v>
      </c>
      <c r="W46" s="199">
        <v>0</v>
      </c>
      <c r="X46" s="151">
        <f>(X45-VSLFO.MGO456[[#This Row],[TOTAL]])+VSLFO.MGO456[[#This Row],[FAENA2]]</f>
        <v>90.300000000000011</v>
      </c>
      <c r="Y46" s="150"/>
      <c r="Z46" s="199"/>
      <c r="AA46" s="149">
        <f t="shared" si="4"/>
        <v>100</v>
      </c>
      <c r="AB46" s="199"/>
      <c r="AC46" s="199"/>
      <c r="AD46" s="149">
        <f>($AD$4-VSLFO.MGO456[[#This Row],[CARTER MP.]])+VSLFO.MGO456[[#This Row],[FAENA EN LTS2]]</f>
        <v>100</v>
      </c>
      <c r="AE46" s="199"/>
      <c r="AF46" s="199"/>
      <c r="AG46" s="149">
        <f t="shared" si="5"/>
        <v>100</v>
      </c>
      <c r="AH46" s="199"/>
      <c r="AI46" s="199"/>
      <c r="AJ46" s="148">
        <f>(AJ45-VSLFO.MGO456[[#This Row],[HIDRAULICO]])+VSLFO.MGO456[[#This Row],[FAENA EN LTS3]]</f>
        <v>100</v>
      </c>
    </row>
    <row r="47" spans="1:36" x14ac:dyDescent="0.25">
      <c r="A47" s="192"/>
      <c r="B47" s="219">
        <v>43902</v>
      </c>
      <c r="C47" s="7">
        <v>0.33333333333333331</v>
      </c>
      <c r="D47" s="4">
        <f>IF(VSLFO.MGO456[[#This Row],[FECHA]]-B46=1,((VSLFO.MGO456[[#This Row],[HORA]]-C46)*24)+24,(VSLFO.MGO456[[#This Row],[HORA]]-C46)*24)</f>
        <v>9.4999999999999982</v>
      </c>
      <c r="E47" s="10" t="s">
        <v>1338</v>
      </c>
      <c r="F47" s="10" t="s">
        <v>355</v>
      </c>
      <c r="G47" s="212"/>
      <c r="H47" s="201"/>
      <c r="I47" s="93" t="s">
        <v>1297</v>
      </c>
      <c r="J47" s="207">
        <v>95</v>
      </c>
      <c r="K47" s="153">
        <v>8.7083333333333321</v>
      </c>
      <c r="L47" s="3">
        <v>0.98958333333333315</v>
      </c>
      <c r="M47" s="3">
        <v>0</v>
      </c>
      <c r="N47" s="3">
        <f t="shared" si="0"/>
        <v>9.6979166666666661</v>
      </c>
      <c r="O47" s="1"/>
      <c r="P47" s="152">
        <f t="shared" si="2"/>
        <v>535.74986111111104</v>
      </c>
      <c r="Q47" s="150">
        <v>0</v>
      </c>
      <c r="R47" s="199">
        <v>0</v>
      </c>
      <c r="S47" s="199">
        <v>0</v>
      </c>
      <c r="T47" s="199">
        <v>0</v>
      </c>
      <c r="U47" s="199">
        <v>0</v>
      </c>
      <c r="V47" s="155">
        <f t="shared" si="3"/>
        <v>0</v>
      </c>
      <c r="W47" s="199">
        <v>0</v>
      </c>
      <c r="X47" s="151">
        <f>(X46-VSLFO.MGO456[[#This Row],[TOTAL]])+VSLFO.MGO456[[#This Row],[FAENA2]]</f>
        <v>90.300000000000011</v>
      </c>
      <c r="Y47" s="150"/>
      <c r="Z47" s="199"/>
      <c r="AA47" s="149">
        <f t="shared" si="4"/>
        <v>100</v>
      </c>
      <c r="AB47" s="199"/>
      <c r="AC47" s="199"/>
      <c r="AD47" s="149">
        <f>($AD$4-VSLFO.MGO456[[#This Row],[CARTER MP.]])+VSLFO.MGO456[[#This Row],[FAENA EN LTS2]]</f>
        <v>100</v>
      </c>
      <c r="AE47" s="199"/>
      <c r="AF47" s="199"/>
      <c r="AG47" s="149">
        <f t="shared" si="5"/>
        <v>100</v>
      </c>
      <c r="AH47" s="199"/>
      <c r="AI47" s="199"/>
      <c r="AJ47" s="148">
        <f>(AJ46-VSLFO.MGO456[[#This Row],[HIDRAULICO]])+VSLFO.MGO456[[#This Row],[FAENA EN LTS3]]</f>
        <v>100</v>
      </c>
    </row>
    <row r="48" spans="1:36" x14ac:dyDescent="0.25">
      <c r="A48" s="192"/>
      <c r="B48" s="219">
        <v>43903</v>
      </c>
      <c r="C48" s="7">
        <v>0.33333333333333331</v>
      </c>
      <c r="D48" s="4">
        <f>IF(VSLFO.MGO456[[#This Row],[FECHA]]-B47=1,((VSLFO.MGO456[[#This Row],[HORA]]-C47)*24)+24,(VSLFO.MGO456[[#This Row],[HORA]]-C47)*24)</f>
        <v>24</v>
      </c>
      <c r="E48" s="10" t="s">
        <v>1338</v>
      </c>
      <c r="F48" s="10" t="s">
        <v>355</v>
      </c>
      <c r="G48" s="212"/>
      <c r="H48" s="201"/>
      <c r="I48" s="93" t="s">
        <v>1297</v>
      </c>
      <c r="J48" s="207">
        <v>95</v>
      </c>
      <c r="K48" s="153">
        <v>24</v>
      </c>
      <c r="L48" s="3">
        <v>2.5</v>
      </c>
      <c r="M48" s="3">
        <v>0</v>
      </c>
      <c r="N48" s="3">
        <f t="shared" si="0"/>
        <v>26.5</v>
      </c>
      <c r="O48" s="1"/>
      <c r="P48" s="152">
        <f t="shared" si="2"/>
        <v>509.24986111111104</v>
      </c>
      <c r="Q48" s="150">
        <v>0</v>
      </c>
      <c r="R48" s="199">
        <v>0</v>
      </c>
      <c r="S48" s="199">
        <v>0</v>
      </c>
      <c r="T48" s="199">
        <v>0</v>
      </c>
      <c r="U48" s="199">
        <v>0</v>
      </c>
      <c r="V48" s="155">
        <f t="shared" si="3"/>
        <v>0</v>
      </c>
      <c r="W48" s="199">
        <v>0</v>
      </c>
      <c r="X48" s="151">
        <f>(X47-VSLFO.MGO456[[#This Row],[TOTAL]])+VSLFO.MGO456[[#This Row],[FAENA2]]</f>
        <v>90.300000000000011</v>
      </c>
      <c r="Y48" s="150"/>
      <c r="Z48" s="199"/>
      <c r="AA48" s="149">
        <f t="shared" si="4"/>
        <v>100</v>
      </c>
      <c r="AB48" s="199"/>
      <c r="AC48" s="199"/>
      <c r="AD48" s="149">
        <f>($AD$4-VSLFO.MGO456[[#This Row],[CARTER MP.]])+VSLFO.MGO456[[#This Row],[FAENA EN LTS2]]</f>
        <v>100</v>
      </c>
      <c r="AE48" s="199"/>
      <c r="AF48" s="199"/>
      <c r="AG48" s="149">
        <f t="shared" si="5"/>
        <v>100</v>
      </c>
      <c r="AH48" s="199"/>
      <c r="AI48" s="199"/>
      <c r="AJ48" s="148">
        <f>(AJ47-VSLFO.MGO456[[#This Row],[HIDRAULICO]])+VSLFO.MGO456[[#This Row],[FAENA EN LTS3]]</f>
        <v>100</v>
      </c>
    </row>
    <row r="49" spans="1:36" x14ac:dyDescent="0.25">
      <c r="A49" s="192"/>
      <c r="B49" s="219">
        <v>43903</v>
      </c>
      <c r="C49" s="7">
        <v>0.89166666666666661</v>
      </c>
      <c r="D49" s="4">
        <f>IF(VSLFO.MGO456[[#This Row],[FECHA]]-B48=1,((VSLFO.MGO456[[#This Row],[HORA]]-C48)*24)+24,(VSLFO.MGO456[[#This Row],[HORA]]-C48)*24)</f>
        <v>13.4</v>
      </c>
      <c r="E49" s="10" t="s">
        <v>1338</v>
      </c>
      <c r="F49" s="10" t="s">
        <v>1435</v>
      </c>
      <c r="G49" s="212">
        <v>446</v>
      </c>
      <c r="H49" s="201">
        <v>9.8000000000000007</v>
      </c>
      <c r="I49" s="93" t="s">
        <v>1297</v>
      </c>
      <c r="J49" s="207">
        <v>95</v>
      </c>
      <c r="K49" s="153">
        <v>12.841666666666667</v>
      </c>
      <c r="L49" s="3">
        <v>1.3958333333333335</v>
      </c>
      <c r="M49" s="3">
        <v>0</v>
      </c>
      <c r="N49" s="3">
        <f t="shared" si="0"/>
        <v>14.237500000000001</v>
      </c>
      <c r="O49" s="1"/>
      <c r="P49" s="152">
        <f t="shared" si="2"/>
        <v>495.01236111111103</v>
      </c>
      <c r="Q49" s="150">
        <v>0</v>
      </c>
      <c r="R49" s="199">
        <v>0</v>
      </c>
      <c r="S49" s="199">
        <v>0</v>
      </c>
      <c r="T49" s="199">
        <v>0</v>
      </c>
      <c r="U49" s="199">
        <v>0</v>
      </c>
      <c r="V49" s="155">
        <f t="shared" si="3"/>
        <v>0</v>
      </c>
      <c r="W49" s="199">
        <v>0</v>
      </c>
      <c r="X49" s="151">
        <f>(X48-VSLFO.MGO456[[#This Row],[TOTAL]])+VSLFO.MGO456[[#This Row],[FAENA2]]</f>
        <v>90.300000000000011</v>
      </c>
      <c r="Y49" s="150"/>
      <c r="Z49" s="199"/>
      <c r="AA49" s="149">
        <f t="shared" si="4"/>
        <v>100</v>
      </c>
      <c r="AB49" s="199"/>
      <c r="AC49" s="199"/>
      <c r="AD49" s="149">
        <f>($AD$4-VSLFO.MGO456[[#This Row],[CARTER MP.]])+VSLFO.MGO456[[#This Row],[FAENA EN LTS2]]</f>
        <v>100</v>
      </c>
      <c r="AE49" s="199"/>
      <c r="AF49" s="199"/>
      <c r="AG49" s="149">
        <f t="shared" si="5"/>
        <v>100</v>
      </c>
      <c r="AH49" s="199"/>
      <c r="AI49" s="199"/>
      <c r="AJ49" s="148">
        <f>(AJ48-VSLFO.MGO456[[#This Row],[HIDRAULICO]])+VSLFO.MGO456[[#This Row],[FAENA EN LTS3]]</f>
        <v>100</v>
      </c>
    </row>
    <row r="50" spans="1:36" x14ac:dyDescent="0.25">
      <c r="A50" s="192"/>
      <c r="B50" s="219">
        <v>43903</v>
      </c>
      <c r="C50" s="7">
        <v>0.97916666666666663</v>
      </c>
      <c r="D50" s="4">
        <f>IF(VSLFO.MGO456[[#This Row],[FECHA]]-B49=1,((VSLFO.MGO456[[#This Row],[HORA]]-C49)*24)+24,(VSLFO.MGO456[[#This Row],[HORA]]-C49)*24)</f>
        <v>2.1000000000000005</v>
      </c>
      <c r="E50" s="10" t="s">
        <v>1057</v>
      </c>
      <c r="F50" s="10" t="s">
        <v>616</v>
      </c>
      <c r="G50" s="212"/>
      <c r="H50" s="201"/>
      <c r="I50" s="201"/>
      <c r="J50" s="207"/>
      <c r="K50" s="153">
        <v>0.17500000000000004</v>
      </c>
      <c r="L50" s="3">
        <v>0.21875000000000006</v>
      </c>
      <c r="M50" s="3">
        <v>0.17500000000000004</v>
      </c>
      <c r="N50" s="3">
        <f t="shared" si="0"/>
        <v>0.56875000000000009</v>
      </c>
      <c r="O50" s="1"/>
      <c r="P50" s="152">
        <f t="shared" si="2"/>
        <v>494.44361111111101</v>
      </c>
      <c r="Q50" s="150">
        <v>0</v>
      </c>
      <c r="R50" s="199">
        <v>0</v>
      </c>
      <c r="S50" s="199">
        <v>0</v>
      </c>
      <c r="T50" s="199">
        <v>0</v>
      </c>
      <c r="U50" s="199">
        <v>0</v>
      </c>
      <c r="V50" s="155">
        <f t="shared" si="3"/>
        <v>0</v>
      </c>
      <c r="W50" s="199">
        <v>0</v>
      </c>
      <c r="X50" s="151">
        <f>(X49-VSLFO.MGO456[[#This Row],[TOTAL]])+VSLFO.MGO456[[#This Row],[FAENA2]]</f>
        <v>90.300000000000011</v>
      </c>
      <c r="Y50" s="150"/>
      <c r="Z50" s="199"/>
      <c r="AA50" s="149">
        <f t="shared" si="4"/>
        <v>100</v>
      </c>
      <c r="AB50" s="199"/>
      <c r="AC50" s="199"/>
      <c r="AD50" s="149">
        <f>($AD$4-VSLFO.MGO456[[#This Row],[CARTER MP.]])+VSLFO.MGO456[[#This Row],[FAENA EN LTS2]]</f>
        <v>100</v>
      </c>
      <c r="AE50" s="199"/>
      <c r="AF50" s="199"/>
      <c r="AG50" s="149">
        <f t="shared" si="5"/>
        <v>100</v>
      </c>
      <c r="AH50" s="199"/>
      <c r="AI50" s="199"/>
      <c r="AJ50" s="148">
        <f>(AJ49-VSLFO.MGO456[[#This Row],[HIDRAULICO]])+VSLFO.MGO456[[#This Row],[FAENA EN LTS3]]</f>
        <v>100</v>
      </c>
    </row>
    <row r="51" spans="1:36" x14ac:dyDescent="0.25">
      <c r="A51" s="192"/>
      <c r="B51" s="219">
        <v>43904</v>
      </c>
      <c r="C51" s="7">
        <v>7.0833333333333331E-2</v>
      </c>
      <c r="D51" s="4">
        <f>IF(VSLFO.MGO456[[#This Row],[FECHA]]-B50=1,((VSLFO.MGO456[[#This Row],[HORA]]-C50)*24)+24,(VSLFO.MGO456[[#This Row],[HORA]]-C50)*24)</f>
        <v>2.1999999999999993</v>
      </c>
      <c r="E51" s="10" t="s">
        <v>1425</v>
      </c>
      <c r="F51" s="10" t="s">
        <v>1004</v>
      </c>
      <c r="G51" s="212"/>
      <c r="H51" s="201"/>
      <c r="I51" s="201"/>
      <c r="J51" s="207"/>
      <c r="K51" s="153">
        <v>0</v>
      </c>
      <c r="L51" s="3">
        <v>0.2291666666666666</v>
      </c>
      <c r="M51" s="3">
        <v>0.18333333333333326</v>
      </c>
      <c r="N51" s="3">
        <f t="shared" si="0"/>
        <v>0.41249999999999987</v>
      </c>
      <c r="O51" s="1"/>
      <c r="P51" s="152">
        <f t="shared" si="2"/>
        <v>494.03111111111099</v>
      </c>
      <c r="Q51" s="150">
        <v>0</v>
      </c>
      <c r="R51" s="199">
        <v>0</v>
      </c>
      <c r="S51" s="199">
        <v>0</v>
      </c>
      <c r="T51" s="199">
        <v>0</v>
      </c>
      <c r="U51" s="199">
        <v>0</v>
      </c>
      <c r="V51" s="155">
        <f t="shared" si="3"/>
        <v>0</v>
      </c>
      <c r="W51" s="199">
        <v>0</v>
      </c>
      <c r="X51" s="151">
        <f>(X50-VSLFO.MGO456[[#This Row],[TOTAL]])+VSLFO.MGO456[[#This Row],[FAENA2]]</f>
        <v>90.300000000000011</v>
      </c>
      <c r="Y51" s="150"/>
      <c r="Z51" s="199"/>
      <c r="AA51" s="149">
        <f t="shared" si="4"/>
        <v>100</v>
      </c>
      <c r="AB51" s="199"/>
      <c r="AC51" s="199"/>
      <c r="AD51" s="149">
        <f>($AD$4-VSLFO.MGO456[[#This Row],[CARTER MP.]])+VSLFO.MGO456[[#This Row],[FAENA EN LTS2]]</f>
        <v>100</v>
      </c>
      <c r="AE51" s="199"/>
      <c r="AF51" s="199"/>
      <c r="AG51" s="149">
        <f t="shared" si="5"/>
        <v>100</v>
      </c>
      <c r="AH51" s="199"/>
      <c r="AI51" s="199"/>
      <c r="AJ51" s="148">
        <f>(AJ50-VSLFO.MGO456[[#This Row],[HIDRAULICO]])+VSLFO.MGO456[[#This Row],[FAENA EN LTS3]]</f>
        <v>100</v>
      </c>
    </row>
    <row r="52" spans="1:36" x14ac:dyDescent="0.25">
      <c r="A52" s="192"/>
      <c r="B52" s="219">
        <v>43904</v>
      </c>
      <c r="C52" s="7">
        <v>0.33333333333333331</v>
      </c>
      <c r="D52" s="4">
        <f>IF(VSLFO.MGO456[[#This Row],[FECHA]]-B51=1,((VSLFO.MGO456[[#This Row],[HORA]]-C51)*24)+24,(VSLFO.MGO456[[#This Row],[HORA]]-C51)*24)</f>
        <v>6.2999999999999989</v>
      </c>
      <c r="E52" s="10" t="s">
        <v>966</v>
      </c>
      <c r="F52" s="10" t="s">
        <v>966</v>
      </c>
      <c r="G52" s="212"/>
      <c r="H52" s="201"/>
      <c r="I52" s="201"/>
      <c r="J52" s="207"/>
      <c r="K52" s="153">
        <v>0</v>
      </c>
      <c r="L52" s="3">
        <v>0.65624999999999989</v>
      </c>
      <c r="M52" s="3">
        <v>0.52499999999999991</v>
      </c>
      <c r="N52" s="3">
        <f t="shared" si="0"/>
        <v>1.1812499999999999</v>
      </c>
      <c r="O52" s="1"/>
      <c r="P52" s="152">
        <f t="shared" si="2"/>
        <v>492.84986111111101</v>
      </c>
      <c r="Q52" s="150">
        <v>0</v>
      </c>
      <c r="R52" s="199">
        <v>0</v>
      </c>
      <c r="S52" s="199">
        <v>0</v>
      </c>
      <c r="T52" s="199">
        <v>0</v>
      </c>
      <c r="U52" s="199">
        <v>1.5</v>
      </c>
      <c r="V52" s="155">
        <f t="shared" si="3"/>
        <v>1.5</v>
      </c>
      <c r="W52" s="199">
        <v>0</v>
      </c>
      <c r="X52" s="151">
        <f>(X51-VSLFO.MGO456[[#This Row],[TOTAL]])+VSLFO.MGO456[[#This Row],[FAENA2]]</f>
        <v>88.800000000000011</v>
      </c>
      <c r="Y52" s="150"/>
      <c r="Z52" s="199"/>
      <c r="AA52" s="149">
        <f t="shared" si="4"/>
        <v>100</v>
      </c>
      <c r="AB52" s="199"/>
      <c r="AC52" s="199"/>
      <c r="AD52" s="149">
        <f>($AD$4-VSLFO.MGO456[[#This Row],[CARTER MP.]])+VSLFO.MGO456[[#This Row],[FAENA EN LTS2]]</f>
        <v>100</v>
      </c>
      <c r="AE52" s="199"/>
      <c r="AF52" s="199"/>
      <c r="AG52" s="149">
        <f t="shared" si="5"/>
        <v>100</v>
      </c>
      <c r="AH52" s="199"/>
      <c r="AI52" s="199"/>
      <c r="AJ52" s="148">
        <f>(AJ51-VSLFO.MGO456[[#This Row],[HIDRAULICO]])+VSLFO.MGO456[[#This Row],[FAENA EN LTS3]]</f>
        <v>100</v>
      </c>
    </row>
    <row r="53" spans="1:36" x14ac:dyDescent="0.25">
      <c r="A53" s="192"/>
      <c r="B53" s="219">
        <v>43904</v>
      </c>
      <c r="C53" s="7">
        <v>0.62916666666666665</v>
      </c>
      <c r="D53" s="4">
        <f>IF(VSLFO.MGO456[[#This Row],[FECHA]]-B52=1,((VSLFO.MGO456[[#This Row],[HORA]]-C52)*24)+24,(VSLFO.MGO456[[#This Row],[HORA]]-C52)*24)</f>
        <v>7.1</v>
      </c>
      <c r="E53" s="10" t="s">
        <v>966</v>
      </c>
      <c r="F53" s="10" t="s">
        <v>1142</v>
      </c>
      <c r="G53" s="212"/>
      <c r="H53" s="201"/>
      <c r="I53" s="201"/>
      <c r="J53" s="207"/>
      <c r="K53" s="153">
        <v>0</v>
      </c>
      <c r="L53" s="3">
        <v>0.73958333333333337</v>
      </c>
      <c r="M53" s="3">
        <v>0.59166666666666656</v>
      </c>
      <c r="N53" s="3">
        <f t="shared" si="0"/>
        <v>1.3312499999999998</v>
      </c>
      <c r="O53" s="1"/>
      <c r="P53" s="152">
        <f t="shared" si="2"/>
        <v>491.518611111111</v>
      </c>
      <c r="Q53" s="150">
        <v>0</v>
      </c>
      <c r="R53" s="199">
        <v>0</v>
      </c>
      <c r="S53" s="199">
        <v>0</v>
      </c>
      <c r="T53" s="199">
        <v>0</v>
      </c>
      <c r="U53" s="199">
        <v>1.8</v>
      </c>
      <c r="V53" s="155">
        <f t="shared" si="3"/>
        <v>1.8</v>
      </c>
      <c r="W53" s="199">
        <v>0</v>
      </c>
      <c r="X53" s="151">
        <f>(X52-VSLFO.MGO456[[#This Row],[TOTAL]])+VSLFO.MGO456[[#This Row],[FAENA2]]</f>
        <v>87.000000000000014</v>
      </c>
      <c r="Y53" s="150"/>
      <c r="Z53" s="199"/>
      <c r="AA53" s="149">
        <f t="shared" si="4"/>
        <v>100</v>
      </c>
      <c r="AB53" s="199"/>
      <c r="AC53" s="199"/>
      <c r="AD53" s="149">
        <f>($AD$4-VSLFO.MGO456[[#This Row],[CARTER MP.]])+VSLFO.MGO456[[#This Row],[FAENA EN LTS2]]</f>
        <v>100</v>
      </c>
      <c r="AE53" s="199"/>
      <c r="AF53" s="199"/>
      <c r="AG53" s="149">
        <f t="shared" si="5"/>
        <v>100</v>
      </c>
      <c r="AH53" s="199"/>
      <c r="AI53" s="199"/>
      <c r="AJ53" s="148">
        <f>(AJ52-VSLFO.MGO456[[#This Row],[HIDRAULICO]])+VSLFO.MGO456[[#This Row],[FAENA EN LTS3]]</f>
        <v>100</v>
      </c>
    </row>
    <row r="54" spans="1:36" x14ac:dyDescent="0.25">
      <c r="A54" s="192"/>
      <c r="B54" s="219">
        <v>43904</v>
      </c>
      <c r="C54" s="7">
        <v>0.72916666666666663</v>
      </c>
      <c r="D54" s="4">
        <f>IF(VSLFO.MGO456[[#This Row],[FECHA]]-B53=1,((VSLFO.MGO456[[#This Row],[HORA]]-C53)*24)+24,(VSLFO.MGO456[[#This Row],[HORA]]-C53)*24)</f>
        <v>2.3999999999999995</v>
      </c>
      <c r="E54" s="10" t="s">
        <v>1425</v>
      </c>
      <c r="F54" s="10" t="s">
        <v>1011</v>
      </c>
      <c r="G54" s="212"/>
      <c r="H54" s="201"/>
      <c r="I54" s="201"/>
      <c r="J54" s="207"/>
      <c r="K54" s="153">
        <v>0</v>
      </c>
      <c r="L54" s="3">
        <v>0.24999999999999994</v>
      </c>
      <c r="M54" s="3">
        <v>0.19999999999999996</v>
      </c>
      <c r="N54" s="3">
        <f t="shared" si="0"/>
        <v>0.4499999999999999</v>
      </c>
      <c r="O54" s="1"/>
      <c r="P54" s="152">
        <f t="shared" si="2"/>
        <v>491.06861111111101</v>
      </c>
      <c r="Q54" s="150">
        <v>0</v>
      </c>
      <c r="R54" s="199">
        <v>0</v>
      </c>
      <c r="S54" s="199">
        <v>0</v>
      </c>
      <c r="T54" s="199">
        <v>0</v>
      </c>
      <c r="U54" s="199">
        <v>0</v>
      </c>
      <c r="V54" s="155">
        <f t="shared" si="3"/>
        <v>0</v>
      </c>
      <c r="W54" s="199">
        <v>0</v>
      </c>
      <c r="X54" s="151">
        <f>(X53-VSLFO.MGO456[[#This Row],[TOTAL]])+VSLFO.MGO456[[#This Row],[FAENA2]]</f>
        <v>87.000000000000014</v>
      </c>
      <c r="Y54" s="150"/>
      <c r="Z54" s="199"/>
      <c r="AA54" s="149">
        <f t="shared" si="4"/>
        <v>100</v>
      </c>
      <c r="AB54" s="199"/>
      <c r="AC54" s="199"/>
      <c r="AD54" s="149">
        <f>($AD$4-VSLFO.MGO456[[#This Row],[CARTER MP.]])+VSLFO.MGO456[[#This Row],[FAENA EN LTS2]]</f>
        <v>100</v>
      </c>
      <c r="AE54" s="199"/>
      <c r="AF54" s="199"/>
      <c r="AG54" s="149">
        <f t="shared" si="5"/>
        <v>100</v>
      </c>
      <c r="AH54" s="199"/>
      <c r="AI54" s="199"/>
      <c r="AJ54" s="148">
        <f>(AJ53-VSLFO.MGO456[[#This Row],[HIDRAULICO]])+VSLFO.MGO456[[#This Row],[FAENA EN LTS3]]</f>
        <v>100</v>
      </c>
    </row>
    <row r="55" spans="1:36" x14ac:dyDescent="0.25">
      <c r="A55" s="192"/>
      <c r="B55" s="219">
        <v>43904</v>
      </c>
      <c r="C55" s="7">
        <v>0.75</v>
      </c>
      <c r="D55" s="4">
        <f>IF(VSLFO.MGO456[[#This Row],[FECHA]]-B54=1,((VSLFO.MGO456[[#This Row],[HORA]]-C54)*24)+24,(VSLFO.MGO456[[#This Row],[HORA]]-C54)*24)</f>
        <v>0.50000000000000089</v>
      </c>
      <c r="E55" s="10" t="s">
        <v>1057</v>
      </c>
      <c r="F55" s="10" t="s">
        <v>1411</v>
      </c>
      <c r="G55" s="212"/>
      <c r="H55" s="201"/>
      <c r="I55" s="201" t="s">
        <v>1297</v>
      </c>
      <c r="J55" s="207">
        <v>95</v>
      </c>
      <c r="K55" s="153">
        <v>0.10416666666666685</v>
      </c>
      <c r="L55" s="3">
        <v>5.2083333333333426E-2</v>
      </c>
      <c r="M55" s="3">
        <v>4.1666666666666741E-2</v>
      </c>
      <c r="N55" s="3">
        <f t="shared" si="0"/>
        <v>0.19791666666666702</v>
      </c>
      <c r="O55" s="1"/>
      <c r="P55" s="152">
        <f t="shared" si="2"/>
        <v>490.87069444444433</v>
      </c>
      <c r="Q55" s="150">
        <v>0</v>
      </c>
      <c r="R55" s="199">
        <v>0</v>
      </c>
      <c r="S55" s="199">
        <v>0</v>
      </c>
      <c r="T55" s="199">
        <v>0</v>
      </c>
      <c r="U55" s="199">
        <v>0</v>
      </c>
      <c r="V55" s="155">
        <f t="shared" si="3"/>
        <v>0</v>
      </c>
      <c r="W55" s="199">
        <v>0</v>
      </c>
      <c r="X55" s="151">
        <f>(X54-VSLFO.MGO456[[#This Row],[TOTAL]])+VSLFO.MGO456[[#This Row],[FAENA2]]</f>
        <v>87.000000000000014</v>
      </c>
      <c r="Y55" s="150"/>
      <c r="Z55" s="199"/>
      <c r="AA55" s="149">
        <f t="shared" si="4"/>
        <v>100</v>
      </c>
      <c r="AB55" s="199"/>
      <c r="AC55" s="199"/>
      <c r="AD55" s="149">
        <f>($AD$4-VSLFO.MGO456[[#This Row],[CARTER MP.]])+VSLFO.MGO456[[#This Row],[FAENA EN LTS2]]</f>
        <v>100</v>
      </c>
      <c r="AE55" s="199"/>
      <c r="AF55" s="199"/>
      <c r="AG55" s="149">
        <f t="shared" si="5"/>
        <v>100</v>
      </c>
      <c r="AH55" s="199"/>
      <c r="AI55" s="199"/>
      <c r="AJ55" s="148">
        <f>(AJ54-VSLFO.MGO456[[#This Row],[HIDRAULICO]])+VSLFO.MGO456[[#This Row],[FAENA EN LTS3]]</f>
        <v>100</v>
      </c>
    </row>
    <row r="56" spans="1:36" x14ac:dyDescent="0.25">
      <c r="A56" s="192"/>
      <c r="B56" s="219">
        <v>43905</v>
      </c>
      <c r="C56" s="7">
        <v>0.33333333333333331</v>
      </c>
      <c r="D56" s="4">
        <f>IF(VSLFO.MGO456[[#This Row],[FECHA]]-B55=1,((VSLFO.MGO456[[#This Row],[HORA]]-C55)*24)+24,(VSLFO.MGO456[[#This Row],[HORA]]-C55)*24)</f>
        <v>14</v>
      </c>
      <c r="E56" s="10" t="s">
        <v>1338</v>
      </c>
      <c r="F56" s="10" t="s">
        <v>355</v>
      </c>
      <c r="G56" s="212"/>
      <c r="H56" s="201"/>
      <c r="I56" s="201" t="s">
        <v>1297</v>
      </c>
      <c r="J56" s="207">
        <v>95</v>
      </c>
      <c r="K56" s="153">
        <v>14</v>
      </c>
      <c r="L56" s="3">
        <v>1.4583333333333335</v>
      </c>
      <c r="M56" s="3">
        <v>0</v>
      </c>
      <c r="N56" s="3">
        <f t="shared" si="0"/>
        <v>15.458333333333334</v>
      </c>
      <c r="O56" s="1"/>
      <c r="P56" s="152">
        <f t="shared" si="2"/>
        <v>475.41236111111101</v>
      </c>
      <c r="Q56" s="150">
        <v>0</v>
      </c>
      <c r="R56" s="199">
        <v>0</v>
      </c>
      <c r="S56" s="199">
        <v>0</v>
      </c>
      <c r="T56" s="199">
        <v>0</v>
      </c>
      <c r="U56" s="199">
        <v>0</v>
      </c>
      <c r="V56" s="155">
        <f t="shared" si="3"/>
        <v>0</v>
      </c>
      <c r="W56" s="199">
        <v>0</v>
      </c>
      <c r="X56" s="151">
        <f>(X55-VSLFO.MGO456[[#This Row],[TOTAL]])+VSLFO.MGO456[[#This Row],[FAENA2]]</f>
        <v>87.000000000000014</v>
      </c>
      <c r="Y56" s="150"/>
      <c r="Z56" s="199"/>
      <c r="AA56" s="149">
        <f t="shared" si="4"/>
        <v>100</v>
      </c>
      <c r="AB56" s="199"/>
      <c r="AC56" s="199"/>
      <c r="AD56" s="149">
        <f>($AD$4-VSLFO.MGO456[[#This Row],[CARTER MP.]])+VSLFO.MGO456[[#This Row],[FAENA EN LTS2]]</f>
        <v>100</v>
      </c>
      <c r="AE56" s="199"/>
      <c r="AF56" s="199"/>
      <c r="AG56" s="149">
        <f t="shared" si="5"/>
        <v>100</v>
      </c>
      <c r="AH56" s="199"/>
      <c r="AI56" s="199"/>
      <c r="AJ56" s="148">
        <f>(AJ55-VSLFO.MGO456[[#This Row],[HIDRAULICO]])+VSLFO.MGO456[[#This Row],[FAENA EN LTS3]]</f>
        <v>100</v>
      </c>
    </row>
    <row r="57" spans="1:36" x14ac:dyDescent="0.25">
      <c r="A57" s="192"/>
      <c r="B57" s="219">
        <v>43905</v>
      </c>
      <c r="C57" s="7">
        <v>0.77916666666666667</v>
      </c>
      <c r="D57" s="4">
        <f>IF(VSLFO.MGO456[[#This Row],[FECHA]]-B56=1,((VSLFO.MGO456[[#This Row],[HORA]]-C56)*24)+24,(VSLFO.MGO456[[#This Row],[HORA]]-C56)*24)</f>
        <v>10.700000000000001</v>
      </c>
      <c r="E57" s="10" t="s">
        <v>1338</v>
      </c>
      <c r="F57" s="10" t="s">
        <v>152</v>
      </c>
      <c r="G57" s="212">
        <v>266</v>
      </c>
      <c r="H57" s="201">
        <v>11</v>
      </c>
      <c r="I57" s="201" t="s">
        <v>1297</v>
      </c>
      <c r="J57" s="207">
        <v>95</v>
      </c>
      <c r="K57" s="153">
        <v>10.254166666666668</v>
      </c>
      <c r="L57" s="3">
        <v>1.1145833333333335</v>
      </c>
      <c r="M57" s="3">
        <v>0</v>
      </c>
      <c r="N57" s="3">
        <f t="shared" si="0"/>
        <v>11.368750000000002</v>
      </c>
      <c r="O57" s="1"/>
      <c r="P57" s="152">
        <f t="shared" si="2"/>
        <v>464.04361111111103</v>
      </c>
      <c r="Q57" s="150">
        <v>0</v>
      </c>
      <c r="R57" s="199">
        <v>0</v>
      </c>
      <c r="S57" s="199">
        <v>0</v>
      </c>
      <c r="T57" s="199">
        <v>0</v>
      </c>
      <c r="U57" s="199">
        <v>0</v>
      </c>
      <c r="V57" s="155">
        <f t="shared" si="3"/>
        <v>0</v>
      </c>
      <c r="W57" s="199">
        <v>0</v>
      </c>
      <c r="X57" s="151">
        <f>(X56-VSLFO.MGO456[[#This Row],[TOTAL]])+VSLFO.MGO456[[#This Row],[FAENA2]]</f>
        <v>87.000000000000014</v>
      </c>
      <c r="Y57" s="150"/>
      <c r="Z57" s="199"/>
      <c r="AA57" s="149">
        <f t="shared" si="4"/>
        <v>100</v>
      </c>
      <c r="AB57" s="199"/>
      <c r="AC57" s="199"/>
      <c r="AD57" s="149">
        <f>($AD$4-VSLFO.MGO456[[#This Row],[CARTER MP.]])+VSLFO.MGO456[[#This Row],[FAENA EN LTS2]]</f>
        <v>100</v>
      </c>
      <c r="AE57" s="199"/>
      <c r="AF57" s="199"/>
      <c r="AG57" s="149">
        <f t="shared" si="5"/>
        <v>100</v>
      </c>
      <c r="AH57" s="199"/>
      <c r="AI57" s="199"/>
      <c r="AJ57" s="148">
        <f>(AJ56-VSLFO.MGO456[[#This Row],[HIDRAULICO]])+VSLFO.MGO456[[#This Row],[FAENA EN LTS3]]</f>
        <v>100</v>
      </c>
    </row>
    <row r="58" spans="1:36" x14ac:dyDescent="0.25">
      <c r="A58" s="192"/>
      <c r="B58" s="219">
        <v>43905</v>
      </c>
      <c r="C58" s="7">
        <v>0.79999999999999993</v>
      </c>
      <c r="D58" s="4">
        <f>IF(VSLFO.MGO456[[#This Row],[FECHA]]-B57=1,((VSLFO.MGO456[[#This Row],[HORA]]-C57)*24)+24,(VSLFO.MGO456[[#This Row],[HORA]]-C57)*24)</f>
        <v>0.49999999999999822</v>
      </c>
      <c r="E58" s="10" t="s">
        <v>1057</v>
      </c>
      <c r="F58" s="10" t="s">
        <v>616</v>
      </c>
      <c r="G58" s="212"/>
      <c r="H58" s="201"/>
      <c r="I58" s="201"/>
      <c r="J58" s="207"/>
      <c r="K58" s="153">
        <v>4.1666666666666519E-2</v>
      </c>
      <c r="L58" s="3">
        <v>5.2083333333333148E-2</v>
      </c>
      <c r="M58" s="3">
        <v>4.1666666666666519E-2</v>
      </c>
      <c r="N58" s="3">
        <f t="shared" si="0"/>
        <v>0.13541666666666619</v>
      </c>
      <c r="O58" s="1"/>
      <c r="P58" s="152">
        <f t="shared" si="2"/>
        <v>463.90819444444435</v>
      </c>
      <c r="Q58" s="150">
        <v>0</v>
      </c>
      <c r="R58" s="199">
        <v>0</v>
      </c>
      <c r="S58" s="199">
        <v>0</v>
      </c>
      <c r="T58" s="199">
        <v>0</v>
      </c>
      <c r="U58" s="199">
        <v>0</v>
      </c>
      <c r="V58" s="155">
        <f t="shared" si="3"/>
        <v>0</v>
      </c>
      <c r="W58" s="199">
        <v>0</v>
      </c>
      <c r="X58" s="151">
        <f>(X57-VSLFO.MGO456[[#This Row],[TOTAL]])+VSLFO.MGO456[[#This Row],[FAENA2]]</f>
        <v>87.000000000000014</v>
      </c>
      <c r="Y58" s="150"/>
      <c r="Z58" s="199"/>
      <c r="AA58" s="149">
        <f t="shared" si="4"/>
        <v>100</v>
      </c>
      <c r="AB58" s="199"/>
      <c r="AC58" s="199"/>
      <c r="AD58" s="149">
        <f>($AD$4-VSLFO.MGO456[[#This Row],[CARTER MP.]])+VSLFO.MGO456[[#This Row],[FAENA EN LTS2]]</f>
        <v>100</v>
      </c>
      <c r="AE58" s="199"/>
      <c r="AF58" s="199"/>
      <c r="AG58" s="149">
        <f t="shared" si="5"/>
        <v>100</v>
      </c>
      <c r="AH58" s="199"/>
      <c r="AI58" s="199"/>
      <c r="AJ58" s="148">
        <f>(AJ57-VSLFO.MGO456[[#This Row],[HIDRAULICO]])+VSLFO.MGO456[[#This Row],[FAENA EN LTS3]]</f>
        <v>100</v>
      </c>
    </row>
    <row r="59" spans="1:36" x14ac:dyDescent="0.25">
      <c r="A59" s="192"/>
      <c r="B59" s="219">
        <v>43906</v>
      </c>
      <c r="C59" s="7">
        <v>0.33333333333333331</v>
      </c>
      <c r="D59" s="4">
        <f>IF(VSLFO.MGO456[[#This Row],[FECHA]]-B58=1,((VSLFO.MGO456[[#This Row],[HORA]]-C58)*24)+24,(VSLFO.MGO456[[#This Row],[HORA]]-C58)*24)</f>
        <v>12.8</v>
      </c>
      <c r="E59" s="10" t="s">
        <v>351</v>
      </c>
      <c r="F59" s="10" t="s">
        <v>351</v>
      </c>
      <c r="G59" s="212"/>
      <c r="H59" s="201"/>
      <c r="I59" s="201"/>
      <c r="J59" s="207"/>
      <c r="K59" s="153">
        <v>0</v>
      </c>
      <c r="L59" s="3">
        <v>1.3333333333333335</v>
      </c>
      <c r="M59" s="3">
        <v>1.0666666666666667</v>
      </c>
      <c r="N59" s="3">
        <f t="shared" si="0"/>
        <v>2.4000000000000004</v>
      </c>
      <c r="O59" s="1"/>
      <c r="P59" s="152">
        <f t="shared" si="2"/>
        <v>461.50819444444437</v>
      </c>
      <c r="Q59" s="150">
        <v>0</v>
      </c>
      <c r="R59" s="199">
        <v>0</v>
      </c>
      <c r="S59" s="199">
        <v>0</v>
      </c>
      <c r="T59" s="199">
        <v>0</v>
      </c>
      <c r="U59" s="199">
        <v>0</v>
      </c>
      <c r="V59" s="155">
        <f t="shared" si="3"/>
        <v>0</v>
      </c>
      <c r="W59" s="199">
        <v>0</v>
      </c>
      <c r="X59" s="151">
        <f>(X58-VSLFO.MGO456[[#This Row],[TOTAL]])+VSLFO.MGO456[[#This Row],[FAENA2]]</f>
        <v>87.000000000000014</v>
      </c>
      <c r="Y59" s="150"/>
      <c r="Z59" s="199"/>
      <c r="AA59" s="149">
        <f t="shared" si="4"/>
        <v>100</v>
      </c>
      <c r="AB59" s="199"/>
      <c r="AC59" s="199"/>
      <c r="AD59" s="149">
        <f>($AD$4-VSLFO.MGO456[[#This Row],[CARTER MP.]])+VSLFO.MGO456[[#This Row],[FAENA EN LTS2]]</f>
        <v>100</v>
      </c>
      <c r="AE59" s="199"/>
      <c r="AF59" s="199"/>
      <c r="AG59" s="149">
        <f t="shared" si="5"/>
        <v>100</v>
      </c>
      <c r="AH59" s="199"/>
      <c r="AI59" s="199"/>
      <c r="AJ59" s="148">
        <f>(AJ58-VSLFO.MGO456[[#This Row],[HIDRAULICO]])+VSLFO.MGO456[[#This Row],[FAENA EN LTS3]]</f>
        <v>100</v>
      </c>
    </row>
    <row r="60" spans="1:36" x14ac:dyDescent="0.25">
      <c r="A60" s="192"/>
      <c r="B60" s="219">
        <v>43907</v>
      </c>
      <c r="C60" s="7">
        <v>0.33333333333333331</v>
      </c>
      <c r="D60" s="4">
        <f>IF(VSLFO.MGO456[[#This Row],[FECHA]]-B59=1,((VSLFO.MGO456[[#This Row],[HORA]]-C59)*24)+24,(VSLFO.MGO456[[#This Row],[HORA]]-C59)*24)</f>
        <v>24</v>
      </c>
      <c r="E60" s="10" t="s">
        <v>351</v>
      </c>
      <c r="F60" s="10" t="s">
        <v>351</v>
      </c>
      <c r="G60" s="212"/>
      <c r="H60" s="201"/>
      <c r="I60" s="201"/>
      <c r="J60" s="207"/>
      <c r="K60" s="153">
        <v>0</v>
      </c>
      <c r="L60" s="3">
        <v>2.5</v>
      </c>
      <c r="M60" s="3">
        <v>2</v>
      </c>
      <c r="N60" s="3">
        <f t="shared" si="0"/>
        <v>4.5</v>
      </c>
      <c r="O60" s="1"/>
      <c r="P60" s="152">
        <f t="shared" si="2"/>
        <v>457.00819444444437</v>
      </c>
      <c r="Q60" s="150">
        <v>0</v>
      </c>
      <c r="R60" s="199">
        <v>0</v>
      </c>
      <c r="S60" s="199">
        <v>0</v>
      </c>
      <c r="T60" s="199">
        <v>0</v>
      </c>
      <c r="U60" s="199">
        <v>0</v>
      </c>
      <c r="V60" s="155">
        <f t="shared" si="3"/>
        <v>0</v>
      </c>
      <c r="W60" s="199">
        <v>0</v>
      </c>
      <c r="X60" s="151">
        <f>(X59-VSLFO.MGO456[[#This Row],[TOTAL]])+VSLFO.MGO456[[#This Row],[FAENA2]]</f>
        <v>87.000000000000014</v>
      </c>
      <c r="Y60" s="150"/>
      <c r="Z60" s="199"/>
      <c r="AA60" s="149">
        <f t="shared" si="4"/>
        <v>100</v>
      </c>
      <c r="AB60" s="199"/>
      <c r="AC60" s="199"/>
      <c r="AD60" s="149">
        <f>($AD$4-VSLFO.MGO456[[#This Row],[CARTER MP.]])+VSLFO.MGO456[[#This Row],[FAENA EN LTS2]]</f>
        <v>100</v>
      </c>
      <c r="AE60" s="199"/>
      <c r="AF60" s="199"/>
      <c r="AG60" s="149">
        <f t="shared" si="5"/>
        <v>100</v>
      </c>
      <c r="AH60" s="199"/>
      <c r="AI60" s="199"/>
      <c r="AJ60" s="148">
        <f>(AJ59-VSLFO.MGO456[[#This Row],[HIDRAULICO]])+VSLFO.MGO456[[#This Row],[FAENA EN LTS3]]</f>
        <v>100</v>
      </c>
    </row>
    <row r="61" spans="1:36" x14ac:dyDescent="0.25">
      <c r="A61" s="192"/>
      <c r="B61" s="219">
        <v>43908</v>
      </c>
      <c r="C61" s="7">
        <v>0.33333333333333331</v>
      </c>
      <c r="D61" s="4">
        <f>IF(VSLFO.MGO456[[#This Row],[FECHA]]-B60=1,((VSLFO.MGO456[[#This Row],[HORA]]-C60)*24)+24,(VSLFO.MGO456[[#This Row],[HORA]]-C60)*24)</f>
        <v>24</v>
      </c>
      <c r="E61" s="10" t="s">
        <v>351</v>
      </c>
      <c r="F61" s="10" t="s">
        <v>351</v>
      </c>
      <c r="G61" s="212"/>
      <c r="H61" s="201"/>
      <c r="I61" s="201"/>
      <c r="J61" s="207"/>
      <c r="K61" s="153">
        <v>0</v>
      </c>
      <c r="L61" s="3">
        <v>2</v>
      </c>
      <c r="M61" s="3">
        <v>0</v>
      </c>
      <c r="N61" s="3">
        <f t="shared" si="0"/>
        <v>2</v>
      </c>
      <c r="O61" s="1"/>
      <c r="P61" s="152">
        <f t="shared" si="2"/>
        <v>455.00819444444437</v>
      </c>
      <c r="Q61" s="150">
        <v>0</v>
      </c>
      <c r="R61" s="199">
        <v>0</v>
      </c>
      <c r="S61" s="199">
        <v>0</v>
      </c>
      <c r="T61" s="199">
        <v>0</v>
      </c>
      <c r="U61" s="199">
        <v>0</v>
      </c>
      <c r="V61" s="155">
        <f t="shared" si="3"/>
        <v>0</v>
      </c>
      <c r="W61" s="199">
        <v>0</v>
      </c>
      <c r="X61" s="151">
        <f>(X60-VSLFO.MGO456[[#This Row],[TOTAL]])+VSLFO.MGO456[[#This Row],[FAENA2]]</f>
        <v>87.000000000000014</v>
      </c>
      <c r="Y61" s="150"/>
      <c r="Z61" s="199"/>
      <c r="AA61" s="149">
        <f t="shared" si="4"/>
        <v>100</v>
      </c>
      <c r="AB61" s="199"/>
      <c r="AC61" s="199"/>
      <c r="AD61" s="149">
        <f>($AD$4-VSLFO.MGO456[[#This Row],[CARTER MP.]])+VSLFO.MGO456[[#This Row],[FAENA EN LTS2]]</f>
        <v>100</v>
      </c>
      <c r="AE61" s="199"/>
      <c r="AF61" s="199"/>
      <c r="AG61" s="149">
        <f t="shared" si="5"/>
        <v>100</v>
      </c>
      <c r="AH61" s="199"/>
      <c r="AI61" s="199"/>
      <c r="AJ61" s="148">
        <f>(AJ60-VSLFO.MGO456[[#This Row],[HIDRAULICO]])+VSLFO.MGO456[[#This Row],[FAENA EN LTS3]]</f>
        <v>100</v>
      </c>
    </row>
    <row r="62" spans="1:36" x14ac:dyDescent="0.25">
      <c r="A62" s="192"/>
      <c r="B62" s="219">
        <v>43909</v>
      </c>
      <c r="C62" s="7">
        <v>0.33333333333333331</v>
      </c>
      <c r="D62" s="4">
        <f>IF(VSLFO.MGO456[[#This Row],[FECHA]]-B61=1,((VSLFO.MGO456[[#This Row],[HORA]]-C61)*24)+24,(VSLFO.MGO456[[#This Row],[HORA]]-C61)*24)</f>
        <v>24</v>
      </c>
      <c r="E62" s="10" t="s">
        <v>351</v>
      </c>
      <c r="F62" s="10" t="s">
        <v>351</v>
      </c>
      <c r="G62" s="212"/>
      <c r="H62" s="201"/>
      <c r="I62" s="201"/>
      <c r="J62" s="207"/>
      <c r="K62" s="153">
        <v>0</v>
      </c>
      <c r="L62" s="3">
        <v>2.5</v>
      </c>
      <c r="M62" s="3">
        <v>2</v>
      </c>
      <c r="N62" s="3">
        <f t="shared" si="0"/>
        <v>4.5</v>
      </c>
      <c r="O62" s="1"/>
      <c r="P62" s="152">
        <f t="shared" si="2"/>
        <v>450.50819444444437</v>
      </c>
      <c r="Q62" s="150">
        <v>0</v>
      </c>
      <c r="R62" s="199">
        <v>0</v>
      </c>
      <c r="S62" s="199">
        <v>0</v>
      </c>
      <c r="T62" s="199">
        <v>0</v>
      </c>
      <c r="U62" s="199">
        <v>0</v>
      </c>
      <c r="V62" s="155">
        <f t="shared" si="3"/>
        <v>0</v>
      </c>
      <c r="W62" s="199">
        <v>0</v>
      </c>
      <c r="X62" s="151">
        <f>(X61-VSLFO.MGO456[[#This Row],[TOTAL]])+VSLFO.MGO456[[#This Row],[FAENA2]]</f>
        <v>87.000000000000014</v>
      </c>
      <c r="Y62" s="150"/>
      <c r="Z62" s="199"/>
      <c r="AA62" s="149">
        <f t="shared" si="4"/>
        <v>100</v>
      </c>
      <c r="AB62" s="199"/>
      <c r="AC62" s="199"/>
      <c r="AD62" s="149">
        <f>($AD$4-VSLFO.MGO456[[#This Row],[CARTER MP.]])+VSLFO.MGO456[[#This Row],[FAENA EN LTS2]]</f>
        <v>100</v>
      </c>
      <c r="AE62" s="199"/>
      <c r="AF62" s="199"/>
      <c r="AG62" s="149">
        <f t="shared" si="5"/>
        <v>100</v>
      </c>
      <c r="AH62" s="199"/>
      <c r="AI62" s="199"/>
      <c r="AJ62" s="148">
        <f>(AJ61-VSLFO.MGO456[[#This Row],[HIDRAULICO]])+VSLFO.MGO456[[#This Row],[FAENA EN LTS3]]</f>
        <v>100</v>
      </c>
    </row>
    <row r="63" spans="1:36" x14ac:dyDescent="0.25">
      <c r="A63" s="192"/>
      <c r="B63" s="219">
        <v>43910</v>
      </c>
      <c r="C63" s="7">
        <v>0.33333333333333331</v>
      </c>
      <c r="D63" s="4">
        <f>IF(VSLFO.MGO456[[#This Row],[FECHA]]-B62=1,((VSLFO.MGO456[[#This Row],[HORA]]-C62)*24)+24,(VSLFO.MGO456[[#This Row],[HORA]]-C62)*24)</f>
        <v>24</v>
      </c>
      <c r="E63" s="10" t="s">
        <v>351</v>
      </c>
      <c r="F63" s="10" t="s">
        <v>351</v>
      </c>
      <c r="G63" s="212"/>
      <c r="H63" s="201"/>
      <c r="I63" s="201"/>
      <c r="J63" s="207"/>
      <c r="K63" s="153">
        <v>0</v>
      </c>
      <c r="L63" s="3">
        <v>2</v>
      </c>
      <c r="M63" s="3">
        <v>0</v>
      </c>
      <c r="N63" s="3">
        <f t="shared" si="0"/>
        <v>2</v>
      </c>
      <c r="O63" s="1"/>
      <c r="P63" s="152">
        <f t="shared" si="2"/>
        <v>448.50819444444437</v>
      </c>
      <c r="Q63" s="150">
        <v>0</v>
      </c>
      <c r="R63" s="199">
        <v>0</v>
      </c>
      <c r="S63" s="199">
        <v>0</v>
      </c>
      <c r="T63" s="199">
        <v>0</v>
      </c>
      <c r="U63" s="199">
        <v>0</v>
      </c>
      <c r="V63" s="155">
        <f t="shared" si="3"/>
        <v>0</v>
      </c>
      <c r="W63" s="199">
        <v>0</v>
      </c>
      <c r="X63" s="151">
        <f>(X62-VSLFO.MGO456[[#This Row],[TOTAL]])+VSLFO.MGO456[[#This Row],[FAENA2]]</f>
        <v>87.000000000000014</v>
      </c>
      <c r="Y63" s="150"/>
      <c r="Z63" s="199"/>
      <c r="AA63" s="149">
        <f t="shared" si="4"/>
        <v>100</v>
      </c>
      <c r="AB63" s="199"/>
      <c r="AC63" s="199"/>
      <c r="AD63" s="149">
        <f>($AD$4-VSLFO.MGO456[[#This Row],[CARTER MP.]])+VSLFO.MGO456[[#This Row],[FAENA EN LTS2]]</f>
        <v>100</v>
      </c>
      <c r="AE63" s="199"/>
      <c r="AF63" s="199"/>
      <c r="AG63" s="149">
        <f t="shared" si="5"/>
        <v>100</v>
      </c>
      <c r="AH63" s="199"/>
      <c r="AI63" s="199"/>
      <c r="AJ63" s="148">
        <f>(AJ62-VSLFO.MGO456[[#This Row],[HIDRAULICO]])+VSLFO.MGO456[[#This Row],[FAENA EN LTS3]]</f>
        <v>100</v>
      </c>
    </row>
    <row r="64" spans="1:36" x14ac:dyDescent="0.25">
      <c r="A64" s="192"/>
      <c r="B64" s="219">
        <v>43911</v>
      </c>
      <c r="C64" s="7">
        <v>0.33333333333333331</v>
      </c>
      <c r="D64" s="4">
        <f>IF(VSLFO.MGO456[[#This Row],[FECHA]]-B63=1,((VSLFO.MGO456[[#This Row],[HORA]]-C63)*24)+24,(VSLFO.MGO456[[#This Row],[HORA]]-C63)*24)</f>
        <v>24</v>
      </c>
      <c r="E64" s="10" t="s">
        <v>351</v>
      </c>
      <c r="F64" s="10" t="s">
        <v>351</v>
      </c>
      <c r="G64" s="212"/>
      <c r="H64" s="201"/>
      <c r="I64" s="201"/>
      <c r="J64" s="207"/>
      <c r="K64" s="153">
        <v>0</v>
      </c>
      <c r="L64" s="3">
        <v>2.5</v>
      </c>
      <c r="M64" s="3">
        <v>2</v>
      </c>
      <c r="N64" s="3">
        <f t="shared" si="0"/>
        <v>4.5</v>
      </c>
      <c r="O64" s="1"/>
      <c r="P64" s="152">
        <f t="shared" si="2"/>
        <v>444.00819444444437</v>
      </c>
      <c r="Q64" s="150">
        <v>0</v>
      </c>
      <c r="R64" s="199">
        <v>0</v>
      </c>
      <c r="S64" s="199">
        <v>0</v>
      </c>
      <c r="T64" s="199">
        <v>0</v>
      </c>
      <c r="U64" s="199">
        <v>0</v>
      </c>
      <c r="V64" s="155">
        <f t="shared" si="3"/>
        <v>0</v>
      </c>
      <c r="W64" s="199">
        <v>0</v>
      </c>
      <c r="X64" s="151">
        <f>(X63-VSLFO.MGO456[[#This Row],[TOTAL]])+VSLFO.MGO456[[#This Row],[FAENA2]]</f>
        <v>87.000000000000014</v>
      </c>
      <c r="Y64" s="150"/>
      <c r="Z64" s="199"/>
      <c r="AA64" s="149">
        <f t="shared" si="4"/>
        <v>100</v>
      </c>
      <c r="AB64" s="199"/>
      <c r="AC64" s="199"/>
      <c r="AD64" s="149">
        <f>($AD$4-VSLFO.MGO456[[#This Row],[CARTER MP.]])+VSLFO.MGO456[[#This Row],[FAENA EN LTS2]]</f>
        <v>100</v>
      </c>
      <c r="AE64" s="199"/>
      <c r="AF64" s="199"/>
      <c r="AG64" s="149">
        <f t="shared" si="5"/>
        <v>100</v>
      </c>
      <c r="AH64" s="199"/>
      <c r="AI64" s="199"/>
      <c r="AJ64" s="148">
        <f>(AJ63-VSLFO.MGO456[[#This Row],[HIDRAULICO]])+VSLFO.MGO456[[#This Row],[FAENA EN LTS3]]</f>
        <v>100</v>
      </c>
    </row>
    <row r="65" spans="1:36" x14ac:dyDescent="0.25">
      <c r="A65" s="192"/>
      <c r="B65" s="219">
        <v>43912</v>
      </c>
      <c r="C65" s="7">
        <v>0.33333333333333331</v>
      </c>
      <c r="D65" s="4">
        <f>IF(VSLFO.MGO456[[#This Row],[FECHA]]-B64=1,((VSLFO.MGO456[[#This Row],[HORA]]-C64)*24)+24,(VSLFO.MGO456[[#This Row],[HORA]]-C64)*24)</f>
        <v>24</v>
      </c>
      <c r="E65" s="10" t="s">
        <v>351</v>
      </c>
      <c r="F65" s="10" t="s">
        <v>351</v>
      </c>
      <c r="G65" s="212"/>
      <c r="H65" s="201"/>
      <c r="I65" s="201"/>
      <c r="J65" s="207"/>
      <c r="K65" s="153">
        <v>0</v>
      </c>
      <c r="L65" s="3">
        <v>2.1</v>
      </c>
      <c r="M65" s="3">
        <v>1.7999999999999998</v>
      </c>
      <c r="N65" s="3">
        <f t="shared" si="0"/>
        <v>3.9</v>
      </c>
      <c r="O65" s="1"/>
      <c r="P65" s="152">
        <f t="shared" si="2"/>
        <v>440.10819444444439</v>
      </c>
      <c r="Q65" s="150">
        <v>0</v>
      </c>
      <c r="R65" s="199">
        <v>0</v>
      </c>
      <c r="S65" s="199">
        <v>0</v>
      </c>
      <c r="T65" s="199">
        <v>0</v>
      </c>
      <c r="U65" s="199">
        <v>0</v>
      </c>
      <c r="V65" s="155">
        <f t="shared" si="3"/>
        <v>0</v>
      </c>
      <c r="W65" s="199">
        <v>0</v>
      </c>
      <c r="X65" s="151">
        <f>(X64-VSLFO.MGO456[[#This Row],[TOTAL]])+VSLFO.MGO456[[#This Row],[FAENA2]]</f>
        <v>87.000000000000014</v>
      </c>
      <c r="Y65" s="150"/>
      <c r="Z65" s="199"/>
      <c r="AA65" s="149">
        <f t="shared" si="4"/>
        <v>100</v>
      </c>
      <c r="AB65" s="199"/>
      <c r="AC65" s="199"/>
      <c r="AD65" s="149">
        <f>($AD$4-VSLFO.MGO456[[#This Row],[CARTER MP.]])+VSLFO.MGO456[[#This Row],[FAENA EN LTS2]]</f>
        <v>100</v>
      </c>
      <c r="AE65" s="199"/>
      <c r="AF65" s="199"/>
      <c r="AG65" s="149">
        <f t="shared" si="5"/>
        <v>100</v>
      </c>
      <c r="AH65" s="199"/>
      <c r="AI65" s="199"/>
      <c r="AJ65" s="148">
        <f>(AJ64-VSLFO.MGO456[[#This Row],[HIDRAULICO]])+VSLFO.MGO456[[#This Row],[FAENA EN LTS3]]</f>
        <v>100</v>
      </c>
    </row>
    <row r="66" spans="1:36" x14ac:dyDescent="0.25">
      <c r="A66" s="192"/>
      <c r="B66" s="219">
        <v>43912</v>
      </c>
      <c r="C66" s="7">
        <v>0.70416666666666661</v>
      </c>
      <c r="D66" s="4">
        <f>IF(VSLFO.MGO456[[#This Row],[FECHA]]-B65=1,((VSLFO.MGO456[[#This Row],[HORA]]-C65)*24)+24,(VSLFO.MGO456[[#This Row],[HORA]]-C65)*24)</f>
        <v>8.8999999999999986</v>
      </c>
      <c r="E66" s="10" t="s">
        <v>351</v>
      </c>
      <c r="F66" s="10" t="s">
        <v>1011</v>
      </c>
      <c r="G66" s="212"/>
      <c r="H66" s="201"/>
      <c r="I66" s="201"/>
      <c r="J66" s="207"/>
      <c r="K66" s="153">
        <v>0</v>
      </c>
      <c r="L66" s="3">
        <v>0.77874999999999994</v>
      </c>
      <c r="M66" s="3">
        <v>0.66749999999999987</v>
      </c>
      <c r="N66" s="3">
        <f t="shared" si="0"/>
        <v>1.4462499999999998</v>
      </c>
      <c r="O66" s="1"/>
      <c r="P66" s="152">
        <f t="shared" si="2"/>
        <v>438.66194444444437</v>
      </c>
      <c r="Q66" s="150">
        <v>0</v>
      </c>
      <c r="R66" s="199">
        <v>0</v>
      </c>
      <c r="S66" s="199">
        <v>0</v>
      </c>
      <c r="T66" s="199">
        <v>0</v>
      </c>
      <c r="U66" s="199">
        <v>0</v>
      </c>
      <c r="V66" s="155">
        <f t="shared" si="3"/>
        <v>0</v>
      </c>
      <c r="W66" s="199">
        <v>0</v>
      </c>
      <c r="X66" s="151">
        <f>(X65-VSLFO.MGO456[[#This Row],[TOTAL]])+VSLFO.MGO456[[#This Row],[FAENA2]]</f>
        <v>87.000000000000014</v>
      </c>
      <c r="Y66" s="150"/>
      <c r="Z66" s="199"/>
      <c r="AA66" s="149">
        <f t="shared" si="4"/>
        <v>100</v>
      </c>
      <c r="AB66" s="199"/>
      <c r="AC66" s="199"/>
      <c r="AD66" s="149">
        <f>($AD$4-VSLFO.MGO456[[#This Row],[CARTER MP.]])+VSLFO.MGO456[[#This Row],[FAENA EN LTS2]]</f>
        <v>100</v>
      </c>
      <c r="AE66" s="199"/>
      <c r="AF66" s="199"/>
      <c r="AG66" s="149">
        <f t="shared" si="5"/>
        <v>100</v>
      </c>
      <c r="AH66" s="199"/>
      <c r="AI66" s="199"/>
      <c r="AJ66" s="148">
        <f>(AJ65-VSLFO.MGO456[[#This Row],[HIDRAULICO]])+VSLFO.MGO456[[#This Row],[FAENA EN LTS3]]</f>
        <v>100</v>
      </c>
    </row>
    <row r="67" spans="1:36" x14ac:dyDescent="0.25">
      <c r="A67" s="227"/>
      <c r="B67" s="219">
        <v>43912</v>
      </c>
      <c r="C67" s="7">
        <v>0.76666666666666661</v>
      </c>
      <c r="D67" s="4">
        <f>IF(VSLFO.MGO456[[#This Row],[FECHA]]-B66=1,((VSLFO.MGO456[[#This Row],[HORA]]-C66)*24)+24,(VSLFO.MGO456[[#This Row],[HORA]]-C66)*24)</f>
        <v>1.5</v>
      </c>
      <c r="E67" s="10" t="s">
        <v>1057</v>
      </c>
      <c r="F67" s="10" t="s">
        <v>616</v>
      </c>
      <c r="G67" s="212"/>
      <c r="H67" s="201"/>
      <c r="I67" s="201"/>
      <c r="J67" s="207"/>
      <c r="K67" s="153">
        <v>0.125</v>
      </c>
      <c r="L67" s="3">
        <v>0.15625</v>
      </c>
      <c r="M67" s="3">
        <v>0.125</v>
      </c>
      <c r="N67" s="3">
        <f t="shared" si="0"/>
        <v>0.40625</v>
      </c>
      <c r="O67" s="1"/>
      <c r="P67" s="152">
        <f t="shared" si="2"/>
        <v>438.25569444444437</v>
      </c>
      <c r="Q67" s="150">
        <v>0</v>
      </c>
      <c r="R67" s="199">
        <v>0</v>
      </c>
      <c r="S67" s="199">
        <v>0</v>
      </c>
      <c r="T67" s="199">
        <v>0</v>
      </c>
      <c r="U67" s="199">
        <v>0</v>
      </c>
      <c r="V67" s="155">
        <f t="shared" si="3"/>
        <v>0</v>
      </c>
      <c r="W67" s="199">
        <v>0</v>
      </c>
      <c r="X67" s="151">
        <f>(X66-VSLFO.MGO456[[#This Row],[TOTAL]])+VSLFO.MGO456[[#This Row],[FAENA2]]</f>
        <v>87.000000000000014</v>
      </c>
      <c r="Y67" s="150"/>
      <c r="Z67" s="199"/>
      <c r="AA67" s="149">
        <f t="shared" si="4"/>
        <v>100</v>
      </c>
      <c r="AB67" s="199"/>
      <c r="AC67" s="199"/>
      <c r="AD67" s="149">
        <f>($AD$4-VSLFO.MGO456[[#This Row],[CARTER MP.]])+VSLFO.MGO456[[#This Row],[FAENA EN LTS2]]</f>
        <v>100</v>
      </c>
      <c r="AE67" s="199"/>
      <c r="AF67" s="199"/>
      <c r="AG67" s="149">
        <f t="shared" si="5"/>
        <v>100</v>
      </c>
      <c r="AH67" s="199"/>
      <c r="AI67" s="199"/>
      <c r="AJ67" s="148">
        <f>(AJ66-VSLFO.MGO456[[#This Row],[HIDRAULICO]])+VSLFO.MGO456[[#This Row],[FAENA EN LTS3]]</f>
        <v>100</v>
      </c>
    </row>
    <row r="68" spans="1:36" x14ac:dyDescent="0.25">
      <c r="A68" s="192"/>
      <c r="B68" s="219">
        <v>43912</v>
      </c>
      <c r="C68" s="7">
        <v>0.85</v>
      </c>
      <c r="D68" s="4">
        <f>IF(VSLFO.MGO456[[#This Row],[FECHA]]-B67=1,((VSLFO.MGO456[[#This Row],[HORA]]-C67)*24)+24,(VSLFO.MGO456[[#This Row],[HORA]]-C67)*24)</f>
        <v>2.0000000000000009</v>
      </c>
      <c r="E68" s="10" t="s">
        <v>1425</v>
      </c>
      <c r="F68" s="10" t="s">
        <v>1004</v>
      </c>
      <c r="G68" s="212"/>
      <c r="H68" s="201"/>
      <c r="I68" s="201"/>
      <c r="J68" s="207"/>
      <c r="K68" s="153">
        <v>0</v>
      </c>
      <c r="L68" s="3">
        <v>0.20833333333333343</v>
      </c>
      <c r="M68" s="3">
        <v>0.16666666666666674</v>
      </c>
      <c r="N68" s="3">
        <f t="shared" si="0"/>
        <v>0.37500000000000017</v>
      </c>
      <c r="O68" s="1"/>
      <c r="P68" s="152">
        <f t="shared" si="2"/>
        <v>437.88069444444437</v>
      </c>
      <c r="Q68" s="150">
        <v>0</v>
      </c>
      <c r="R68" s="199">
        <v>0</v>
      </c>
      <c r="S68" s="199">
        <v>0</v>
      </c>
      <c r="T68" s="199">
        <v>0</v>
      </c>
      <c r="U68" s="199">
        <v>0</v>
      </c>
      <c r="V68" s="155">
        <f t="shared" si="3"/>
        <v>0</v>
      </c>
      <c r="W68" s="199">
        <v>0</v>
      </c>
      <c r="X68" s="151">
        <f>(X67-VSLFO.MGO456[[#This Row],[TOTAL]])+VSLFO.MGO456[[#This Row],[FAENA2]]</f>
        <v>87.000000000000014</v>
      </c>
      <c r="Y68" s="150"/>
      <c r="Z68" s="199"/>
      <c r="AA68" s="149">
        <f t="shared" si="4"/>
        <v>100</v>
      </c>
      <c r="AB68" s="199"/>
      <c r="AC68" s="199"/>
      <c r="AD68" s="149">
        <f>($AD$4-VSLFO.MGO456[[#This Row],[CARTER MP.]])+VSLFO.MGO456[[#This Row],[FAENA EN LTS2]]</f>
        <v>100</v>
      </c>
      <c r="AE68" s="199"/>
      <c r="AF68" s="199"/>
      <c r="AG68" s="149">
        <f t="shared" si="5"/>
        <v>100</v>
      </c>
      <c r="AH68" s="199"/>
      <c r="AI68" s="199"/>
      <c r="AJ68" s="148">
        <f>(AJ67-VSLFO.MGO456[[#This Row],[HIDRAULICO]])+VSLFO.MGO456[[#This Row],[FAENA EN LTS3]]</f>
        <v>100</v>
      </c>
    </row>
    <row r="69" spans="1:36" x14ac:dyDescent="0.25">
      <c r="A69" s="192"/>
      <c r="B69" s="219">
        <v>43913</v>
      </c>
      <c r="C69" s="7">
        <v>0.33333333333333331</v>
      </c>
      <c r="D69" s="4">
        <f>IF(VSLFO.MGO456[[#This Row],[FECHA]]-B68=1,((VSLFO.MGO456[[#This Row],[HORA]]-C68)*24)+24,(VSLFO.MGO456[[#This Row],[HORA]]-C68)*24)</f>
        <v>11.600000000000001</v>
      </c>
      <c r="E69" s="10" t="s">
        <v>966</v>
      </c>
      <c r="F69" s="10" t="s">
        <v>966</v>
      </c>
      <c r="G69" s="212"/>
      <c r="H69" s="201"/>
      <c r="I69" s="201"/>
      <c r="J69" s="207"/>
      <c r="K69" s="153">
        <v>0</v>
      </c>
      <c r="L69" s="3">
        <v>1.2083333333333335</v>
      </c>
      <c r="M69" s="3">
        <v>0.96666666666666679</v>
      </c>
      <c r="N69" s="3">
        <f t="shared" si="0"/>
        <v>2.1750000000000003</v>
      </c>
      <c r="O69" s="1"/>
      <c r="P69" s="152">
        <f t="shared" si="2"/>
        <v>435.70569444444436</v>
      </c>
      <c r="Q69" s="150">
        <v>0</v>
      </c>
      <c r="R69" s="199">
        <v>0</v>
      </c>
      <c r="S69" s="199">
        <v>0</v>
      </c>
      <c r="T69" s="199">
        <v>0</v>
      </c>
      <c r="U69" s="199">
        <v>2.9</v>
      </c>
      <c r="V69" s="155">
        <f t="shared" si="3"/>
        <v>2.9</v>
      </c>
      <c r="W69" s="199">
        <v>0</v>
      </c>
      <c r="X69" s="151">
        <f>(X68-VSLFO.MGO456[[#This Row],[TOTAL]])+VSLFO.MGO456[[#This Row],[FAENA2]]</f>
        <v>84.100000000000009</v>
      </c>
      <c r="Y69" s="150"/>
      <c r="Z69" s="199"/>
      <c r="AA69" s="149">
        <f t="shared" si="4"/>
        <v>100</v>
      </c>
      <c r="AB69" s="199"/>
      <c r="AC69" s="199"/>
      <c r="AD69" s="149">
        <f>($AD$4-VSLFO.MGO456[[#This Row],[CARTER MP.]])+VSLFO.MGO456[[#This Row],[FAENA EN LTS2]]</f>
        <v>100</v>
      </c>
      <c r="AE69" s="199"/>
      <c r="AF69" s="199"/>
      <c r="AG69" s="149">
        <f t="shared" si="5"/>
        <v>100</v>
      </c>
      <c r="AH69" s="199"/>
      <c r="AI69" s="199"/>
      <c r="AJ69" s="148">
        <f>(AJ68-VSLFO.MGO456[[#This Row],[HIDRAULICO]])+VSLFO.MGO456[[#This Row],[FAENA EN LTS3]]</f>
        <v>100</v>
      </c>
    </row>
    <row r="70" spans="1:36" x14ac:dyDescent="0.25">
      <c r="A70" s="192"/>
      <c r="B70" s="219">
        <v>43913</v>
      </c>
      <c r="C70" s="7">
        <v>0.35000000000000003</v>
      </c>
      <c r="D70" s="4">
        <f>IF(VSLFO.MGO456[[#This Row],[FECHA]]-B69=1,((VSLFO.MGO456[[#This Row],[HORA]]-C69)*24)+24,(VSLFO.MGO456[[#This Row],[HORA]]-C69)*24)</f>
        <v>0.40000000000000124</v>
      </c>
      <c r="E70" s="10" t="s">
        <v>966</v>
      </c>
      <c r="F70" s="10" t="s">
        <v>966</v>
      </c>
      <c r="G70" s="212"/>
      <c r="H70" s="201"/>
      <c r="I70" s="201"/>
      <c r="J70" s="207"/>
      <c r="K70" s="153">
        <v>0</v>
      </c>
      <c r="L70" s="3">
        <v>4.1666666666666796E-2</v>
      </c>
      <c r="M70" s="3">
        <v>3.3333333333333437E-2</v>
      </c>
      <c r="N70" s="3">
        <f t="shared" si="0"/>
        <v>7.5000000000000233E-2</v>
      </c>
      <c r="O70" s="1"/>
      <c r="P70" s="152">
        <f t="shared" si="2"/>
        <v>435.63069444444437</v>
      </c>
      <c r="Q70" s="150">
        <v>0</v>
      </c>
      <c r="R70" s="199">
        <v>0</v>
      </c>
      <c r="S70" s="199">
        <v>0</v>
      </c>
      <c r="T70" s="199">
        <v>0</v>
      </c>
      <c r="U70" s="199">
        <v>0.1</v>
      </c>
      <c r="V70" s="155">
        <f t="shared" si="3"/>
        <v>0.1</v>
      </c>
      <c r="W70" s="199">
        <v>0</v>
      </c>
      <c r="X70" s="151">
        <f>(X69-VSLFO.MGO456[[#This Row],[TOTAL]])+VSLFO.MGO456[[#This Row],[FAENA2]]</f>
        <v>84.000000000000014</v>
      </c>
      <c r="Y70" s="150"/>
      <c r="Z70" s="199"/>
      <c r="AA70" s="149">
        <f t="shared" si="4"/>
        <v>100</v>
      </c>
      <c r="AB70" s="199"/>
      <c r="AC70" s="199"/>
      <c r="AD70" s="149">
        <f>($AD$4-VSLFO.MGO456[[#This Row],[CARTER MP.]])+VSLFO.MGO456[[#This Row],[FAENA EN LTS2]]</f>
        <v>100</v>
      </c>
      <c r="AE70" s="199"/>
      <c r="AF70" s="199"/>
      <c r="AG70" s="149">
        <f t="shared" si="5"/>
        <v>100</v>
      </c>
      <c r="AH70" s="199"/>
      <c r="AI70" s="199"/>
      <c r="AJ70" s="148">
        <f>(AJ69-VSLFO.MGO456[[#This Row],[HIDRAULICO]])+VSLFO.MGO456[[#This Row],[FAENA EN LTS3]]</f>
        <v>100</v>
      </c>
    </row>
    <row r="71" spans="1:36" x14ac:dyDescent="0.25">
      <c r="A71" s="192"/>
      <c r="B71" s="219">
        <v>43913</v>
      </c>
      <c r="C71" s="7">
        <v>0.47083333333333338</v>
      </c>
      <c r="D71" s="4">
        <f>IF(VSLFO.MGO456[[#This Row],[FECHA]]-B70=1,((VSLFO.MGO456[[#This Row],[HORA]]-C70)*24)+24,(VSLFO.MGO456[[#This Row],[HORA]]-C70)*24)</f>
        <v>2.9000000000000004</v>
      </c>
      <c r="E71" s="10" t="s">
        <v>1425</v>
      </c>
      <c r="F71" s="10" t="s">
        <v>1011</v>
      </c>
      <c r="G71" s="212"/>
      <c r="H71" s="201"/>
      <c r="I71" s="201"/>
      <c r="J71" s="207"/>
      <c r="K71" s="153">
        <v>0</v>
      </c>
      <c r="L71" s="3">
        <v>0.30208333333333337</v>
      </c>
      <c r="M71" s="3">
        <v>0.2416666666666667</v>
      </c>
      <c r="N71" s="3">
        <f t="shared" ref="N71:N115" si="6">K71+L71+M71</f>
        <v>0.54375000000000007</v>
      </c>
      <c r="O71" s="1"/>
      <c r="P71" s="152">
        <f t="shared" si="2"/>
        <v>435.08694444444438</v>
      </c>
      <c r="Q71" s="150">
        <v>0</v>
      </c>
      <c r="R71" s="199">
        <v>0</v>
      </c>
      <c r="S71" s="199">
        <v>0</v>
      </c>
      <c r="T71" s="199">
        <v>0</v>
      </c>
      <c r="U71" s="199">
        <v>0</v>
      </c>
      <c r="V71" s="155">
        <f t="shared" si="3"/>
        <v>0</v>
      </c>
      <c r="W71" s="199">
        <v>0</v>
      </c>
      <c r="X71" s="151">
        <f>(X70-VSLFO.MGO456[[#This Row],[TOTAL]])+VSLFO.MGO456[[#This Row],[FAENA2]]</f>
        <v>84.000000000000014</v>
      </c>
      <c r="Y71" s="150"/>
      <c r="Z71" s="199"/>
      <c r="AA71" s="149">
        <f t="shared" si="4"/>
        <v>100</v>
      </c>
      <c r="AB71" s="199"/>
      <c r="AC71" s="199"/>
      <c r="AD71" s="149">
        <f>($AD$4-VSLFO.MGO456[[#This Row],[CARTER MP.]])+VSLFO.MGO456[[#This Row],[FAENA EN LTS2]]</f>
        <v>100</v>
      </c>
      <c r="AE71" s="199"/>
      <c r="AF71" s="199"/>
      <c r="AG71" s="149">
        <f t="shared" si="5"/>
        <v>100</v>
      </c>
      <c r="AH71" s="199"/>
      <c r="AI71" s="199"/>
      <c r="AJ71" s="148">
        <f>(AJ70-VSLFO.MGO456[[#This Row],[HIDRAULICO]])+VSLFO.MGO456[[#This Row],[FAENA EN LTS3]]</f>
        <v>100</v>
      </c>
    </row>
    <row r="72" spans="1:36" x14ac:dyDescent="0.25">
      <c r="A72" s="192"/>
      <c r="B72" s="219">
        <v>43913</v>
      </c>
      <c r="C72" s="7">
        <v>0.5083333333333333</v>
      </c>
      <c r="D72" s="4">
        <f>IF(VSLFO.MGO456[[#This Row],[FECHA]]-B71=1,((VSLFO.MGO456[[#This Row],[HORA]]-C71)*24)+24,(VSLFO.MGO456[[#This Row],[HORA]]-C71)*24)</f>
        <v>0.89999999999999813</v>
      </c>
      <c r="E72" s="10" t="s">
        <v>1057</v>
      </c>
      <c r="F72" s="10" t="s">
        <v>1436</v>
      </c>
      <c r="G72" s="212"/>
      <c r="H72" s="201"/>
      <c r="I72" s="201" t="s">
        <v>1297</v>
      </c>
      <c r="J72" s="207">
        <v>95</v>
      </c>
      <c r="K72" s="153">
        <v>0.18749999999999961</v>
      </c>
      <c r="L72" s="3">
        <v>9.3749999999999806E-2</v>
      </c>
      <c r="M72" s="3">
        <v>7.4999999999999845E-2</v>
      </c>
      <c r="N72" s="3">
        <f t="shared" si="6"/>
        <v>0.35624999999999929</v>
      </c>
      <c r="O72" s="1"/>
      <c r="P72" s="152">
        <f t="shared" si="2"/>
        <v>434.7306944444444</v>
      </c>
      <c r="Q72" s="150">
        <v>0</v>
      </c>
      <c r="R72" s="199">
        <v>0</v>
      </c>
      <c r="S72" s="199">
        <v>0</v>
      </c>
      <c r="T72" s="199">
        <v>0</v>
      </c>
      <c r="U72" s="199">
        <v>0</v>
      </c>
      <c r="V72" s="155">
        <f t="shared" si="3"/>
        <v>0</v>
      </c>
      <c r="W72" s="199">
        <v>0</v>
      </c>
      <c r="X72" s="151">
        <f>(X71-VSLFO.MGO456[[#This Row],[TOTAL]])+VSLFO.MGO456[[#This Row],[FAENA2]]</f>
        <v>84.000000000000014</v>
      </c>
      <c r="Y72" s="150"/>
      <c r="Z72" s="199"/>
      <c r="AA72" s="149">
        <f t="shared" si="4"/>
        <v>100</v>
      </c>
      <c r="AB72" s="199"/>
      <c r="AC72" s="199"/>
      <c r="AD72" s="149">
        <f>($AD$4-VSLFO.MGO456[[#This Row],[CARTER MP.]])+VSLFO.MGO456[[#This Row],[FAENA EN LTS2]]</f>
        <v>100</v>
      </c>
      <c r="AE72" s="199"/>
      <c r="AF72" s="199"/>
      <c r="AG72" s="149">
        <f t="shared" si="5"/>
        <v>100</v>
      </c>
      <c r="AH72" s="199"/>
      <c r="AI72" s="199"/>
      <c r="AJ72" s="148">
        <f>(AJ71-VSLFO.MGO456[[#This Row],[HIDRAULICO]])+VSLFO.MGO456[[#This Row],[FAENA EN LTS3]]</f>
        <v>100</v>
      </c>
    </row>
    <row r="73" spans="1:36" x14ac:dyDescent="0.25">
      <c r="A73" s="192"/>
      <c r="B73" s="219">
        <v>43913</v>
      </c>
      <c r="C73" s="7">
        <v>0.90416666666666667</v>
      </c>
      <c r="D73" s="4">
        <f>IF(VSLFO.MGO456[[#This Row],[FECHA]]-B72=1,((VSLFO.MGO456[[#This Row],[HORA]]-C72)*24)+24,(VSLFO.MGO456[[#This Row],[HORA]]-C72)*24)</f>
        <v>9.5</v>
      </c>
      <c r="E73" s="10" t="s">
        <v>1338</v>
      </c>
      <c r="F73" s="10" t="s">
        <v>1003</v>
      </c>
      <c r="G73" s="212">
        <v>96</v>
      </c>
      <c r="H73" s="201">
        <v>10</v>
      </c>
      <c r="I73" s="201" t="s">
        <v>1297</v>
      </c>
      <c r="J73" s="207">
        <v>95</v>
      </c>
      <c r="K73" s="153">
        <v>9.1041666666666679</v>
      </c>
      <c r="L73" s="3">
        <v>0.98958333333333337</v>
      </c>
      <c r="M73" s="3">
        <v>0</v>
      </c>
      <c r="N73" s="3">
        <f t="shared" si="6"/>
        <v>10.093750000000002</v>
      </c>
      <c r="O73" s="1"/>
      <c r="P73" s="152">
        <f t="shared" si="2"/>
        <v>424.6369444444444</v>
      </c>
      <c r="Q73" s="150">
        <v>0</v>
      </c>
      <c r="R73" s="199">
        <v>0</v>
      </c>
      <c r="S73" s="199">
        <v>0</v>
      </c>
      <c r="T73" s="199">
        <v>0</v>
      </c>
      <c r="U73" s="199">
        <v>0</v>
      </c>
      <c r="V73" s="155">
        <f t="shared" si="3"/>
        <v>0</v>
      </c>
      <c r="W73" s="199">
        <v>0</v>
      </c>
      <c r="X73" s="151">
        <f>(X72-VSLFO.MGO456[[#This Row],[TOTAL]])+VSLFO.MGO456[[#This Row],[FAENA2]]</f>
        <v>84.000000000000014</v>
      </c>
      <c r="Y73" s="150"/>
      <c r="Z73" s="199"/>
      <c r="AA73" s="149">
        <f t="shared" si="4"/>
        <v>100</v>
      </c>
      <c r="AB73" s="199"/>
      <c r="AC73" s="199"/>
      <c r="AD73" s="149">
        <f>($AD$4-VSLFO.MGO456[[#This Row],[CARTER MP.]])+VSLFO.MGO456[[#This Row],[FAENA EN LTS2]]</f>
        <v>100</v>
      </c>
      <c r="AE73" s="199"/>
      <c r="AF73" s="199"/>
      <c r="AG73" s="149">
        <f t="shared" si="5"/>
        <v>100</v>
      </c>
      <c r="AH73" s="199"/>
      <c r="AI73" s="199"/>
      <c r="AJ73" s="148">
        <f>(AJ72-VSLFO.MGO456[[#This Row],[HIDRAULICO]])+VSLFO.MGO456[[#This Row],[FAENA EN LTS3]]</f>
        <v>100</v>
      </c>
    </row>
    <row r="74" spans="1:36" x14ac:dyDescent="0.25">
      <c r="A74" s="192"/>
      <c r="B74" s="219">
        <v>43913</v>
      </c>
      <c r="C74" s="7">
        <v>0.9375</v>
      </c>
      <c r="D74" s="4">
        <f>IF(VSLFO.MGO456[[#This Row],[FECHA]]-B73=1,((VSLFO.MGO456[[#This Row],[HORA]]-C73)*24)+24,(VSLFO.MGO456[[#This Row],[HORA]]-C73)*24)</f>
        <v>0.79999999999999982</v>
      </c>
      <c r="E74" s="10" t="s">
        <v>1057</v>
      </c>
      <c r="F74" s="10" t="s">
        <v>616</v>
      </c>
      <c r="G74" s="212"/>
      <c r="H74" s="201"/>
      <c r="I74" s="201"/>
      <c r="J74" s="207"/>
      <c r="K74" s="153">
        <v>0.16666666666666663</v>
      </c>
      <c r="L74" s="3">
        <v>8.3333333333333315E-2</v>
      </c>
      <c r="M74" s="3">
        <v>6.6666666666666652E-2</v>
      </c>
      <c r="N74" s="3">
        <f t="shared" si="6"/>
        <v>0.3166666666666666</v>
      </c>
      <c r="O74" s="1"/>
      <c r="P74" s="152">
        <f t="shared" ref="P74:P107" si="7">(P73 -N74)+O74</f>
        <v>424.32027777777773</v>
      </c>
      <c r="Q74" s="150">
        <v>0</v>
      </c>
      <c r="R74" s="199">
        <v>0</v>
      </c>
      <c r="S74" s="199">
        <v>0</v>
      </c>
      <c r="T74" s="199">
        <v>0</v>
      </c>
      <c r="U74" s="199">
        <v>0</v>
      </c>
      <c r="V74" s="155">
        <f t="shared" si="3"/>
        <v>0</v>
      </c>
      <c r="W74" s="199">
        <v>0</v>
      </c>
      <c r="X74" s="151">
        <f>(X73-VSLFO.MGO456[[#This Row],[TOTAL]])+VSLFO.MGO456[[#This Row],[FAENA2]]</f>
        <v>84.000000000000014</v>
      </c>
      <c r="Y74" s="150"/>
      <c r="Z74" s="199"/>
      <c r="AA74" s="149">
        <f t="shared" si="4"/>
        <v>100</v>
      </c>
      <c r="AB74" s="199"/>
      <c r="AC74" s="199"/>
      <c r="AD74" s="149">
        <f>($AD$4-VSLFO.MGO456[[#This Row],[CARTER MP.]])+VSLFO.MGO456[[#This Row],[FAENA EN LTS2]]</f>
        <v>100</v>
      </c>
      <c r="AE74" s="199"/>
      <c r="AF74" s="199"/>
      <c r="AG74" s="149">
        <f t="shared" si="5"/>
        <v>100</v>
      </c>
      <c r="AH74" s="199"/>
      <c r="AI74" s="199"/>
      <c r="AJ74" s="148">
        <f>(AJ73-VSLFO.MGO456[[#This Row],[HIDRAULICO]])+VSLFO.MGO456[[#This Row],[FAENA EN LTS3]]</f>
        <v>100</v>
      </c>
    </row>
    <row r="75" spans="1:36" x14ac:dyDescent="0.25">
      <c r="A75" s="192"/>
      <c r="B75" s="219">
        <v>43914</v>
      </c>
      <c r="C75" s="7">
        <v>0.33333333333333331</v>
      </c>
      <c r="D75" s="4">
        <f>IF(VSLFO.MGO456[[#This Row],[FECHA]]-B74=1,((VSLFO.MGO456[[#This Row],[HORA]]-C74)*24)+24,(VSLFO.MGO456[[#This Row],[HORA]]-C74)*24)</f>
        <v>9.4999999999999982</v>
      </c>
      <c r="E75" s="10" t="s">
        <v>351</v>
      </c>
      <c r="F75" s="10" t="s">
        <v>351</v>
      </c>
      <c r="G75" s="212"/>
      <c r="H75" s="201"/>
      <c r="I75" s="201"/>
      <c r="J75" s="207"/>
      <c r="K75" s="153">
        <v>0</v>
      </c>
      <c r="L75" s="3">
        <v>0.87083333333333324</v>
      </c>
      <c r="M75" s="3">
        <v>0.79166666666666652</v>
      </c>
      <c r="N75" s="3">
        <f t="shared" si="6"/>
        <v>1.6624999999999996</v>
      </c>
      <c r="O75" s="1"/>
      <c r="P75" s="152">
        <f t="shared" si="7"/>
        <v>422.65777777777771</v>
      </c>
      <c r="Q75" s="150">
        <v>0</v>
      </c>
      <c r="R75" s="199">
        <v>0</v>
      </c>
      <c r="S75" s="199">
        <v>0</v>
      </c>
      <c r="T75" s="199">
        <v>0</v>
      </c>
      <c r="U75" s="199">
        <v>0</v>
      </c>
      <c r="V75" s="155">
        <f t="shared" si="3"/>
        <v>0</v>
      </c>
      <c r="W75" s="199">
        <v>0</v>
      </c>
      <c r="X75" s="151">
        <f>(X74-VSLFO.MGO456[[#This Row],[TOTAL]])+VSLFO.MGO456[[#This Row],[FAENA2]]</f>
        <v>84.000000000000014</v>
      </c>
      <c r="Y75" s="150"/>
      <c r="Z75" s="199"/>
      <c r="AA75" s="149">
        <f t="shared" si="4"/>
        <v>100</v>
      </c>
      <c r="AB75" s="199"/>
      <c r="AC75" s="199"/>
      <c r="AD75" s="149">
        <f>($AD$4-VSLFO.MGO456[[#This Row],[CARTER MP.]])+VSLFO.MGO456[[#This Row],[FAENA EN LTS2]]</f>
        <v>100</v>
      </c>
      <c r="AE75" s="199"/>
      <c r="AF75" s="199"/>
      <c r="AG75" s="149">
        <f t="shared" si="5"/>
        <v>100</v>
      </c>
      <c r="AH75" s="199"/>
      <c r="AI75" s="199"/>
      <c r="AJ75" s="148">
        <f>(AJ74-VSLFO.MGO456[[#This Row],[HIDRAULICO]])+VSLFO.MGO456[[#This Row],[FAENA EN LTS3]]</f>
        <v>100</v>
      </c>
    </row>
    <row r="76" spans="1:36" x14ac:dyDescent="0.25">
      <c r="A76" s="192"/>
      <c r="B76" s="219">
        <v>43915</v>
      </c>
      <c r="C76" s="7">
        <v>0.33333333333333331</v>
      </c>
      <c r="D76" s="4">
        <f>IF(VSLFO.MGO456[[#This Row],[FECHA]]-B75=1,((VSLFO.MGO456[[#This Row],[HORA]]-C75)*24)+24,(VSLFO.MGO456[[#This Row],[HORA]]-C75)*24)</f>
        <v>24</v>
      </c>
      <c r="E76" s="10" t="s">
        <v>351</v>
      </c>
      <c r="F76" s="10" t="s">
        <v>351</v>
      </c>
      <c r="G76" s="212"/>
      <c r="H76" s="201"/>
      <c r="I76" s="201"/>
      <c r="J76" s="207"/>
      <c r="K76" s="153">
        <v>0</v>
      </c>
      <c r="L76" s="3">
        <v>2.2000000000000002</v>
      </c>
      <c r="M76" s="3">
        <v>2</v>
      </c>
      <c r="N76" s="3">
        <f t="shared" si="6"/>
        <v>4.2</v>
      </c>
      <c r="O76" s="1"/>
      <c r="P76" s="152">
        <f t="shared" si="7"/>
        <v>418.45777777777772</v>
      </c>
      <c r="Q76" s="150">
        <v>0</v>
      </c>
      <c r="R76" s="199">
        <v>0</v>
      </c>
      <c r="S76" s="199">
        <v>0</v>
      </c>
      <c r="T76" s="199">
        <v>0</v>
      </c>
      <c r="U76" s="199">
        <v>0</v>
      </c>
      <c r="V76" s="155">
        <f t="shared" si="3"/>
        <v>0</v>
      </c>
      <c r="W76" s="199">
        <v>0</v>
      </c>
      <c r="X76" s="151">
        <f>(X75-VSLFO.MGO456[[#This Row],[TOTAL]])+VSLFO.MGO456[[#This Row],[FAENA2]]</f>
        <v>84.000000000000014</v>
      </c>
      <c r="Y76" s="150"/>
      <c r="Z76" s="199"/>
      <c r="AA76" s="149">
        <f t="shared" si="4"/>
        <v>100</v>
      </c>
      <c r="AB76" s="199"/>
      <c r="AC76" s="199"/>
      <c r="AD76" s="149">
        <f>($AD$4-VSLFO.MGO456[[#This Row],[CARTER MP.]])+VSLFO.MGO456[[#This Row],[FAENA EN LTS2]]</f>
        <v>100</v>
      </c>
      <c r="AE76" s="199"/>
      <c r="AF76" s="199"/>
      <c r="AG76" s="149">
        <f t="shared" ref="AG76:AG107" si="8">$AG$4</f>
        <v>100</v>
      </c>
      <c r="AH76" s="199"/>
      <c r="AI76" s="199"/>
      <c r="AJ76" s="148">
        <f>(AJ75-VSLFO.MGO456[[#This Row],[HIDRAULICO]])+VSLFO.MGO456[[#This Row],[FAENA EN LTS3]]</f>
        <v>100</v>
      </c>
    </row>
    <row r="77" spans="1:36" x14ac:dyDescent="0.25">
      <c r="A77" s="192"/>
      <c r="B77" s="219">
        <v>43916</v>
      </c>
      <c r="C77" s="7">
        <v>0.33333333333333331</v>
      </c>
      <c r="D77" s="4">
        <f>IF(VSLFO.MGO456[[#This Row],[FECHA]]-B76=1,((VSLFO.MGO456[[#This Row],[HORA]]-C76)*24)+24,(VSLFO.MGO456[[#This Row],[HORA]]-C76)*24)</f>
        <v>24</v>
      </c>
      <c r="E77" s="10" t="s">
        <v>351</v>
      </c>
      <c r="F77" s="10" t="s">
        <v>351</v>
      </c>
      <c r="G77" s="212"/>
      <c r="H77" s="201"/>
      <c r="I77" s="201"/>
      <c r="J77" s="207"/>
      <c r="K77" s="153">
        <v>0</v>
      </c>
      <c r="L77" s="3">
        <v>2.2000000000000002</v>
      </c>
      <c r="M77" s="3">
        <v>1.7999999999999998</v>
      </c>
      <c r="N77" s="3">
        <f t="shared" si="6"/>
        <v>4</v>
      </c>
      <c r="O77" s="1"/>
      <c r="P77" s="152">
        <f t="shared" si="7"/>
        <v>414.45777777777772</v>
      </c>
      <c r="Q77" s="150">
        <v>0</v>
      </c>
      <c r="R77" s="199">
        <v>0</v>
      </c>
      <c r="S77" s="199">
        <v>0</v>
      </c>
      <c r="T77" s="199">
        <v>0</v>
      </c>
      <c r="U77" s="199">
        <v>0</v>
      </c>
      <c r="V77" s="155">
        <f t="shared" si="3"/>
        <v>0</v>
      </c>
      <c r="W77" s="199">
        <v>0</v>
      </c>
      <c r="X77" s="151">
        <f>(X76-VSLFO.MGO456[[#This Row],[TOTAL]])+VSLFO.MGO456[[#This Row],[FAENA2]]</f>
        <v>84.000000000000014</v>
      </c>
      <c r="Y77" s="150"/>
      <c r="Z77" s="199"/>
      <c r="AA77" s="149">
        <f t="shared" si="4"/>
        <v>100</v>
      </c>
      <c r="AB77" s="199"/>
      <c r="AC77" s="199"/>
      <c r="AD77" s="149">
        <f>($AD$4-VSLFO.MGO456[[#This Row],[CARTER MP.]])+VSLFO.MGO456[[#This Row],[FAENA EN LTS2]]</f>
        <v>100</v>
      </c>
      <c r="AE77" s="199"/>
      <c r="AF77" s="199"/>
      <c r="AG77" s="149">
        <f t="shared" si="8"/>
        <v>100</v>
      </c>
      <c r="AH77" s="199"/>
      <c r="AI77" s="199"/>
      <c r="AJ77" s="148">
        <f>(AJ76-VSLFO.MGO456[[#This Row],[HIDRAULICO]])+VSLFO.MGO456[[#This Row],[FAENA EN LTS3]]</f>
        <v>100</v>
      </c>
    </row>
    <row r="78" spans="1:36" x14ac:dyDescent="0.25">
      <c r="A78" s="192"/>
      <c r="B78" s="219">
        <v>43917</v>
      </c>
      <c r="C78" s="7">
        <v>0.33333333333333331</v>
      </c>
      <c r="D78" s="4">
        <f>IF(VSLFO.MGO456[[#This Row],[FECHA]]-B77=1,((VSLFO.MGO456[[#This Row],[HORA]]-C77)*24)+24,(VSLFO.MGO456[[#This Row],[HORA]]-C77)*24)</f>
        <v>24</v>
      </c>
      <c r="E78" s="10" t="s">
        <v>351</v>
      </c>
      <c r="F78" s="10" t="s">
        <v>351</v>
      </c>
      <c r="G78" s="212"/>
      <c r="H78" s="201"/>
      <c r="I78" s="201"/>
      <c r="J78" s="207"/>
      <c r="K78" s="153">
        <v>0</v>
      </c>
      <c r="L78" s="3">
        <v>2.2000000000000002</v>
      </c>
      <c r="M78" s="3">
        <v>1.7999999999999998</v>
      </c>
      <c r="N78" s="3">
        <f t="shared" si="6"/>
        <v>4</v>
      </c>
      <c r="O78" s="1"/>
      <c r="P78" s="152">
        <f t="shared" si="7"/>
        <v>410.45777777777772</v>
      </c>
      <c r="Q78" s="150">
        <v>0</v>
      </c>
      <c r="R78" s="199">
        <v>0</v>
      </c>
      <c r="S78" s="199">
        <v>0</v>
      </c>
      <c r="T78" s="199">
        <v>0</v>
      </c>
      <c r="U78" s="199">
        <v>0</v>
      </c>
      <c r="V78" s="155">
        <f t="shared" si="3"/>
        <v>0</v>
      </c>
      <c r="W78" s="199">
        <v>0</v>
      </c>
      <c r="X78" s="151">
        <f>(X77-VSLFO.MGO456[[#This Row],[TOTAL]])+VSLFO.MGO456[[#This Row],[FAENA2]]</f>
        <v>84.000000000000014</v>
      </c>
      <c r="Y78" s="150"/>
      <c r="Z78" s="199"/>
      <c r="AA78" s="149">
        <f t="shared" si="4"/>
        <v>100</v>
      </c>
      <c r="AB78" s="199"/>
      <c r="AC78" s="199"/>
      <c r="AD78" s="149">
        <f>($AD$4-VSLFO.MGO456[[#This Row],[CARTER MP.]])+VSLFO.MGO456[[#This Row],[FAENA EN LTS2]]</f>
        <v>100</v>
      </c>
      <c r="AE78" s="199"/>
      <c r="AF78" s="199"/>
      <c r="AG78" s="149">
        <f t="shared" si="8"/>
        <v>100</v>
      </c>
      <c r="AH78" s="199"/>
      <c r="AI78" s="199"/>
      <c r="AJ78" s="148">
        <f>(AJ77-VSLFO.MGO456[[#This Row],[HIDRAULICO]])+VSLFO.MGO456[[#This Row],[FAENA EN LTS3]]</f>
        <v>100</v>
      </c>
    </row>
    <row r="79" spans="1:36" x14ac:dyDescent="0.25">
      <c r="A79" s="192"/>
      <c r="B79" s="219">
        <v>43917</v>
      </c>
      <c r="C79" s="7">
        <v>0.66249999999999998</v>
      </c>
      <c r="D79" s="4">
        <f>IF(VSLFO.MGO456[[#This Row],[FECHA]]-B78=1,((VSLFO.MGO456[[#This Row],[HORA]]-C78)*24)+24,(VSLFO.MGO456[[#This Row],[HORA]]-C78)*24)</f>
        <v>7.9</v>
      </c>
      <c r="E79" s="10" t="s">
        <v>351</v>
      </c>
      <c r="F79" s="10" t="s">
        <v>1011</v>
      </c>
      <c r="G79" s="212"/>
      <c r="H79" s="201"/>
      <c r="I79" s="201"/>
      <c r="J79" s="207"/>
      <c r="K79" s="153">
        <v>0</v>
      </c>
      <c r="L79" s="3">
        <v>0.72416666666666674</v>
      </c>
      <c r="M79" s="3">
        <v>0.59250000000000003</v>
      </c>
      <c r="N79" s="3">
        <f t="shared" si="6"/>
        <v>1.3166666666666669</v>
      </c>
      <c r="O79" s="1"/>
      <c r="P79" s="152">
        <f t="shared" si="7"/>
        <v>409.14111111111106</v>
      </c>
      <c r="Q79" s="150">
        <v>0</v>
      </c>
      <c r="R79" s="199">
        <v>0</v>
      </c>
      <c r="S79" s="199">
        <v>0</v>
      </c>
      <c r="T79" s="199">
        <v>0</v>
      </c>
      <c r="U79" s="199">
        <v>0</v>
      </c>
      <c r="V79" s="155">
        <f t="shared" si="3"/>
        <v>0</v>
      </c>
      <c r="W79" s="199">
        <v>0</v>
      </c>
      <c r="X79" s="151">
        <f>(X78-VSLFO.MGO456[[#This Row],[TOTAL]])+VSLFO.MGO456[[#This Row],[FAENA2]]</f>
        <v>84.000000000000014</v>
      </c>
      <c r="Y79" s="150"/>
      <c r="Z79" s="199"/>
      <c r="AA79" s="149">
        <f t="shared" si="4"/>
        <v>100</v>
      </c>
      <c r="AB79" s="199"/>
      <c r="AC79" s="199"/>
      <c r="AD79" s="149">
        <f>($AD$4-VSLFO.MGO456[[#This Row],[CARTER MP.]])+VSLFO.MGO456[[#This Row],[FAENA EN LTS2]]</f>
        <v>100</v>
      </c>
      <c r="AE79" s="199"/>
      <c r="AF79" s="199"/>
      <c r="AG79" s="149">
        <f t="shared" si="8"/>
        <v>100</v>
      </c>
      <c r="AH79" s="199"/>
      <c r="AI79" s="199"/>
      <c r="AJ79" s="148">
        <f>(AJ78-VSLFO.MGO456[[#This Row],[HIDRAULICO]])+VSLFO.MGO456[[#This Row],[FAENA EN LTS3]]</f>
        <v>100</v>
      </c>
    </row>
    <row r="80" spans="1:36" x14ac:dyDescent="0.25">
      <c r="A80" s="192"/>
      <c r="B80" s="219">
        <v>43917</v>
      </c>
      <c r="C80" s="7">
        <v>0.73333333333333339</v>
      </c>
      <c r="D80" s="4">
        <f>IF(VSLFO.MGO456[[#This Row],[FECHA]]-B79=1,((VSLFO.MGO456[[#This Row],[HORA]]-C79)*24)+24,(VSLFO.MGO456[[#This Row],[HORA]]-C79)*24)</f>
        <v>1.700000000000002</v>
      </c>
      <c r="E80" s="10" t="s">
        <v>1057</v>
      </c>
      <c r="F80" s="10" t="s">
        <v>616</v>
      </c>
      <c r="G80" s="212"/>
      <c r="H80" s="201"/>
      <c r="I80" s="201"/>
      <c r="J80" s="207"/>
      <c r="K80" s="153">
        <v>7.0833333333333415E-2</v>
      </c>
      <c r="L80" s="3">
        <v>0.15583333333333352</v>
      </c>
      <c r="M80" s="3">
        <v>0.12750000000000014</v>
      </c>
      <c r="N80" s="3">
        <f t="shared" si="6"/>
        <v>0.35416666666666707</v>
      </c>
      <c r="O80" s="1"/>
      <c r="P80" s="152">
        <f t="shared" si="7"/>
        <v>408.78694444444437</v>
      </c>
      <c r="Q80" s="150">
        <v>0</v>
      </c>
      <c r="R80" s="199">
        <v>0</v>
      </c>
      <c r="S80" s="199">
        <v>0</v>
      </c>
      <c r="T80" s="199">
        <v>0</v>
      </c>
      <c r="U80" s="199">
        <v>0</v>
      </c>
      <c r="V80" s="155">
        <f t="shared" si="3"/>
        <v>0</v>
      </c>
      <c r="W80" s="199">
        <v>0</v>
      </c>
      <c r="X80" s="151">
        <f>(X79-VSLFO.MGO456[[#This Row],[TOTAL]])+VSLFO.MGO456[[#This Row],[FAENA2]]</f>
        <v>84.000000000000014</v>
      </c>
      <c r="Y80" s="150"/>
      <c r="Z80" s="199"/>
      <c r="AA80" s="149">
        <f t="shared" si="4"/>
        <v>100</v>
      </c>
      <c r="AB80" s="199"/>
      <c r="AC80" s="199"/>
      <c r="AD80" s="149">
        <f>($AD$4-VSLFO.MGO456[[#This Row],[CARTER MP.]])+VSLFO.MGO456[[#This Row],[FAENA EN LTS2]]</f>
        <v>100</v>
      </c>
      <c r="AE80" s="199"/>
      <c r="AF80" s="199"/>
      <c r="AG80" s="149">
        <f t="shared" si="8"/>
        <v>100</v>
      </c>
      <c r="AH80" s="199"/>
      <c r="AI80" s="199"/>
      <c r="AJ80" s="148">
        <f>(AJ79-VSLFO.MGO456[[#This Row],[HIDRAULICO]])+VSLFO.MGO456[[#This Row],[FAENA EN LTS3]]</f>
        <v>100</v>
      </c>
    </row>
    <row r="81" spans="1:36" x14ac:dyDescent="0.25">
      <c r="A81" s="192"/>
      <c r="B81" s="219">
        <v>43917</v>
      </c>
      <c r="C81" s="7">
        <v>0.8041666666666667</v>
      </c>
      <c r="D81" s="4">
        <f>IF(VSLFO.MGO456[[#This Row],[FECHA]]-B80=1,((VSLFO.MGO456[[#This Row],[HORA]]-C80)*24)+24,(VSLFO.MGO456[[#This Row],[HORA]]-C80)*24)</f>
        <v>1.6999999999999993</v>
      </c>
      <c r="E81" s="10" t="s">
        <v>1425</v>
      </c>
      <c r="F81" s="10" t="s">
        <v>1004</v>
      </c>
      <c r="G81" s="212"/>
      <c r="H81" s="201"/>
      <c r="I81" s="201"/>
      <c r="J81" s="207"/>
      <c r="K81" s="153">
        <v>0</v>
      </c>
      <c r="L81" s="3">
        <v>0.17708333333333326</v>
      </c>
      <c r="M81" s="3">
        <v>0.14166666666666661</v>
      </c>
      <c r="N81" s="3">
        <f t="shared" si="6"/>
        <v>0.31874999999999987</v>
      </c>
      <c r="O81" s="1"/>
      <c r="P81" s="152">
        <f t="shared" si="7"/>
        <v>408.46819444444435</v>
      </c>
      <c r="Q81" s="150">
        <v>0</v>
      </c>
      <c r="R81" s="199">
        <v>0</v>
      </c>
      <c r="S81" s="199">
        <v>0</v>
      </c>
      <c r="T81" s="199">
        <v>0</v>
      </c>
      <c r="U81" s="199">
        <v>0</v>
      </c>
      <c r="V81" s="155">
        <f t="shared" si="3"/>
        <v>0</v>
      </c>
      <c r="W81" s="199">
        <v>0</v>
      </c>
      <c r="X81" s="151">
        <f>(X80-VSLFO.MGO456[[#This Row],[TOTAL]])+VSLFO.MGO456[[#This Row],[FAENA2]]</f>
        <v>84.000000000000014</v>
      </c>
      <c r="Y81" s="150"/>
      <c r="Z81" s="199"/>
      <c r="AA81" s="149">
        <f t="shared" si="4"/>
        <v>100</v>
      </c>
      <c r="AB81" s="199"/>
      <c r="AC81" s="199"/>
      <c r="AD81" s="149">
        <f>($AD$4-VSLFO.MGO456[[#This Row],[CARTER MP.]])+VSLFO.MGO456[[#This Row],[FAENA EN LTS2]]</f>
        <v>100</v>
      </c>
      <c r="AE81" s="199"/>
      <c r="AF81" s="199"/>
      <c r="AG81" s="149">
        <f t="shared" si="8"/>
        <v>100</v>
      </c>
      <c r="AH81" s="199"/>
      <c r="AI81" s="199"/>
      <c r="AJ81" s="148">
        <f>(AJ80-VSLFO.MGO456[[#This Row],[HIDRAULICO]])+VSLFO.MGO456[[#This Row],[FAENA EN LTS3]]</f>
        <v>100</v>
      </c>
    </row>
    <row r="82" spans="1:36" x14ac:dyDescent="0.25">
      <c r="A82" s="192"/>
      <c r="B82" s="219">
        <v>43918</v>
      </c>
      <c r="C82" s="7">
        <v>0.33333333333333331</v>
      </c>
      <c r="D82" s="4">
        <f>IF(VSLFO.MGO456[[#This Row],[FECHA]]-B81=1,((VSLFO.MGO456[[#This Row],[HORA]]-C81)*24)+24,(VSLFO.MGO456[[#This Row],[HORA]]-C81)*24)</f>
        <v>12.7</v>
      </c>
      <c r="E82" s="10" t="s">
        <v>966</v>
      </c>
      <c r="F82" s="10" t="s">
        <v>966</v>
      </c>
      <c r="G82" s="212"/>
      <c r="H82" s="201"/>
      <c r="I82" s="201"/>
      <c r="J82" s="207"/>
      <c r="K82" s="153">
        <v>0</v>
      </c>
      <c r="L82" s="3">
        <v>1.3229166666666667</v>
      </c>
      <c r="M82" s="3">
        <v>1.0583333333333331</v>
      </c>
      <c r="N82" s="3">
        <f t="shared" si="6"/>
        <v>2.3812499999999996</v>
      </c>
      <c r="O82" s="1"/>
      <c r="P82" s="152">
        <f t="shared" si="7"/>
        <v>406.08694444444433</v>
      </c>
      <c r="Q82" s="150">
        <v>0</v>
      </c>
      <c r="R82" s="199">
        <v>0</v>
      </c>
      <c r="S82" s="199">
        <v>0</v>
      </c>
      <c r="T82" s="199">
        <v>0</v>
      </c>
      <c r="U82" s="199">
        <v>2.1</v>
      </c>
      <c r="V82" s="155">
        <f t="shared" si="3"/>
        <v>2.1</v>
      </c>
      <c r="W82" s="199">
        <v>0</v>
      </c>
      <c r="X82" s="151">
        <f>(X81-VSLFO.MGO456[[#This Row],[TOTAL]])+VSLFO.MGO456[[#This Row],[FAENA2]]</f>
        <v>81.90000000000002</v>
      </c>
      <c r="Y82" s="150"/>
      <c r="Z82" s="199"/>
      <c r="AA82" s="149">
        <f t="shared" si="4"/>
        <v>100</v>
      </c>
      <c r="AB82" s="199"/>
      <c r="AC82" s="199"/>
      <c r="AD82" s="149">
        <f>($AD$4-VSLFO.MGO456[[#This Row],[CARTER MP.]])+VSLFO.MGO456[[#This Row],[FAENA EN LTS2]]</f>
        <v>100</v>
      </c>
      <c r="AE82" s="199"/>
      <c r="AF82" s="199"/>
      <c r="AG82" s="149">
        <f t="shared" si="8"/>
        <v>100</v>
      </c>
      <c r="AH82" s="199"/>
      <c r="AI82" s="199"/>
      <c r="AJ82" s="148">
        <f>(AJ81-VSLFO.MGO456[[#This Row],[HIDRAULICO]])+VSLFO.MGO456[[#This Row],[FAENA EN LTS3]]</f>
        <v>100</v>
      </c>
    </row>
    <row r="83" spans="1:36" x14ac:dyDescent="0.25">
      <c r="A83" s="192"/>
      <c r="B83" s="219">
        <v>43918</v>
      </c>
      <c r="C83" s="7">
        <v>0.375</v>
      </c>
      <c r="D83" s="4">
        <f>IF(VSLFO.MGO456[[#This Row],[FECHA]]-B82=1,((VSLFO.MGO456[[#This Row],[HORA]]-C82)*24)+24,(VSLFO.MGO456[[#This Row],[HORA]]-C82)*24)</f>
        <v>1.0000000000000004</v>
      </c>
      <c r="E83" s="10" t="s">
        <v>966</v>
      </c>
      <c r="F83" s="10" t="s">
        <v>265</v>
      </c>
      <c r="G83" s="212"/>
      <c r="H83" s="201"/>
      <c r="I83" s="201"/>
      <c r="J83" s="207"/>
      <c r="K83" s="153">
        <v>0</v>
      </c>
      <c r="L83" s="3">
        <v>0.10416666666666671</v>
      </c>
      <c r="M83" s="3">
        <v>8.333333333333337E-2</v>
      </c>
      <c r="N83" s="3">
        <f t="shared" si="6"/>
        <v>0.18750000000000008</v>
      </c>
      <c r="O83" s="1"/>
      <c r="P83" s="152">
        <f t="shared" si="7"/>
        <v>405.89944444444433</v>
      </c>
      <c r="Q83" s="150">
        <v>0</v>
      </c>
      <c r="R83" s="199">
        <v>0</v>
      </c>
      <c r="S83" s="199">
        <v>0</v>
      </c>
      <c r="T83" s="199">
        <v>0</v>
      </c>
      <c r="U83" s="199">
        <v>0.1</v>
      </c>
      <c r="V83" s="155">
        <f t="shared" si="3"/>
        <v>0.1</v>
      </c>
      <c r="W83" s="199">
        <v>0</v>
      </c>
      <c r="X83" s="151">
        <f>(X82-VSLFO.MGO456[[#This Row],[TOTAL]])+VSLFO.MGO456[[#This Row],[FAENA2]]</f>
        <v>81.800000000000026</v>
      </c>
      <c r="Y83" s="150"/>
      <c r="Z83" s="199"/>
      <c r="AA83" s="149">
        <f t="shared" si="4"/>
        <v>100</v>
      </c>
      <c r="AB83" s="199"/>
      <c r="AC83" s="199"/>
      <c r="AD83" s="149">
        <f>($AD$4-VSLFO.MGO456[[#This Row],[CARTER MP.]])+VSLFO.MGO456[[#This Row],[FAENA EN LTS2]]</f>
        <v>100</v>
      </c>
      <c r="AE83" s="199"/>
      <c r="AF83" s="199"/>
      <c r="AG83" s="149">
        <f t="shared" si="8"/>
        <v>100</v>
      </c>
      <c r="AH83" s="199"/>
      <c r="AI83" s="199"/>
      <c r="AJ83" s="148">
        <f>(AJ82-VSLFO.MGO456[[#This Row],[HIDRAULICO]])+VSLFO.MGO456[[#This Row],[FAENA EN LTS3]]</f>
        <v>100</v>
      </c>
    </row>
    <row r="84" spans="1:36" x14ac:dyDescent="0.25">
      <c r="A84" s="192"/>
      <c r="B84" s="219">
        <v>43918</v>
      </c>
      <c r="C84" s="7">
        <v>0.47916666666666669</v>
      </c>
      <c r="D84" s="4">
        <f>IF(VSLFO.MGO456[[#This Row],[FECHA]]-B83=1,((VSLFO.MGO456[[#This Row],[HORA]]-C83)*24)+24,(VSLFO.MGO456[[#This Row],[HORA]]-C83)*24)</f>
        <v>2.5000000000000004</v>
      </c>
      <c r="E84" s="10" t="s">
        <v>1425</v>
      </c>
      <c r="F84" s="10" t="s">
        <v>1011</v>
      </c>
      <c r="G84" s="212"/>
      <c r="H84" s="201"/>
      <c r="I84" s="201"/>
      <c r="J84" s="207"/>
      <c r="K84" s="153">
        <v>0</v>
      </c>
      <c r="L84" s="3">
        <v>0.26041666666666674</v>
      </c>
      <c r="M84" s="3">
        <v>0.20833333333333337</v>
      </c>
      <c r="N84" s="3">
        <f t="shared" si="6"/>
        <v>0.46875000000000011</v>
      </c>
      <c r="O84" s="1"/>
      <c r="P84" s="152">
        <f t="shared" si="7"/>
        <v>405.43069444444433</v>
      </c>
      <c r="Q84" s="150">
        <v>0</v>
      </c>
      <c r="R84" s="199">
        <v>0</v>
      </c>
      <c r="S84" s="199">
        <v>0</v>
      </c>
      <c r="T84" s="199">
        <v>0</v>
      </c>
      <c r="U84" s="199">
        <v>0</v>
      </c>
      <c r="V84" s="155">
        <f t="shared" si="3"/>
        <v>0</v>
      </c>
      <c r="W84" s="199">
        <v>0</v>
      </c>
      <c r="X84" s="151">
        <f>(X83-VSLFO.MGO456[[#This Row],[TOTAL]])+VSLFO.MGO456[[#This Row],[FAENA2]]</f>
        <v>81.800000000000026</v>
      </c>
      <c r="Y84" s="150"/>
      <c r="Z84" s="199"/>
      <c r="AA84" s="149">
        <f t="shared" si="4"/>
        <v>100</v>
      </c>
      <c r="AB84" s="199"/>
      <c r="AC84" s="199"/>
      <c r="AD84" s="149">
        <f>($AD$4-VSLFO.MGO456[[#This Row],[CARTER MP.]])+VSLFO.MGO456[[#This Row],[FAENA EN LTS2]]</f>
        <v>100</v>
      </c>
      <c r="AE84" s="199"/>
      <c r="AF84" s="199"/>
      <c r="AG84" s="149">
        <f t="shared" si="8"/>
        <v>100</v>
      </c>
      <c r="AH84" s="199"/>
      <c r="AI84" s="199"/>
      <c r="AJ84" s="148">
        <f>(AJ83-VSLFO.MGO456[[#This Row],[HIDRAULICO]])+VSLFO.MGO456[[#This Row],[FAENA EN LTS3]]</f>
        <v>100</v>
      </c>
    </row>
    <row r="85" spans="1:36" x14ac:dyDescent="0.25">
      <c r="A85" s="192"/>
      <c r="B85" s="219">
        <v>43918</v>
      </c>
      <c r="C85" s="7">
        <v>0.5625</v>
      </c>
      <c r="D85" s="4">
        <f>IF(VSLFO.MGO456[[#This Row],[FECHA]]-B84=1,((VSLFO.MGO456[[#This Row],[HORA]]-C84)*24)+24,(VSLFO.MGO456[[#This Row],[HORA]]-C84)*24)</f>
        <v>1.9999999999999996</v>
      </c>
      <c r="E85" s="10" t="s">
        <v>1057</v>
      </c>
      <c r="F85" s="10" t="s">
        <v>1404</v>
      </c>
      <c r="G85" s="212"/>
      <c r="H85" s="201"/>
      <c r="I85" s="201" t="s">
        <v>1297</v>
      </c>
      <c r="J85" s="207">
        <v>95</v>
      </c>
      <c r="K85" s="153">
        <v>0.16666666666666663</v>
      </c>
      <c r="L85" s="3">
        <v>0.20833333333333329</v>
      </c>
      <c r="M85" s="3">
        <v>0.16666666666666663</v>
      </c>
      <c r="N85" s="3">
        <f t="shared" si="6"/>
        <v>0.54166666666666652</v>
      </c>
      <c r="O85" s="1"/>
      <c r="P85" s="152">
        <f t="shared" si="7"/>
        <v>404.88902777777764</v>
      </c>
      <c r="Q85" s="150">
        <v>0</v>
      </c>
      <c r="R85" s="199">
        <v>0</v>
      </c>
      <c r="S85" s="199">
        <v>0</v>
      </c>
      <c r="T85" s="199">
        <v>0</v>
      </c>
      <c r="U85" s="199">
        <v>0</v>
      </c>
      <c r="V85" s="155">
        <f t="shared" si="3"/>
        <v>0</v>
      </c>
      <c r="W85" s="199">
        <v>0</v>
      </c>
      <c r="X85" s="151">
        <f>(X84-VSLFO.MGO456[[#This Row],[TOTAL]])+VSLFO.MGO456[[#This Row],[FAENA2]]</f>
        <v>81.800000000000026</v>
      </c>
      <c r="Y85" s="150"/>
      <c r="Z85" s="199"/>
      <c r="AA85" s="149">
        <f t="shared" si="4"/>
        <v>100</v>
      </c>
      <c r="AB85" s="199"/>
      <c r="AC85" s="199"/>
      <c r="AD85" s="149">
        <f>($AD$4-VSLFO.MGO456[[#This Row],[CARTER MP.]])+VSLFO.MGO456[[#This Row],[FAENA EN LTS2]]</f>
        <v>100</v>
      </c>
      <c r="AE85" s="199"/>
      <c r="AF85" s="199"/>
      <c r="AG85" s="149">
        <f t="shared" si="8"/>
        <v>100</v>
      </c>
      <c r="AH85" s="199"/>
      <c r="AI85" s="199"/>
      <c r="AJ85" s="148">
        <f>(AJ84-VSLFO.MGO456[[#This Row],[HIDRAULICO]])+VSLFO.MGO456[[#This Row],[FAENA EN LTS3]]</f>
        <v>100</v>
      </c>
    </row>
    <row r="86" spans="1:36" x14ac:dyDescent="0.25">
      <c r="A86" s="192"/>
      <c r="B86" s="219">
        <v>43919</v>
      </c>
      <c r="C86" s="7">
        <v>0.33333333333333331</v>
      </c>
      <c r="D86" s="4">
        <f>IF(VSLFO.MGO456[[#This Row],[FECHA]]-B85=1,((VSLFO.MGO456[[#This Row],[HORA]]-C85)*24)+24,(VSLFO.MGO456[[#This Row],[HORA]]-C85)*24)</f>
        <v>18.5</v>
      </c>
      <c r="E86" s="10" t="s">
        <v>1340</v>
      </c>
      <c r="F86" s="10" t="s">
        <v>355</v>
      </c>
      <c r="G86" s="212"/>
      <c r="H86" s="201"/>
      <c r="I86" s="201" t="s">
        <v>1297</v>
      </c>
      <c r="J86" s="207">
        <v>95</v>
      </c>
      <c r="K86" s="153">
        <v>16.958333333333332</v>
      </c>
      <c r="L86" s="3">
        <v>1.9270833333333335</v>
      </c>
      <c r="M86" s="3">
        <v>0</v>
      </c>
      <c r="N86" s="3">
        <f t="shared" si="6"/>
        <v>18.885416666666664</v>
      </c>
      <c r="O86" s="1"/>
      <c r="P86" s="152">
        <f t="shared" si="7"/>
        <v>386.00361111111096</v>
      </c>
      <c r="Q86" s="150">
        <v>0</v>
      </c>
      <c r="R86" s="199">
        <v>0</v>
      </c>
      <c r="S86" s="199">
        <v>0</v>
      </c>
      <c r="T86" s="199">
        <v>0</v>
      </c>
      <c r="U86" s="199">
        <v>0</v>
      </c>
      <c r="V86" s="155">
        <f t="shared" si="3"/>
        <v>0</v>
      </c>
      <c r="W86" s="199">
        <v>0</v>
      </c>
      <c r="X86" s="151">
        <f>(X85-VSLFO.MGO456[[#This Row],[TOTAL]])+VSLFO.MGO456[[#This Row],[FAENA2]]</f>
        <v>81.800000000000026</v>
      </c>
      <c r="Y86" s="150"/>
      <c r="Z86" s="199"/>
      <c r="AA86" s="149">
        <f t="shared" si="4"/>
        <v>100</v>
      </c>
      <c r="AB86" s="199"/>
      <c r="AC86" s="199"/>
      <c r="AD86" s="149">
        <f>($AD$4-VSLFO.MGO456[[#This Row],[CARTER MP.]])+VSLFO.MGO456[[#This Row],[FAENA EN LTS2]]</f>
        <v>100</v>
      </c>
      <c r="AE86" s="199"/>
      <c r="AF86" s="199"/>
      <c r="AG86" s="149">
        <f t="shared" si="8"/>
        <v>100</v>
      </c>
      <c r="AH86" s="199"/>
      <c r="AI86" s="199"/>
      <c r="AJ86" s="148">
        <f>(AJ85-VSLFO.MGO456[[#This Row],[HIDRAULICO]])+VSLFO.MGO456[[#This Row],[FAENA EN LTS3]]</f>
        <v>100</v>
      </c>
    </row>
    <row r="87" spans="1:36" x14ac:dyDescent="0.25">
      <c r="A87" s="192"/>
      <c r="B87" s="219">
        <v>43919</v>
      </c>
      <c r="C87" s="7">
        <v>0.60416666666666663</v>
      </c>
      <c r="D87" s="4">
        <f>IF(VSLFO.MGO456[[#This Row],[FECHA]]-B86=1,((VSLFO.MGO456[[#This Row],[HORA]]-C86)*24)+24,(VSLFO.MGO456[[#This Row],[HORA]]-C86)*24)</f>
        <v>6.5</v>
      </c>
      <c r="E87" s="10" t="s">
        <v>1340</v>
      </c>
      <c r="F87" s="10" t="s">
        <v>956</v>
      </c>
      <c r="G87" s="212">
        <v>265</v>
      </c>
      <c r="H87" s="201">
        <v>10.199999999999999</v>
      </c>
      <c r="I87" s="201" t="s">
        <v>1297</v>
      </c>
      <c r="J87" s="207">
        <v>95</v>
      </c>
      <c r="K87" s="153">
        <v>5.958333333333333</v>
      </c>
      <c r="L87" s="3">
        <v>0.67708333333333337</v>
      </c>
      <c r="M87" s="3">
        <v>0</v>
      </c>
      <c r="N87" s="3">
        <f t="shared" si="6"/>
        <v>6.6354166666666661</v>
      </c>
      <c r="O87" s="1"/>
      <c r="P87" s="152">
        <f t="shared" si="7"/>
        <v>379.36819444444427</v>
      </c>
      <c r="Q87" s="150">
        <v>0</v>
      </c>
      <c r="R87" s="199">
        <v>0</v>
      </c>
      <c r="S87" s="199">
        <v>0</v>
      </c>
      <c r="T87" s="199">
        <v>0</v>
      </c>
      <c r="U87" s="199">
        <v>0</v>
      </c>
      <c r="V87" s="155">
        <f t="shared" si="3"/>
        <v>0</v>
      </c>
      <c r="W87" s="199">
        <v>0</v>
      </c>
      <c r="X87" s="151">
        <f>(X86-VSLFO.MGO456[[#This Row],[TOTAL]])+VSLFO.MGO456[[#This Row],[FAENA2]]</f>
        <v>81.800000000000026</v>
      </c>
      <c r="Y87" s="150"/>
      <c r="Z87" s="199"/>
      <c r="AA87" s="149">
        <f t="shared" si="4"/>
        <v>100</v>
      </c>
      <c r="AB87" s="199"/>
      <c r="AC87" s="199"/>
      <c r="AD87" s="149">
        <f>($AD$4-VSLFO.MGO456[[#This Row],[CARTER MP.]])+VSLFO.MGO456[[#This Row],[FAENA EN LTS2]]</f>
        <v>100</v>
      </c>
      <c r="AE87" s="199"/>
      <c r="AF87" s="199"/>
      <c r="AG87" s="149">
        <f t="shared" si="8"/>
        <v>100</v>
      </c>
      <c r="AH87" s="199"/>
      <c r="AI87" s="199"/>
      <c r="AJ87" s="148">
        <f>(AJ86-VSLFO.MGO456[[#This Row],[HIDRAULICO]])+VSLFO.MGO456[[#This Row],[FAENA EN LTS3]]</f>
        <v>100</v>
      </c>
    </row>
    <row r="88" spans="1:36" x14ac:dyDescent="0.25">
      <c r="A88" s="192"/>
      <c r="B88" s="219">
        <v>43919</v>
      </c>
      <c r="C88" s="7">
        <v>0.625</v>
      </c>
      <c r="D88" s="4">
        <f>IF(VSLFO.MGO456[[#This Row],[FECHA]]-B87=1,((VSLFO.MGO456[[#This Row],[HORA]]-C87)*24)+24,(VSLFO.MGO456[[#This Row],[HORA]]-C87)*24)</f>
        <v>0.50000000000000089</v>
      </c>
      <c r="E88" s="10" t="s">
        <v>1057</v>
      </c>
      <c r="F88" s="10" t="s">
        <v>616</v>
      </c>
      <c r="G88" s="212"/>
      <c r="H88" s="201"/>
      <c r="I88" s="201"/>
      <c r="J88" s="207"/>
      <c r="K88" s="153">
        <v>4.1666666666666741E-2</v>
      </c>
      <c r="L88" s="3">
        <v>5.2083333333333426E-2</v>
      </c>
      <c r="M88" s="3">
        <v>4.1666666666666741E-2</v>
      </c>
      <c r="N88" s="3">
        <f t="shared" si="6"/>
        <v>0.13541666666666691</v>
      </c>
      <c r="O88" s="1"/>
      <c r="P88" s="152">
        <f t="shared" si="7"/>
        <v>379.23277777777759</v>
      </c>
      <c r="Q88" s="150">
        <v>0</v>
      </c>
      <c r="R88" s="199">
        <v>0</v>
      </c>
      <c r="S88" s="199">
        <v>0</v>
      </c>
      <c r="T88" s="199">
        <v>0</v>
      </c>
      <c r="U88" s="199">
        <v>0</v>
      </c>
      <c r="V88" s="155">
        <f t="shared" si="3"/>
        <v>0</v>
      </c>
      <c r="W88" s="199">
        <v>0</v>
      </c>
      <c r="X88" s="151">
        <f>(X87-VSLFO.MGO456[[#This Row],[TOTAL]])+VSLFO.MGO456[[#This Row],[FAENA2]]</f>
        <v>81.800000000000026</v>
      </c>
      <c r="Y88" s="150"/>
      <c r="Z88" s="199"/>
      <c r="AA88" s="149">
        <f t="shared" si="4"/>
        <v>100</v>
      </c>
      <c r="AB88" s="199"/>
      <c r="AC88" s="199"/>
      <c r="AD88" s="149">
        <f>($AD$4-VSLFO.MGO456[[#This Row],[CARTER MP.]])+VSLFO.MGO456[[#This Row],[FAENA EN LTS2]]</f>
        <v>100</v>
      </c>
      <c r="AE88" s="199"/>
      <c r="AF88" s="199"/>
      <c r="AG88" s="149">
        <f t="shared" si="8"/>
        <v>100</v>
      </c>
      <c r="AH88" s="199"/>
      <c r="AI88" s="199"/>
      <c r="AJ88" s="148">
        <f>(AJ87-VSLFO.MGO456[[#This Row],[HIDRAULICO]])+VSLFO.MGO456[[#This Row],[FAENA EN LTS3]]</f>
        <v>100</v>
      </c>
    </row>
    <row r="89" spans="1:36" x14ac:dyDescent="0.25">
      <c r="A89" s="227"/>
      <c r="B89" s="219">
        <v>43920</v>
      </c>
      <c r="C89" s="7">
        <v>0.33333333333333331</v>
      </c>
      <c r="D89" s="4">
        <f>IF(VSLFO.MGO456[[#This Row],[FECHA]]-B88=1,((VSLFO.MGO456[[#This Row],[HORA]]-C88)*24)+24,(VSLFO.MGO456[[#This Row],[HORA]]-C88)*24)</f>
        <v>17</v>
      </c>
      <c r="E89" s="10" t="s">
        <v>351</v>
      </c>
      <c r="F89" s="10" t="s">
        <v>351</v>
      </c>
      <c r="G89" s="212"/>
      <c r="H89" s="201"/>
      <c r="I89" s="201"/>
      <c r="J89" s="207"/>
      <c r="K89" s="153">
        <v>0</v>
      </c>
      <c r="L89" s="3">
        <v>1.5583333333333336</v>
      </c>
      <c r="M89" s="3">
        <v>1.2749999999999999</v>
      </c>
      <c r="N89" s="3">
        <f t="shared" si="6"/>
        <v>2.8333333333333335</v>
      </c>
      <c r="O89" s="1"/>
      <c r="P89" s="152">
        <f t="shared" si="7"/>
        <v>376.39944444444427</v>
      </c>
      <c r="Q89" s="150">
        <v>0</v>
      </c>
      <c r="R89" s="199">
        <v>0</v>
      </c>
      <c r="S89" s="199">
        <v>0</v>
      </c>
      <c r="T89" s="199">
        <v>0</v>
      </c>
      <c r="U89" s="199">
        <v>0</v>
      </c>
      <c r="V89" s="155">
        <f t="shared" si="3"/>
        <v>0</v>
      </c>
      <c r="W89" s="199">
        <v>0</v>
      </c>
      <c r="X89" s="151">
        <f>(X88-VSLFO.MGO456[[#This Row],[TOTAL]])+VSLFO.MGO456[[#This Row],[FAENA2]]</f>
        <v>81.800000000000026</v>
      </c>
      <c r="Y89" s="150"/>
      <c r="Z89" s="199"/>
      <c r="AA89" s="149">
        <f t="shared" si="4"/>
        <v>100</v>
      </c>
      <c r="AB89" s="199"/>
      <c r="AC89" s="199"/>
      <c r="AD89" s="149">
        <f>($AD$4-VSLFO.MGO456[[#This Row],[CARTER MP.]])+VSLFO.MGO456[[#This Row],[FAENA EN LTS2]]</f>
        <v>100</v>
      </c>
      <c r="AE89" s="199"/>
      <c r="AF89" s="199"/>
      <c r="AG89" s="149">
        <f t="shared" si="8"/>
        <v>100</v>
      </c>
      <c r="AH89" s="199"/>
      <c r="AI89" s="199"/>
      <c r="AJ89" s="148">
        <f>(AJ88-VSLFO.MGO456[[#This Row],[HIDRAULICO]])+VSLFO.MGO456[[#This Row],[FAENA EN LTS3]]</f>
        <v>100</v>
      </c>
    </row>
    <row r="90" spans="1:36" x14ac:dyDescent="0.25">
      <c r="A90" s="192"/>
      <c r="B90" s="219">
        <v>43921</v>
      </c>
      <c r="C90" s="7">
        <v>0.33333333333333331</v>
      </c>
      <c r="D90" s="4">
        <f>IF(VSLFO.MGO456[[#This Row],[FECHA]]-B89=1,((VSLFO.MGO456[[#This Row],[HORA]]-C89)*24)+24,(VSLFO.MGO456[[#This Row],[HORA]]-C89)*24)</f>
        <v>24</v>
      </c>
      <c r="E90" s="10" t="s">
        <v>351</v>
      </c>
      <c r="F90" s="10" t="s">
        <v>351</v>
      </c>
      <c r="G90" s="212"/>
      <c r="H90" s="201"/>
      <c r="I90" s="201"/>
      <c r="J90" s="207"/>
      <c r="K90" s="153">
        <v>0</v>
      </c>
      <c r="L90" s="3">
        <v>2.5</v>
      </c>
      <c r="M90" s="3">
        <v>2</v>
      </c>
      <c r="N90" s="3">
        <f t="shared" si="6"/>
        <v>4.5</v>
      </c>
      <c r="O90" s="1"/>
      <c r="P90" s="152">
        <f t="shared" si="7"/>
        <v>371.89944444444427</v>
      </c>
      <c r="Q90" s="150">
        <v>0</v>
      </c>
      <c r="R90" s="199">
        <v>0</v>
      </c>
      <c r="S90" s="199">
        <v>0</v>
      </c>
      <c r="T90" s="199">
        <v>0</v>
      </c>
      <c r="U90" s="199">
        <v>0</v>
      </c>
      <c r="V90" s="155">
        <f t="shared" si="3"/>
        <v>0</v>
      </c>
      <c r="W90" s="199">
        <v>0</v>
      </c>
      <c r="X90" s="151">
        <f>(X89-VSLFO.MGO456[[#This Row],[TOTAL]])+VSLFO.MGO456[[#This Row],[FAENA2]]</f>
        <v>81.800000000000026</v>
      </c>
      <c r="Y90" s="150"/>
      <c r="Z90" s="199"/>
      <c r="AA90" s="149">
        <f t="shared" si="4"/>
        <v>100</v>
      </c>
      <c r="AB90" s="199"/>
      <c r="AC90" s="199"/>
      <c r="AD90" s="149">
        <f>($AD$4-VSLFO.MGO456[[#This Row],[CARTER MP.]])+VSLFO.MGO456[[#This Row],[FAENA EN LTS2]]</f>
        <v>100</v>
      </c>
      <c r="AE90" s="199"/>
      <c r="AF90" s="199"/>
      <c r="AG90" s="149">
        <f t="shared" si="8"/>
        <v>100</v>
      </c>
      <c r="AH90" s="199"/>
      <c r="AI90" s="199"/>
      <c r="AJ90" s="148">
        <f>(AJ89-VSLFO.MGO456[[#This Row],[HIDRAULICO]])+VSLFO.MGO456[[#This Row],[FAENA EN LTS3]]</f>
        <v>100</v>
      </c>
    </row>
    <row r="91" spans="1:36" x14ac:dyDescent="0.25">
      <c r="A91" s="192"/>
      <c r="B91" s="219">
        <v>43921</v>
      </c>
      <c r="C91" s="7">
        <v>0.65416666666666667</v>
      </c>
      <c r="D91" s="4">
        <f>IF(VSLFO.MGO456[[#This Row],[FECHA]]-B90=1,((VSLFO.MGO456[[#This Row],[HORA]]-C90)*24)+24,(VSLFO.MGO456[[#This Row],[HORA]]-C90)*24)</f>
        <v>7.7000000000000011</v>
      </c>
      <c r="E91" s="10" t="s">
        <v>351</v>
      </c>
      <c r="F91" s="10" t="s">
        <v>1011</v>
      </c>
      <c r="G91" s="212"/>
      <c r="H91" s="201"/>
      <c r="I91" s="201"/>
      <c r="J91" s="207"/>
      <c r="K91" s="153">
        <v>0</v>
      </c>
      <c r="L91" s="3">
        <v>0.8</v>
      </c>
      <c r="M91" s="3">
        <v>0.64</v>
      </c>
      <c r="N91" s="3">
        <f t="shared" si="6"/>
        <v>1.44</v>
      </c>
      <c r="O91" s="1"/>
      <c r="P91" s="152">
        <f t="shared" si="7"/>
        <v>370.45944444444427</v>
      </c>
      <c r="Q91" s="150">
        <v>0</v>
      </c>
      <c r="R91" s="150">
        <v>0</v>
      </c>
      <c r="S91" s="150">
        <v>0</v>
      </c>
      <c r="T91" s="150">
        <v>0</v>
      </c>
      <c r="U91" s="199">
        <v>1.9</v>
      </c>
      <c r="V91" s="155">
        <f t="shared" si="3"/>
        <v>1.9</v>
      </c>
      <c r="W91" s="199">
        <v>0</v>
      </c>
      <c r="X91" s="151">
        <f>(X90-VSLFO.MGO456[[#This Row],[TOTAL]])+VSLFO.MGO456[[#This Row],[FAENA2]]</f>
        <v>79.90000000000002</v>
      </c>
      <c r="Y91" s="150"/>
      <c r="Z91" s="199"/>
      <c r="AA91" s="149">
        <f t="shared" si="4"/>
        <v>100</v>
      </c>
      <c r="AB91" s="199"/>
      <c r="AC91" s="199"/>
      <c r="AD91" s="149">
        <f>($AD$4-VSLFO.MGO456[[#This Row],[CARTER MP.]])+VSLFO.MGO456[[#This Row],[FAENA EN LTS2]]</f>
        <v>100</v>
      </c>
      <c r="AE91" s="199"/>
      <c r="AF91" s="199"/>
      <c r="AG91" s="149">
        <f t="shared" si="8"/>
        <v>100</v>
      </c>
      <c r="AH91" s="199"/>
      <c r="AI91" s="199"/>
      <c r="AJ91" s="148">
        <f>(AJ90-VSLFO.MGO456[[#This Row],[HIDRAULICO]])+VSLFO.MGO456[[#This Row],[FAENA EN LTS3]]</f>
        <v>100</v>
      </c>
    </row>
    <row r="92" spans="1:36" x14ac:dyDescent="0.25">
      <c r="A92" s="192"/>
      <c r="B92" s="219">
        <v>43921</v>
      </c>
      <c r="C92" s="7">
        <v>0.7416666666666667</v>
      </c>
      <c r="D92" s="4">
        <f>IF(VSLFO.MGO456[[#This Row],[FECHA]]-B91=1,((VSLFO.MGO456[[#This Row],[HORA]]-C91)*24)+24,(VSLFO.MGO456[[#This Row],[HORA]]-C91)*24)</f>
        <v>2.1000000000000005</v>
      </c>
      <c r="E92" s="10" t="s">
        <v>1057</v>
      </c>
      <c r="F92" s="10" t="s">
        <v>616</v>
      </c>
      <c r="G92" s="212"/>
      <c r="H92" s="201"/>
      <c r="I92" s="201"/>
      <c r="J92" s="207"/>
      <c r="K92" s="153">
        <v>0.18</v>
      </c>
      <c r="L92" s="3">
        <v>0.22</v>
      </c>
      <c r="M92" s="3">
        <v>0.18</v>
      </c>
      <c r="N92" s="3">
        <f t="shared" si="6"/>
        <v>0.58000000000000007</v>
      </c>
      <c r="O92" s="1"/>
      <c r="P92" s="152">
        <f t="shared" si="7"/>
        <v>369.87944444444429</v>
      </c>
      <c r="Q92" s="150">
        <v>0</v>
      </c>
      <c r="R92" s="150">
        <v>0</v>
      </c>
      <c r="S92" s="150">
        <v>0</v>
      </c>
      <c r="T92" s="150">
        <v>0</v>
      </c>
      <c r="U92" s="199">
        <v>0.6</v>
      </c>
      <c r="V92" s="155">
        <f t="shared" si="3"/>
        <v>0.6</v>
      </c>
      <c r="W92" s="199">
        <v>0</v>
      </c>
      <c r="X92" s="151">
        <f>(X91-VSLFO.MGO456[[#This Row],[TOTAL]])+VSLFO.MGO456[[#This Row],[FAENA2]]</f>
        <v>79.300000000000026</v>
      </c>
      <c r="Y92" s="150"/>
      <c r="Z92" s="199"/>
      <c r="AA92" s="149">
        <f t="shared" si="4"/>
        <v>100</v>
      </c>
      <c r="AB92" s="199"/>
      <c r="AC92" s="199"/>
      <c r="AD92" s="149">
        <f>($AD$4-VSLFO.MGO456[[#This Row],[CARTER MP.]])+VSLFO.MGO456[[#This Row],[FAENA EN LTS2]]</f>
        <v>100</v>
      </c>
      <c r="AE92" s="199"/>
      <c r="AF92" s="199"/>
      <c r="AG92" s="149">
        <f t="shared" si="8"/>
        <v>100</v>
      </c>
      <c r="AH92" s="199"/>
      <c r="AI92" s="199"/>
      <c r="AJ92" s="148">
        <f>(AJ91-VSLFO.MGO456[[#This Row],[HIDRAULICO]])+VSLFO.MGO456[[#This Row],[FAENA EN LTS3]]</f>
        <v>100</v>
      </c>
    </row>
    <row r="93" spans="1:36" x14ac:dyDescent="0.25">
      <c r="A93" s="192"/>
      <c r="B93" s="219">
        <v>43922</v>
      </c>
      <c r="C93" s="7">
        <v>0</v>
      </c>
      <c r="D93" s="4">
        <f>IF(VSLFO.MGO456[[#This Row],[FECHA]]-B92=1,((VSLFO.MGO456[[#This Row],[HORA]]-C92)*24)+24,(VSLFO.MGO456[[#This Row],[HORA]]-C92)*24)</f>
        <v>6.1999999999999993</v>
      </c>
      <c r="E93" s="10" t="s">
        <v>1425</v>
      </c>
      <c r="F93" s="10" t="s">
        <v>69</v>
      </c>
      <c r="G93" s="212"/>
      <c r="H93" s="201"/>
      <c r="I93" s="201"/>
      <c r="J93" s="207"/>
      <c r="K93" s="153">
        <v>0</v>
      </c>
      <c r="L93" s="3">
        <v>0.56999999999999995</v>
      </c>
      <c r="M93" s="3">
        <v>0.47</v>
      </c>
      <c r="N93" s="3">
        <f t="shared" si="6"/>
        <v>1.04</v>
      </c>
      <c r="O93" s="1"/>
      <c r="P93" s="152">
        <f t="shared" si="7"/>
        <v>368.83944444444427</v>
      </c>
      <c r="Q93" s="150">
        <v>0</v>
      </c>
      <c r="R93" s="150">
        <v>0</v>
      </c>
      <c r="S93" s="150">
        <v>0</v>
      </c>
      <c r="T93" s="150">
        <v>0</v>
      </c>
      <c r="U93" s="150">
        <v>0</v>
      </c>
      <c r="V93" s="155">
        <f t="shared" si="3"/>
        <v>0</v>
      </c>
      <c r="W93" s="199">
        <v>0</v>
      </c>
      <c r="X93" s="151">
        <f>(X92-VSLFO.MGO456[[#This Row],[TOTAL]])+VSLFO.MGO456[[#This Row],[FAENA2]]</f>
        <v>79.300000000000026</v>
      </c>
      <c r="Y93" s="150"/>
      <c r="Z93" s="199"/>
      <c r="AA93" s="149">
        <f t="shared" si="4"/>
        <v>100</v>
      </c>
      <c r="AB93" s="199"/>
      <c r="AC93" s="199"/>
      <c r="AD93" s="149">
        <f>($AD$4-VSLFO.MGO456[[#This Row],[CARTER MP.]])+VSLFO.MGO456[[#This Row],[FAENA EN LTS2]]</f>
        <v>100</v>
      </c>
      <c r="AE93" s="199"/>
      <c r="AF93" s="199"/>
      <c r="AG93" s="149">
        <f t="shared" si="8"/>
        <v>100</v>
      </c>
      <c r="AH93" s="199"/>
      <c r="AI93" s="199"/>
      <c r="AJ93" s="148">
        <f>(AJ92-VSLFO.MGO456[[#This Row],[HIDRAULICO]])+VSLFO.MGO456[[#This Row],[FAENA EN LTS3]]</f>
        <v>100</v>
      </c>
    </row>
    <row r="94" spans="1:36" x14ac:dyDescent="0.25">
      <c r="A94" s="192"/>
      <c r="B94" s="219"/>
      <c r="C94" s="7"/>
      <c r="D94" s="4">
        <f>IF(VSLFO.MGO456[[#This Row],[FECHA]]-B93=1,((VSLFO.MGO456[[#This Row],[HORA]]-C93)*24)+24,(VSLFO.MGO456[[#This Row],[HORA]]-C93)*24)</f>
        <v>0</v>
      </c>
      <c r="E94" s="10"/>
      <c r="F94" s="10"/>
      <c r="G94" s="212"/>
      <c r="H94" s="201"/>
      <c r="I94" s="201"/>
      <c r="J94" s="207"/>
      <c r="K94" s="153"/>
      <c r="L94" s="3"/>
      <c r="M94" s="3"/>
      <c r="N94" s="3">
        <f t="shared" si="6"/>
        <v>0</v>
      </c>
      <c r="O94" s="1"/>
      <c r="P94" s="152">
        <f t="shared" si="7"/>
        <v>368.83944444444427</v>
      </c>
      <c r="Q94" s="150"/>
      <c r="R94" s="199"/>
      <c r="S94" s="199"/>
      <c r="T94" s="199"/>
      <c r="U94" s="199"/>
      <c r="V94" s="155">
        <f t="shared" si="3"/>
        <v>0</v>
      </c>
      <c r="W94" s="199">
        <v>0</v>
      </c>
      <c r="X94" s="151">
        <f>(X93-VSLFO.MGO456[[#This Row],[TOTAL]])+VSLFO.MGO456[[#This Row],[FAENA2]]</f>
        <v>79.300000000000026</v>
      </c>
      <c r="Y94" s="150"/>
      <c r="Z94" s="199"/>
      <c r="AA94" s="149">
        <f t="shared" si="4"/>
        <v>100</v>
      </c>
      <c r="AB94" s="199"/>
      <c r="AC94" s="199"/>
      <c r="AD94" s="149">
        <f>($AD$4-VSLFO.MGO456[[#This Row],[CARTER MP.]])+VSLFO.MGO456[[#This Row],[FAENA EN LTS2]]</f>
        <v>100</v>
      </c>
      <c r="AE94" s="199"/>
      <c r="AF94" s="199"/>
      <c r="AG94" s="149">
        <f t="shared" si="8"/>
        <v>100</v>
      </c>
      <c r="AH94" s="199"/>
      <c r="AI94" s="199"/>
      <c r="AJ94" s="148">
        <f>(AJ93-VSLFO.MGO456[[#This Row],[HIDRAULICO]])+VSLFO.MGO456[[#This Row],[FAENA EN LTS3]]</f>
        <v>100</v>
      </c>
    </row>
    <row r="95" spans="1:36" x14ac:dyDescent="0.25">
      <c r="A95" s="192"/>
      <c r="B95" s="219"/>
      <c r="C95" s="7"/>
      <c r="D95" s="4">
        <f>IF(VSLFO.MGO456[[#This Row],[FECHA]]-B94=1,((VSLFO.MGO456[[#This Row],[HORA]]-C94)*24)+24,(VSLFO.MGO456[[#This Row],[HORA]]-C94)*24)</f>
        <v>0</v>
      </c>
      <c r="E95" s="10"/>
      <c r="F95" s="10"/>
      <c r="G95" s="212"/>
      <c r="H95" s="201"/>
      <c r="I95" s="201"/>
      <c r="J95" s="207"/>
      <c r="K95" s="153"/>
      <c r="L95" s="3"/>
      <c r="M95" s="3"/>
      <c r="N95" s="3">
        <f t="shared" si="6"/>
        <v>0</v>
      </c>
      <c r="O95" s="1"/>
      <c r="P95" s="152">
        <f t="shared" si="7"/>
        <v>368.83944444444427</v>
      </c>
      <c r="Q95" s="150"/>
      <c r="R95" s="199"/>
      <c r="S95" s="199"/>
      <c r="T95" s="199"/>
      <c r="U95" s="199"/>
      <c r="V95" s="155">
        <f t="shared" si="3"/>
        <v>0</v>
      </c>
      <c r="W95" s="199">
        <v>0</v>
      </c>
      <c r="X95" s="151">
        <f>(X94-VSLFO.MGO456[[#This Row],[TOTAL]])+VSLFO.MGO456[[#This Row],[FAENA2]]</f>
        <v>79.300000000000026</v>
      </c>
      <c r="Y95" s="150"/>
      <c r="Z95" s="199"/>
      <c r="AA95" s="149">
        <f t="shared" si="4"/>
        <v>100</v>
      </c>
      <c r="AB95" s="199"/>
      <c r="AC95" s="199"/>
      <c r="AD95" s="149">
        <f>($AD$4-VSLFO.MGO456[[#This Row],[CARTER MP.]])+VSLFO.MGO456[[#This Row],[FAENA EN LTS2]]</f>
        <v>100</v>
      </c>
      <c r="AE95" s="199"/>
      <c r="AF95" s="199"/>
      <c r="AG95" s="149">
        <f t="shared" si="8"/>
        <v>100</v>
      </c>
      <c r="AH95" s="199"/>
      <c r="AI95" s="199"/>
      <c r="AJ95" s="148">
        <f>(AJ94-VSLFO.MGO456[[#This Row],[HIDRAULICO]])+VSLFO.MGO456[[#This Row],[FAENA EN LTS3]]</f>
        <v>100</v>
      </c>
    </row>
    <row r="96" spans="1:36" x14ac:dyDescent="0.25">
      <c r="A96" s="192"/>
      <c r="B96" s="219"/>
      <c r="C96" s="7"/>
      <c r="D96" s="4">
        <f>IF(VSLFO.MGO456[[#This Row],[FECHA]]-B95=1,((VSLFO.MGO456[[#This Row],[HORA]]-C95)*24)+24,(VSLFO.MGO456[[#This Row],[HORA]]-C95)*24)</f>
        <v>0</v>
      </c>
      <c r="E96" s="10"/>
      <c r="F96" s="10"/>
      <c r="G96" s="212"/>
      <c r="H96" s="201"/>
      <c r="I96" s="201"/>
      <c r="J96" s="207"/>
      <c r="K96" s="153"/>
      <c r="L96" s="3"/>
      <c r="M96" s="3"/>
      <c r="N96" s="3">
        <f t="shared" si="6"/>
        <v>0</v>
      </c>
      <c r="O96" s="1"/>
      <c r="P96" s="152">
        <f t="shared" si="7"/>
        <v>368.83944444444427</v>
      </c>
      <c r="Q96" s="150"/>
      <c r="R96" s="199"/>
      <c r="S96" s="199"/>
      <c r="T96" s="199"/>
      <c r="U96" s="199"/>
      <c r="V96" s="155">
        <f t="shared" si="3"/>
        <v>0</v>
      </c>
      <c r="W96" s="199">
        <v>0</v>
      </c>
      <c r="X96" s="151">
        <f>(X95-VSLFO.MGO456[[#This Row],[TOTAL]])+VSLFO.MGO456[[#This Row],[FAENA2]]</f>
        <v>79.300000000000026</v>
      </c>
      <c r="Y96" s="150"/>
      <c r="Z96" s="199"/>
      <c r="AA96" s="149">
        <f t="shared" si="4"/>
        <v>100</v>
      </c>
      <c r="AB96" s="199"/>
      <c r="AC96" s="199"/>
      <c r="AD96" s="149">
        <f>($AD$4-VSLFO.MGO456[[#This Row],[CARTER MP.]])+VSLFO.MGO456[[#This Row],[FAENA EN LTS2]]</f>
        <v>100</v>
      </c>
      <c r="AE96" s="199"/>
      <c r="AF96" s="199"/>
      <c r="AG96" s="149">
        <f t="shared" si="8"/>
        <v>100</v>
      </c>
      <c r="AH96" s="199"/>
      <c r="AI96" s="199"/>
      <c r="AJ96" s="148">
        <f>(AJ95-VSLFO.MGO456[[#This Row],[HIDRAULICO]])+VSLFO.MGO456[[#This Row],[FAENA EN LTS3]]</f>
        <v>100</v>
      </c>
    </row>
    <row r="97" spans="1:36" x14ac:dyDescent="0.25">
      <c r="A97" s="192"/>
      <c r="B97" s="219"/>
      <c r="C97" s="7"/>
      <c r="D97" s="4">
        <f>IF(VSLFO.MGO456[[#This Row],[FECHA]]-B96=1,((VSLFO.MGO456[[#This Row],[HORA]]-C96)*24)+24,(VSLFO.MGO456[[#This Row],[HORA]]-C96)*24)</f>
        <v>0</v>
      </c>
      <c r="E97" s="10"/>
      <c r="F97" s="10"/>
      <c r="G97" s="212"/>
      <c r="H97" s="201"/>
      <c r="I97" s="201"/>
      <c r="J97" s="207"/>
      <c r="K97" s="153"/>
      <c r="L97" s="3"/>
      <c r="M97" s="3"/>
      <c r="N97" s="3">
        <f t="shared" si="6"/>
        <v>0</v>
      </c>
      <c r="O97" s="1"/>
      <c r="P97" s="152">
        <f t="shared" si="7"/>
        <v>368.83944444444427</v>
      </c>
      <c r="Q97" s="150"/>
      <c r="R97" s="199"/>
      <c r="S97" s="199"/>
      <c r="T97" s="199"/>
      <c r="U97" s="199"/>
      <c r="V97" s="155">
        <f t="shared" si="3"/>
        <v>0</v>
      </c>
      <c r="W97" s="199">
        <v>0</v>
      </c>
      <c r="X97" s="151">
        <f>(X96-VSLFO.MGO456[[#This Row],[TOTAL]])+VSLFO.MGO456[[#This Row],[FAENA2]]</f>
        <v>79.300000000000026</v>
      </c>
      <c r="Y97" s="150"/>
      <c r="Z97" s="199"/>
      <c r="AA97" s="149">
        <f t="shared" si="4"/>
        <v>100</v>
      </c>
      <c r="AB97" s="199"/>
      <c r="AC97" s="199"/>
      <c r="AD97" s="149">
        <f>($AD$4-VSLFO.MGO456[[#This Row],[CARTER MP.]])+VSLFO.MGO456[[#This Row],[FAENA EN LTS2]]</f>
        <v>100</v>
      </c>
      <c r="AE97" s="199"/>
      <c r="AF97" s="199"/>
      <c r="AG97" s="149">
        <f t="shared" si="8"/>
        <v>100</v>
      </c>
      <c r="AH97" s="199"/>
      <c r="AI97" s="199"/>
      <c r="AJ97" s="148">
        <f>(AJ96-VSLFO.MGO456[[#This Row],[HIDRAULICO]])+VSLFO.MGO456[[#This Row],[FAENA EN LTS3]]</f>
        <v>100</v>
      </c>
    </row>
    <row r="98" spans="1:36" x14ac:dyDescent="0.25">
      <c r="A98" s="192"/>
      <c r="B98" s="219"/>
      <c r="C98" s="7"/>
      <c r="D98" s="4">
        <f>IF(VSLFO.MGO456[[#This Row],[FECHA]]-B97=1,((VSLFO.MGO456[[#This Row],[HORA]]-C97)*24)+24,(VSLFO.MGO456[[#This Row],[HORA]]-C97)*24)</f>
        <v>0</v>
      </c>
      <c r="E98" s="10"/>
      <c r="F98" s="10"/>
      <c r="G98" s="212"/>
      <c r="H98" s="201"/>
      <c r="I98" s="201"/>
      <c r="J98" s="207"/>
      <c r="K98" s="153"/>
      <c r="L98" s="3"/>
      <c r="M98" s="3"/>
      <c r="N98" s="3">
        <f t="shared" si="6"/>
        <v>0</v>
      </c>
      <c r="O98" s="1"/>
      <c r="P98" s="152">
        <f t="shared" si="7"/>
        <v>368.83944444444427</v>
      </c>
      <c r="Q98" s="150"/>
      <c r="R98" s="199"/>
      <c r="S98" s="199"/>
      <c r="T98" s="199"/>
      <c r="U98" s="199"/>
      <c r="V98" s="155">
        <f t="shared" si="3"/>
        <v>0</v>
      </c>
      <c r="W98" s="199">
        <v>0</v>
      </c>
      <c r="X98" s="151">
        <f>(X97-VSLFO.MGO456[[#This Row],[TOTAL]])+VSLFO.MGO456[[#This Row],[FAENA2]]</f>
        <v>79.300000000000026</v>
      </c>
      <c r="Y98" s="150"/>
      <c r="Z98" s="199"/>
      <c r="AA98" s="149">
        <f t="shared" si="4"/>
        <v>100</v>
      </c>
      <c r="AB98" s="199"/>
      <c r="AC98" s="199"/>
      <c r="AD98" s="149">
        <f>($AD$4-VSLFO.MGO456[[#This Row],[CARTER MP.]])+VSLFO.MGO456[[#This Row],[FAENA EN LTS2]]</f>
        <v>100</v>
      </c>
      <c r="AE98" s="199"/>
      <c r="AF98" s="199"/>
      <c r="AG98" s="149">
        <f t="shared" si="8"/>
        <v>100</v>
      </c>
      <c r="AH98" s="199"/>
      <c r="AI98" s="199"/>
      <c r="AJ98" s="148">
        <f>(AJ97-VSLFO.MGO456[[#This Row],[HIDRAULICO]])+VSLFO.MGO456[[#This Row],[FAENA EN LTS3]]</f>
        <v>100</v>
      </c>
    </row>
    <row r="99" spans="1:36" x14ac:dyDescent="0.25">
      <c r="A99" s="192"/>
      <c r="B99" s="219"/>
      <c r="C99" s="7"/>
      <c r="D99" s="4">
        <f>IF(VSLFO.MGO456[[#This Row],[FECHA]]-B98=1,((VSLFO.MGO456[[#This Row],[HORA]]-C98)*24)+24,(VSLFO.MGO456[[#This Row],[HORA]]-C98)*24)</f>
        <v>0</v>
      </c>
      <c r="E99" s="10"/>
      <c r="F99" s="10"/>
      <c r="G99" s="212"/>
      <c r="H99" s="201"/>
      <c r="I99" s="201"/>
      <c r="J99" s="207"/>
      <c r="K99" s="153"/>
      <c r="L99" s="3"/>
      <c r="M99" s="3"/>
      <c r="N99" s="3">
        <f t="shared" si="6"/>
        <v>0</v>
      </c>
      <c r="O99" s="1"/>
      <c r="P99" s="152">
        <f t="shared" si="7"/>
        <v>368.83944444444427</v>
      </c>
      <c r="Q99" s="150"/>
      <c r="R99" s="199"/>
      <c r="S99" s="199"/>
      <c r="T99" s="199"/>
      <c r="U99" s="199"/>
      <c r="V99" s="155">
        <f t="shared" si="3"/>
        <v>0</v>
      </c>
      <c r="W99" s="199">
        <v>0</v>
      </c>
      <c r="X99" s="151">
        <f>(X98-VSLFO.MGO456[[#This Row],[TOTAL]])+VSLFO.MGO456[[#This Row],[FAENA2]]</f>
        <v>79.300000000000026</v>
      </c>
      <c r="Y99" s="150"/>
      <c r="Z99" s="199"/>
      <c r="AA99" s="149">
        <f t="shared" si="4"/>
        <v>100</v>
      </c>
      <c r="AB99" s="199"/>
      <c r="AC99" s="199"/>
      <c r="AD99" s="149">
        <f>($AD$4-VSLFO.MGO456[[#This Row],[CARTER MP.]])+VSLFO.MGO456[[#This Row],[FAENA EN LTS2]]</f>
        <v>100</v>
      </c>
      <c r="AE99" s="199"/>
      <c r="AF99" s="199"/>
      <c r="AG99" s="149">
        <f t="shared" si="8"/>
        <v>100</v>
      </c>
      <c r="AH99" s="199"/>
      <c r="AI99" s="199"/>
      <c r="AJ99" s="148">
        <f>(AJ98-VSLFO.MGO456[[#This Row],[HIDRAULICO]])+VSLFO.MGO456[[#This Row],[FAENA EN LTS3]]</f>
        <v>100</v>
      </c>
    </row>
    <row r="100" spans="1:36" x14ac:dyDescent="0.25">
      <c r="A100" s="192"/>
      <c r="B100" s="219"/>
      <c r="C100" s="7"/>
      <c r="D100" s="4">
        <f>IF(VSLFO.MGO456[[#This Row],[FECHA]]-B99=1,((VSLFO.MGO456[[#This Row],[HORA]]-C99)*24)+24,(VSLFO.MGO456[[#This Row],[HORA]]-C99)*24)</f>
        <v>0</v>
      </c>
      <c r="E100" s="10"/>
      <c r="F100" s="10"/>
      <c r="G100" s="212"/>
      <c r="H100" s="201"/>
      <c r="I100" s="201"/>
      <c r="J100" s="207"/>
      <c r="K100" s="153"/>
      <c r="L100" s="3"/>
      <c r="M100" s="3"/>
      <c r="N100" s="3">
        <f t="shared" si="6"/>
        <v>0</v>
      </c>
      <c r="O100" s="1"/>
      <c r="P100" s="152">
        <f t="shared" si="7"/>
        <v>368.83944444444427</v>
      </c>
      <c r="Q100" s="150"/>
      <c r="R100" s="199"/>
      <c r="S100" s="199"/>
      <c r="T100" s="199"/>
      <c r="U100" s="199"/>
      <c r="V100" s="155">
        <f t="shared" si="3"/>
        <v>0</v>
      </c>
      <c r="W100" s="199">
        <v>0</v>
      </c>
      <c r="X100" s="151">
        <f>(X99-VSLFO.MGO456[[#This Row],[TOTAL]])+VSLFO.MGO456[[#This Row],[FAENA2]]</f>
        <v>79.300000000000026</v>
      </c>
      <c r="Y100" s="150"/>
      <c r="Z100" s="199"/>
      <c r="AA100" s="149">
        <f t="shared" si="4"/>
        <v>100</v>
      </c>
      <c r="AB100" s="199"/>
      <c r="AC100" s="199"/>
      <c r="AD100" s="149">
        <f>($AD$4-VSLFO.MGO456[[#This Row],[CARTER MP.]])+VSLFO.MGO456[[#This Row],[FAENA EN LTS2]]</f>
        <v>100</v>
      </c>
      <c r="AE100" s="199"/>
      <c r="AF100" s="199"/>
      <c r="AG100" s="149">
        <f t="shared" si="8"/>
        <v>100</v>
      </c>
      <c r="AH100" s="199"/>
      <c r="AI100" s="199"/>
      <c r="AJ100" s="148">
        <f>(AJ99-VSLFO.MGO456[[#This Row],[HIDRAULICO]])+VSLFO.MGO456[[#This Row],[FAENA EN LTS3]]</f>
        <v>100</v>
      </c>
    </row>
    <row r="101" spans="1:36" x14ac:dyDescent="0.25">
      <c r="A101" s="192"/>
      <c r="B101" s="219"/>
      <c r="C101" s="7"/>
      <c r="D101" s="4">
        <f>IF(VSLFO.MGO456[[#This Row],[FECHA]]-B100=1,((VSLFO.MGO456[[#This Row],[HORA]]-C100)*24)+24,(VSLFO.MGO456[[#This Row],[HORA]]-C100)*24)</f>
        <v>0</v>
      </c>
      <c r="E101" s="10"/>
      <c r="F101" s="10"/>
      <c r="G101" s="212"/>
      <c r="H101" s="201"/>
      <c r="I101" s="201"/>
      <c r="J101" s="207"/>
      <c r="K101" s="153"/>
      <c r="L101" s="3"/>
      <c r="M101" s="3"/>
      <c r="N101" s="3">
        <f t="shared" si="6"/>
        <v>0</v>
      </c>
      <c r="O101" s="1"/>
      <c r="P101" s="152">
        <f t="shared" si="7"/>
        <v>368.83944444444427</v>
      </c>
      <c r="Q101" s="150"/>
      <c r="R101" s="199"/>
      <c r="S101" s="199"/>
      <c r="T101" s="199"/>
      <c r="U101" s="199"/>
      <c r="V101" s="155">
        <f t="shared" ref="V101:V107" si="9">SUM(Q101:U101)</f>
        <v>0</v>
      </c>
      <c r="W101" s="199">
        <v>0</v>
      </c>
      <c r="X101" s="151">
        <f>(X100-VSLFO.MGO456[[#This Row],[TOTAL]])+VSLFO.MGO456[[#This Row],[FAENA2]]</f>
        <v>79.300000000000026</v>
      </c>
      <c r="Y101" s="150"/>
      <c r="Z101" s="199"/>
      <c r="AA101" s="149">
        <f t="shared" si="4"/>
        <v>100</v>
      </c>
      <c r="AB101" s="199"/>
      <c r="AC101" s="199"/>
      <c r="AD101" s="149">
        <f>($AD$4-VSLFO.MGO456[[#This Row],[CARTER MP.]])+VSLFO.MGO456[[#This Row],[FAENA EN LTS2]]</f>
        <v>100</v>
      </c>
      <c r="AE101" s="199"/>
      <c r="AF101" s="199"/>
      <c r="AG101" s="149">
        <f t="shared" si="8"/>
        <v>100</v>
      </c>
      <c r="AH101" s="199"/>
      <c r="AI101" s="199"/>
      <c r="AJ101" s="148">
        <f>(AJ100-VSLFO.MGO456[[#This Row],[HIDRAULICO]])+VSLFO.MGO456[[#This Row],[FAENA EN LTS3]]</f>
        <v>100</v>
      </c>
    </row>
    <row r="102" spans="1:36" x14ac:dyDescent="0.25">
      <c r="A102" s="192"/>
      <c r="B102" s="219"/>
      <c r="C102" s="7"/>
      <c r="D102" s="4">
        <f>IF(VSLFO.MGO456[[#This Row],[FECHA]]-B101=1,((VSLFO.MGO456[[#This Row],[HORA]]-C101)*24)+24,(VSLFO.MGO456[[#This Row],[HORA]]-C101)*24)</f>
        <v>0</v>
      </c>
      <c r="E102" s="10"/>
      <c r="F102" s="10"/>
      <c r="G102" s="212"/>
      <c r="H102" s="201"/>
      <c r="I102" s="201"/>
      <c r="J102" s="207"/>
      <c r="K102" s="153"/>
      <c r="L102" s="3"/>
      <c r="M102" s="3"/>
      <c r="N102" s="3">
        <f t="shared" si="6"/>
        <v>0</v>
      </c>
      <c r="O102" s="1"/>
      <c r="P102" s="152">
        <f t="shared" si="7"/>
        <v>368.83944444444427</v>
      </c>
      <c r="Q102" s="150"/>
      <c r="R102" s="199"/>
      <c r="S102" s="199"/>
      <c r="T102" s="199"/>
      <c r="U102" s="199"/>
      <c r="V102" s="155">
        <f t="shared" si="9"/>
        <v>0</v>
      </c>
      <c r="W102" s="199">
        <v>0</v>
      </c>
      <c r="X102" s="151">
        <f>(X101-VSLFO.MGO456[[#This Row],[TOTAL]])+VSLFO.MGO456[[#This Row],[FAENA2]]</f>
        <v>79.300000000000026</v>
      </c>
      <c r="Y102" s="150"/>
      <c r="Z102" s="199"/>
      <c r="AA102" s="149">
        <f t="shared" si="4"/>
        <v>100</v>
      </c>
      <c r="AB102" s="199"/>
      <c r="AC102" s="199"/>
      <c r="AD102" s="149">
        <f>($AD$4-VSLFO.MGO456[[#This Row],[CARTER MP.]])+VSLFO.MGO456[[#This Row],[FAENA EN LTS2]]</f>
        <v>100</v>
      </c>
      <c r="AE102" s="199"/>
      <c r="AF102" s="199"/>
      <c r="AG102" s="149">
        <f t="shared" si="8"/>
        <v>100</v>
      </c>
      <c r="AH102" s="199"/>
      <c r="AI102" s="199"/>
      <c r="AJ102" s="148">
        <f>(AJ101-VSLFO.MGO456[[#This Row],[HIDRAULICO]])+VSLFO.MGO456[[#This Row],[FAENA EN LTS3]]</f>
        <v>100</v>
      </c>
    </row>
    <row r="103" spans="1:36" x14ac:dyDescent="0.25">
      <c r="A103" s="192"/>
      <c r="B103" s="219"/>
      <c r="C103" s="7"/>
      <c r="D103" s="4">
        <f>IF(VSLFO.MGO456[[#This Row],[FECHA]]-B102=1,((VSLFO.MGO456[[#This Row],[HORA]]-C102)*24)+24,(VSLFO.MGO456[[#This Row],[HORA]]-C102)*24)</f>
        <v>0</v>
      </c>
      <c r="E103" s="10"/>
      <c r="F103" s="10"/>
      <c r="G103" s="212"/>
      <c r="H103" s="201"/>
      <c r="I103" s="201"/>
      <c r="J103" s="207"/>
      <c r="K103" s="153"/>
      <c r="L103" s="3"/>
      <c r="M103" s="3"/>
      <c r="N103" s="3">
        <f t="shared" si="6"/>
        <v>0</v>
      </c>
      <c r="O103" s="1"/>
      <c r="P103" s="152">
        <f t="shared" si="7"/>
        <v>368.83944444444427</v>
      </c>
      <c r="Q103" s="150"/>
      <c r="R103" s="199"/>
      <c r="S103" s="199"/>
      <c r="T103" s="199"/>
      <c r="U103" s="199"/>
      <c r="V103" s="155">
        <f t="shared" si="9"/>
        <v>0</v>
      </c>
      <c r="W103" s="199">
        <v>0</v>
      </c>
      <c r="X103" s="151">
        <f>(X102-VSLFO.MGO456[[#This Row],[TOTAL]])+VSLFO.MGO456[[#This Row],[FAENA2]]</f>
        <v>79.300000000000026</v>
      </c>
      <c r="Y103" s="150"/>
      <c r="Z103" s="199"/>
      <c r="AA103" s="149">
        <f t="shared" si="4"/>
        <v>100</v>
      </c>
      <c r="AB103" s="199"/>
      <c r="AC103" s="199"/>
      <c r="AD103" s="149">
        <f>($AD$4-VSLFO.MGO456[[#This Row],[CARTER MP.]])+VSLFO.MGO456[[#This Row],[FAENA EN LTS2]]</f>
        <v>100</v>
      </c>
      <c r="AE103" s="199"/>
      <c r="AF103" s="199"/>
      <c r="AG103" s="149">
        <f t="shared" si="8"/>
        <v>100</v>
      </c>
      <c r="AH103" s="199"/>
      <c r="AI103" s="199"/>
      <c r="AJ103" s="148">
        <f>(AJ102-VSLFO.MGO456[[#This Row],[HIDRAULICO]])+VSLFO.MGO456[[#This Row],[FAENA EN LTS3]]</f>
        <v>100</v>
      </c>
    </row>
    <row r="104" spans="1:36" x14ac:dyDescent="0.25">
      <c r="A104" s="192"/>
      <c r="B104" s="219"/>
      <c r="C104" s="7"/>
      <c r="D104" s="4">
        <f>IF(VSLFO.MGO456[[#This Row],[FECHA]]-B103=1,((VSLFO.MGO456[[#This Row],[HORA]]-C103)*24)+24,(VSLFO.MGO456[[#This Row],[HORA]]-C103)*24)</f>
        <v>0</v>
      </c>
      <c r="E104" s="10"/>
      <c r="F104" s="10"/>
      <c r="G104" s="212"/>
      <c r="H104" s="201"/>
      <c r="I104" s="201"/>
      <c r="J104" s="207"/>
      <c r="K104" s="153"/>
      <c r="L104" s="3"/>
      <c r="M104" s="3"/>
      <c r="N104" s="3">
        <f t="shared" si="6"/>
        <v>0</v>
      </c>
      <c r="O104" s="1"/>
      <c r="P104" s="152">
        <f t="shared" si="7"/>
        <v>368.83944444444427</v>
      </c>
      <c r="Q104" s="150"/>
      <c r="R104" s="199"/>
      <c r="S104" s="199"/>
      <c r="T104" s="199"/>
      <c r="U104" s="199"/>
      <c r="V104" s="155">
        <f t="shared" si="9"/>
        <v>0</v>
      </c>
      <c r="W104" s="199">
        <v>0</v>
      </c>
      <c r="X104" s="151">
        <f>(X103-VSLFO.MGO456[[#This Row],[TOTAL]])+VSLFO.MGO456[[#This Row],[FAENA2]]</f>
        <v>79.300000000000026</v>
      </c>
      <c r="Y104" s="150"/>
      <c r="Z104" s="199"/>
      <c r="AA104" s="149">
        <f t="shared" si="4"/>
        <v>100</v>
      </c>
      <c r="AB104" s="199"/>
      <c r="AC104" s="199"/>
      <c r="AD104" s="149">
        <f>($AD$4-VSLFO.MGO456[[#This Row],[CARTER MP.]])+VSLFO.MGO456[[#This Row],[FAENA EN LTS2]]</f>
        <v>100</v>
      </c>
      <c r="AE104" s="199"/>
      <c r="AF104" s="199"/>
      <c r="AG104" s="149">
        <f t="shared" si="8"/>
        <v>100</v>
      </c>
      <c r="AH104" s="199"/>
      <c r="AI104" s="199"/>
      <c r="AJ104" s="148">
        <f>(AJ103-VSLFO.MGO456[[#This Row],[HIDRAULICO]])+VSLFO.MGO456[[#This Row],[FAENA EN LTS3]]</f>
        <v>100</v>
      </c>
    </row>
    <row r="105" spans="1:36" x14ac:dyDescent="0.25">
      <c r="A105" s="192"/>
      <c r="B105" s="219"/>
      <c r="C105" s="7"/>
      <c r="D105" s="4">
        <f>IF(VSLFO.MGO456[[#This Row],[FECHA]]-B104=1,((VSLFO.MGO456[[#This Row],[HORA]]-C104)*24)+24,(VSLFO.MGO456[[#This Row],[HORA]]-C104)*24)</f>
        <v>0</v>
      </c>
      <c r="E105" s="10"/>
      <c r="F105" s="10"/>
      <c r="G105" s="212"/>
      <c r="H105" s="201"/>
      <c r="I105" s="201"/>
      <c r="J105" s="207"/>
      <c r="K105" s="153"/>
      <c r="L105" s="3"/>
      <c r="M105" s="3"/>
      <c r="N105" s="3">
        <f t="shared" si="6"/>
        <v>0</v>
      </c>
      <c r="O105" s="1"/>
      <c r="P105" s="152">
        <f t="shared" si="7"/>
        <v>368.83944444444427</v>
      </c>
      <c r="Q105" s="150"/>
      <c r="R105" s="199"/>
      <c r="S105" s="199"/>
      <c r="T105" s="199"/>
      <c r="U105" s="199"/>
      <c r="V105" s="155">
        <f t="shared" si="9"/>
        <v>0</v>
      </c>
      <c r="W105" s="199">
        <v>0</v>
      </c>
      <c r="X105" s="151">
        <f>(X104-VSLFO.MGO456[[#This Row],[TOTAL]])+VSLFO.MGO456[[#This Row],[FAENA2]]</f>
        <v>79.300000000000026</v>
      </c>
      <c r="Y105" s="150"/>
      <c r="Z105" s="199"/>
      <c r="AA105" s="149">
        <f t="shared" si="4"/>
        <v>100</v>
      </c>
      <c r="AB105" s="199"/>
      <c r="AC105" s="199"/>
      <c r="AD105" s="149">
        <f>($AD$4-VSLFO.MGO456[[#This Row],[CARTER MP.]])+VSLFO.MGO456[[#This Row],[FAENA EN LTS2]]</f>
        <v>100</v>
      </c>
      <c r="AE105" s="199"/>
      <c r="AF105" s="199"/>
      <c r="AG105" s="149">
        <f t="shared" si="8"/>
        <v>100</v>
      </c>
      <c r="AH105" s="199"/>
      <c r="AI105" s="199"/>
      <c r="AJ105" s="148">
        <f>(AJ104-VSLFO.MGO456[[#This Row],[HIDRAULICO]])+VSLFO.MGO456[[#This Row],[FAENA EN LTS3]]</f>
        <v>100</v>
      </c>
    </row>
    <row r="106" spans="1:36" x14ac:dyDescent="0.25">
      <c r="A106" s="192"/>
      <c r="B106" s="219"/>
      <c r="C106" s="7"/>
      <c r="D106" s="4">
        <f>IF(VSLFO.MGO456[[#This Row],[FECHA]]-B105=1,((VSLFO.MGO456[[#This Row],[HORA]]-C105)*24)+24,(VSLFO.MGO456[[#This Row],[HORA]]-C105)*24)</f>
        <v>0</v>
      </c>
      <c r="E106" s="10"/>
      <c r="F106" s="10"/>
      <c r="G106" s="212"/>
      <c r="H106" s="201"/>
      <c r="I106" s="201"/>
      <c r="J106" s="207"/>
      <c r="K106" s="153"/>
      <c r="L106" s="3"/>
      <c r="M106" s="3"/>
      <c r="N106" s="3">
        <f t="shared" si="6"/>
        <v>0</v>
      </c>
      <c r="O106" s="1"/>
      <c r="P106" s="152">
        <f t="shared" si="7"/>
        <v>368.83944444444427</v>
      </c>
      <c r="Q106" s="150"/>
      <c r="R106" s="199"/>
      <c r="S106" s="199"/>
      <c r="T106" s="199"/>
      <c r="U106" s="199"/>
      <c r="V106" s="155">
        <f t="shared" si="9"/>
        <v>0</v>
      </c>
      <c r="W106" s="199">
        <v>0</v>
      </c>
      <c r="X106" s="151">
        <f>(X105-VSLFO.MGO456[[#This Row],[TOTAL]])+VSLFO.MGO456[[#This Row],[FAENA2]]</f>
        <v>79.300000000000026</v>
      </c>
      <c r="Y106" s="150"/>
      <c r="Z106" s="199"/>
      <c r="AA106" s="149">
        <f t="shared" si="4"/>
        <v>100</v>
      </c>
      <c r="AB106" s="199"/>
      <c r="AC106" s="199"/>
      <c r="AD106" s="149">
        <f>($AD$4-VSLFO.MGO456[[#This Row],[CARTER MP.]])+VSLFO.MGO456[[#This Row],[FAENA EN LTS2]]</f>
        <v>100</v>
      </c>
      <c r="AE106" s="199"/>
      <c r="AF106" s="199"/>
      <c r="AG106" s="149">
        <f t="shared" si="8"/>
        <v>100</v>
      </c>
      <c r="AH106" s="199"/>
      <c r="AI106" s="199"/>
      <c r="AJ106" s="148">
        <f>(AJ105-VSLFO.MGO456[[#This Row],[HIDRAULICO]])+VSLFO.MGO456[[#This Row],[FAENA EN LTS3]]</f>
        <v>100</v>
      </c>
    </row>
    <row r="107" spans="1:36" x14ac:dyDescent="0.25">
      <c r="A107" s="192"/>
      <c r="B107" s="219"/>
      <c r="C107" s="7"/>
      <c r="D107" s="4">
        <f>IF(VSLFO.MGO456[[#This Row],[FECHA]]-B106=1,((VSLFO.MGO456[[#This Row],[HORA]]-C106)*24)+24,(VSLFO.MGO456[[#This Row],[HORA]]-C106)*24)</f>
        <v>0</v>
      </c>
      <c r="E107" s="10"/>
      <c r="F107" s="10"/>
      <c r="G107" s="212"/>
      <c r="H107" s="201"/>
      <c r="I107" s="201"/>
      <c r="J107" s="207"/>
      <c r="K107" s="153"/>
      <c r="L107" s="3"/>
      <c r="M107" s="3"/>
      <c r="N107" s="3">
        <f t="shared" si="6"/>
        <v>0</v>
      </c>
      <c r="O107" s="1"/>
      <c r="P107" s="152">
        <f t="shared" si="7"/>
        <v>368.83944444444427</v>
      </c>
      <c r="Q107" s="150"/>
      <c r="R107" s="199"/>
      <c r="S107" s="199"/>
      <c r="T107" s="199"/>
      <c r="U107" s="199"/>
      <c r="V107" s="155">
        <f t="shared" si="9"/>
        <v>0</v>
      </c>
      <c r="W107" s="199">
        <v>0</v>
      </c>
      <c r="X107" s="151">
        <f>(X106-VSLFO.MGO456[[#This Row],[TOTAL]])+VSLFO.MGO456[[#This Row],[FAENA2]]</f>
        <v>79.300000000000026</v>
      </c>
      <c r="Y107" s="150"/>
      <c r="Z107" s="199"/>
      <c r="AA107" s="149">
        <f t="shared" si="4"/>
        <v>100</v>
      </c>
      <c r="AB107" s="199"/>
      <c r="AC107" s="199"/>
      <c r="AD107" s="149">
        <f>($AD$4-VSLFO.MGO456[[#This Row],[CARTER MP.]])+VSLFO.MGO456[[#This Row],[FAENA EN LTS2]]</f>
        <v>100</v>
      </c>
      <c r="AE107" s="199"/>
      <c r="AF107" s="199"/>
      <c r="AG107" s="149">
        <f t="shared" si="8"/>
        <v>100</v>
      </c>
      <c r="AH107" s="199"/>
      <c r="AI107" s="199"/>
      <c r="AJ107" s="148">
        <f>(AJ106-VSLFO.MGO456[[#This Row],[HIDRAULICO]])+VSLFO.MGO456[[#This Row],[FAENA EN LTS3]]</f>
        <v>100</v>
      </c>
    </row>
    <row r="108" spans="1:36" x14ac:dyDescent="0.25">
      <c r="A108" s="192"/>
      <c r="B108" s="219"/>
      <c r="C108" s="7"/>
      <c r="D108" s="4">
        <f>IF(VSLFO.MGO456[[#This Row],[FECHA]]-B107=1,((VSLFO.MGO456[[#This Row],[HORA]]-C107)*24)+24,(VSLFO.MGO456[[#This Row],[HORA]]-C107)*24)</f>
        <v>0</v>
      </c>
      <c r="E108" s="10"/>
      <c r="F108" s="154"/>
      <c r="G108" s="212"/>
      <c r="H108" s="201"/>
      <c r="I108" s="201"/>
      <c r="J108" s="207"/>
      <c r="K108" s="153"/>
      <c r="L108" s="3"/>
      <c r="M108" s="3"/>
      <c r="N108" s="3">
        <f t="shared" si="6"/>
        <v>0</v>
      </c>
      <c r="O108" s="1"/>
      <c r="P108" s="152"/>
      <c r="Q108" s="150"/>
      <c r="R108" s="199"/>
      <c r="S108" s="199"/>
      <c r="T108" s="199"/>
      <c r="U108" s="199"/>
      <c r="V108" s="155"/>
      <c r="W108" s="199"/>
      <c r="X108" s="151"/>
      <c r="Y108" s="150"/>
      <c r="Z108" s="199"/>
      <c r="AA108" s="149">
        <f t="shared" si="4"/>
        <v>100</v>
      </c>
      <c r="AB108" s="199"/>
      <c r="AC108" s="199"/>
      <c r="AD108" s="149">
        <f>($AD$4-VSLFO.MGO456[[#This Row],[CARTER MP.]])+VSLFO.MGO456[[#This Row],[FAENA EN LTS2]]</f>
        <v>100</v>
      </c>
      <c r="AE108" s="199"/>
      <c r="AF108" s="199"/>
      <c r="AG108" s="149">
        <f t="shared" ref="AG108:AG115" si="10">$AG$4</f>
        <v>100</v>
      </c>
      <c r="AH108" s="199"/>
      <c r="AI108" s="199"/>
      <c r="AJ108" s="148">
        <f>(AJ107-VSLFO.MGO456[[#This Row],[HIDRAULICO]])+VSLFO.MGO456[[#This Row],[FAENA EN LTS3]]</f>
        <v>100</v>
      </c>
    </row>
    <row r="109" spans="1:36" x14ac:dyDescent="0.25">
      <c r="A109" s="192"/>
      <c r="B109" s="219"/>
      <c r="C109" s="7"/>
      <c r="D109" s="4">
        <f>IF(VSLFO.MGO456[[#This Row],[FECHA]]-B108=1,((VSLFO.MGO456[[#This Row],[HORA]]-C108)*24)+24,(VSLFO.MGO456[[#This Row],[HORA]]-C108)*24)</f>
        <v>0</v>
      </c>
      <c r="E109" s="10"/>
      <c r="F109" s="154"/>
      <c r="G109" s="212"/>
      <c r="H109" s="201"/>
      <c r="I109" s="201"/>
      <c r="J109" s="207"/>
      <c r="K109" s="153"/>
      <c r="L109" s="3"/>
      <c r="M109" s="3"/>
      <c r="N109" s="3">
        <f t="shared" si="6"/>
        <v>0</v>
      </c>
      <c r="O109" s="1"/>
      <c r="P109" s="152"/>
      <c r="Q109" s="150"/>
      <c r="R109" s="199"/>
      <c r="S109" s="199"/>
      <c r="T109" s="199"/>
      <c r="U109" s="199"/>
      <c r="V109" s="155"/>
      <c r="W109" s="199"/>
      <c r="X109" s="151"/>
      <c r="Y109" s="150"/>
      <c r="Z109" s="199"/>
      <c r="AA109" s="149">
        <f t="shared" ref="AA109:AA115" si="11">AA107</f>
        <v>100</v>
      </c>
      <c r="AB109" s="199"/>
      <c r="AC109" s="199"/>
      <c r="AD109" s="149">
        <f>($AD$4-VSLFO.MGO456[[#This Row],[CARTER MP.]])+VSLFO.MGO456[[#This Row],[FAENA EN LTS2]]</f>
        <v>100</v>
      </c>
      <c r="AE109" s="199"/>
      <c r="AF109" s="199"/>
      <c r="AG109" s="149">
        <f t="shared" si="10"/>
        <v>100</v>
      </c>
      <c r="AH109" s="199"/>
      <c r="AI109" s="199"/>
      <c r="AJ109" s="148">
        <f>(AJ108-VSLFO.MGO456[[#This Row],[HIDRAULICO]])+VSLFO.MGO456[[#This Row],[FAENA EN LTS3]]</f>
        <v>100</v>
      </c>
    </row>
    <row r="110" spans="1:36" x14ac:dyDescent="0.25">
      <c r="A110" s="192"/>
      <c r="B110" s="219"/>
      <c r="C110" s="7"/>
      <c r="D110" s="4">
        <f>IF(VSLFO.MGO456[[#This Row],[FECHA]]-B109=1,((VSLFO.MGO456[[#This Row],[HORA]]-C109)*24)+24,(VSLFO.MGO456[[#This Row],[HORA]]-C109)*24)</f>
        <v>0</v>
      </c>
      <c r="E110" s="10"/>
      <c r="F110" s="154"/>
      <c r="G110" s="212"/>
      <c r="H110" s="201"/>
      <c r="I110" s="201"/>
      <c r="J110" s="207"/>
      <c r="K110" s="153"/>
      <c r="L110" s="3"/>
      <c r="M110" s="3"/>
      <c r="N110" s="3">
        <f t="shared" si="6"/>
        <v>0</v>
      </c>
      <c r="O110" s="1"/>
      <c r="P110" s="152"/>
      <c r="Q110" s="150"/>
      <c r="R110" s="199"/>
      <c r="S110" s="199"/>
      <c r="T110" s="199"/>
      <c r="U110" s="199"/>
      <c r="V110" s="155"/>
      <c r="W110" s="199"/>
      <c r="X110" s="151"/>
      <c r="Y110" s="150"/>
      <c r="Z110" s="199"/>
      <c r="AA110" s="149">
        <f t="shared" si="11"/>
        <v>100</v>
      </c>
      <c r="AB110" s="199"/>
      <c r="AC110" s="199"/>
      <c r="AD110" s="149">
        <f>($AD$4-VSLFO.MGO456[[#This Row],[CARTER MP.]])+VSLFO.MGO456[[#This Row],[FAENA EN LTS2]]</f>
        <v>100</v>
      </c>
      <c r="AE110" s="199"/>
      <c r="AF110" s="199"/>
      <c r="AG110" s="149">
        <f t="shared" si="10"/>
        <v>100</v>
      </c>
      <c r="AH110" s="199"/>
      <c r="AI110" s="199"/>
      <c r="AJ110" s="148">
        <f>(AJ109-VSLFO.MGO456[[#This Row],[HIDRAULICO]])+VSLFO.MGO456[[#This Row],[FAENA EN LTS3]]</f>
        <v>100</v>
      </c>
    </row>
    <row r="111" spans="1:36" x14ac:dyDescent="0.25">
      <c r="A111" s="192"/>
      <c r="B111" s="219"/>
      <c r="C111" s="7"/>
      <c r="D111" s="4">
        <f>IF(VSLFO.MGO456[[#This Row],[FECHA]]-B110=1,((VSLFO.MGO456[[#This Row],[HORA]]-C110)*24)+24,(VSLFO.MGO456[[#This Row],[HORA]]-C110)*24)</f>
        <v>0</v>
      </c>
      <c r="E111" s="10"/>
      <c r="F111" s="154"/>
      <c r="G111" s="212"/>
      <c r="H111" s="201"/>
      <c r="I111" s="201"/>
      <c r="J111" s="207"/>
      <c r="K111" s="153"/>
      <c r="L111" s="3"/>
      <c r="M111" s="3"/>
      <c r="N111" s="3">
        <f t="shared" si="6"/>
        <v>0</v>
      </c>
      <c r="O111" s="1"/>
      <c r="P111" s="152"/>
      <c r="Q111" s="150"/>
      <c r="R111" s="199"/>
      <c r="S111" s="199"/>
      <c r="T111" s="199"/>
      <c r="U111" s="199"/>
      <c r="V111" s="155"/>
      <c r="W111" s="199"/>
      <c r="X111" s="151"/>
      <c r="Y111" s="150"/>
      <c r="Z111" s="199"/>
      <c r="AA111" s="149">
        <f t="shared" si="11"/>
        <v>100</v>
      </c>
      <c r="AB111" s="199"/>
      <c r="AC111" s="199"/>
      <c r="AD111" s="149">
        <f>($AD$4-VSLFO.MGO456[[#This Row],[CARTER MP.]])+VSLFO.MGO456[[#This Row],[FAENA EN LTS2]]</f>
        <v>100</v>
      </c>
      <c r="AE111" s="199"/>
      <c r="AF111" s="199"/>
      <c r="AG111" s="149">
        <f t="shared" si="10"/>
        <v>100</v>
      </c>
      <c r="AH111" s="199"/>
      <c r="AI111" s="199"/>
      <c r="AJ111" s="148">
        <f>(AJ110-VSLFO.MGO456[[#This Row],[HIDRAULICO]])+VSLFO.MGO456[[#This Row],[FAENA EN LTS3]]</f>
        <v>100</v>
      </c>
    </row>
    <row r="112" spans="1:36" x14ac:dyDescent="0.25">
      <c r="A112" s="192"/>
      <c r="B112" s="219"/>
      <c r="C112" s="7"/>
      <c r="D112" s="4">
        <f>IF(VSLFO.MGO456[[#This Row],[FECHA]]-B111=1,((VSLFO.MGO456[[#This Row],[HORA]]-C111)*24)+24,(VSLFO.MGO456[[#This Row],[HORA]]-C111)*24)</f>
        <v>0</v>
      </c>
      <c r="E112" s="10"/>
      <c r="F112" s="154"/>
      <c r="G112" s="212"/>
      <c r="H112" s="201"/>
      <c r="I112" s="201"/>
      <c r="J112" s="207"/>
      <c r="K112" s="153"/>
      <c r="L112" s="3"/>
      <c r="M112" s="3"/>
      <c r="N112" s="3">
        <f t="shared" si="6"/>
        <v>0</v>
      </c>
      <c r="O112" s="1"/>
      <c r="P112" s="152"/>
      <c r="Q112" s="150"/>
      <c r="R112" s="199"/>
      <c r="S112" s="199"/>
      <c r="T112" s="199"/>
      <c r="U112" s="199"/>
      <c r="V112" s="155"/>
      <c r="W112" s="199"/>
      <c r="X112" s="151"/>
      <c r="Y112" s="150"/>
      <c r="Z112" s="199"/>
      <c r="AA112" s="149">
        <f t="shared" si="11"/>
        <v>100</v>
      </c>
      <c r="AB112" s="199"/>
      <c r="AC112" s="199"/>
      <c r="AD112" s="149">
        <f>($AD$4-VSLFO.MGO456[[#This Row],[CARTER MP.]])+VSLFO.MGO456[[#This Row],[FAENA EN LTS2]]</f>
        <v>100</v>
      </c>
      <c r="AE112" s="199"/>
      <c r="AF112" s="199"/>
      <c r="AG112" s="149">
        <f t="shared" si="10"/>
        <v>100</v>
      </c>
      <c r="AH112" s="199"/>
      <c r="AI112" s="199"/>
      <c r="AJ112" s="148">
        <f>(AJ111-VSLFO.MGO456[[#This Row],[HIDRAULICO]])+VSLFO.MGO456[[#This Row],[FAENA EN LTS3]]</f>
        <v>100</v>
      </c>
    </row>
    <row r="113" spans="1:36" x14ac:dyDescent="0.25">
      <c r="A113" s="192"/>
      <c r="B113" s="219"/>
      <c r="C113" s="7"/>
      <c r="D113" s="4">
        <f>IF(VSLFO.MGO456[[#This Row],[FECHA]]-B112=1,((VSLFO.MGO456[[#This Row],[HORA]]-C112)*24)+24,(VSLFO.MGO456[[#This Row],[HORA]]-C112)*24)</f>
        <v>0</v>
      </c>
      <c r="E113" s="10"/>
      <c r="F113" s="154"/>
      <c r="G113" s="212"/>
      <c r="H113" s="201"/>
      <c r="I113" s="201"/>
      <c r="J113" s="207"/>
      <c r="K113" s="153"/>
      <c r="L113" s="3"/>
      <c r="M113" s="3"/>
      <c r="N113" s="3">
        <f t="shared" si="6"/>
        <v>0</v>
      </c>
      <c r="O113" s="1"/>
      <c r="P113" s="152"/>
      <c r="Q113" s="150"/>
      <c r="R113" s="199"/>
      <c r="S113" s="199"/>
      <c r="T113" s="199"/>
      <c r="U113" s="199"/>
      <c r="V113" s="155"/>
      <c r="W113" s="199"/>
      <c r="X113" s="151"/>
      <c r="Y113" s="150"/>
      <c r="Z113" s="199"/>
      <c r="AA113" s="149">
        <f t="shared" si="11"/>
        <v>100</v>
      </c>
      <c r="AB113" s="199"/>
      <c r="AC113" s="199"/>
      <c r="AD113" s="149">
        <f>($AD$4-VSLFO.MGO456[[#This Row],[CARTER MP.]])+VSLFO.MGO456[[#This Row],[FAENA EN LTS2]]</f>
        <v>100</v>
      </c>
      <c r="AE113" s="199"/>
      <c r="AF113" s="199"/>
      <c r="AG113" s="149">
        <f t="shared" si="10"/>
        <v>100</v>
      </c>
      <c r="AH113" s="199"/>
      <c r="AI113" s="199"/>
      <c r="AJ113" s="148">
        <f>(AJ112-VSLFO.MGO456[[#This Row],[HIDRAULICO]])+VSLFO.MGO456[[#This Row],[FAENA EN LTS3]]</f>
        <v>100</v>
      </c>
    </row>
    <row r="114" spans="1:36" x14ac:dyDescent="0.25">
      <c r="A114" s="192"/>
      <c r="B114" s="219"/>
      <c r="C114" s="7"/>
      <c r="D114" s="4">
        <f>IF(VSLFO.MGO456[[#This Row],[FECHA]]-B113=1,((VSLFO.MGO456[[#This Row],[HORA]]-C113)*24)+24,(VSLFO.MGO456[[#This Row],[HORA]]-C113)*24)</f>
        <v>0</v>
      </c>
      <c r="E114" s="10"/>
      <c r="F114" s="154"/>
      <c r="G114" s="212"/>
      <c r="H114" s="201"/>
      <c r="I114" s="201"/>
      <c r="J114" s="207"/>
      <c r="K114" s="153"/>
      <c r="L114" s="3"/>
      <c r="M114" s="3"/>
      <c r="N114" s="3">
        <f t="shared" si="6"/>
        <v>0</v>
      </c>
      <c r="O114" s="1"/>
      <c r="P114" s="152"/>
      <c r="Q114" s="150"/>
      <c r="R114" s="199"/>
      <c r="S114" s="199"/>
      <c r="T114" s="199"/>
      <c r="U114" s="199"/>
      <c r="V114" s="155"/>
      <c r="W114" s="199"/>
      <c r="X114" s="151"/>
      <c r="Y114" s="150"/>
      <c r="Z114" s="199"/>
      <c r="AA114" s="149">
        <f t="shared" si="11"/>
        <v>100</v>
      </c>
      <c r="AB114" s="199"/>
      <c r="AC114" s="199"/>
      <c r="AD114" s="149">
        <f>($AD$4-VSLFO.MGO456[[#This Row],[CARTER MP.]])+VSLFO.MGO456[[#This Row],[FAENA EN LTS2]]</f>
        <v>100</v>
      </c>
      <c r="AE114" s="199"/>
      <c r="AF114" s="199"/>
      <c r="AG114" s="149">
        <f t="shared" si="10"/>
        <v>100</v>
      </c>
      <c r="AH114" s="199"/>
      <c r="AI114" s="199"/>
      <c r="AJ114" s="148">
        <f>(AJ113-VSLFO.MGO456[[#This Row],[HIDRAULICO]])+VSLFO.MGO456[[#This Row],[FAENA EN LTS3]]</f>
        <v>100</v>
      </c>
    </row>
    <row r="115" spans="1:36" x14ac:dyDescent="0.25">
      <c r="A115" s="192"/>
      <c r="B115" s="219"/>
      <c r="C115" s="7"/>
      <c r="D115" s="4"/>
      <c r="E115" s="10"/>
      <c r="F115" s="154"/>
      <c r="G115" s="212"/>
      <c r="H115" s="201"/>
      <c r="I115" s="201"/>
      <c r="J115" s="207"/>
      <c r="K115" s="153"/>
      <c r="L115" s="3"/>
      <c r="M115" s="3"/>
      <c r="N115" s="3">
        <f t="shared" si="6"/>
        <v>0</v>
      </c>
      <c r="O115" s="1"/>
      <c r="P115" s="152"/>
      <c r="Q115" s="150"/>
      <c r="R115" s="199"/>
      <c r="S115" s="199"/>
      <c r="T115" s="199"/>
      <c r="U115" s="199"/>
      <c r="V115" s="155"/>
      <c r="W115" s="199"/>
      <c r="X115" s="151"/>
      <c r="Y115" s="150"/>
      <c r="Z115" s="199"/>
      <c r="AA115" s="149">
        <f t="shared" si="11"/>
        <v>100</v>
      </c>
      <c r="AB115" s="199"/>
      <c r="AC115" s="199"/>
      <c r="AD115" s="149">
        <f>($AD$4-VSLFO.MGO456[[#This Row],[CARTER MP.]])+VSLFO.MGO456[[#This Row],[FAENA EN LTS2]]</f>
        <v>100</v>
      </c>
      <c r="AE115" s="199"/>
      <c r="AF115" s="199"/>
      <c r="AG115" s="149">
        <f t="shared" si="10"/>
        <v>100</v>
      </c>
      <c r="AH115" s="199"/>
      <c r="AI115" s="199"/>
      <c r="AJ115" s="148">
        <f>(AJ114-VSLFO.MGO456[[#This Row],[HIDRAULICO]])+VSLFO.MGO456[[#This Row],[FAENA EN LTS3]]</f>
        <v>100</v>
      </c>
    </row>
    <row r="116" spans="1:36" x14ac:dyDescent="0.25">
      <c r="D116" s="305">
        <f>SUBTOTAL(109,VSLFO.MGO456[TIEMPO Hrs])</f>
        <v>744.00000000000011</v>
      </c>
      <c r="K116" s="288">
        <f>SUBTOTAL(109,VSLFO.MGO456[MPAL])</f>
        <v>175.89055555555552</v>
      </c>
      <c r="L116" s="288">
        <f>SUBTOTAL(109,VSLFO.MGO456[AUX.])</f>
        <v>74.57583333333335</v>
      </c>
      <c r="M116" s="288">
        <f>SUBTOTAL(109,VSLFO.MGO456[CALDERA])</f>
        <v>41.594166666666659</v>
      </c>
    </row>
    <row r="117" spans="1:36" x14ac:dyDescent="0.25">
      <c r="N117" s="147">
        <f>SUM(K116:M116)</f>
        <v>292.06055555555554</v>
      </c>
    </row>
    <row r="118" spans="1:36" ht="19.5" thickBot="1" x14ac:dyDescent="0.35">
      <c r="C118" s="146" t="s">
        <v>1360</v>
      </c>
      <c r="D118" s="146"/>
      <c r="E118" s="146"/>
      <c r="F118" s="146"/>
      <c r="G118" s="146"/>
      <c r="N118" s="146"/>
      <c r="O118" s="146"/>
      <c r="S118" s="253" t="s">
        <v>1359</v>
      </c>
    </row>
    <row r="119" spans="1:36" x14ac:dyDescent="0.25">
      <c r="C119" s="375" t="s">
        <v>1358</v>
      </c>
      <c r="D119" s="376"/>
      <c r="E119" s="259" t="s">
        <v>1357</v>
      </c>
      <c r="F119" s="308" t="s">
        <v>1438</v>
      </c>
      <c r="G119" s="400" t="s">
        <v>1450</v>
      </c>
      <c r="H119" s="402" t="s">
        <v>1451</v>
      </c>
      <c r="I119" s="259" t="s">
        <v>1356</v>
      </c>
      <c r="J119" s="404" t="s">
        <v>1452</v>
      </c>
      <c r="K119" s="404" t="s">
        <v>1453</v>
      </c>
      <c r="L119" s="261" t="s">
        <v>1355</v>
      </c>
      <c r="M119" s="262" t="s">
        <v>1441</v>
      </c>
      <c r="N119" s="263" t="s">
        <v>1354</v>
      </c>
      <c r="O119" s="264" t="s">
        <v>1442</v>
      </c>
      <c r="S119" s="379" t="s">
        <v>1353</v>
      </c>
      <c r="T119" s="271" t="s">
        <v>1352</v>
      </c>
      <c r="U119" s="271" t="s">
        <v>1352</v>
      </c>
      <c r="V119" s="271" t="s">
        <v>1352</v>
      </c>
      <c r="W119" s="271" t="s">
        <v>1352</v>
      </c>
      <c r="X119" s="271" t="s">
        <v>1351</v>
      </c>
      <c r="Y119" s="271" t="s">
        <v>1350</v>
      </c>
    </row>
    <row r="120" spans="1:36" ht="15.75" thickBot="1" x14ac:dyDescent="0.3">
      <c r="C120" s="377"/>
      <c r="D120" s="378"/>
      <c r="E120" s="265" t="s">
        <v>1349</v>
      </c>
      <c r="F120" s="309" t="s">
        <v>1439</v>
      </c>
      <c r="G120" s="401"/>
      <c r="H120" s="403"/>
      <c r="I120" s="265" t="s">
        <v>1449</v>
      </c>
      <c r="J120" s="405"/>
      <c r="K120" s="405"/>
      <c r="L120" s="267" t="s">
        <v>1345</v>
      </c>
      <c r="M120" s="268" t="s">
        <v>1345</v>
      </c>
      <c r="N120" s="269" t="s">
        <v>1347</v>
      </c>
      <c r="O120" s="270" t="s">
        <v>1439</v>
      </c>
      <c r="S120" s="380"/>
      <c r="T120" s="272" t="s">
        <v>1447</v>
      </c>
      <c r="U120" s="272" t="s">
        <v>1346</v>
      </c>
      <c r="V120" s="272" t="s">
        <v>1445</v>
      </c>
      <c r="W120" s="272" t="s">
        <v>1446</v>
      </c>
      <c r="X120" s="272" t="s">
        <v>1344</v>
      </c>
      <c r="Y120" s="272" t="s">
        <v>1343</v>
      </c>
    </row>
    <row r="121" spans="1:36" ht="15.75" thickBot="1" x14ac:dyDescent="0.3">
      <c r="C121" s="242" t="s">
        <v>1051</v>
      </c>
      <c r="D121" s="252"/>
      <c r="E121" s="243">
        <f>SUMIF($E$6:$E$115,C121,$D$6:$D$115)</f>
        <v>47.199999999999996</v>
      </c>
      <c r="F121" s="144"/>
      <c r="G121" s="310"/>
      <c r="H121" s="310"/>
      <c r="I121" s="274">
        <f t="shared" ref="I121:I127" ca="1" si="12">SUMIF($E$6:$E$115,C121,$K$6:$K$115)+SUMIF($E$6:$E$115,C121,$L$6:$L$115)+SUMIF($E$6:$E$116,C121,$M$6:$M$115)</f>
        <v>8.85</v>
      </c>
      <c r="J121" s="316">
        <f t="shared" ref="J121:J127" ca="1" si="13">I121*24/E121</f>
        <v>4.5</v>
      </c>
      <c r="K121" s="314">
        <v>4.5</v>
      </c>
      <c r="L121" s="300"/>
      <c r="M121" s="244">
        <f>E121*K121/24</f>
        <v>8.85</v>
      </c>
      <c r="N121" s="283">
        <f t="shared" ref="N121:N127" ca="1" si="14">M121-I121</f>
        <v>0</v>
      </c>
      <c r="O121" s="301"/>
      <c r="R121" s="141"/>
      <c r="S121" s="257" t="s">
        <v>1342</v>
      </c>
      <c r="T121" s="140">
        <f>SUM(U5:U115)</f>
        <v>29.600000000000005</v>
      </c>
      <c r="U121" s="293">
        <f>T121*24/E122</f>
        <v>9.359683794466406</v>
      </c>
      <c r="V121" s="139">
        <v>6</v>
      </c>
      <c r="W121" s="295">
        <f>E122*V121/24</f>
        <v>18.974999999999998</v>
      </c>
      <c r="X121" s="293">
        <f>6-U121</f>
        <v>-3.359683794466406</v>
      </c>
      <c r="Y121" s="296">
        <f>W121-T121</f>
        <v>-10.625000000000007</v>
      </c>
    </row>
    <row r="122" spans="1:36" ht="15.75" thickBot="1" x14ac:dyDescent="0.3">
      <c r="C122" s="245" t="s">
        <v>966</v>
      </c>
      <c r="D122" s="249"/>
      <c r="E122" s="243">
        <f t="shared" ref="E122:E127" si="15">SUMIF($E$6:$E$115,C122,$D$6:$D$115)</f>
        <v>75.899999999999991</v>
      </c>
      <c r="F122" s="256"/>
      <c r="G122" s="311"/>
      <c r="H122" s="312"/>
      <c r="I122" s="274">
        <f t="shared" ca="1" si="12"/>
        <v>14.231249999999999</v>
      </c>
      <c r="J122" s="317">
        <f t="shared" ca="1" si="13"/>
        <v>4.5</v>
      </c>
      <c r="K122" s="315">
        <v>4.5</v>
      </c>
      <c r="L122" s="282"/>
      <c r="M122" s="3">
        <f>E122*4.5/24</f>
        <v>14.231249999999998</v>
      </c>
      <c r="N122" s="284">
        <f t="shared" ca="1" si="14"/>
        <v>0</v>
      </c>
      <c r="O122" s="290"/>
      <c r="S122" s="258" t="s">
        <v>1341</v>
      </c>
      <c r="T122" s="135">
        <f>SUM(R5:R115)</f>
        <v>0</v>
      </c>
      <c r="U122" s="293">
        <f>T122*24/E123</f>
        <v>0</v>
      </c>
      <c r="V122" s="1"/>
      <c r="W122" s="1"/>
      <c r="X122" s="1"/>
      <c r="Y122" s="255"/>
    </row>
    <row r="123" spans="1:36" ht="15.75" thickBot="1" x14ac:dyDescent="0.3">
      <c r="C123" s="245" t="s">
        <v>1340</v>
      </c>
      <c r="D123" s="249"/>
      <c r="E123" s="243">
        <f t="shared" si="15"/>
        <v>45</v>
      </c>
      <c r="F123" s="256">
        <f>SUMIF($E$6:$E$115,C123,$G$6:$G$115)</f>
        <v>466</v>
      </c>
      <c r="G123" s="311">
        <f>F123/E123</f>
        <v>10.355555555555556</v>
      </c>
      <c r="H123" s="312">
        <v>12.5</v>
      </c>
      <c r="I123" s="274">
        <f t="shared" ca="1" si="12"/>
        <v>44.270833333333336</v>
      </c>
      <c r="J123" s="317">
        <f t="shared" ca="1" si="13"/>
        <v>23.611111111111111</v>
      </c>
      <c r="K123" s="315">
        <v>30.5</v>
      </c>
      <c r="L123" s="282">
        <f>F123/H123</f>
        <v>37.28</v>
      </c>
      <c r="M123" s="3">
        <f>L123*K123/24</f>
        <v>47.376666666666665</v>
      </c>
      <c r="N123" s="285">
        <f t="shared" ca="1" si="14"/>
        <v>3.1058333333333294</v>
      </c>
      <c r="O123" s="290">
        <f>L123-E123</f>
        <v>-7.7199999999999989</v>
      </c>
      <c r="S123" s="258" t="s">
        <v>1339</v>
      </c>
      <c r="T123" s="135">
        <f>SUM(S5:S115)</f>
        <v>0</v>
      </c>
      <c r="U123" s="293">
        <f>T123*24/E124</f>
        <v>0</v>
      </c>
      <c r="V123" s="1"/>
      <c r="W123" s="1"/>
      <c r="X123" s="1"/>
      <c r="Y123" s="255"/>
    </row>
    <row r="124" spans="1:36" ht="15.75" thickBot="1" x14ac:dyDescent="0.3">
      <c r="C124" s="245" t="s">
        <v>1338</v>
      </c>
      <c r="D124" s="249"/>
      <c r="E124" s="243">
        <f t="shared" si="15"/>
        <v>140.6</v>
      </c>
      <c r="F124" s="256">
        <f>SUMIF($E$6:$E$115,C124,$G$6:$G$115)</f>
        <v>1400</v>
      </c>
      <c r="G124" s="311">
        <f>F124/E124</f>
        <v>9.9573257467994321</v>
      </c>
      <c r="H124" s="312">
        <v>12</v>
      </c>
      <c r="I124" s="274">
        <f t="shared" ca="1" si="12"/>
        <v>147.51958333333332</v>
      </c>
      <c r="J124" s="317">
        <f t="shared" ca="1" si="13"/>
        <v>25.181152204836412</v>
      </c>
      <c r="K124" s="315">
        <v>30.5</v>
      </c>
      <c r="L124" s="282">
        <f>F124/H124</f>
        <v>116.66666666666667</v>
      </c>
      <c r="M124" s="3">
        <f>L124*K124/24</f>
        <v>148.26388888888889</v>
      </c>
      <c r="N124" s="286">
        <f t="shared" ca="1" si="14"/>
        <v>0.74430555555557021</v>
      </c>
      <c r="O124" s="290">
        <f>L124-E124</f>
        <v>-23.933333333333323</v>
      </c>
      <c r="S124" s="258" t="s">
        <v>1337</v>
      </c>
      <c r="T124" s="135">
        <f>SUM(T5:T115)</f>
        <v>0</v>
      </c>
      <c r="U124" s="293">
        <f>T124*24/E125</f>
        <v>0</v>
      </c>
      <c r="V124" s="1"/>
      <c r="W124" s="1"/>
      <c r="X124" s="1"/>
      <c r="Y124" s="255"/>
    </row>
    <row r="125" spans="1:36" ht="15.75" thickBot="1" x14ac:dyDescent="0.3">
      <c r="C125" s="245" t="s">
        <v>351</v>
      </c>
      <c r="D125" s="249"/>
      <c r="E125" s="243">
        <f t="shared" si="15"/>
        <v>364.2</v>
      </c>
      <c r="F125" s="256"/>
      <c r="G125" s="311"/>
      <c r="H125" s="312"/>
      <c r="I125" s="274">
        <f t="shared" ca="1" si="12"/>
        <v>60.523749999999993</v>
      </c>
      <c r="J125" s="317">
        <f t="shared" ca="1" si="13"/>
        <v>3.9883855024711692</v>
      </c>
      <c r="K125" s="315">
        <v>4.5</v>
      </c>
      <c r="L125" s="282"/>
      <c r="M125" s="3">
        <f>E125*K125/24</f>
        <v>68.287499999999994</v>
      </c>
      <c r="N125" s="284">
        <f t="shared" ca="1" si="14"/>
        <v>7.7637500000000017</v>
      </c>
      <c r="O125" s="290"/>
      <c r="S125" s="250" t="s">
        <v>1370</v>
      </c>
      <c r="T125" s="299">
        <f>SUM(Q5:Q115)</f>
        <v>0</v>
      </c>
      <c r="U125" s="293">
        <f>T125*24/E126</f>
        <v>0</v>
      </c>
      <c r="V125" s="143"/>
      <c r="W125" s="143"/>
      <c r="X125" s="143"/>
      <c r="Y125" s="142"/>
    </row>
    <row r="126" spans="1:36" ht="15.75" thickBot="1" x14ac:dyDescent="0.3">
      <c r="C126" s="188" t="s">
        <v>1057</v>
      </c>
      <c r="D126" s="240"/>
      <c r="E126" s="243">
        <f t="shared" si="15"/>
        <v>26.000000000000011</v>
      </c>
      <c r="F126" s="256"/>
      <c r="G126" s="311"/>
      <c r="H126" s="312"/>
      <c r="I126" s="274">
        <f t="shared" ca="1" si="12"/>
        <v>8.3313888888888901</v>
      </c>
      <c r="J126" s="317">
        <f t="shared" ca="1" si="13"/>
        <v>7.6905128205128186</v>
      </c>
      <c r="K126" s="315">
        <v>4.5</v>
      </c>
      <c r="L126" s="282"/>
      <c r="M126" s="3">
        <f>E126*K126/24</f>
        <v>4.8750000000000018</v>
      </c>
      <c r="N126" s="284">
        <f t="shared" ca="1" si="14"/>
        <v>-3.4563888888888883</v>
      </c>
      <c r="O126" s="290"/>
      <c r="U126" s="239"/>
    </row>
    <row r="127" spans="1:36" ht="15.75" thickBot="1" x14ac:dyDescent="0.3">
      <c r="C127" s="246" t="s">
        <v>1425</v>
      </c>
      <c r="D127" s="251"/>
      <c r="E127" s="243">
        <f t="shared" si="15"/>
        <v>45.099999999999994</v>
      </c>
      <c r="F127" s="142"/>
      <c r="G127" s="313"/>
      <c r="H127" s="313"/>
      <c r="I127" s="274">
        <f t="shared" ca="1" si="12"/>
        <v>8.3337500000000002</v>
      </c>
      <c r="J127" s="318">
        <f t="shared" ca="1" si="13"/>
        <v>4.4348115299334818</v>
      </c>
      <c r="K127" s="315">
        <v>4.5</v>
      </c>
      <c r="L127" s="302"/>
      <c r="M127" s="278">
        <f>E127*K127/24</f>
        <v>8.4562499999999989</v>
      </c>
      <c r="N127" s="287">
        <f t="shared" ca="1" si="14"/>
        <v>0.12249999999999872</v>
      </c>
      <c r="O127" s="291"/>
    </row>
    <row r="128" spans="1:36" ht="15.75" thickBot="1" x14ac:dyDescent="0.3">
      <c r="H128" s="298"/>
      <c r="I128" s="298"/>
      <c r="J128" s="288"/>
      <c r="K128" s="288"/>
      <c r="L128" s="288"/>
      <c r="M128" s="288"/>
      <c r="N128" s="288"/>
      <c r="O128" s="288"/>
    </row>
    <row r="129" spans="3:21" ht="15.75" thickBot="1" x14ac:dyDescent="0.3">
      <c r="C129" s="373" t="s">
        <v>31</v>
      </c>
      <c r="D129" s="374"/>
      <c r="E129" s="281">
        <f>SUM(E121:E127)</f>
        <v>744</v>
      </c>
      <c r="F129" s="273">
        <f>SUM(F121:F127)</f>
        <v>1866</v>
      </c>
      <c r="G129" s="281">
        <f>SUM(G121:G127)/2</f>
        <v>10.156440651177494</v>
      </c>
      <c r="I129" s="279">
        <f ca="1">SUM(I121:I127)</f>
        <v>292.06055555555554</v>
      </c>
      <c r="K129" s="303"/>
      <c r="L129" s="303"/>
      <c r="M129" s="281">
        <f>SUM(M121:M127)</f>
        <v>300.34055555555557</v>
      </c>
      <c r="N129" s="289">
        <f ca="1">SUM(N121:N127)</f>
        <v>8.2800000000000118</v>
      </c>
      <c r="O129" s="292">
        <f>SUM(O121:O127)</f>
        <v>-31.653333333333322</v>
      </c>
      <c r="S129" s="137" t="s">
        <v>31</v>
      </c>
      <c r="T129" s="137">
        <f>SUM(T121:T125)</f>
        <v>29.600000000000005</v>
      </c>
      <c r="U129" s="289">
        <f>SUM(U121:U125)</f>
        <v>9.359683794466406</v>
      </c>
    </row>
    <row r="138" spans="3:21" x14ac:dyDescent="0.25">
      <c r="I138"/>
    </row>
  </sheetData>
  <sheetProtection password="E683" sheet="1" objects="1" scenarios="1"/>
  <protectedRanges>
    <protectedRange sqref="AJ4" name="Rango15"/>
    <protectedRange sqref="AH6:AI115" name="Rango14"/>
    <protectedRange sqref="AG4" name="Rango13"/>
    <protectedRange sqref="AE6:AF115" name="Rango12"/>
    <protectedRange sqref="AD4" name="Rango11"/>
    <protectedRange sqref="AB6:AC115" name="Rango10"/>
    <protectedRange sqref="AA4" name="Rango9"/>
    <protectedRange sqref="Y6:Z115" name="Rango8"/>
    <protectedRange sqref="X4" name="Rango7"/>
    <protectedRange sqref="W6:W115" name="Rango6"/>
    <protectedRange sqref="Q6:U115" name="Rango5"/>
    <protectedRange sqref="P4" name="Rango4"/>
    <protectedRange sqref="O6:O115" name="Rango3"/>
    <protectedRange sqref="E6:M115" name="Rango2"/>
    <protectedRange sqref="A6:C115" name="Rango1"/>
  </protectedRanges>
  <mergeCells count="13">
    <mergeCell ref="C129:D129"/>
    <mergeCell ref="C119:D120"/>
    <mergeCell ref="S119:S120"/>
    <mergeCell ref="K3:P3"/>
    <mergeCell ref="Q3:X3"/>
    <mergeCell ref="Y3:AJ3"/>
    <mergeCell ref="K4:O4"/>
    <mergeCell ref="Q4:W4"/>
    <mergeCell ref="G119:G120"/>
    <mergeCell ref="H119:H120"/>
    <mergeCell ref="J119:J120"/>
    <mergeCell ref="K119:K120"/>
    <mergeCell ref="G3:J4"/>
  </mergeCells>
  <dataValidations count="1">
    <dataValidation type="list" allowBlank="1" showInputMessage="1" showErrorMessage="1" sqref="E6:E115" xr:uid="{00000000-0002-0000-0600-000000000000}">
      <formula1>$C$121:$C$128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39"/>
  <sheetViews>
    <sheetView zoomScale="85" zoomScaleNormal="85" workbookViewId="0">
      <pane xSplit="6" ySplit="5" topLeftCell="G57" activePane="bottomRight" state="frozen"/>
      <selection pane="topRight" activeCell="G1" sqref="G1"/>
      <selection pane="bottomLeft" activeCell="A6" sqref="A6"/>
      <selection pane="bottomRight" activeCell="N7" sqref="N7"/>
    </sheetView>
  </sheetViews>
  <sheetFormatPr baseColWidth="10" defaultRowHeight="15" x14ac:dyDescent="0.25"/>
  <cols>
    <col min="1" max="1" width="10.42578125" customWidth="1"/>
    <col min="2" max="2" width="12.7109375" customWidth="1"/>
    <col min="3" max="3" width="11.7109375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8" customWidth="1"/>
    <col min="10" max="10" width="15.7109375" customWidth="1"/>
    <col min="11" max="11" width="15.85546875" customWidth="1"/>
    <col min="12" max="14" width="11.57031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2" max="22" width="9.2851562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6" ht="15.75" thickBot="1" x14ac:dyDescent="0.3"/>
    <row r="2" spans="1:36" ht="15.75" customHeight="1" thickBot="1" x14ac:dyDescent="0.3">
      <c r="A2" s="191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321"/>
    </row>
    <row r="3" spans="1:36" ht="15.75" thickBot="1" x14ac:dyDescent="0.3">
      <c r="F3" s="330"/>
      <c r="G3" s="406" t="s">
        <v>1385</v>
      </c>
      <c r="H3" s="407"/>
      <c r="I3" s="407"/>
      <c r="J3" s="408"/>
      <c r="K3" s="386" t="s">
        <v>1384</v>
      </c>
      <c r="L3" s="387"/>
      <c r="M3" s="387"/>
      <c r="N3" s="387"/>
      <c r="O3" s="387"/>
      <c r="P3" s="388"/>
      <c r="Q3" s="389" t="s">
        <v>1383</v>
      </c>
      <c r="R3" s="390"/>
      <c r="S3" s="390"/>
      <c r="T3" s="390"/>
      <c r="U3" s="390"/>
      <c r="V3" s="390"/>
      <c r="W3" s="390"/>
      <c r="X3" s="391"/>
      <c r="Y3" s="392" t="s">
        <v>1462</v>
      </c>
      <c r="Z3" s="393"/>
      <c r="AA3" s="393"/>
      <c r="AB3" s="393"/>
      <c r="AC3" s="393"/>
      <c r="AD3" s="393"/>
      <c r="AE3" s="393"/>
      <c r="AF3" s="393"/>
      <c r="AG3" s="393"/>
      <c r="AH3" s="393"/>
      <c r="AI3" s="393"/>
      <c r="AJ3" s="394"/>
    </row>
    <row r="4" spans="1:36" ht="15.75" thickBot="1" x14ac:dyDescent="0.3">
      <c r="D4" s="8"/>
      <c r="E4" s="17"/>
      <c r="F4" s="331"/>
      <c r="G4" s="383"/>
      <c r="H4" s="409"/>
      <c r="I4" s="409"/>
      <c r="J4" s="385"/>
      <c r="K4" s="410" t="s">
        <v>1382</v>
      </c>
      <c r="L4" s="411"/>
      <c r="M4" s="411"/>
      <c r="N4" s="411"/>
      <c r="O4" s="412"/>
      <c r="P4" s="334"/>
      <c r="Q4" s="397" t="s">
        <v>1381</v>
      </c>
      <c r="R4" s="398"/>
      <c r="S4" s="398"/>
      <c r="T4" s="398"/>
      <c r="U4" s="398"/>
      <c r="V4" s="398"/>
      <c r="W4" s="413"/>
      <c r="X4" s="334"/>
      <c r="Y4" s="414" t="s">
        <v>1380</v>
      </c>
      <c r="Z4" s="415"/>
      <c r="AA4" s="333"/>
      <c r="AB4" s="414" t="s">
        <v>1380</v>
      </c>
      <c r="AC4" s="415"/>
      <c r="AD4" s="333"/>
      <c r="AE4" s="414" t="s">
        <v>1380</v>
      </c>
      <c r="AF4" s="415"/>
      <c r="AG4" s="332"/>
      <c r="AH4" s="416" t="s">
        <v>1380</v>
      </c>
      <c r="AI4" s="417"/>
      <c r="AJ4" s="332"/>
    </row>
    <row r="5" spans="1:36" ht="26.25" thickBot="1" x14ac:dyDescent="0.3">
      <c r="A5" s="322" t="s">
        <v>1379</v>
      </c>
      <c r="B5" s="323" t="s">
        <v>0</v>
      </c>
      <c r="C5" s="184" t="s">
        <v>1</v>
      </c>
      <c r="D5" s="184" t="s">
        <v>135</v>
      </c>
      <c r="E5" s="184" t="s">
        <v>1358</v>
      </c>
      <c r="F5" s="183" t="s">
        <v>1378</v>
      </c>
      <c r="G5" s="325" t="s">
        <v>1377</v>
      </c>
      <c r="H5" s="326" t="s">
        <v>1376</v>
      </c>
      <c r="I5" s="326" t="s">
        <v>1375</v>
      </c>
      <c r="J5" s="327" t="s">
        <v>1321</v>
      </c>
      <c r="K5" s="182" t="s">
        <v>1374</v>
      </c>
      <c r="L5" s="181" t="s">
        <v>1373</v>
      </c>
      <c r="M5" s="181" t="s">
        <v>1339</v>
      </c>
      <c r="N5" s="181" t="s">
        <v>1372</v>
      </c>
      <c r="O5" s="181" t="s">
        <v>27</v>
      </c>
      <c r="P5" s="324" t="s">
        <v>1371</v>
      </c>
      <c r="Q5" s="180" t="s">
        <v>1370</v>
      </c>
      <c r="R5" s="179" t="s">
        <v>1369</v>
      </c>
      <c r="S5" s="179" t="s">
        <v>1368</v>
      </c>
      <c r="T5" s="178" t="s">
        <v>1367</v>
      </c>
      <c r="U5" s="178" t="s">
        <v>1366</v>
      </c>
      <c r="V5" s="178" t="s">
        <v>31</v>
      </c>
      <c r="W5" s="177" t="s">
        <v>1365</v>
      </c>
      <c r="X5" s="50" t="s">
        <v>14</v>
      </c>
      <c r="Y5" s="175" t="s">
        <v>1364</v>
      </c>
      <c r="Z5" s="176" t="s">
        <v>1454</v>
      </c>
      <c r="AA5" s="175" t="s">
        <v>1455</v>
      </c>
      <c r="AB5" s="174" t="s">
        <v>1363</v>
      </c>
      <c r="AC5" s="174" t="s">
        <v>1456</v>
      </c>
      <c r="AD5" s="174" t="s">
        <v>1457</v>
      </c>
      <c r="AE5" s="174" t="s">
        <v>1362</v>
      </c>
      <c r="AF5" s="174" t="s">
        <v>1458</v>
      </c>
      <c r="AG5" s="174" t="s">
        <v>1459</v>
      </c>
      <c r="AH5" s="174" t="s">
        <v>1361</v>
      </c>
      <c r="AI5" s="173" t="s">
        <v>1460</v>
      </c>
      <c r="AJ5" s="172" t="s">
        <v>1461</v>
      </c>
    </row>
    <row r="6" spans="1:36" x14ac:dyDescent="0.25">
      <c r="A6" s="226"/>
      <c r="B6" s="218"/>
      <c r="C6" s="171"/>
      <c r="D6" s="275">
        <v>0</v>
      </c>
      <c r="E6" s="10"/>
      <c r="F6" s="170"/>
      <c r="G6" s="210"/>
      <c r="H6" s="200"/>
      <c r="I6" s="200"/>
      <c r="J6" s="205"/>
      <c r="K6" s="169"/>
      <c r="L6" s="3"/>
      <c r="M6" s="168"/>
      <c r="N6" s="168">
        <v>0</v>
      </c>
      <c r="O6" s="139"/>
      <c r="P6" s="167">
        <f>$P$4</f>
        <v>0</v>
      </c>
      <c r="Q6" s="165"/>
      <c r="R6" s="5"/>
      <c r="S6" s="5"/>
      <c r="T6" s="5"/>
      <c r="U6" s="5"/>
      <c r="V6" s="5">
        <f>SUM(VSLFO.MGO4567[[#This Row],[MPAL2]:[GI]])</f>
        <v>0</v>
      </c>
      <c r="W6" s="5"/>
      <c r="X6" s="166">
        <f>X4</f>
        <v>0</v>
      </c>
      <c r="Y6" s="165"/>
      <c r="Z6" s="5"/>
      <c r="AA6" s="164">
        <f>$AA$4</f>
        <v>0</v>
      </c>
      <c r="AB6" s="5"/>
      <c r="AC6" s="5"/>
      <c r="AD6" s="164">
        <f>$AD$4</f>
        <v>0</v>
      </c>
      <c r="AE6" s="5"/>
      <c r="AF6" s="5"/>
      <c r="AG6" s="164">
        <f>$AG$4</f>
        <v>0</v>
      </c>
      <c r="AH6" s="5"/>
      <c r="AI6" s="5"/>
      <c r="AJ6" s="163">
        <f>$AJ$4</f>
        <v>0</v>
      </c>
    </row>
    <row r="7" spans="1:36" x14ac:dyDescent="0.25">
      <c r="A7" s="135"/>
      <c r="B7" s="229"/>
      <c r="C7" s="7"/>
      <c r="D7" s="4">
        <f>IF(VSLFO.MGO4567[[#This Row],[FECHA]]-B6=1,((VSLFO.MGO4567[[#This Row],[HORA]]-C6)*24)+24,(VSLFO.MGO4567[[#This Row],[HORA]]-C6)*24)</f>
        <v>0</v>
      </c>
      <c r="E7" s="10"/>
      <c r="F7" s="10"/>
      <c r="G7" s="211"/>
      <c r="H7" s="306"/>
      <c r="I7" s="93"/>
      <c r="J7" s="206"/>
      <c r="K7" s="169"/>
      <c r="L7" s="3"/>
      <c r="M7" s="13"/>
      <c r="N7" s="3">
        <f t="shared" ref="N7:N70" si="0">K7+L7+M7</f>
        <v>0</v>
      </c>
      <c r="O7" s="1"/>
      <c r="P7" s="152">
        <f>(P6 -N7)+O7</f>
        <v>0</v>
      </c>
      <c r="Q7" s="150"/>
      <c r="R7" s="304"/>
      <c r="S7" s="304"/>
      <c r="T7" s="304"/>
      <c r="U7" s="304"/>
      <c r="V7" s="304">
        <f>SUM(Q7:U7)</f>
        <v>0</v>
      </c>
      <c r="W7" s="304"/>
      <c r="X7" s="151">
        <f>(X6-VSLFO.MGO4567[[#This Row],[TOTAL]])+VSLFO.MGO4567[[#This Row],[FAENA2]]</f>
        <v>0</v>
      </c>
      <c r="Y7" s="150"/>
      <c r="Z7" s="304"/>
      <c r="AA7" s="149">
        <f>(AA6-VSLFO.MGO4567[[#This Row],[CYLINDER MP]])+VSLFO.MGO4567[[#This Row],[FAENA EN LTS]]</f>
        <v>0</v>
      </c>
      <c r="AB7" s="304"/>
      <c r="AC7" s="304"/>
      <c r="AD7" s="149">
        <f>(AD6-VSLFO.MGO4567[[#This Row],[CARTER MP.]])+VSLFO.MGO4567[[#This Row],[FAENA EN LTS2]]</f>
        <v>0</v>
      </c>
      <c r="AE7" s="304"/>
      <c r="AF7" s="304"/>
      <c r="AG7" s="149">
        <f>(AG6-VSLFO.MGO4567[[#This Row],[MOT AUX]])+VSLFO.MGO4567[[#This Row],[FAENA EN  LTS]]</f>
        <v>0</v>
      </c>
      <c r="AH7" s="304"/>
      <c r="AI7" s="304"/>
      <c r="AJ7" s="148">
        <f>(AJ6-VSLFO.MGO4567[[#This Row],[HIDRAULICO]])+VSLFO.MGO4567[[#This Row],[FAENA EN LTS3]]</f>
        <v>0</v>
      </c>
    </row>
    <row r="8" spans="1:36" x14ac:dyDescent="0.25">
      <c r="A8" s="135"/>
      <c r="B8" s="219"/>
      <c r="C8" s="7"/>
      <c r="D8" s="4">
        <f>IF(VSLFO.MGO4567[[#This Row],[FECHA]]-B7=1,((VSLFO.MGO4567[[#This Row],[HORA]]-C7)*24)+24,(VSLFO.MGO4567[[#This Row],[HORA]]-C7)*24)</f>
        <v>0</v>
      </c>
      <c r="E8" s="10"/>
      <c r="F8" s="10"/>
      <c r="G8" s="212"/>
      <c r="H8" s="201"/>
      <c r="I8" s="201"/>
      <c r="J8" s="207"/>
      <c r="K8" s="169"/>
      <c r="L8" s="3"/>
      <c r="M8" s="3"/>
      <c r="N8" s="3">
        <f t="shared" si="0"/>
        <v>0</v>
      </c>
      <c r="O8" s="1"/>
      <c r="P8" s="152">
        <f>(P7 -N8)+O8</f>
        <v>0</v>
      </c>
      <c r="Q8" s="150"/>
      <c r="R8" s="304"/>
      <c r="S8" s="304"/>
      <c r="T8" s="304"/>
      <c r="U8" s="304"/>
      <c r="V8" s="304">
        <f t="shared" ref="V8:V36" si="1">SUM(Q8:U8)</f>
        <v>0</v>
      </c>
      <c r="W8" s="304"/>
      <c r="X8" s="151">
        <f>(X7-VSLFO.MGO4567[[#This Row],[TOTAL]])+VSLFO.MGO4567[[#This Row],[FAENA2]]</f>
        <v>0</v>
      </c>
      <c r="Y8" s="150"/>
      <c r="Z8" s="304"/>
      <c r="AA8" s="149">
        <f>(AA7-VSLFO.MGO4567[[#This Row],[CYLINDER MP]])+VSLFO.MGO4567[[#This Row],[FAENA EN LTS]]</f>
        <v>0</v>
      </c>
      <c r="AB8" s="304"/>
      <c r="AC8" s="304"/>
      <c r="AD8" s="149">
        <f>(AD7-VSLFO.MGO4567[[#This Row],[CARTER MP.]])+VSLFO.MGO4567[[#This Row],[FAENA EN LTS2]]</f>
        <v>0</v>
      </c>
      <c r="AE8" s="304"/>
      <c r="AF8" s="304"/>
      <c r="AG8" s="149">
        <f>(AG7-VSLFO.MGO4567[[#This Row],[MOT AUX]])+VSLFO.MGO4567[[#This Row],[FAENA EN  LTS]]</f>
        <v>0</v>
      </c>
      <c r="AH8" s="304"/>
      <c r="AI8" s="304"/>
      <c r="AJ8" s="148">
        <f>(AJ7-VSLFO.MGO4567[[#This Row],[HIDRAULICO]])+VSLFO.MGO4567[[#This Row],[FAENA EN LTS3]]</f>
        <v>0</v>
      </c>
    </row>
    <row r="9" spans="1:36" x14ac:dyDescent="0.25">
      <c r="A9" s="135"/>
      <c r="B9" s="219"/>
      <c r="C9" s="7"/>
      <c r="D9" s="4">
        <f>IF(VSLFO.MGO4567[[#This Row],[FECHA]]-B8=1,((VSLFO.MGO4567[[#This Row],[HORA]]-C8)*24)+24,(VSLFO.MGO4567[[#This Row],[HORA]]-C8)*24)</f>
        <v>0</v>
      </c>
      <c r="E9" s="10"/>
      <c r="F9" s="10"/>
      <c r="G9" s="212"/>
      <c r="H9" s="201"/>
      <c r="I9" s="201"/>
      <c r="J9" s="207"/>
      <c r="K9" s="153"/>
      <c r="L9" s="3"/>
      <c r="M9" s="3"/>
      <c r="N9" s="3">
        <f>K9+L9+M9</f>
        <v>0</v>
      </c>
      <c r="O9" s="1"/>
      <c r="P9" s="152">
        <f>(P8 -N9)+O9</f>
        <v>0</v>
      </c>
      <c r="Q9" s="150"/>
      <c r="R9" s="304"/>
      <c r="S9" s="304"/>
      <c r="T9" s="304"/>
      <c r="U9" s="304"/>
      <c r="V9" s="304">
        <f t="shared" si="1"/>
        <v>0</v>
      </c>
      <c r="W9" s="304"/>
      <c r="X9" s="151">
        <f>(X8-VSLFO.MGO4567[[#This Row],[TOTAL]])+VSLFO.MGO4567[[#This Row],[FAENA2]]</f>
        <v>0</v>
      </c>
      <c r="Y9" s="150"/>
      <c r="Z9" s="304"/>
      <c r="AA9" s="149">
        <f>(AA8-VSLFO.MGO4567[[#This Row],[CYLINDER MP]])+VSLFO.MGO4567[[#This Row],[FAENA EN LTS]]</f>
        <v>0</v>
      </c>
      <c r="AB9" s="304"/>
      <c r="AC9" s="304"/>
      <c r="AD9" s="149">
        <f>(AD8-VSLFO.MGO4567[[#This Row],[CARTER MP.]])+VSLFO.MGO4567[[#This Row],[FAENA EN LTS2]]</f>
        <v>0</v>
      </c>
      <c r="AE9" s="304"/>
      <c r="AF9" s="304"/>
      <c r="AG9" s="149">
        <f>(AG8-VSLFO.MGO4567[[#This Row],[MOT AUX]])+VSLFO.MGO4567[[#This Row],[FAENA EN  LTS]]</f>
        <v>0</v>
      </c>
      <c r="AH9" s="304"/>
      <c r="AI9" s="304"/>
      <c r="AJ9" s="148">
        <f>(AJ8-VSLFO.MGO4567[[#This Row],[HIDRAULICO]])+VSLFO.MGO4567[[#This Row],[FAENA EN LTS3]]</f>
        <v>0</v>
      </c>
    </row>
    <row r="10" spans="1:36" x14ac:dyDescent="0.25">
      <c r="A10" s="135"/>
      <c r="B10" s="219"/>
      <c r="C10" s="7"/>
      <c r="D10" s="4">
        <f>IF(VSLFO.MGO4567[[#This Row],[FECHA]]-B9=1,((VSLFO.MGO4567[[#This Row],[HORA]]-C9)*24)+24,(VSLFO.MGO4567[[#This Row],[HORA]]-C9)*24)</f>
        <v>0</v>
      </c>
      <c r="E10" s="10"/>
      <c r="F10" s="10"/>
      <c r="G10" s="213"/>
      <c r="H10" s="202"/>
      <c r="I10" s="202"/>
      <c r="J10" s="208"/>
      <c r="K10" s="153"/>
      <c r="L10" s="3"/>
      <c r="M10" s="3"/>
      <c r="N10" s="3">
        <f t="shared" si="0"/>
        <v>0</v>
      </c>
      <c r="O10" s="1"/>
      <c r="P10" s="152">
        <f t="shared" ref="P10:P73" si="2">(P9 -N10)+O10</f>
        <v>0</v>
      </c>
      <c r="Q10" s="150"/>
      <c r="R10" s="304"/>
      <c r="S10" s="304"/>
      <c r="T10" s="304"/>
      <c r="U10" s="304"/>
      <c r="V10" s="304">
        <f t="shared" si="1"/>
        <v>0</v>
      </c>
      <c r="W10" s="304"/>
      <c r="X10" s="151">
        <f>(X9-VSLFO.MGO4567[[#This Row],[TOTAL]])+VSLFO.MGO4567[[#This Row],[FAENA2]]</f>
        <v>0</v>
      </c>
      <c r="Y10" s="150"/>
      <c r="Z10" s="304"/>
      <c r="AA10" s="149">
        <f>(AA9-VSLFO.MGO4567[[#This Row],[CYLINDER MP]])+VSLFO.MGO4567[[#This Row],[FAENA EN LTS]]</f>
        <v>0</v>
      </c>
      <c r="AB10" s="304"/>
      <c r="AC10" s="304"/>
      <c r="AD10" s="149">
        <f>(AD9-VSLFO.MGO4567[[#This Row],[CARTER MP.]])+VSLFO.MGO4567[[#This Row],[FAENA EN LTS2]]</f>
        <v>0</v>
      </c>
      <c r="AE10" s="304"/>
      <c r="AF10" s="304"/>
      <c r="AG10" s="149">
        <f>(AG9-VSLFO.MGO4567[[#This Row],[MOT AUX]])+VSLFO.MGO4567[[#This Row],[FAENA EN  LTS]]</f>
        <v>0</v>
      </c>
      <c r="AH10" s="304"/>
      <c r="AI10" s="304"/>
      <c r="AJ10" s="148">
        <f>(AJ9-VSLFO.MGO4567[[#This Row],[HIDRAULICO]])+VSLFO.MGO4567[[#This Row],[FAENA EN LTS3]]</f>
        <v>0</v>
      </c>
    </row>
    <row r="11" spans="1:36" x14ac:dyDescent="0.25">
      <c r="A11" s="135"/>
      <c r="B11" s="219"/>
      <c r="C11" s="7"/>
      <c r="D11" s="4">
        <f>IF(VSLFO.MGO4567[[#This Row],[FECHA]]-B10=1,((VSLFO.MGO4567[[#This Row],[HORA]]-C10)*24)+24,(VSLFO.MGO4567[[#This Row],[HORA]]-C10)*24)</f>
        <v>0</v>
      </c>
      <c r="E11" s="10"/>
      <c r="F11" s="10"/>
      <c r="G11" s="213"/>
      <c r="H11" s="202"/>
      <c r="I11" s="202"/>
      <c r="J11" s="208"/>
      <c r="K11" s="153"/>
      <c r="L11" s="3"/>
      <c r="M11" s="3"/>
      <c r="N11" s="3">
        <f t="shared" si="0"/>
        <v>0</v>
      </c>
      <c r="O11" s="1"/>
      <c r="P11" s="152">
        <f t="shared" si="2"/>
        <v>0</v>
      </c>
      <c r="Q11" s="150"/>
      <c r="R11" s="304"/>
      <c r="S11" s="304"/>
      <c r="T11" s="304"/>
      <c r="U11" s="304"/>
      <c r="V11" s="304">
        <f t="shared" si="1"/>
        <v>0</v>
      </c>
      <c r="W11" s="304"/>
      <c r="X11" s="151">
        <f>(X10-VSLFO.MGO4567[[#This Row],[TOTAL]])+VSLFO.MGO4567[[#This Row],[FAENA2]]</f>
        <v>0</v>
      </c>
      <c r="Y11" s="150"/>
      <c r="Z11" s="304"/>
      <c r="AA11" s="149">
        <f>(AA10-VSLFO.MGO4567[[#This Row],[CYLINDER MP]])+VSLFO.MGO4567[[#This Row],[FAENA EN LTS]]</f>
        <v>0</v>
      </c>
      <c r="AB11" s="304"/>
      <c r="AC11" s="304"/>
      <c r="AD11" s="149">
        <f>(AD10-VSLFO.MGO4567[[#This Row],[CARTER MP.]])+VSLFO.MGO4567[[#This Row],[FAENA EN LTS2]]</f>
        <v>0</v>
      </c>
      <c r="AE11" s="304"/>
      <c r="AF11" s="304"/>
      <c r="AG11" s="149">
        <f>(AG10-VSLFO.MGO4567[[#This Row],[MOT AUX]])+VSLFO.MGO4567[[#This Row],[FAENA EN  LTS]]</f>
        <v>0</v>
      </c>
      <c r="AH11" s="304"/>
      <c r="AI11" s="304"/>
      <c r="AJ11" s="148">
        <f>(AJ10-VSLFO.MGO4567[[#This Row],[HIDRAULICO]])+VSLFO.MGO4567[[#This Row],[FAENA EN LTS3]]</f>
        <v>0</v>
      </c>
    </row>
    <row r="12" spans="1:36" x14ac:dyDescent="0.25">
      <c r="A12" s="135"/>
      <c r="B12" s="219"/>
      <c r="C12" s="7"/>
      <c r="D12" s="4">
        <f>IF(VSLFO.MGO4567[[#This Row],[FECHA]]-B11=1,((VSLFO.MGO4567[[#This Row],[HORA]]-C11)*24)+24,(VSLFO.MGO4567[[#This Row],[HORA]]-C11)*24)</f>
        <v>0</v>
      </c>
      <c r="E12" s="10"/>
      <c r="F12" s="10"/>
      <c r="G12" s="213"/>
      <c r="H12" s="202"/>
      <c r="I12" s="202"/>
      <c r="J12" s="208"/>
      <c r="K12" s="153"/>
      <c r="L12" s="3"/>
      <c r="M12" s="3"/>
      <c r="N12" s="3">
        <f t="shared" si="0"/>
        <v>0</v>
      </c>
      <c r="O12" s="1"/>
      <c r="P12" s="152">
        <f t="shared" si="2"/>
        <v>0</v>
      </c>
      <c r="Q12" s="150"/>
      <c r="R12" s="304"/>
      <c r="S12" s="304"/>
      <c r="T12" s="304"/>
      <c r="U12" s="304"/>
      <c r="V12" s="304">
        <f t="shared" si="1"/>
        <v>0</v>
      </c>
      <c r="W12" s="304"/>
      <c r="X12" s="151">
        <f>(X11-VSLFO.MGO4567[[#This Row],[TOTAL]])+VSLFO.MGO4567[[#This Row],[FAENA2]]</f>
        <v>0</v>
      </c>
      <c r="Y12" s="150"/>
      <c r="Z12" s="304"/>
      <c r="AA12" s="149">
        <f>(AA11-VSLFO.MGO4567[[#This Row],[CYLINDER MP]])+VSLFO.MGO4567[[#This Row],[FAENA EN LTS]]</f>
        <v>0</v>
      </c>
      <c r="AB12" s="304"/>
      <c r="AC12" s="304"/>
      <c r="AD12" s="149">
        <f>(AD11-VSLFO.MGO4567[[#This Row],[CARTER MP.]])+VSLFO.MGO4567[[#This Row],[FAENA EN LTS2]]</f>
        <v>0</v>
      </c>
      <c r="AE12" s="304"/>
      <c r="AF12" s="304"/>
      <c r="AG12" s="149">
        <f>(AG11-VSLFO.MGO4567[[#This Row],[MOT AUX]])+VSLFO.MGO4567[[#This Row],[FAENA EN  LTS]]</f>
        <v>0</v>
      </c>
      <c r="AH12" s="304"/>
      <c r="AI12" s="304"/>
      <c r="AJ12" s="148">
        <f>(AJ11-VSLFO.MGO4567[[#This Row],[HIDRAULICO]])+VSLFO.MGO4567[[#This Row],[FAENA EN LTS3]]</f>
        <v>0</v>
      </c>
    </row>
    <row r="13" spans="1:36" x14ac:dyDescent="0.25">
      <c r="A13" s="135"/>
      <c r="B13" s="219"/>
      <c r="C13" s="7"/>
      <c r="D13" s="4">
        <f>IF(VSLFO.MGO4567[[#This Row],[FECHA]]-B12=1,((VSLFO.MGO4567[[#This Row],[HORA]]-C12)*24)+24,(VSLFO.MGO4567[[#This Row],[HORA]]-C12)*24)</f>
        <v>0</v>
      </c>
      <c r="E13" s="10"/>
      <c r="F13" s="10"/>
      <c r="G13" s="213"/>
      <c r="H13" s="202"/>
      <c r="I13" s="202"/>
      <c r="J13" s="208"/>
      <c r="K13" s="153"/>
      <c r="L13" s="3"/>
      <c r="M13" s="3"/>
      <c r="N13" s="3">
        <f t="shared" si="0"/>
        <v>0</v>
      </c>
      <c r="O13" s="1"/>
      <c r="P13" s="152">
        <f t="shared" si="2"/>
        <v>0</v>
      </c>
      <c r="Q13" s="150"/>
      <c r="R13" s="304"/>
      <c r="S13" s="304"/>
      <c r="T13" s="304"/>
      <c r="U13" s="304"/>
      <c r="V13" s="304">
        <f t="shared" si="1"/>
        <v>0</v>
      </c>
      <c r="W13" s="304"/>
      <c r="X13" s="151">
        <f>(X12-VSLFO.MGO4567[[#This Row],[TOTAL]])+VSLFO.MGO4567[[#This Row],[FAENA2]]</f>
        <v>0</v>
      </c>
      <c r="Y13" s="150"/>
      <c r="Z13" s="304"/>
      <c r="AA13" s="149">
        <f>(AA12-VSLFO.MGO4567[[#This Row],[CYLINDER MP]])+VSLFO.MGO4567[[#This Row],[FAENA EN LTS]]</f>
        <v>0</v>
      </c>
      <c r="AB13" s="304"/>
      <c r="AC13" s="304"/>
      <c r="AD13" s="149">
        <f>(AD12-VSLFO.MGO4567[[#This Row],[CARTER MP.]])+VSLFO.MGO4567[[#This Row],[FAENA EN LTS2]]</f>
        <v>0</v>
      </c>
      <c r="AE13" s="304"/>
      <c r="AF13" s="304"/>
      <c r="AG13" s="149">
        <f>(AG12-VSLFO.MGO4567[[#This Row],[MOT AUX]])+VSLFO.MGO4567[[#This Row],[FAENA EN  LTS]]</f>
        <v>0</v>
      </c>
      <c r="AH13" s="304"/>
      <c r="AI13" s="304"/>
      <c r="AJ13" s="148">
        <f>(AJ12-VSLFO.MGO4567[[#This Row],[HIDRAULICO]])+VSLFO.MGO4567[[#This Row],[FAENA EN LTS3]]</f>
        <v>0</v>
      </c>
    </row>
    <row r="14" spans="1:36" x14ac:dyDescent="0.25">
      <c r="A14" s="135"/>
      <c r="B14" s="219"/>
      <c r="C14" s="7"/>
      <c r="D14" s="4">
        <f>IF(VSLFO.MGO4567[[#This Row],[FECHA]]-B13=1,((VSLFO.MGO4567[[#This Row],[HORA]]-C13)*24)+24,(VSLFO.MGO4567[[#This Row],[HORA]]-C13)*24)</f>
        <v>0</v>
      </c>
      <c r="E14" s="10"/>
      <c r="F14" s="10"/>
      <c r="G14" s="213"/>
      <c r="H14" s="202"/>
      <c r="I14" s="202"/>
      <c r="J14" s="208"/>
      <c r="K14" s="153"/>
      <c r="L14" s="3"/>
      <c r="M14" s="3"/>
      <c r="N14" s="3">
        <f t="shared" si="0"/>
        <v>0</v>
      </c>
      <c r="O14" s="1"/>
      <c r="P14" s="152">
        <f t="shared" si="2"/>
        <v>0</v>
      </c>
      <c r="Q14" s="150"/>
      <c r="R14" s="304"/>
      <c r="S14" s="304"/>
      <c r="T14" s="304"/>
      <c r="U14" s="304"/>
      <c r="V14" s="304">
        <f t="shared" si="1"/>
        <v>0</v>
      </c>
      <c r="W14" s="304"/>
      <c r="X14" s="151">
        <f>(X13-VSLFO.MGO4567[[#This Row],[TOTAL]])+VSLFO.MGO4567[[#This Row],[FAENA2]]</f>
        <v>0</v>
      </c>
      <c r="Y14" s="150"/>
      <c r="Z14" s="304"/>
      <c r="AA14" s="149">
        <f>(AA13-VSLFO.MGO4567[[#This Row],[CYLINDER MP]])+VSLFO.MGO4567[[#This Row],[FAENA EN LTS]]</f>
        <v>0</v>
      </c>
      <c r="AB14" s="304"/>
      <c r="AC14" s="304"/>
      <c r="AD14" s="149">
        <f>(AD13-VSLFO.MGO4567[[#This Row],[CARTER MP.]])+VSLFO.MGO4567[[#This Row],[FAENA EN LTS2]]</f>
        <v>0</v>
      </c>
      <c r="AE14" s="304"/>
      <c r="AF14" s="304"/>
      <c r="AG14" s="149">
        <f>(AG13-VSLFO.MGO4567[[#This Row],[MOT AUX]])+VSLFO.MGO4567[[#This Row],[FAENA EN  LTS]]</f>
        <v>0</v>
      </c>
      <c r="AH14" s="304"/>
      <c r="AI14" s="304"/>
      <c r="AJ14" s="148">
        <f>(AJ13-VSLFO.MGO4567[[#This Row],[HIDRAULICO]])+VSLFO.MGO4567[[#This Row],[FAENA EN LTS3]]</f>
        <v>0</v>
      </c>
    </row>
    <row r="15" spans="1:36" x14ac:dyDescent="0.25">
      <c r="A15" s="135"/>
      <c r="B15" s="219"/>
      <c r="C15" s="7"/>
      <c r="D15" s="4">
        <f>IF(VSLFO.MGO4567[[#This Row],[FECHA]]-B14=1,((VSLFO.MGO4567[[#This Row],[HORA]]-C14)*24)+24,(VSLFO.MGO4567[[#This Row],[HORA]]-C14)*24)</f>
        <v>0</v>
      </c>
      <c r="E15" s="10"/>
      <c r="F15" s="10"/>
      <c r="G15" s="213"/>
      <c r="H15" s="202"/>
      <c r="I15" s="202"/>
      <c r="J15" s="208"/>
      <c r="K15" s="153"/>
      <c r="L15" s="3"/>
      <c r="M15" s="3"/>
      <c r="N15" s="3">
        <f t="shared" si="0"/>
        <v>0</v>
      </c>
      <c r="O15" s="1"/>
      <c r="P15" s="152">
        <f t="shared" si="2"/>
        <v>0</v>
      </c>
      <c r="Q15" s="150"/>
      <c r="R15" s="304"/>
      <c r="S15" s="304"/>
      <c r="T15" s="304"/>
      <c r="U15" s="304"/>
      <c r="V15" s="304">
        <f t="shared" si="1"/>
        <v>0</v>
      </c>
      <c r="W15" s="304"/>
      <c r="X15" s="151">
        <f>(X14-VSLFO.MGO4567[[#This Row],[TOTAL]])+VSLFO.MGO4567[[#This Row],[FAENA2]]</f>
        <v>0</v>
      </c>
      <c r="Y15" s="150"/>
      <c r="Z15" s="304"/>
      <c r="AA15" s="149">
        <f>(AA14-VSLFO.MGO4567[[#This Row],[CYLINDER MP]])+VSLFO.MGO4567[[#This Row],[FAENA EN LTS]]</f>
        <v>0</v>
      </c>
      <c r="AB15" s="304"/>
      <c r="AC15" s="304"/>
      <c r="AD15" s="149">
        <f>(AD14-VSLFO.MGO4567[[#This Row],[CARTER MP.]])+VSLFO.MGO4567[[#This Row],[FAENA EN LTS2]]</f>
        <v>0</v>
      </c>
      <c r="AE15" s="304"/>
      <c r="AF15" s="304"/>
      <c r="AG15" s="149">
        <f>(AG14-VSLFO.MGO4567[[#This Row],[MOT AUX]])+VSLFO.MGO4567[[#This Row],[FAENA EN  LTS]]</f>
        <v>0</v>
      </c>
      <c r="AH15" s="304"/>
      <c r="AI15" s="304"/>
      <c r="AJ15" s="148">
        <f>(AJ14-VSLFO.MGO4567[[#This Row],[HIDRAULICO]])+VSLFO.MGO4567[[#This Row],[FAENA EN LTS3]]</f>
        <v>0</v>
      </c>
    </row>
    <row r="16" spans="1:36" x14ac:dyDescent="0.25">
      <c r="A16" s="237"/>
      <c r="B16" s="219"/>
      <c r="C16" s="7"/>
      <c r="D16" s="4">
        <f>IF(VSLFO.MGO4567[[#This Row],[FECHA]]-B15=1,((VSLFO.MGO4567[[#This Row],[HORA]]-C15)*24)+24,(VSLFO.MGO4567[[#This Row],[HORA]]-C15)*24)</f>
        <v>0</v>
      </c>
      <c r="E16" s="10"/>
      <c r="F16" s="10"/>
      <c r="G16" s="213"/>
      <c r="H16" s="307"/>
      <c r="I16" s="202"/>
      <c r="J16" s="208"/>
      <c r="K16" s="153"/>
      <c r="L16" s="3"/>
      <c r="M16" s="3"/>
      <c r="N16" s="3">
        <f t="shared" si="0"/>
        <v>0</v>
      </c>
      <c r="O16" s="1"/>
      <c r="P16" s="152">
        <f t="shared" si="2"/>
        <v>0</v>
      </c>
      <c r="Q16" s="150"/>
      <c r="R16" s="304"/>
      <c r="S16" s="304"/>
      <c r="T16" s="304"/>
      <c r="U16" s="304"/>
      <c r="V16" s="304">
        <f t="shared" si="1"/>
        <v>0</v>
      </c>
      <c r="W16" s="304"/>
      <c r="X16" s="151">
        <f>(X15-VSLFO.MGO4567[[#This Row],[TOTAL]])+VSLFO.MGO4567[[#This Row],[FAENA2]]</f>
        <v>0</v>
      </c>
      <c r="Y16" s="150"/>
      <c r="Z16" s="304"/>
      <c r="AA16" s="149">
        <f>(AA15-VSLFO.MGO4567[[#This Row],[CYLINDER MP]])+VSLFO.MGO4567[[#This Row],[FAENA EN LTS]]</f>
        <v>0</v>
      </c>
      <c r="AB16" s="304"/>
      <c r="AC16" s="304"/>
      <c r="AD16" s="149">
        <f>(AD15-VSLFO.MGO4567[[#This Row],[CARTER MP.]])+VSLFO.MGO4567[[#This Row],[FAENA EN LTS2]]</f>
        <v>0</v>
      </c>
      <c r="AE16" s="304"/>
      <c r="AF16" s="304"/>
      <c r="AG16" s="149">
        <f>(AG15-VSLFO.MGO4567[[#This Row],[MOT AUX]])+VSLFO.MGO4567[[#This Row],[FAENA EN  LTS]]</f>
        <v>0</v>
      </c>
      <c r="AH16" s="304"/>
      <c r="AI16" s="304"/>
      <c r="AJ16" s="148">
        <f>(AJ15-VSLFO.MGO4567[[#This Row],[HIDRAULICO]])+VSLFO.MGO4567[[#This Row],[FAENA EN LTS3]]</f>
        <v>0</v>
      </c>
    </row>
    <row r="17" spans="1:36" x14ac:dyDescent="0.25">
      <c r="A17" s="135"/>
      <c r="B17" s="219"/>
      <c r="C17" s="7"/>
      <c r="D17" s="4">
        <f>IF(VSLFO.MGO4567[[#This Row],[FECHA]]-B16=1,((VSLFO.MGO4567[[#This Row],[HORA]]-C16)*24)+24,(VSLFO.MGO4567[[#This Row],[HORA]]-C16)*24)</f>
        <v>0</v>
      </c>
      <c r="E17" s="10"/>
      <c r="F17" s="10"/>
      <c r="G17" s="213"/>
      <c r="H17" s="202"/>
      <c r="I17" s="202"/>
      <c r="J17" s="208"/>
      <c r="K17" s="153"/>
      <c r="L17" s="3"/>
      <c r="M17" s="3"/>
      <c r="N17" s="3">
        <f t="shared" si="0"/>
        <v>0</v>
      </c>
      <c r="O17" s="1"/>
      <c r="P17" s="152">
        <f t="shared" si="2"/>
        <v>0</v>
      </c>
      <c r="Q17" s="150"/>
      <c r="R17" s="304"/>
      <c r="S17" s="304"/>
      <c r="T17" s="304"/>
      <c r="U17" s="304"/>
      <c r="V17" s="304">
        <f t="shared" si="1"/>
        <v>0</v>
      </c>
      <c r="W17" s="304"/>
      <c r="X17" s="151">
        <f>(X16-VSLFO.MGO4567[[#This Row],[TOTAL]])+VSLFO.MGO4567[[#This Row],[FAENA2]]</f>
        <v>0</v>
      </c>
      <c r="Y17" s="150"/>
      <c r="Z17" s="304"/>
      <c r="AA17" s="149">
        <f>(AA16-VSLFO.MGO4567[[#This Row],[CYLINDER MP]])+VSLFO.MGO4567[[#This Row],[FAENA EN LTS]]</f>
        <v>0</v>
      </c>
      <c r="AB17" s="304"/>
      <c r="AC17" s="304"/>
      <c r="AD17" s="149">
        <f>(AD16-VSLFO.MGO4567[[#This Row],[CARTER MP.]])+VSLFO.MGO4567[[#This Row],[FAENA EN LTS2]]</f>
        <v>0</v>
      </c>
      <c r="AE17" s="304"/>
      <c r="AF17" s="304"/>
      <c r="AG17" s="149">
        <f>(AG16-VSLFO.MGO4567[[#This Row],[MOT AUX]])+VSLFO.MGO4567[[#This Row],[FAENA EN  LTS]]</f>
        <v>0</v>
      </c>
      <c r="AH17" s="304"/>
      <c r="AI17" s="304"/>
      <c r="AJ17" s="148">
        <f>(AJ16-VSLFO.MGO4567[[#This Row],[HIDRAULICO]])+VSLFO.MGO4567[[#This Row],[FAENA EN LTS3]]</f>
        <v>0</v>
      </c>
    </row>
    <row r="18" spans="1:36" x14ac:dyDescent="0.25">
      <c r="A18" s="135"/>
      <c r="B18" s="219"/>
      <c r="C18" s="7"/>
      <c r="D18" s="4">
        <f>IF(VSLFO.MGO4567[[#This Row],[FECHA]]-B17=1,((VSLFO.MGO4567[[#This Row],[HORA]]-C17)*24)+24,(VSLFO.MGO4567[[#This Row],[HORA]]-C17)*24)</f>
        <v>0</v>
      </c>
      <c r="E18" s="10"/>
      <c r="F18" s="10"/>
      <c r="G18" s="213"/>
      <c r="H18" s="202"/>
      <c r="I18" s="202"/>
      <c r="J18" s="208"/>
      <c r="K18" s="153"/>
      <c r="L18" s="3"/>
      <c r="M18" s="3"/>
      <c r="N18" s="3">
        <f t="shared" si="0"/>
        <v>0</v>
      </c>
      <c r="O18" s="1"/>
      <c r="P18" s="152">
        <f t="shared" si="2"/>
        <v>0</v>
      </c>
      <c r="Q18" s="150"/>
      <c r="R18" s="304"/>
      <c r="S18" s="304"/>
      <c r="T18" s="304"/>
      <c r="U18" s="304"/>
      <c r="V18" s="304">
        <f t="shared" si="1"/>
        <v>0</v>
      </c>
      <c r="W18" s="304"/>
      <c r="X18" s="151">
        <f>(X17-VSLFO.MGO4567[[#This Row],[TOTAL]])+VSLFO.MGO4567[[#This Row],[FAENA2]]</f>
        <v>0</v>
      </c>
      <c r="Y18" s="150"/>
      <c r="Z18" s="304"/>
      <c r="AA18" s="149">
        <f>(AA17-VSLFO.MGO4567[[#This Row],[CYLINDER MP]])+VSLFO.MGO4567[[#This Row],[FAENA EN LTS]]</f>
        <v>0</v>
      </c>
      <c r="AB18" s="304"/>
      <c r="AC18" s="304"/>
      <c r="AD18" s="149">
        <f>(AD17-VSLFO.MGO4567[[#This Row],[CARTER MP.]])+VSLFO.MGO4567[[#This Row],[FAENA EN LTS2]]</f>
        <v>0</v>
      </c>
      <c r="AE18" s="304"/>
      <c r="AF18" s="304"/>
      <c r="AG18" s="149">
        <f>(AG17-VSLFO.MGO4567[[#This Row],[MOT AUX]])+VSLFO.MGO4567[[#This Row],[FAENA EN  LTS]]</f>
        <v>0</v>
      </c>
      <c r="AH18" s="304"/>
      <c r="AI18" s="304"/>
      <c r="AJ18" s="148">
        <f>(AJ17-VSLFO.MGO4567[[#This Row],[HIDRAULICO]])+VSLFO.MGO4567[[#This Row],[FAENA EN LTS3]]</f>
        <v>0</v>
      </c>
    </row>
    <row r="19" spans="1:36" x14ac:dyDescent="0.25">
      <c r="A19" s="135"/>
      <c r="B19" s="219"/>
      <c r="C19" s="7"/>
      <c r="D19" s="4">
        <f>IF(VSLFO.MGO4567[[#This Row],[FECHA]]-B18=1,((VSLFO.MGO4567[[#This Row],[HORA]]-C18)*24)+24,(VSLFO.MGO4567[[#This Row],[HORA]]-C18)*24)</f>
        <v>0</v>
      </c>
      <c r="E19" s="10"/>
      <c r="F19" s="10"/>
      <c r="G19" s="213"/>
      <c r="H19" s="202"/>
      <c r="I19" s="202"/>
      <c r="J19" s="208"/>
      <c r="K19" s="153"/>
      <c r="L19" s="3"/>
      <c r="M19" s="20"/>
      <c r="N19" s="3">
        <f t="shared" si="0"/>
        <v>0</v>
      </c>
      <c r="O19" s="1"/>
      <c r="P19" s="152">
        <f t="shared" si="2"/>
        <v>0</v>
      </c>
      <c r="Q19" s="150"/>
      <c r="R19" s="304"/>
      <c r="S19" s="304"/>
      <c r="T19" s="304"/>
      <c r="U19" s="304"/>
      <c r="V19" s="304">
        <f t="shared" si="1"/>
        <v>0</v>
      </c>
      <c r="W19" s="304"/>
      <c r="X19" s="151">
        <f>(X18-VSLFO.MGO4567[[#This Row],[TOTAL]])+VSLFO.MGO4567[[#This Row],[FAENA2]]</f>
        <v>0</v>
      </c>
      <c r="Y19" s="150"/>
      <c r="Z19" s="304"/>
      <c r="AA19" s="149">
        <f>(AA18-VSLFO.MGO4567[[#This Row],[CYLINDER MP]])+VSLFO.MGO4567[[#This Row],[FAENA EN LTS]]</f>
        <v>0</v>
      </c>
      <c r="AB19" s="304"/>
      <c r="AC19" s="304"/>
      <c r="AD19" s="149">
        <f>(AD18-VSLFO.MGO4567[[#This Row],[CARTER MP.]])+VSLFO.MGO4567[[#This Row],[FAENA EN LTS2]]</f>
        <v>0</v>
      </c>
      <c r="AE19" s="304"/>
      <c r="AF19" s="304"/>
      <c r="AG19" s="149">
        <f>(AG18-VSLFO.MGO4567[[#This Row],[MOT AUX]])+VSLFO.MGO4567[[#This Row],[FAENA EN  LTS]]</f>
        <v>0</v>
      </c>
      <c r="AH19" s="304"/>
      <c r="AI19" s="304"/>
      <c r="AJ19" s="148">
        <f>(AJ18-VSLFO.MGO4567[[#This Row],[HIDRAULICO]])+VSLFO.MGO4567[[#This Row],[FAENA EN LTS3]]</f>
        <v>0</v>
      </c>
    </row>
    <row r="20" spans="1:36" x14ac:dyDescent="0.25">
      <c r="A20" s="135"/>
      <c r="B20" s="219"/>
      <c r="C20" s="7"/>
      <c r="D20" s="4">
        <f>IF(VSLFO.MGO4567[[#This Row],[FECHA]]-B19=1,((VSLFO.MGO4567[[#This Row],[HORA]]-C19)*24)+24,(VSLFO.MGO4567[[#This Row],[HORA]]-C19)*24)</f>
        <v>0</v>
      </c>
      <c r="E20" s="10"/>
      <c r="F20" s="10"/>
      <c r="G20" s="213"/>
      <c r="H20" s="202"/>
      <c r="I20" s="202"/>
      <c r="J20" s="208"/>
      <c r="K20" s="153"/>
      <c r="L20" s="3"/>
      <c r="M20" s="3"/>
      <c r="N20" s="3">
        <f t="shared" si="0"/>
        <v>0</v>
      </c>
      <c r="O20" s="1"/>
      <c r="P20" s="152">
        <f t="shared" si="2"/>
        <v>0</v>
      </c>
      <c r="Q20" s="150"/>
      <c r="R20" s="304"/>
      <c r="S20" s="304"/>
      <c r="T20" s="304"/>
      <c r="U20" s="304"/>
      <c r="V20" s="304">
        <f t="shared" si="1"/>
        <v>0</v>
      </c>
      <c r="W20" s="304"/>
      <c r="X20" s="151">
        <f>(X19-VSLFO.MGO4567[[#This Row],[TOTAL]])+VSLFO.MGO4567[[#This Row],[FAENA2]]</f>
        <v>0</v>
      </c>
      <c r="Y20" s="150"/>
      <c r="Z20" s="304"/>
      <c r="AA20" s="149">
        <f>(AA19-VSLFO.MGO4567[[#This Row],[CYLINDER MP]])+VSLFO.MGO4567[[#This Row],[FAENA EN LTS]]</f>
        <v>0</v>
      </c>
      <c r="AB20" s="304"/>
      <c r="AC20" s="304"/>
      <c r="AD20" s="149">
        <f>(AD19-VSLFO.MGO4567[[#This Row],[CARTER MP.]])+VSLFO.MGO4567[[#This Row],[FAENA EN LTS2]]</f>
        <v>0</v>
      </c>
      <c r="AE20" s="304"/>
      <c r="AF20" s="304"/>
      <c r="AG20" s="149">
        <f>(AG19-VSLFO.MGO4567[[#This Row],[MOT AUX]])+VSLFO.MGO4567[[#This Row],[FAENA EN  LTS]]</f>
        <v>0</v>
      </c>
      <c r="AH20" s="304"/>
      <c r="AI20" s="304"/>
      <c r="AJ20" s="148">
        <f>(AJ19-VSLFO.MGO4567[[#This Row],[HIDRAULICO]])+VSLFO.MGO4567[[#This Row],[FAENA EN LTS3]]</f>
        <v>0</v>
      </c>
    </row>
    <row r="21" spans="1:36" x14ac:dyDescent="0.25">
      <c r="A21" s="135"/>
      <c r="B21" s="219"/>
      <c r="C21" s="7"/>
      <c r="D21" s="4">
        <f>IF(VSLFO.MGO4567[[#This Row],[FECHA]]-B20=1,((VSLFO.MGO4567[[#This Row],[HORA]]-C20)*24)+24,(VSLFO.MGO4567[[#This Row],[HORA]]-C20)*24)</f>
        <v>0</v>
      </c>
      <c r="E21" s="10"/>
      <c r="F21" s="10"/>
      <c r="G21" s="213"/>
      <c r="H21" s="202"/>
      <c r="I21" s="202"/>
      <c r="J21" s="208"/>
      <c r="K21" s="153"/>
      <c r="L21" s="3"/>
      <c r="M21" s="3"/>
      <c r="N21" s="3">
        <f t="shared" si="0"/>
        <v>0</v>
      </c>
      <c r="O21" s="1"/>
      <c r="P21" s="152">
        <f t="shared" si="2"/>
        <v>0</v>
      </c>
      <c r="Q21" s="150"/>
      <c r="R21" s="304"/>
      <c r="S21" s="304"/>
      <c r="T21" s="304"/>
      <c r="U21" s="304"/>
      <c r="V21" s="304">
        <f t="shared" si="1"/>
        <v>0</v>
      </c>
      <c r="W21" s="304"/>
      <c r="X21" s="151">
        <f>(X20-VSLFO.MGO4567[[#This Row],[TOTAL]])+VSLFO.MGO4567[[#This Row],[FAENA2]]</f>
        <v>0</v>
      </c>
      <c r="Y21" s="150"/>
      <c r="Z21" s="304"/>
      <c r="AA21" s="149">
        <f>(AA20-VSLFO.MGO4567[[#This Row],[CYLINDER MP]])+VSLFO.MGO4567[[#This Row],[FAENA EN LTS]]</f>
        <v>0</v>
      </c>
      <c r="AB21" s="304"/>
      <c r="AC21" s="304"/>
      <c r="AD21" s="149">
        <f>(AD20-VSLFO.MGO4567[[#This Row],[CARTER MP.]])+VSLFO.MGO4567[[#This Row],[FAENA EN LTS2]]</f>
        <v>0</v>
      </c>
      <c r="AE21" s="304"/>
      <c r="AF21" s="304"/>
      <c r="AG21" s="149">
        <f>(AG20-VSLFO.MGO4567[[#This Row],[MOT AUX]])+VSLFO.MGO4567[[#This Row],[FAENA EN  LTS]]</f>
        <v>0</v>
      </c>
      <c r="AH21" s="304"/>
      <c r="AI21" s="304"/>
      <c r="AJ21" s="148">
        <f>(AJ20-VSLFO.MGO4567[[#This Row],[HIDRAULICO]])+VSLFO.MGO4567[[#This Row],[FAENA EN LTS3]]</f>
        <v>0</v>
      </c>
    </row>
    <row r="22" spans="1:36" x14ac:dyDescent="0.25">
      <c r="A22" s="135"/>
      <c r="B22" s="219"/>
      <c r="C22" s="7"/>
      <c r="D22" s="4">
        <f>IF(VSLFO.MGO4567[[#This Row],[FECHA]]-B21=1,((VSLFO.MGO4567[[#This Row],[HORA]]-C21)*24)+24,(VSLFO.MGO4567[[#This Row],[HORA]]-C21)*24)</f>
        <v>0</v>
      </c>
      <c r="E22" s="10"/>
      <c r="F22" s="10"/>
      <c r="G22" s="213"/>
      <c r="H22" s="202"/>
      <c r="I22" s="202"/>
      <c r="J22" s="208"/>
      <c r="K22" s="153"/>
      <c r="L22" s="3"/>
      <c r="M22" s="3"/>
      <c r="N22" s="3">
        <f t="shared" si="0"/>
        <v>0</v>
      </c>
      <c r="O22" s="1"/>
      <c r="P22" s="152">
        <f t="shared" si="2"/>
        <v>0</v>
      </c>
      <c r="Q22" s="150"/>
      <c r="R22" s="304"/>
      <c r="S22" s="304"/>
      <c r="T22" s="304"/>
      <c r="U22" s="304"/>
      <c r="V22" s="304">
        <f t="shared" si="1"/>
        <v>0</v>
      </c>
      <c r="W22" s="304"/>
      <c r="X22" s="151">
        <f>(X21-VSLFO.MGO4567[[#This Row],[TOTAL]])+VSLFO.MGO4567[[#This Row],[FAENA2]]</f>
        <v>0</v>
      </c>
      <c r="Y22" s="150"/>
      <c r="Z22" s="304"/>
      <c r="AA22" s="149">
        <f>(AA21-VSLFO.MGO4567[[#This Row],[CYLINDER MP]])+VSLFO.MGO4567[[#This Row],[FAENA EN LTS]]</f>
        <v>0</v>
      </c>
      <c r="AB22" s="304"/>
      <c r="AC22" s="304"/>
      <c r="AD22" s="149">
        <f>(AD21-VSLFO.MGO4567[[#This Row],[CARTER MP.]])+VSLFO.MGO4567[[#This Row],[FAENA EN LTS2]]</f>
        <v>0</v>
      </c>
      <c r="AE22" s="304"/>
      <c r="AF22" s="304"/>
      <c r="AG22" s="149">
        <f>(AG21-VSLFO.MGO4567[[#This Row],[MOT AUX]])+VSLFO.MGO4567[[#This Row],[FAENA EN  LTS]]</f>
        <v>0</v>
      </c>
      <c r="AH22" s="304"/>
      <c r="AI22" s="304"/>
      <c r="AJ22" s="148">
        <f>(AJ21-VSLFO.MGO4567[[#This Row],[HIDRAULICO]])+VSLFO.MGO4567[[#This Row],[FAENA EN LTS3]]</f>
        <v>0</v>
      </c>
    </row>
    <row r="23" spans="1:36" x14ac:dyDescent="0.25">
      <c r="A23" s="135"/>
      <c r="B23" s="219"/>
      <c r="C23" s="7"/>
      <c r="D23" s="4">
        <f>IF(VSLFO.MGO4567[[#This Row],[FECHA]]-B22=1,((VSLFO.MGO4567[[#This Row],[HORA]]-C22)*24)+24,(VSLFO.MGO4567[[#This Row],[HORA]]-C22)*24)</f>
        <v>0</v>
      </c>
      <c r="E23" s="10"/>
      <c r="F23" s="10"/>
      <c r="G23" s="213"/>
      <c r="H23" s="202"/>
      <c r="I23" s="202"/>
      <c r="J23" s="208"/>
      <c r="K23" s="153"/>
      <c r="L23" s="3"/>
      <c r="M23" s="3"/>
      <c r="N23" s="3">
        <f t="shared" si="0"/>
        <v>0</v>
      </c>
      <c r="O23" s="1"/>
      <c r="P23" s="152">
        <f t="shared" si="2"/>
        <v>0</v>
      </c>
      <c r="Q23" s="150"/>
      <c r="R23" s="304"/>
      <c r="S23" s="304"/>
      <c r="T23" s="304"/>
      <c r="U23" s="304"/>
      <c r="V23" s="304">
        <f t="shared" si="1"/>
        <v>0</v>
      </c>
      <c r="W23" s="304"/>
      <c r="X23" s="151">
        <f>(X22-VSLFO.MGO4567[[#This Row],[TOTAL]])+VSLFO.MGO4567[[#This Row],[FAENA2]]</f>
        <v>0</v>
      </c>
      <c r="Y23" s="150"/>
      <c r="Z23" s="304"/>
      <c r="AA23" s="149">
        <f>(AA22-VSLFO.MGO4567[[#This Row],[CYLINDER MP]])+VSLFO.MGO4567[[#This Row],[FAENA EN LTS]]</f>
        <v>0</v>
      </c>
      <c r="AB23" s="304"/>
      <c r="AC23" s="304"/>
      <c r="AD23" s="149">
        <f>(AD22-VSLFO.MGO4567[[#This Row],[CARTER MP.]])+VSLFO.MGO4567[[#This Row],[FAENA EN LTS2]]</f>
        <v>0</v>
      </c>
      <c r="AE23" s="304"/>
      <c r="AF23" s="304"/>
      <c r="AG23" s="149">
        <f>(AG22-VSLFO.MGO4567[[#This Row],[MOT AUX]])+VSLFO.MGO4567[[#This Row],[FAENA EN  LTS]]</f>
        <v>0</v>
      </c>
      <c r="AH23" s="304"/>
      <c r="AI23" s="304"/>
      <c r="AJ23" s="148">
        <f>(AJ22-VSLFO.MGO4567[[#This Row],[HIDRAULICO]])+VSLFO.MGO4567[[#This Row],[FAENA EN LTS3]]</f>
        <v>0</v>
      </c>
    </row>
    <row r="24" spans="1:36" x14ac:dyDescent="0.25">
      <c r="A24" s="237"/>
      <c r="B24" s="219"/>
      <c r="C24" s="7"/>
      <c r="D24" s="4">
        <f>IF(VSLFO.MGO4567[[#This Row],[FECHA]]-B23=1,((VSLFO.MGO4567[[#This Row],[HORA]]-C23)*24)+24,(VSLFO.MGO4567[[#This Row],[HORA]]-C23)*24)</f>
        <v>0</v>
      </c>
      <c r="E24" s="10"/>
      <c r="F24" s="10"/>
      <c r="G24" s="213"/>
      <c r="H24" s="202"/>
      <c r="I24" s="202"/>
      <c r="J24" s="208"/>
      <c r="K24" s="153"/>
      <c r="L24" s="3"/>
      <c r="M24" s="3"/>
      <c r="N24" s="3">
        <f t="shared" si="0"/>
        <v>0</v>
      </c>
      <c r="O24" s="1"/>
      <c r="P24" s="152">
        <f t="shared" si="2"/>
        <v>0</v>
      </c>
      <c r="Q24" s="150"/>
      <c r="R24" s="304"/>
      <c r="S24" s="304"/>
      <c r="T24" s="304"/>
      <c r="U24" s="304"/>
      <c r="V24" s="304">
        <f t="shared" si="1"/>
        <v>0</v>
      </c>
      <c r="W24" s="304"/>
      <c r="X24" s="151">
        <f>(X23-VSLFO.MGO4567[[#This Row],[TOTAL]])+VSLFO.MGO4567[[#This Row],[FAENA2]]</f>
        <v>0</v>
      </c>
      <c r="Y24" s="150"/>
      <c r="Z24" s="304"/>
      <c r="AA24" s="149">
        <f>(AA23-VSLFO.MGO4567[[#This Row],[CYLINDER MP]])+VSLFO.MGO4567[[#This Row],[FAENA EN LTS]]</f>
        <v>0</v>
      </c>
      <c r="AB24" s="304"/>
      <c r="AC24" s="304"/>
      <c r="AD24" s="149">
        <f>(AD23-VSLFO.MGO4567[[#This Row],[CARTER MP.]])+VSLFO.MGO4567[[#This Row],[FAENA EN LTS2]]</f>
        <v>0</v>
      </c>
      <c r="AE24" s="304"/>
      <c r="AF24" s="304"/>
      <c r="AG24" s="149">
        <f>(AG23-VSLFO.MGO4567[[#This Row],[MOT AUX]])+VSLFO.MGO4567[[#This Row],[FAENA EN  LTS]]</f>
        <v>0</v>
      </c>
      <c r="AH24" s="304"/>
      <c r="AI24" s="304"/>
      <c r="AJ24" s="148">
        <f>(AJ23-VSLFO.MGO4567[[#This Row],[HIDRAULICO]])+VSLFO.MGO4567[[#This Row],[FAENA EN LTS3]]</f>
        <v>0</v>
      </c>
    </row>
    <row r="25" spans="1:36" x14ac:dyDescent="0.25">
      <c r="A25" s="135"/>
      <c r="B25" s="219"/>
      <c r="C25" s="7"/>
      <c r="D25" s="4">
        <f>IF(VSLFO.MGO4567[[#This Row],[FECHA]]-B24=1,((VSLFO.MGO4567[[#This Row],[HORA]]-C24)*24)+24,(VSLFO.MGO4567[[#This Row],[HORA]]-C24)*24)</f>
        <v>0</v>
      </c>
      <c r="E25" s="10"/>
      <c r="F25" s="10"/>
      <c r="G25" s="213"/>
      <c r="H25" s="202"/>
      <c r="I25" s="202"/>
      <c r="J25" s="208"/>
      <c r="K25" s="153"/>
      <c r="L25" s="3"/>
      <c r="M25" s="3"/>
      <c r="N25" s="3">
        <f t="shared" si="0"/>
        <v>0</v>
      </c>
      <c r="O25" s="1"/>
      <c r="P25" s="152">
        <f t="shared" si="2"/>
        <v>0</v>
      </c>
      <c r="Q25" s="150"/>
      <c r="R25" s="304"/>
      <c r="S25" s="304"/>
      <c r="T25" s="304"/>
      <c r="U25" s="304"/>
      <c r="V25" s="304">
        <f t="shared" si="1"/>
        <v>0</v>
      </c>
      <c r="W25" s="304"/>
      <c r="X25" s="151">
        <f>(X24-VSLFO.MGO4567[[#This Row],[TOTAL]])+VSLFO.MGO4567[[#This Row],[FAENA2]]</f>
        <v>0</v>
      </c>
      <c r="Y25" s="150"/>
      <c r="Z25" s="304"/>
      <c r="AA25" s="149">
        <f>(AA24-VSLFO.MGO4567[[#This Row],[CYLINDER MP]])+VSLFO.MGO4567[[#This Row],[FAENA EN LTS]]</f>
        <v>0</v>
      </c>
      <c r="AB25" s="304"/>
      <c r="AC25" s="304"/>
      <c r="AD25" s="149">
        <f>(AD24-VSLFO.MGO4567[[#This Row],[CARTER MP.]])+VSLFO.MGO4567[[#This Row],[FAENA EN LTS2]]</f>
        <v>0</v>
      </c>
      <c r="AE25" s="304"/>
      <c r="AF25" s="304"/>
      <c r="AG25" s="149">
        <f>(AG24-VSLFO.MGO4567[[#This Row],[MOT AUX]])+VSLFO.MGO4567[[#This Row],[FAENA EN  LTS]]</f>
        <v>0</v>
      </c>
      <c r="AH25" s="304"/>
      <c r="AI25" s="304"/>
      <c r="AJ25" s="148">
        <f>(AJ24-VSLFO.MGO4567[[#This Row],[HIDRAULICO]])+VSLFO.MGO4567[[#This Row],[FAENA EN LTS3]]</f>
        <v>0</v>
      </c>
    </row>
    <row r="26" spans="1:36" x14ac:dyDescent="0.25">
      <c r="A26" s="135"/>
      <c r="B26" s="219"/>
      <c r="C26" s="7"/>
      <c r="D26" s="4">
        <f>IF(VSLFO.MGO4567[[#This Row],[FECHA]]-B25=1,((VSLFO.MGO4567[[#This Row],[HORA]]-C25)*24)+24,(VSLFO.MGO4567[[#This Row],[HORA]]-C25)*24)</f>
        <v>0</v>
      </c>
      <c r="E26" s="10"/>
      <c r="F26" s="10"/>
      <c r="G26" s="212"/>
      <c r="H26" s="201"/>
      <c r="I26" s="201"/>
      <c r="J26" s="207"/>
      <c r="K26" s="153"/>
      <c r="L26" s="3"/>
      <c r="M26" s="3"/>
      <c r="N26" s="3">
        <f t="shared" si="0"/>
        <v>0</v>
      </c>
      <c r="O26" s="1"/>
      <c r="P26" s="152">
        <f t="shared" si="2"/>
        <v>0</v>
      </c>
      <c r="Q26" s="150"/>
      <c r="R26" s="304"/>
      <c r="S26" s="304"/>
      <c r="T26" s="304"/>
      <c r="U26" s="304"/>
      <c r="V26" s="304">
        <f t="shared" si="1"/>
        <v>0</v>
      </c>
      <c r="W26" s="304"/>
      <c r="X26" s="151">
        <f>(X25-VSLFO.MGO4567[[#This Row],[TOTAL]])+VSLFO.MGO4567[[#This Row],[FAENA2]]</f>
        <v>0</v>
      </c>
      <c r="Y26" s="150"/>
      <c r="Z26" s="304"/>
      <c r="AA26" s="149">
        <f>(AA25-VSLFO.MGO4567[[#This Row],[CYLINDER MP]])+VSLFO.MGO4567[[#This Row],[FAENA EN LTS]]</f>
        <v>0</v>
      </c>
      <c r="AB26" s="304"/>
      <c r="AC26" s="304"/>
      <c r="AD26" s="149">
        <f>(AD25-VSLFO.MGO4567[[#This Row],[CARTER MP.]])+VSLFO.MGO4567[[#This Row],[FAENA EN LTS2]]</f>
        <v>0</v>
      </c>
      <c r="AE26" s="304"/>
      <c r="AF26" s="304"/>
      <c r="AG26" s="149">
        <f>(AG25-VSLFO.MGO4567[[#This Row],[MOT AUX]])+VSLFO.MGO4567[[#This Row],[FAENA EN  LTS]]</f>
        <v>0</v>
      </c>
      <c r="AH26" s="304"/>
      <c r="AI26" s="304"/>
      <c r="AJ26" s="148">
        <f>(AJ25-VSLFO.MGO4567[[#This Row],[HIDRAULICO]])+VSLFO.MGO4567[[#This Row],[FAENA EN LTS3]]</f>
        <v>0</v>
      </c>
    </row>
    <row r="27" spans="1:36" x14ac:dyDescent="0.25">
      <c r="A27" s="135"/>
      <c r="B27" s="219"/>
      <c r="C27" s="7"/>
      <c r="D27" s="4">
        <f>IF(VSLFO.MGO4567[[#This Row],[FECHA]]-B26=1,((VSLFO.MGO4567[[#This Row],[HORA]]-C26)*24)+24,(VSLFO.MGO4567[[#This Row],[HORA]]-C26)*24)</f>
        <v>0</v>
      </c>
      <c r="E27" s="10"/>
      <c r="F27" s="10"/>
      <c r="G27" s="212"/>
      <c r="H27" s="201"/>
      <c r="I27" s="201"/>
      <c r="J27" s="207"/>
      <c r="K27" s="153"/>
      <c r="L27" s="3"/>
      <c r="M27" s="3"/>
      <c r="N27" s="3">
        <f t="shared" si="0"/>
        <v>0</v>
      </c>
      <c r="O27" s="304"/>
      <c r="P27" s="152">
        <f t="shared" si="2"/>
        <v>0</v>
      </c>
      <c r="Q27" s="150"/>
      <c r="R27" s="304"/>
      <c r="S27" s="304"/>
      <c r="T27" s="304"/>
      <c r="U27" s="304"/>
      <c r="V27" s="304">
        <f t="shared" si="1"/>
        <v>0</v>
      </c>
      <c r="W27" s="304"/>
      <c r="X27" s="151">
        <f>(X26-VSLFO.MGO4567[[#This Row],[TOTAL]])+VSLFO.MGO4567[[#This Row],[FAENA2]]</f>
        <v>0</v>
      </c>
      <c r="Y27" s="150"/>
      <c r="Z27" s="304"/>
      <c r="AA27" s="149">
        <f>(AA26-VSLFO.MGO4567[[#This Row],[CYLINDER MP]])+VSLFO.MGO4567[[#This Row],[FAENA EN LTS]]</f>
        <v>0</v>
      </c>
      <c r="AB27" s="304"/>
      <c r="AC27" s="304"/>
      <c r="AD27" s="149">
        <f>(AD26-VSLFO.MGO4567[[#This Row],[CARTER MP.]])+VSLFO.MGO4567[[#This Row],[FAENA EN LTS2]]</f>
        <v>0</v>
      </c>
      <c r="AE27" s="304"/>
      <c r="AF27" s="304"/>
      <c r="AG27" s="149">
        <f>(AG26-VSLFO.MGO4567[[#This Row],[MOT AUX]])+VSLFO.MGO4567[[#This Row],[FAENA EN  LTS]]</f>
        <v>0</v>
      </c>
      <c r="AH27" s="304"/>
      <c r="AI27" s="304"/>
      <c r="AJ27" s="148">
        <f>(AJ26-VSLFO.MGO4567[[#This Row],[HIDRAULICO]])+VSLFO.MGO4567[[#This Row],[FAENA EN LTS3]]</f>
        <v>0</v>
      </c>
    </row>
    <row r="28" spans="1:36" x14ac:dyDescent="0.25">
      <c r="A28" s="135"/>
      <c r="B28" s="219"/>
      <c r="C28" s="7"/>
      <c r="D28" s="4">
        <f>IF(VSLFO.MGO4567[[#This Row],[FECHA]]-B27=1,((VSLFO.MGO4567[[#This Row],[HORA]]-C27)*24)+24,(VSLFO.MGO4567[[#This Row],[HORA]]-C27)*24)</f>
        <v>0</v>
      </c>
      <c r="E28" s="10"/>
      <c r="F28" s="10"/>
      <c r="G28" s="212"/>
      <c r="H28" s="201"/>
      <c r="I28" s="201"/>
      <c r="J28" s="207"/>
      <c r="K28" s="153"/>
      <c r="L28" s="3"/>
      <c r="M28" s="3"/>
      <c r="N28" s="3">
        <f t="shared" si="0"/>
        <v>0</v>
      </c>
      <c r="O28" s="1"/>
      <c r="P28" s="152">
        <f t="shared" si="2"/>
        <v>0</v>
      </c>
      <c r="Q28" s="150"/>
      <c r="R28" s="304"/>
      <c r="S28" s="304"/>
      <c r="T28" s="304"/>
      <c r="U28" s="304"/>
      <c r="V28" s="304">
        <f t="shared" si="1"/>
        <v>0</v>
      </c>
      <c r="W28" s="304"/>
      <c r="X28" s="151">
        <f>(X27-VSLFO.MGO4567[[#This Row],[TOTAL]])+VSLFO.MGO4567[[#This Row],[FAENA2]]</f>
        <v>0</v>
      </c>
      <c r="Y28" s="150"/>
      <c r="Z28" s="304"/>
      <c r="AA28" s="149">
        <f>(AA27-VSLFO.MGO4567[[#This Row],[CYLINDER MP]])+VSLFO.MGO4567[[#This Row],[FAENA EN LTS]]</f>
        <v>0</v>
      </c>
      <c r="AB28" s="304"/>
      <c r="AC28" s="304"/>
      <c r="AD28" s="149">
        <f>(AD27-VSLFO.MGO4567[[#This Row],[CARTER MP.]])+VSLFO.MGO4567[[#This Row],[FAENA EN LTS2]]</f>
        <v>0</v>
      </c>
      <c r="AE28" s="304"/>
      <c r="AF28" s="304"/>
      <c r="AG28" s="149">
        <f>(AG27-VSLFO.MGO4567[[#This Row],[MOT AUX]])+VSLFO.MGO4567[[#This Row],[FAENA EN  LTS]]</f>
        <v>0</v>
      </c>
      <c r="AH28" s="304"/>
      <c r="AI28" s="304"/>
      <c r="AJ28" s="148">
        <f>(AJ27-VSLFO.MGO4567[[#This Row],[HIDRAULICO]])+VSLFO.MGO4567[[#This Row],[FAENA EN LTS3]]</f>
        <v>0</v>
      </c>
    </row>
    <row r="29" spans="1:36" x14ac:dyDescent="0.25">
      <c r="A29" s="135"/>
      <c r="B29" s="219"/>
      <c r="C29" s="7"/>
      <c r="D29" s="4">
        <f>IF(VSLFO.MGO4567[[#This Row],[FECHA]]-B28=1,((VSLFO.MGO4567[[#This Row],[HORA]]-C28)*24)+24,(VSLFO.MGO4567[[#This Row],[HORA]]-C28)*24)</f>
        <v>0</v>
      </c>
      <c r="E29" s="10"/>
      <c r="F29" s="10"/>
      <c r="G29" s="212"/>
      <c r="H29" s="201"/>
      <c r="I29" s="201"/>
      <c r="J29" s="207"/>
      <c r="K29" s="153"/>
      <c r="L29" s="3"/>
      <c r="M29" s="3"/>
      <c r="N29" s="3">
        <f t="shared" si="0"/>
        <v>0</v>
      </c>
      <c r="O29" s="1"/>
      <c r="P29" s="152">
        <f t="shared" si="2"/>
        <v>0</v>
      </c>
      <c r="Q29" s="150"/>
      <c r="R29" s="304"/>
      <c r="S29" s="304"/>
      <c r="T29" s="304"/>
      <c r="U29" s="304"/>
      <c r="V29" s="304">
        <f t="shared" si="1"/>
        <v>0</v>
      </c>
      <c r="W29" s="304"/>
      <c r="X29" s="151">
        <f>(X28-VSLFO.MGO4567[[#This Row],[TOTAL]])+VSLFO.MGO4567[[#This Row],[FAENA2]]</f>
        <v>0</v>
      </c>
      <c r="Y29" s="150"/>
      <c r="Z29" s="304"/>
      <c r="AA29" s="149">
        <f>(AA28-VSLFO.MGO4567[[#This Row],[CYLINDER MP]])+VSLFO.MGO4567[[#This Row],[FAENA EN LTS]]</f>
        <v>0</v>
      </c>
      <c r="AB29" s="304"/>
      <c r="AC29" s="304"/>
      <c r="AD29" s="149">
        <f>(AD28-VSLFO.MGO4567[[#This Row],[CARTER MP.]])+VSLFO.MGO4567[[#This Row],[FAENA EN LTS2]]</f>
        <v>0</v>
      </c>
      <c r="AE29" s="304"/>
      <c r="AF29" s="304"/>
      <c r="AG29" s="149">
        <f>(AG28-VSLFO.MGO4567[[#This Row],[MOT AUX]])+VSLFO.MGO4567[[#This Row],[FAENA EN  LTS]]</f>
        <v>0</v>
      </c>
      <c r="AH29" s="304"/>
      <c r="AI29" s="304"/>
      <c r="AJ29" s="148">
        <f>(AJ28-VSLFO.MGO4567[[#This Row],[HIDRAULICO]])+VSLFO.MGO4567[[#This Row],[FAENA EN LTS3]]</f>
        <v>0</v>
      </c>
    </row>
    <row r="30" spans="1:36" x14ac:dyDescent="0.25">
      <c r="A30" s="135"/>
      <c r="B30" s="219"/>
      <c r="C30" s="7"/>
      <c r="D30" s="4">
        <f>IF(VSLFO.MGO4567[[#This Row],[FECHA]]-B29=1,((VSLFO.MGO4567[[#This Row],[HORA]]-C29)*24)+24,(VSLFO.MGO4567[[#This Row],[HORA]]-C29)*24)</f>
        <v>0</v>
      </c>
      <c r="E30" s="10"/>
      <c r="F30" s="10"/>
      <c r="G30" s="212"/>
      <c r="H30" s="201"/>
      <c r="I30" s="201"/>
      <c r="J30" s="207"/>
      <c r="K30" s="153"/>
      <c r="L30" s="3"/>
      <c r="M30" s="3"/>
      <c r="N30" s="3">
        <f t="shared" si="0"/>
        <v>0</v>
      </c>
      <c r="O30" s="1"/>
      <c r="P30" s="152">
        <f t="shared" si="2"/>
        <v>0</v>
      </c>
      <c r="Q30" s="150"/>
      <c r="R30" s="304"/>
      <c r="S30" s="304"/>
      <c r="T30" s="304"/>
      <c r="U30" s="304"/>
      <c r="V30" s="304">
        <f t="shared" si="1"/>
        <v>0</v>
      </c>
      <c r="W30" s="304"/>
      <c r="X30" s="151">
        <f>(X29-VSLFO.MGO4567[[#This Row],[TOTAL]])+VSLFO.MGO4567[[#This Row],[FAENA2]]</f>
        <v>0</v>
      </c>
      <c r="Y30" s="150"/>
      <c r="Z30" s="304"/>
      <c r="AA30" s="149">
        <f>(AA29-VSLFO.MGO4567[[#This Row],[CYLINDER MP]])+VSLFO.MGO4567[[#This Row],[FAENA EN LTS]]</f>
        <v>0</v>
      </c>
      <c r="AB30" s="304"/>
      <c r="AC30" s="304"/>
      <c r="AD30" s="149">
        <f>(AD29-VSLFO.MGO4567[[#This Row],[CARTER MP.]])+VSLFO.MGO4567[[#This Row],[FAENA EN LTS2]]</f>
        <v>0</v>
      </c>
      <c r="AE30" s="304"/>
      <c r="AF30" s="304"/>
      <c r="AG30" s="149">
        <f>(AG29-VSLFO.MGO4567[[#This Row],[MOT AUX]])+VSLFO.MGO4567[[#This Row],[FAENA EN  LTS]]</f>
        <v>0</v>
      </c>
      <c r="AH30" s="304"/>
      <c r="AI30" s="304"/>
      <c r="AJ30" s="148">
        <f>(AJ29-VSLFO.MGO4567[[#This Row],[HIDRAULICO]])+VSLFO.MGO4567[[#This Row],[FAENA EN LTS3]]</f>
        <v>0</v>
      </c>
    </row>
    <row r="31" spans="1:36" x14ac:dyDescent="0.25">
      <c r="A31" s="135"/>
      <c r="B31" s="219"/>
      <c r="C31" s="7"/>
      <c r="D31" s="4">
        <f>IF(VSLFO.MGO4567[[#This Row],[FECHA]]-B30=1,((VSLFO.MGO4567[[#This Row],[HORA]]-C30)*24)+24,(VSLFO.MGO4567[[#This Row],[HORA]]-C30)*24)</f>
        <v>0</v>
      </c>
      <c r="E31" s="10"/>
      <c r="F31" s="10"/>
      <c r="G31" s="212"/>
      <c r="H31" s="201"/>
      <c r="I31" s="201"/>
      <c r="J31" s="207"/>
      <c r="K31" s="153"/>
      <c r="L31" s="3"/>
      <c r="M31" s="3"/>
      <c r="N31" s="3">
        <f t="shared" si="0"/>
        <v>0</v>
      </c>
      <c r="O31" s="1"/>
      <c r="P31" s="152">
        <f t="shared" si="2"/>
        <v>0</v>
      </c>
      <c r="Q31" s="150"/>
      <c r="R31" s="304"/>
      <c r="S31" s="304"/>
      <c r="T31" s="304"/>
      <c r="U31" s="304"/>
      <c r="V31" s="304">
        <f t="shared" si="1"/>
        <v>0</v>
      </c>
      <c r="W31" s="304"/>
      <c r="X31" s="151">
        <f>(X30-VSLFO.MGO4567[[#This Row],[TOTAL]])+VSLFO.MGO4567[[#This Row],[FAENA2]]</f>
        <v>0</v>
      </c>
      <c r="Y31" s="150"/>
      <c r="Z31" s="304"/>
      <c r="AA31" s="149">
        <f>(AA30-VSLFO.MGO4567[[#This Row],[CYLINDER MP]])+VSLFO.MGO4567[[#This Row],[FAENA EN LTS]]</f>
        <v>0</v>
      </c>
      <c r="AB31" s="304"/>
      <c r="AC31" s="304"/>
      <c r="AD31" s="149">
        <f>(AD30-VSLFO.MGO4567[[#This Row],[CARTER MP.]])+VSLFO.MGO4567[[#This Row],[FAENA EN LTS2]]</f>
        <v>0</v>
      </c>
      <c r="AE31" s="304"/>
      <c r="AF31" s="304"/>
      <c r="AG31" s="149">
        <f>(AG30-VSLFO.MGO4567[[#This Row],[MOT AUX]])+VSLFO.MGO4567[[#This Row],[FAENA EN  LTS]]</f>
        <v>0</v>
      </c>
      <c r="AH31" s="304"/>
      <c r="AI31" s="304"/>
      <c r="AJ31" s="148">
        <f>(AJ30-VSLFO.MGO4567[[#This Row],[HIDRAULICO]])+VSLFO.MGO4567[[#This Row],[FAENA EN LTS3]]</f>
        <v>0</v>
      </c>
    </row>
    <row r="32" spans="1:36" x14ac:dyDescent="0.25">
      <c r="A32" s="135"/>
      <c r="B32" s="219"/>
      <c r="C32" s="7"/>
      <c r="D32" s="4">
        <f>IF(VSLFO.MGO4567[[#This Row],[FECHA]]-B31=1,((VSLFO.MGO4567[[#This Row],[HORA]]-C31)*24)+24,(VSLFO.MGO4567[[#This Row],[HORA]]-C31)*24)</f>
        <v>0</v>
      </c>
      <c r="E32" s="10"/>
      <c r="F32" s="10"/>
      <c r="G32" s="212"/>
      <c r="H32" s="201"/>
      <c r="I32" s="201"/>
      <c r="J32" s="207"/>
      <c r="K32" s="153"/>
      <c r="L32" s="3"/>
      <c r="M32" s="3"/>
      <c r="N32" s="3">
        <f t="shared" si="0"/>
        <v>0</v>
      </c>
      <c r="O32" s="1"/>
      <c r="P32" s="152">
        <f t="shared" si="2"/>
        <v>0</v>
      </c>
      <c r="Q32" s="150"/>
      <c r="R32" s="304"/>
      <c r="S32" s="304"/>
      <c r="T32" s="304"/>
      <c r="U32" s="304"/>
      <c r="V32" s="304">
        <f t="shared" si="1"/>
        <v>0</v>
      </c>
      <c r="W32" s="304"/>
      <c r="X32" s="151">
        <f>(X31-VSLFO.MGO4567[[#This Row],[TOTAL]])+VSLFO.MGO4567[[#This Row],[FAENA2]]</f>
        <v>0</v>
      </c>
      <c r="Y32" s="150"/>
      <c r="Z32" s="304"/>
      <c r="AA32" s="149">
        <f>(AA31-VSLFO.MGO4567[[#This Row],[CYLINDER MP]])+VSLFO.MGO4567[[#This Row],[FAENA EN LTS]]</f>
        <v>0</v>
      </c>
      <c r="AB32" s="304"/>
      <c r="AC32" s="304"/>
      <c r="AD32" s="149">
        <f>(AD31-VSLFO.MGO4567[[#This Row],[CARTER MP.]])+VSLFO.MGO4567[[#This Row],[FAENA EN LTS2]]</f>
        <v>0</v>
      </c>
      <c r="AE32" s="304"/>
      <c r="AF32" s="304"/>
      <c r="AG32" s="149">
        <f>(AG31-VSLFO.MGO4567[[#This Row],[MOT AUX]])+VSLFO.MGO4567[[#This Row],[FAENA EN  LTS]]</f>
        <v>0</v>
      </c>
      <c r="AH32" s="304"/>
      <c r="AI32" s="304"/>
      <c r="AJ32" s="148">
        <f>(AJ31-VSLFO.MGO4567[[#This Row],[HIDRAULICO]])+VSLFO.MGO4567[[#This Row],[FAENA EN LTS3]]</f>
        <v>0</v>
      </c>
    </row>
    <row r="33" spans="1:36" x14ac:dyDescent="0.25">
      <c r="A33" s="135"/>
      <c r="B33" s="219"/>
      <c r="C33" s="7"/>
      <c r="D33" s="4">
        <f>IF(VSLFO.MGO4567[[#This Row],[FECHA]]-B32=1,((VSLFO.MGO4567[[#This Row],[HORA]]-C32)*24)+24,(VSLFO.MGO4567[[#This Row],[HORA]]-C32)*24)</f>
        <v>0</v>
      </c>
      <c r="E33" s="10"/>
      <c r="F33" s="10"/>
      <c r="G33" s="212"/>
      <c r="H33" s="201"/>
      <c r="I33" s="201"/>
      <c r="J33" s="207"/>
      <c r="K33" s="153"/>
      <c r="L33" s="3"/>
      <c r="M33" s="3"/>
      <c r="N33" s="3">
        <f t="shared" si="0"/>
        <v>0</v>
      </c>
      <c r="O33" s="1"/>
      <c r="P33" s="152">
        <f t="shared" si="2"/>
        <v>0</v>
      </c>
      <c r="Q33" s="150"/>
      <c r="R33" s="304"/>
      <c r="S33" s="304"/>
      <c r="T33" s="304"/>
      <c r="U33" s="304"/>
      <c r="V33" s="304">
        <f t="shared" si="1"/>
        <v>0</v>
      </c>
      <c r="W33" s="304"/>
      <c r="X33" s="151">
        <f>(X32-VSLFO.MGO4567[[#This Row],[TOTAL]])+VSLFO.MGO4567[[#This Row],[FAENA2]]</f>
        <v>0</v>
      </c>
      <c r="Y33" s="150"/>
      <c r="Z33" s="304"/>
      <c r="AA33" s="149">
        <f>(AA32-VSLFO.MGO4567[[#This Row],[CYLINDER MP]])+VSLFO.MGO4567[[#This Row],[FAENA EN LTS]]</f>
        <v>0</v>
      </c>
      <c r="AB33" s="304"/>
      <c r="AC33" s="304"/>
      <c r="AD33" s="149">
        <f>(AD32-VSLFO.MGO4567[[#This Row],[CARTER MP.]])+VSLFO.MGO4567[[#This Row],[FAENA EN LTS2]]</f>
        <v>0</v>
      </c>
      <c r="AE33" s="304"/>
      <c r="AF33" s="304"/>
      <c r="AG33" s="149">
        <f>(AG32-VSLFO.MGO4567[[#This Row],[MOT AUX]])+VSLFO.MGO4567[[#This Row],[FAENA EN  LTS]]</f>
        <v>0</v>
      </c>
      <c r="AH33" s="304"/>
      <c r="AI33" s="304"/>
      <c r="AJ33" s="148">
        <f>(AJ32-VSLFO.MGO4567[[#This Row],[HIDRAULICO]])+VSLFO.MGO4567[[#This Row],[FAENA EN LTS3]]</f>
        <v>0</v>
      </c>
    </row>
    <row r="34" spans="1:36" x14ac:dyDescent="0.25">
      <c r="A34" s="135"/>
      <c r="B34" s="219"/>
      <c r="C34" s="7"/>
      <c r="D34" s="4">
        <f>IF(VSLFO.MGO4567[[#This Row],[FECHA]]-B33=1,((VSLFO.MGO4567[[#This Row],[HORA]]-C33)*24)+24,(VSLFO.MGO4567[[#This Row],[HORA]]-C33)*24)</f>
        <v>0</v>
      </c>
      <c r="E34" s="10"/>
      <c r="F34" s="10"/>
      <c r="G34" s="212"/>
      <c r="H34" s="201"/>
      <c r="I34" s="201"/>
      <c r="J34" s="207"/>
      <c r="K34" s="153"/>
      <c r="L34" s="3"/>
      <c r="M34" s="3"/>
      <c r="N34" s="3">
        <f t="shared" si="0"/>
        <v>0</v>
      </c>
      <c r="O34" s="1"/>
      <c r="P34" s="152">
        <f t="shared" si="2"/>
        <v>0</v>
      </c>
      <c r="Q34" s="150"/>
      <c r="R34" s="304"/>
      <c r="S34" s="304"/>
      <c r="T34" s="304"/>
      <c r="U34" s="304"/>
      <c r="V34" s="304">
        <f t="shared" si="1"/>
        <v>0</v>
      </c>
      <c r="W34" s="304"/>
      <c r="X34" s="151">
        <f>(X33-VSLFO.MGO4567[[#This Row],[TOTAL]])+VSLFO.MGO4567[[#This Row],[FAENA2]]</f>
        <v>0</v>
      </c>
      <c r="Y34" s="150"/>
      <c r="Z34" s="304"/>
      <c r="AA34" s="149">
        <f>(AA33-VSLFO.MGO4567[[#This Row],[CYLINDER MP]])+VSLFO.MGO4567[[#This Row],[FAENA EN LTS]]</f>
        <v>0</v>
      </c>
      <c r="AB34" s="304"/>
      <c r="AC34" s="304"/>
      <c r="AD34" s="149">
        <f>(AD33-VSLFO.MGO4567[[#This Row],[CARTER MP.]])+VSLFO.MGO4567[[#This Row],[FAENA EN LTS2]]</f>
        <v>0</v>
      </c>
      <c r="AE34" s="304"/>
      <c r="AF34" s="304"/>
      <c r="AG34" s="149">
        <f>(AG33-VSLFO.MGO4567[[#This Row],[MOT AUX]])+VSLFO.MGO4567[[#This Row],[FAENA EN  LTS]]</f>
        <v>0</v>
      </c>
      <c r="AH34" s="304"/>
      <c r="AI34" s="304"/>
      <c r="AJ34" s="148">
        <f>(AJ33-VSLFO.MGO4567[[#This Row],[HIDRAULICO]])+VSLFO.MGO4567[[#This Row],[FAENA EN LTS3]]</f>
        <v>0</v>
      </c>
    </row>
    <row r="35" spans="1:36" x14ac:dyDescent="0.25">
      <c r="A35" s="135"/>
      <c r="B35" s="219"/>
      <c r="C35" s="7"/>
      <c r="D35" s="4">
        <f>IF(VSLFO.MGO4567[[#This Row],[FECHA]]-B34=1,((VSLFO.MGO4567[[#This Row],[HORA]]-C34)*24)+24,(VSLFO.MGO4567[[#This Row],[HORA]]-C34)*24)</f>
        <v>0</v>
      </c>
      <c r="E35" s="10"/>
      <c r="F35" s="10"/>
      <c r="G35" s="212"/>
      <c r="H35" s="201"/>
      <c r="I35" s="201"/>
      <c r="J35" s="207"/>
      <c r="K35" s="153"/>
      <c r="L35" s="3"/>
      <c r="M35" s="3"/>
      <c r="N35" s="3">
        <f t="shared" si="0"/>
        <v>0</v>
      </c>
      <c r="O35" s="1"/>
      <c r="P35" s="152">
        <f t="shared" si="2"/>
        <v>0</v>
      </c>
      <c r="Q35" s="150"/>
      <c r="R35" s="304"/>
      <c r="S35" s="304"/>
      <c r="T35" s="304"/>
      <c r="U35" s="304"/>
      <c r="V35" s="304">
        <f t="shared" si="1"/>
        <v>0</v>
      </c>
      <c r="W35" s="304"/>
      <c r="X35" s="151">
        <f>(X34-VSLFO.MGO4567[[#This Row],[TOTAL]])+VSLFO.MGO4567[[#This Row],[FAENA2]]</f>
        <v>0</v>
      </c>
      <c r="Y35" s="150"/>
      <c r="Z35" s="304"/>
      <c r="AA35" s="149">
        <f>(AA34-VSLFO.MGO4567[[#This Row],[CYLINDER MP]])+VSLFO.MGO4567[[#This Row],[FAENA EN LTS]]</f>
        <v>0</v>
      </c>
      <c r="AB35" s="304"/>
      <c r="AC35" s="304"/>
      <c r="AD35" s="149">
        <f>(AD34-VSLFO.MGO4567[[#This Row],[CARTER MP.]])+VSLFO.MGO4567[[#This Row],[FAENA EN LTS2]]</f>
        <v>0</v>
      </c>
      <c r="AE35" s="304"/>
      <c r="AF35" s="304"/>
      <c r="AG35" s="149">
        <f>(AG34-VSLFO.MGO4567[[#This Row],[MOT AUX]])+VSLFO.MGO4567[[#This Row],[FAENA EN  LTS]]</f>
        <v>0</v>
      </c>
      <c r="AH35" s="304"/>
      <c r="AI35" s="304"/>
      <c r="AJ35" s="148">
        <f>(AJ34-VSLFO.MGO4567[[#This Row],[HIDRAULICO]])+VSLFO.MGO4567[[#This Row],[FAENA EN LTS3]]</f>
        <v>0</v>
      </c>
    </row>
    <row r="36" spans="1:36" x14ac:dyDescent="0.25">
      <c r="A36" s="135"/>
      <c r="B36" s="219"/>
      <c r="C36" s="7"/>
      <c r="D36" s="4">
        <f>IF(VSLFO.MGO4567[[#This Row],[FECHA]]-B35=1,((VSLFO.MGO4567[[#This Row],[HORA]]-C35)*24)+24,(VSLFO.MGO4567[[#This Row],[HORA]]-C35)*24)</f>
        <v>0</v>
      </c>
      <c r="E36" s="10"/>
      <c r="F36" s="10"/>
      <c r="G36" s="212"/>
      <c r="H36" s="201"/>
      <c r="I36" s="201"/>
      <c r="J36" s="207"/>
      <c r="K36" s="153"/>
      <c r="L36" s="3"/>
      <c r="M36" s="3"/>
      <c r="N36" s="3">
        <f t="shared" si="0"/>
        <v>0</v>
      </c>
      <c r="O36" s="1"/>
      <c r="P36" s="152">
        <f t="shared" si="2"/>
        <v>0</v>
      </c>
      <c r="Q36" s="150"/>
      <c r="R36" s="304"/>
      <c r="S36" s="304"/>
      <c r="T36" s="304"/>
      <c r="U36" s="304"/>
      <c r="V36" s="304">
        <f t="shared" si="1"/>
        <v>0</v>
      </c>
      <c r="W36" s="304"/>
      <c r="X36" s="151">
        <f>(X35-VSLFO.MGO4567[[#This Row],[TOTAL]])+VSLFO.MGO4567[[#This Row],[FAENA2]]</f>
        <v>0</v>
      </c>
      <c r="Y36" s="150"/>
      <c r="Z36" s="304"/>
      <c r="AA36" s="149">
        <f>(AA35-VSLFO.MGO4567[[#This Row],[CYLINDER MP]])+VSLFO.MGO4567[[#This Row],[FAENA EN LTS]]</f>
        <v>0</v>
      </c>
      <c r="AB36" s="304"/>
      <c r="AC36" s="304"/>
      <c r="AD36" s="149">
        <f>(AD35-VSLFO.MGO4567[[#This Row],[CARTER MP.]])+VSLFO.MGO4567[[#This Row],[FAENA EN LTS2]]</f>
        <v>0</v>
      </c>
      <c r="AE36" s="304"/>
      <c r="AF36" s="304"/>
      <c r="AG36" s="149">
        <f>(AG35-VSLFO.MGO4567[[#This Row],[MOT AUX]])+VSLFO.MGO4567[[#This Row],[FAENA EN  LTS]]</f>
        <v>0</v>
      </c>
      <c r="AH36" s="304"/>
      <c r="AI36" s="304"/>
      <c r="AJ36" s="148">
        <f>(AJ35-VSLFO.MGO4567[[#This Row],[HIDRAULICO]])+VSLFO.MGO4567[[#This Row],[FAENA EN LTS3]]</f>
        <v>0</v>
      </c>
    </row>
    <row r="37" spans="1:36" x14ac:dyDescent="0.25">
      <c r="A37" s="161"/>
      <c r="B37" s="219"/>
      <c r="C37" s="160"/>
      <c r="D37" s="4">
        <f>IF(VSLFO.MGO4567[[#This Row],[FECHA]]-B36=1,((VSLFO.MGO4567[[#This Row],[HORA]]-C36)*24)+24,(VSLFO.MGO4567[[#This Row],[HORA]]-C36)*24)</f>
        <v>0</v>
      </c>
      <c r="E37" s="10"/>
      <c r="F37" s="10"/>
      <c r="G37" s="214"/>
      <c r="H37" s="203"/>
      <c r="I37" s="202"/>
      <c r="J37" s="209"/>
      <c r="K37" s="159"/>
      <c r="L37" s="158"/>
      <c r="M37" s="158"/>
      <c r="N37" s="3">
        <f t="shared" si="0"/>
        <v>0</v>
      </c>
      <c r="O37" s="157"/>
      <c r="P37" s="152">
        <f t="shared" si="2"/>
        <v>0</v>
      </c>
      <c r="Q37" s="156"/>
      <c r="R37" s="155"/>
      <c r="S37" s="155"/>
      <c r="T37" s="155"/>
      <c r="U37" s="155"/>
      <c r="V37" s="155">
        <f t="shared" ref="V37:V100" si="3">SUM(Q37:U37)</f>
        <v>0</v>
      </c>
      <c r="W37" s="155"/>
      <c r="X37" s="151">
        <f>(X36-VSLFO.MGO4567[[#This Row],[TOTAL]])+VSLFO.MGO4567[[#This Row],[FAENA2]]</f>
        <v>0</v>
      </c>
      <c r="Y37" s="156"/>
      <c r="Z37" s="155"/>
      <c r="AA37" s="149">
        <f>(AA36-VSLFO.MGO4567[[#This Row],[CYLINDER MP]])+VSLFO.MGO4567[[#This Row],[FAENA EN LTS]]</f>
        <v>0</v>
      </c>
      <c r="AB37" s="155"/>
      <c r="AC37" s="155"/>
      <c r="AD37" s="149">
        <f>(AD36-VSLFO.MGO4567[[#This Row],[CARTER MP.]])+VSLFO.MGO4567[[#This Row],[FAENA EN LTS2]]</f>
        <v>0</v>
      </c>
      <c r="AE37" s="155"/>
      <c r="AF37" s="155"/>
      <c r="AG37" s="149">
        <f>(AG36-VSLFO.MGO4567[[#This Row],[MOT AUX]])+VSLFO.MGO4567[[#This Row],[FAENA EN  LTS]]</f>
        <v>0</v>
      </c>
      <c r="AH37" s="155"/>
      <c r="AI37" s="155"/>
      <c r="AJ37" s="148">
        <f>(AJ36-VSLFO.MGO4567[[#This Row],[HIDRAULICO]])+VSLFO.MGO4567[[#This Row],[FAENA EN LTS3]]</f>
        <v>0</v>
      </c>
    </row>
    <row r="38" spans="1:36" x14ac:dyDescent="0.25">
      <c r="A38" s="335"/>
      <c r="B38" s="219"/>
      <c r="C38" s="160"/>
      <c r="D38" s="4">
        <f>IF(VSLFO.MGO4567[[#This Row],[FECHA]]-B37=1,((VSLFO.MGO4567[[#This Row],[HORA]]-C37)*24)+24,(VSLFO.MGO4567[[#This Row],[HORA]]-C37)*24)</f>
        <v>0</v>
      </c>
      <c r="E38" s="10"/>
      <c r="F38" s="10"/>
      <c r="G38" s="214"/>
      <c r="H38" s="203"/>
      <c r="I38" s="202"/>
      <c r="J38" s="209"/>
      <c r="K38" s="159"/>
      <c r="L38" s="158"/>
      <c r="M38" s="158"/>
      <c r="N38" s="3">
        <f t="shared" si="0"/>
        <v>0</v>
      </c>
      <c r="O38" s="157"/>
      <c r="P38" s="152">
        <f t="shared" si="2"/>
        <v>0</v>
      </c>
      <c r="Q38" s="156"/>
      <c r="R38" s="155"/>
      <c r="S38" s="155"/>
      <c r="T38" s="155"/>
      <c r="U38" s="155"/>
      <c r="V38" s="155">
        <f t="shared" si="3"/>
        <v>0</v>
      </c>
      <c r="W38" s="155"/>
      <c r="X38" s="151">
        <f>(X37-VSLFO.MGO4567[[#This Row],[TOTAL]])+VSLFO.MGO4567[[#This Row],[FAENA2]]</f>
        <v>0</v>
      </c>
      <c r="Y38" s="156"/>
      <c r="Z38" s="155"/>
      <c r="AA38" s="149">
        <f>(AA37-VSLFO.MGO4567[[#This Row],[CYLINDER MP]])+VSLFO.MGO4567[[#This Row],[FAENA EN LTS]]</f>
        <v>0</v>
      </c>
      <c r="AB38" s="155"/>
      <c r="AC38" s="155"/>
      <c r="AD38" s="149">
        <f>(AD37-VSLFO.MGO4567[[#This Row],[CARTER MP.]])+VSLFO.MGO4567[[#This Row],[FAENA EN LTS2]]</f>
        <v>0</v>
      </c>
      <c r="AE38" s="155"/>
      <c r="AF38" s="155"/>
      <c r="AG38" s="149">
        <f>(AG37-VSLFO.MGO4567[[#This Row],[MOT AUX]])+VSLFO.MGO4567[[#This Row],[FAENA EN  LTS]]</f>
        <v>0</v>
      </c>
      <c r="AH38" s="155"/>
      <c r="AI38" s="155"/>
      <c r="AJ38" s="148">
        <f>(AJ37-VSLFO.MGO4567[[#This Row],[HIDRAULICO]])+VSLFO.MGO4567[[#This Row],[FAENA EN LTS3]]</f>
        <v>0</v>
      </c>
    </row>
    <row r="39" spans="1:36" x14ac:dyDescent="0.25">
      <c r="A39" s="161"/>
      <c r="B39" s="219"/>
      <c r="C39" s="160"/>
      <c r="D39" s="4">
        <f>IF(VSLFO.MGO4567[[#This Row],[FECHA]]-B38=1,((VSLFO.MGO4567[[#This Row],[HORA]]-C38)*24)+24,(VSLFO.MGO4567[[#This Row],[HORA]]-C38)*24)</f>
        <v>0</v>
      </c>
      <c r="E39" s="10"/>
      <c r="F39" s="10"/>
      <c r="G39" s="214"/>
      <c r="H39" s="203"/>
      <c r="I39" s="202"/>
      <c r="J39" s="209"/>
      <c r="K39" s="159"/>
      <c r="L39" s="158"/>
      <c r="M39" s="158"/>
      <c r="N39" s="3">
        <f t="shared" si="0"/>
        <v>0</v>
      </c>
      <c r="O39" s="157"/>
      <c r="P39" s="152">
        <f t="shared" si="2"/>
        <v>0</v>
      </c>
      <c r="Q39" s="156"/>
      <c r="R39" s="155"/>
      <c r="S39" s="155"/>
      <c r="T39" s="155"/>
      <c r="U39" s="155"/>
      <c r="V39" s="155">
        <f t="shared" si="3"/>
        <v>0</v>
      </c>
      <c r="W39" s="155"/>
      <c r="X39" s="151">
        <f>(X38-VSLFO.MGO4567[[#This Row],[TOTAL]])+VSLFO.MGO4567[[#This Row],[FAENA2]]</f>
        <v>0</v>
      </c>
      <c r="Y39" s="156"/>
      <c r="Z39" s="155"/>
      <c r="AA39" s="149">
        <f>(AA38-VSLFO.MGO4567[[#This Row],[CYLINDER MP]])+VSLFO.MGO4567[[#This Row],[FAENA EN LTS]]</f>
        <v>0</v>
      </c>
      <c r="AB39" s="155"/>
      <c r="AC39" s="155"/>
      <c r="AD39" s="149">
        <f>(AD38-VSLFO.MGO4567[[#This Row],[CARTER MP.]])+VSLFO.MGO4567[[#This Row],[FAENA EN LTS2]]</f>
        <v>0</v>
      </c>
      <c r="AE39" s="155"/>
      <c r="AF39" s="155"/>
      <c r="AG39" s="149">
        <f>(AG38-VSLFO.MGO4567[[#This Row],[MOT AUX]])+VSLFO.MGO4567[[#This Row],[FAENA EN  LTS]]</f>
        <v>0</v>
      </c>
      <c r="AH39" s="155"/>
      <c r="AI39" s="155"/>
      <c r="AJ39" s="148">
        <f>(AJ38-VSLFO.MGO4567[[#This Row],[HIDRAULICO]])+VSLFO.MGO4567[[#This Row],[FAENA EN LTS3]]</f>
        <v>0</v>
      </c>
    </row>
    <row r="40" spans="1:36" x14ac:dyDescent="0.25">
      <c r="A40" s="135"/>
      <c r="B40" s="219"/>
      <c r="C40" s="7"/>
      <c r="D40" s="4">
        <f>IF(VSLFO.MGO4567[[#This Row],[FECHA]]-B39=1,((VSLFO.MGO4567[[#This Row],[HORA]]-C39)*24)+24,(VSLFO.MGO4567[[#This Row],[HORA]]-C39)*24)</f>
        <v>0</v>
      </c>
      <c r="E40" s="10"/>
      <c r="F40" s="10"/>
      <c r="G40" s="212"/>
      <c r="H40" s="201"/>
      <c r="I40" s="201"/>
      <c r="J40" s="207"/>
      <c r="K40" s="153"/>
      <c r="L40" s="3"/>
      <c r="M40" s="3"/>
      <c r="N40" s="3">
        <f t="shared" si="0"/>
        <v>0</v>
      </c>
      <c r="O40" s="1"/>
      <c r="P40" s="152">
        <f t="shared" si="2"/>
        <v>0</v>
      </c>
      <c r="Q40" s="150"/>
      <c r="R40" s="304"/>
      <c r="S40" s="304"/>
      <c r="T40" s="304"/>
      <c r="U40" s="304"/>
      <c r="V40" s="155">
        <f t="shared" si="3"/>
        <v>0</v>
      </c>
      <c r="W40" s="304"/>
      <c r="X40" s="151">
        <f>(X39-VSLFO.MGO4567[[#This Row],[TOTAL]])+VSLFO.MGO4567[[#This Row],[FAENA2]]</f>
        <v>0</v>
      </c>
      <c r="Y40" s="150"/>
      <c r="Z40" s="304"/>
      <c r="AA40" s="149">
        <f>(AA39-VSLFO.MGO4567[[#This Row],[CYLINDER MP]])+VSLFO.MGO4567[[#This Row],[FAENA EN LTS]]</f>
        <v>0</v>
      </c>
      <c r="AB40" s="304"/>
      <c r="AC40" s="304"/>
      <c r="AD40" s="149">
        <f>(AD39-VSLFO.MGO4567[[#This Row],[CARTER MP.]])+VSLFO.MGO4567[[#This Row],[FAENA EN LTS2]]</f>
        <v>0</v>
      </c>
      <c r="AE40" s="304"/>
      <c r="AF40" s="304"/>
      <c r="AG40" s="149">
        <f>(AG39-VSLFO.MGO4567[[#This Row],[MOT AUX]])+VSLFO.MGO4567[[#This Row],[FAENA EN  LTS]]</f>
        <v>0</v>
      </c>
      <c r="AH40" s="304"/>
      <c r="AI40" s="304"/>
      <c r="AJ40" s="148">
        <f>(AJ39-VSLFO.MGO4567[[#This Row],[HIDRAULICO]])+VSLFO.MGO4567[[#This Row],[FAENA EN LTS3]]</f>
        <v>0</v>
      </c>
    </row>
    <row r="41" spans="1:36" x14ac:dyDescent="0.25">
      <c r="A41" s="161"/>
      <c r="B41" s="219"/>
      <c r="C41" s="160"/>
      <c r="D41" s="4">
        <f>IF(VSLFO.MGO4567[[#This Row],[FECHA]]-B40=1,((VSLFO.MGO4567[[#This Row],[HORA]]-C40)*24)+24,(VSLFO.MGO4567[[#This Row],[HORA]]-C40)*24)</f>
        <v>0</v>
      </c>
      <c r="E41" s="10"/>
      <c r="F41" s="10"/>
      <c r="G41" s="214"/>
      <c r="H41" s="203"/>
      <c r="I41" s="203"/>
      <c r="J41" s="209"/>
      <c r="K41" s="159"/>
      <c r="L41" s="158"/>
      <c r="M41" s="158"/>
      <c r="N41" s="3">
        <f t="shared" si="0"/>
        <v>0</v>
      </c>
      <c r="O41" s="157"/>
      <c r="P41" s="152">
        <f t="shared" si="2"/>
        <v>0</v>
      </c>
      <c r="Q41" s="156"/>
      <c r="R41" s="155"/>
      <c r="S41" s="155"/>
      <c r="T41" s="155"/>
      <c r="U41" s="155"/>
      <c r="V41" s="155">
        <f t="shared" si="3"/>
        <v>0</v>
      </c>
      <c r="W41" s="155"/>
      <c r="X41" s="151">
        <f>(X40-VSLFO.MGO4567[[#This Row],[TOTAL]])+VSLFO.MGO4567[[#This Row],[FAENA2]]</f>
        <v>0</v>
      </c>
      <c r="Y41" s="156"/>
      <c r="Z41" s="155"/>
      <c r="AA41" s="149">
        <f>(AA40-VSLFO.MGO4567[[#This Row],[CYLINDER MP]])+VSLFO.MGO4567[[#This Row],[FAENA EN LTS]]</f>
        <v>0</v>
      </c>
      <c r="AB41" s="155"/>
      <c r="AC41" s="155"/>
      <c r="AD41" s="149">
        <f>(AD40-VSLFO.MGO4567[[#This Row],[CARTER MP.]])+VSLFO.MGO4567[[#This Row],[FAENA EN LTS2]]</f>
        <v>0</v>
      </c>
      <c r="AE41" s="155"/>
      <c r="AF41" s="155"/>
      <c r="AG41" s="149">
        <f>(AG40-VSLFO.MGO4567[[#This Row],[MOT AUX]])+VSLFO.MGO4567[[#This Row],[FAENA EN  LTS]]</f>
        <v>0</v>
      </c>
      <c r="AH41" s="155"/>
      <c r="AI41" s="155"/>
      <c r="AJ41" s="148">
        <f>(AJ40-VSLFO.MGO4567[[#This Row],[HIDRAULICO]])+VSLFO.MGO4567[[#This Row],[FAENA EN LTS3]]</f>
        <v>0</v>
      </c>
    </row>
    <row r="42" spans="1:36" x14ac:dyDescent="0.25">
      <c r="A42" s="135"/>
      <c r="B42" s="219"/>
      <c r="C42" s="7"/>
      <c r="D42" s="4">
        <f>IF(VSLFO.MGO4567[[#This Row],[FECHA]]-B41=1,((VSLFO.MGO4567[[#This Row],[HORA]]-C41)*24)+24,(VSLFO.MGO4567[[#This Row],[HORA]]-C41)*24)</f>
        <v>0</v>
      </c>
      <c r="E42" s="10"/>
      <c r="F42" s="10"/>
      <c r="G42" s="212"/>
      <c r="H42" s="201"/>
      <c r="I42" s="201"/>
      <c r="J42" s="207"/>
      <c r="K42" s="153"/>
      <c r="L42" s="3"/>
      <c r="M42" s="3"/>
      <c r="N42" s="3">
        <f t="shared" si="0"/>
        <v>0</v>
      </c>
      <c r="O42" s="1"/>
      <c r="P42" s="152">
        <f t="shared" si="2"/>
        <v>0</v>
      </c>
      <c r="Q42" s="150"/>
      <c r="R42" s="304"/>
      <c r="S42" s="304"/>
      <c r="T42" s="304"/>
      <c r="U42" s="304"/>
      <c r="V42" s="155">
        <f t="shared" si="3"/>
        <v>0</v>
      </c>
      <c r="W42" s="304"/>
      <c r="X42" s="151">
        <f>(X41-VSLFO.MGO4567[[#This Row],[TOTAL]])+VSLFO.MGO4567[[#This Row],[FAENA2]]</f>
        <v>0</v>
      </c>
      <c r="Y42" s="150"/>
      <c r="Z42" s="304"/>
      <c r="AA42" s="149">
        <f>(AA41-VSLFO.MGO4567[[#This Row],[CYLINDER MP]])+VSLFO.MGO4567[[#This Row],[FAENA EN LTS]]</f>
        <v>0</v>
      </c>
      <c r="AB42" s="304"/>
      <c r="AC42" s="304"/>
      <c r="AD42" s="149">
        <f>(AD41-VSLFO.MGO4567[[#This Row],[CARTER MP.]])+VSLFO.MGO4567[[#This Row],[FAENA EN LTS2]]</f>
        <v>0</v>
      </c>
      <c r="AE42" s="304"/>
      <c r="AF42" s="304"/>
      <c r="AG42" s="149">
        <f>(AG41-VSLFO.MGO4567[[#This Row],[MOT AUX]])+VSLFO.MGO4567[[#This Row],[FAENA EN  LTS]]</f>
        <v>0</v>
      </c>
      <c r="AH42" s="304"/>
      <c r="AI42" s="304"/>
      <c r="AJ42" s="148">
        <f>(AJ41-VSLFO.MGO4567[[#This Row],[HIDRAULICO]])+VSLFO.MGO4567[[#This Row],[FAENA EN LTS3]]</f>
        <v>0</v>
      </c>
    </row>
    <row r="43" spans="1:36" x14ac:dyDescent="0.25">
      <c r="A43" s="135"/>
      <c r="B43" s="219"/>
      <c r="C43" s="7"/>
      <c r="D43" s="4">
        <f>IF(VSLFO.MGO4567[[#This Row],[FECHA]]-B42=1,((VSLFO.MGO4567[[#This Row],[HORA]]-C42)*24)+24,(VSLFO.MGO4567[[#This Row],[HORA]]-C42)*24)</f>
        <v>0</v>
      </c>
      <c r="E43" s="10"/>
      <c r="F43" s="10"/>
      <c r="G43" s="212"/>
      <c r="H43" s="201"/>
      <c r="I43" s="201"/>
      <c r="J43" s="207"/>
      <c r="K43" s="153"/>
      <c r="L43" s="3"/>
      <c r="M43" s="3"/>
      <c r="N43" s="3">
        <f t="shared" si="0"/>
        <v>0</v>
      </c>
      <c r="O43" s="1"/>
      <c r="P43" s="152">
        <f t="shared" si="2"/>
        <v>0</v>
      </c>
      <c r="Q43" s="150"/>
      <c r="R43" s="304"/>
      <c r="S43" s="304"/>
      <c r="T43" s="304"/>
      <c r="U43" s="304"/>
      <c r="V43" s="155">
        <f t="shared" si="3"/>
        <v>0</v>
      </c>
      <c r="W43" s="304"/>
      <c r="X43" s="151">
        <f>(X42-VSLFO.MGO4567[[#This Row],[TOTAL]])+VSLFO.MGO4567[[#This Row],[FAENA2]]</f>
        <v>0</v>
      </c>
      <c r="Y43" s="150"/>
      <c r="Z43" s="304"/>
      <c r="AA43" s="149">
        <f>(AA42-VSLFO.MGO4567[[#This Row],[CYLINDER MP]])+VSLFO.MGO4567[[#This Row],[FAENA EN LTS]]</f>
        <v>0</v>
      </c>
      <c r="AB43" s="304"/>
      <c r="AC43" s="304"/>
      <c r="AD43" s="149">
        <f>(AD42-VSLFO.MGO4567[[#This Row],[CARTER MP.]])+VSLFO.MGO4567[[#This Row],[FAENA EN LTS2]]</f>
        <v>0</v>
      </c>
      <c r="AE43" s="304"/>
      <c r="AF43" s="304"/>
      <c r="AG43" s="149">
        <f>(AG42-VSLFO.MGO4567[[#This Row],[MOT AUX]])+VSLFO.MGO4567[[#This Row],[FAENA EN  LTS]]</f>
        <v>0</v>
      </c>
      <c r="AH43" s="304"/>
      <c r="AI43" s="304"/>
      <c r="AJ43" s="148">
        <f>(AJ42-VSLFO.MGO4567[[#This Row],[HIDRAULICO]])+VSLFO.MGO4567[[#This Row],[FAENA EN LTS3]]</f>
        <v>0</v>
      </c>
    </row>
    <row r="44" spans="1:36" x14ac:dyDescent="0.25">
      <c r="A44" s="192"/>
      <c r="B44" s="219"/>
      <c r="C44" s="7"/>
      <c r="D44" s="4">
        <f>IF(VSLFO.MGO4567[[#This Row],[FECHA]]-B43=1,((VSLFO.MGO4567[[#This Row],[HORA]]-C43)*24)+24,(VSLFO.MGO4567[[#This Row],[HORA]]-C43)*24)</f>
        <v>0</v>
      </c>
      <c r="E44" s="10"/>
      <c r="F44" s="10"/>
      <c r="G44" s="212"/>
      <c r="H44" s="201"/>
      <c r="I44" s="201"/>
      <c r="J44" s="207"/>
      <c r="K44" s="153"/>
      <c r="L44" s="3"/>
      <c r="M44" s="3"/>
      <c r="N44" s="3">
        <f t="shared" si="0"/>
        <v>0</v>
      </c>
      <c r="O44" s="1"/>
      <c r="P44" s="152">
        <f t="shared" si="2"/>
        <v>0</v>
      </c>
      <c r="Q44" s="150"/>
      <c r="R44" s="304"/>
      <c r="S44" s="304"/>
      <c r="T44" s="304"/>
      <c r="U44" s="304"/>
      <c r="V44" s="155">
        <f t="shared" si="3"/>
        <v>0</v>
      </c>
      <c r="W44" s="304"/>
      <c r="X44" s="151">
        <f>(X43-VSLFO.MGO4567[[#This Row],[TOTAL]])+VSLFO.MGO4567[[#This Row],[FAENA2]]</f>
        <v>0</v>
      </c>
      <c r="Y44" s="150"/>
      <c r="Z44" s="304"/>
      <c r="AA44" s="149">
        <f t="shared" ref="AA44:AA107" si="4">AA42</f>
        <v>0</v>
      </c>
      <c r="AB44" s="304"/>
      <c r="AC44" s="304"/>
      <c r="AD44" s="149">
        <f>($AD$4-VSLFO.MGO4567[[#This Row],[CARTER MP.]])+VSLFO.MGO4567[[#This Row],[FAENA EN LTS2]]</f>
        <v>0</v>
      </c>
      <c r="AE44" s="304"/>
      <c r="AF44" s="304"/>
      <c r="AG44" s="149">
        <f t="shared" ref="AG44:AG75" si="5">$AG$4</f>
        <v>0</v>
      </c>
      <c r="AH44" s="304"/>
      <c r="AI44" s="304"/>
      <c r="AJ44" s="148">
        <f>(AJ43-VSLFO.MGO4567[[#This Row],[HIDRAULICO]])+VSLFO.MGO4567[[#This Row],[FAENA EN LTS3]]</f>
        <v>0</v>
      </c>
    </row>
    <row r="45" spans="1:36" x14ac:dyDescent="0.25">
      <c r="A45" s="192"/>
      <c r="B45" s="219"/>
      <c r="C45" s="7"/>
      <c r="D45" s="4">
        <f>IF(VSLFO.MGO4567[[#This Row],[FECHA]]-B44=1,((VSLFO.MGO4567[[#This Row],[HORA]]-C44)*24)+24,(VSLFO.MGO4567[[#This Row],[HORA]]-C44)*24)</f>
        <v>0</v>
      </c>
      <c r="E45" s="10"/>
      <c r="F45" s="10"/>
      <c r="G45" s="212"/>
      <c r="H45" s="201"/>
      <c r="I45" s="201"/>
      <c r="J45" s="207"/>
      <c r="K45" s="153"/>
      <c r="L45" s="3"/>
      <c r="M45" s="3"/>
      <c r="N45" s="3">
        <f t="shared" si="0"/>
        <v>0</v>
      </c>
      <c r="O45" s="1"/>
      <c r="P45" s="152">
        <f t="shared" si="2"/>
        <v>0</v>
      </c>
      <c r="Q45" s="150"/>
      <c r="R45" s="304"/>
      <c r="S45" s="304"/>
      <c r="T45" s="304"/>
      <c r="U45" s="304"/>
      <c r="V45" s="155">
        <f t="shared" si="3"/>
        <v>0</v>
      </c>
      <c r="W45" s="304"/>
      <c r="X45" s="151">
        <f>(X44-VSLFO.MGO4567[[#This Row],[TOTAL]])+VSLFO.MGO4567[[#This Row],[FAENA2]]</f>
        <v>0</v>
      </c>
      <c r="Y45" s="150"/>
      <c r="Z45" s="304"/>
      <c r="AA45" s="149">
        <f t="shared" si="4"/>
        <v>0</v>
      </c>
      <c r="AB45" s="304"/>
      <c r="AC45" s="304"/>
      <c r="AD45" s="149">
        <f>($AD$4-VSLFO.MGO4567[[#This Row],[CARTER MP.]])+VSLFO.MGO4567[[#This Row],[FAENA EN LTS2]]</f>
        <v>0</v>
      </c>
      <c r="AE45" s="304"/>
      <c r="AF45" s="304"/>
      <c r="AG45" s="149">
        <f t="shared" si="5"/>
        <v>0</v>
      </c>
      <c r="AH45" s="304"/>
      <c r="AI45" s="304"/>
      <c r="AJ45" s="148">
        <f>(AJ44-VSLFO.MGO4567[[#This Row],[HIDRAULICO]])+VSLFO.MGO4567[[#This Row],[FAENA EN LTS3]]</f>
        <v>0</v>
      </c>
    </row>
    <row r="46" spans="1:36" x14ac:dyDescent="0.25">
      <c r="A46" s="192"/>
      <c r="B46" s="219"/>
      <c r="C46" s="7"/>
      <c r="D46" s="4">
        <f>IF(VSLFO.MGO4567[[#This Row],[FECHA]]-B45=1,((VSLFO.MGO4567[[#This Row],[HORA]]-C45)*24)+24,(VSLFO.MGO4567[[#This Row],[HORA]]-C45)*24)</f>
        <v>0</v>
      </c>
      <c r="E46" s="10"/>
      <c r="F46" s="10"/>
      <c r="G46" s="212"/>
      <c r="H46" s="201"/>
      <c r="I46" s="93"/>
      <c r="J46" s="207"/>
      <c r="K46" s="153"/>
      <c r="L46" s="3"/>
      <c r="M46" s="3"/>
      <c r="N46" s="3">
        <f t="shared" si="0"/>
        <v>0</v>
      </c>
      <c r="O46" s="1"/>
      <c r="P46" s="152">
        <f t="shared" si="2"/>
        <v>0</v>
      </c>
      <c r="Q46" s="150"/>
      <c r="R46" s="304"/>
      <c r="S46" s="304"/>
      <c r="T46" s="304"/>
      <c r="U46" s="304"/>
      <c r="V46" s="155">
        <f t="shared" si="3"/>
        <v>0</v>
      </c>
      <c r="W46" s="304"/>
      <c r="X46" s="151">
        <f>(X45-VSLFO.MGO4567[[#This Row],[TOTAL]])+VSLFO.MGO4567[[#This Row],[FAENA2]]</f>
        <v>0</v>
      </c>
      <c r="Y46" s="150"/>
      <c r="Z46" s="304"/>
      <c r="AA46" s="149">
        <f t="shared" si="4"/>
        <v>0</v>
      </c>
      <c r="AB46" s="304"/>
      <c r="AC46" s="304"/>
      <c r="AD46" s="149">
        <f>($AD$4-VSLFO.MGO4567[[#This Row],[CARTER MP.]])+VSLFO.MGO4567[[#This Row],[FAENA EN LTS2]]</f>
        <v>0</v>
      </c>
      <c r="AE46" s="304"/>
      <c r="AF46" s="304"/>
      <c r="AG46" s="149">
        <f t="shared" si="5"/>
        <v>0</v>
      </c>
      <c r="AH46" s="304"/>
      <c r="AI46" s="304"/>
      <c r="AJ46" s="148">
        <f>(AJ45-VSLFO.MGO4567[[#This Row],[HIDRAULICO]])+VSLFO.MGO4567[[#This Row],[FAENA EN LTS3]]</f>
        <v>0</v>
      </c>
    </row>
    <row r="47" spans="1:36" x14ac:dyDescent="0.25">
      <c r="A47" s="192"/>
      <c r="B47" s="219"/>
      <c r="C47" s="7"/>
      <c r="D47" s="4">
        <f>IF(VSLFO.MGO4567[[#This Row],[FECHA]]-B46=1,((VSLFO.MGO4567[[#This Row],[HORA]]-C46)*24)+24,(VSLFO.MGO4567[[#This Row],[HORA]]-C46)*24)</f>
        <v>0</v>
      </c>
      <c r="E47" s="10"/>
      <c r="F47" s="10"/>
      <c r="G47" s="212"/>
      <c r="H47" s="201"/>
      <c r="I47" s="93"/>
      <c r="J47" s="207"/>
      <c r="K47" s="153"/>
      <c r="L47" s="3"/>
      <c r="M47" s="3"/>
      <c r="N47" s="3">
        <f t="shared" si="0"/>
        <v>0</v>
      </c>
      <c r="O47" s="1"/>
      <c r="P47" s="152">
        <f t="shared" si="2"/>
        <v>0</v>
      </c>
      <c r="Q47" s="150"/>
      <c r="R47" s="304"/>
      <c r="S47" s="304"/>
      <c r="T47" s="304"/>
      <c r="U47" s="304"/>
      <c r="V47" s="155">
        <f t="shared" si="3"/>
        <v>0</v>
      </c>
      <c r="W47" s="304"/>
      <c r="X47" s="151">
        <f>(X46-VSLFO.MGO4567[[#This Row],[TOTAL]])+VSLFO.MGO4567[[#This Row],[FAENA2]]</f>
        <v>0</v>
      </c>
      <c r="Y47" s="150"/>
      <c r="Z47" s="304"/>
      <c r="AA47" s="149">
        <f t="shared" si="4"/>
        <v>0</v>
      </c>
      <c r="AB47" s="304"/>
      <c r="AC47" s="304"/>
      <c r="AD47" s="149">
        <f>($AD$4-VSLFO.MGO4567[[#This Row],[CARTER MP.]])+VSLFO.MGO4567[[#This Row],[FAENA EN LTS2]]</f>
        <v>0</v>
      </c>
      <c r="AE47" s="304"/>
      <c r="AF47" s="304"/>
      <c r="AG47" s="149">
        <f t="shared" si="5"/>
        <v>0</v>
      </c>
      <c r="AH47" s="304"/>
      <c r="AI47" s="304"/>
      <c r="AJ47" s="148">
        <f>(AJ46-VSLFO.MGO4567[[#This Row],[HIDRAULICO]])+VSLFO.MGO4567[[#This Row],[FAENA EN LTS3]]</f>
        <v>0</v>
      </c>
    </row>
    <row r="48" spans="1:36" x14ac:dyDescent="0.25">
      <c r="A48" s="192"/>
      <c r="B48" s="219"/>
      <c r="C48" s="7"/>
      <c r="D48" s="4">
        <f>IF(VSLFO.MGO4567[[#This Row],[FECHA]]-B47=1,((VSLFO.MGO4567[[#This Row],[HORA]]-C47)*24)+24,(VSLFO.MGO4567[[#This Row],[HORA]]-C47)*24)</f>
        <v>0</v>
      </c>
      <c r="E48" s="10"/>
      <c r="F48" s="10"/>
      <c r="G48" s="212"/>
      <c r="H48" s="201"/>
      <c r="I48" s="93"/>
      <c r="J48" s="207"/>
      <c r="K48" s="153"/>
      <c r="L48" s="3"/>
      <c r="M48" s="3"/>
      <c r="N48" s="3">
        <f t="shared" si="0"/>
        <v>0</v>
      </c>
      <c r="O48" s="1"/>
      <c r="P48" s="152">
        <f t="shared" si="2"/>
        <v>0</v>
      </c>
      <c r="Q48" s="150"/>
      <c r="R48" s="304"/>
      <c r="S48" s="304"/>
      <c r="T48" s="304"/>
      <c r="U48" s="304"/>
      <c r="V48" s="155">
        <f t="shared" si="3"/>
        <v>0</v>
      </c>
      <c r="W48" s="304"/>
      <c r="X48" s="151">
        <f>(X47-VSLFO.MGO4567[[#This Row],[TOTAL]])+VSLFO.MGO4567[[#This Row],[FAENA2]]</f>
        <v>0</v>
      </c>
      <c r="Y48" s="150"/>
      <c r="Z48" s="304"/>
      <c r="AA48" s="149">
        <f t="shared" si="4"/>
        <v>0</v>
      </c>
      <c r="AB48" s="304"/>
      <c r="AC48" s="304"/>
      <c r="AD48" s="149">
        <f>($AD$4-VSLFO.MGO4567[[#This Row],[CARTER MP.]])+VSLFO.MGO4567[[#This Row],[FAENA EN LTS2]]</f>
        <v>0</v>
      </c>
      <c r="AE48" s="304"/>
      <c r="AF48" s="304"/>
      <c r="AG48" s="149">
        <f t="shared" si="5"/>
        <v>0</v>
      </c>
      <c r="AH48" s="304"/>
      <c r="AI48" s="304"/>
      <c r="AJ48" s="148">
        <f>(AJ47-VSLFO.MGO4567[[#This Row],[HIDRAULICO]])+VSLFO.MGO4567[[#This Row],[FAENA EN LTS3]]</f>
        <v>0</v>
      </c>
    </row>
    <row r="49" spans="1:36" x14ac:dyDescent="0.25">
      <c r="A49" s="192"/>
      <c r="B49" s="219"/>
      <c r="C49" s="7"/>
      <c r="D49" s="4">
        <f>IF(VSLFO.MGO4567[[#This Row],[FECHA]]-B48=1,((VSLFO.MGO4567[[#This Row],[HORA]]-C48)*24)+24,(VSLFO.MGO4567[[#This Row],[HORA]]-C48)*24)</f>
        <v>0</v>
      </c>
      <c r="E49" s="10"/>
      <c r="F49" s="10"/>
      <c r="G49" s="212"/>
      <c r="H49" s="201"/>
      <c r="I49" s="93"/>
      <c r="J49" s="207"/>
      <c r="K49" s="153"/>
      <c r="L49" s="3"/>
      <c r="M49" s="3"/>
      <c r="N49" s="3">
        <f t="shared" si="0"/>
        <v>0</v>
      </c>
      <c r="O49" s="1"/>
      <c r="P49" s="152">
        <f t="shared" si="2"/>
        <v>0</v>
      </c>
      <c r="Q49" s="150"/>
      <c r="R49" s="304"/>
      <c r="S49" s="304"/>
      <c r="T49" s="304"/>
      <c r="U49" s="304"/>
      <c r="V49" s="155">
        <f t="shared" si="3"/>
        <v>0</v>
      </c>
      <c r="W49" s="304"/>
      <c r="X49" s="151">
        <f>(X48-VSLFO.MGO4567[[#This Row],[TOTAL]])+VSLFO.MGO4567[[#This Row],[FAENA2]]</f>
        <v>0</v>
      </c>
      <c r="Y49" s="150"/>
      <c r="Z49" s="304"/>
      <c r="AA49" s="149">
        <f t="shared" si="4"/>
        <v>0</v>
      </c>
      <c r="AB49" s="304"/>
      <c r="AC49" s="304"/>
      <c r="AD49" s="149">
        <f>($AD$4-VSLFO.MGO4567[[#This Row],[CARTER MP.]])+VSLFO.MGO4567[[#This Row],[FAENA EN LTS2]]</f>
        <v>0</v>
      </c>
      <c r="AE49" s="304"/>
      <c r="AF49" s="304"/>
      <c r="AG49" s="149">
        <f t="shared" si="5"/>
        <v>0</v>
      </c>
      <c r="AH49" s="304"/>
      <c r="AI49" s="304"/>
      <c r="AJ49" s="148">
        <f>(AJ48-VSLFO.MGO4567[[#This Row],[HIDRAULICO]])+VSLFO.MGO4567[[#This Row],[FAENA EN LTS3]]</f>
        <v>0</v>
      </c>
    </row>
    <row r="50" spans="1:36" x14ac:dyDescent="0.25">
      <c r="A50" s="192"/>
      <c r="B50" s="219"/>
      <c r="C50" s="7"/>
      <c r="D50" s="4">
        <f>IF(VSLFO.MGO4567[[#This Row],[FECHA]]-B49=1,((VSLFO.MGO4567[[#This Row],[HORA]]-C49)*24)+24,(VSLFO.MGO4567[[#This Row],[HORA]]-C49)*24)</f>
        <v>0</v>
      </c>
      <c r="E50" s="10"/>
      <c r="F50" s="10"/>
      <c r="G50" s="212"/>
      <c r="H50" s="201"/>
      <c r="I50" s="201"/>
      <c r="J50" s="207"/>
      <c r="K50" s="153"/>
      <c r="L50" s="3"/>
      <c r="M50" s="3"/>
      <c r="N50" s="3">
        <f t="shared" si="0"/>
        <v>0</v>
      </c>
      <c r="O50" s="1"/>
      <c r="P50" s="152">
        <f t="shared" si="2"/>
        <v>0</v>
      </c>
      <c r="Q50" s="150"/>
      <c r="R50" s="304"/>
      <c r="S50" s="304"/>
      <c r="T50" s="304"/>
      <c r="U50" s="304"/>
      <c r="V50" s="155">
        <f t="shared" si="3"/>
        <v>0</v>
      </c>
      <c r="W50" s="304"/>
      <c r="X50" s="151">
        <f>(X49-VSLFO.MGO4567[[#This Row],[TOTAL]])+VSLFO.MGO4567[[#This Row],[FAENA2]]</f>
        <v>0</v>
      </c>
      <c r="Y50" s="150"/>
      <c r="Z50" s="304"/>
      <c r="AA50" s="149">
        <f t="shared" si="4"/>
        <v>0</v>
      </c>
      <c r="AB50" s="304"/>
      <c r="AC50" s="304"/>
      <c r="AD50" s="149">
        <f>($AD$4-VSLFO.MGO4567[[#This Row],[CARTER MP.]])+VSLFO.MGO4567[[#This Row],[FAENA EN LTS2]]</f>
        <v>0</v>
      </c>
      <c r="AE50" s="304"/>
      <c r="AF50" s="304"/>
      <c r="AG50" s="149">
        <f t="shared" si="5"/>
        <v>0</v>
      </c>
      <c r="AH50" s="304"/>
      <c r="AI50" s="304"/>
      <c r="AJ50" s="148">
        <f>(AJ49-VSLFO.MGO4567[[#This Row],[HIDRAULICO]])+VSLFO.MGO4567[[#This Row],[FAENA EN LTS3]]</f>
        <v>0</v>
      </c>
    </row>
    <row r="51" spans="1:36" x14ac:dyDescent="0.25">
      <c r="A51" s="192"/>
      <c r="B51" s="219"/>
      <c r="C51" s="7"/>
      <c r="D51" s="4">
        <f>IF(VSLFO.MGO4567[[#This Row],[FECHA]]-B50=1,((VSLFO.MGO4567[[#This Row],[HORA]]-C50)*24)+24,(VSLFO.MGO4567[[#This Row],[HORA]]-C50)*24)</f>
        <v>0</v>
      </c>
      <c r="E51" s="10"/>
      <c r="F51" s="10"/>
      <c r="G51" s="212"/>
      <c r="H51" s="201"/>
      <c r="I51" s="201"/>
      <c r="J51" s="207"/>
      <c r="K51" s="153"/>
      <c r="L51" s="3"/>
      <c r="M51" s="3"/>
      <c r="N51" s="3">
        <f t="shared" si="0"/>
        <v>0</v>
      </c>
      <c r="O51" s="1"/>
      <c r="P51" s="152">
        <f t="shared" si="2"/>
        <v>0</v>
      </c>
      <c r="Q51" s="150"/>
      <c r="R51" s="304"/>
      <c r="S51" s="304"/>
      <c r="T51" s="304"/>
      <c r="U51" s="304"/>
      <c r="V51" s="155">
        <f t="shared" si="3"/>
        <v>0</v>
      </c>
      <c r="W51" s="304"/>
      <c r="X51" s="151">
        <f>(X50-VSLFO.MGO4567[[#This Row],[TOTAL]])+VSLFO.MGO4567[[#This Row],[FAENA2]]</f>
        <v>0</v>
      </c>
      <c r="Y51" s="150"/>
      <c r="Z51" s="304"/>
      <c r="AA51" s="149">
        <f t="shared" si="4"/>
        <v>0</v>
      </c>
      <c r="AB51" s="304"/>
      <c r="AC51" s="304"/>
      <c r="AD51" s="149">
        <f>($AD$4-VSLFO.MGO4567[[#This Row],[CARTER MP.]])+VSLFO.MGO4567[[#This Row],[FAENA EN LTS2]]</f>
        <v>0</v>
      </c>
      <c r="AE51" s="304"/>
      <c r="AF51" s="304"/>
      <c r="AG51" s="149">
        <f t="shared" si="5"/>
        <v>0</v>
      </c>
      <c r="AH51" s="304"/>
      <c r="AI51" s="304"/>
      <c r="AJ51" s="148">
        <f>(AJ50-VSLFO.MGO4567[[#This Row],[HIDRAULICO]])+VSLFO.MGO4567[[#This Row],[FAENA EN LTS3]]</f>
        <v>0</v>
      </c>
    </row>
    <row r="52" spans="1:36" x14ac:dyDescent="0.25">
      <c r="A52" s="192"/>
      <c r="B52" s="219"/>
      <c r="C52" s="7"/>
      <c r="D52" s="4">
        <f>IF(VSLFO.MGO4567[[#This Row],[FECHA]]-B51=1,((VSLFO.MGO4567[[#This Row],[HORA]]-C51)*24)+24,(VSLFO.MGO4567[[#This Row],[HORA]]-C51)*24)</f>
        <v>0</v>
      </c>
      <c r="E52" s="10"/>
      <c r="F52" s="10"/>
      <c r="G52" s="212"/>
      <c r="H52" s="201"/>
      <c r="I52" s="201"/>
      <c r="J52" s="207"/>
      <c r="K52" s="153"/>
      <c r="L52" s="3"/>
      <c r="M52" s="3"/>
      <c r="N52" s="3">
        <f t="shared" si="0"/>
        <v>0</v>
      </c>
      <c r="O52" s="1"/>
      <c r="P52" s="152">
        <f t="shared" si="2"/>
        <v>0</v>
      </c>
      <c r="Q52" s="150"/>
      <c r="R52" s="304"/>
      <c r="S52" s="304"/>
      <c r="T52" s="304"/>
      <c r="U52" s="304"/>
      <c r="V52" s="155">
        <f t="shared" si="3"/>
        <v>0</v>
      </c>
      <c r="W52" s="304"/>
      <c r="X52" s="151">
        <f>(X51-VSLFO.MGO4567[[#This Row],[TOTAL]])+VSLFO.MGO4567[[#This Row],[FAENA2]]</f>
        <v>0</v>
      </c>
      <c r="Y52" s="150"/>
      <c r="Z52" s="304"/>
      <c r="AA52" s="149">
        <f t="shared" si="4"/>
        <v>0</v>
      </c>
      <c r="AB52" s="304"/>
      <c r="AC52" s="304"/>
      <c r="AD52" s="149">
        <f>($AD$4-VSLFO.MGO4567[[#This Row],[CARTER MP.]])+VSLFO.MGO4567[[#This Row],[FAENA EN LTS2]]</f>
        <v>0</v>
      </c>
      <c r="AE52" s="304"/>
      <c r="AF52" s="304"/>
      <c r="AG52" s="149">
        <f t="shared" si="5"/>
        <v>0</v>
      </c>
      <c r="AH52" s="304"/>
      <c r="AI52" s="304"/>
      <c r="AJ52" s="148">
        <f>(AJ51-VSLFO.MGO4567[[#This Row],[HIDRAULICO]])+VSLFO.MGO4567[[#This Row],[FAENA EN LTS3]]</f>
        <v>0</v>
      </c>
    </row>
    <row r="53" spans="1:36" x14ac:dyDescent="0.25">
      <c r="A53" s="192"/>
      <c r="B53" s="219"/>
      <c r="C53" s="7"/>
      <c r="D53" s="4">
        <f>IF(VSLFO.MGO4567[[#This Row],[FECHA]]-B52=1,((VSLFO.MGO4567[[#This Row],[HORA]]-C52)*24)+24,(VSLFO.MGO4567[[#This Row],[HORA]]-C52)*24)</f>
        <v>0</v>
      </c>
      <c r="E53" s="10"/>
      <c r="F53" s="10"/>
      <c r="G53" s="212"/>
      <c r="H53" s="201"/>
      <c r="I53" s="201"/>
      <c r="J53" s="207"/>
      <c r="K53" s="153"/>
      <c r="L53" s="3"/>
      <c r="M53" s="3"/>
      <c r="N53" s="3">
        <f t="shared" si="0"/>
        <v>0</v>
      </c>
      <c r="O53" s="1"/>
      <c r="P53" s="152">
        <f t="shared" si="2"/>
        <v>0</v>
      </c>
      <c r="Q53" s="150"/>
      <c r="R53" s="304"/>
      <c r="S53" s="304"/>
      <c r="T53" s="304"/>
      <c r="U53" s="304"/>
      <c r="V53" s="155">
        <f t="shared" si="3"/>
        <v>0</v>
      </c>
      <c r="W53" s="304"/>
      <c r="X53" s="151">
        <f>(X52-VSLFO.MGO4567[[#This Row],[TOTAL]])+VSLFO.MGO4567[[#This Row],[FAENA2]]</f>
        <v>0</v>
      </c>
      <c r="Y53" s="150"/>
      <c r="Z53" s="304"/>
      <c r="AA53" s="149">
        <f t="shared" si="4"/>
        <v>0</v>
      </c>
      <c r="AB53" s="304"/>
      <c r="AC53" s="304"/>
      <c r="AD53" s="149">
        <f>($AD$4-VSLFO.MGO4567[[#This Row],[CARTER MP.]])+VSLFO.MGO4567[[#This Row],[FAENA EN LTS2]]</f>
        <v>0</v>
      </c>
      <c r="AE53" s="304"/>
      <c r="AF53" s="304"/>
      <c r="AG53" s="149">
        <f t="shared" si="5"/>
        <v>0</v>
      </c>
      <c r="AH53" s="304"/>
      <c r="AI53" s="304"/>
      <c r="AJ53" s="148">
        <f>(AJ52-VSLFO.MGO4567[[#This Row],[HIDRAULICO]])+VSLFO.MGO4567[[#This Row],[FAENA EN LTS3]]</f>
        <v>0</v>
      </c>
    </row>
    <row r="54" spans="1:36" x14ac:dyDescent="0.25">
      <c r="A54" s="192"/>
      <c r="B54" s="219"/>
      <c r="C54" s="7"/>
      <c r="D54" s="4">
        <f>IF(VSLFO.MGO4567[[#This Row],[FECHA]]-B53=1,((VSLFO.MGO4567[[#This Row],[HORA]]-C53)*24)+24,(VSLFO.MGO4567[[#This Row],[HORA]]-C53)*24)</f>
        <v>0</v>
      </c>
      <c r="E54" s="10"/>
      <c r="F54" s="10"/>
      <c r="G54" s="212"/>
      <c r="H54" s="201"/>
      <c r="I54" s="201"/>
      <c r="J54" s="207"/>
      <c r="K54" s="153"/>
      <c r="L54" s="3"/>
      <c r="M54" s="3"/>
      <c r="N54" s="3">
        <f t="shared" si="0"/>
        <v>0</v>
      </c>
      <c r="O54" s="1"/>
      <c r="P54" s="152">
        <f t="shared" si="2"/>
        <v>0</v>
      </c>
      <c r="Q54" s="150"/>
      <c r="R54" s="304"/>
      <c r="S54" s="304"/>
      <c r="T54" s="304"/>
      <c r="U54" s="304"/>
      <c r="V54" s="155">
        <f t="shared" si="3"/>
        <v>0</v>
      </c>
      <c r="W54" s="304"/>
      <c r="X54" s="151">
        <f>(X53-VSLFO.MGO4567[[#This Row],[TOTAL]])+VSLFO.MGO4567[[#This Row],[FAENA2]]</f>
        <v>0</v>
      </c>
      <c r="Y54" s="150"/>
      <c r="Z54" s="304"/>
      <c r="AA54" s="149">
        <f t="shared" si="4"/>
        <v>0</v>
      </c>
      <c r="AB54" s="304"/>
      <c r="AC54" s="304"/>
      <c r="AD54" s="149">
        <f>($AD$4-VSLFO.MGO4567[[#This Row],[CARTER MP.]])+VSLFO.MGO4567[[#This Row],[FAENA EN LTS2]]</f>
        <v>0</v>
      </c>
      <c r="AE54" s="304"/>
      <c r="AF54" s="304"/>
      <c r="AG54" s="149">
        <f t="shared" si="5"/>
        <v>0</v>
      </c>
      <c r="AH54" s="304"/>
      <c r="AI54" s="304"/>
      <c r="AJ54" s="148">
        <f>(AJ53-VSLFO.MGO4567[[#This Row],[HIDRAULICO]])+VSLFO.MGO4567[[#This Row],[FAENA EN LTS3]]</f>
        <v>0</v>
      </c>
    </row>
    <row r="55" spans="1:36" x14ac:dyDescent="0.25">
      <c r="A55" s="192"/>
      <c r="B55" s="219"/>
      <c r="C55" s="7"/>
      <c r="D55" s="4">
        <f>IF(VSLFO.MGO4567[[#This Row],[FECHA]]-B54=1,((VSLFO.MGO4567[[#This Row],[HORA]]-C54)*24)+24,(VSLFO.MGO4567[[#This Row],[HORA]]-C54)*24)</f>
        <v>0</v>
      </c>
      <c r="E55" s="10"/>
      <c r="F55" s="10"/>
      <c r="G55" s="212"/>
      <c r="H55" s="201"/>
      <c r="I55" s="201"/>
      <c r="J55" s="207"/>
      <c r="K55" s="153"/>
      <c r="L55" s="3"/>
      <c r="M55" s="3"/>
      <c r="N55" s="3">
        <f t="shared" si="0"/>
        <v>0</v>
      </c>
      <c r="O55" s="1"/>
      <c r="P55" s="152">
        <f t="shared" si="2"/>
        <v>0</v>
      </c>
      <c r="Q55" s="150"/>
      <c r="R55" s="304"/>
      <c r="S55" s="304"/>
      <c r="T55" s="304"/>
      <c r="U55" s="304"/>
      <c r="V55" s="155">
        <f t="shared" si="3"/>
        <v>0</v>
      </c>
      <c r="W55" s="304"/>
      <c r="X55" s="151">
        <f>(X54-VSLFO.MGO4567[[#This Row],[TOTAL]])+VSLFO.MGO4567[[#This Row],[FAENA2]]</f>
        <v>0</v>
      </c>
      <c r="Y55" s="150"/>
      <c r="Z55" s="304"/>
      <c r="AA55" s="149">
        <f t="shared" si="4"/>
        <v>0</v>
      </c>
      <c r="AB55" s="304"/>
      <c r="AC55" s="304"/>
      <c r="AD55" s="149">
        <f>($AD$4-VSLFO.MGO4567[[#This Row],[CARTER MP.]])+VSLFO.MGO4567[[#This Row],[FAENA EN LTS2]]</f>
        <v>0</v>
      </c>
      <c r="AE55" s="304"/>
      <c r="AF55" s="304"/>
      <c r="AG55" s="149">
        <f t="shared" si="5"/>
        <v>0</v>
      </c>
      <c r="AH55" s="304"/>
      <c r="AI55" s="304"/>
      <c r="AJ55" s="148">
        <f>(AJ54-VSLFO.MGO4567[[#This Row],[HIDRAULICO]])+VSLFO.MGO4567[[#This Row],[FAENA EN LTS3]]</f>
        <v>0</v>
      </c>
    </row>
    <row r="56" spans="1:36" x14ac:dyDescent="0.25">
      <c r="A56" s="192"/>
      <c r="B56" s="219"/>
      <c r="C56" s="7"/>
      <c r="D56" s="4">
        <f>IF(VSLFO.MGO4567[[#This Row],[FECHA]]-B55=1,((VSLFO.MGO4567[[#This Row],[HORA]]-C55)*24)+24,(VSLFO.MGO4567[[#This Row],[HORA]]-C55)*24)</f>
        <v>0</v>
      </c>
      <c r="E56" s="10"/>
      <c r="F56" s="10"/>
      <c r="G56" s="212"/>
      <c r="H56" s="201"/>
      <c r="I56" s="201"/>
      <c r="J56" s="207"/>
      <c r="K56" s="153"/>
      <c r="L56" s="3"/>
      <c r="M56" s="3"/>
      <c r="N56" s="3">
        <f t="shared" si="0"/>
        <v>0</v>
      </c>
      <c r="O56" s="1"/>
      <c r="P56" s="152">
        <f t="shared" si="2"/>
        <v>0</v>
      </c>
      <c r="Q56" s="150"/>
      <c r="R56" s="304"/>
      <c r="S56" s="304"/>
      <c r="T56" s="304"/>
      <c r="U56" s="304"/>
      <c r="V56" s="155">
        <f t="shared" si="3"/>
        <v>0</v>
      </c>
      <c r="W56" s="304"/>
      <c r="X56" s="151">
        <f>(X55-VSLFO.MGO4567[[#This Row],[TOTAL]])+VSLFO.MGO4567[[#This Row],[FAENA2]]</f>
        <v>0</v>
      </c>
      <c r="Y56" s="150"/>
      <c r="Z56" s="304"/>
      <c r="AA56" s="149">
        <f t="shared" si="4"/>
        <v>0</v>
      </c>
      <c r="AB56" s="304"/>
      <c r="AC56" s="304"/>
      <c r="AD56" s="149">
        <f>($AD$4-VSLFO.MGO4567[[#This Row],[CARTER MP.]])+VSLFO.MGO4567[[#This Row],[FAENA EN LTS2]]</f>
        <v>0</v>
      </c>
      <c r="AE56" s="304"/>
      <c r="AF56" s="304"/>
      <c r="AG56" s="149">
        <f t="shared" si="5"/>
        <v>0</v>
      </c>
      <c r="AH56" s="304"/>
      <c r="AI56" s="304"/>
      <c r="AJ56" s="148">
        <f>(AJ55-VSLFO.MGO4567[[#This Row],[HIDRAULICO]])+VSLFO.MGO4567[[#This Row],[FAENA EN LTS3]]</f>
        <v>0</v>
      </c>
    </row>
    <row r="57" spans="1:36" x14ac:dyDescent="0.25">
      <c r="A57" s="192"/>
      <c r="B57" s="219"/>
      <c r="C57" s="7"/>
      <c r="D57" s="4">
        <f>IF(VSLFO.MGO4567[[#This Row],[FECHA]]-B56=1,((VSLFO.MGO4567[[#This Row],[HORA]]-C56)*24)+24,(VSLFO.MGO4567[[#This Row],[HORA]]-C56)*24)</f>
        <v>0</v>
      </c>
      <c r="E57" s="10"/>
      <c r="F57" s="10"/>
      <c r="G57" s="212"/>
      <c r="H57" s="201"/>
      <c r="I57" s="201"/>
      <c r="J57" s="207"/>
      <c r="K57" s="153"/>
      <c r="L57" s="3"/>
      <c r="M57" s="3"/>
      <c r="N57" s="3">
        <f t="shared" si="0"/>
        <v>0</v>
      </c>
      <c r="O57" s="1"/>
      <c r="P57" s="152">
        <f t="shared" si="2"/>
        <v>0</v>
      </c>
      <c r="Q57" s="150"/>
      <c r="R57" s="304"/>
      <c r="S57" s="304"/>
      <c r="T57" s="304"/>
      <c r="U57" s="304"/>
      <c r="V57" s="155">
        <f t="shared" si="3"/>
        <v>0</v>
      </c>
      <c r="W57" s="304"/>
      <c r="X57" s="151">
        <f>(X56-VSLFO.MGO4567[[#This Row],[TOTAL]])+VSLFO.MGO4567[[#This Row],[FAENA2]]</f>
        <v>0</v>
      </c>
      <c r="Y57" s="150"/>
      <c r="Z57" s="304"/>
      <c r="AA57" s="149">
        <f t="shared" si="4"/>
        <v>0</v>
      </c>
      <c r="AB57" s="304"/>
      <c r="AC57" s="304"/>
      <c r="AD57" s="149">
        <f>($AD$4-VSLFO.MGO4567[[#This Row],[CARTER MP.]])+VSLFO.MGO4567[[#This Row],[FAENA EN LTS2]]</f>
        <v>0</v>
      </c>
      <c r="AE57" s="304"/>
      <c r="AF57" s="304"/>
      <c r="AG57" s="149">
        <f t="shared" si="5"/>
        <v>0</v>
      </c>
      <c r="AH57" s="304"/>
      <c r="AI57" s="304"/>
      <c r="AJ57" s="148">
        <f>(AJ56-VSLFO.MGO4567[[#This Row],[HIDRAULICO]])+VSLFO.MGO4567[[#This Row],[FAENA EN LTS3]]</f>
        <v>0</v>
      </c>
    </row>
    <row r="58" spans="1:36" x14ac:dyDescent="0.25">
      <c r="A58" s="192"/>
      <c r="B58" s="219"/>
      <c r="C58" s="7"/>
      <c r="D58" s="4">
        <f>IF(VSLFO.MGO4567[[#This Row],[FECHA]]-B57=1,((VSLFO.MGO4567[[#This Row],[HORA]]-C57)*24)+24,(VSLFO.MGO4567[[#This Row],[HORA]]-C57)*24)</f>
        <v>0</v>
      </c>
      <c r="E58" s="10"/>
      <c r="F58" s="10"/>
      <c r="G58" s="212"/>
      <c r="H58" s="201"/>
      <c r="I58" s="201"/>
      <c r="J58" s="207"/>
      <c r="K58" s="153"/>
      <c r="L58" s="3"/>
      <c r="M58" s="3"/>
      <c r="N58" s="3">
        <f t="shared" si="0"/>
        <v>0</v>
      </c>
      <c r="O58" s="1"/>
      <c r="P58" s="152">
        <f t="shared" si="2"/>
        <v>0</v>
      </c>
      <c r="Q58" s="150"/>
      <c r="R58" s="304"/>
      <c r="S58" s="304"/>
      <c r="T58" s="304"/>
      <c r="U58" s="304"/>
      <c r="V58" s="155">
        <f t="shared" si="3"/>
        <v>0</v>
      </c>
      <c r="W58" s="304"/>
      <c r="X58" s="151">
        <f>(X57-VSLFO.MGO4567[[#This Row],[TOTAL]])+VSLFO.MGO4567[[#This Row],[FAENA2]]</f>
        <v>0</v>
      </c>
      <c r="Y58" s="150"/>
      <c r="Z58" s="304"/>
      <c r="AA58" s="149">
        <f t="shared" si="4"/>
        <v>0</v>
      </c>
      <c r="AB58" s="304"/>
      <c r="AC58" s="304"/>
      <c r="AD58" s="149">
        <f>($AD$4-VSLFO.MGO4567[[#This Row],[CARTER MP.]])+VSLFO.MGO4567[[#This Row],[FAENA EN LTS2]]</f>
        <v>0</v>
      </c>
      <c r="AE58" s="304"/>
      <c r="AF58" s="304"/>
      <c r="AG58" s="149">
        <f t="shared" si="5"/>
        <v>0</v>
      </c>
      <c r="AH58" s="304"/>
      <c r="AI58" s="304"/>
      <c r="AJ58" s="148">
        <f>(AJ57-VSLFO.MGO4567[[#This Row],[HIDRAULICO]])+VSLFO.MGO4567[[#This Row],[FAENA EN LTS3]]</f>
        <v>0</v>
      </c>
    </row>
    <row r="59" spans="1:36" x14ac:dyDescent="0.25">
      <c r="A59" s="192"/>
      <c r="B59" s="219"/>
      <c r="C59" s="7"/>
      <c r="D59" s="4">
        <f>IF(VSLFO.MGO4567[[#This Row],[FECHA]]-B58=1,((VSLFO.MGO4567[[#This Row],[HORA]]-C58)*24)+24,(VSLFO.MGO4567[[#This Row],[HORA]]-C58)*24)</f>
        <v>0</v>
      </c>
      <c r="E59" s="10"/>
      <c r="F59" s="10"/>
      <c r="G59" s="212"/>
      <c r="H59" s="201"/>
      <c r="I59" s="201"/>
      <c r="J59" s="207"/>
      <c r="K59" s="153"/>
      <c r="L59" s="3"/>
      <c r="M59" s="3"/>
      <c r="N59" s="3">
        <f t="shared" si="0"/>
        <v>0</v>
      </c>
      <c r="O59" s="1"/>
      <c r="P59" s="152">
        <f t="shared" si="2"/>
        <v>0</v>
      </c>
      <c r="Q59" s="150"/>
      <c r="R59" s="304"/>
      <c r="S59" s="304"/>
      <c r="T59" s="304"/>
      <c r="U59" s="304"/>
      <c r="V59" s="155">
        <f t="shared" si="3"/>
        <v>0</v>
      </c>
      <c r="W59" s="304"/>
      <c r="X59" s="151">
        <f>(X58-VSLFO.MGO4567[[#This Row],[TOTAL]])+VSLFO.MGO4567[[#This Row],[FAENA2]]</f>
        <v>0</v>
      </c>
      <c r="Y59" s="150"/>
      <c r="Z59" s="304"/>
      <c r="AA59" s="149">
        <f t="shared" si="4"/>
        <v>0</v>
      </c>
      <c r="AB59" s="304"/>
      <c r="AC59" s="304"/>
      <c r="AD59" s="149">
        <f>($AD$4-VSLFO.MGO4567[[#This Row],[CARTER MP.]])+VSLFO.MGO4567[[#This Row],[FAENA EN LTS2]]</f>
        <v>0</v>
      </c>
      <c r="AE59" s="304"/>
      <c r="AF59" s="304"/>
      <c r="AG59" s="149">
        <f t="shared" si="5"/>
        <v>0</v>
      </c>
      <c r="AH59" s="304"/>
      <c r="AI59" s="304"/>
      <c r="AJ59" s="148">
        <f>(AJ58-VSLFO.MGO4567[[#This Row],[HIDRAULICO]])+VSLFO.MGO4567[[#This Row],[FAENA EN LTS3]]</f>
        <v>0</v>
      </c>
    </row>
    <row r="60" spans="1:36" x14ac:dyDescent="0.25">
      <c r="A60" s="192"/>
      <c r="B60" s="219"/>
      <c r="C60" s="7"/>
      <c r="D60" s="4">
        <f>IF(VSLFO.MGO4567[[#This Row],[FECHA]]-B59=1,((VSLFO.MGO4567[[#This Row],[HORA]]-C59)*24)+24,(VSLFO.MGO4567[[#This Row],[HORA]]-C59)*24)</f>
        <v>0</v>
      </c>
      <c r="E60" s="10"/>
      <c r="F60" s="10"/>
      <c r="G60" s="212"/>
      <c r="H60" s="201"/>
      <c r="I60" s="201"/>
      <c r="J60" s="207"/>
      <c r="K60" s="153"/>
      <c r="L60" s="3"/>
      <c r="M60" s="3"/>
      <c r="N60" s="3">
        <f t="shared" si="0"/>
        <v>0</v>
      </c>
      <c r="O60" s="1"/>
      <c r="P60" s="152">
        <f t="shared" si="2"/>
        <v>0</v>
      </c>
      <c r="Q60" s="150"/>
      <c r="R60" s="304"/>
      <c r="S60" s="304"/>
      <c r="T60" s="304"/>
      <c r="U60" s="304"/>
      <c r="V60" s="155">
        <f t="shared" si="3"/>
        <v>0</v>
      </c>
      <c r="W60" s="304"/>
      <c r="X60" s="151">
        <f>(X59-VSLFO.MGO4567[[#This Row],[TOTAL]])+VSLFO.MGO4567[[#This Row],[FAENA2]]</f>
        <v>0</v>
      </c>
      <c r="Y60" s="150"/>
      <c r="Z60" s="304"/>
      <c r="AA60" s="149">
        <f t="shared" si="4"/>
        <v>0</v>
      </c>
      <c r="AB60" s="304"/>
      <c r="AC60" s="304"/>
      <c r="AD60" s="149">
        <f>($AD$4-VSLFO.MGO4567[[#This Row],[CARTER MP.]])+VSLFO.MGO4567[[#This Row],[FAENA EN LTS2]]</f>
        <v>0</v>
      </c>
      <c r="AE60" s="304"/>
      <c r="AF60" s="304"/>
      <c r="AG60" s="149">
        <f t="shared" si="5"/>
        <v>0</v>
      </c>
      <c r="AH60" s="304"/>
      <c r="AI60" s="304"/>
      <c r="AJ60" s="148">
        <f>(AJ59-VSLFO.MGO4567[[#This Row],[HIDRAULICO]])+VSLFO.MGO4567[[#This Row],[FAENA EN LTS3]]</f>
        <v>0</v>
      </c>
    </row>
    <row r="61" spans="1:36" x14ac:dyDescent="0.25">
      <c r="A61" s="192"/>
      <c r="B61" s="219"/>
      <c r="C61" s="7"/>
      <c r="D61" s="4">
        <f>IF(VSLFO.MGO4567[[#This Row],[FECHA]]-B60=1,((VSLFO.MGO4567[[#This Row],[HORA]]-C60)*24)+24,(VSLFO.MGO4567[[#This Row],[HORA]]-C60)*24)</f>
        <v>0</v>
      </c>
      <c r="E61" s="10"/>
      <c r="F61" s="10"/>
      <c r="G61" s="212"/>
      <c r="H61" s="201"/>
      <c r="I61" s="201"/>
      <c r="J61" s="207"/>
      <c r="K61" s="153"/>
      <c r="L61" s="3"/>
      <c r="M61" s="3"/>
      <c r="N61" s="3">
        <f t="shared" si="0"/>
        <v>0</v>
      </c>
      <c r="O61" s="1"/>
      <c r="P61" s="152">
        <f t="shared" si="2"/>
        <v>0</v>
      </c>
      <c r="Q61" s="150"/>
      <c r="R61" s="304"/>
      <c r="S61" s="304"/>
      <c r="T61" s="304"/>
      <c r="U61" s="304"/>
      <c r="V61" s="155">
        <f t="shared" si="3"/>
        <v>0</v>
      </c>
      <c r="W61" s="304"/>
      <c r="X61" s="151">
        <f>(X60-VSLFO.MGO4567[[#This Row],[TOTAL]])+VSLFO.MGO4567[[#This Row],[FAENA2]]</f>
        <v>0</v>
      </c>
      <c r="Y61" s="150"/>
      <c r="Z61" s="304"/>
      <c r="AA61" s="149">
        <f t="shared" si="4"/>
        <v>0</v>
      </c>
      <c r="AB61" s="304"/>
      <c r="AC61" s="304"/>
      <c r="AD61" s="149">
        <f>($AD$4-VSLFO.MGO4567[[#This Row],[CARTER MP.]])+VSLFO.MGO4567[[#This Row],[FAENA EN LTS2]]</f>
        <v>0</v>
      </c>
      <c r="AE61" s="304"/>
      <c r="AF61" s="304"/>
      <c r="AG61" s="149">
        <f t="shared" si="5"/>
        <v>0</v>
      </c>
      <c r="AH61" s="304"/>
      <c r="AI61" s="304"/>
      <c r="AJ61" s="148">
        <f>(AJ60-VSLFO.MGO4567[[#This Row],[HIDRAULICO]])+VSLFO.MGO4567[[#This Row],[FAENA EN LTS3]]</f>
        <v>0</v>
      </c>
    </row>
    <row r="62" spans="1:36" x14ac:dyDescent="0.25">
      <c r="A62" s="192"/>
      <c r="B62" s="219"/>
      <c r="C62" s="7"/>
      <c r="D62" s="4">
        <f>IF(VSLFO.MGO4567[[#This Row],[FECHA]]-B61=1,((VSLFO.MGO4567[[#This Row],[HORA]]-C61)*24)+24,(VSLFO.MGO4567[[#This Row],[HORA]]-C61)*24)</f>
        <v>0</v>
      </c>
      <c r="E62" s="10"/>
      <c r="F62" s="10"/>
      <c r="G62" s="212"/>
      <c r="H62" s="201"/>
      <c r="I62" s="201"/>
      <c r="J62" s="207"/>
      <c r="K62" s="153"/>
      <c r="L62" s="3"/>
      <c r="M62" s="3"/>
      <c r="N62" s="3">
        <f t="shared" si="0"/>
        <v>0</v>
      </c>
      <c r="O62" s="1"/>
      <c r="P62" s="152">
        <f t="shared" si="2"/>
        <v>0</v>
      </c>
      <c r="Q62" s="150"/>
      <c r="R62" s="304"/>
      <c r="S62" s="304"/>
      <c r="T62" s="304"/>
      <c r="U62" s="304"/>
      <c r="V62" s="155">
        <f t="shared" si="3"/>
        <v>0</v>
      </c>
      <c r="W62" s="304"/>
      <c r="X62" s="151">
        <f>(X61-VSLFO.MGO4567[[#This Row],[TOTAL]])+VSLFO.MGO4567[[#This Row],[FAENA2]]</f>
        <v>0</v>
      </c>
      <c r="Y62" s="150"/>
      <c r="Z62" s="304"/>
      <c r="AA62" s="149">
        <f t="shared" si="4"/>
        <v>0</v>
      </c>
      <c r="AB62" s="304"/>
      <c r="AC62" s="304"/>
      <c r="AD62" s="149">
        <f>($AD$4-VSLFO.MGO4567[[#This Row],[CARTER MP.]])+VSLFO.MGO4567[[#This Row],[FAENA EN LTS2]]</f>
        <v>0</v>
      </c>
      <c r="AE62" s="304"/>
      <c r="AF62" s="304"/>
      <c r="AG62" s="149">
        <f t="shared" si="5"/>
        <v>0</v>
      </c>
      <c r="AH62" s="304"/>
      <c r="AI62" s="304"/>
      <c r="AJ62" s="148">
        <f>(AJ61-VSLFO.MGO4567[[#This Row],[HIDRAULICO]])+VSLFO.MGO4567[[#This Row],[FAENA EN LTS3]]</f>
        <v>0</v>
      </c>
    </row>
    <row r="63" spans="1:36" x14ac:dyDescent="0.25">
      <c r="A63" s="192"/>
      <c r="B63" s="219"/>
      <c r="C63" s="7"/>
      <c r="D63" s="4">
        <f>IF(VSLFO.MGO4567[[#This Row],[FECHA]]-B62=1,((VSLFO.MGO4567[[#This Row],[HORA]]-C62)*24)+24,(VSLFO.MGO4567[[#This Row],[HORA]]-C62)*24)</f>
        <v>0</v>
      </c>
      <c r="E63" s="10"/>
      <c r="F63" s="10"/>
      <c r="G63" s="212"/>
      <c r="H63" s="201"/>
      <c r="I63" s="201"/>
      <c r="J63" s="207"/>
      <c r="K63" s="153"/>
      <c r="L63" s="3"/>
      <c r="M63" s="3"/>
      <c r="N63" s="3">
        <f t="shared" si="0"/>
        <v>0</v>
      </c>
      <c r="O63" s="1"/>
      <c r="P63" s="152">
        <f t="shared" si="2"/>
        <v>0</v>
      </c>
      <c r="Q63" s="150"/>
      <c r="R63" s="304"/>
      <c r="S63" s="304"/>
      <c r="T63" s="304"/>
      <c r="U63" s="304"/>
      <c r="V63" s="155">
        <f t="shared" si="3"/>
        <v>0</v>
      </c>
      <c r="W63" s="304"/>
      <c r="X63" s="151">
        <f>(X62-VSLFO.MGO4567[[#This Row],[TOTAL]])+VSLFO.MGO4567[[#This Row],[FAENA2]]</f>
        <v>0</v>
      </c>
      <c r="Y63" s="150"/>
      <c r="Z63" s="304"/>
      <c r="AA63" s="149">
        <f t="shared" si="4"/>
        <v>0</v>
      </c>
      <c r="AB63" s="304"/>
      <c r="AC63" s="304"/>
      <c r="AD63" s="149">
        <f>($AD$4-VSLFO.MGO4567[[#This Row],[CARTER MP.]])+VSLFO.MGO4567[[#This Row],[FAENA EN LTS2]]</f>
        <v>0</v>
      </c>
      <c r="AE63" s="304"/>
      <c r="AF63" s="304"/>
      <c r="AG63" s="149">
        <f t="shared" si="5"/>
        <v>0</v>
      </c>
      <c r="AH63" s="304"/>
      <c r="AI63" s="304"/>
      <c r="AJ63" s="148">
        <f>(AJ62-VSLFO.MGO4567[[#This Row],[HIDRAULICO]])+VSLFO.MGO4567[[#This Row],[FAENA EN LTS3]]</f>
        <v>0</v>
      </c>
    </row>
    <row r="64" spans="1:36" x14ac:dyDescent="0.25">
      <c r="A64" s="192"/>
      <c r="B64" s="219"/>
      <c r="C64" s="7"/>
      <c r="D64" s="4">
        <f>IF(VSLFO.MGO4567[[#This Row],[FECHA]]-B63=1,((VSLFO.MGO4567[[#This Row],[HORA]]-C63)*24)+24,(VSLFO.MGO4567[[#This Row],[HORA]]-C63)*24)</f>
        <v>0</v>
      </c>
      <c r="E64" s="10"/>
      <c r="F64" s="10"/>
      <c r="G64" s="212"/>
      <c r="H64" s="201"/>
      <c r="I64" s="201"/>
      <c r="J64" s="207"/>
      <c r="K64" s="153"/>
      <c r="L64" s="3"/>
      <c r="M64" s="3"/>
      <c r="N64" s="3">
        <f t="shared" si="0"/>
        <v>0</v>
      </c>
      <c r="O64" s="1"/>
      <c r="P64" s="152">
        <f t="shared" si="2"/>
        <v>0</v>
      </c>
      <c r="Q64" s="150"/>
      <c r="R64" s="304"/>
      <c r="S64" s="304"/>
      <c r="T64" s="304"/>
      <c r="U64" s="304"/>
      <c r="V64" s="155">
        <f t="shared" si="3"/>
        <v>0</v>
      </c>
      <c r="W64" s="304"/>
      <c r="X64" s="151">
        <f>(X63-VSLFO.MGO4567[[#This Row],[TOTAL]])+VSLFO.MGO4567[[#This Row],[FAENA2]]</f>
        <v>0</v>
      </c>
      <c r="Y64" s="150"/>
      <c r="Z64" s="304"/>
      <c r="AA64" s="149">
        <f t="shared" si="4"/>
        <v>0</v>
      </c>
      <c r="AB64" s="304"/>
      <c r="AC64" s="304"/>
      <c r="AD64" s="149">
        <f>($AD$4-VSLFO.MGO4567[[#This Row],[CARTER MP.]])+VSLFO.MGO4567[[#This Row],[FAENA EN LTS2]]</f>
        <v>0</v>
      </c>
      <c r="AE64" s="304"/>
      <c r="AF64" s="304"/>
      <c r="AG64" s="149">
        <f t="shared" si="5"/>
        <v>0</v>
      </c>
      <c r="AH64" s="304"/>
      <c r="AI64" s="304"/>
      <c r="AJ64" s="148">
        <f>(AJ63-VSLFO.MGO4567[[#This Row],[HIDRAULICO]])+VSLFO.MGO4567[[#This Row],[FAENA EN LTS3]]</f>
        <v>0</v>
      </c>
    </row>
    <row r="65" spans="1:36" x14ac:dyDescent="0.25">
      <c r="A65" s="192"/>
      <c r="B65" s="219"/>
      <c r="C65" s="7"/>
      <c r="D65" s="4">
        <f>IF(VSLFO.MGO4567[[#This Row],[FECHA]]-B64=1,((VSLFO.MGO4567[[#This Row],[HORA]]-C64)*24)+24,(VSLFO.MGO4567[[#This Row],[HORA]]-C64)*24)</f>
        <v>0</v>
      </c>
      <c r="E65" s="10"/>
      <c r="F65" s="10"/>
      <c r="G65" s="212"/>
      <c r="H65" s="201"/>
      <c r="I65" s="201"/>
      <c r="J65" s="207"/>
      <c r="K65" s="153"/>
      <c r="L65" s="3"/>
      <c r="M65" s="3"/>
      <c r="N65" s="3">
        <f t="shared" si="0"/>
        <v>0</v>
      </c>
      <c r="O65" s="1"/>
      <c r="P65" s="152">
        <f t="shared" si="2"/>
        <v>0</v>
      </c>
      <c r="Q65" s="150"/>
      <c r="R65" s="304"/>
      <c r="S65" s="304"/>
      <c r="T65" s="304"/>
      <c r="U65" s="304"/>
      <c r="V65" s="155">
        <f t="shared" si="3"/>
        <v>0</v>
      </c>
      <c r="W65" s="304"/>
      <c r="X65" s="151">
        <f>(X64-VSLFO.MGO4567[[#This Row],[TOTAL]])+VSLFO.MGO4567[[#This Row],[FAENA2]]</f>
        <v>0</v>
      </c>
      <c r="Y65" s="150"/>
      <c r="Z65" s="304"/>
      <c r="AA65" s="149">
        <f t="shared" si="4"/>
        <v>0</v>
      </c>
      <c r="AB65" s="304"/>
      <c r="AC65" s="304"/>
      <c r="AD65" s="149">
        <f>($AD$4-VSLFO.MGO4567[[#This Row],[CARTER MP.]])+VSLFO.MGO4567[[#This Row],[FAENA EN LTS2]]</f>
        <v>0</v>
      </c>
      <c r="AE65" s="304"/>
      <c r="AF65" s="304"/>
      <c r="AG65" s="149">
        <f t="shared" si="5"/>
        <v>0</v>
      </c>
      <c r="AH65" s="304"/>
      <c r="AI65" s="304"/>
      <c r="AJ65" s="148">
        <f>(AJ64-VSLFO.MGO4567[[#This Row],[HIDRAULICO]])+VSLFO.MGO4567[[#This Row],[FAENA EN LTS3]]</f>
        <v>0</v>
      </c>
    </row>
    <row r="66" spans="1:36" x14ac:dyDescent="0.25">
      <c r="A66" s="192"/>
      <c r="B66" s="219"/>
      <c r="C66" s="7"/>
      <c r="D66" s="4">
        <f>IF(VSLFO.MGO4567[[#This Row],[FECHA]]-B65=1,((VSLFO.MGO4567[[#This Row],[HORA]]-C65)*24)+24,(VSLFO.MGO4567[[#This Row],[HORA]]-C65)*24)</f>
        <v>0</v>
      </c>
      <c r="E66" s="10"/>
      <c r="F66" s="10"/>
      <c r="G66" s="212"/>
      <c r="H66" s="201"/>
      <c r="I66" s="201"/>
      <c r="J66" s="207"/>
      <c r="K66" s="153"/>
      <c r="L66" s="3"/>
      <c r="M66" s="3"/>
      <c r="N66" s="3">
        <f t="shared" si="0"/>
        <v>0</v>
      </c>
      <c r="O66" s="1"/>
      <c r="P66" s="152">
        <f t="shared" si="2"/>
        <v>0</v>
      </c>
      <c r="Q66" s="150"/>
      <c r="R66" s="304"/>
      <c r="S66" s="304"/>
      <c r="T66" s="304"/>
      <c r="U66" s="304"/>
      <c r="V66" s="155">
        <f t="shared" si="3"/>
        <v>0</v>
      </c>
      <c r="W66" s="304"/>
      <c r="X66" s="151">
        <f>(X65-VSLFO.MGO4567[[#This Row],[TOTAL]])+VSLFO.MGO4567[[#This Row],[FAENA2]]</f>
        <v>0</v>
      </c>
      <c r="Y66" s="150"/>
      <c r="Z66" s="304"/>
      <c r="AA66" s="149">
        <f t="shared" si="4"/>
        <v>0</v>
      </c>
      <c r="AB66" s="304"/>
      <c r="AC66" s="304"/>
      <c r="AD66" s="149">
        <f>($AD$4-VSLFO.MGO4567[[#This Row],[CARTER MP.]])+VSLFO.MGO4567[[#This Row],[FAENA EN LTS2]]</f>
        <v>0</v>
      </c>
      <c r="AE66" s="304"/>
      <c r="AF66" s="304"/>
      <c r="AG66" s="149">
        <f t="shared" si="5"/>
        <v>0</v>
      </c>
      <c r="AH66" s="304"/>
      <c r="AI66" s="304"/>
      <c r="AJ66" s="148">
        <f>(AJ65-VSLFO.MGO4567[[#This Row],[HIDRAULICO]])+VSLFO.MGO4567[[#This Row],[FAENA EN LTS3]]</f>
        <v>0</v>
      </c>
    </row>
    <row r="67" spans="1:36" x14ac:dyDescent="0.25">
      <c r="A67" s="227"/>
      <c r="B67" s="219"/>
      <c r="C67" s="7"/>
      <c r="D67" s="4">
        <f>IF(VSLFO.MGO4567[[#This Row],[FECHA]]-B66=1,((VSLFO.MGO4567[[#This Row],[HORA]]-C66)*24)+24,(VSLFO.MGO4567[[#This Row],[HORA]]-C66)*24)</f>
        <v>0</v>
      </c>
      <c r="E67" s="10"/>
      <c r="F67" s="10"/>
      <c r="G67" s="212"/>
      <c r="H67" s="201"/>
      <c r="I67" s="201"/>
      <c r="J67" s="207"/>
      <c r="K67" s="153"/>
      <c r="L67" s="3"/>
      <c r="M67" s="3"/>
      <c r="N67" s="3">
        <f t="shared" si="0"/>
        <v>0</v>
      </c>
      <c r="O67" s="1"/>
      <c r="P67" s="152">
        <f t="shared" si="2"/>
        <v>0</v>
      </c>
      <c r="Q67" s="150"/>
      <c r="R67" s="304"/>
      <c r="S67" s="304"/>
      <c r="T67" s="304"/>
      <c r="U67" s="304"/>
      <c r="V67" s="155">
        <f t="shared" si="3"/>
        <v>0</v>
      </c>
      <c r="W67" s="304"/>
      <c r="X67" s="151">
        <f>(X66-VSLFO.MGO4567[[#This Row],[TOTAL]])+VSLFO.MGO4567[[#This Row],[FAENA2]]</f>
        <v>0</v>
      </c>
      <c r="Y67" s="150"/>
      <c r="Z67" s="304"/>
      <c r="AA67" s="149">
        <f t="shared" si="4"/>
        <v>0</v>
      </c>
      <c r="AB67" s="304"/>
      <c r="AC67" s="304"/>
      <c r="AD67" s="149">
        <f>($AD$4-VSLFO.MGO4567[[#This Row],[CARTER MP.]])+VSLFO.MGO4567[[#This Row],[FAENA EN LTS2]]</f>
        <v>0</v>
      </c>
      <c r="AE67" s="304"/>
      <c r="AF67" s="304"/>
      <c r="AG67" s="149">
        <f t="shared" si="5"/>
        <v>0</v>
      </c>
      <c r="AH67" s="304"/>
      <c r="AI67" s="304"/>
      <c r="AJ67" s="148">
        <f>(AJ66-VSLFO.MGO4567[[#This Row],[HIDRAULICO]])+VSLFO.MGO4567[[#This Row],[FAENA EN LTS3]]</f>
        <v>0</v>
      </c>
    </row>
    <row r="68" spans="1:36" x14ac:dyDescent="0.25">
      <c r="A68" s="192"/>
      <c r="B68" s="219"/>
      <c r="C68" s="7"/>
      <c r="D68" s="4">
        <f>IF(VSLFO.MGO4567[[#This Row],[FECHA]]-B67=1,((VSLFO.MGO4567[[#This Row],[HORA]]-C67)*24)+24,(VSLFO.MGO4567[[#This Row],[HORA]]-C67)*24)</f>
        <v>0</v>
      </c>
      <c r="E68" s="10"/>
      <c r="F68" s="10"/>
      <c r="G68" s="212"/>
      <c r="H68" s="201"/>
      <c r="I68" s="201"/>
      <c r="J68" s="207"/>
      <c r="K68" s="153"/>
      <c r="L68" s="3"/>
      <c r="M68" s="3"/>
      <c r="N68" s="3">
        <f t="shared" si="0"/>
        <v>0</v>
      </c>
      <c r="O68" s="1"/>
      <c r="P68" s="152">
        <f t="shared" si="2"/>
        <v>0</v>
      </c>
      <c r="Q68" s="150"/>
      <c r="R68" s="304"/>
      <c r="S68" s="304"/>
      <c r="T68" s="304"/>
      <c r="U68" s="304"/>
      <c r="V68" s="155">
        <f t="shared" si="3"/>
        <v>0</v>
      </c>
      <c r="W68" s="304"/>
      <c r="X68" s="151">
        <f>(X67-VSLFO.MGO4567[[#This Row],[TOTAL]])+VSLFO.MGO4567[[#This Row],[FAENA2]]</f>
        <v>0</v>
      </c>
      <c r="Y68" s="150"/>
      <c r="Z68" s="304"/>
      <c r="AA68" s="149">
        <f t="shared" si="4"/>
        <v>0</v>
      </c>
      <c r="AB68" s="304"/>
      <c r="AC68" s="304"/>
      <c r="AD68" s="149">
        <f>($AD$4-VSLFO.MGO4567[[#This Row],[CARTER MP.]])+VSLFO.MGO4567[[#This Row],[FAENA EN LTS2]]</f>
        <v>0</v>
      </c>
      <c r="AE68" s="304"/>
      <c r="AF68" s="304"/>
      <c r="AG68" s="149">
        <f t="shared" si="5"/>
        <v>0</v>
      </c>
      <c r="AH68" s="304"/>
      <c r="AI68" s="304"/>
      <c r="AJ68" s="148">
        <f>(AJ67-VSLFO.MGO4567[[#This Row],[HIDRAULICO]])+VSLFO.MGO4567[[#This Row],[FAENA EN LTS3]]</f>
        <v>0</v>
      </c>
    </row>
    <row r="69" spans="1:36" x14ac:dyDescent="0.25">
      <c r="A69" s="192"/>
      <c r="B69" s="219"/>
      <c r="C69" s="7"/>
      <c r="D69" s="4">
        <f>IF(VSLFO.MGO4567[[#This Row],[FECHA]]-B68=1,((VSLFO.MGO4567[[#This Row],[HORA]]-C68)*24)+24,(VSLFO.MGO4567[[#This Row],[HORA]]-C68)*24)</f>
        <v>0</v>
      </c>
      <c r="E69" s="10"/>
      <c r="F69" s="10"/>
      <c r="G69" s="212"/>
      <c r="H69" s="201"/>
      <c r="I69" s="201"/>
      <c r="J69" s="207"/>
      <c r="K69" s="153"/>
      <c r="L69" s="3"/>
      <c r="M69" s="3"/>
      <c r="N69" s="3">
        <f t="shared" si="0"/>
        <v>0</v>
      </c>
      <c r="O69" s="1"/>
      <c r="P69" s="152">
        <f t="shared" si="2"/>
        <v>0</v>
      </c>
      <c r="Q69" s="150"/>
      <c r="R69" s="304"/>
      <c r="S69" s="304"/>
      <c r="T69" s="304"/>
      <c r="U69" s="304"/>
      <c r="V69" s="155">
        <f t="shared" si="3"/>
        <v>0</v>
      </c>
      <c r="W69" s="304"/>
      <c r="X69" s="151">
        <f>(X68-VSLFO.MGO4567[[#This Row],[TOTAL]])+VSLFO.MGO4567[[#This Row],[FAENA2]]</f>
        <v>0</v>
      </c>
      <c r="Y69" s="150"/>
      <c r="Z69" s="304"/>
      <c r="AA69" s="149">
        <f t="shared" si="4"/>
        <v>0</v>
      </c>
      <c r="AB69" s="304"/>
      <c r="AC69" s="304"/>
      <c r="AD69" s="149">
        <f>($AD$4-VSLFO.MGO4567[[#This Row],[CARTER MP.]])+VSLFO.MGO4567[[#This Row],[FAENA EN LTS2]]</f>
        <v>0</v>
      </c>
      <c r="AE69" s="304"/>
      <c r="AF69" s="304"/>
      <c r="AG69" s="149">
        <f t="shared" si="5"/>
        <v>0</v>
      </c>
      <c r="AH69" s="304"/>
      <c r="AI69" s="304"/>
      <c r="AJ69" s="148">
        <f>(AJ68-VSLFO.MGO4567[[#This Row],[HIDRAULICO]])+VSLFO.MGO4567[[#This Row],[FAENA EN LTS3]]</f>
        <v>0</v>
      </c>
    </row>
    <row r="70" spans="1:36" x14ac:dyDescent="0.25">
      <c r="A70" s="192"/>
      <c r="B70" s="219"/>
      <c r="C70" s="7"/>
      <c r="D70" s="4">
        <f>IF(VSLFO.MGO4567[[#This Row],[FECHA]]-B69=1,((VSLFO.MGO4567[[#This Row],[HORA]]-C69)*24)+24,(VSLFO.MGO4567[[#This Row],[HORA]]-C69)*24)</f>
        <v>0</v>
      </c>
      <c r="E70" s="10"/>
      <c r="F70" s="10"/>
      <c r="G70" s="212"/>
      <c r="H70" s="201"/>
      <c r="I70" s="201"/>
      <c r="J70" s="207"/>
      <c r="K70" s="153"/>
      <c r="L70" s="3"/>
      <c r="M70" s="3"/>
      <c r="N70" s="3">
        <f t="shared" si="0"/>
        <v>0</v>
      </c>
      <c r="O70" s="1"/>
      <c r="P70" s="152">
        <f t="shared" si="2"/>
        <v>0</v>
      </c>
      <c r="Q70" s="150"/>
      <c r="R70" s="304"/>
      <c r="S70" s="304"/>
      <c r="T70" s="304"/>
      <c r="U70" s="304"/>
      <c r="V70" s="155">
        <f t="shared" si="3"/>
        <v>0</v>
      </c>
      <c r="W70" s="304"/>
      <c r="X70" s="151">
        <f>(X69-VSLFO.MGO4567[[#This Row],[TOTAL]])+VSLFO.MGO4567[[#This Row],[FAENA2]]</f>
        <v>0</v>
      </c>
      <c r="Y70" s="150"/>
      <c r="Z70" s="304"/>
      <c r="AA70" s="149">
        <f t="shared" si="4"/>
        <v>0</v>
      </c>
      <c r="AB70" s="304"/>
      <c r="AC70" s="304"/>
      <c r="AD70" s="149">
        <f>($AD$4-VSLFO.MGO4567[[#This Row],[CARTER MP.]])+VSLFO.MGO4567[[#This Row],[FAENA EN LTS2]]</f>
        <v>0</v>
      </c>
      <c r="AE70" s="304"/>
      <c r="AF70" s="304"/>
      <c r="AG70" s="149">
        <f t="shared" si="5"/>
        <v>0</v>
      </c>
      <c r="AH70" s="304"/>
      <c r="AI70" s="304"/>
      <c r="AJ70" s="148">
        <f>(AJ69-VSLFO.MGO4567[[#This Row],[HIDRAULICO]])+VSLFO.MGO4567[[#This Row],[FAENA EN LTS3]]</f>
        <v>0</v>
      </c>
    </row>
    <row r="71" spans="1:36" x14ac:dyDescent="0.25">
      <c r="A71" s="192"/>
      <c r="B71" s="219"/>
      <c r="C71" s="7"/>
      <c r="D71" s="4">
        <f>IF(VSLFO.MGO4567[[#This Row],[FECHA]]-B70=1,((VSLFO.MGO4567[[#This Row],[HORA]]-C70)*24)+24,(VSLFO.MGO4567[[#This Row],[HORA]]-C70)*24)</f>
        <v>0</v>
      </c>
      <c r="E71" s="10"/>
      <c r="F71" s="10"/>
      <c r="G71" s="212"/>
      <c r="H71" s="201"/>
      <c r="I71" s="201"/>
      <c r="J71" s="207"/>
      <c r="K71" s="153"/>
      <c r="L71" s="3"/>
      <c r="M71" s="3"/>
      <c r="N71" s="3">
        <f t="shared" ref="N71:N115" si="6">K71+L71+M71</f>
        <v>0</v>
      </c>
      <c r="O71" s="1"/>
      <c r="P71" s="152">
        <f t="shared" si="2"/>
        <v>0</v>
      </c>
      <c r="Q71" s="150"/>
      <c r="R71" s="304"/>
      <c r="S71" s="304"/>
      <c r="T71" s="304"/>
      <c r="U71" s="304"/>
      <c r="V71" s="155">
        <f t="shared" si="3"/>
        <v>0</v>
      </c>
      <c r="W71" s="304"/>
      <c r="X71" s="151">
        <f>(X70-VSLFO.MGO4567[[#This Row],[TOTAL]])+VSLFO.MGO4567[[#This Row],[FAENA2]]</f>
        <v>0</v>
      </c>
      <c r="Y71" s="150"/>
      <c r="Z71" s="304"/>
      <c r="AA71" s="149">
        <f t="shared" si="4"/>
        <v>0</v>
      </c>
      <c r="AB71" s="304"/>
      <c r="AC71" s="304"/>
      <c r="AD71" s="149">
        <f>($AD$4-VSLFO.MGO4567[[#This Row],[CARTER MP.]])+VSLFO.MGO4567[[#This Row],[FAENA EN LTS2]]</f>
        <v>0</v>
      </c>
      <c r="AE71" s="304"/>
      <c r="AF71" s="304"/>
      <c r="AG71" s="149">
        <f t="shared" si="5"/>
        <v>0</v>
      </c>
      <c r="AH71" s="304"/>
      <c r="AI71" s="304"/>
      <c r="AJ71" s="148">
        <f>(AJ70-VSLFO.MGO4567[[#This Row],[HIDRAULICO]])+VSLFO.MGO4567[[#This Row],[FAENA EN LTS3]]</f>
        <v>0</v>
      </c>
    </row>
    <row r="72" spans="1:36" x14ac:dyDescent="0.25">
      <c r="A72" s="192"/>
      <c r="B72" s="219"/>
      <c r="C72" s="7"/>
      <c r="D72" s="4">
        <f>IF(VSLFO.MGO4567[[#This Row],[FECHA]]-B71=1,((VSLFO.MGO4567[[#This Row],[HORA]]-C71)*24)+24,(VSLFO.MGO4567[[#This Row],[HORA]]-C71)*24)</f>
        <v>0</v>
      </c>
      <c r="E72" s="10"/>
      <c r="F72" s="10"/>
      <c r="G72" s="212"/>
      <c r="H72" s="201"/>
      <c r="I72" s="201"/>
      <c r="J72" s="207"/>
      <c r="K72" s="153"/>
      <c r="L72" s="3"/>
      <c r="M72" s="3"/>
      <c r="N72" s="3">
        <f t="shared" si="6"/>
        <v>0</v>
      </c>
      <c r="O72" s="1"/>
      <c r="P72" s="152">
        <f t="shared" si="2"/>
        <v>0</v>
      </c>
      <c r="Q72" s="150"/>
      <c r="R72" s="304"/>
      <c r="S72" s="304"/>
      <c r="T72" s="304"/>
      <c r="U72" s="304"/>
      <c r="V72" s="155">
        <f t="shared" si="3"/>
        <v>0</v>
      </c>
      <c r="W72" s="304"/>
      <c r="X72" s="151">
        <f>(X71-VSLFO.MGO4567[[#This Row],[TOTAL]])+VSLFO.MGO4567[[#This Row],[FAENA2]]</f>
        <v>0</v>
      </c>
      <c r="Y72" s="150"/>
      <c r="Z72" s="304"/>
      <c r="AA72" s="149">
        <f t="shared" si="4"/>
        <v>0</v>
      </c>
      <c r="AB72" s="304"/>
      <c r="AC72" s="304"/>
      <c r="AD72" s="149">
        <f>($AD$4-VSLFO.MGO4567[[#This Row],[CARTER MP.]])+VSLFO.MGO4567[[#This Row],[FAENA EN LTS2]]</f>
        <v>0</v>
      </c>
      <c r="AE72" s="304"/>
      <c r="AF72" s="304"/>
      <c r="AG72" s="149">
        <f t="shared" si="5"/>
        <v>0</v>
      </c>
      <c r="AH72" s="304"/>
      <c r="AI72" s="304"/>
      <c r="AJ72" s="148">
        <f>(AJ71-VSLFO.MGO4567[[#This Row],[HIDRAULICO]])+VSLFO.MGO4567[[#This Row],[FAENA EN LTS3]]</f>
        <v>0</v>
      </c>
    </row>
    <row r="73" spans="1:36" x14ac:dyDescent="0.25">
      <c r="A73" s="192"/>
      <c r="B73" s="219"/>
      <c r="C73" s="7"/>
      <c r="D73" s="4">
        <f>IF(VSLFO.MGO4567[[#This Row],[FECHA]]-B72=1,((VSLFO.MGO4567[[#This Row],[HORA]]-C72)*24)+24,(VSLFO.MGO4567[[#This Row],[HORA]]-C72)*24)</f>
        <v>0</v>
      </c>
      <c r="E73" s="10"/>
      <c r="F73" s="10"/>
      <c r="G73" s="212"/>
      <c r="H73" s="201"/>
      <c r="I73" s="201"/>
      <c r="J73" s="207"/>
      <c r="K73" s="153"/>
      <c r="L73" s="3"/>
      <c r="M73" s="3"/>
      <c r="N73" s="3">
        <f t="shared" si="6"/>
        <v>0</v>
      </c>
      <c r="O73" s="1"/>
      <c r="P73" s="152">
        <f t="shared" si="2"/>
        <v>0</v>
      </c>
      <c r="Q73" s="150"/>
      <c r="R73" s="304"/>
      <c r="S73" s="304"/>
      <c r="T73" s="304"/>
      <c r="U73" s="304"/>
      <c r="V73" s="155">
        <f t="shared" si="3"/>
        <v>0</v>
      </c>
      <c r="W73" s="304"/>
      <c r="X73" s="151">
        <f>(X72-VSLFO.MGO4567[[#This Row],[TOTAL]])+VSLFO.MGO4567[[#This Row],[FAENA2]]</f>
        <v>0</v>
      </c>
      <c r="Y73" s="150"/>
      <c r="Z73" s="304"/>
      <c r="AA73" s="149">
        <f t="shared" si="4"/>
        <v>0</v>
      </c>
      <c r="AB73" s="304"/>
      <c r="AC73" s="304"/>
      <c r="AD73" s="149">
        <f>($AD$4-VSLFO.MGO4567[[#This Row],[CARTER MP.]])+VSLFO.MGO4567[[#This Row],[FAENA EN LTS2]]</f>
        <v>0</v>
      </c>
      <c r="AE73" s="304"/>
      <c r="AF73" s="304"/>
      <c r="AG73" s="149">
        <f t="shared" si="5"/>
        <v>0</v>
      </c>
      <c r="AH73" s="304"/>
      <c r="AI73" s="304"/>
      <c r="AJ73" s="148">
        <f>(AJ72-VSLFO.MGO4567[[#This Row],[HIDRAULICO]])+VSLFO.MGO4567[[#This Row],[FAENA EN LTS3]]</f>
        <v>0</v>
      </c>
    </row>
    <row r="74" spans="1:36" x14ac:dyDescent="0.25">
      <c r="A74" s="192"/>
      <c r="B74" s="219"/>
      <c r="C74" s="7"/>
      <c r="D74" s="4">
        <f>IF(VSLFO.MGO4567[[#This Row],[FECHA]]-B73=1,((VSLFO.MGO4567[[#This Row],[HORA]]-C73)*24)+24,(VSLFO.MGO4567[[#This Row],[HORA]]-C73)*24)</f>
        <v>0</v>
      </c>
      <c r="E74" s="10"/>
      <c r="F74" s="10"/>
      <c r="G74" s="212"/>
      <c r="H74" s="201"/>
      <c r="I74" s="201"/>
      <c r="J74" s="207"/>
      <c r="K74" s="153"/>
      <c r="L74" s="3"/>
      <c r="M74" s="3"/>
      <c r="N74" s="3">
        <f t="shared" si="6"/>
        <v>0</v>
      </c>
      <c r="O74" s="1"/>
      <c r="P74" s="152">
        <f t="shared" ref="P74:P107" si="7">(P73 -N74)+O74</f>
        <v>0</v>
      </c>
      <c r="Q74" s="150"/>
      <c r="R74" s="304"/>
      <c r="S74" s="304"/>
      <c r="T74" s="304"/>
      <c r="U74" s="304"/>
      <c r="V74" s="155">
        <f t="shared" si="3"/>
        <v>0</v>
      </c>
      <c r="W74" s="304"/>
      <c r="X74" s="151">
        <f>(X73-VSLFO.MGO4567[[#This Row],[TOTAL]])+VSLFO.MGO4567[[#This Row],[FAENA2]]</f>
        <v>0</v>
      </c>
      <c r="Y74" s="150"/>
      <c r="Z74" s="304"/>
      <c r="AA74" s="149">
        <f t="shared" si="4"/>
        <v>0</v>
      </c>
      <c r="AB74" s="304"/>
      <c r="AC74" s="304"/>
      <c r="AD74" s="149">
        <f>($AD$4-VSLFO.MGO4567[[#This Row],[CARTER MP.]])+VSLFO.MGO4567[[#This Row],[FAENA EN LTS2]]</f>
        <v>0</v>
      </c>
      <c r="AE74" s="304"/>
      <c r="AF74" s="304"/>
      <c r="AG74" s="149">
        <f t="shared" si="5"/>
        <v>0</v>
      </c>
      <c r="AH74" s="304"/>
      <c r="AI74" s="304"/>
      <c r="AJ74" s="148">
        <f>(AJ73-VSLFO.MGO4567[[#This Row],[HIDRAULICO]])+VSLFO.MGO4567[[#This Row],[FAENA EN LTS3]]</f>
        <v>0</v>
      </c>
    </row>
    <row r="75" spans="1:36" x14ac:dyDescent="0.25">
      <c r="A75" s="192"/>
      <c r="B75" s="219"/>
      <c r="C75" s="7"/>
      <c r="D75" s="4">
        <f>IF(VSLFO.MGO4567[[#This Row],[FECHA]]-B74=1,((VSLFO.MGO4567[[#This Row],[HORA]]-C74)*24)+24,(VSLFO.MGO4567[[#This Row],[HORA]]-C74)*24)</f>
        <v>0</v>
      </c>
      <c r="E75" s="10"/>
      <c r="F75" s="10"/>
      <c r="G75" s="212"/>
      <c r="H75" s="201"/>
      <c r="I75" s="201"/>
      <c r="J75" s="207"/>
      <c r="K75" s="153"/>
      <c r="L75" s="3"/>
      <c r="M75" s="3"/>
      <c r="N75" s="3">
        <f t="shared" si="6"/>
        <v>0</v>
      </c>
      <c r="O75" s="1"/>
      <c r="P75" s="152">
        <f t="shared" si="7"/>
        <v>0</v>
      </c>
      <c r="Q75" s="150"/>
      <c r="R75" s="304"/>
      <c r="S75" s="304"/>
      <c r="T75" s="304"/>
      <c r="U75" s="304"/>
      <c r="V75" s="155">
        <f t="shared" si="3"/>
        <v>0</v>
      </c>
      <c r="W75" s="304"/>
      <c r="X75" s="151">
        <f>(X74-VSLFO.MGO4567[[#This Row],[TOTAL]])+VSLFO.MGO4567[[#This Row],[FAENA2]]</f>
        <v>0</v>
      </c>
      <c r="Y75" s="150"/>
      <c r="Z75" s="304"/>
      <c r="AA75" s="149">
        <f t="shared" si="4"/>
        <v>0</v>
      </c>
      <c r="AB75" s="304"/>
      <c r="AC75" s="304"/>
      <c r="AD75" s="149">
        <f>($AD$4-VSLFO.MGO4567[[#This Row],[CARTER MP.]])+VSLFO.MGO4567[[#This Row],[FAENA EN LTS2]]</f>
        <v>0</v>
      </c>
      <c r="AE75" s="304"/>
      <c r="AF75" s="304"/>
      <c r="AG75" s="149">
        <f t="shared" si="5"/>
        <v>0</v>
      </c>
      <c r="AH75" s="304"/>
      <c r="AI75" s="304"/>
      <c r="AJ75" s="148">
        <f>(AJ74-VSLFO.MGO4567[[#This Row],[HIDRAULICO]])+VSLFO.MGO4567[[#This Row],[FAENA EN LTS3]]</f>
        <v>0</v>
      </c>
    </row>
    <row r="76" spans="1:36" x14ac:dyDescent="0.25">
      <c r="A76" s="192"/>
      <c r="B76" s="219"/>
      <c r="C76" s="7"/>
      <c r="D76" s="4">
        <f>IF(VSLFO.MGO4567[[#This Row],[FECHA]]-B75=1,((VSLFO.MGO4567[[#This Row],[HORA]]-C75)*24)+24,(VSLFO.MGO4567[[#This Row],[HORA]]-C75)*24)</f>
        <v>0</v>
      </c>
      <c r="E76" s="10"/>
      <c r="F76" s="10"/>
      <c r="G76" s="212"/>
      <c r="H76" s="201"/>
      <c r="I76" s="201"/>
      <c r="J76" s="207"/>
      <c r="K76" s="153"/>
      <c r="L76" s="3"/>
      <c r="M76" s="3"/>
      <c r="N76" s="3">
        <f t="shared" si="6"/>
        <v>0</v>
      </c>
      <c r="O76" s="1"/>
      <c r="P76" s="152">
        <f t="shared" si="7"/>
        <v>0</v>
      </c>
      <c r="Q76" s="150"/>
      <c r="R76" s="304"/>
      <c r="S76" s="304"/>
      <c r="T76" s="304"/>
      <c r="U76" s="304"/>
      <c r="V76" s="155">
        <f t="shared" si="3"/>
        <v>0</v>
      </c>
      <c r="W76" s="304"/>
      <c r="X76" s="151">
        <f>(X75-VSLFO.MGO4567[[#This Row],[TOTAL]])+VSLFO.MGO4567[[#This Row],[FAENA2]]</f>
        <v>0</v>
      </c>
      <c r="Y76" s="150"/>
      <c r="Z76" s="304"/>
      <c r="AA76" s="149">
        <f t="shared" si="4"/>
        <v>0</v>
      </c>
      <c r="AB76" s="304"/>
      <c r="AC76" s="304"/>
      <c r="AD76" s="149">
        <f>($AD$4-VSLFO.MGO4567[[#This Row],[CARTER MP.]])+VSLFO.MGO4567[[#This Row],[FAENA EN LTS2]]</f>
        <v>0</v>
      </c>
      <c r="AE76" s="304"/>
      <c r="AF76" s="304"/>
      <c r="AG76" s="149">
        <f t="shared" ref="AG76:AG107" si="8">$AG$4</f>
        <v>0</v>
      </c>
      <c r="AH76" s="304"/>
      <c r="AI76" s="304"/>
      <c r="AJ76" s="148">
        <f>(AJ75-VSLFO.MGO4567[[#This Row],[HIDRAULICO]])+VSLFO.MGO4567[[#This Row],[FAENA EN LTS3]]</f>
        <v>0</v>
      </c>
    </row>
    <row r="77" spans="1:36" x14ac:dyDescent="0.25">
      <c r="A77" s="192"/>
      <c r="B77" s="219"/>
      <c r="C77" s="7"/>
      <c r="D77" s="4">
        <f>IF(VSLFO.MGO4567[[#This Row],[FECHA]]-B76=1,((VSLFO.MGO4567[[#This Row],[HORA]]-C76)*24)+24,(VSLFO.MGO4567[[#This Row],[HORA]]-C76)*24)</f>
        <v>0</v>
      </c>
      <c r="E77" s="10"/>
      <c r="F77" s="10"/>
      <c r="G77" s="212"/>
      <c r="H77" s="201"/>
      <c r="I77" s="201"/>
      <c r="J77" s="207"/>
      <c r="K77" s="153"/>
      <c r="L77" s="3"/>
      <c r="M77" s="3"/>
      <c r="N77" s="3">
        <f t="shared" si="6"/>
        <v>0</v>
      </c>
      <c r="O77" s="1"/>
      <c r="P77" s="152">
        <f t="shared" si="7"/>
        <v>0</v>
      </c>
      <c r="Q77" s="150"/>
      <c r="R77" s="304"/>
      <c r="S77" s="304"/>
      <c r="T77" s="304"/>
      <c r="U77" s="304"/>
      <c r="V77" s="155">
        <f t="shared" si="3"/>
        <v>0</v>
      </c>
      <c r="W77" s="304"/>
      <c r="X77" s="151">
        <f>(X76-VSLFO.MGO4567[[#This Row],[TOTAL]])+VSLFO.MGO4567[[#This Row],[FAENA2]]</f>
        <v>0</v>
      </c>
      <c r="Y77" s="150"/>
      <c r="Z77" s="304"/>
      <c r="AA77" s="149">
        <f t="shared" si="4"/>
        <v>0</v>
      </c>
      <c r="AB77" s="304"/>
      <c r="AC77" s="304"/>
      <c r="AD77" s="149">
        <f>($AD$4-VSLFO.MGO4567[[#This Row],[CARTER MP.]])+VSLFO.MGO4567[[#This Row],[FAENA EN LTS2]]</f>
        <v>0</v>
      </c>
      <c r="AE77" s="304"/>
      <c r="AF77" s="304"/>
      <c r="AG77" s="149">
        <f t="shared" si="8"/>
        <v>0</v>
      </c>
      <c r="AH77" s="304"/>
      <c r="AI77" s="304"/>
      <c r="AJ77" s="148">
        <f>(AJ76-VSLFO.MGO4567[[#This Row],[HIDRAULICO]])+VSLFO.MGO4567[[#This Row],[FAENA EN LTS3]]</f>
        <v>0</v>
      </c>
    </row>
    <row r="78" spans="1:36" x14ac:dyDescent="0.25">
      <c r="A78" s="192"/>
      <c r="B78" s="219"/>
      <c r="C78" s="7"/>
      <c r="D78" s="4">
        <f>IF(VSLFO.MGO4567[[#This Row],[FECHA]]-B77=1,((VSLFO.MGO4567[[#This Row],[HORA]]-C77)*24)+24,(VSLFO.MGO4567[[#This Row],[HORA]]-C77)*24)</f>
        <v>0</v>
      </c>
      <c r="E78" s="10"/>
      <c r="F78" s="10"/>
      <c r="G78" s="212"/>
      <c r="H78" s="201"/>
      <c r="I78" s="201"/>
      <c r="J78" s="207"/>
      <c r="K78" s="153"/>
      <c r="L78" s="3"/>
      <c r="M78" s="3"/>
      <c r="N78" s="3">
        <f t="shared" si="6"/>
        <v>0</v>
      </c>
      <c r="O78" s="1"/>
      <c r="P78" s="152">
        <f t="shared" si="7"/>
        <v>0</v>
      </c>
      <c r="Q78" s="150"/>
      <c r="R78" s="304"/>
      <c r="S78" s="304"/>
      <c r="T78" s="304"/>
      <c r="U78" s="304"/>
      <c r="V78" s="155">
        <f t="shared" si="3"/>
        <v>0</v>
      </c>
      <c r="W78" s="304"/>
      <c r="X78" s="151">
        <f>(X77-VSLFO.MGO4567[[#This Row],[TOTAL]])+VSLFO.MGO4567[[#This Row],[FAENA2]]</f>
        <v>0</v>
      </c>
      <c r="Y78" s="150"/>
      <c r="Z78" s="304"/>
      <c r="AA78" s="149">
        <f t="shared" si="4"/>
        <v>0</v>
      </c>
      <c r="AB78" s="304"/>
      <c r="AC78" s="304"/>
      <c r="AD78" s="149">
        <f>($AD$4-VSLFO.MGO4567[[#This Row],[CARTER MP.]])+VSLFO.MGO4567[[#This Row],[FAENA EN LTS2]]</f>
        <v>0</v>
      </c>
      <c r="AE78" s="304"/>
      <c r="AF78" s="304"/>
      <c r="AG78" s="149">
        <f t="shared" si="8"/>
        <v>0</v>
      </c>
      <c r="AH78" s="304"/>
      <c r="AI78" s="304"/>
      <c r="AJ78" s="148">
        <f>(AJ77-VSLFO.MGO4567[[#This Row],[HIDRAULICO]])+VSLFO.MGO4567[[#This Row],[FAENA EN LTS3]]</f>
        <v>0</v>
      </c>
    </row>
    <row r="79" spans="1:36" x14ac:dyDescent="0.25">
      <c r="A79" s="192"/>
      <c r="B79" s="219"/>
      <c r="C79" s="7"/>
      <c r="D79" s="4">
        <f>IF(VSLFO.MGO4567[[#This Row],[FECHA]]-B78=1,((VSLFO.MGO4567[[#This Row],[HORA]]-C78)*24)+24,(VSLFO.MGO4567[[#This Row],[HORA]]-C78)*24)</f>
        <v>0</v>
      </c>
      <c r="E79" s="10"/>
      <c r="F79" s="10"/>
      <c r="G79" s="212"/>
      <c r="H79" s="201"/>
      <c r="I79" s="201"/>
      <c r="J79" s="207"/>
      <c r="K79" s="153"/>
      <c r="L79" s="3"/>
      <c r="M79" s="3"/>
      <c r="N79" s="3">
        <f t="shared" si="6"/>
        <v>0</v>
      </c>
      <c r="O79" s="1"/>
      <c r="P79" s="152">
        <f t="shared" si="7"/>
        <v>0</v>
      </c>
      <c r="Q79" s="150"/>
      <c r="R79" s="304"/>
      <c r="S79" s="304"/>
      <c r="T79" s="304"/>
      <c r="U79" s="304"/>
      <c r="V79" s="155">
        <f t="shared" si="3"/>
        <v>0</v>
      </c>
      <c r="W79" s="304"/>
      <c r="X79" s="151">
        <f>(X78-VSLFO.MGO4567[[#This Row],[TOTAL]])+VSLFO.MGO4567[[#This Row],[FAENA2]]</f>
        <v>0</v>
      </c>
      <c r="Y79" s="150"/>
      <c r="Z79" s="304"/>
      <c r="AA79" s="149">
        <f t="shared" si="4"/>
        <v>0</v>
      </c>
      <c r="AB79" s="304"/>
      <c r="AC79" s="304"/>
      <c r="AD79" s="149">
        <f>($AD$4-VSLFO.MGO4567[[#This Row],[CARTER MP.]])+VSLFO.MGO4567[[#This Row],[FAENA EN LTS2]]</f>
        <v>0</v>
      </c>
      <c r="AE79" s="304"/>
      <c r="AF79" s="304"/>
      <c r="AG79" s="149">
        <f t="shared" si="8"/>
        <v>0</v>
      </c>
      <c r="AH79" s="304"/>
      <c r="AI79" s="304"/>
      <c r="AJ79" s="148">
        <f>(AJ78-VSLFO.MGO4567[[#This Row],[HIDRAULICO]])+VSLFO.MGO4567[[#This Row],[FAENA EN LTS3]]</f>
        <v>0</v>
      </c>
    </row>
    <row r="80" spans="1:36" x14ac:dyDescent="0.25">
      <c r="A80" s="192"/>
      <c r="B80" s="219"/>
      <c r="C80" s="7"/>
      <c r="D80" s="4">
        <f>IF(VSLFO.MGO4567[[#This Row],[FECHA]]-B79=1,((VSLFO.MGO4567[[#This Row],[HORA]]-C79)*24)+24,(VSLFO.MGO4567[[#This Row],[HORA]]-C79)*24)</f>
        <v>0</v>
      </c>
      <c r="E80" s="10"/>
      <c r="F80" s="10"/>
      <c r="G80" s="212"/>
      <c r="H80" s="201"/>
      <c r="I80" s="201"/>
      <c r="J80" s="207"/>
      <c r="K80" s="153"/>
      <c r="L80" s="3"/>
      <c r="M80" s="3"/>
      <c r="N80" s="3">
        <f t="shared" si="6"/>
        <v>0</v>
      </c>
      <c r="O80" s="1"/>
      <c r="P80" s="152">
        <f t="shared" si="7"/>
        <v>0</v>
      </c>
      <c r="Q80" s="150"/>
      <c r="R80" s="304"/>
      <c r="S80" s="304"/>
      <c r="T80" s="304"/>
      <c r="U80" s="304"/>
      <c r="V80" s="155">
        <f t="shared" si="3"/>
        <v>0</v>
      </c>
      <c r="W80" s="304"/>
      <c r="X80" s="151">
        <f>(X79-VSLFO.MGO4567[[#This Row],[TOTAL]])+VSLFO.MGO4567[[#This Row],[FAENA2]]</f>
        <v>0</v>
      </c>
      <c r="Y80" s="150"/>
      <c r="Z80" s="304"/>
      <c r="AA80" s="149">
        <f t="shared" si="4"/>
        <v>0</v>
      </c>
      <c r="AB80" s="304"/>
      <c r="AC80" s="304"/>
      <c r="AD80" s="149">
        <f>($AD$4-VSLFO.MGO4567[[#This Row],[CARTER MP.]])+VSLFO.MGO4567[[#This Row],[FAENA EN LTS2]]</f>
        <v>0</v>
      </c>
      <c r="AE80" s="304"/>
      <c r="AF80" s="304"/>
      <c r="AG80" s="149">
        <f t="shared" si="8"/>
        <v>0</v>
      </c>
      <c r="AH80" s="304"/>
      <c r="AI80" s="304"/>
      <c r="AJ80" s="148">
        <f>(AJ79-VSLFO.MGO4567[[#This Row],[HIDRAULICO]])+VSLFO.MGO4567[[#This Row],[FAENA EN LTS3]]</f>
        <v>0</v>
      </c>
    </row>
    <row r="81" spans="1:36" x14ac:dyDescent="0.25">
      <c r="A81" s="192"/>
      <c r="B81" s="219"/>
      <c r="C81" s="7"/>
      <c r="D81" s="4">
        <f>IF(VSLFO.MGO4567[[#This Row],[FECHA]]-B80=1,((VSLFO.MGO4567[[#This Row],[HORA]]-C80)*24)+24,(VSLFO.MGO4567[[#This Row],[HORA]]-C80)*24)</f>
        <v>0</v>
      </c>
      <c r="E81" s="10"/>
      <c r="F81" s="10"/>
      <c r="G81" s="212"/>
      <c r="H81" s="201"/>
      <c r="I81" s="201"/>
      <c r="J81" s="207"/>
      <c r="K81" s="153"/>
      <c r="L81" s="3"/>
      <c r="M81" s="3"/>
      <c r="N81" s="3">
        <f t="shared" si="6"/>
        <v>0</v>
      </c>
      <c r="O81" s="1"/>
      <c r="P81" s="152">
        <f t="shared" si="7"/>
        <v>0</v>
      </c>
      <c r="Q81" s="150"/>
      <c r="R81" s="304"/>
      <c r="S81" s="304"/>
      <c r="T81" s="304"/>
      <c r="U81" s="304"/>
      <c r="V81" s="155">
        <f t="shared" si="3"/>
        <v>0</v>
      </c>
      <c r="W81" s="304"/>
      <c r="X81" s="151">
        <f>(X80-VSLFO.MGO4567[[#This Row],[TOTAL]])+VSLFO.MGO4567[[#This Row],[FAENA2]]</f>
        <v>0</v>
      </c>
      <c r="Y81" s="150"/>
      <c r="Z81" s="304"/>
      <c r="AA81" s="149">
        <f t="shared" si="4"/>
        <v>0</v>
      </c>
      <c r="AB81" s="304"/>
      <c r="AC81" s="304"/>
      <c r="AD81" s="149">
        <f>($AD$4-VSLFO.MGO4567[[#This Row],[CARTER MP.]])+VSLFO.MGO4567[[#This Row],[FAENA EN LTS2]]</f>
        <v>0</v>
      </c>
      <c r="AE81" s="304"/>
      <c r="AF81" s="304"/>
      <c r="AG81" s="149">
        <f t="shared" si="8"/>
        <v>0</v>
      </c>
      <c r="AH81" s="304"/>
      <c r="AI81" s="304"/>
      <c r="AJ81" s="148">
        <f>(AJ80-VSLFO.MGO4567[[#This Row],[HIDRAULICO]])+VSLFO.MGO4567[[#This Row],[FAENA EN LTS3]]</f>
        <v>0</v>
      </c>
    </row>
    <row r="82" spans="1:36" x14ac:dyDescent="0.25">
      <c r="A82" s="192"/>
      <c r="B82" s="219"/>
      <c r="C82" s="7"/>
      <c r="D82" s="4">
        <f>IF(VSLFO.MGO4567[[#This Row],[FECHA]]-B81=1,((VSLFO.MGO4567[[#This Row],[HORA]]-C81)*24)+24,(VSLFO.MGO4567[[#This Row],[HORA]]-C81)*24)</f>
        <v>0</v>
      </c>
      <c r="E82" s="10"/>
      <c r="F82" s="10"/>
      <c r="G82" s="212"/>
      <c r="H82" s="201"/>
      <c r="I82" s="201"/>
      <c r="J82" s="207"/>
      <c r="K82" s="153"/>
      <c r="L82" s="3"/>
      <c r="M82" s="3"/>
      <c r="N82" s="3">
        <f t="shared" si="6"/>
        <v>0</v>
      </c>
      <c r="O82" s="1"/>
      <c r="P82" s="152">
        <f t="shared" si="7"/>
        <v>0</v>
      </c>
      <c r="Q82" s="150"/>
      <c r="R82" s="304"/>
      <c r="S82" s="304"/>
      <c r="T82" s="304"/>
      <c r="U82" s="304"/>
      <c r="V82" s="155">
        <f t="shared" si="3"/>
        <v>0</v>
      </c>
      <c r="W82" s="304"/>
      <c r="X82" s="151">
        <f>(X81-VSLFO.MGO4567[[#This Row],[TOTAL]])+VSLFO.MGO4567[[#This Row],[FAENA2]]</f>
        <v>0</v>
      </c>
      <c r="Y82" s="150"/>
      <c r="Z82" s="304"/>
      <c r="AA82" s="149">
        <f t="shared" si="4"/>
        <v>0</v>
      </c>
      <c r="AB82" s="304"/>
      <c r="AC82" s="304"/>
      <c r="AD82" s="149">
        <f>($AD$4-VSLFO.MGO4567[[#This Row],[CARTER MP.]])+VSLFO.MGO4567[[#This Row],[FAENA EN LTS2]]</f>
        <v>0</v>
      </c>
      <c r="AE82" s="304"/>
      <c r="AF82" s="304"/>
      <c r="AG82" s="149">
        <f t="shared" si="8"/>
        <v>0</v>
      </c>
      <c r="AH82" s="304"/>
      <c r="AI82" s="304"/>
      <c r="AJ82" s="148">
        <f>(AJ81-VSLFO.MGO4567[[#This Row],[HIDRAULICO]])+VSLFO.MGO4567[[#This Row],[FAENA EN LTS3]]</f>
        <v>0</v>
      </c>
    </row>
    <row r="83" spans="1:36" x14ac:dyDescent="0.25">
      <c r="A83" s="192"/>
      <c r="B83" s="219"/>
      <c r="C83" s="7"/>
      <c r="D83" s="4">
        <f>IF(VSLFO.MGO4567[[#This Row],[FECHA]]-B82=1,((VSLFO.MGO4567[[#This Row],[HORA]]-C82)*24)+24,(VSLFO.MGO4567[[#This Row],[HORA]]-C82)*24)</f>
        <v>0</v>
      </c>
      <c r="E83" s="10"/>
      <c r="F83" s="10"/>
      <c r="G83" s="212"/>
      <c r="H83" s="201"/>
      <c r="I83" s="201"/>
      <c r="J83" s="207"/>
      <c r="K83" s="153"/>
      <c r="L83" s="3"/>
      <c r="M83" s="3"/>
      <c r="N83" s="3">
        <f t="shared" si="6"/>
        <v>0</v>
      </c>
      <c r="O83" s="1"/>
      <c r="P83" s="152">
        <f t="shared" si="7"/>
        <v>0</v>
      </c>
      <c r="Q83" s="150"/>
      <c r="R83" s="304"/>
      <c r="S83" s="304"/>
      <c r="T83" s="304"/>
      <c r="U83" s="304"/>
      <c r="V83" s="155">
        <f t="shared" si="3"/>
        <v>0</v>
      </c>
      <c r="W83" s="304"/>
      <c r="X83" s="151">
        <f>(X82-VSLFO.MGO4567[[#This Row],[TOTAL]])+VSLFO.MGO4567[[#This Row],[FAENA2]]</f>
        <v>0</v>
      </c>
      <c r="Y83" s="150"/>
      <c r="Z83" s="304"/>
      <c r="AA83" s="149">
        <f t="shared" si="4"/>
        <v>0</v>
      </c>
      <c r="AB83" s="304"/>
      <c r="AC83" s="304"/>
      <c r="AD83" s="149">
        <f>($AD$4-VSLFO.MGO4567[[#This Row],[CARTER MP.]])+VSLFO.MGO4567[[#This Row],[FAENA EN LTS2]]</f>
        <v>0</v>
      </c>
      <c r="AE83" s="304"/>
      <c r="AF83" s="304"/>
      <c r="AG83" s="149">
        <f t="shared" si="8"/>
        <v>0</v>
      </c>
      <c r="AH83" s="304"/>
      <c r="AI83" s="304"/>
      <c r="AJ83" s="148">
        <f>(AJ82-VSLFO.MGO4567[[#This Row],[HIDRAULICO]])+VSLFO.MGO4567[[#This Row],[FAENA EN LTS3]]</f>
        <v>0</v>
      </c>
    </row>
    <row r="84" spans="1:36" x14ac:dyDescent="0.25">
      <c r="A84" s="192"/>
      <c r="B84" s="219"/>
      <c r="C84" s="7"/>
      <c r="D84" s="4">
        <f>IF(VSLFO.MGO4567[[#This Row],[FECHA]]-B83=1,((VSLFO.MGO4567[[#This Row],[HORA]]-C83)*24)+24,(VSLFO.MGO4567[[#This Row],[HORA]]-C83)*24)</f>
        <v>0</v>
      </c>
      <c r="E84" s="10"/>
      <c r="F84" s="10"/>
      <c r="G84" s="212"/>
      <c r="H84" s="201"/>
      <c r="I84" s="201"/>
      <c r="J84" s="207"/>
      <c r="K84" s="153"/>
      <c r="L84" s="3"/>
      <c r="M84" s="3"/>
      <c r="N84" s="3">
        <f t="shared" si="6"/>
        <v>0</v>
      </c>
      <c r="O84" s="1"/>
      <c r="P84" s="152">
        <f t="shared" si="7"/>
        <v>0</v>
      </c>
      <c r="Q84" s="150"/>
      <c r="R84" s="304"/>
      <c r="S84" s="304"/>
      <c r="T84" s="304"/>
      <c r="U84" s="304"/>
      <c r="V84" s="155">
        <f t="shared" si="3"/>
        <v>0</v>
      </c>
      <c r="W84" s="304"/>
      <c r="X84" s="151">
        <f>(X83-VSLFO.MGO4567[[#This Row],[TOTAL]])+VSLFO.MGO4567[[#This Row],[FAENA2]]</f>
        <v>0</v>
      </c>
      <c r="Y84" s="150"/>
      <c r="Z84" s="304"/>
      <c r="AA84" s="149">
        <f t="shared" si="4"/>
        <v>0</v>
      </c>
      <c r="AB84" s="304"/>
      <c r="AC84" s="304"/>
      <c r="AD84" s="149">
        <f>($AD$4-VSLFO.MGO4567[[#This Row],[CARTER MP.]])+VSLFO.MGO4567[[#This Row],[FAENA EN LTS2]]</f>
        <v>0</v>
      </c>
      <c r="AE84" s="304"/>
      <c r="AF84" s="304"/>
      <c r="AG84" s="149">
        <f t="shared" si="8"/>
        <v>0</v>
      </c>
      <c r="AH84" s="304"/>
      <c r="AI84" s="304"/>
      <c r="AJ84" s="148">
        <f>(AJ83-VSLFO.MGO4567[[#This Row],[HIDRAULICO]])+VSLFO.MGO4567[[#This Row],[FAENA EN LTS3]]</f>
        <v>0</v>
      </c>
    </row>
    <row r="85" spans="1:36" x14ac:dyDescent="0.25">
      <c r="A85" s="192"/>
      <c r="B85" s="219"/>
      <c r="C85" s="7"/>
      <c r="D85" s="4">
        <f>IF(VSLFO.MGO4567[[#This Row],[FECHA]]-B84=1,((VSLFO.MGO4567[[#This Row],[HORA]]-C84)*24)+24,(VSLFO.MGO4567[[#This Row],[HORA]]-C84)*24)</f>
        <v>0</v>
      </c>
      <c r="E85" s="10"/>
      <c r="F85" s="10"/>
      <c r="G85" s="212"/>
      <c r="H85" s="201"/>
      <c r="I85" s="201"/>
      <c r="J85" s="207"/>
      <c r="K85" s="153"/>
      <c r="L85" s="3"/>
      <c r="M85" s="3"/>
      <c r="N85" s="3">
        <f t="shared" si="6"/>
        <v>0</v>
      </c>
      <c r="O85" s="1"/>
      <c r="P85" s="152">
        <f t="shared" si="7"/>
        <v>0</v>
      </c>
      <c r="Q85" s="150"/>
      <c r="R85" s="304"/>
      <c r="S85" s="304"/>
      <c r="T85" s="304"/>
      <c r="U85" s="304"/>
      <c r="V85" s="155">
        <f t="shared" si="3"/>
        <v>0</v>
      </c>
      <c r="W85" s="304"/>
      <c r="X85" s="151">
        <f>(X84-VSLFO.MGO4567[[#This Row],[TOTAL]])+VSLFO.MGO4567[[#This Row],[FAENA2]]</f>
        <v>0</v>
      </c>
      <c r="Y85" s="150"/>
      <c r="Z85" s="304"/>
      <c r="AA85" s="149">
        <f t="shared" si="4"/>
        <v>0</v>
      </c>
      <c r="AB85" s="304"/>
      <c r="AC85" s="304"/>
      <c r="AD85" s="149">
        <f>($AD$4-VSLFO.MGO4567[[#This Row],[CARTER MP.]])+VSLFO.MGO4567[[#This Row],[FAENA EN LTS2]]</f>
        <v>0</v>
      </c>
      <c r="AE85" s="304"/>
      <c r="AF85" s="304"/>
      <c r="AG85" s="149">
        <f t="shared" si="8"/>
        <v>0</v>
      </c>
      <c r="AH85" s="304"/>
      <c r="AI85" s="304"/>
      <c r="AJ85" s="148">
        <f>(AJ84-VSLFO.MGO4567[[#This Row],[HIDRAULICO]])+VSLFO.MGO4567[[#This Row],[FAENA EN LTS3]]</f>
        <v>0</v>
      </c>
    </row>
    <row r="86" spans="1:36" x14ac:dyDescent="0.25">
      <c r="A86" s="192"/>
      <c r="B86" s="219"/>
      <c r="C86" s="7"/>
      <c r="D86" s="4">
        <f>IF(VSLFO.MGO4567[[#This Row],[FECHA]]-B85=1,((VSLFO.MGO4567[[#This Row],[HORA]]-C85)*24)+24,(VSLFO.MGO4567[[#This Row],[HORA]]-C85)*24)</f>
        <v>0</v>
      </c>
      <c r="E86" s="10"/>
      <c r="F86" s="10"/>
      <c r="G86" s="212"/>
      <c r="H86" s="201"/>
      <c r="I86" s="201"/>
      <c r="J86" s="207"/>
      <c r="K86" s="153"/>
      <c r="L86" s="3"/>
      <c r="M86" s="3"/>
      <c r="N86" s="3">
        <f t="shared" si="6"/>
        <v>0</v>
      </c>
      <c r="O86" s="1"/>
      <c r="P86" s="152">
        <f t="shared" si="7"/>
        <v>0</v>
      </c>
      <c r="Q86" s="150"/>
      <c r="R86" s="304"/>
      <c r="S86" s="304"/>
      <c r="T86" s="304"/>
      <c r="U86" s="304"/>
      <c r="V86" s="155">
        <f t="shared" si="3"/>
        <v>0</v>
      </c>
      <c r="W86" s="304"/>
      <c r="X86" s="151">
        <f>(X85-VSLFO.MGO4567[[#This Row],[TOTAL]])+VSLFO.MGO4567[[#This Row],[FAENA2]]</f>
        <v>0</v>
      </c>
      <c r="Y86" s="150"/>
      <c r="Z86" s="304"/>
      <c r="AA86" s="149">
        <f t="shared" si="4"/>
        <v>0</v>
      </c>
      <c r="AB86" s="304"/>
      <c r="AC86" s="304"/>
      <c r="AD86" s="149">
        <f>($AD$4-VSLFO.MGO4567[[#This Row],[CARTER MP.]])+VSLFO.MGO4567[[#This Row],[FAENA EN LTS2]]</f>
        <v>0</v>
      </c>
      <c r="AE86" s="304"/>
      <c r="AF86" s="304"/>
      <c r="AG86" s="149">
        <f t="shared" si="8"/>
        <v>0</v>
      </c>
      <c r="AH86" s="304"/>
      <c r="AI86" s="304"/>
      <c r="AJ86" s="148">
        <f>(AJ85-VSLFO.MGO4567[[#This Row],[HIDRAULICO]])+VSLFO.MGO4567[[#This Row],[FAENA EN LTS3]]</f>
        <v>0</v>
      </c>
    </row>
    <row r="87" spans="1:36" x14ac:dyDescent="0.25">
      <c r="A87" s="192"/>
      <c r="B87" s="219"/>
      <c r="C87" s="7"/>
      <c r="D87" s="4">
        <f>IF(VSLFO.MGO4567[[#This Row],[FECHA]]-B86=1,((VSLFO.MGO4567[[#This Row],[HORA]]-C86)*24)+24,(VSLFO.MGO4567[[#This Row],[HORA]]-C86)*24)</f>
        <v>0</v>
      </c>
      <c r="E87" s="10"/>
      <c r="F87" s="10"/>
      <c r="G87" s="212"/>
      <c r="H87" s="201"/>
      <c r="I87" s="201"/>
      <c r="J87" s="207"/>
      <c r="K87" s="153"/>
      <c r="L87" s="3"/>
      <c r="M87" s="3"/>
      <c r="N87" s="3">
        <f t="shared" si="6"/>
        <v>0</v>
      </c>
      <c r="O87" s="1"/>
      <c r="P87" s="152">
        <f t="shared" si="7"/>
        <v>0</v>
      </c>
      <c r="Q87" s="150"/>
      <c r="R87" s="304"/>
      <c r="S87" s="304"/>
      <c r="T87" s="304"/>
      <c r="U87" s="304"/>
      <c r="V87" s="155">
        <f t="shared" si="3"/>
        <v>0</v>
      </c>
      <c r="W87" s="304"/>
      <c r="X87" s="151">
        <f>(X86-VSLFO.MGO4567[[#This Row],[TOTAL]])+VSLFO.MGO4567[[#This Row],[FAENA2]]</f>
        <v>0</v>
      </c>
      <c r="Y87" s="150"/>
      <c r="Z87" s="304"/>
      <c r="AA87" s="149">
        <f t="shared" si="4"/>
        <v>0</v>
      </c>
      <c r="AB87" s="304"/>
      <c r="AC87" s="304"/>
      <c r="AD87" s="149">
        <f>($AD$4-VSLFO.MGO4567[[#This Row],[CARTER MP.]])+VSLFO.MGO4567[[#This Row],[FAENA EN LTS2]]</f>
        <v>0</v>
      </c>
      <c r="AE87" s="304"/>
      <c r="AF87" s="304"/>
      <c r="AG87" s="149">
        <f t="shared" si="8"/>
        <v>0</v>
      </c>
      <c r="AH87" s="304"/>
      <c r="AI87" s="304"/>
      <c r="AJ87" s="148">
        <f>(AJ86-VSLFO.MGO4567[[#This Row],[HIDRAULICO]])+VSLFO.MGO4567[[#This Row],[FAENA EN LTS3]]</f>
        <v>0</v>
      </c>
    </row>
    <row r="88" spans="1:36" x14ac:dyDescent="0.25">
      <c r="A88" s="192"/>
      <c r="B88" s="219"/>
      <c r="C88" s="7"/>
      <c r="D88" s="4">
        <f>IF(VSLFO.MGO4567[[#This Row],[FECHA]]-B87=1,((VSLFO.MGO4567[[#This Row],[HORA]]-C87)*24)+24,(VSLFO.MGO4567[[#This Row],[HORA]]-C87)*24)</f>
        <v>0</v>
      </c>
      <c r="E88" s="10"/>
      <c r="F88" s="10"/>
      <c r="G88" s="212"/>
      <c r="H88" s="201"/>
      <c r="I88" s="201"/>
      <c r="J88" s="207"/>
      <c r="K88" s="153"/>
      <c r="L88" s="3"/>
      <c r="M88" s="3"/>
      <c r="N88" s="3">
        <f t="shared" si="6"/>
        <v>0</v>
      </c>
      <c r="O88" s="1"/>
      <c r="P88" s="152">
        <f t="shared" si="7"/>
        <v>0</v>
      </c>
      <c r="Q88" s="150"/>
      <c r="R88" s="304"/>
      <c r="S88" s="304"/>
      <c r="T88" s="304"/>
      <c r="U88" s="304"/>
      <c r="V88" s="155">
        <f t="shared" si="3"/>
        <v>0</v>
      </c>
      <c r="W88" s="304"/>
      <c r="X88" s="151">
        <f>(X87-VSLFO.MGO4567[[#This Row],[TOTAL]])+VSLFO.MGO4567[[#This Row],[FAENA2]]</f>
        <v>0</v>
      </c>
      <c r="Y88" s="150"/>
      <c r="Z88" s="304"/>
      <c r="AA88" s="149">
        <f t="shared" si="4"/>
        <v>0</v>
      </c>
      <c r="AB88" s="304"/>
      <c r="AC88" s="304"/>
      <c r="AD88" s="149">
        <f>($AD$4-VSLFO.MGO4567[[#This Row],[CARTER MP.]])+VSLFO.MGO4567[[#This Row],[FAENA EN LTS2]]</f>
        <v>0</v>
      </c>
      <c r="AE88" s="304"/>
      <c r="AF88" s="304"/>
      <c r="AG88" s="149">
        <f t="shared" si="8"/>
        <v>0</v>
      </c>
      <c r="AH88" s="304"/>
      <c r="AI88" s="304"/>
      <c r="AJ88" s="148">
        <f>(AJ87-VSLFO.MGO4567[[#This Row],[HIDRAULICO]])+VSLFO.MGO4567[[#This Row],[FAENA EN LTS3]]</f>
        <v>0</v>
      </c>
    </row>
    <row r="89" spans="1:36" x14ac:dyDescent="0.25">
      <c r="A89" s="227"/>
      <c r="B89" s="219"/>
      <c r="C89" s="7"/>
      <c r="D89" s="4">
        <f>IF(VSLFO.MGO4567[[#This Row],[FECHA]]-B88=1,((VSLFO.MGO4567[[#This Row],[HORA]]-C88)*24)+24,(VSLFO.MGO4567[[#This Row],[HORA]]-C88)*24)</f>
        <v>0</v>
      </c>
      <c r="E89" s="10"/>
      <c r="F89" s="10"/>
      <c r="G89" s="212"/>
      <c r="H89" s="201"/>
      <c r="I89" s="201"/>
      <c r="J89" s="207"/>
      <c r="K89" s="153"/>
      <c r="L89" s="3"/>
      <c r="M89" s="3"/>
      <c r="N89" s="3">
        <f t="shared" si="6"/>
        <v>0</v>
      </c>
      <c r="O89" s="1"/>
      <c r="P89" s="152">
        <f t="shared" si="7"/>
        <v>0</v>
      </c>
      <c r="Q89" s="150"/>
      <c r="R89" s="304"/>
      <c r="S89" s="304"/>
      <c r="T89" s="304"/>
      <c r="U89" s="304"/>
      <c r="V89" s="155">
        <f t="shared" si="3"/>
        <v>0</v>
      </c>
      <c r="W89" s="304"/>
      <c r="X89" s="151">
        <f>(X88-VSLFO.MGO4567[[#This Row],[TOTAL]])+VSLFO.MGO4567[[#This Row],[FAENA2]]</f>
        <v>0</v>
      </c>
      <c r="Y89" s="150"/>
      <c r="Z89" s="304"/>
      <c r="AA89" s="149">
        <f t="shared" si="4"/>
        <v>0</v>
      </c>
      <c r="AB89" s="304"/>
      <c r="AC89" s="304"/>
      <c r="AD89" s="149">
        <f>($AD$4-VSLFO.MGO4567[[#This Row],[CARTER MP.]])+VSLFO.MGO4567[[#This Row],[FAENA EN LTS2]]</f>
        <v>0</v>
      </c>
      <c r="AE89" s="304"/>
      <c r="AF89" s="304"/>
      <c r="AG89" s="149">
        <f t="shared" si="8"/>
        <v>0</v>
      </c>
      <c r="AH89" s="304"/>
      <c r="AI89" s="304"/>
      <c r="AJ89" s="148">
        <f>(AJ88-VSLFO.MGO4567[[#This Row],[HIDRAULICO]])+VSLFO.MGO4567[[#This Row],[FAENA EN LTS3]]</f>
        <v>0</v>
      </c>
    </row>
    <row r="90" spans="1:36" x14ac:dyDescent="0.25">
      <c r="A90" s="192"/>
      <c r="B90" s="219"/>
      <c r="C90" s="7"/>
      <c r="D90" s="4">
        <f>IF(VSLFO.MGO4567[[#This Row],[FECHA]]-B89=1,((VSLFO.MGO4567[[#This Row],[HORA]]-C89)*24)+24,(VSLFO.MGO4567[[#This Row],[HORA]]-C89)*24)</f>
        <v>0</v>
      </c>
      <c r="E90" s="10"/>
      <c r="F90" s="10"/>
      <c r="G90" s="212"/>
      <c r="H90" s="201"/>
      <c r="I90" s="201"/>
      <c r="J90" s="207"/>
      <c r="K90" s="153"/>
      <c r="L90" s="3"/>
      <c r="M90" s="3"/>
      <c r="N90" s="3">
        <f t="shared" si="6"/>
        <v>0</v>
      </c>
      <c r="O90" s="1"/>
      <c r="P90" s="152">
        <f t="shared" si="7"/>
        <v>0</v>
      </c>
      <c r="Q90" s="150"/>
      <c r="R90" s="304"/>
      <c r="S90" s="304"/>
      <c r="T90" s="304"/>
      <c r="U90" s="304"/>
      <c r="V90" s="155">
        <f t="shared" si="3"/>
        <v>0</v>
      </c>
      <c r="W90" s="304"/>
      <c r="X90" s="151">
        <f>(X89-VSLFO.MGO4567[[#This Row],[TOTAL]])+VSLFO.MGO4567[[#This Row],[FAENA2]]</f>
        <v>0</v>
      </c>
      <c r="Y90" s="150"/>
      <c r="Z90" s="304"/>
      <c r="AA90" s="149">
        <f t="shared" si="4"/>
        <v>0</v>
      </c>
      <c r="AB90" s="304"/>
      <c r="AC90" s="304"/>
      <c r="AD90" s="149">
        <f>($AD$4-VSLFO.MGO4567[[#This Row],[CARTER MP.]])+VSLFO.MGO4567[[#This Row],[FAENA EN LTS2]]</f>
        <v>0</v>
      </c>
      <c r="AE90" s="304"/>
      <c r="AF90" s="304"/>
      <c r="AG90" s="149">
        <f t="shared" si="8"/>
        <v>0</v>
      </c>
      <c r="AH90" s="304"/>
      <c r="AI90" s="304"/>
      <c r="AJ90" s="148">
        <f>(AJ89-VSLFO.MGO4567[[#This Row],[HIDRAULICO]])+VSLFO.MGO4567[[#This Row],[FAENA EN LTS3]]</f>
        <v>0</v>
      </c>
    </row>
    <row r="91" spans="1:36" x14ac:dyDescent="0.25">
      <c r="A91" s="192"/>
      <c r="B91" s="219"/>
      <c r="C91" s="7"/>
      <c r="D91" s="4">
        <f>IF(VSLFO.MGO4567[[#This Row],[FECHA]]-B90=1,((VSLFO.MGO4567[[#This Row],[HORA]]-C90)*24)+24,(VSLFO.MGO4567[[#This Row],[HORA]]-C90)*24)</f>
        <v>0</v>
      </c>
      <c r="E91" s="10"/>
      <c r="F91" s="10"/>
      <c r="G91" s="212"/>
      <c r="H91" s="201"/>
      <c r="I91" s="201"/>
      <c r="J91" s="207"/>
      <c r="K91" s="153"/>
      <c r="L91" s="3"/>
      <c r="M91" s="3"/>
      <c r="N91" s="3">
        <f t="shared" si="6"/>
        <v>0</v>
      </c>
      <c r="O91" s="1"/>
      <c r="P91" s="152">
        <f t="shared" si="7"/>
        <v>0</v>
      </c>
      <c r="Q91" s="150"/>
      <c r="R91" s="150"/>
      <c r="S91" s="150"/>
      <c r="T91" s="150"/>
      <c r="U91" s="304"/>
      <c r="V91" s="155">
        <f t="shared" si="3"/>
        <v>0</v>
      </c>
      <c r="W91" s="304"/>
      <c r="X91" s="151">
        <f>(X90-VSLFO.MGO4567[[#This Row],[TOTAL]])+VSLFO.MGO4567[[#This Row],[FAENA2]]</f>
        <v>0</v>
      </c>
      <c r="Y91" s="150"/>
      <c r="Z91" s="304"/>
      <c r="AA91" s="149">
        <f t="shared" si="4"/>
        <v>0</v>
      </c>
      <c r="AB91" s="304"/>
      <c r="AC91" s="304"/>
      <c r="AD91" s="149">
        <f>($AD$4-VSLFO.MGO4567[[#This Row],[CARTER MP.]])+VSLFO.MGO4567[[#This Row],[FAENA EN LTS2]]</f>
        <v>0</v>
      </c>
      <c r="AE91" s="304"/>
      <c r="AF91" s="304"/>
      <c r="AG91" s="149">
        <f t="shared" si="8"/>
        <v>0</v>
      </c>
      <c r="AH91" s="304"/>
      <c r="AI91" s="304"/>
      <c r="AJ91" s="148">
        <f>(AJ90-VSLFO.MGO4567[[#This Row],[HIDRAULICO]])+VSLFO.MGO4567[[#This Row],[FAENA EN LTS3]]</f>
        <v>0</v>
      </c>
    </row>
    <row r="92" spans="1:36" x14ac:dyDescent="0.25">
      <c r="A92" s="192"/>
      <c r="B92" s="219"/>
      <c r="C92" s="7"/>
      <c r="D92" s="4">
        <f>IF(VSLFO.MGO4567[[#This Row],[FECHA]]-B91=1,((VSLFO.MGO4567[[#This Row],[HORA]]-C91)*24)+24,(VSLFO.MGO4567[[#This Row],[HORA]]-C91)*24)</f>
        <v>0</v>
      </c>
      <c r="E92" s="10"/>
      <c r="F92" s="10"/>
      <c r="G92" s="212"/>
      <c r="H92" s="201"/>
      <c r="I92" s="201"/>
      <c r="J92" s="207"/>
      <c r="K92" s="153"/>
      <c r="L92" s="3"/>
      <c r="M92" s="3"/>
      <c r="N92" s="3">
        <f t="shared" si="6"/>
        <v>0</v>
      </c>
      <c r="O92" s="1"/>
      <c r="P92" s="152">
        <f t="shared" si="7"/>
        <v>0</v>
      </c>
      <c r="Q92" s="150"/>
      <c r="R92" s="150"/>
      <c r="S92" s="150"/>
      <c r="T92" s="150"/>
      <c r="U92" s="304"/>
      <c r="V92" s="155">
        <f t="shared" si="3"/>
        <v>0</v>
      </c>
      <c r="W92" s="304"/>
      <c r="X92" s="151">
        <f>(X91-VSLFO.MGO4567[[#This Row],[TOTAL]])+VSLFO.MGO4567[[#This Row],[FAENA2]]</f>
        <v>0</v>
      </c>
      <c r="Y92" s="150"/>
      <c r="Z92" s="304"/>
      <c r="AA92" s="149">
        <f t="shared" si="4"/>
        <v>0</v>
      </c>
      <c r="AB92" s="304"/>
      <c r="AC92" s="304"/>
      <c r="AD92" s="149">
        <f>($AD$4-VSLFO.MGO4567[[#This Row],[CARTER MP.]])+VSLFO.MGO4567[[#This Row],[FAENA EN LTS2]]</f>
        <v>0</v>
      </c>
      <c r="AE92" s="304"/>
      <c r="AF92" s="304"/>
      <c r="AG92" s="149">
        <f t="shared" si="8"/>
        <v>0</v>
      </c>
      <c r="AH92" s="304"/>
      <c r="AI92" s="304"/>
      <c r="AJ92" s="148">
        <f>(AJ91-VSLFO.MGO4567[[#This Row],[HIDRAULICO]])+VSLFO.MGO4567[[#This Row],[FAENA EN LTS3]]</f>
        <v>0</v>
      </c>
    </row>
    <row r="93" spans="1:36" x14ac:dyDescent="0.25">
      <c r="A93" s="192"/>
      <c r="B93" s="219"/>
      <c r="C93" s="7"/>
      <c r="D93" s="4">
        <f>IF(VSLFO.MGO4567[[#This Row],[FECHA]]-B92=1,((VSLFO.MGO4567[[#This Row],[HORA]]-C92)*24)+24,(VSLFO.MGO4567[[#This Row],[HORA]]-C92)*24)</f>
        <v>0</v>
      </c>
      <c r="E93" s="10"/>
      <c r="F93" s="10"/>
      <c r="G93" s="212"/>
      <c r="H93" s="201"/>
      <c r="I93" s="201"/>
      <c r="J93" s="207"/>
      <c r="K93" s="153"/>
      <c r="L93" s="3"/>
      <c r="M93" s="3"/>
      <c r="N93" s="3">
        <f t="shared" si="6"/>
        <v>0</v>
      </c>
      <c r="O93" s="1"/>
      <c r="P93" s="152">
        <f t="shared" si="7"/>
        <v>0</v>
      </c>
      <c r="Q93" s="150"/>
      <c r="R93" s="150"/>
      <c r="S93" s="150"/>
      <c r="T93" s="150"/>
      <c r="U93" s="150"/>
      <c r="V93" s="155">
        <f t="shared" si="3"/>
        <v>0</v>
      </c>
      <c r="W93" s="304"/>
      <c r="X93" s="151">
        <f>(X92-VSLFO.MGO4567[[#This Row],[TOTAL]])+VSLFO.MGO4567[[#This Row],[FAENA2]]</f>
        <v>0</v>
      </c>
      <c r="Y93" s="150"/>
      <c r="Z93" s="304"/>
      <c r="AA93" s="149">
        <f t="shared" si="4"/>
        <v>0</v>
      </c>
      <c r="AB93" s="304"/>
      <c r="AC93" s="304"/>
      <c r="AD93" s="149">
        <f>($AD$4-VSLFO.MGO4567[[#This Row],[CARTER MP.]])+VSLFO.MGO4567[[#This Row],[FAENA EN LTS2]]</f>
        <v>0</v>
      </c>
      <c r="AE93" s="304"/>
      <c r="AF93" s="304"/>
      <c r="AG93" s="149">
        <f t="shared" si="8"/>
        <v>0</v>
      </c>
      <c r="AH93" s="304"/>
      <c r="AI93" s="304"/>
      <c r="AJ93" s="148">
        <f>(AJ92-VSLFO.MGO4567[[#This Row],[HIDRAULICO]])+VSLFO.MGO4567[[#This Row],[FAENA EN LTS3]]</f>
        <v>0</v>
      </c>
    </row>
    <row r="94" spans="1:36" x14ac:dyDescent="0.25">
      <c r="A94" s="192"/>
      <c r="B94" s="219"/>
      <c r="C94" s="7"/>
      <c r="D94" s="4">
        <f>IF(VSLFO.MGO4567[[#This Row],[FECHA]]-B93=1,((VSLFO.MGO4567[[#This Row],[HORA]]-C93)*24)+24,(VSLFO.MGO4567[[#This Row],[HORA]]-C93)*24)</f>
        <v>0</v>
      </c>
      <c r="E94" s="10"/>
      <c r="F94" s="10"/>
      <c r="G94" s="212"/>
      <c r="H94" s="201"/>
      <c r="I94" s="201"/>
      <c r="J94" s="207"/>
      <c r="K94" s="153"/>
      <c r="L94" s="3"/>
      <c r="M94" s="3"/>
      <c r="N94" s="3">
        <f t="shared" si="6"/>
        <v>0</v>
      </c>
      <c r="O94" s="1"/>
      <c r="P94" s="152">
        <f t="shared" si="7"/>
        <v>0</v>
      </c>
      <c r="Q94" s="150"/>
      <c r="R94" s="304"/>
      <c r="S94" s="304"/>
      <c r="T94" s="304"/>
      <c r="U94" s="304"/>
      <c r="V94" s="155">
        <f t="shared" si="3"/>
        <v>0</v>
      </c>
      <c r="W94" s="304"/>
      <c r="X94" s="151">
        <f>(X93-VSLFO.MGO4567[[#This Row],[TOTAL]])+VSLFO.MGO4567[[#This Row],[FAENA2]]</f>
        <v>0</v>
      </c>
      <c r="Y94" s="150"/>
      <c r="Z94" s="304"/>
      <c r="AA94" s="149">
        <f t="shared" si="4"/>
        <v>0</v>
      </c>
      <c r="AB94" s="304"/>
      <c r="AC94" s="304"/>
      <c r="AD94" s="149">
        <f>($AD$4-VSLFO.MGO4567[[#This Row],[CARTER MP.]])+VSLFO.MGO4567[[#This Row],[FAENA EN LTS2]]</f>
        <v>0</v>
      </c>
      <c r="AE94" s="304"/>
      <c r="AF94" s="304"/>
      <c r="AG94" s="149">
        <f t="shared" si="8"/>
        <v>0</v>
      </c>
      <c r="AH94" s="304"/>
      <c r="AI94" s="304"/>
      <c r="AJ94" s="148">
        <f>(AJ93-VSLFO.MGO4567[[#This Row],[HIDRAULICO]])+VSLFO.MGO4567[[#This Row],[FAENA EN LTS3]]</f>
        <v>0</v>
      </c>
    </row>
    <row r="95" spans="1:36" x14ac:dyDescent="0.25">
      <c r="A95" s="192"/>
      <c r="B95" s="219"/>
      <c r="C95" s="7"/>
      <c r="D95" s="4">
        <f>IF(VSLFO.MGO4567[[#This Row],[FECHA]]-B94=1,((VSLFO.MGO4567[[#This Row],[HORA]]-C94)*24)+24,(VSLFO.MGO4567[[#This Row],[HORA]]-C94)*24)</f>
        <v>0</v>
      </c>
      <c r="E95" s="10"/>
      <c r="F95" s="10"/>
      <c r="G95" s="212"/>
      <c r="H95" s="201"/>
      <c r="I95" s="201"/>
      <c r="J95" s="207"/>
      <c r="K95" s="153"/>
      <c r="L95" s="3"/>
      <c r="M95" s="3"/>
      <c r="N95" s="3">
        <f t="shared" si="6"/>
        <v>0</v>
      </c>
      <c r="O95" s="1"/>
      <c r="P95" s="152">
        <f t="shared" si="7"/>
        <v>0</v>
      </c>
      <c r="Q95" s="150"/>
      <c r="R95" s="304"/>
      <c r="S95" s="304"/>
      <c r="T95" s="304"/>
      <c r="U95" s="304"/>
      <c r="V95" s="155">
        <f t="shared" si="3"/>
        <v>0</v>
      </c>
      <c r="W95" s="304"/>
      <c r="X95" s="151">
        <f>(X94-VSLFO.MGO4567[[#This Row],[TOTAL]])+VSLFO.MGO4567[[#This Row],[FAENA2]]</f>
        <v>0</v>
      </c>
      <c r="Y95" s="150"/>
      <c r="Z95" s="304"/>
      <c r="AA95" s="149">
        <f t="shared" si="4"/>
        <v>0</v>
      </c>
      <c r="AB95" s="304"/>
      <c r="AC95" s="304"/>
      <c r="AD95" s="149">
        <f>($AD$4-VSLFO.MGO4567[[#This Row],[CARTER MP.]])+VSLFO.MGO4567[[#This Row],[FAENA EN LTS2]]</f>
        <v>0</v>
      </c>
      <c r="AE95" s="304"/>
      <c r="AF95" s="304"/>
      <c r="AG95" s="149">
        <f t="shared" si="8"/>
        <v>0</v>
      </c>
      <c r="AH95" s="304"/>
      <c r="AI95" s="304"/>
      <c r="AJ95" s="148">
        <f>(AJ94-VSLFO.MGO4567[[#This Row],[HIDRAULICO]])+VSLFO.MGO4567[[#This Row],[FAENA EN LTS3]]</f>
        <v>0</v>
      </c>
    </row>
    <row r="96" spans="1:36" x14ac:dyDescent="0.25">
      <c r="A96" s="192"/>
      <c r="B96" s="219"/>
      <c r="C96" s="7"/>
      <c r="D96" s="4">
        <f>IF(VSLFO.MGO4567[[#This Row],[FECHA]]-B95=1,((VSLFO.MGO4567[[#This Row],[HORA]]-C95)*24)+24,(VSLFO.MGO4567[[#This Row],[HORA]]-C95)*24)</f>
        <v>0</v>
      </c>
      <c r="E96" s="10"/>
      <c r="F96" s="10"/>
      <c r="G96" s="212"/>
      <c r="H96" s="201"/>
      <c r="I96" s="201"/>
      <c r="J96" s="207"/>
      <c r="K96" s="153"/>
      <c r="L96" s="3"/>
      <c r="M96" s="3"/>
      <c r="N96" s="3">
        <f t="shared" si="6"/>
        <v>0</v>
      </c>
      <c r="O96" s="1"/>
      <c r="P96" s="152">
        <f t="shared" si="7"/>
        <v>0</v>
      </c>
      <c r="Q96" s="150"/>
      <c r="R96" s="304"/>
      <c r="S96" s="304"/>
      <c r="T96" s="304"/>
      <c r="U96" s="304"/>
      <c r="V96" s="155">
        <f t="shared" si="3"/>
        <v>0</v>
      </c>
      <c r="W96" s="304"/>
      <c r="X96" s="151">
        <f>(X95-VSLFO.MGO4567[[#This Row],[TOTAL]])+VSLFO.MGO4567[[#This Row],[FAENA2]]</f>
        <v>0</v>
      </c>
      <c r="Y96" s="150"/>
      <c r="Z96" s="304"/>
      <c r="AA96" s="149">
        <f t="shared" si="4"/>
        <v>0</v>
      </c>
      <c r="AB96" s="304"/>
      <c r="AC96" s="304"/>
      <c r="AD96" s="149">
        <f>($AD$4-VSLFO.MGO4567[[#This Row],[CARTER MP.]])+VSLFO.MGO4567[[#This Row],[FAENA EN LTS2]]</f>
        <v>0</v>
      </c>
      <c r="AE96" s="304"/>
      <c r="AF96" s="304"/>
      <c r="AG96" s="149">
        <f t="shared" si="8"/>
        <v>0</v>
      </c>
      <c r="AH96" s="304"/>
      <c r="AI96" s="304"/>
      <c r="AJ96" s="148">
        <f>(AJ95-VSLFO.MGO4567[[#This Row],[HIDRAULICO]])+VSLFO.MGO4567[[#This Row],[FAENA EN LTS3]]</f>
        <v>0</v>
      </c>
    </row>
    <row r="97" spans="1:36" x14ac:dyDescent="0.25">
      <c r="A97" s="192"/>
      <c r="B97" s="219"/>
      <c r="C97" s="7"/>
      <c r="D97" s="4">
        <f>IF(VSLFO.MGO4567[[#This Row],[FECHA]]-B96=1,((VSLFO.MGO4567[[#This Row],[HORA]]-C96)*24)+24,(VSLFO.MGO4567[[#This Row],[HORA]]-C96)*24)</f>
        <v>0</v>
      </c>
      <c r="E97" s="10"/>
      <c r="F97" s="10"/>
      <c r="G97" s="212"/>
      <c r="H97" s="201"/>
      <c r="I97" s="201"/>
      <c r="J97" s="207"/>
      <c r="K97" s="153"/>
      <c r="L97" s="3"/>
      <c r="M97" s="3"/>
      <c r="N97" s="3">
        <f t="shared" si="6"/>
        <v>0</v>
      </c>
      <c r="O97" s="1"/>
      <c r="P97" s="152">
        <f t="shared" si="7"/>
        <v>0</v>
      </c>
      <c r="Q97" s="150"/>
      <c r="R97" s="304"/>
      <c r="S97" s="304"/>
      <c r="T97" s="304"/>
      <c r="U97" s="304"/>
      <c r="V97" s="155">
        <f t="shared" si="3"/>
        <v>0</v>
      </c>
      <c r="W97" s="304"/>
      <c r="X97" s="151">
        <f>(X96-VSLFO.MGO4567[[#This Row],[TOTAL]])+VSLFO.MGO4567[[#This Row],[FAENA2]]</f>
        <v>0</v>
      </c>
      <c r="Y97" s="150"/>
      <c r="Z97" s="304"/>
      <c r="AA97" s="149">
        <f t="shared" si="4"/>
        <v>0</v>
      </c>
      <c r="AB97" s="304"/>
      <c r="AC97" s="304"/>
      <c r="AD97" s="149">
        <f>($AD$4-VSLFO.MGO4567[[#This Row],[CARTER MP.]])+VSLFO.MGO4567[[#This Row],[FAENA EN LTS2]]</f>
        <v>0</v>
      </c>
      <c r="AE97" s="304"/>
      <c r="AF97" s="304"/>
      <c r="AG97" s="149">
        <f t="shared" si="8"/>
        <v>0</v>
      </c>
      <c r="AH97" s="304"/>
      <c r="AI97" s="304"/>
      <c r="AJ97" s="148">
        <f>(AJ96-VSLFO.MGO4567[[#This Row],[HIDRAULICO]])+VSLFO.MGO4567[[#This Row],[FAENA EN LTS3]]</f>
        <v>0</v>
      </c>
    </row>
    <row r="98" spans="1:36" x14ac:dyDescent="0.25">
      <c r="A98" s="192"/>
      <c r="B98" s="219"/>
      <c r="C98" s="7"/>
      <c r="D98" s="4">
        <f>IF(VSLFO.MGO4567[[#This Row],[FECHA]]-B97=1,((VSLFO.MGO4567[[#This Row],[HORA]]-C97)*24)+24,(VSLFO.MGO4567[[#This Row],[HORA]]-C97)*24)</f>
        <v>0</v>
      </c>
      <c r="E98" s="10"/>
      <c r="F98" s="10"/>
      <c r="G98" s="212"/>
      <c r="H98" s="201"/>
      <c r="I98" s="201"/>
      <c r="J98" s="207"/>
      <c r="K98" s="153"/>
      <c r="L98" s="3"/>
      <c r="M98" s="3"/>
      <c r="N98" s="3">
        <f t="shared" si="6"/>
        <v>0</v>
      </c>
      <c r="O98" s="1"/>
      <c r="P98" s="152">
        <f t="shared" si="7"/>
        <v>0</v>
      </c>
      <c r="Q98" s="150"/>
      <c r="R98" s="304"/>
      <c r="S98" s="304"/>
      <c r="T98" s="304"/>
      <c r="U98" s="304"/>
      <c r="V98" s="155">
        <f t="shared" si="3"/>
        <v>0</v>
      </c>
      <c r="W98" s="304"/>
      <c r="X98" s="151">
        <f>(X97-VSLFO.MGO4567[[#This Row],[TOTAL]])+VSLFO.MGO4567[[#This Row],[FAENA2]]</f>
        <v>0</v>
      </c>
      <c r="Y98" s="150"/>
      <c r="Z98" s="304"/>
      <c r="AA98" s="149">
        <f t="shared" si="4"/>
        <v>0</v>
      </c>
      <c r="AB98" s="304"/>
      <c r="AC98" s="304"/>
      <c r="AD98" s="149">
        <f>($AD$4-VSLFO.MGO4567[[#This Row],[CARTER MP.]])+VSLFO.MGO4567[[#This Row],[FAENA EN LTS2]]</f>
        <v>0</v>
      </c>
      <c r="AE98" s="304"/>
      <c r="AF98" s="304"/>
      <c r="AG98" s="149">
        <f t="shared" si="8"/>
        <v>0</v>
      </c>
      <c r="AH98" s="304"/>
      <c r="AI98" s="304"/>
      <c r="AJ98" s="148">
        <f>(AJ97-VSLFO.MGO4567[[#This Row],[HIDRAULICO]])+VSLFO.MGO4567[[#This Row],[FAENA EN LTS3]]</f>
        <v>0</v>
      </c>
    </row>
    <row r="99" spans="1:36" x14ac:dyDescent="0.25">
      <c r="A99" s="192"/>
      <c r="B99" s="219"/>
      <c r="C99" s="7"/>
      <c r="D99" s="4">
        <f>IF(VSLFO.MGO4567[[#This Row],[FECHA]]-B98=1,((VSLFO.MGO4567[[#This Row],[HORA]]-C98)*24)+24,(VSLFO.MGO4567[[#This Row],[HORA]]-C98)*24)</f>
        <v>0</v>
      </c>
      <c r="E99" s="10"/>
      <c r="F99" s="10"/>
      <c r="G99" s="212"/>
      <c r="H99" s="201"/>
      <c r="I99" s="201"/>
      <c r="J99" s="207"/>
      <c r="K99" s="153"/>
      <c r="L99" s="3"/>
      <c r="M99" s="3"/>
      <c r="N99" s="3">
        <f t="shared" si="6"/>
        <v>0</v>
      </c>
      <c r="O99" s="1"/>
      <c r="P99" s="152">
        <f t="shared" si="7"/>
        <v>0</v>
      </c>
      <c r="Q99" s="150"/>
      <c r="R99" s="304"/>
      <c r="S99" s="304"/>
      <c r="T99" s="304"/>
      <c r="U99" s="304"/>
      <c r="V99" s="155">
        <f t="shared" si="3"/>
        <v>0</v>
      </c>
      <c r="W99" s="304"/>
      <c r="X99" s="151">
        <f>(X98-VSLFO.MGO4567[[#This Row],[TOTAL]])+VSLFO.MGO4567[[#This Row],[FAENA2]]</f>
        <v>0</v>
      </c>
      <c r="Y99" s="150"/>
      <c r="Z99" s="304"/>
      <c r="AA99" s="149">
        <f t="shared" si="4"/>
        <v>0</v>
      </c>
      <c r="AB99" s="304"/>
      <c r="AC99" s="304"/>
      <c r="AD99" s="149">
        <f>($AD$4-VSLFO.MGO4567[[#This Row],[CARTER MP.]])+VSLFO.MGO4567[[#This Row],[FAENA EN LTS2]]</f>
        <v>0</v>
      </c>
      <c r="AE99" s="304"/>
      <c r="AF99" s="304"/>
      <c r="AG99" s="149">
        <f t="shared" si="8"/>
        <v>0</v>
      </c>
      <c r="AH99" s="304"/>
      <c r="AI99" s="304"/>
      <c r="AJ99" s="148">
        <f>(AJ98-VSLFO.MGO4567[[#This Row],[HIDRAULICO]])+VSLFO.MGO4567[[#This Row],[FAENA EN LTS3]]</f>
        <v>0</v>
      </c>
    </row>
    <row r="100" spans="1:36" x14ac:dyDescent="0.25">
      <c r="A100" s="192"/>
      <c r="B100" s="219"/>
      <c r="C100" s="7"/>
      <c r="D100" s="4">
        <f>IF(VSLFO.MGO4567[[#This Row],[FECHA]]-B99=1,((VSLFO.MGO4567[[#This Row],[HORA]]-C99)*24)+24,(VSLFO.MGO4567[[#This Row],[HORA]]-C99)*24)</f>
        <v>0</v>
      </c>
      <c r="E100" s="10"/>
      <c r="F100" s="10"/>
      <c r="G100" s="212"/>
      <c r="H100" s="201"/>
      <c r="I100" s="201"/>
      <c r="J100" s="207"/>
      <c r="K100" s="153"/>
      <c r="L100" s="3"/>
      <c r="M100" s="3"/>
      <c r="N100" s="3">
        <f t="shared" si="6"/>
        <v>0</v>
      </c>
      <c r="O100" s="1"/>
      <c r="P100" s="152">
        <f t="shared" si="7"/>
        <v>0</v>
      </c>
      <c r="Q100" s="150"/>
      <c r="R100" s="304"/>
      <c r="S100" s="304"/>
      <c r="T100" s="304"/>
      <c r="U100" s="304"/>
      <c r="V100" s="155">
        <f t="shared" si="3"/>
        <v>0</v>
      </c>
      <c r="W100" s="304"/>
      <c r="X100" s="151">
        <f>(X99-VSLFO.MGO4567[[#This Row],[TOTAL]])+VSLFO.MGO4567[[#This Row],[FAENA2]]</f>
        <v>0</v>
      </c>
      <c r="Y100" s="150"/>
      <c r="Z100" s="304"/>
      <c r="AA100" s="149">
        <f t="shared" si="4"/>
        <v>0</v>
      </c>
      <c r="AB100" s="304"/>
      <c r="AC100" s="304"/>
      <c r="AD100" s="149">
        <f>($AD$4-VSLFO.MGO4567[[#This Row],[CARTER MP.]])+VSLFO.MGO4567[[#This Row],[FAENA EN LTS2]]</f>
        <v>0</v>
      </c>
      <c r="AE100" s="304"/>
      <c r="AF100" s="304"/>
      <c r="AG100" s="149">
        <f t="shared" si="8"/>
        <v>0</v>
      </c>
      <c r="AH100" s="304"/>
      <c r="AI100" s="304"/>
      <c r="AJ100" s="148">
        <f>(AJ99-VSLFO.MGO4567[[#This Row],[HIDRAULICO]])+VSLFO.MGO4567[[#This Row],[FAENA EN LTS3]]</f>
        <v>0</v>
      </c>
    </row>
    <row r="101" spans="1:36" x14ac:dyDescent="0.25">
      <c r="A101" s="192"/>
      <c r="B101" s="219"/>
      <c r="C101" s="7"/>
      <c r="D101" s="4">
        <f>IF(VSLFO.MGO4567[[#This Row],[FECHA]]-B100=1,((VSLFO.MGO4567[[#This Row],[HORA]]-C100)*24)+24,(VSLFO.MGO4567[[#This Row],[HORA]]-C100)*24)</f>
        <v>0</v>
      </c>
      <c r="E101" s="10"/>
      <c r="F101" s="10"/>
      <c r="G101" s="212"/>
      <c r="H101" s="201"/>
      <c r="I101" s="201"/>
      <c r="J101" s="207"/>
      <c r="K101" s="153"/>
      <c r="L101" s="3"/>
      <c r="M101" s="3"/>
      <c r="N101" s="3">
        <f t="shared" si="6"/>
        <v>0</v>
      </c>
      <c r="O101" s="1"/>
      <c r="P101" s="152">
        <f t="shared" si="7"/>
        <v>0</v>
      </c>
      <c r="Q101" s="150"/>
      <c r="R101" s="304"/>
      <c r="S101" s="304"/>
      <c r="T101" s="304"/>
      <c r="U101" s="304"/>
      <c r="V101" s="155">
        <f t="shared" ref="V101:V107" si="9">SUM(Q101:U101)</f>
        <v>0</v>
      </c>
      <c r="W101" s="304"/>
      <c r="X101" s="151">
        <f>(X100-VSLFO.MGO4567[[#This Row],[TOTAL]])+VSLFO.MGO4567[[#This Row],[FAENA2]]</f>
        <v>0</v>
      </c>
      <c r="Y101" s="150"/>
      <c r="Z101" s="304"/>
      <c r="AA101" s="149">
        <f t="shared" si="4"/>
        <v>0</v>
      </c>
      <c r="AB101" s="304"/>
      <c r="AC101" s="304"/>
      <c r="AD101" s="149">
        <f>($AD$4-VSLFO.MGO4567[[#This Row],[CARTER MP.]])+VSLFO.MGO4567[[#This Row],[FAENA EN LTS2]]</f>
        <v>0</v>
      </c>
      <c r="AE101" s="304"/>
      <c r="AF101" s="304"/>
      <c r="AG101" s="149">
        <f t="shared" si="8"/>
        <v>0</v>
      </c>
      <c r="AH101" s="304"/>
      <c r="AI101" s="304"/>
      <c r="AJ101" s="148">
        <f>(AJ100-VSLFO.MGO4567[[#This Row],[HIDRAULICO]])+VSLFO.MGO4567[[#This Row],[FAENA EN LTS3]]</f>
        <v>0</v>
      </c>
    </row>
    <row r="102" spans="1:36" x14ac:dyDescent="0.25">
      <c r="A102" s="192"/>
      <c r="B102" s="219"/>
      <c r="C102" s="7"/>
      <c r="D102" s="4">
        <f>IF(VSLFO.MGO4567[[#This Row],[FECHA]]-B101=1,((VSLFO.MGO4567[[#This Row],[HORA]]-C101)*24)+24,(VSLFO.MGO4567[[#This Row],[HORA]]-C101)*24)</f>
        <v>0</v>
      </c>
      <c r="E102" s="10"/>
      <c r="F102" s="10"/>
      <c r="G102" s="212"/>
      <c r="H102" s="201"/>
      <c r="I102" s="201"/>
      <c r="J102" s="207"/>
      <c r="K102" s="153"/>
      <c r="L102" s="3"/>
      <c r="M102" s="3"/>
      <c r="N102" s="3">
        <f t="shared" si="6"/>
        <v>0</v>
      </c>
      <c r="O102" s="1"/>
      <c r="P102" s="152">
        <f t="shared" si="7"/>
        <v>0</v>
      </c>
      <c r="Q102" s="150"/>
      <c r="R102" s="304"/>
      <c r="S102" s="304"/>
      <c r="T102" s="304"/>
      <c r="U102" s="304"/>
      <c r="V102" s="155">
        <f t="shared" si="9"/>
        <v>0</v>
      </c>
      <c r="W102" s="304"/>
      <c r="X102" s="151">
        <f>(X101-VSLFO.MGO4567[[#This Row],[TOTAL]])+VSLFO.MGO4567[[#This Row],[FAENA2]]</f>
        <v>0</v>
      </c>
      <c r="Y102" s="150"/>
      <c r="Z102" s="304"/>
      <c r="AA102" s="149">
        <f t="shared" si="4"/>
        <v>0</v>
      </c>
      <c r="AB102" s="304"/>
      <c r="AC102" s="304"/>
      <c r="AD102" s="149">
        <f>($AD$4-VSLFO.MGO4567[[#This Row],[CARTER MP.]])+VSLFO.MGO4567[[#This Row],[FAENA EN LTS2]]</f>
        <v>0</v>
      </c>
      <c r="AE102" s="304"/>
      <c r="AF102" s="304"/>
      <c r="AG102" s="149">
        <f t="shared" si="8"/>
        <v>0</v>
      </c>
      <c r="AH102" s="304"/>
      <c r="AI102" s="304"/>
      <c r="AJ102" s="148">
        <f>(AJ101-VSLFO.MGO4567[[#This Row],[HIDRAULICO]])+VSLFO.MGO4567[[#This Row],[FAENA EN LTS3]]</f>
        <v>0</v>
      </c>
    </row>
    <row r="103" spans="1:36" x14ac:dyDescent="0.25">
      <c r="A103" s="192"/>
      <c r="B103" s="219"/>
      <c r="C103" s="7"/>
      <c r="D103" s="4">
        <f>IF(VSLFO.MGO4567[[#This Row],[FECHA]]-B102=1,((VSLFO.MGO4567[[#This Row],[HORA]]-C102)*24)+24,(VSLFO.MGO4567[[#This Row],[HORA]]-C102)*24)</f>
        <v>0</v>
      </c>
      <c r="E103" s="10"/>
      <c r="F103" s="10"/>
      <c r="G103" s="212"/>
      <c r="H103" s="201"/>
      <c r="I103" s="201"/>
      <c r="J103" s="207"/>
      <c r="K103" s="153"/>
      <c r="L103" s="3"/>
      <c r="M103" s="3"/>
      <c r="N103" s="3">
        <f t="shared" si="6"/>
        <v>0</v>
      </c>
      <c r="O103" s="1"/>
      <c r="P103" s="152">
        <f t="shared" si="7"/>
        <v>0</v>
      </c>
      <c r="Q103" s="150"/>
      <c r="R103" s="304"/>
      <c r="S103" s="304"/>
      <c r="T103" s="304"/>
      <c r="U103" s="304"/>
      <c r="V103" s="155">
        <f t="shared" si="9"/>
        <v>0</v>
      </c>
      <c r="W103" s="304"/>
      <c r="X103" s="151">
        <f>(X102-VSLFO.MGO4567[[#This Row],[TOTAL]])+VSLFO.MGO4567[[#This Row],[FAENA2]]</f>
        <v>0</v>
      </c>
      <c r="Y103" s="150"/>
      <c r="Z103" s="304"/>
      <c r="AA103" s="149">
        <f t="shared" si="4"/>
        <v>0</v>
      </c>
      <c r="AB103" s="304"/>
      <c r="AC103" s="304"/>
      <c r="AD103" s="149">
        <f>($AD$4-VSLFO.MGO4567[[#This Row],[CARTER MP.]])+VSLFO.MGO4567[[#This Row],[FAENA EN LTS2]]</f>
        <v>0</v>
      </c>
      <c r="AE103" s="304"/>
      <c r="AF103" s="304"/>
      <c r="AG103" s="149">
        <f t="shared" si="8"/>
        <v>0</v>
      </c>
      <c r="AH103" s="304"/>
      <c r="AI103" s="304"/>
      <c r="AJ103" s="148">
        <f>(AJ102-VSLFO.MGO4567[[#This Row],[HIDRAULICO]])+VSLFO.MGO4567[[#This Row],[FAENA EN LTS3]]</f>
        <v>0</v>
      </c>
    </row>
    <row r="104" spans="1:36" x14ac:dyDescent="0.25">
      <c r="A104" s="192"/>
      <c r="B104" s="219"/>
      <c r="C104" s="7"/>
      <c r="D104" s="4">
        <f>IF(VSLFO.MGO4567[[#This Row],[FECHA]]-B103=1,((VSLFO.MGO4567[[#This Row],[HORA]]-C103)*24)+24,(VSLFO.MGO4567[[#This Row],[HORA]]-C103)*24)</f>
        <v>0</v>
      </c>
      <c r="E104" s="10"/>
      <c r="F104" s="10"/>
      <c r="G104" s="212"/>
      <c r="H104" s="201"/>
      <c r="I104" s="201"/>
      <c r="J104" s="207"/>
      <c r="K104" s="153"/>
      <c r="L104" s="3"/>
      <c r="M104" s="3"/>
      <c r="N104" s="3">
        <f t="shared" si="6"/>
        <v>0</v>
      </c>
      <c r="O104" s="1"/>
      <c r="P104" s="152">
        <f t="shared" si="7"/>
        <v>0</v>
      </c>
      <c r="Q104" s="150"/>
      <c r="R104" s="304"/>
      <c r="S104" s="304"/>
      <c r="T104" s="304"/>
      <c r="U104" s="304"/>
      <c r="V104" s="155">
        <f t="shared" si="9"/>
        <v>0</v>
      </c>
      <c r="W104" s="304"/>
      <c r="X104" s="151">
        <f>(X103-VSLFO.MGO4567[[#This Row],[TOTAL]])+VSLFO.MGO4567[[#This Row],[FAENA2]]</f>
        <v>0</v>
      </c>
      <c r="Y104" s="150"/>
      <c r="Z104" s="304"/>
      <c r="AA104" s="149">
        <f t="shared" si="4"/>
        <v>0</v>
      </c>
      <c r="AB104" s="304"/>
      <c r="AC104" s="304"/>
      <c r="AD104" s="149">
        <f>($AD$4-VSLFO.MGO4567[[#This Row],[CARTER MP.]])+VSLFO.MGO4567[[#This Row],[FAENA EN LTS2]]</f>
        <v>0</v>
      </c>
      <c r="AE104" s="304"/>
      <c r="AF104" s="304"/>
      <c r="AG104" s="149">
        <f t="shared" si="8"/>
        <v>0</v>
      </c>
      <c r="AH104" s="304"/>
      <c r="AI104" s="304"/>
      <c r="AJ104" s="148">
        <f>(AJ103-VSLFO.MGO4567[[#This Row],[HIDRAULICO]])+VSLFO.MGO4567[[#This Row],[FAENA EN LTS3]]</f>
        <v>0</v>
      </c>
    </row>
    <row r="105" spans="1:36" x14ac:dyDescent="0.25">
      <c r="A105" s="192"/>
      <c r="B105" s="219"/>
      <c r="C105" s="7"/>
      <c r="D105" s="4">
        <f>IF(VSLFO.MGO4567[[#This Row],[FECHA]]-B104=1,((VSLFO.MGO4567[[#This Row],[HORA]]-C104)*24)+24,(VSLFO.MGO4567[[#This Row],[HORA]]-C104)*24)</f>
        <v>0</v>
      </c>
      <c r="E105" s="10"/>
      <c r="F105" s="10"/>
      <c r="G105" s="212"/>
      <c r="H105" s="201"/>
      <c r="I105" s="201"/>
      <c r="J105" s="207"/>
      <c r="K105" s="153"/>
      <c r="L105" s="3"/>
      <c r="M105" s="3"/>
      <c r="N105" s="3">
        <f t="shared" si="6"/>
        <v>0</v>
      </c>
      <c r="O105" s="1"/>
      <c r="P105" s="152">
        <f t="shared" si="7"/>
        <v>0</v>
      </c>
      <c r="Q105" s="150"/>
      <c r="R105" s="304"/>
      <c r="S105" s="304"/>
      <c r="T105" s="304"/>
      <c r="U105" s="304"/>
      <c r="V105" s="155">
        <f t="shared" si="9"/>
        <v>0</v>
      </c>
      <c r="W105" s="304"/>
      <c r="X105" s="151">
        <f>(X104-VSLFO.MGO4567[[#This Row],[TOTAL]])+VSLFO.MGO4567[[#This Row],[FAENA2]]</f>
        <v>0</v>
      </c>
      <c r="Y105" s="150"/>
      <c r="Z105" s="304"/>
      <c r="AA105" s="149">
        <f t="shared" si="4"/>
        <v>0</v>
      </c>
      <c r="AB105" s="304"/>
      <c r="AC105" s="304"/>
      <c r="AD105" s="149">
        <f>($AD$4-VSLFO.MGO4567[[#This Row],[CARTER MP.]])+VSLFO.MGO4567[[#This Row],[FAENA EN LTS2]]</f>
        <v>0</v>
      </c>
      <c r="AE105" s="304"/>
      <c r="AF105" s="304"/>
      <c r="AG105" s="149">
        <f t="shared" si="8"/>
        <v>0</v>
      </c>
      <c r="AH105" s="304"/>
      <c r="AI105" s="304"/>
      <c r="AJ105" s="148">
        <f>(AJ104-VSLFO.MGO4567[[#This Row],[HIDRAULICO]])+VSLFO.MGO4567[[#This Row],[FAENA EN LTS3]]</f>
        <v>0</v>
      </c>
    </row>
    <row r="106" spans="1:36" x14ac:dyDescent="0.25">
      <c r="A106" s="192"/>
      <c r="B106" s="219"/>
      <c r="C106" s="7"/>
      <c r="D106" s="4">
        <f>IF(VSLFO.MGO4567[[#This Row],[FECHA]]-B105=1,((VSLFO.MGO4567[[#This Row],[HORA]]-C105)*24)+24,(VSLFO.MGO4567[[#This Row],[HORA]]-C105)*24)</f>
        <v>0</v>
      </c>
      <c r="E106" s="10"/>
      <c r="F106" s="10"/>
      <c r="G106" s="212"/>
      <c r="H106" s="201"/>
      <c r="I106" s="201"/>
      <c r="J106" s="207"/>
      <c r="K106" s="153"/>
      <c r="L106" s="3"/>
      <c r="M106" s="3"/>
      <c r="N106" s="3">
        <f t="shared" si="6"/>
        <v>0</v>
      </c>
      <c r="O106" s="1"/>
      <c r="P106" s="152">
        <f t="shared" si="7"/>
        <v>0</v>
      </c>
      <c r="Q106" s="150"/>
      <c r="R106" s="304"/>
      <c r="S106" s="304"/>
      <c r="T106" s="304"/>
      <c r="U106" s="304"/>
      <c r="V106" s="155">
        <f t="shared" si="9"/>
        <v>0</v>
      </c>
      <c r="W106" s="304"/>
      <c r="X106" s="151">
        <f>(X105-VSLFO.MGO4567[[#This Row],[TOTAL]])+VSLFO.MGO4567[[#This Row],[FAENA2]]</f>
        <v>0</v>
      </c>
      <c r="Y106" s="150"/>
      <c r="Z106" s="304"/>
      <c r="AA106" s="149">
        <f t="shared" si="4"/>
        <v>0</v>
      </c>
      <c r="AB106" s="304"/>
      <c r="AC106" s="304"/>
      <c r="AD106" s="149">
        <f>($AD$4-VSLFO.MGO4567[[#This Row],[CARTER MP.]])+VSLFO.MGO4567[[#This Row],[FAENA EN LTS2]]</f>
        <v>0</v>
      </c>
      <c r="AE106" s="304"/>
      <c r="AF106" s="304"/>
      <c r="AG106" s="149">
        <f t="shared" si="8"/>
        <v>0</v>
      </c>
      <c r="AH106" s="304"/>
      <c r="AI106" s="304"/>
      <c r="AJ106" s="148">
        <f>(AJ105-VSLFO.MGO4567[[#This Row],[HIDRAULICO]])+VSLFO.MGO4567[[#This Row],[FAENA EN LTS3]]</f>
        <v>0</v>
      </c>
    </row>
    <row r="107" spans="1:36" x14ac:dyDescent="0.25">
      <c r="A107" s="192"/>
      <c r="B107" s="219"/>
      <c r="C107" s="7"/>
      <c r="D107" s="4">
        <f>IF(VSLFO.MGO4567[[#This Row],[FECHA]]-B106=1,((VSLFO.MGO4567[[#This Row],[HORA]]-C106)*24)+24,(VSLFO.MGO4567[[#This Row],[HORA]]-C106)*24)</f>
        <v>0</v>
      </c>
      <c r="E107" s="10"/>
      <c r="F107" s="10"/>
      <c r="G107" s="212"/>
      <c r="H107" s="201"/>
      <c r="I107" s="201"/>
      <c r="J107" s="207"/>
      <c r="K107" s="153"/>
      <c r="L107" s="3"/>
      <c r="M107" s="3"/>
      <c r="N107" s="3">
        <f t="shared" si="6"/>
        <v>0</v>
      </c>
      <c r="O107" s="1"/>
      <c r="P107" s="152">
        <f t="shared" si="7"/>
        <v>0</v>
      </c>
      <c r="Q107" s="150"/>
      <c r="R107" s="304"/>
      <c r="S107" s="304"/>
      <c r="T107" s="304"/>
      <c r="U107" s="304"/>
      <c r="V107" s="155">
        <f t="shared" si="9"/>
        <v>0</v>
      </c>
      <c r="W107" s="304"/>
      <c r="X107" s="151">
        <f>(X106-VSLFO.MGO4567[[#This Row],[TOTAL]])+VSLFO.MGO4567[[#This Row],[FAENA2]]</f>
        <v>0</v>
      </c>
      <c r="Y107" s="150"/>
      <c r="Z107" s="304"/>
      <c r="AA107" s="149">
        <f t="shared" si="4"/>
        <v>0</v>
      </c>
      <c r="AB107" s="304"/>
      <c r="AC107" s="304"/>
      <c r="AD107" s="149">
        <f>($AD$4-VSLFO.MGO4567[[#This Row],[CARTER MP.]])+VSLFO.MGO4567[[#This Row],[FAENA EN LTS2]]</f>
        <v>0</v>
      </c>
      <c r="AE107" s="304"/>
      <c r="AF107" s="304"/>
      <c r="AG107" s="149">
        <f t="shared" si="8"/>
        <v>0</v>
      </c>
      <c r="AH107" s="304"/>
      <c r="AI107" s="304"/>
      <c r="AJ107" s="148">
        <f>(AJ106-VSLFO.MGO4567[[#This Row],[HIDRAULICO]])+VSLFO.MGO4567[[#This Row],[FAENA EN LTS3]]</f>
        <v>0</v>
      </c>
    </row>
    <row r="108" spans="1:36" x14ac:dyDescent="0.25">
      <c r="A108" s="192"/>
      <c r="B108" s="219"/>
      <c r="C108" s="7"/>
      <c r="D108" s="4">
        <f>IF(VSLFO.MGO4567[[#This Row],[FECHA]]-B107=1,((VSLFO.MGO4567[[#This Row],[HORA]]-C107)*24)+24,(VSLFO.MGO4567[[#This Row],[HORA]]-C107)*24)</f>
        <v>0</v>
      </c>
      <c r="E108" s="10"/>
      <c r="F108" s="154"/>
      <c r="G108" s="212"/>
      <c r="H108" s="201"/>
      <c r="I108" s="201"/>
      <c r="J108" s="207"/>
      <c r="K108" s="153"/>
      <c r="L108" s="3"/>
      <c r="M108" s="3"/>
      <c r="N108" s="3">
        <f t="shared" si="6"/>
        <v>0</v>
      </c>
      <c r="O108" s="1"/>
      <c r="P108" s="152"/>
      <c r="Q108" s="150"/>
      <c r="R108" s="304"/>
      <c r="S108" s="304"/>
      <c r="T108" s="304"/>
      <c r="U108" s="304"/>
      <c r="V108" s="155"/>
      <c r="W108" s="304"/>
      <c r="X108" s="151"/>
      <c r="Y108" s="150"/>
      <c r="Z108" s="304"/>
      <c r="AA108" s="149">
        <f t="shared" ref="AA108:AA114" si="10">AA106</f>
        <v>0</v>
      </c>
      <c r="AB108" s="304"/>
      <c r="AC108" s="304"/>
      <c r="AD108" s="149">
        <f>($AD$4-VSLFO.MGO4567[[#This Row],[CARTER MP.]])+VSLFO.MGO4567[[#This Row],[FAENA EN LTS2]]</f>
        <v>0</v>
      </c>
      <c r="AE108" s="304"/>
      <c r="AF108" s="304"/>
      <c r="AG108" s="149">
        <f t="shared" ref="AG108:AG116" si="11">$AG$4</f>
        <v>0</v>
      </c>
      <c r="AH108" s="304"/>
      <c r="AI108" s="304"/>
      <c r="AJ108" s="148">
        <f>(AJ107-VSLFO.MGO4567[[#This Row],[HIDRAULICO]])+VSLFO.MGO4567[[#This Row],[FAENA EN LTS3]]</f>
        <v>0</v>
      </c>
    </row>
    <row r="109" spans="1:36" x14ac:dyDescent="0.25">
      <c r="A109" s="192"/>
      <c r="B109" s="219"/>
      <c r="C109" s="7"/>
      <c r="D109" s="4">
        <f>IF(VSLFO.MGO4567[[#This Row],[FECHA]]-B108=1,((VSLFO.MGO4567[[#This Row],[HORA]]-C108)*24)+24,(VSLFO.MGO4567[[#This Row],[HORA]]-C108)*24)</f>
        <v>0</v>
      </c>
      <c r="E109" s="10"/>
      <c r="F109" s="154"/>
      <c r="G109" s="212"/>
      <c r="H109" s="201"/>
      <c r="I109" s="201"/>
      <c r="J109" s="207"/>
      <c r="K109" s="153"/>
      <c r="L109" s="3"/>
      <c r="M109" s="3"/>
      <c r="N109" s="3">
        <f t="shared" si="6"/>
        <v>0</v>
      </c>
      <c r="O109" s="1"/>
      <c r="P109" s="152"/>
      <c r="Q109" s="150"/>
      <c r="R109" s="304"/>
      <c r="S109" s="304"/>
      <c r="T109" s="304"/>
      <c r="U109" s="304"/>
      <c r="V109" s="155"/>
      <c r="W109" s="304"/>
      <c r="X109" s="151"/>
      <c r="Y109" s="150"/>
      <c r="Z109" s="304"/>
      <c r="AA109" s="149">
        <f t="shared" si="10"/>
        <v>0</v>
      </c>
      <c r="AB109" s="304"/>
      <c r="AC109" s="304"/>
      <c r="AD109" s="149">
        <f>($AD$4-VSLFO.MGO4567[[#This Row],[CARTER MP.]])+VSLFO.MGO4567[[#This Row],[FAENA EN LTS2]]</f>
        <v>0</v>
      </c>
      <c r="AE109" s="304"/>
      <c r="AF109" s="304"/>
      <c r="AG109" s="149">
        <f t="shared" si="11"/>
        <v>0</v>
      </c>
      <c r="AH109" s="304"/>
      <c r="AI109" s="304"/>
      <c r="AJ109" s="148">
        <f>(AJ108-VSLFO.MGO4567[[#This Row],[HIDRAULICO]])+VSLFO.MGO4567[[#This Row],[FAENA EN LTS3]]</f>
        <v>0</v>
      </c>
    </row>
    <row r="110" spans="1:36" x14ac:dyDescent="0.25">
      <c r="A110" s="192"/>
      <c r="B110" s="219"/>
      <c r="C110" s="7"/>
      <c r="D110" s="4">
        <f>IF(VSLFO.MGO4567[[#This Row],[FECHA]]-B109=1,((VSLFO.MGO4567[[#This Row],[HORA]]-C109)*24)+24,(VSLFO.MGO4567[[#This Row],[HORA]]-C109)*24)</f>
        <v>0</v>
      </c>
      <c r="E110" s="10"/>
      <c r="F110" s="154"/>
      <c r="G110" s="212"/>
      <c r="H110" s="201"/>
      <c r="I110" s="201"/>
      <c r="J110" s="207"/>
      <c r="K110" s="153"/>
      <c r="L110" s="3"/>
      <c r="M110" s="3"/>
      <c r="N110" s="3">
        <f t="shared" si="6"/>
        <v>0</v>
      </c>
      <c r="O110" s="1"/>
      <c r="P110" s="152"/>
      <c r="Q110" s="150"/>
      <c r="R110" s="304"/>
      <c r="S110" s="304"/>
      <c r="T110" s="304"/>
      <c r="U110" s="304"/>
      <c r="V110" s="155"/>
      <c r="W110" s="304"/>
      <c r="X110" s="151"/>
      <c r="Y110" s="150"/>
      <c r="Z110" s="304"/>
      <c r="AA110" s="149">
        <f t="shared" si="10"/>
        <v>0</v>
      </c>
      <c r="AB110" s="304"/>
      <c r="AC110" s="304"/>
      <c r="AD110" s="149">
        <f>($AD$4-VSLFO.MGO4567[[#This Row],[CARTER MP.]])+VSLFO.MGO4567[[#This Row],[FAENA EN LTS2]]</f>
        <v>0</v>
      </c>
      <c r="AE110" s="304"/>
      <c r="AF110" s="304"/>
      <c r="AG110" s="149">
        <f t="shared" si="11"/>
        <v>0</v>
      </c>
      <c r="AH110" s="304"/>
      <c r="AI110" s="304"/>
      <c r="AJ110" s="148">
        <f>(AJ109-VSLFO.MGO4567[[#This Row],[HIDRAULICO]])+VSLFO.MGO4567[[#This Row],[FAENA EN LTS3]]</f>
        <v>0</v>
      </c>
    </row>
    <row r="111" spans="1:36" x14ac:dyDescent="0.25">
      <c r="A111" s="192"/>
      <c r="B111" s="219"/>
      <c r="C111" s="7"/>
      <c r="D111" s="4">
        <f>IF(VSLFO.MGO4567[[#This Row],[FECHA]]-B110=1,((VSLFO.MGO4567[[#This Row],[HORA]]-C110)*24)+24,(VSLFO.MGO4567[[#This Row],[HORA]]-C110)*24)</f>
        <v>0</v>
      </c>
      <c r="E111" s="10"/>
      <c r="F111" s="154"/>
      <c r="G111" s="212"/>
      <c r="H111" s="201"/>
      <c r="I111" s="201"/>
      <c r="J111" s="207"/>
      <c r="K111" s="153"/>
      <c r="L111" s="3"/>
      <c r="M111" s="3"/>
      <c r="N111" s="3">
        <f t="shared" si="6"/>
        <v>0</v>
      </c>
      <c r="O111" s="1"/>
      <c r="P111" s="152"/>
      <c r="Q111" s="150"/>
      <c r="R111" s="304"/>
      <c r="S111" s="304"/>
      <c r="T111" s="304"/>
      <c r="U111" s="304"/>
      <c r="V111" s="155"/>
      <c r="W111" s="304"/>
      <c r="X111" s="151"/>
      <c r="Y111" s="150"/>
      <c r="Z111" s="304"/>
      <c r="AA111" s="149">
        <f t="shared" si="10"/>
        <v>0</v>
      </c>
      <c r="AB111" s="304"/>
      <c r="AC111" s="304"/>
      <c r="AD111" s="149">
        <f>($AD$4-VSLFO.MGO4567[[#This Row],[CARTER MP.]])+VSLFO.MGO4567[[#This Row],[FAENA EN LTS2]]</f>
        <v>0</v>
      </c>
      <c r="AE111" s="304"/>
      <c r="AF111" s="304"/>
      <c r="AG111" s="149">
        <f t="shared" si="11"/>
        <v>0</v>
      </c>
      <c r="AH111" s="304"/>
      <c r="AI111" s="304"/>
      <c r="AJ111" s="148">
        <f>(AJ110-VSLFO.MGO4567[[#This Row],[HIDRAULICO]])+VSLFO.MGO4567[[#This Row],[FAENA EN LTS3]]</f>
        <v>0</v>
      </c>
    </row>
    <row r="112" spans="1:36" x14ac:dyDescent="0.25">
      <c r="A112" s="192"/>
      <c r="B112" s="219"/>
      <c r="C112" s="7"/>
      <c r="D112" s="4">
        <f>IF(VSLFO.MGO4567[[#This Row],[FECHA]]-B111=1,((VSLFO.MGO4567[[#This Row],[HORA]]-C111)*24)+24,(VSLFO.MGO4567[[#This Row],[HORA]]-C111)*24)</f>
        <v>0</v>
      </c>
      <c r="E112" s="10"/>
      <c r="F112" s="154"/>
      <c r="G112" s="212"/>
      <c r="H112" s="201"/>
      <c r="I112" s="201"/>
      <c r="J112" s="207"/>
      <c r="K112" s="153"/>
      <c r="L112" s="3"/>
      <c r="M112" s="3"/>
      <c r="N112" s="3">
        <f t="shared" si="6"/>
        <v>0</v>
      </c>
      <c r="O112" s="1"/>
      <c r="P112" s="152"/>
      <c r="Q112" s="150"/>
      <c r="R112" s="304"/>
      <c r="S112" s="304"/>
      <c r="T112" s="304"/>
      <c r="U112" s="304"/>
      <c r="V112" s="155"/>
      <c r="W112" s="304"/>
      <c r="X112" s="151"/>
      <c r="Y112" s="150"/>
      <c r="Z112" s="304"/>
      <c r="AA112" s="149">
        <f t="shared" si="10"/>
        <v>0</v>
      </c>
      <c r="AB112" s="304"/>
      <c r="AC112" s="304"/>
      <c r="AD112" s="149">
        <f>($AD$4-VSLFO.MGO4567[[#This Row],[CARTER MP.]])+VSLFO.MGO4567[[#This Row],[FAENA EN LTS2]]</f>
        <v>0</v>
      </c>
      <c r="AE112" s="304"/>
      <c r="AF112" s="304"/>
      <c r="AG112" s="149">
        <f t="shared" si="11"/>
        <v>0</v>
      </c>
      <c r="AH112" s="304"/>
      <c r="AI112" s="304"/>
      <c r="AJ112" s="148">
        <f>(AJ111-VSLFO.MGO4567[[#This Row],[HIDRAULICO]])+VSLFO.MGO4567[[#This Row],[FAENA EN LTS3]]</f>
        <v>0</v>
      </c>
    </row>
    <row r="113" spans="1:36" x14ac:dyDescent="0.25">
      <c r="A113" s="192"/>
      <c r="B113" s="219"/>
      <c r="C113" s="7"/>
      <c r="D113" s="4">
        <f>IF(VSLFO.MGO4567[[#This Row],[FECHA]]-B112=1,((VSLFO.MGO4567[[#This Row],[HORA]]-C112)*24)+24,(VSLFO.MGO4567[[#This Row],[HORA]]-C112)*24)</f>
        <v>0</v>
      </c>
      <c r="E113" s="10"/>
      <c r="F113" s="154"/>
      <c r="G113" s="212"/>
      <c r="H113" s="201"/>
      <c r="I113" s="201"/>
      <c r="J113" s="207"/>
      <c r="K113" s="153"/>
      <c r="L113" s="3"/>
      <c r="M113" s="3"/>
      <c r="N113" s="3">
        <f t="shared" si="6"/>
        <v>0</v>
      </c>
      <c r="O113" s="1"/>
      <c r="P113" s="152"/>
      <c r="Q113" s="150"/>
      <c r="R113" s="304"/>
      <c r="S113" s="304"/>
      <c r="T113" s="304"/>
      <c r="U113" s="304"/>
      <c r="V113" s="155"/>
      <c r="W113" s="304"/>
      <c r="X113" s="151"/>
      <c r="Y113" s="150"/>
      <c r="Z113" s="304"/>
      <c r="AA113" s="149">
        <f t="shared" si="10"/>
        <v>0</v>
      </c>
      <c r="AB113" s="304"/>
      <c r="AC113" s="304"/>
      <c r="AD113" s="149">
        <f>($AD$4-VSLFO.MGO4567[[#This Row],[CARTER MP.]])+VSLFO.MGO4567[[#This Row],[FAENA EN LTS2]]</f>
        <v>0</v>
      </c>
      <c r="AE113" s="304"/>
      <c r="AF113" s="304"/>
      <c r="AG113" s="149">
        <f t="shared" si="11"/>
        <v>0</v>
      </c>
      <c r="AH113" s="304"/>
      <c r="AI113" s="304"/>
      <c r="AJ113" s="148">
        <f>(AJ112-VSLFO.MGO4567[[#This Row],[HIDRAULICO]])+VSLFO.MGO4567[[#This Row],[FAENA EN LTS3]]</f>
        <v>0</v>
      </c>
    </row>
    <row r="114" spans="1:36" x14ac:dyDescent="0.25">
      <c r="A114" s="192"/>
      <c r="B114" s="219"/>
      <c r="C114" s="7"/>
      <c r="D114" s="4">
        <f>IF(VSLFO.MGO4567[[#This Row],[FECHA]]-B113=1,((VSLFO.MGO4567[[#This Row],[HORA]]-C113)*24)+24,(VSLFO.MGO4567[[#This Row],[HORA]]-C113)*24)</f>
        <v>0</v>
      </c>
      <c r="E114" s="10"/>
      <c r="F114" s="154"/>
      <c r="G114" s="212"/>
      <c r="H114" s="201"/>
      <c r="I114" s="201"/>
      <c r="J114" s="207"/>
      <c r="K114" s="153"/>
      <c r="L114" s="3"/>
      <c r="M114" s="3"/>
      <c r="N114" s="3">
        <f t="shared" si="6"/>
        <v>0</v>
      </c>
      <c r="O114" s="1"/>
      <c r="P114" s="152"/>
      <c r="Q114" s="150"/>
      <c r="R114" s="304"/>
      <c r="S114" s="304"/>
      <c r="T114" s="304"/>
      <c r="U114" s="304"/>
      <c r="V114" s="155"/>
      <c r="W114" s="304"/>
      <c r="X114" s="151"/>
      <c r="Y114" s="150"/>
      <c r="Z114" s="304"/>
      <c r="AA114" s="149">
        <f t="shared" si="10"/>
        <v>0</v>
      </c>
      <c r="AB114" s="304"/>
      <c r="AC114" s="304"/>
      <c r="AD114" s="149">
        <f>($AD$4-VSLFO.MGO4567[[#This Row],[CARTER MP.]])+VSLFO.MGO4567[[#This Row],[FAENA EN LTS2]]</f>
        <v>0</v>
      </c>
      <c r="AE114" s="304"/>
      <c r="AF114" s="304"/>
      <c r="AG114" s="149">
        <f t="shared" si="11"/>
        <v>0</v>
      </c>
      <c r="AH114" s="304"/>
      <c r="AI114" s="304"/>
      <c r="AJ114" s="148">
        <f>(AJ113-VSLFO.MGO4567[[#This Row],[HIDRAULICO]])+VSLFO.MGO4567[[#This Row],[FAENA EN LTS3]]</f>
        <v>0</v>
      </c>
    </row>
    <row r="115" spans="1:36" x14ac:dyDescent="0.25">
      <c r="A115" s="192"/>
      <c r="B115" s="219"/>
      <c r="C115" s="7"/>
      <c r="D115" s="4">
        <f>IF(VSLFO.MGO4567[[#This Row],[FECHA]]-B114=1,((VSLFO.MGO4567[[#This Row],[HORA]]-C114)*24)+24,(VSLFO.MGO4567[[#This Row],[HORA]]-C114)*24)</f>
        <v>0</v>
      </c>
      <c r="E115" s="10"/>
      <c r="F115" s="154"/>
      <c r="G115" s="212"/>
      <c r="H115" s="201"/>
      <c r="I115" s="201"/>
      <c r="J115" s="207"/>
      <c r="K115" s="153"/>
      <c r="L115" s="3"/>
      <c r="M115" s="3"/>
      <c r="N115" s="3">
        <f t="shared" si="6"/>
        <v>0</v>
      </c>
      <c r="O115" s="1"/>
      <c r="P115" s="152"/>
      <c r="Q115" s="150"/>
      <c r="R115" s="304"/>
      <c r="S115" s="304"/>
      <c r="T115" s="304"/>
      <c r="U115" s="304"/>
      <c r="V115" s="155"/>
      <c r="W115" s="304"/>
      <c r="X115" s="151"/>
      <c r="Y115" s="150"/>
      <c r="Z115" s="304"/>
      <c r="AA115" s="149">
        <f>AA113</f>
        <v>0</v>
      </c>
      <c r="AB115" s="304"/>
      <c r="AC115" s="304"/>
      <c r="AD115" s="149">
        <f>($AD$4-VSLFO.MGO4567[[#This Row],[CARTER MP.]])+VSLFO.MGO4567[[#This Row],[FAENA EN LTS2]]</f>
        <v>0</v>
      </c>
      <c r="AE115" s="304"/>
      <c r="AF115" s="304"/>
      <c r="AG115" s="149">
        <f t="shared" si="11"/>
        <v>0</v>
      </c>
      <c r="AH115" s="304"/>
      <c r="AI115" s="304"/>
      <c r="AJ115" s="148">
        <f>(AJ114-VSLFO.MGO4567[[#This Row],[HIDRAULICO]])+VSLFO.MGO4567[[#This Row],[FAENA EN LTS3]]</f>
        <v>0</v>
      </c>
    </row>
    <row r="116" spans="1:36" x14ac:dyDescent="0.25">
      <c r="A116" s="192"/>
      <c r="B116" s="219"/>
      <c r="C116" s="7"/>
      <c r="D116" s="4">
        <f>IF(VSLFO.MGO4567[[#This Row],[FECHA]]-B115=1,((VSLFO.MGO4567[[#This Row],[HORA]]-C115)*24)+24,(VSLFO.MGO4567[[#This Row],[HORA]]-C115)*24)</f>
        <v>0</v>
      </c>
      <c r="E116" s="10"/>
      <c r="F116" s="154"/>
      <c r="G116" s="212"/>
      <c r="H116" s="201"/>
      <c r="I116" s="201"/>
      <c r="J116" s="207"/>
      <c r="K116" s="153"/>
      <c r="L116" s="3"/>
      <c r="M116" s="3"/>
      <c r="N116" s="3">
        <f t="shared" ref="N116" si="12">K116+L116+M116</f>
        <v>0</v>
      </c>
      <c r="O116" s="1"/>
      <c r="P116" s="152"/>
      <c r="Q116" s="150"/>
      <c r="R116" s="304"/>
      <c r="S116" s="304"/>
      <c r="T116" s="304"/>
      <c r="U116" s="304"/>
      <c r="V116" s="155"/>
      <c r="W116" s="304"/>
      <c r="X116" s="151"/>
      <c r="Y116" s="150"/>
      <c r="Z116" s="304"/>
      <c r="AA116" s="149">
        <f>AA114</f>
        <v>0</v>
      </c>
      <c r="AB116" s="304"/>
      <c r="AC116" s="304"/>
      <c r="AD116" s="149">
        <f>($AD$4-VSLFO.MGO4567[[#This Row],[CARTER MP.]])+VSLFO.MGO4567[[#This Row],[FAENA EN LTS2]]</f>
        <v>0</v>
      </c>
      <c r="AE116" s="304"/>
      <c r="AF116" s="304"/>
      <c r="AG116" s="149">
        <f t="shared" si="11"/>
        <v>0</v>
      </c>
      <c r="AH116" s="304"/>
      <c r="AI116" s="304"/>
      <c r="AJ116" s="148">
        <f>(AJ115-VSLFO.MGO4567[[#This Row],[HIDRAULICO]])+VSLFO.MGO4567[[#This Row],[FAENA EN LTS3]]</f>
        <v>0</v>
      </c>
    </row>
    <row r="117" spans="1:36" x14ac:dyDescent="0.25">
      <c r="D117" s="305">
        <f>SUBTOTAL(109,VSLFO.MGO4567[TIEMPO Hrs])</f>
        <v>0</v>
      </c>
      <c r="K117" s="288">
        <f>SUBTOTAL(109,VSLFO.MGO4567[MPAL])</f>
        <v>0</v>
      </c>
      <c r="L117" s="288">
        <f>SUBTOTAL(109,VSLFO.MGO4567[AUX.])</f>
        <v>0</v>
      </c>
      <c r="M117" s="288">
        <f>SUBTOTAL(109,VSLFO.MGO4567[CALDERA])</f>
        <v>0</v>
      </c>
    </row>
    <row r="118" spans="1:36" x14ac:dyDescent="0.25">
      <c r="N118" s="147">
        <f>SUM(K117:M117)</f>
        <v>0</v>
      </c>
    </row>
    <row r="119" spans="1:36" ht="19.5" thickBot="1" x14ac:dyDescent="0.35">
      <c r="C119" s="146" t="s">
        <v>1360</v>
      </c>
      <c r="D119" s="146"/>
      <c r="E119" s="146"/>
      <c r="F119" s="146"/>
      <c r="G119" s="146"/>
      <c r="N119" s="146"/>
      <c r="O119" s="146"/>
      <c r="S119" s="253" t="s">
        <v>1359</v>
      </c>
    </row>
    <row r="120" spans="1:36" x14ac:dyDescent="0.25">
      <c r="C120" s="375" t="s">
        <v>1358</v>
      </c>
      <c r="D120" s="376"/>
      <c r="E120" s="259" t="s">
        <v>1357</v>
      </c>
      <c r="F120" s="342" t="s">
        <v>1438</v>
      </c>
      <c r="G120" s="400" t="s">
        <v>1450</v>
      </c>
      <c r="H120" s="402" t="s">
        <v>1451</v>
      </c>
      <c r="I120" s="260" t="s">
        <v>1356</v>
      </c>
      <c r="J120" s="404" t="s">
        <v>1452</v>
      </c>
      <c r="K120" s="404" t="s">
        <v>1453</v>
      </c>
      <c r="L120" s="261" t="s">
        <v>1355</v>
      </c>
      <c r="M120" s="344" t="s">
        <v>1441</v>
      </c>
      <c r="N120" s="348" t="s">
        <v>1464</v>
      </c>
      <c r="O120" s="346" t="s">
        <v>1442</v>
      </c>
      <c r="S120" s="379" t="s">
        <v>1353</v>
      </c>
      <c r="T120" s="328" t="s">
        <v>1352</v>
      </c>
      <c r="U120" s="328" t="s">
        <v>1352</v>
      </c>
      <c r="V120" s="328" t="s">
        <v>1352</v>
      </c>
      <c r="W120" s="328" t="s">
        <v>1352</v>
      </c>
      <c r="X120" s="328" t="s">
        <v>1351</v>
      </c>
      <c r="Y120" s="328" t="s">
        <v>1350</v>
      </c>
    </row>
    <row r="121" spans="1:36" ht="15.75" thickBot="1" x14ac:dyDescent="0.3">
      <c r="C121" s="377"/>
      <c r="D121" s="378"/>
      <c r="E121" s="265" t="s">
        <v>1349</v>
      </c>
      <c r="F121" s="343" t="s">
        <v>1439</v>
      </c>
      <c r="G121" s="401"/>
      <c r="H121" s="403"/>
      <c r="I121" s="266" t="s">
        <v>1449</v>
      </c>
      <c r="J121" s="405"/>
      <c r="K121" s="405"/>
      <c r="L121" s="267" t="s">
        <v>1345</v>
      </c>
      <c r="M121" s="345" t="s">
        <v>1345</v>
      </c>
      <c r="N121" s="349" t="s">
        <v>1463</v>
      </c>
      <c r="O121" s="347" t="s">
        <v>1439</v>
      </c>
      <c r="S121" s="380"/>
      <c r="T121" s="329" t="s">
        <v>1447</v>
      </c>
      <c r="U121" s="329" t="s">
        <v>1346</v>
      </c>
      <c r="V121" s="329" t="s">
        <v>1445</v>
      </c>
      <c r="W121" s="329" t="s">
        <v>1446</v>
      </c>
      <c r="X121" s="329" t="s">
        <v>1344</v>
      </c>
      <c r="Y121" s="329" t="s">
        <v>1343</v>
      </c>
    </row>
    <row r="122" spans="1:36" ht="15.75" thickBot="1" x14ac:dyDescent="0.3">
      <c r="C122" s="242" t="s">
        <v>1051</v>
      </c>
      <c r="D122" s="252"/>
      <c r="E122" s="350">
        <f t="shared" ref="E122:E128" si="13">SUMIF($E$6:$E$115,C122,$D$6:$D$115)</f>
        <v>0</v>
      </c>
      <c r="F122" s="252"/>
      <c r="G122" s="336"/>
      <c r="H122" s="336"/>
      <c r="I122" s="283">
        <f ca="1">SUMIF($E$6:$E$115,C122,$K$6:$K$115)+SUMIF($E$6:$E$115,C122,$L$6:$L$115)+SUMIF($E$6:$E$117,C122,$M$6:$M$115)</f>
        <v>0</v>
      </c>
      <c r="J122" s="339" t="e">
        <f t="shared" ref="J122:J128" ca="1" si="14">I122*24/E122</f>
        <v>#DIV/0!</v>
      </c>
      <c r="K122" s="336"/>
      <c r="L122" s="300"/>
      <c r="M122" s="244">
        <f>E122*K122/24</f>
        <v>0</v>
      </c>
      <c r="N122" s="283">
        <f t="shared" ref="N122:N128" ca="1" si="15">M122-I122</f>
        <v>0</v>
      </c>
      <c r="O122" s="301"/>
      <c r="R122" s="141"/>
      <c r="S122" s="257" t="s">
        <v>1342</v>
      </c>
      <c r="T122" s="140">
        <f>SUM(U5:U115)</f>
        <v>0</v>
      </c>
      <c r="U122" s="293" t="e">
        <f>T122*24/E123</f>
        <v>#DIV/0!</v>
      </c>
      <c r="V122" s="139"/>
      <c r="W122" s="295">
        <f>E123*V122/24</f>
        <v>0</v>
      </c>
      <c r="X122" s="293" t="e">
        <f>6-U122</f>
        <v>#DIV/0!</v>
      </c>
      <c r="Y122" s="296">
        <f>W122-T122</f>
        <v>0</v>
      </c>
    </row>
    <row r="123" spans="1:36" ht="15.75" thickBot="1" x14ac:dyDescent="0.3">
      <c r="C123" s="245" t="s">
        <v>966</v>
      </c>
      <c r="D123" s="249"/>
      <c r="E123" s="258">
        <f t="shared" si="13"/>
        <v>0</v>
      </c>
      <c r="F123" s="248"/>
      <c r="G123" s="337"/>
      <c r="H123" s="68"/>
      <c r="I123" s="284">
        <f ca="1">SUMIF($E$6:$E$115,C123,$K$6:$K$115)+SUMIF($E$6:$E$115,C123,$L$6:$L$115)+SUMIF($E$6:$E$117,C123,$M$6:$M$115)</f>
        <v>0</v>
      </c>
      <c r="J123" s="340" t="e">
        <f t="shared" ca="1" si="14"/>
        <v>#DIV/0!</v>
      </c>
      <c r="K123" s="337"/>
      <c r="L123" s="282"/>
      <c r="M123" s="3">
        <f>E123*4.5/24</f>
        <v>0</v>
      </c>
      <c r="N123" s="284">
        <f t="shared" ca="1" si="15"/>
        <v>0</v>
      </c>
      <c r="O123" s="290"/>
      <c r="S123" s="258" t="s">
        <v>1341</v>
      </c>
      <c r="T123" s="135">
        <f>SUM(R5:R115)</f>
        <v>0</v>
      </c>
      <c r="U123" s="293" t="e">
        <f>T123*24/E124</f>
        <v>#DIV/0!</v>
      </c>
      <c r="V123" s="1"/>
      <c r="W123" s="295">
        <f t="shared" ref="W123:W126" si="16">E124*V123/24</f>
        <v>0</v>
      </c>
      <c r="X123" s="293" t="e">
        <f t="shared" ref="X123:X126" si="17">6-U123</f>
        <v>#DIV/0!</v>
      </c>
      <c r="Y123" s="296">
        <f t="shared" ref="Y123:Y126" si="18">W123-T123</f>
        <v>0</v>
      </c>
    </row>
    <row r="124" spans="1:36" ht="15.75" thickBot="1" x14ac:dyDescent="0.3">
      <c r="C124" s="245" t="s">
        <v>1340</v>
      </c>
      <c r="D124" s="249"/>
      <c r="E124" s="258">
        <f t="shared" si="13"/>
        <v>0</v>
      </c>
      <c r="F124" s="248">
        <f>SUMIF($E$6:$E$116,C124,$G$6:$G$116)</f>
        <v>0</v>
      </c>
      <c r="G124" s="337" t="e">
        <f>F124/E124</f>
        <v>#DIV/0!</v>
      </c>
      <c r="H124" s="68"/>
      <c r="I124" s="285">
        <f ca="1">SUMIF($E$6:$E$116,C124,$K$6:$K$116)+SUMIF($E$6:$E$116,C124,$L$6:$L$116)+SUMIF($E$6:$E$117,C124,$M$6:$M$116)</f>
        <v>0</v>
      </c>
      <c r="J124" s="340" t="e">
        <f t="shared" ca="1" si="14"/>
        <v>#DIV/0!</v>
      </c>
      <c r="K124" s="337"/>
      <c r="L124" s="282" t="e">
        <f>F124/H124</f>
        <v>#DIV/0!</v>
      </c>
      <c r="M124" s="3" t="e">
        <f>L124*K124/24</f>
        <v>#DIV/0!</v>
      </c>
      <c r="N124" s="285" t="e">
        <f t="shared" ca="1" si="15"/>
        <v>#DIV/0!</v>
      </c>
      <c r="O124" s="290" t="e">
        <f>L124-E124</f>
        <v>#DIV/0!</v>
      </c>
      <c r="S124" s="258" t="s">
        <v>1339</v>
      </c>
      <c r="T124" s="135">
        <f>SUM(S5:S116)</f>
        <v>0</v>
      </c>
      <c r="U124" s="293" t="e">
        <f>T124*24/E125</f>
        <v>#DIV/0!</v>
      </c>
      <c r="V124" s="1"/>
      <c r="W124" s="295">
        <f t="shared" si="16"/>
        <v>0</v>
      </c>
      <c r="X124" s="293" t="e">
        <f t="shared" si="17"/>
        <v>#DIV/0!</v>
      </c>
      <c r="Y124" s="296">
        <f t="shared" si="18"/>
        <v>0</v>
      </c>
    </row>
    <row r="125" spans="1:36" ht="15.75" thickBot="1" x14ac:dyDescent="0.3">
      <c r="C125" s="245" t="s">
        <v>1338</v>
      </c>
      <c r="D125" s="249"/>
      <c r="E125" s="351">
        <f t="shared" si="13"/>
        <v>0</v>
      </c>
      <c r="F125" s="248">
        <f>SUMIF($E$6:$E$116,C125,$G$6:$G$116)</f>
        <v>0</v>
      </c>
      <c r="G125" s="337" t="e">
        <f>F125/E125</f>
        <v>#DIV/0!</v>
      </c>
      <c r="H125" s="68"/>
      <c r="I125" s="284">
        <f ca="1">SUMIF($E$6:$E$116,C125,$K$6:$K$116)+SUMIF($E$6:$E$116,C125,$L$6:$L$116)+SUMIF($E$6:$E$117,C125,$M$6:$M$116)</f>
        <v>0</v>
      </c>
      <c r="J125" s="340" t="e">
        <f t="shared" ca="1" si="14"/>
        <v>#DIV/0!</v>
      </c>
      <c r="K125" s="337"/>
      <c r="L125" s="282" t="e">
        <f>F125/H125</f>
        <v>#DIV/0!</v>
      </c>
      <c r="M125" s="3" t="e">
        <f>L125*K125/24</f>
        <v>#DIV/0!</v>
      </c>
      <c r="N125" s="286" t="e">
        <f t="shared" ca="1" si="15"/>
        <v>#DIV/0!</v>
      </c>
      <c r="O125" s="290" t="e">
        <f>L125-E125</f>
        <v>#DIV/0!</v>
      </c>
      <c r="S125" s="258" t="s">
        <v>1337</v>
      </c>
      <c r="T125" s="135">
        <f>SUM(T5:T116)</f>
        <v>0</v>
      </c>
      <c r="U125" s="293" t="e">
        <f>T125*24/E126</f>
        <v>#DIV/0!</v>
      </c>
      <c r="V125" s="1"/>
      <c r="W125" s="295">
        <f t="shared" si="16"/>
        <v>0</v>
      </c>
      <c r="X125" s="293" t="e">
        <f t="shared" si="17"/>
        <v>#DIV/0!</v>
      </c>
      <c r="Y125" s="296">
        <f t="shared" si="18"/>
        <v>0</v>
      </c>
    </row>
    <row r="126" spans="1:36" ht="15.75" thickBot="1" x14ac:dyDescent="0.3">
      <c r="C126" s="245" t="s">
        <v>351</v>
      </c>
      <c r="D126" s="249"/>
      <c r="E126" s="352">
        <f t="shared" si="13"/>
        <v>0</v>
      </c>
      <c r="F126" s="248"/>
      <c r="G126" s="337"/>
      <c r="H126" s="68"/>
      <c r="I126" s="285">
        <f ca="1">SUMIF($E$6:$E$116,C126,$K$6:$K$116)+SUMIF($E$6:$E$116,C126,$L$6:$L$116)+SUMIF($E$6:$E$117,C126,$M$6:$M$116)</f>
        <v>0</v>
      </c>
      <c r="J126" s="340" t="e">
        <f t="shared" ca="1" si="14"/>
        <v>#DIV/0!</v>
      </c>
      <c r="K126" s="337"/>
      <c r="L126" s="282"/>
      <c r="M126" s="3">
        <f>E126*K126/24</f>
        <v>0</v>
      </c>
      <c r="N126" s="284">
        <f t="shared" ca="1" si="15"/>
        <v>0</v>
      </c>
      <c r="O126" s="290"/>
      <c r="S126" s="250" t="s">
        <v>1370</v>
      </c>
      <c r="T126" s="299">
        <f>SUM(Q5:Q116)</f>
        <v>0</v>
      </c>
      <c r="U126" s="293" t="e">
        <f>T126*24/E127</f>
        <v>#DIV/0!</v>
      </c>
      <c r="V126" s="143"/>
      <c r="W126" s="295">
        <f t="shared" si="16"/>
        <v>0</v>
      </c>
      <c r="X126" s="293" t="e">
        <f t="shared" si="17"/>
        <v>#DIV/0!</v>
      </c>
      <c r="Y126" s="296">
        <f t="shared" si="18"/>
        <v>0</v>
      </c>
    </row>
    <row r="127" spans="1:36" x14ac:dyDescent="0.25">
      <c r="C127" s="188" t="s">
        <v>1057</v>
      </c>
      <c r="D127" s="240"/>
      <c r="E127" s="352">
        <f t="shared" si="13"/>
        <v>0</v>
      </c>
      <c r="F127" s="248"/>
      <c r="G127" s="337"/>
      <c r="H127" s="68"/>
      <c r="I127" s="284">
        <f ca="1">SUMIF($E$6:$E$116,C127,$K$6:$K$116)+SUMIF($E$6:$E$116,C127,$L$6:$L$116)+SUMIF($E$6:$E$117,C127,$M$6:$M$116)</f>
        <v>0</v>
      </c>
      <c r="J127" s="340" t="e">
        <f t="shared" ca="1" si="14"/>
        <v>#DIV/0!</v>
      </c>
      <c r="K127" s="337"/>
      <c r="L127" s="282"/>
      <c r="M127" s="3">
        <f>E127*K127/24</f>
        <v>0</v>
      </c>
      <c r="N127" s="284">
        <f t="shared" ca="1" si="15"/>
        <v>0</v>
      </c>
      <c r="O127" s="290"/>
      <c r="U127" s="239"/>
    </row>
    <row r="128" spans="1:36" ht="15.75" thickBot="1" x14ac:dyDescent="0.3">
      <c r="C128" s="246" t="s">
        <v>1425</v>
      </c>
      <c r="D128" s="251"/>
      <c r="E128" s="250">
        <f t="shared" si="13"/>
        <v>0</v>
      </c>
      <c r="F128" s="251"/>
      <c r="G128" s="338"/>
      <c r="H128" s="338"/>
      <c r="I128" s="287">
        <f ca="1">SUMIF($E$6:$E$116,C128,$K$6:$K$116)+SUMIF($E$6:$E$116,C128,$L$6:$L$116)+SUMIF($E$6:$E$117,C128,$M$6:$M$116)</f>
        <v>0</v>
      </c>
      <c r="J128" s="341" t="e">
        <f t="shared" ca="1" si="14"/>
        <v>#DIV/0!</v>
      </c>
      <c r="K128" s="341"/>
      <c r="L128" s="302"/>
      <c r="M128" s="278">
        <f>E128*K128/24</f>
        <v>0</v>
      </c>
      <c r="N128" s="287">
        <f t="shared" ca="1" si="15"/>
        <v>0</v>
      </c>
      <c r="O128" s="291"/>
    </row>
    <row r="129" spans="3:21" ht="15.75" thickBot="1" x14ac:dyDescent="0.3">
      <c r="H129" s="298"/>
      <c r="I129" s="298"/>
      <c r="J129" s="288"/>
      <c r="K129" s="288"/>
      <c r="L129" s="288"/>
      <c r="M129" s="288"/>
      <c r="N129" s="288"/>
      <c r="O129" s="288"/>
    </row>
    <row r="130" spans="3:21" ht="15.75" thickBot="1" x14ac:dyDescent="0.3">
      <c r="C130" s="373" t="s">
        <v>31</v>
      </c>
      <c r="D130" s="374"/>
      <c r="E130" s="281">
        <f>SUM(E122:E128)</f>
        <v>0</v>
      </c>
      <c r="F130" s="273">
        <f>SUM(F122:F128)</f>
        <v>0</v>
      </c>
      <c r="G130" s="281" t="e">
        <f>SUM(G122:G128)/2</f>
        <v>#DIV/0!</v>
      </c>
      <c r="I130" s="279">
        <f ca="1">SUM(I122:I128)</f>
        <v>0</v>
      </c>
      <c r="K130" s="303"/>
      <c r="L130" s="303"/>
      <c r="M130" s="281" t="e">
        <f>SUM(M122:M128)</f>
        <v>#DIV/0!</v>
      </c>
      <c r="N130" s="289" t="e">
        <f ca="1">SUM(N122:N128)</f>
        <v>#DIV/0!</v>
      </c>
      <c r="O130" s="289" t="e">
        <f>SUM(O122:O128)</f>
        <v>#DIV/0!</v>
      </c>
      <c r="S130" s="137" t="s">
        <v>31</v>
      </c>
      <c r="T130" s="137">
        <f>SUM(T122:T126)</f>
        <v>0</v>
      </c>
      <c r="U130" s="289" t="e">
        <f>SUM(U122:U126)</f>
        <v>#DIV/0!</v>
      </c>
    </row>
    <row r="139" spans="3:21" x14ac:dyDescent="0.25">
      <c r="I139"/>
    </row>
  </sheetData>
  <sheetProtection algorithmName="SHA-512" hashValue="R/hVZDjn8JqllQUqrybA54bIj7E9YrFtoghoD9f0OuNk8k0Nt8OuDIRKdMT2GTBqmLIcQ2WE/HpDsxkhBEb8bg==" saltValue="Gz54/Y0ExE/9ufdXj8Ku5Q==" spinCount="100000" sheet="1" formatCells="0" formatColumns="0" formatRows="0" insertRows="0" insertHyperlinks="0"/>
  <protectedRanges>
    <protectedRange sqref="AJ4" name="Rango15"/>
    <protectedRange sqref="AH6:AI116" name="Rango14"/>
    <protectedRange sqref="AG4" name="Rango13"/>
    <protectedRange sqref="AE6:AF116" name="Rango12"/>
    <protectedRange sqref="AD4" name="Rango11"/>
    <protectedRange sqref="AB6:AC116" name="Rango10"/>
    <protectedRange sqref="AA4" name="Rango9"/>
    <protectedRange sqref="Y6:Z116" name="Rango8"/>
    <protectedRange sqref="X4" name="Rango7"/>
    <protectedRange sqref="W6:W116" name="Rango6"/>
    <protectedRange sqref="Q6:U116" name="Rango5"/>
    <protectedRange sqref="P4" name="Rango4"/>
    <protectedRange sqref="O6:O116" name="Rango3"/>
    <protectedRange sqref="E6:M116" name="Rango2"/>
    <protectedRange sqref="A6:C116" name="Rango1"/>
  </protectedRanges>
  <mergeCells count="17">
    <mergeCell ref="G3:J4"/>
    <mergeCell ref="K3:P3"/>
    <mergeCell ref="Q3:X3"/>
    <mergeCell ref="C130:D130"/>
    <mergeCell ref="C120:D121"/>
    <mergeCell ref="G120:G121"/>
    <mergeCell ref="H120:H121"/>
    <mergeCell ref="J120:J121"/>
    <mergeCell ref="Y3:AJ3"/>
    <mergeCell ref="K4:O4"/>
    <mergeCell ref="Q4:W4"/>
    <mergeCell ref="K120:K121"/>
    <mergeCell ref="S120:S121"/>
    <mergeCell ref="Y4:Z4"/>
    <mergeCell ref="AB4:AC4"/>
    <mergeCell ref="AE4:AF4"/>
    <mergeCell ref="AH4:AI4"/>
  </mergeCells>
  <dataValidations disablePrompts="1" count="1">
    <dataValidation type="list" allowBlank="1" showInputMessage="1" showErrorMessage="1" sqref="E6:E116" xr:uid="{00000000-0002-0000-0700-000000000000}">
      <formula1>$C$122:$C$129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2018</vt:lpstr>
      <vt:lpstr>2019</vt:lpstr>
      <vt:lpstr>2020</vt:lpstr>
      <vt:lpstr>2021</vt:lpstr>
      <vt:lpstr>ENERO 2020</vt:lpstr>
      <vt:lpstr>FEBRERO 2020</vt:lpstr>
      <vt:lpstr>MARZO 2020</vt:lpstr>
      <vt:lpstr>ABRIL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2020-04-14T16:34:52Z</dcterms:modified>
</cp:coreProperties>
</file>