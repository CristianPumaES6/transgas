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filterPrivacy="1"/>
  <xr:revisionPtr revIDLastSave="0" documentId="13_ncr:1_{7E288E17-BB78-4351-8985-B7F8AE0DDB6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port 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49" i="1" l="1"/>
  <c r="Y49" i="1"/>
  <c r="R49" i="1"/>
  <c r="S49" i="1" s="1"/>
  <c r="AI48" i="1"/>
  <c r="Y48" i="1"/>
  <c r="R48" i="1"/>
  <c r="S48" i="1" s="1"/>
  <c r="AI47" i="1"/>
  <c r="Y47" i="1"/>
  <c r="R47" i="1"/>
  <c r="S47" i="1" s="1"/>
  <c r="AI46" i="1"/>
  <c r="Y46" i="1"/>
  <c r="R46" i="1"/>
  <c r="AI45" i="1"/>
  <c r="Y45" i="1"/>
  <c r="R45" i="1"/>
  <c r="S45" i="1" s="1"/>
  <c r="AI44" i="1"/>
  <c r="Y44" i="1"/>
  <c r="R44" i="1"/>
  <c r="S44" i="1" s="1"/>
  <c r="AI43" i="1"/>
  <c r="Y43" i="1"/>
  <c r="R43" i="1"/>
  <c r="S43" i="1" s="1"/>
  <c r="AI42" i="1"/>
  <c r="Y42" i="1"/>
  <c r="R42" i="1"/>
  <c r="AI41" i="1"/>
  <c r="Y41" i="1"/>
  <c r="R41" i="1"/>
  <c r="S41" i="1" s="1"/>
  <c r="AI40" i="1"/>
  <c r="Y40" i="1"/>
  <c r="R40" i="1"/>
  <c r="Z40" i="1" s="1"/>
  <c r="AI39" i="1"/>
  <c r="Y39" i="1"/>
  <c r="R39" i="1"/>
  <c r="S39" i="1" s="1"/>
  <c r="AI38" i="1"/>
  <c r="Y38" i="1"/>
  <c r="R38" i="1"/>
  <c r="S38" i="1" s="1"/>
  <c r="AI37" i="1"/>
  <c r="Y37" i="1"/>
  <c r="R37" i="1"/>
  <c r="S37" i="1" s="1"/>
  <c r="AI36" i="1"/>
  <c r="Y36" i="1"/>
  <c r="R36" i="1"/>
  <c r="S36" i="1" s="1"/>
  <c r="AI35" i="1"/>
  <c r="Y35" i="1"/>
  <c r="R35" i="1"/>
  <c r="S35" i="1" s="1"/>
  <c r="AI34" i="1"/>
  <c r="Y34" i="1"/>
  <c r="R34" i="1"/>
  <c r="AI33" i="1"/>
  <c r="Y33" i="1"/>
  <c r="R33" i="1"/>
  <c r="S33" i="1" s="1"/>
  <c r="AI32" i="1"/>
  <c r="Y32" i="1"/>
  <c r="R32" i="1"/>
  <c r="AI31" i="1"/>
  <c r="Y31" i="1"/>
  <c r="R31" i="1"/>
  <c r="S31" i="1" s="1"/>
  <c r="AI30" i="1"/>
  <c r="Y30" i="1"/>
  <c r="R30" i="1"/>
  <c r="S30" i="1" s="1"/>
  <c r="AI29" i="1"/>
  <c r="Y29" i="1"/>
  <c r="R29" i="1"/>
  <c r="S29" i="1" s="1"/>
  <c r="AI28" i="1"/>
  <c r="Y28" i="1"/>
  <c r="R28" i="1"/>
  <c r="S28" i="1" s="1"/>
  <c r="AI27" i="1"/>
  <c r="Y27" i="1"/>
  <c r="R27" i="1"/>
  <c r="S27" i="1" s="1"/>
  <c r="AI26" i="1"/>
  <c r="Y26" i="1"/>
  <c r="R26" i="1"/>
  <c r="AI25" i="1"/>
  <c r="Y25" i="1"/>
  <c r="R25" i="1"/>
  <c r="S25" i="1" s="1"/>
  <c r="AI24" i="1"/>
  <c r="Y24" i="1"/>
  <c r="R24" i="1"/>
  <c r="S24" i="1" s="1"/>
  <c r="AI23" i="1"/>
  <c r="Y23" i="1"/>
  <c r="R23" i="1"/>
  <c r="S23" i="1" s="1"/>
  <c r="AI22" i="1"/>
  <c r="Y22" i="1"/>
  <c r="R22" i="1"/>
  <c r="AI21" i="1"/>
  <c r="Y21" i="1"/>
  <c r="R21" i="1"/>
  <c r="S21" i="1" s="1"/>
  <c r="AI20" i="1"/>
  <c r="Y20" i="1"/>
  <c r="R20" i="1"/>
  <c r="AI19" i="1"/>
  <c r="Y19" i="1"/>
  <c r="R19" i="1"/>
  <c r="S19" i="1" s="1"/>
  <c r="AI18" i="1"/>
  <c r="Y18" i="1"/>
  <c r="R18" i="1"/>
  <c r="S18" i="1" s="1"/>
  <c r="AI17" i="1"/>
  <c r="Y17" i="1"/>
  <c r="R17" i="1"/>
  <c r="S17" i="1" s="1"/>
  <c r="AI16" i="1"/>
  <c r="Y16" i="1"/>
  <c r="R16" i="1"/>
  <c r="S16" i="1" s="1"/>
  <c r="AI15" i="1"/>
  <c r="Y15" i="1"/>
  <c r="R15" i="1"/>
  <c r="S15" i="1" s="1"/>
  <c r="AI14" i="1"/>
  <c r="Y14" i="1"/>
  <c r="R14" i="1"/>
  <c r="S14" i="1" s="1"/>
  <c r="AI13" i="1"/>
  <c r="Y13" i="1"/>
  <c r="R13" i="1"/>
  <c r="S13" i="1" s="1"/>
  <c r="AI12" i="1"/>
  <c r="Y12" i="1"/>
  <c r="R12" i="1"/>
  <c r="AI11" i="1"/>
  <c r="Y11" i="1"/>
  <c r="R11" i="1"/>
  <c r="S11" i="1" s="1"/>
  <c r="AI10" i="1"/>
  <c r="Y10" i="1"/>
  <c r="R10" i="1"/>
  <c r="AI9" i="1"/>
  <c r="Y9" i="1"/>
  <c r="R9" i="1"/>
  <c r="S9" i="1" s="1"/>
  <c r="AI8" i="1"/>
  <c r="Y8" i="1"/>
  <c r="R8" i="1"/>
  <c r="S8" i="1" s="1"/>
  <c r="AI7" i="1"/>
  <c r="Y7" i="1"/>
  <c r="R7" i="1"/>
  <c r="S7" i="1" s="1"/>
  <c r="AI6" i="1"/>
  <c r="Y6" i="1"/>
  <c r="R6" i="1"/>
  <c r="S6" i="1" s="1"/>
  <c r="AI5" i="1"/>
  <c r="Y5" i="1"/>
  <c r="R5" i="1"/>
  <c r="S5" i="1" s="1"/>
  <c r="AI4" i="1"/>
  <c r="Y4" i="1"/>
  <c r="R4" i="1"/>
  <c r="S4" i="1" s="1"/>
  <c r="AI3" i="1"/>
  <c r="Y3" i="1"/>
  <c r="R3" i="1"/>
  <c r="S3" i="1" s="1"/>
  <c r="AI2" i="1"/>
  <c r="AK2" i="1" s="1"/>
  <c r="Y2" i="1"/>
  <c r="R2" i="1"/>
  <c r="S2" i="1" s="1"/>
  <c r="Z46" i="1" l="1"/>
  <c r="AJ22" i="1"/>
  <c r="AJ10" i="1"/>
  <c r="Z18" i="1"/>
  <c r="AJ2" i="1"/>
  <c r="Z8" i="1"/>
  <c r="AJ38" i="1"/>
  <c r="AJ14" i="1"/>
  <c r="AJ30" i="1"/>
  <c r="Z26" i="1"/>
  <c r="AJ6" i="1"/>
  <c r="Z7" i="1"/>
  <c r="AJ28" i="1"/>
  <c r="Z34" i="1"/>
  <c r="Z3" i="1"/>
  <c r="S22" i="1"/>
  <c r="S46" i="1"/>
  <c r="Z10" i="1"/>
  <c r="AJ8" i="1"/>
  <c r="AJ46" i="1"/>
  <c r="Z23" i="1"/>
  <c r="Z9" i="1"/>
  <c r="Z38" i="1"/>
  <c r="Z27" i="1"/>
  <c r="Z36" i="1"/>
  <c r="AJ31" i="1"/>
  <c r="AJ13" i="1"/>
  <c r="Z33" i="1"/>
  <c r="S10" i="1"/>
  <c r="AJ25" i="1"/>
  <c r="Z39" i="1"/>
  <c r="Z44" i="1"/>
  <c r="Z49" i="1"/>
  <c r="AJ36" i="1"/>
  <c r="Z41" i="1"/>
  <c r="AJ41" i="1"/>
  <c r="Z28" i="1"/>
  <c r="Z42" i="1"/>
  <c r="AJ18" i="1"/>
  <c r="AJ33" i="1"/>
  <c r="Z2" i="1"/>
  <c r="Z11" i="1"/>
  <c r="Z30" i="1"/>
  <c r="AJ44" i="1"/>
  <c r="AB3" i="1"/>
  <c r="AB4" i="1" s="1"/>
  <c r="AB5" i="1" s="1"/>
  <c r="AB6" i="1" s="1"/>
  <c r="AB7" i="1" s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B35" i="1" s="1"/>
  <c r="AB36" i="1" s="1"/>
  <c r="AB37" i="1" s="1"/>
  <c r="AB38" i="1" s="1"/>
  <c r="AB39" i="1" s="1"/>
  <c r="AB40" i="1" s="1"/>
  <c r="AB41" i="1" s="1"/>
  <c r="AB42" i="1" s="1"/>
  <c r="AB43" i="1" s="1"/>
  <c r="AB44" i="1" s="1"/>
  <c r="AB45" i="1" s="1"/>
  <c r="AB46" i="1" s="1"/>
  <c r="AB47" i="1" s="1"/>
  <c r="AB48" i="1" s="1"/>
  <c r="AB49" i="1" s="1"/>
  <c r="S20" i="1"/>
  <c r="AJ20" i="1"/>
  <c r="AL3" i="1"/>
  <c r="AL4" i="1" s="1"/>
  <c r="AL5" i="1" s="1"/>
  <c r="AL6" i="1" s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J12" i="1"/>
  <c r="S12" i="1"/>
  <c r="S34" i="1"/>
  <c r="Z47" i="1"/>
  <c r="Z12" i="1"/>
  <c r="Z32" i="1"/>
  <c r="S32" i="1"/>
  <c r="AJ34" i="1"/>
  <c r="Z24" i="1"/>
  <c r="AJ47" i="1"/>
  <c r="Z4" i="1"/>
  <c r="Z43" i="1"/>
  <c r="Z15" i="1"/>
  <c r="AJ42" i="1"/>
  <c r="S42" i="1"/>
  <c r="Z5" i="1"/>
  <c r="S40" i="1"/>
  <c r="Z48" i="1"/>
  <c r="Z6" i="1"/>
  <c r="Z21" i="1"/>
  <c r="AJ24" i="1"/>
  <c r="AJ21" i="1"/>
  <c r="Z25" i="1"/>
  <c r="AJ4" i="1"/>
  <c r="AJ15" i="1"/>
  <c r="Z22" i="1"/>
  <c r="AJ26" i="1"/>
  <c r="S26" i="1"/>
  <c r="AJ5" i="1"/>
  <c r="Z19" i="1"/>
  <c r="Z37" i="1"/>
  <c r="AJ40" i="1"/>
  <c r="Z16" i="1"/>
  <c r="AJ37" i="1"/>
  <c r="AJ9" i="1"/>
  <c r="Z31" i="1"/>
  <c r="Z13" i="1"/>
  <c r="Z35" i="1"/>
  <c r="AJ7" i="1"/>
  <c r="AJ16" i="1"/>
  <c r="Z29" i="1"/>
  <c r="Z45" i="1"/>
  <c r="AJ48" i="1"/>
  <c r="Z20" i="1"/>
  <c r="AJ29" i="1"/>
  <c r="AJ32" i="1"/>
  <c r="AJ45" i="1"/>
  <c r="Z17" i="1"/>
  <c r="AJ23" i="1"/>
  <c r="AJ39" i="1"/>
  <c r="Z14" i="1"/>
  <c r="AJ17" i="1"/>
  <c r="AJ3" i="1"/>
  <c r="AJ11" i="1"/>
  <c r="AJ19" i="1"/>
  <c r="AJ27" i="1"/>
  <c r="AJ35" i="1"/>
  <c r="AJ43" i="1"/>
  <c r="AJ49" i="1"/>
</calcChain>
</file>

<file path=xl/sharedStrings.xml><?xml version="1.0" encoding="utf-8"?>
<sst xmlns="http://schemas.openxmlformats.org/spreadsheetml/2006/main" count="672" uniqueCount="166">
  <si>
    <t>voyageId</t>
  </si>
  <si>
    <t>portId</t>
  </si>
  <si>
    <t>dailyReportId</t>
  </si>
  <si>
    <t>year</t>
  </si>
  <si>
    <t>voyageNumber</t>
  </si>
  <si>
    <t>portNumber</t>
  </si>
  <si>
    <t>departurePort</t>
  </si>
  <si>
    <t>arrivalPort</t>
  </si>
  <si>
    <t>date</t>
  </si>
  <si>
    <t>hour</t>
  </si>
  <si>
    <t>steamingTime</t>
  </si>
  <si>
    <t>activityPerformed</t>
  </si>
  <si>
    <t>speedStraction</t>
  </si>
  <si>
    <t>observation</t>
  </si>
  <si>
    <t>distance</t>
  </si>
  <si>
    <t>steamingTime2</t>
  </si>
  <si>
    <t>beaufour</t>
  </si>
  <si>
    <t>mplaIfo</t>
  </si>
  <si>
    <t>auxIfo</t>
  </si>
  <si>
    <t>boilerIfo</t>
  </si>
  <si>
    <t>otherIfo</t>
  </si>
  <si>
    <t>bunkeringIfo</t>
  </si>
  <si>
    <t>mplaMgo</t>
  </si>
  <si>
    <t>auxMgo</t>
  </si>
  <si>
    <t>boilerMgo</t>
  </si>
  <si>
    <t>ppMgo</t>
  </si>
  <si>
    <t>giMgo</t>
  </si>
  <si>
    <t>otherMgo</t>
  </si>
  <si>
    <t>bunkeringMgo</t>
  </si>
  <si>
    <t>north_degree</t>
  </si>
  <si>
    <t>north_minutes</t>
  </si>
  <si>
    <t>north_north_south</t>
  </si>
  <si>
    <t>east_degree</t>
  </si>
  <si>
    <t>east_minutes</t>
  </si>
  <si>
    <t>east_east_west</t>
  </si>
  <si>
    <t>typeActivityPerformed</t>
  </si>
  <si>
    <t>userId</t>
  </si>
  <si>
    <t>updatePort</t>
  </si>
  <si>
    <t>delete_report</t>
  </si>
  <si>
    <t>08:00</t>
  </si>
  <si>
    <t/>
  </si>
  <si>
    <t>North</t>
  </si>
  <si>
    <t>East</t>
  </si>
  <si>
    <t>REPORT_AT_08_00</t>
  </si>
  <si>
    <t>West</t>
  </si>
  <si>
    <t>BALBOA</t>
  </si>
  <si>
    <t>SAILING_IN_BALLAST</t>
  </si>
  <si>
    <t>FULL</t>
  </si>
  <si>
    <t>NE5</t>
  </si>
  <si>
    <t>NE2</t>
  </si>
  <si>
    <t>NW3</t>
  </si>
  <si>
    <t>ANCHORED</t>
  </si>
  <si>
    <t>MANEUVER</t>
  </si>
  <si>
    <t>NE4</t>
  </si>
  <si>
    <t>SAILING_WITH_LADEN</t>
  </si>
  <si>
    <t>21:00</t>
  </si>
  <si>
    <t>ME ready for maneuvering.</t>
  </si>
  <si>
    <t>N2</t>
  </si>
  <si>
    <t>S4</t>
  </si>
  <si>
    <t>NW5</t>
  </si>
  <si>
    <t>NW7</t>
  </si>
  <si>
    <t>N4</t>
  </si>
  <si>
    <t>DOWNLOADING</t>
  </si>
  <si>
    <t>SW6</t>
  </si>
  <si>
    <t>N5</t>
  </si>
  <si>
    <t>N3</t>
  </si>
  <si>
    <t>sw</t>
  </si>
  <si>
    <t>SE2</t>
  </si>
  <si>
    <t>SW7</t>
  </si>
  <si>
    <t>06:42</t>
  </si>
  <si>
    <t>TSL report, maneuvering.</t>
  </si>
  <si>
    <t>SW4</t>
  </si>
  <si>
    <t>NW2</t>
  </si>
  <si>
    <t>TSL report, sailing to Balboa.</t>
  </si>
  <si>
    <t>NE6</t>
  </si>
  <si>
    <t>Change to HFO.</t>
  </si>
  <si>
    <t>Change to MGO.</t>
  </si>
  <si>
    <t>Balboa.</t>
  </si>
  <si>
    <t>06:00</t>
  </si>
  <si>
    <t>09:06</t>
  </si>
  <si>
    <t>QUINGDAO</t>
  </si>
  <si>
    <t>2024-12-25 06:42:00.000</t>
  </si>
  <si>
    <t>Change to FO.</t>
  </si>
  <si>
    <t>2024-12-25 08:00:00.000</t>
  </si>
  <si>
    <t>TSL report, sailing to Qingdao.</t>
  </si>
  <si>
    <t>2024-12-26 08:00:00.000</t>
  </si>
  <si>
    <t>W1</t>
  </si>
  <si>
    <t>2024-12-27 08:00:00.000</t>
  </si>
  <si>
    <t>2024-12-28 08:00:00.000</t>
  </si>
  <si>
    <t>2024-12-29 08:00:00.000</t>
  </si>
  <si>
    <t>2024-12-30 08:00:00.000</t>
  </si>
  <si>
    <t>2024-12-31 08:00:00.000</t>
  </si>
  <si>
    <t>2025-01-01 08:00:00.000</t>
  </si>
  <si>
    <t>2025-01-02 08:00:00.000</t>
  </si>
  <si>
    <t>2025-01-03 08:00:00.000</t>
  </si>
  <si>
    <t>2025-01-04 08:00:00.000</t>
  </si>
  <si>
    <t>2025-01-05 08:00:00.000</t>
  </si>
  <si>
    <t>2025-01-06 08:00:00.000</t>
  </si>
  <si>
    <t>TSl report, sailing to Qingdao.</t>
  </si>
  <si>
    <t>W6</t>
  </si>
  <si>
    <t>2025-01-07 08:00:00.000</t>
  </si>
  <si>
    <t xml:space="preserve">TSL report, sailing to Qingdao.
</t>
  </si>
  <si>
    <t>2025-01-08 08:00:00.000</t>
  </si>
  <si>
    <t>2025-01-09 08:00:00.000</t>
  </si>
  <si>
    <t>TSL report, sailing to Longkou.</t>
  </si>
  <si>
    <t>2025-01-10 08:00:00.000</t>
  </si>
  <si>
    <t>2025-01-11 08:00:00.000</t>
  </si>
  <si>
    <t>2025-01-12 08:00:00.000</t>
  </si>
  <si>
    <t>2025-01-13 08:00:00.000</t>
  </si>
  <si>
    <t>2025-01-15 08:00:00.000</t>
  </si>
  <si>
    <t>TSL report, sailing to Longkou. se adelanta un dia por cambio zona horaria.</t>
  </si>
  <si>
    <t>2025-01-16 08:00:00.000</t>
  </si>
  <si>
    <t xml:space="preserve">TSL report, sailing to Longkou.
</t>
  </si>
  <si>
    <t>2025-01-17 08:00:00.000</t>
  </si>
  <si>
    <t>2025-01-18 08:00:00.000</t>
  </si>
  <si>
    <t>2025-01-19 08:00:00.000</t>
  </si>
  <si>
    <t>2025-01-20 08:00:00.000</t>
  </si>
  <si>
    <t>2025-01-21 08:00:00.000</t>
  </si>
  <si>
    <t>2025-01-21 15:12:00.000</t>
  </si>
  <si>
    <t>15:12</t>
  </si>
  <si>
    <t>2025-01-22 03:42:00.000</t>
  </si>
  <si>
    <t>03:42</t>
  </si>
  <si>
    <t>Arrival to Longkou.</t>
  </si>
  <si>
    <t>2025-01-22 08:00:00.000</t>
  </si>
  <si>
    <t>TSL report, anchored in Longkou.</t>
  </si>
  <si>
    <t>2025-01-22 11:00:00.000</t>
  </si>
  <si>
    <t>11:00</t>
  </si>
  <si>
    <t>FWE, berthed in Longkou.</t>
  </si>
  <si>
    <t>2025-01-23 08:00:00.000</t>
  </si>
  <si>
    <t>TSL report, berthed in Longkou.</t>
  </si>
  <si>
    <t>2025-01-24 06:00:00.000</t>
  </si>
  <si>
    <t>2025-01-24 08:00:00.000</t>
  </si>
  <si>
    <t>2025-01-24 09:06:00.000</t>
  </si>
  <si>
    <t>Departure Longkou.</t>
  </si>
  <si>
    <t>Longkou</t>
  </si>
  <si>
    <t>Yeosu</t>
  </si>
  <si>
    <t>2025-01-24 19:36:00.000</t>
  </si>
  <si>
    <t>19:36</t>
  </si>
  <si>
    <t>2025-01-25 08:00:00.000</t>
  </si>
  <si>
    <t>TSL report, sailing to Yeosu.</t>
  </si>
  <si>
    <t>2025-01-25 19:30:00.000</t>
  </si>
  <si>
    <t>19:30</t>
  </si>
  <si>
    <t>Change to  MGO.</t>
  </si>
  <si>
    <t>2025-01-25 21:00:00.000</t>
  </si>
  <si>
    <t>Arrival Yeosu.</t>
  </si>
  <si>
    <t>2025-01-26 04:30:00.000</t>
  </si>
  <si>
    <t>04:30</t>
  </si>
  <si>
    <t>Departure Yeosu.</t>
  </si>
  <si>
    <t>2025-01-26 05:00:00.000</t>
  </si>
  <si>
    <t>05:00</t>
  </si>
  <si>
    <t>2025-01-26 08:00:00.000</t>
  </si>
  <si>
    <t>2025-01-27 08:00:00.000</t>
  </si>
  <si>
    <t>2025-01-28 08:00:00.000</t>
  </si>
  <si>
    <t>2025-01-29 08:00:00.000</t>
  </si>
  <si>
    <t>W5</t>
  </si>
  <si>
    <t>2025-01-30 08:00:00.000</t>
  </si>
  <si>
    <t>2025-01-31 08:00:00.000</t>
  </si>
  <si>
    <t>nextActivityPerformed</t>
  </si>
  <si>
    <t>TOTAL_IFO</t>
  </si>
  <si>
    <t>ROB_IFO</t>
  </si>
  <si>
    <t>TOTAL_MGO</t>
  </si>
  <si>
    <t>ROB_MGO</t>
  </si>
  <si>
    <t>date_ETA</t>
  </si>
  <si>
    <t>SPEED</t>
  </si>
  <si>
    <t>DAILY_CONSUMPTION_IFO</t>
  </si>
  <si>
    <t>DAILY_CONSUMPTION_MGO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</si>
</sst>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color rgb="FFFFFFFF"/>
      <name val="Calibri"/>
    </font>
    <font>
      <b/>
      <u/>
      <sz val="8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40D8"/>
      </patternFill>
    </fill>
    <fill>
      <patternFill patternType="solid">
        <fgColor rgb="FF375F9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4" borderId="1" xfId="0" applyFill="1" applyBorder="1"/>
    <xf numFmtId="0" fontId="0" fillId="4" borderId="2" xfId="0" applyFill="1" applyBorder="1"/>
    <xf numFmtId="0" fontId="1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/>
    <xf numFmtId="0" fontId="1" fillId="3" borderId="3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"/>
  <sheetViews>
    <sheetView tabSelected="1" topLeftCell="AF1" workbookViewId="0">
      <selection activeCell="AM17" sqref="AM17"/>
    </sheetView>
  </sheetViews>
  <sheetFormatPr defaultColWidth="8.88671875" defaultRowHeight="14.4" x14ac:dyDescent="0.3"/>
  <cols>
    <col min="1" max="1" width="11" customWidth="1"/>
    <col min="2" max="2" width="13.88671875" customWidth="1"/>
    <col min="3" max="3" width="14" customWidth="1"/>
    <col min="4" max="4" width="16.33203125" customWidth="1"/>
    <col min="5" max="5" width="21.44140625" customWidth="1"/>
    <col min="6" max="6" width="21.77734375" customWidth="1"/>
    <col min="7" max="8" width="16" customWidth="1"/>
    <col min="9" max="10" width="24.77734375" customWidth="1"/>
    <col min="11" max="11" width="8" customWidth="1"/>
    <col min="12" max="12" width="14" customWidth="1"/>
    <col min="13" max="13" width="22.33203125" customWidth="1"/>
    <col min="14" max="14" width="22.109375" customWidth="1"/>
    <col min="15" max="15" width="24.21875" customWidth="1"/>
    <col min="16" max="16" width="24" customWidth="1"/>
    <col min="17" max="35" width="13.21875" customWidth="1"/>
    <col min="36" max="36" width="25.109375" customWidth="1"/>
    <col min="37" max="39" width="13.21875" customWidth="1"/>
    <col min="40" max="44" width="8" customWidth="1"/>
    <col min="45" max="45" width="20.109375" customWidth="1"/>
    <col min="46" max="48" width="8" customWidth="1"/>
  </cols>
  <sheetData>
    <row r="1" spans="1:48" ht="21.6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162</v>
      </c>
      <c r="K1" s="5" t="s">
        <v>9</v>
      </c>
      <c r="L1" s="4" t="s">
        <v>10</v>
      </c>
      <c r="M1" s="3" t="s">
        <v>11</v>
      </c>
      <c r="N1" s="6" t="s">
        <v>157</v>
      </c>
      <c r="O1" s="3" t="s">
        <v>12</v>
      </c>
      <c r="P1" s="3" t="s">
        <v>13</v>
      </c>
      <c r="Q1" s="3" t="s">
        <v>14</v>
      </c>
      <c r="R1" s="2" t="s">
        <v>15</v>
      </c>
      <c r="S1" s="7" t="s">
        <v>163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7" t="s">
        <v>158</v>
      </c>
      <c r="Z1" s="7" t="s">
        <v>164</v>
      </c>
      <c r="AA1" s="3" t="s">
        <v>21</v>
      </c>
      <c r="AB1" s="7" t="s">
        <v>159</v>
      </c>
      <c r="AC1" s="3" t="s">
        <v>22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27</v>
      </c>
      <c r="AI1" s="7" t="s">
        <v>160</v>
      </c>
      <c r="AJ1" s="7" t="s">
        <v>165</v>
      </c>
      <c r="AK1" s="3" t="s">
        <v>28</v>
      </c>
      <c r="AL1" s="7" t="s">
        <v>161</v>
      </c>
      <c r="AM1" s="3" t="s">
        <v>29</v>
      </c>
      <c r="AN1" s="5" t="s">
        <v>30</v>
      </c>
      <c r="AO1" s="3" t="s">
        <v>31</v>
      </c>
      <c r="AP1" s="5" t="s">
        <v>32</v>
      </c>
      <c r="AQ1" s="5" t="s">
        <v>33</v>
      </c>
      <c r="AR1" s="3" t="s">
        <v>34</v>
      </c>
      <c r="AS1" s="3" t="s">
        <v>35</v>
      </c>
      <c r="AT1" s="3" t="s">
        <v>36</v>
      </c>
      <c r="AU1" s="3" t="s">
        <v>37</v>
      </c>
      <c r="AV1" s="8" t="s">
        <v>38</v>
      </c>
    </row>
    <row r="2" spans="1:48" x14ac:dyDescent="0.3">
      <c r="A2">
        <v>0</v>
      </c>
      <c r="B2">
        <v>0</v>
      </c>
      <c r="C2">
        <v>0</v>
      </c>
      <c r="D2">
        <v>2025</v>
      </c>
      <c r="E2">
        <v>5</v>
      </c>
      <c r="F2">
        <v>4</v>
      </c>
      <c r="G2" t="s">
        <v>45</v>
      </c>
      <c r="H2" t="s">
        <v>80</v>
      </c>
      <c r="I2" t="s">
        <v>81</v>
      </c>
      <c r="J2" t="s">
        <v>120</v>
      </c>
      <c r="K2" t="s">
        <v>69</v>
      </c>
      <c r="L2">
        <v>0.9</v>
      </c>
      <c r="M2" t="s">
        <v>54</v>
      </c>
      <c r="N2" t="s">
        <v>54</v>
      </c>
      <c r="O2" t="s">
        <v>47</v>
      </c>
      <c r="P2" t="s">
        <v>82</v>
      </c>
      <c r="Q2">
        <v>6</v>
      </c>
      <c r="R2">
        <f>IFERROR((I2 -#REF!)*24,0)</f>
        <v>0</v>
      </c>
      <c r="S2">
        <f t="shared" ref="S2:S49" si="0">IF(ISERROR(Q2/R2),0,Q2/R2)</f>
        <v>0</v>
      </c>
      <c r="T2" t="s">
        <v>50</v>
      </c>
      <c r="U2">
        <v>0</v>
      </c>
      <c r="V2">
        <v>0</v>
      </c>
      <c r="W2">
        <v>0</v>
      </c>
      <c r="X2">
        <v>0</v>
      </c>
      <c r="Y2">
        <f t="shared" ref="Y2:Y49" si="1">SUM(U2:X2)</f>
        <v>0</v>
      </c>
      <c r="Z2">
        <f t="shared" ref="Z2:Z49" si="2">IF(ISERROR(Y2*24/R2),0,Y2*24/R2)</f>
        <v>0</v>
      </c>
      <c r="AA2">
        <v>2143.33</v>
      </c>
      <c r="AB2">
        <v>2143.33</v>
      </c>
      <c r="AC2">
        <v>0.45</v>
      </c>
      <c r="AD2">
        <v>0.2</v>
      </c>
      <c r="AE2">
        <v>0</v>
      </c>
      <c r="AF2">
        <v>0</v>
      </c>
      <c r="AG2">
        <v>0</v>
      </c>
      <c r="AH2">
        <v>0</v>
      </c>
      <c r="AI2">
        <f t="shared" ref="AI2:AI49" si="3">SUM(AC2:AH2)</f>
        <v>0.65</v>
      </c>
      <c r="AJ2">
        <f t="shared" ref="AJ2:AJ49" si="4">IF(ISERROR(AI2*24/R2),0,AI2*24/R2)</f>
        <v>0</v>
      </c>
      <c r="AK2">
        <f>331.95+AI2</f>
        <v>332.59999999999997</v>
      </c>
      <c r="AL2">
        <v>331.95</v>
      </c>
      <c r="AM2" s="12">
        <v>8</v>
      </c>
      <c r="AN2" s="12">
        <v>20.7</v>
      </c>
      <c r="AO2" s="12" t="s">
        <v>41</v>
      </c>
      <c r="AP2" s="12">
        <v>79</v>
      </c>
      <c r="AQ2" s="12">
        <v>27.1</v>
      </c>
      <c r="AR2" s="12" t="s">
        <v>44</v>
      </c>
      <c r="AS2" t="s">
        <v>54</v>
      </c>
      <c r="AT2">
        <v>31</v>
      </c>
      <c r="AU2" s="12">
        <v>0</v>
      </c>
      <c r="AV2" s="12">
        <v>0</v>
      </c>
    </row>
    <row r="3" spans="1:48" x14ac:dyDescent="0.3">
      <c r="A3">
        <v>0</v>
      </c>
      <c r="B3">
        <v>0</v>
      </c>
      <c r="C3">
        <v>0</v>
      </c>
      <c r="D3">
        <v>2025</v>
      </c>
      <c r="E3">
        <v>5</v>
      </c>
      <c r="F3">
        <v>4</v>
      </c>
      <c r="G3" t="s">
        <v>45</v>
      </c>
      <c r="H3" t="s">
        <v>80</v>
      </c>
      <c r="I3" t="s">
        <v>83</v>
      </c>
      <c r="J3" t="s">
        <v>120</v>
      </c>
      <c r="K3" t="s">
        <v>39</v>
      </c>
      <c r="L3">
        <v>1.3</v>
      </c>
      <c r="M3" t="s">
        <v>54</v>
      </c>
      <c r="N3" t="s">
        <v>54</v>
      </c>
      <c r="O3" t="s">
        <v>47</v>
      </c>
      <c r="P3" t="s">
        <v>84</v>
      </c>
      <c r="Q3">
        <v>2.2000000000000002</v>
      </c>
      <c r="R3">
        <f t="shared" ref="R3:R49" si="5">IFERROR((I3 - I2)*24,0)</f>
        <v>1.3000000000465661</v>
      </c>
      <c r="S3">
        <f t="shared" si="0"/>
        <v>1.6923076922470739</v>
      </c>
      <c r="T3" t="s">
        <v>50</v>
      </c>
      <c r="U3">
        <v>1.75</v>
      </c>
      <c r="V3">
        <v>0.35</v>
      </c>
      <c r="W3">
        <v>0</v>
      </c>
      <c r="X3">
        <v>0</v>
      </c>
      <c r="Y3">
        <f t="shared" si="1"/>
        <v>2.1</v>
      </c>
      <c r="Z3">
        <f t="shared" si="2"/>
        <v>38.769230767842053</v>
      </c>
      <c r="AA3">
        <v>0</v>
      </c>
      <c r="AB3">
        <f t="shared" ref="AB3:AB49" si="6">AB2-Y3+AA3</f>
        <v>2141.23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f t="shared" si="3"/>
        <v>0</v>
      </c>
      <c r="AJ3">
        <f t="shared" si="4"/>
        <v>0</v>
      </c>
      <c r="AK3">
        <v>0</v>
      </c>
      <c r="AL3">
        <f t="shared" ref="AL3:AL49" si="7">AL2-AI3+AK3</f>
        <v>331.95</v>
      </c>
      <c r="AM3" s="12">
        <v>8</v>
      </c>
      <c r="AN3" s="12">
        <v>20.7</v>
      </c>
      <c r="AO3" s="12" t="s">
        <v>41</v>
      </c>
      <c r="AP3" s="12">
        <v>79</v>
      </c>
      <c r="AQ3" s="12">
        <v>27.1</v>
      </c>
      <c r="AR3" s="12" t="s">
        <v>44</v>
      </c>
      <c r="AS3" t="s">
        <v>43</v>
      </c>
      <c r="AT3">
        <v>31</v>
      </c>
      <c r="AU3" s="12">
        <v>0</v>
      </c>
      <c r="AV3" s="12">
        <v>0</v>
      </c>
    </row>
    <row r="4" spans="1:48" x14ac:dyDescent="0.3">
      <c r="A4">
        <v>0</v>
      </c>
      <c r="B4">
        <v>0</v>
      </c>
      <c r="C4">
        <v>0</v>
      </c>
      <c r="D4">
        <v>2025</v>
      </c>
      <c r="E4">
        <v>5</v>
      </c>
      <c r="F4">
        <v>4</v>
      </c>
      <c r="G4" t="s">
        <v>45</v>
      </c>
      <c r="H4" t="s">
        <v>80</v>
      </c>
      <c r="I4" t="s">
        <v>85</v>
      </c>
      <c r="J4" t="s">
        <v>120</v>
      </c>
      <c r="K4" t="s">
        <v>39</v>
      </c>
      <c r="L4">
        <v>24</v>
      </c>
      <c r="M4" t="s">
        <v>54</v>
      </c>
      <c r="N4" t="s">
        <v>54</v>
      </c>
      <c r="O4" t="s">
        <v>47</v>
      </c>
      <c r="P4" t="s">
        <v>84</v>
      </c>
      <c r="Q4">
        <v>573</v>
      </c>
      <c r="R4">
        <f t="shared" si="5"/>
        <v>24</v>
      </c>
      <c r="S4">
        <f t="shared" si="0"/>
        <v>23.875</v>
      </c>
      <c r="T4" t="s">
        <v>86</v>
      </c>
      <c r="U4">
        <v>35.5</v>
      </c>
      <c r="V4">
        <v>7.2</v>
      </c>
      <c r="W4">
        <v>0</v>
      </c>
      <c r="X4">
        <v>0</v>
      </c>
      <c r="Y4">
        <f t="shared" si="1"/>
        <v>42.7</v>
      </c>
      <c r="Z4">
        <f t="shared" si="2"/>
        <v>42.70000000000001</v>
      </c>
      <c r="AA4">
        <v>0</v>
      </c>
      <c r="AB4">
        <f t="shared" si="6"/>
        <v>2098.5300000000002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f t="shared" si="3"/>
        <v>0</v>
      </c>
      <c r="AJ4">
        <f t="shared" si="4"/>
        <v>0</v>
      </c>
      <c r="AK4">
        <v>0</v>
      </c>
      <c r="AL4">
        <f t="shared" si="7"/>
        <v>331.95</v>
      </c>
      <c r="AM4">
        <v>8</v>
      </c>
      <c r="AN4">
        <v>9.3000000000000007</v>
      </c>
      <c r="AO4" t="s">
        <v>41</v>
      </c>
      <c r="AP4">
        <v>84</v>
      </c>
      <c r="AQ4">
        <v>11.4</v>
      </c>
      <c r="AR4" t="s">
        <v>44</v>
      </c>
      <c r="AS4" t="s">
        <v>43</v>
      </c>
      <c r="AT4">
        <v>31</v>
      </c>
      <c r="AU4" s="12">
        <v>0</v>
      </c>
      <c r="AV4" s="12">
        <v>0</v>
      </c>
    </row>
    <row r="5" spans="1:48" x14ac:dyDescent="0.3">
      <c r="A5">
        <v>0</v>
      </c>
      <c r="B5">
        <v>0</v>
      </c>
      <c r="C5">
        <v>0</v>
      </c>
      <c r="D5">
        <v>2025</v>
      </c>
      <c r="E5">
        <v>5</v>
      </c>
      <c r="F5">
        <v>4</v>
      </c>
      <c r="G5" t="s">
        <v>45</v>
      </c>
      <c r="H5" t="s">
        <v>80</v>
      </c>
      <c r="I5" t="s">
        <v>87</v>
      </c>
      <c r="J5" t="s">
        <v>120</v>
      </c>
      <c r="K5" t="s">
        <v>39</v>
      </c>
      <c r="L5">
        <v>24</v>
      </c>
      <c r="M5" t="s">
        <v>54</v>
      </c>
      <c r="N5" t="s">
        <v>54</v>
      </c>
      <c r="O5" t="s">
        <v>47</v>
      </c>
      <c r="P5" t="s">
        <v>84</v>
      </c>
      <c r="Q5">
        <v>574</v>
      </c>
      <c r="R5">
        <f t="shared" si="5"/>
        <v>24</v>
      </c>
      <c r="S5">
        <f t="shared" si="0"/>
        <v>23.916666666666668</v>
      </c>
      <c r="T5" t="s">
        <v>61</v>
      </c>
      <c r="U5">
        <v>38.75</v>
      </c>
      <c r="V5">
        <v>7.48</v>
      </c>
      <c r="W5">
        <v>0</v>
      </c>
      <c r="X5">
        <v>0</v>
      </c>
      <c r="Y5">
        <f t="shared" si="1"/>
        <v>46.230000000000004</v>
      </c>
      <c r="Z5">
        <f t="shared" si="2"/>
        <v>46.23</v>
      </c>
      <c r="AA5">
        <v>0</v>
      </c>
      <c r="AB5">
        <f t="shared" si="6"/>
        <v>2052.3000000000002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f t="shared" si="3"/>
        <v>0</v>
      </c>
      <c r="AJ5">
        <f t="shared" si="4"/>
        <v>0</v>
      </c>
      <c r="AK5">
        <v>0</v>
      </c>
      <c r="AL5">
        <f t="shared" si="7"/>
        <v>331.95</v>
      </c>
      <c r="AM5">
        <v>2333</v>
      </c>
      <c r="AN5">
        <v>58.9</v>
      </c>
      <c r="AO5" t="s">
        <v>41</v>
      </c>
      <c r="AP5">
        <v>89</v>
      </c>
      <c r="AQ5">
        <v>24</v>
      </c>
      <c r="AR5" t="s">
        <v>44</v>
      </c>
      <c r="AS5" t="s">
        <v>43</v>
      </c>
      <c r="AT5">
        <v>31</v>
      </c>
      <c r="AU5" s="12">
        <v>0</v>
      </c>
      <c r="AV5" s="12">
        <v>0</v>
      </c>
    </row>
    <row r="6" spans="1:48" x14ac:dyDescent="0.3">
      <c r="A6">
        <v>0</v>
      </c>
      <c r="B6">
        <v>0</v>
      </c>
      <c r="C6">
        <v>0</v>
      </c>
      <c r="D6">
        <v>2025</v>
      </c>
      <c r="E6">
        <v>5</v>
      </c>
      <c r="F6">
        <v>4</v>
      </c>
      <c r="G6" t="s">
        <v>45</v>
      </c>
      <c r="H6" t="s">
        <v>80</v>
      </c>
      <c r="I6" t="s">
        <v>88</v>
      </c>
      <c r="J6" t="s">
        <v>120</v>
      </c>
      <c r="K6" t="s">
        <v>39</v>
      </c>
      <c r="L6">
        <v>25</v>
      </c>
      <c r="M6" t="s">
        <v>54</v>
      </c>
      <c r="N6" t="s">
        <v>54</v>
      </c>
      <c r="O6" t="s">
        <v>47</v>
      </c>
      <c r="P6" t="s">
        <v>84</v>
      </c>
      <c r="Q6">
        <v>386</v>
      </c>
      <c r="R6">
        <f t="shared" si="5"/>
        <v>24</v>
      </c>
      <c r="S6">
        <f t="shared" si="0"/>
        <v>16.083333333333332</v>
      </c>
      <c r="T6" t="s">
        <v>49</v>
      </c>
      <c r="U6">
        <v>41.85</v>
      </c>
      <c r="V6">
        <v>5.15</v>
      </c>
      <c r="W6">
        <v>0</v>
      </c>
      <c r="X6">
        <v>0</v>
      </c>
      <c r="Y6">
        <f t="shared" si="1"/>
        <v>47</v>
      </c>
      <c r="Z6">
        <f t="shared" si="2"/>
        <v>47</v>
      </c>
      <c r="AA6">
        <v>0</v>
      </c>
      <c r="AB6">
        <f t="shared" si="6"/>
        <v>2005.3000000000002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f t="shared" si="3"/>
        <v>0</v>
      </c>
      <c r="AJ6">
        <f t="shared" si="4"/>
        <v>0</v>
      </c>
      <c r="AK6">
        <v>0</v>
      </c>
      <c r="AL6">
        <f t="shared" si="7"/>
        <v>331.95</v>
      </c>
      <c r="AM6">
        <v>13</v>
      </c>
      <c r="AN6">
        <v>39.1</v>
      </c>
      <c r="AO6" t="s">
        <v>41</v>
      </c>
      <c r="AP6">
        <v>95</v>
      </c>
      <c r="AQ6">
        <v>19.7</v>
      </c>
      <c r="AR6" t="s">
        <v>44</v>
      </c>
      <c r="AS6" t="s">
        <v>43</v>
      </c>
      <c r="AT6">
        <v>31</v>
      </c>
      <c r="AU6" s="12">
        <v>0</v>
      </c>
      <c r="AV6" s="12">
        <v>0</v>
      </c>
    </row>
    <row r="7" spans="1:48" x14ac:dyDescent="0.3">
      <c r="A7">
        <v>0</v>
      </c>
      <c r="B7">
        <v>0</v>
      </c>
      <c r="C7">
        <v>0</v>
      </c>
      <c r="D7">
        <v>2025</v>
      </c>
      <c r="E7">
        <v>5</v>
      </c>
      <c r="F7">
        <v>4</v>
      </c>
      <c r="G7" t="s">
        <v>45</v>
      </c>
      <c r="H7" t="s">
        <v>80</v>
      </c>
      <c r="I7" t="s">
        <v>89</v>
      </c>
      <c r="J7" t="s">
        <v>120</v>
      </c>
      <c r="K7" t="s">
        <v>39</v>
      </c>
      <c r="L7">
        <v>24</v>
      </c>
      <c r="M7" t="s">
        <v>54</v>
      </c>
      <c r="N7" t="s">
        <v>54</v>
      </c>
      <c r="O7" t="s">
        <v>47</v>
      </c>
      <c r="P7" t="s">
        <v>84</v>
      </c>
      <c r="Q7">
        <v>368</v>
      </c>
      <c r="R7">
        <f t="shared" si="5"/>
        <v>24</v>
      </c>
      <c r="S7">
        <f t="shared" si="0"/>
        <v>15.333333333333334</v>
      </c>
      <c r="T7" t="s">
        <v>65</v>
      </c>
      <c r="U7">
        <v>42.75</v>
      </c>
      <c r="V7">
        <v>3.9</v>
      </c>
      <c r="W7">
        <v>0</v>
      </c>
      <c r="X7">
        <v>0</v>
      </c>
      <c r="Y7">
        <f t="shared" si="1"/>
        <v>46.65</v>
      </c>
      <c r="Z7">
        <f t="shared" si="2"/>
        <v>46.65</v>
      </c>
      <c r="AA7">
        <v>0</v>
      </c>
      <c r="AB7">
        <f t="shared" si="6"/>
        <v>1958.65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f t="shared" si="3"/>
        <v>0</v>
      </c>
      <c r="AJ7">
        <f t="shared" si="4"/>
        <v>0</v>
      </c>
      <c r="AK7">
        <v>0</v>
      </c>
      <c r="AL7">
        <f t="shared" si="7"/>
        <v>331.95</v>
      </c>
      <c r="AM7">
        <v>16</v>
      </c>
      <c r="AN7">
        <v>11.9</v>
      </c>
      <c r="AO7" t="s">
        <v>41</v>
      </c>
      <c r="AP7">
        <v>101</v>
      </c>
      <c r="AQ7">
        <v>3.4</v>
      </c>
      <c r="AR7" t="s">
        <v>44</v>
      </c>
      <c r="AS7" t="s">
        <v>43</v>
      </c>
      <c r="AT7">
        <v>31</v>
      </c>
      <c r="AU7" s="12">
        <v>0</v>
      </c>
      <c r="AV7" s="12">
        <v>0</v>
      </c>
    </row>
    <row r="8" spans="1:48" x14ac:dyDescent="0.3">
      <c r="A8">
        <v>0</v>
      </c>
      <c r="B8">
        <v>0</v>
      </c>
      <c r="C8">
        <v>0</v>
      </c>
      <c r="D8">
        <v>2025</v>
      </c>
      <c r="E8">
        <v>5</v>
      </c>
      <c r="F8">
        <v>4</v>
      </c>
      <c r="G8" t="s">
        <v>45</v>
      </c>
      <c r="H8" t="s">
        <v>80</v>
      </c>
      <c r="I8" t="s">
        <v>90</v>
      </c>
      <c r="J8" t="s">
        <v>120</v>
      </c>
      <c r="K8" t="s">
        <v>39</v>
      </c>
      <c r="L8">
        <v>24</v>
      </c>
      <c r="M8" t="s">
        <v>54</v>
      </c>
      <c r="N8" t="s">
        <v>54</v>
      </c>
      <c r="O8" t="s">
        <v>47</v>
      </c>
      <c r="P8" t="s">
        <v>84</v>
      </c>
      <c r="Q8">
        <v>375</v>
      </c>
      <c r="R8">
        <f t="shared" si="5"/>
        <v>24</v>
      </c>
      <c r="S8">
        <f t="shared" si="0"/>
        <v>15.625</v>
      </c>
      <c r="T8" t="s">
        <v>57</v>
      </c>
      <c r="U8">
        <v>42.75</v>
      </c>
      <c r="V8">
        <v>4</v>
      </c>
      <c r="W8">
        <v>0</v>
      </c>
      <c r="X8">
        <v>0</v>
      </c>
      <c r="Y8">
        <f t="shared" si="1"/>
        <v>46.75</v>
      </c>
      <c r="Z8">
        <f t="shared" si="2"/>
        <v>46.75</v>
      </c>
      <c r="AA8">
        <v>0</v>
      </c>
      <c r="AB8">
        <f t="shared" si="6"/>
        <v>1911.9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f t="shared" si="3"/>
        <v>0</v>
      </c>
      <c r="AJ8">
        <f t="shared" si="4"/>
        <v>0</v>
      </c>
      <c r="AK8">
        <v>0</v>
      </c>
      <c r="AL8">
        <f t="shared" si="7"/>
        <v>331.95</v>
      </c>
      <c r="AM8">
        <v>19</v>
      </c>
      <c r="AN8">
        <v>4.3</v>
      </c>
      <c r="AO8" t="s">
        <v>41</v>
      </c>
      <c r="AP8">
        <v>106</v>
      </c>
      <c r="AQ8">
        <v>48.4</v>
      </c>
      <c r="AR8" t="s">
        <v>44</v>
      </c>
      <c r="AS8" t="s">
        <v>43</v>
      </c>
      <c r="AT8">
        <v>31</v>
      </c>
      <c r="AU8" s="12">
        <v>0</v>
      </c>
      <c r="AV8" s="12">
        <v>0</v>
      </c>
    </row>
    <row r="9" spans="1:48" x14ac:dyDescent="0.3">
      <c r="A9">
        <v>0</v>
      </c>
      <c r="B9">
        <v>0</v>
      </c>
      <c r="C9">
        <v>0</v>
      </c>
      <c r="D9">
        <v>2025</v>
      </c>
      <c r="E9">
        <v>5</v>
      </c>
      <c r="F9">
        <v>4</v>
      </c>
      <c r="G9" t="s">
        <v>45</v>
      </c>
      <c r="H9" t="s">
        <v>80</v>
      </c>
      <c r="I9" t="s">
        <v>91</v>
      </c>
      <c r="J9" t="s">
        <v>120</v>
      </c>
      <c r="K9" t="s">
        <v>39</v>
      </c>
      <c r="L9">
        <v>24</v>
      </c>
      <c r="M9" t="s">
        <v>54</v>
      </c>
      <c r="N9" t="s">
        <v>54</v>
      </c>
      <c r="O9" t="s">
        <v>47</v>
      </c>
      <c r="P9" t="s">
        <v>84</v>
      </c>
      <c r="Q9">
        <v>369</v>
      </c>
      <c r="R9">
        <f t="shared" si="5"/>
        <v>24</v>
      </c>
      <c r="S9">
        <f t="shared" si="0"/>
        <v>15.375</v>
      </c>
      <c r="T9" t="s">
        <v>50</v>
      </c>
      <c r="U9">
        <v>43.35</v>
      </c>
      <c r="V9">
        <v>3.8</v>
      </c>
      <c r="W9">
        <v>0</v>
      </c>
      <c r="X9">
        <v>0</v>
      </c>
      <c r="Y9">
        <f t="shared" si="1"/>
        <v>47.15</v>
      </c>
      <c r="Z9">
        <f t="shared" si="2"/>
        <v>47.15</v>
      </c>
      <c r="AA9">
        <v>0</v>
      </c>
      <c r="AB9">
        <f t="shared" si="6"/>
        <v>1864.75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f t="shared" si="3"/>
        <v>0</v>
      </c>
      <c r="AJ9">
        <f t="shared" si="4"/>
        <v>0</v>
      </c>
      <c r="AK9">
        <v>0</v>
      </c>
      <c r="AL9">
        <f t="shared" si="7"/>
        <v>331.95</v>
      </c>
      <c r="AM9">
        <v>22</v>
      </c>
      <c r="AN9">
        <v>5</v>
      </c>
      <c r="AO9" t="s">
        <v>41</v>
      </c>
      <c r="AP9">
        <v>112</v>
      </c>
      <c r="AQ9">
        <v>29.8</v>
      </c>
      <c r="AR9" t="s">
        <v>44</v>
      </c>
      <c r="AS9" t="s">
        <v>43</v>
      </c>
      <c r="AT9">
        <v>31</v>
      </c>
      <c r="AU9" s="12">
        <v>0</v>
      </c>
      <c r="AV9" s="12">
        <v>0</v>
      </c>
    </row>
    <row r="10" spans="1:48" x14ac:dyDescent="0.3">
      <c r="A10">
        <v>0</v>
      </c>
      <c r="B10">
        <v>0</v>
      </c>
      <c r="C10">
        <v>0</v>
      </c>
      <c r="D10">
        <v>2025</v>
      </c>
      <c r="E10">
        <v>5</v>
      </c>
      <c r="F10">
        <v>4</v>
      </c>
      <c r="G10" t="s">
        <v>45</v>
      </c>
      <c r="H10" t="s">
        <v>80</v>
      </c>
      <c r="I10" t="s">
        <v>92</v>
      </c>
      <c r="J10" t="s">
        <v>120</v>
      </c>
      <c r="K10" t="s">
        <v>39</v>
      </c>
      <c r="L10">
        <v>25</v>
      </c>
      <c r="M10" t="s">
        <v>54</v>
      </c>
      <c r="N10" t="s">
        <v>54</v>
      </c>
      <c r="O10" t="s">
        <v>47</v>
      </c>
      <c r="P10" t="s">
        <v>84</v>
      </c>
      <c r="Q10">
        <v>1</v>
      </c>
      <c r="R10">
        <f t="shared" si="5"/>
        <v>24</v>
      </c>
      <c r="S10">
        <f t="shared" si="0"/>
        <v>4.1666666666666664E-2</v>
      </c>
      <c r="T10" t="s">
        <v>53</v>
      </c>
      <c r="U10">
        <v>45.85</v>
      </c>
      <c r="V10">
        <v>3.9</v>
      </c>
      <c r="W10">
        <v>0</v>
      </c>
      <c r="X10">
        <v>0</v>
      </c>
      <c r="Y10">
        <f t="shared" si="1"/>
        <v>49.75</v>
      </c>
      <c r="Z10">
        <f t="shared" si="2"/>
        <v>49.75</v>
      </c>
      <c r="AA10">
        <v>0</v>
      </c>
      <c r="AB10">
        <f t="shared" si="6"/>
        <v>1815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f t="shared" si="3"/>
        <v>0</v>
      </c>
      <c r="AJ10">
        <f t="shared" si="4"/>
        <v>0</v>
      </c>
      <c r="AK10">
        <v>0</v>
      </c>
      <c r="AL10">
        <f t="shared" si="7"/>
        <v>331.95</v>
      </c>
      <c r="AM10">
        <v>25</v>
      </c>
      <c r="AN10">
        <v>0.2</v>
      </c>
      <c r="AO10" t="s">
        <v>41</v>
      </c>
      <c r="AP10">
        <v>118</v>
      </c>
      <c r="AQ10">
        <v>40</v>
      </c>
      <c r="AR10" t="s">
        <v>44</v>
      </c>
      <c r="AS10" t="s">
        <v>43</v>
      </c>
      <c r="AT10">
        <v>31</v>
      </c>
      <c r="AU10" s="12">
        <v>0</v>
      </c>
      <c r="AV10" s="12">
        <v>0</v>
      </c>
    </row>
    <row r="11" spans="1:48" x14ac:dyDescent="0.3">
      <c r="A11">
        <v>0</v>
      </c>
      <c r="B11">
        <v>0</v>
      </c>
      <c r="C11">
        <v>0</v>
      </c>
      <c r="D11">
        <v>2025</v>
      </c>
      <c r="E11">
        <v>5</v>
      </c>
      <c r="F11">
        <v>4</v>
      </c>
      <c r="G11" t="s">
        <v>45</v>
      </c>
      <c r="H11" t="s">
        <v>80</v>
      </c>
      <c r="I11" t="s">
        <v>93</v>
      </c>
      <c r="J11" t="s">
        <v>120</v>
      </c>
      <c r="K11" t="s">
        <v>39</v>
      </c>
      <c r="L11">
        <v>24</v>
      </c>
      <c r="M11" t="s">
        <v>54</v>
      </c>
      <c r="N11" t="s">
        <v>54</v>
      </c>
      <c r="O11" t="s">
        <v>47</v>
      </c>
      <c r="P11" t="s">
        <v>84</v>
      </c>
      <c r="Q11">
        <v>375</v>
      </c>
      <c r="R11">
        <f t="shared" si="5"/>
        <v>24</v>
      </c>
      <c r="S11">
        <f t="shared" si="0"/>
        <v>15.625</v>
      </c>
      <c r="T11" t="s">
        <v>53</v>
      </c>
      <c r="U11">
        <v>43.25</v>
      </c>
      <c r="V11">
        <v>3.35</v>
      </c>
      <c r="W11">
        <v>0</v>
      </c>
      <c r="X11">
        <v>0</v>
      </c>
      <c r="Y11">
        <f t="shared" si="1"/>
        <v>46.6</v>
      </c>
      <c r="Z11">
        <f t="shared" si="2"/>
        <v>46.6</v>
      </c>
      <c r="AA11">
        <v>0</v>
      </c>
      <c r="AB11">
        <f t="shared" si="6"/>
        <v>1768.4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f t="shared" si="3"/>
        <v>0</v>
      </c>
      <c r="AJ11">
        <f t="shared" si="4"/>
        <v>0</v>
      </c>
      <c r="AK11">
        <v>0</v>
      </c>
      <c r="AL11">
        <f t="shared" si="7"/>
        <v>331.95</v>
      </c>
      <c r="AM11">
        <v>27</v>
      </c>
      <c r="AN11">
        <v>36.4</v>
      </c>
      <c r="AO11" t="s">
        <v>41</v>
      </c>
      <c r="AP11">
        <v>124</v>
      </c>
      <c r="AQ11">
        <v>56.6</v>
      </c>
      <c r="AR11" t="s">
        <v>44</v>
      </c>
      <c r="AS11" t="s">
        <v>43</v>
      </c>
      <c r="AT11">
        <v>31</v>
      </c>
      <c r="AU11" s="12">
        <v>0</v>
      </c>
      <c r="AV11" s="12">
        <v>0</v>
      </c>
    </row>
    <row r="12" spans="1:48" x14ac:dyDescent="0.3">
      <c r="A12">
        <v>0</v>
      </c>
      <c r="B12">
        <v>0</v>
      </c>
      <c r="C12">
        <v>0</v>
      </c>
      <c r="D12">
        <v>2025</v>
      </c>
      <c r="E12">
        <v>5</v>
      </c>
      <c r="F12">
        <v>4</v>
      </c>
      <c r="G12" t="s">
        <v>45</v>
      </c>
      <c r="H12" t="s">
        <v>80</v>
      </c>
      <c r="I12" t="s">
        <v>94</v>
      </c>
      <c r="J12" t="s">
        <v>120</v>
      </c>
      <c r="K12" t="s">
        <v>39</v>
      </c>
      <c r="L12">
        <v>24</v>
      </c>
      <c r="M12" t="s">
        <v>54</v>
      </c>
      <c r="N12" t="s">
        <v>54</v>
      </c>
      <c r="O12" t="s">
        <v>47</v>
      </c>
      <c r="P12" t="s">
        <v>84</v>
      </c>
      <c r="Q12">
        <v>377</v>
      </c>
      <c r="R12">
        <f t="shared" si="5"/>
        <v>24</v>
      </c>
      <c r="S12">
        <f t="shared" si="0"/>
        <v>15.708333333333334</v>
      </c>
      <c r="T12" t="s">
        <v>65</v>
      </c>
      <c r="U12">
        <v>45.4</v>
      </c>
      <c r="V12">
        <v>3.55</v>
      </c>
      <c r="W12">
        <v>0</v>
      </c>
      <c r="X12">
        <v>0</v>
      </c>
      <c r="Y12">
        <f t="shared" si="1"/>
        <v>48.949999999999996</v>
      </c>
      <c r="Z12">
        <f t="shared" si="2"/>
        <v>48.949999999999996</v>
      </c>
      <c r="AA12">
        <v>0</v>
      </c>
      <c r="AB12">
        <f t="shared" si="6"/>
        <v>1719.45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f t="shared" si="3"/>
        <v>0</v>
      </c>
      <c r="AJ12">
        <f t="shared" si="4"/>
        <v>0</v>
      </c>
      <c r="AK12">
        <v>0</v>
      </c>
      <c r="AL12">
        <f t="shared" si="7"/>
        <v>331.95</v>
      </c>
      <c r="AM12">
        <v>29</v>
      </c>
      <c r="AN12">
        <v>56.4</v>
      </c>
      <c r="AO12" t="s">
        <v>41</v>
      </c>
      <c r="AP12">
        <v>131</v>
      </c>
      <c r="AQ12">
        <v>38</v>
      </c>
      <c r="AR12" t="s">
        <v>44</v>
      </c>
      <c r="AS12" t="s">
        <v>43</v>
      </c>
      <c r="AT12">
        <v>31</v>
      </c>
      <c r="AU12" s="12">
        <v>0</v>
      </c>
      <c r="AV12" s="12">
        <v>0</v>
      </c>
    </row>
    <row r="13" spans="1:48" x14ac:dyDescent="0.3">
      <c r="A13">
        <v>0</v>
      </c>
      <c r="B13">
        <v>0</v>
      </c>
      <c r="C13">
        <v>0</v>
      </c>
      <c r="D13">
        <v>2025</v>
      </c>
      <c r="E13">
        <v>5</v>
      </c>
      <c r="F13">
        <v>4</v>
      </c>
      <c r="G13" t="s">
        <v>45</v>
      </c>
      <c r="H13" t="s">
        <v>80</v>
      </c>
      <c r="I13" t="s">
        <v>95</v>
      </c>
      <c r="J13" t="s">
        <v>120</v>
      </c>
      <c r="K13" t="s">
        <v>39</v>
      </c>
      <c r="L13">
        <v>24</v>
      </c>
      <c r="M13" t="s">
        <v>54</v>
      </c>
      <c r="N13" t="s">
        <v>54</v>
      </c>
      <c r="O13" t="s">
        <v>47</v>
      </c>
      <c r="P13" t="s">
        <v>84</v>
      </c>
      <c r="Q13">
        <v>363</v>
      </c>
      <c r="R13">
        <f t="shared" si="5"/>
        <v>24</v>
      </c>
      <c r="S13">
        <f t="shared" si="0"/>
        <v>15.125</v>
      </c>
      <c r="T13" t="s">
        <v>53</v>
      </c>
      <c r="U13">
        <v>43.65</v>
      </c>
      <c r="V13">
        <v>3.55</v>
      </c>
      <c r="W13">
        <v>0</v>
      </c>
      <c r="X13">
        <v>0</v>
      </c>
      <c r="Y13">
        <f t="shared" si="1"/>
        <v>47.199999999999996</v>
      </c>
      <c r="Z13">
        <f t="shared" si="2"/>
        <v>47.199999999999996</v>
      </c>
      <c r="AA13">
        <v>0</v>
      </c>
      <c r="AB13">
        <f t="shared" si="6"/>
        <v>1672.25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f t="shared" si="3"/>
        <v>0</v>
      </c>
      <c r="AJ13">
        <f t="shared" si="4"/>
        <v>0</v>
      </c>
      <c r="AK13">
        <v>0</v>
      </c>
      <c r="AL13">
        <f t="shared" si="7"/>
        <v>331.95</v>
      </c>
      <c r="AM13">
        <v>29</v>
      </c>
      <c r="AN13">
        <v>13</v>
      </c>
      <c r="AO13" t="s">
        <v>41</v>
      </c>
      <c r="AP13">
        <v>138</v>
      </c>
      <c r="AQ13">
        <v>18.399999999999999</v>
      </c>
      <c r="AR13" t="s">
        <v>44</v>
      </c>
      <c r="AS13" t="s">
        <v>43</v>
      </c>
      <c r="AT13">
        <v>31</v>
      </c>
      <c r="AU13" s="12">
        <v>0</v>
      </c>
      <c r="AV13" s="12">
        <v>0</v>
      </c>
    </row>
    <row r="14" spans="1:48" x14ac:dyDescent="0.3">
      <c r="A14">
        <v>0</v>
      </c>
      <c r="B14">
        <v>0</v>
      </c>
      <c r="C14">
        <v>0</v>
      </c>
      <c r="D14">
        <v>2025</v>
      </c>
      <c r="E14">
        <v>5</v>
      </c>
      <c r="F14">
        <v>4</v>
      </c>
      <c r="G14" t="s">
        <v>45</v>
      </c>
      <c r="H14" t="s">
        <v>80</v>
      </c>
      <c r="I14" t="s">
        <v>96</v>
      </c>
      <c r="J14" t="s">
        <v>120</v>
      </c>
      <c r="K14" t="s">
        <v>39</v>
      </c>
      <c r="L14">
        <v>25</v>
      </c>
      <c r="M14" t="s">
        <v>54</v>
      </c>
      <c r="N14" t="s">
        <v>54</v>
      </c>
      <c r="O14" t="s">
        <v>47</v>
      </c>
      <c r="P14" t="s">
        <v>84</v>
      </c>
      <c r="Q14">
        <v>389</v>
      </c>
      <c r="R14">
        <f t="shared" si="5"/>
        <v>24</v>
      </c>
      <c r="S14">
        <f t="shared" si="0"/>
        <v>16.208333333333332</v>
      </c>
      <c r="T14" t="s">
        <v>58</v>
      </c>
      <c r="U14">
        <v>43.55</v>
      </c>
      <c r="V14">
        <v>3.7</v>
      </c>
      <c r="W14">
        <v>0</v>
      </c>
      <c r="X14">
        <v>0</v>
      </c>
      <c r="Y14">
        <f t="shared" si="1"/>
        <v>47.25</v>
      </c>
      <c r="Z14">
        <f t="shared" si="2"/>
        <v>47.25</v>
      </c>
      <c r="AA14">
        <v>0</v>
      </c>
      <c r="AB14">
        <f t="shared" si="6"/>
        <v>1625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f t="shared" si="3"/>
        <v>0</v>
      </c>
      <c r="AJ14">
        <f t="shared" si="4"/>
        <v>0</v>
      </c>
      <c r="AK14">
        <v>0</v>
      </c>
      <c r="AL14">
        <f t="shared" si="7"/>
        <v>331.95</v>
      </c>
      <c r="AM14">
        <v>30</v>
      </c>
      <c r="AN14">
        <v>8.6999999999999993</v>
      </c>
      <c r="AO14" t="s">
        <v>41</v>
      </c>
      <c r="AP14">
        <v>145</v>
      </c>
      <c r="AQ14">
        <v>34.9</v>
      </c>
      <c r="AR14" t="s">
        <v>44</v>
      </c>
      <c r="AS14" t="s">
        <v>43</v>
      </c>
      <c r="AT14">
        <v>31</v>
      </c>
      <c r="AU14" s="12">
        <v>0</v>
      </c>
      <c r="AV14" s="12">
        <v>0</v>
      </c>
    </row>
    <row r="15" spans="1:48" x14ac:dyDescent="0.3">
      <c r="A15">
        <v>0</v>
      </c>
      <c r="B15">
        <v>0</v>
      </c>
      <c r="C15">
        <v>0</v>
      </c>
      <c r="D15">
        <v>2025</v>
      </c>
      <c r="E15">
        <v>5</v>
      </c>
      <c r="F15">
        <v>4</v>
      </c>
      <c r="G15" t="s">
        <v>45</v>
      </c>
      <c r="H15" t="s">
        <v>80</v>
      </c>
      <c r="I15" t="s">
        <v>97</v>
      </c>
      <c r="J15" t="s">
        <v>120</v>
      </c>
      <c r="K15" t="s">
        <v>39</v>
      </c>
      <c r="L15">
        <v>25</v>
      </c>
      <c r="M15" t="s">
        <v>54</v>
      </c>
      <c r="N15" t="s">
        <v>54</v>
      </c>
      <c r="O15" t="s">
        <v>47</v>
      </c>
      <c r="P15" t="s">
        <v>98</v>
      </c>
      <c r="Q15">
        <v>325</v>
      </c>
      <c r="R15">
        <f t="shared" si="5"/>
        <v>24</v>
      </c>
      <c r="S15">
        <f t="shared" si="0"/>
        <v>13.541666666666666</v>
      </c>
      <c r="T15" t="s">
        <v>99</v>
      </c>
      <c r="U15">
        <v>42.3</v>
      </c>
      <c r="V15">
        <v>3.6</v>
      </c>
      <c r="W15">
        <v>0</v>
      </c>
      <c r="X15">
        <v>0</v>
      </c>
      <c r="Y15">
        <f t="shared" si="1"/>
        <v>45.9</v>
      </c>
      <c r="Z15">
        <f t="shared" si="2"/>
        <v>45.9</v>
      </c>
      <c r="AA15">
        <v>0</v>
      </c>
      <c r="AB15">
        <f t="shared" si="6"/>
        <v>1579.1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f t="shared" si="3"/>
        <v>0</v>
      </c>
      <c r="AJ15">
        <f t="shared" si="4"/>
        <v>0</v>
      </c>
      <c r="AK15">
        <v>0</v>
      </c>
      <c r="AL15">
        <f t="shared" si="7"/>
        <v>331.95</v>
      </c>
      <c r="AM15">
        <v>32</v>
      </c>
      <c r="AN15">
        <v>56.6</v>
      </c>
      <c r="AO15" t="s">
        <v>41</v>
      </c>
      <c r="AP15">
        <v>150</v>
      </c>
      <c r="AQ15">
        <v>55.4</v>
      </c>
      <c r="AR15" t="s">
        <v>44</v>
      </c>
      <c r="AS15" t="s">
        <v>43</v>
      </c>
      <c r="AT15">
        <v>31</v>
      </c>
      <c r="AU15" s="12">
        <v>0</v>
      </c>
      <c r="AV15" s="12">
        <v>0</v>
      </c>
    </row>
    <row r="16" spans="1:48" x14ac:dyDescent="0.3">
      <c r="A16">
        <v>0</v>
      </c>
      <c r="B16">
        <v>0</v>
      </c>
      <c r="C16">
        <v>0</v>
      </c>
      <c r="D16">
        <v>2025</v>
      </c>
      <c r="E16">
        <v>5</v>
      </c>
      <c r="F16">
        <v>4</v>
      </c>
      <c r="G16" t="s">
        <v>45</v>
      </c>
      <c r="H16" t="s">
        <v>80</v>
      </c>
      <c r="I16" t="s">
        <v>100</v>
      </c>
      <c r="J16" t="s">
        <v>120</v>
      </c>
      <c r="K16" t="s">
        <v>39</v>
      </c>
      <c r="L16">
        <v>25</v>
      </c>
      <c r="M16" t="s">
        <v>54</v>
      </c>
      <c r="N16" t="s">
        <v>54</v>
      </c>
      <c r="O16" t="s">
        <v>47</v>
      </c>
      <c r="P16" t="s">
        <v>101</v>
      </c>
      <c r="Q16">
        <v>329</v>
      </c>
      <c r="R16">
        <f t="shared" si="5"/>
        <v>24</v>
      </c>
      <c r="S16">
        <f t="shared" si="0"/>
        <v>13.708333333333334</v>
      </c>
      <c r="T16" t="s">
        <v>71</v>
      </c>
      <c r="U16">
        <v>45.35</v>
      </c>
      <c r="V16">
        <v>3.6</v>
      </c>
      <c r="W16">
        <v>0</v>
      </c>
      <c r="X16">
        <v>0</v>
      </c>
      <c r="Y16">
        <f t="shared" si="1"/>
        <v>48.95</v>
      </c>
      <c r="Z16">
        <f t="shared" si="2"/>
        <v>48.95000000000001</v>
      </c>
      <c r="AA16">
        <v>0</v>
      </c>
      <c r="AB16">
        <f t="shared" si="6"/>
        <v>1530.1499999999999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f t="shared" si="3"/>
        <v>0</v>
      </c>
      <c r="AJ16">
        <f t="shared" si="4"/>
        <v>0</v>
      </c>
      <c r="AK16">
        <v>0</v>
      </c>
      <c r="AL16">
        <f t="shared" si="7"/>
        <v>331.95</v>
      </c>
      <c r="AM16">
        <v>35</v>
      </c>
      <c r="AN16">
        <v>59.7</v>
      </c>
      <c r="AO16" t="s">
        <v>41</v>
      </c>
      <c r="AP16">
        <v>156</v>
      </c>
      <c r="AQ16">
        <v>23.6</v>
      </c>
      <c r="AR16" t="s">
        <v>44</v>
      </c>
      <c r="AS16" t="s">
        <v>43</v>
      </c>
      <c r="AT16">
        <v>31</v>
      </c>
      <c r="AU16" s="12">
        <v>0</v>
      </c>
      <c r="AV16" s="12">
        <v>0</v>
      </c>
    </row>
    <row r="17" spans="1:48" x14ac:dyDescent="0.3">
      <c r="A17">
        <v>0</v>
      </c>
      <c r="B17">
        <v>0</v>
      </c>
      <c r="C17">
        <v>0</v>
      </c>
      <c r="D17">
        <v>2025</v>
      </c>
      <c r="E17">
        <v>5</v>
      </c>
      <c r="F17">
        <v>4</v>
      </c>
      <c r="G17" t="s">
        <v>45</v>
      </c>
      <c r="H17" t="s">
        <v>80</v>
      </c>
      <c r="I17" t="s">
        <v>102</v>
      </c>
      <c r="J17" t="s">
        <v>120</v>
      </c>
      <c r="K17" t="s">
        <v>39</v>
      </c>
      <c r="L17">
        <v>24</v>
      </c>
      <c r="M17" t="s">
        <v>54</v>
      </c>
      <c r="N17" t="s">
        <v>54</v>
      </c>
      <c r="O17" t="s">
        <v>47</v>
      </c>
      <c r="P17" t="s">
        <v>84</v>
      </c>
      <c r="Q17">
        <v>306</v>
      </c>
      <c r="R17">
        <f t="shared" si="5"/>
        <v>24</v>
      </c>
      <c r="S17">
        <f t="shared" si="0"/>
        <v>12.75</v>
      </c>
      <c r="T17" t="s">
        <v>60</v>
      </c>
      <c r="U17">
        <v>43.7</v>
      </c>
      <c r="V17">
        <v>7.45</v>
      </c>
      <c r="W17">
        <v>0</v>
      </c>
      <c r="X17">
        <v>0</v>
      </c>
      <c r="Y17">
        <f t="shared" si="1"/>
        <v>51.150000000000006</v>
      </c>
      <c r="Z17">
        <f t="shared" si="2"/>
        <v>51.150000000000006</v>
      </c>
      <c r="AA17">
        <v>0</v>
      </c>
      <c r="AB17">
        <f t="shared" si="6"/>
        <v>1478.9999999999998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f t="shared" si="3"/>
        <v>0</v>
      </c>
      <c r="AJ17">
        <f t="shared" si="4"/>
        <v>0</v>
      </c>
      <c r="AK17">
        <v>0</v>
      </c>
      <c r="AL17">
        <f t="shared" si="7"/>
        <v>331.95</v>
      </c>
      <c r="AM17">
        <v>37</v>
      </c>
      <c r="AN17">
        <v>36.799999999999997</v>
      </c>
      <c r="AO17" t="s">
        <v>41</v>
      </c>
      <c r="AP17">
        <v>162</v>
      </c>
      <c r="AQ17">
        <v>8.5</v>
      </c>
      <c r="AR17" t="s">
        <v>44</v>
      </c>
      <c r="AS17" t="s">
        <v>43</v>
      </c>
      <c r="AT17">
        <v>31</v>
      </c>
      <c r="AU17" s="12">
        <v>0</v>
      </c>
      <c r="AV17" s="12">
        <v>0</v>
      </c>
    </row>
    <row r="18" spans="1:48" x14ac:dyDescent="0.3">
      <c r="A18">
        <v>0</v>
      </c>
      <c r="B18">
        <v>0</v>
      </c>
      <c r="C18">
        <v>0</v>
      </c>
      <c r="D18">
        <v>2025</v>
      </c>
      <c r="E18">
        <v>5</v>
      </c>
      <c r="F18">
        <v>4</v>
      </c>
      <c r="G18" t="s">
        <v>45</v>
      </c>
      <c r="H18" t="s">
        <v>80</v>
      </c>
      <c r="I18" t="s">
        <v>103</v>
      </c>
      <c r="J18" t="s">
        <v>120</v>
      </c>
      <c r="K18" t="s">
        <v>39</v>
      </c>
      <c r="L18">
        <v>25</v>
      </c>
      <c r="M18" t="s">
        <v>54</v>
      </c>
      <c r="N18" t="s">
        <v>54</v>
      </c>
      <c r="O18" t="s">
        <v>47</v>
      </c>
      <c r="P18" t="s">
        <v>104</v>
      </c>
      <c r="Q18">
        <v>311</v>
      </c>
      <c r="R18">
        <f t="shared" si="5"/>
        <v>24</v>
      </c>
      <c r="S18">
        <f t="shared" si="0"/>
        <v>12.958333333333334</v>
      </c>
      <c r="T18" t="s">
        <v>66</v>
      </c>
      <c r="U18">
        <v>44.6</v>
      </c>
      <c r="V18">
        <v>7.9</v>
      </c>
      <c r="W18">
        <v>0</v>
      </c>
      <c r="X18">
        <v>0</v>
      </c>
      <c r="Y18">
        <f t="shared" si="1"/>
        <v>52.5</v>
      </c>
      <c r="Z18">
        <f t="shared" si="2"/>
        <v>52.5</v>
      </c>
      <c r="AA18">
        <v>0</v>
      </c>
      <c r="AB18">
        <f t="shared" si="6"/>
        <v>1426.4999999999998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f t="shared" si="3"/>
        <v>0</v>
      </c>
      <c r="AJ18">
        <f t="shared" si="4"/>
        <v>0</v>
      </c>
      <c r="AK18">
        <v>0</v>
      </c>
      <c r="AL18">
        <f t="shared" si="7"/>
        <v>331.95</v>
      </c>
      <c r="AM18">
        <v>36</v>
      </c>
      <c r="AN18">
        <v>42.4</v>
      </c>
      <c r="AO18" t="s">
        <v>41</v>
      </c>
      <c r="AP18">
        <v>168</v>
      </c>
      <c r="AQ18">
        <v>17.399999999999999</v>
      </c>
      <c r="AR18" t="s">
        <v>44</v>
      </c>
      <c r="AS18" t="s">
        <v>43</v>
      </c>
      <c r="AT18">
        <v>31</v>
      </c>
      <c r="AU18" s="12">
        <v>0</v>
      </c>
      <c r="AV18" s="12">
        <v>0</v>
      </c>
    </row>
    <row r="19" spans="1:48" x14ac:dyDescent="0.3">
      <c r="A19">
        <v>0</v>
      </c>
      <c r="B19">
        <v>0</v>
      </c>
      <c r="C19">
        <v>0</v>
      </c>
      <c r="D19">
        <v>2025</v>
      </c>
      <c r="E19">
        <v>5</v>
      </c>
      <c r="F19">
        <v>4</v>
      </c>
      <c r="G19" t="s">
        <v>45</v>
      </c>
      <c r="H19" t="s">
        <v>80</v>
      </c>
      <c r="I19" t="s">
        <v>105</v>
      </c>
      <c r="J19" t="s">
        <v>120</v>
      </c>
      <c r="K19" t="s">
        <v>39</v>
      </c>
      <c r="L19">
        <v>24</v>
      </c>
      <c r="M19" t="s">
        <v>54</v>
      </c>
      <c r="N19" t="s">
        <v>54</v>
      </c>
      <c r="O19" t="s">
        <v>47</v>
      </c>
      <c r="P19" t="s">
        <v>104</v>
      </c>
      <c r="Q19">
        <v>283</v>
      </c>
      <c r="R19">
        <f t="shared" si="5"/>
        <v>24</v>
      </c>
      <c r="S19">
        <f t="shared" si="0"/>
        <v>11.791666666666666</v>
      </c>
      <c r="T19" t="s">
        <v>68</v>
      </c>
      <c r="U19">
        <v>41.8</v>
      </c>
      <c r="V19">
        <v>7.8</v>
      </c>
      <c r="W19">
        <v>0</v>
      </c>
      <c r="X19">
        <v>0</v>
      </c>
      <c r="Y19">
        <f t="shared" si="1"/>
        <v>49.599999999999994</v>
      </c>
      <c r="Z19">
        <f t="shared" si="2"/>
        <v>49.599999999999994</v>
      </c>
      <c r="AA19">
        <v>0</v>
      </c>
      <c r="AB19">
        <f t="shared" si="6"/>
        <v>1376.8999999999999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f t="shared" si="3"/>
        <v>0</v>
      </c>
      <c r="AJ19">
        <f t="shared" si="4"/>
        <v>0</v>
      </c>
      <c r="AK19">
        <v>0</v>
      </c>
      <c r="AL19">
        <f t="shared" si="7"/>
        <v>331.95</v>
      </c>
      <c r="AM19">
        <v>2332</v>
      </c>
      <c r="AN19">
        <v>31.8</v>
      </c>
      <c r="AO19" t="s">
        <v>41</v>
      </c>
      <c r="AP19">
        <v>173</v>
      </c>
      <c r="AQ19">
        <v>10.4</v>
      </c>
      <c r="AR19" t="s">
        <v>44</v>
      </c>
      <c r="AS19" t="s">
        <v>43</v>
      </c>
      <c r="AT19">
        <v>31</v>
      </c>
      <c r="AU19" s="12">
        <v>0</v>
      </c>
      <c r="AV19" s="12">
        <v>0</v>
      </c>
    </row>
    <row r="20" spans="1:48" ht="15" customHeight="1" x14ac:dyDescent="0.3">
      <c r="A20">
        <v>0</v>
      </c>
      <c r="B20">
        <v>0</v>
      </c>
      <c r="C20">
        <v>0</v>
      </c>
      <c r="D20">
        <v>2025</v>
      </c>
      <c r="E20">
        <v>5</v>
      </c>
      <c r="F20">
        <v>4</v>
      </c>
      <c r="G20" t="s">
        <v>45</v>
      </c>
      <c r="H20" t="s">
        <v>80</v>
      </c>
      <c r="I20" t="s">
        <v>106</v>
      </c>
      <c r="J20" t="s">
        <v>120</v>
      </c>
      <c r="K20" t="s">
        <v>39</v>
      </c>
      <c r="L20">
        <v>24</v>
      </c>
      <c r="M20" t="s">
        <v>54</v>
      </c>
      <c r="N20" t="s">
        <v>54</v>
      </c>
      <c r="O20" t="s">
        <v>47</v>
      </c>
      <c r="P20" t="s">
        <v>104</v>
      </c>
      <c r="Q20">
        <v>2</v>
      </c>
      <c r="R20">
        <f t="shared" si="5"/>
        <v>24</v>
      </c>
      <c r="S20">
        <f t="shared" si="0"/>
        <v>8.3333333333333329E-2</v>
      </c>
      <c r="T20" t="s">
        <v>63</v>
      </c>
      <c r="U20">
        <v>42.4</v>
      </c>
      <c r="V20">
        <v>4.75</v>
      </c>
      <c r="W20">
        <v>0</v>
      </c>
      <c r="X20">
        <v>0</v>
      </c>
      <c r="Y20">
        <f t="shared" si="1"/>
        <v>47.15</v>
      </c>
      <c r="Z20">
        <f t="shared" si="2"/>
        <v>47.15</v>
      </c>
      <c r="AA20">
        <v>0</v>
      </c>
      <c r="AB20">
        <f t="shared" si="6"/>
        <v>1329.7499999999998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f t="shared" si="3"/>
        <v>0</v>
      </c>
      <c r="AJ20">
        <f t="shared" si="4"/>
        <v>0</v>
      </c>
      <c r="AK20">
        <v>0</v>
      </c>
      <c r="AL20">
        <f t="shared" si="7"/>
        <v>331.95</v>
      </c>
      <c r="AM20">
        <v>30</v>
      </c>
      <c r="AN20">
        <v>11.2</v>
      </c>
      <c r="AO20" t="s">
        <v>41</v>
      </c>
      <c r="AP20">
        <v>177</v>
      </c>
      <c r="AQ20">
        <v>13.5</v>
      </c>
      <c r="AR20" t="s">
        <v>44</v>
      </c>
      <c r="AS20" t="s">
        <v>43</v>
      </c>
      <c r="AT20">
        <v>31</v>
      </c>
      <c r="AU20" s="12">
        <v>0</v>
      </c>
      <c r="AV20" s="12">
        <v>0</v>
      </c>
    </row>
    <row r="21" spans="1:48" x14ac:dyDescent="0.3">
      <c r="A21">
        <v>0</v>
      </c>
      <c r="B21">
        <v>0</v>
      </c>
      <c r="C21">
        <v>0</v>
      </c>
      <c r="D21">
        <v>2025</v>
      </c>
      <c r="E21">
        <v>5</v>
      </c>
      <c r="F21">
        <v>4</v>
      </c>
      <c r="G21" t="s">
        <v>45</v>
      </c>
      <c r="H21" t="s">
        <v>80</v>
      </c>
      <c r="I21" t="s">
        <v>107</v>
      </c>
      <c r="J21" t="s">
        <v>120</v>
      </c>
      <c r="K21" t="s">
        <v>39</v>
      </c>
      <c r="L21">
        <v>25</v>
      </c>
      <c r="M21" t="s">
        <v>54</v>
      </c>
      <c r="N21" t="s">
        <v>54</v>
      </c>
      <c r="O21" t="s">
        <v>47</v>
      </c>
      <c r="P21" t="s">
        <v>104</v>
      </c>
      <c r="Q21">
        <v>368</v>
      </c>
      <c r="R21">
        <f t="shared" si="5"/>
        <v>24</v>
      </c>
      <c r="S21">
        <f t="shared" si="0"/>
        <v>15.333333333333334</v>
      </c>
      <c r="T21" t="s">
        <v>64</v>
      </c>
      <c r="U21">
        <v>44.6</v>
      </c>
      <c r="V21">
        <v>3.45</v>
      </c>
      <c r="W21">
        <v>0</v>
      </c>
      <c r="X21">
        <v>0</v>
      </c>
      <c r="Y21">
        <f t="shared" si="1"/>
        <v>48.050000000000004</v>
      </c>
      <c r="Z21">
        <f t="shared" si="2"/>
        <v>48.050000000000004</v>
      </c>
      <c r="AA21">
        <v>0</v>
      </c>
      <c r="AB21">
        <f t="shared" si="6"/>
        <v>1281.6999999999998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f t="shared" si="3"/>
        <v>0</v>
      </c>
      <c r="AJ21">
        <f t="shared" si="4"/>
        <v>0</v>
      </c>
      <c r="AK21">
        <v>0</v>
      </c>
      <c r="AL21">
        <f t="shared" si="7"/>
        <v>331.95</v>
      </c>
      <c r="AM21">
        <v>28</v>
      </c>
      <c r="AN21">
        <v>16.5</v>
      </c>
      <c r="AO21" t="s">
        <v>41</v>
      </c>
      <c r="AP21">
        <v>176</v>
      </c>
      <c r="AQ21">
        <v>11.6</v>
      </c>
      <c r="AR21" t="s">
        <v>42</v>
      </c>
      <c r="AS21" t="s">
        <v>43</v>
      </c>
      <c r="AT21">
        <v>31</v>
      </c>
      <c r="AU21" s="12">
        <v>0</v>
      </c>
      <c r="AV21" s="12">
        <v>0</v>
      </c>
    </row>
    <row r="22" spans="1:48" x14ac:dyDescent="0.3">
      <c r="A22">
        <v>0</v>
      </c>
      <c r="B22">
        <v>0</v>
      </c>
      <c r="C22">
        <v>0</v>
      </c>
      <c r="D22">
        <v>2025</v>
      </c>
      <c r="E22">
        <v>5</v>
      </c>
      <c r="F22">
        <v>4</v>
      </c>
      <c r="G22" t="s">
        <v>45</v>
      </c>
      <c r="H22" t="s">
        <v>80</v>
      </c>
      <c r="I22" t="s">
        <v>108</v>
      </c>
      <c r="J22" t="s">
        <v>120</v>
      </c>
      <c r="K22" t="s">
        <v>39</v>
      </c>
      <c r="L22">
        <v>24</v>
      </c>
      <c r="M22" t="s">
        <v>54</v>
      </c>
      <c r="N22" t="s">
        <v>54</v>
      </c>
      <c r="O22" t="s">
        <v>47</v>
      </c>
      <c r="P22" t="s">
        <v>104</v>
      </c>
      <c r="Q22">
        <v>364</v>
      </c>
      <c r="R22">
        <f t="shared" si="5"/>
        <v>24</v>
      </c>
      <c r="S22">
        <f t="shared" si="0"/>
        <v>15.166666666666666</v>
      </c>
      <c r="T22" t="s">
        <v>48</v>
      </c>
      <c r="U22">
        <v>41.4</v>
      </c>
      <c r="V22">
        <v>3.3</v>
      </c>
      <c r="W22">
        <v>0</v>
      </c>
      <c r="X22">
        <v>0</v>
      </c>
      <c r="Y22">
        <f t="shared" si="1"/>
        <v>44.699999999999996</v>
      </c>
      <c r="Z22">
        <f t="shared" si="2"/>
        <v>44.699999999999996</v>
      </c>
      <c r="AA22">
        <v>0</v>
      </c>
      <c r="AB22">
        <f t="shared" si="6"/>
        <v>1236.9999999999998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f t="shared" si="3"/>
        <v>0</v>
      </c>
      <c r="AJ22">
        <f t="shared" si="4"/>
        <v>0</v>
      </c>
      <c r="AK22">
        <v>0</v>
      </c>
      <c r="AL22">
        <f t="shared" si="7"/>
        <v>331.95</v>
      </c>
      <c r="AM22">
        <v>26</v>
      </c>
      <c r="AN22">
        <v>9.8000000000000007</v>
      </c>
      <c r="AO22" t="s">
        <v>41</v>
      </c>
      <c r="AP22">
        <v>169</v>
      </c>
      <c r="AQ22">
        <v>52.5</v>
      </c>
      <c r="AR22" t="s">
        <v>42</v>
      </c>
      <c r="AS22" t="s">
        <v>43</v>
      </c>
      <c r="AT22">
        <v>31</v>
      </c>
      <c r="AU22" s="12">
        <v>0</v>
      </c>
      <c r="AV22" s="12">
        <v>0</v>
      </c>
    </row>
    <row r="23" spans="1:48" x14ac:dyDescent="0.3">
      <c r="A23">
        <v>0</v>
      </c>
      <c r="B23">
        <v>0</v>
      </c>
      <c r="C23">
        <v>0</v>
      </c>
      <c r="D23">
        <v>2025</v>
      </c>
      <c r="E23">
        <v>5</v>
      </c>
      <c r="F23">
        <v>4</v>
      </c>
      <c r="G23" t="s">
        <v>45</v>
      </c>
      <c r="H23" t="s">
        <v>80</v>
      </c>
      <c r="I23" t="s">
        <v>109</v>
      </c>
      <c r="J23" t="s">
        <v>120</v>
      </c>
      <c r="K23" t="s">
        <v>39</v>
      </c>
      <c r="L23">
        <v>24</v>
      </c>
      <c r="M23" t="s">
        <v>54</v>
      </c>
      <c r="N23" t="s">
        <v>54</v>
      </c>
      <c r="O23" t="s">
        <v>47</v>
      </c>
      <c r="P23" t="s">
        <v>110</v>
      </c>
      <c r="Q23">
        <v>384</v>
      </c>
      <c r="R23">
        <f t="shared" si="5"/>
        <v>48</v>
      </c>
      <c r="S23">
        <f t="shared" si="0"/>
        <v>8</v>
      </c>
      <c r="T23" t="s">
        <v>64</v>
      </c>
      <c r="U23">
        <v>44.4</v>
      </c>
      <c r="V23">
        <v>3.2</v>
      </c>
      <c r="W23">
        <v>0</v>
      </c>
      <c r="X23">
        <v>0</v>
      </c>
      <c r="Y23">
        <f t="shared" si="1"/>
        <v>47.6</v>
      </c>
      <c r="Z23">
        <f t="shared" si="2"/>
        <v>23.8</v>
      </c>
      <c r="AA23">
        <v>0</v>
      </c>
      <c r="AB23">
        <f t="shared" si="6"/>
        <v>1189.3999999999999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f t="shared" si="3"/>
        <v>0</v>
      </c>
      <c r="AJ23">
        <f t="shared" si="4"/>
        <v>0</v>
      </c>
      <c r="AK23">
        <v>0</v>
      </c>
      <c r="AL23">
        <f t="shared" si="7"/>
        <v>331.95</v>
      </c>
      <c r="AM23">
        <v>25</v>
      </c>
      <c r="AN23">
        <v>46.4</v>
      </c>
      <c r="AO23" t="s">
        <v>41</v>
      </c>
      <c r="AP23">
        <v>162</v>
      </c>
      <c r="AQ23">
        <v>50.9</v>
      </c>
      <c r="AR23" t="s">
        <v>42</v>
      </c>
      <c r="AS23" t="s">
        <v>43</v>
      </c>
      <c r="AT23">
        <v>31</v>
      </c>
      <c r="AU23" s="12">
        <v>0</v>
      </c>
      <c r="AV23" s="12">
        <v>0</v>
      </c>
    </row>
    <row r="24" spans="1:48" x14ac:dyDescent="0.3">
      <c r="A24">
        <v>0</v>
      </c>
      <c r="B24">
        <v>0</v>
      </c>
      <c r="C24">
        <v>0</v>
      </c>
      <c r="D24">
        <v>2025</v>
      </c>
      <c r="E24">
        <v>5</v>
      </c>
      <c r="F24">
        <v>4</v>
      </c>
      <c r="G24" t="s">
        <v>45</v>
      </c>
      <c r="H24" t="s">
        <v>80</v>
      </c>
      <c r="I24" t="s">
        <v>111</v>
      </c>
      <c r="J24" t="s">
        <v>120</v>
      </c>
      <c r="K24" t="s">
        <v>39</v>
      </c>
      <c r="L24">
        <v>24</v>
      </c>
      <c r="M24" t="s">
        <v>54</v>
      </c>
      <c r="N24" t="s">
        <v>54</v>
      </c>
      <c r="O24" t="s">
        <v>47</v>
      </c>
      <c r="P24" t="s">
        <v>112</v>
      </c>
      <c r="Q24">
        <v>311</v>
      </c>
      <c r="R24">
        <f t="shared" si="5"/>
        <v>24</v>
      </c>
      <c r="S24">
        <f t="shared" si="0"/>
        <v>12.958333333333334</v>
      </c>
      <c r="T24" t="s">
        <v>58</v>
      </c>
      <c r="U24">
        <v>42.05</v>
      </c>
      <c r="V24">
        <v>3.25</v>
      </c>
      <c r="W24">
        <v>0</v>
      </c>
      <c r="X24">
        <v>0</v>
      </c>
      <c r="Y24">
        <f t="shared" si="1"/>
        <v>45.3</v>
      </c>
      <c r="Z24">
        <f t="shared" si="2"/>
        <v>45.29999999999999</v>
      </c>
      <c r="AA24">
        <v>0</v>
      </c>
      <c r="AB24">
        <f t="shared" si="6"/>
        <v>1144.0999999999999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f t="shared" si="3"/>
        <v>0</v>
      </c>
      <c r="AJ24">
        <f t="shared" si="4"/>
        <v>0</v>
      </c>
      <c r="AK24">
        <v>0</v>
      </c>
      <c r="AL24">
        <f t="shared" si="7"/>
        <v>331.95</v>
      </c>
      <c r="AM24">
        <v>26</v>
      </c>
      <c r="AN24">
        <v>9.1</v>
      </c>
      <c r="AO24" t="s">
        <v>41</v>
      </c>
      <c r="AP24">
        <v>157</v>
      </c>
      <c r="AQ24">
        <v>13.9</v>
      </c>
      <c r="AR24" t="s">
        <v>42</v>
      </c>
      <c r="AS24" t="s">
        <v>43</v>
      </c>
      <c r="AT24">
        <v>31</v>
      </c>
      <c r="AU24" s="12">
        <v>0</v>
      </c>
      <c r="AV24" s="12">
        <v>0</v>
      </c>
    </row>
    <row r="25" spans="1:48" x14ac:dyDescent="0.3">
      <c r="A25">
        <v>0</v>
      </c>
      <c r="B25">
        <v>0</v>
      </c>
      <c r="C25">
        <v>0</v>
      </c>
      <c r="D25">
        <v>2025</v>
      </c>
      <c r="E25">
        <v>5</v>
      </c>
      <c r="F25">
        <v>4</v>
      </c>
      <c r="G25" t="s">
        <v>45</v>
      </c>
      <c r="H25" t="s">
        <v>80</v>
      </c>
      <c r="I25" t="s">
        <v>113</v>
      </c>
      <c r="J25" t="s">
        <v>120</v>
      </c>
      <c r="K25" t="s">
        <v>39</v>
      </c>
      <c r="L25">
        <v>25</v>
      </c>
      <c r="M25" t="s">
        <v>54</v>
      </c>
      <c r="N25" t="s">
        <v>54</v>
      </c>
      <c r="O25" t="s">
        <v>47</v>
      </c>
      <c r="P25" t="s">
        <v>104</v>
      </c>
      <c r="Q25">
        <v>386</v>
      </c>
      <c r="R25">
        <f t="shared" si="5"/>
        <v>24</v>
      </c>
      <c r="S25">
        <f t="shared" si="0"/>
        <v>16.083333333333332</v>
      </c>
      <c r="T25" t="s">
        <v>72</v>
      </c>
      <c r="U25">
        <v>45.35</v>
      </c>
      <c r="V25">
        <v>3.5</v>
      </c>
      <c r="W25">
        <v>0</v>
      </c>
      <c r="X25">
        <v>0</v>
      </c>
      <c r="Y25">
        <f t="shared" si="1"/>
        <v>48.85</v>
      </c>
      <c r="Z25">
        <f t="shared" si="2"/>
        <v>48.85</v>
      </c>
      <c r="AA25">
        <v>0</v>
      </c>
      <c r="AB25">
        <f t="shared" si="6"/>
        <v>1095.25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f t="shared" si="3"/>
        <v>0</v>
      </c>
      <c r="AJ25">
        <f t="shared" si="4"/>
        <v>0</v>
      </c>
      <c r="AK25">
        <v>0</v>
      </c>
      <c r="AL25">
        <f t="shared" si="7"/>
        <v>331.95</v>
      </c>
      <c r="AM25">
        <v>27</v>
      </c>
      <c r="AN25">
        <v>39.299999999999997</v>
      </c>
      <c r="AO25" t="s">
        <v>41</v>
      </c>
      <c r="AP25">
        <v>150</v>
      </c>
      <c r="AQ25">
        <v>17.3</v>
      </c>
      <c r="AR25" t="s">
        <v>42</v>
      </c>
      <c r="AS25" t="s">
        <v>43</v>
      </c>
      <c r="AT25">
        <v>31</v>
      </c>
      <c r="AU25" s="12">
        <v>0</v>
      </c>
      <c r="AV25" s="12">
        <v>0</v>
      </c>
    </row>
    <row r="26" spans="1:48" x14ac:dyDescent="0.3">
      <c r="A26">
        <v>0</v>
      </c>
      <c r="B26">
        <v>0</v>
      </c>
      <c r="C26">
        <v>0</v>
      </c>
      <c r="D26">
        <v>2025</v>
      </c>
      <c r="E26">
        <v>5</v>
      </c>
      <c r="F26">
        <v>4</v>
      </c>
      <c r="G26" t="s">
        <v>45</v>
      </c>
      <c r="H26" t="s">
        <v>80</v>
      </c>
      <c r="I26" t="s">
        <v>114</v>
      </c>
      <c r="J26" t="s">
        <v>120</v>
      </c>
      <c r="K26" t="s">
        <v>39</v>
      </c>
      <c r="L26">
        <v>25</v>
      </c>
      <c r="M26" t="s">
        <v>54</v>
      </c>
      <c r="N26" t="s">
        <v>54</v>
      </c>
      <c r="O26" t="s">
        <v>47</v>
      </c>
      <c r="P26" t="s">
        <v>104</v>
      </c>
      <c r="Q26">
        <v>3</v>
      </c>
      <c r="R26">
        <f t="shared" si="5"/>
        <v>24</v>
      </c>
      <c r="S26">
        <f t="shared" si="0"/>
        <v>0.125</v>
      </c>
      <c r="T26" t="s">
        <v>64</v>
      </c>
      <c r="U26">
        <v>45.45</v>
      </c>
      <c r="V26">
        <v>3.25</v>
      </c>
      <c r="W26">
        <v>0</v>
      </c>
      <c r="X26">
        <v>0</v>
      </c>
      <c r="Y26">
        <f t="shared" si="1"/>
        <v>48.7</v>
      </c>
      <c r="Z26">
        <f t="shared" si="2"/>
        <v>48.70000000000001</v>
      </c>
      <c r="AA26">
        <v>0</v>
      </c>
      <c r="AB26">
        <f t="shared" si="6"/>
        <v>1046.55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f t="shared" si="3"/>
        <v>0</v>
      </c>
      <c r="AJ26">
        <f t="shared" si="4"/>
        <v>0</v>
      </c>
      <c r="AK26">
        <v>0</v>
      </c>
      <c r="AL26">
        <f t="shared" si="7"/>
        <v>331.95</v>
      </c>
      <c r="AM26">
        <v>28</v>
      </c>
      <c r="AN26">
        <v>53.7</v>
      </c>
      <c r="AO26" t="s">
        <v>41</v>
      </c>
      <c r="AP26">
        <v>143</v>
      </c>
      <c r="AQ26">
        <v>9.8000000000000007</v>
      </c>
      <c r="AR26" t="s">
        <v>42</v>
      </c>
      <c r="AS26" t="s">
        <v>43</v>
      </c>
      <c r="AT26">
        <v>31</v>
      </c>
      <c r="AU26" s="12">
        <v>0</v>
      </c>
      <c r="AV26" s="12">
        <v>0</v>
      </c>
    </row>
    <row r="27" spans="1:48" x14ac:dyDescent="0.3">
      <c r="A27">
        <v>0</v>
      </c>
      <c r="B27">
        <v>0</v>
      </c>
      <c r="C27">
        <v>0</v>
      </c>
      <c r="D27">
        <v>2025</v>
      </c>
      <c r="E27">
        <v>5</v>
      </c>
      <c r="F27">
        <v>4</v>
      </c>
      <c r="G27" t="s">
        <v>45</v>
      </c>
      <c r="H27" t="s">
        <v>80</v>
      </c>
      <c r="I27" t="s">
        <v>115</v>
      </c>
      <c r="J27" t="s">
        <v>120</v>
      </c>
      <c r="K27" t="s">
        <v>39</v>
      </c>
      <c r="L27">
        <v>24</v>
      </c>
      <c r="M27" t="s">
        <v>54</v>
      </c>
      <c r="N27" t="s">
        <v>54</v>
      </c>
      <c r="O27" t="s">
        <v>47</v>
      </c>
      <c r="P27" t="s">
        <v>104</v>
      </c>
      <c r="Q27">
        <v>378</v>
      </c>
      <c r="R27">
        <f t="shared" si="5"/>
        <v>24</v>
      </c>
      <c r="S27">
        <f t="shared" si="0"/>
        <v>15.75</v>
      </c>
      <c r="T27" t="s">
        <v>48</v>
      </c>
      <c r="U27">
        <v>41.75</v>
      </c>
      <c r="V27">
        <v>3.1</v>
      </c>
      <c r="W27">
        <v>0</v>
      </c>
      <c r="X27">
        <v>0</v>
      </c>
      <c r="Y27">
        <f t="shared" si="1"/>
        <v>44.85</v>
      </c>
      <c r="Z27">
        <f t="shared" si="2"/>
        <v>44.85</v>
      </c>
      <c r="AA27">
        <v>0</v>
      </c>
      <c r="AB27">
        <f t="shared" si="6"/>
        <v>1001.6999999999999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f t="shared" si="3"/>
        <v>0</v>
      </c>
      <c r="AJ27">
        <f t="shared" si="4"/>
        <v>0</v>
      </c>
      <c r="AK27">
        <v>0</v>
      </c>
      <c r="AL27">
        <f t="shared" si="7"/>
        <v>331.95</v>
      </c>
      <c r="AM27">
        <v>30</v>
      </c>
      <c r="AN27">
        <v>3.6</v>
      </c>
      <c r="AO27" t="s">
        <v>41</v>
      </c>
      <c r="AP27">
        <v>136</v>
      </c>
      <c r="AQ27">
        <v>7.6</v>
      </c>
      <c r="AR27" t="s">
        <v>42</v>
      </c>
      <c r="AS27" t="s">
        <v>43</v>
      </c>
      <c r="AT27">
        <v>31</v>
      </c>
      <c r="AU27" s="12">
        <v>0</v>
      </c>
      <c r="AV27" s="12">
        <v>0</v>
      </c>
    </row>
    <row r="28" spans="1:48" x14ac:dyDescent="0.3">
      <c r="A28">
        <v>0</v>
      </c>
      <c r="B28">
        <v>0</v>
      </c>
      <c r="C28">
        <v>0</v>
      </c>
      <c r="D28">
        <v>2025</v>
      </c>
      <c r="E28">
        <v>5</v>
      </c>
      <c r="F28">
        <v>4</v>
      </c>
      <c r="G28" t="s">
        <v>45</v>
      </c>
      <c r="H28" t="s">
        <v>80</v>
      </c>
      <c r="I28" t="s">
        <v>116</v>
      </c>
      <c r="J28" t="s">
        <v>120</v>
      </c>
      <c r="K28" t="s">
        <v>39</v>
      </c>
      <c r="L28">
        <v>25</v>
      </c>
      <c r="M28" t="s">
        <v>54</v>
      </c>
      <c r="N28" t="s">
        <v>54</v>
      </c>
      <c r="O28" t="s">
        <v>47</v>
      </c>
      <c r="P28" t="s">
        <v>104</v>
      </c>
      <c r="Q28">
        <v>384</v>
      </c>
      <c r="R28">
        <f t="shared" si="5"/>
        <v>24</v>
      </c>
      <c r="S28">
        <f t="shared" si="0"/>
        <v>16</v>
      </c>
      <c r="T28" t="s">
        <v>64</v>
      </c>
      <c r="U28">
        <v>43.15</v>
      </c>
      <c r="V28">
        <v>3.3</v>
      </c>
      <c r="W28">
        <v>0</v>
      </c>
      <c r="X28">
        <v>0</v>
      </c>
      <c r="Y28">
        <f t="shared" si="1"/>
        <v>46.449999999999996</v>
      </c>
      <c r="Z28">
        <f t="shared" si="2"/>
        <v>46.449999999999996</v>
      </c>
      <c r="AA28">
        <v>0</v>
      </c>
      <c r="AB28">
        <f t="shared" si="6"/>
        <v>955.24999999999989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f t="shared" si="3"/>
        <v>0</v>
      </c>
      <c r="AJ28">
        <f t="shared" si="4"/>
        <v>0</v>
      </c>
      <c r="AK28">
        <v>0</v>
      </c>
      <c r="AL28">
        <f t="shared" si="7"/>
        <v>331.95</v>
      </c>
      <c r="AM28">
        <v>31</v>
      </c>
      <c r="AN28">
        <v>14.3</v>
      </c>
      <c r="AO28" t="s">
        <v>41</v>
      </c>
      <c r="AP28">
        <v>128</v>
      </c>
      <c r="AQ28">
        <v>55.1</v>
      </c>
      <c r="AR28" t="s">
        <v>42</v>
      </c>
      <c r="AS28" t="s">
        <v>43</v>
      </c>
      <c r="AT28">
        <v>31</v>
      </c>
      <c r="AU28" s="12">
        <v>0</v>
      </c>
      <c r="AV28" s="12">
        <v>0</v>
      </c>
    </row>
    <row r="29" spans="1:48" x14ac:dyDescent="0.3">
      <c r="A29">
        <v>0</v>
      </c>
      <c r="B29">
        <v>0</v>
      </c>
      <c r="C29">
        <v>0</v>
      </c>
      <c r="D29">
        <v>2025</v>
      </c>
      <c r="E29">
        <v>5</v>
      </c>
      <c r="F29">
        <v>4</v>
      </c>
      <c r="G29" t="s">
        <v>45</v>
      </c>
      <c r="H29" t="s">
        <v>80</v>
      </c>
      <c r="I29" t="s">
        <v>117</v>
      </c>
      <c r="J29" t="s">
        <v>120</v>
      </c>
      <c r="K29" t="s">
        <v>39</v>
      </c>
      <c r="L29">
        <v>24</v>
      </c>
      <c r="M29" t="s">
        <v>54</v>
      </c>
      <c r="N29" t="s">
        <v>54</v>
      </c>
      <c r="O29" t="s">
        <v>47</v>
      </c>
      <c r="P29" t="s">
        <v>104</v>
      </c>
      <c r="Q29">
        <v>379</v>
      </c>
      <c r="R29">
        <f t="shared" si="5"/>
        <v>24</v>
      </c>
      <c r="S29">
        <f t="shared" si="0"/>
        <v>15.791666666666666</v>
      </c>
      <c r="T29" t="s">
        <v>48</v>
      </c>
      <c r="U29">
        <v>42.2</v>
      </c>
      <c r="V29">
        <v>6.85</v>
      </c>
      <c r="W29">
        <v>0</v>
      </c>
      <c r="X29">
        <v>0</v>
      </c>
      <c r="Y29">
        <f t="shared" si="1"/>
        <v>49.050000000000004</v>
      </c>
      <c r="Z29">
        <f t="shared" si="2"/>
        <v>49.050000000000004</v>
      </c>
      <c r="AA29">
        <v>0</v>
      </c>
      <c r="AB29">
        <f t="shared" si="6"/>
        <v>906.19999999999993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f t="shared" si="3"/>
        <v>0</v>
      </c>
      <c r="AJ29">
        <f t="shared" si="4"/>
        <v>0</v>
      </c>
      <c r="AK29">
        <v>0</v>
      </c>
      <c r="AL29">
        <f t="shared" si="7"/>
        <v>331.95</v>
      </c>
      <c r="AM29" s="9">
        <v>35</v>
      </c>
      <c r="AN29" s="9">
        <v>43.6</v>
      </c>
      <c r="AO29" s="9" t="s">
        <v>41</v>
      </c>
      <c r="AP29" s="9">
        <v>124</v>
      </c>
      <c r="AQ29" s="9">
        <v>16.899999999999999</v>
      </c>
      <c r="AR29" s="9" t="s">
        <v>42</v>
      </c>
      <c r="AS29" t="s">
        <v>43</v>
      </c>
      <c r="AT29">
        <v>31</v>
      </c>
      <c r="AU29" s="12">
        <v>0</v>
      </c>
      <c r="AV29" s="12">
        <v>0</v>
      </c>
    </row>
    <row r="30" spans="1:48" x14ac:dyDescent="0.3">
      <c r="A30">
        <v>0</v>
      </c>
      <c r="B30">
        <v>0</v>
      </c>
      <c r="C30">
        <v>0</v>
      </c>
      <c r="D30">
        <v>2025</v>
      </c>
      <c r="E30">
        <v>5</v>
      </c>
      <c r="F30">
        <v>4</v>
      </c>
      <c r="G30" t="s">
        <v>45</v>
      </c>
      <c r="H30" t="s">
        <v>80</v>
      </c>
      <c r="I30" t="s">
        <v>118</v>
      </c>
      <c r="J30" t="s">
        <v>120</v>
      </c>
      <c r="K30" t="s">
        <v>119</v>
      </c>
      <c r="L30">
        <v>7.2</v>
      </c>
      <c r="M30" t="s">
        <v>54</v>
      </c>
      <c r="N30" t="s">
        <v>54</v>
      </c>
      <c r="O30" t="s">
        <v>47</v>
      </c>
      <c r="P30" t="s">
        <v>76</v>
      </c>
      <c r="Q30">
        <v>113</v>
      </c>
      <c r="R30">
        <f t="shared" si="5"/>
        <v>7.1999999998952262</v>
      </c>
      <c r="S30">
        <f t="shared" si="0"/>
        <v>15.694444444672829</v>
      </c>
      <c r="T30" t="s">
        <v>49</v>
      </c>
      <c r="U30">
        <v>13.6</v>
      </c>
      <c r="V30">
        <v>1.65</v>
      </c>
      <c r="W30">
        <v>0</v>
      </c>
      <c r="X30">
        <v>0</v>
      </c>
      <c r="Y30">
        <f t="shared" si="1"/>
        <v>15.25</v>
      </c>
      <c r="Z30">
        <f t="shared" si="2"/>
        <v>50.833333334073053</v>
      </c>
      <c r="AA30">
        <v>0</v>
      </c>
      <c r="AB30">
        <f t="shared" si="6"/>
        <v>890.94999999999993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f t="shared" si="3"/>
        <v>0</v>
      </c>
      <c r="AJ30">
        <f t="shared" si="4"/>
        <v>0</v>
      </c>
      <c r="AK30">
        <v>0</v>
      </c>
      <c r="AL30">
        <f t="shared" si="7"/>
        <v>331.95</v>
      </c>
      <c r="AM30" s="9">
        <v>33</v>
      </c>
      <c r="AN30" s="9">
        <v>43.3</v>
      </c>
      <c r="AO30" s="9" t="s">
        <v>41</v>
      </c>
      <c r="AP30" s="9">
        <v>124</v>
      </c>
      <c r="AQ30" s="9">
        <v>10.9</v>
      </c>
      <c r="AR30" s="9" t="s">
        <v>42</v>
      </c>
      <c r="AS30" t="s">
        <v>51</v>
      </c>
      <c r="AT30">
        <v>31</v>
      </c>
      <c r="AU30" s="12">
        <v>0</v>
      </c>
      <c r="AV30" s="12">
        <v>0</v>
      </c>
    </row>
    <row r="31" spans="1:48" x14ac:dyDescent="0.3">
      <c r="A31">
        <v>0</v>
      </c>
      <c r="B31">
        <v>0</v>
      </c>
      <c r="C31">
        <v>0</v>
      </c>
      <c r="D31">
        <v>2025</v>
      </c>
      <c r="E31">
        <v>5</v>
      </c>
      <c r="F31">
        <v>4</v>
      </c>
      <c r="G31" t="s">
        <v>45</v>
      </c>
      <c r="H31" t="s">
        <v>80</v>
      </c>
      <c r="I31" t="s">
        <v>120</v>
      </c>
      <c r="J31" t="s">
        <v>120</v>
      </c>
      <c r="K31" t="s">
        <v>121</v>
      </c>
      <c r="L31">
        <v>12.5</v>
      </c>
      <c r="M31" t="s">
        <v>54</v>
      </c>
      <c r="N31" t="s">
        <v>51</v>
      </c>
      <c r="O31" t="s">
        <v>47</v>
      </c>
      <c r="P31" t="s">
        <v>122</v>
      </c>
      <c r="Q31">
        <v>250</v>
      </c>
      <c r="R31">
        <f t="shared" si="5"/>
        <v>12.500000000058208</v>
      </c>
      <c r="S31">
        <f t="shared" si="0"/>
        <v>19.999999999906869</v>
      </c>
      <c r="T31" t="s">
        <v>48</v>
      </c>
      <c r="U31">
        <v>0</v>
      </c>
      <c r="V31">
        <v>0</v>
      </c>
      <c r="W31">
        <v>0</v>
      </c>
      <c r="X31">
        <v>0</v>
      </c>
      <c r="Y31">
        <f t="shared" si="1"/>
        <v>0</v>
      </c>
      <c r="Z31">
        <f t="shared" si="2"/>
        <v>0</v>
      </c>
      <c r="AA31">
        <v>0</v>
      </c>
      <c r="AB31">
        <f t="shared" si="6"/>
        <v>890.94999999999993</v>
      </c>
      <c r="AC31">
        <v>20.350000000000001</v>
      </c>
      <c r="AD31">
        <v>1.45</v>
      </c>
      <c r="AE31">
        <v>0</v>
      </c>
      <c r="AF31">
        <v>0</v>
      </c>
      <c r="AG31">
        <v>0</v>
      </c>
      <c r="AH31">
        <v>0</v>
      </c>
      <c r="AI31">
        <f t="shared" si="3"/>
        <v>21.8</v>
      </c>
      <c r="AJ31">
        <f t="shared" si="4"/>
        <v>41.8559999998051</v>
      </c>
      <c r="AK31">
        <v>0</v>
      </c>
      <c r="AL31">
        <f t="shared" si="7"/>
        <v>310.14999999999998</v>
      </c>
      <c r="AM31" s="9">
        <v>37</v>
      </c>
      <c r="AN31" s="9">
        <v>43.1</v>
      </c>
      <c r="AO31" s="9" t="s">
        <v>41</v>
      </c>
      <c r="AP31" s="9">
        <v>124</v>
      </c>
      <c r="AQ31" s="9">
        <v>8.4</v>
      </c>
      <c r="AR31" s="9" t="s">
        <v>42</v>
      </c>
      <c r="AS31" t="s">
        <v>54</v>
      </c>
      <c r="AT31">
        <v>31</v>
      </c>
      <c r="AU31" s="12">
        <v>0</v>
      </c>
      <c r="AV31" s="12">
        <v>0</v>
      </c>
    </row>
    <row r="32" spans="1:48" x14ac:dyDescent="0.3">
      <c r="A32">
        <v>0</v>
      </c>
      <c r="B32">
        <v>0</v>
      </c>
      <c r="C32">
        <v>0</v>
      </c>
      <c r="D32">
        <v>2025</v>
      </c>
      <c r="E32">
        <v>5</v>
      </c>
      <c r="F32">
        <v>4</v>
      </c>
      <c r="G32" t="s">
        <v>45</v>
      </c>
      <c r="H32" t="s">
        <v>80</v>
      </c>
      <c r="I32" t="s">
        <v>123</v>
      </c>
      <c r="J32" t="s">
        <v>120</v>
      </c>
      <c r="K32" t="s">
        <v>39</v>
      </c>
      <c r="L32">
        <v>4.3</v>
      </c>
      <c r="M32" t="s">
        <v>51</v>
      </c>
      <c r="N32" t="s">
        <v>52</v>
      </c>
      <c r="O32" t="s">
        <v>40</v>
      </c>
      <c r="P32" t="s">
        <v>124</v>
      </c>
      <c r="Q32">
        <v>0</v>
      </c>
      <c r="R32">
        <f t="shared" si="5"/>
        <v>4.3000000000465661</v>
      </c>
      <c r="S32">
        <f t="shared" si="0"/>
        <v>0</v>
      </c>
      <c r="T32" t="s">
        <v>40</v>
      </c>
      <c r="U32">
        <v>0</v>
      </c>
      <c r="V32">
        <v>0</v>
      </c>
      <c r="W32">
        <v>0</v>
      </c>
      <c r="X32">
        <v>0</v>
      </c>
      <c r="Y32">
        <f t="shared" si="1"/>
        <v>0</v>
      </c>
      <c r="Z32">
        <f t="shared" si="2"/>
        <v>0</v>
      </c>
      <c r="AA32">
        <v>0</v>
      </c>
      <c r="AB32">
        <f t="shared" si="6"/>
        <v>890.94999999999993</v>
      </c>
      <c r="AC32">
        <v>0.05</v>
      </c>
      <c r="AD32">
        <v>0.5</v>
      </c>
      <c r="AE32">
        <v>0.3</v>
      </c>
      <c r="AF32">
        <v>0</v>
      </c>
      <c r="AG32">
        <v>0</v>
      </c>
      <c r="AH32">
        <v>0</v>
      </c>
      <c r="AI32">
        <f t="shared" si="3"/>
        <v>0.85000000000000009</v>
      </c>
      <c r="AJ32">
        <f t="shared" si="4"/>
        <v>4.7441860464602517</v>
      </c>
      <c r="AK32">
        <v>0</v>
      </c>
      <c r="AL32">
        <f t="shared" si="7"/>
        <v>309.29999999999995</v>
      </c>
      <c r="AM32" s="10">
        <v>37</v>
      </c>
      <c r="AN32" s="10">
        <v>43.1</v>
      </c>
      <c r="AO32" s="10" t="s">
        <v>41</v>
      </c>
      <c r="AP32" s="10">
        <v>120</v>
      </c>
      <c r="AQ32" s="10">
        <v>8.4</v>
      </c>
      <c r="AR32" s="10" t="s">
        <v>42</v>
      </c>
      <c r="AS32" t="s">
        <v>43</v>
      </c>
      <c r="AT32">
        <v>31</v>
      </c>
      <c r="AU32" s="12">
        <v>0</v>
      </c>
      <c r="AV32" s="12">
        <v>0</v>
      </c>
    </row>
    <row r="33" spans="1:48" x14ac:dyDescent="0.3">
      <c r="A33">
        <v>0</v>
      </c>
      <c r="B33">
        <v>0</v>
      </c>
      <c r="C33">
        <v>0</v>
      </c>
      <c r="D33">
        <v>2025</v>
      </c>
      <c r="E33">
        <v>5</v>
      </c>
      <c r="F33">
        <v>4</v>
      </c>
      <c r="G33" t="s">
        <v>45</v>
      </c>
      <c r="H33" t="s">
        <v>80</v>
      </c>
      <c r="I33" t="s">
        <v>125</v>
      </c>
      <c r="J33" t="s">
        <v>120</v>
      </c>
      <c r="K33" t="s">
        <v>126</v>
      </c>
      <c r="L33">
        <v>3</v>
      </c>
      <c r="M33" t="s">
        <v>52</v>
      </c>
      <c r="N33" t="s">
        <v>62</v>
      </c>
      <c r="O33" t="s">
        <v>40</v>
      </c>
      <c r="P33" t="s">
        <v>127</v>
      </c>
      <c r="Q33">
        <v>6</v>
      </c>
      <c r="R33">
        <f t="shared" si="5"/>
        <v>3</v>
      </c>
      <c r="S33">
        <f t="shared" si="0"/>
        <v>2</v>
      </c>
      <c r="T33" t="s">
        <v>48</v>
      </c>
      <c r="U33">
        <v>0</v>
      </c>
      <c r="V33">
        <v>0</v>
      </c>
      <c r="W33">
        <v>0</v>
      </c>
      <c r="X33">
        <v>0</v>
      </c>
      <c r="Y33">
        <f t="shared" si="1"/>
        <v>0</v>
      </c>
      <c r="Z33">
        <f t="shared" si="2"/>
        <v>0</v>
      </c>
      <c r="AA33">
        <v>0</v>
      </c>
      <c r="AB33">
        <f t="shared" si="6"/>
        <v>890.94999999999993</v>
      </c>
      <c r="AC33">
        <v>1.2</v>
      </c>
      <c r="AD33">
        <v>0.75</v>
      </c>
      <c r="AE33">
        <v>0.1</v>
      </c>
      <c r="AF33">
        <v>0</v>
      </c>
      <c r="AG33">
        <v>0</v>
      </c>
      <c r="AH33">
        <v>0</v>
      </c>
      <c r="AI33">
        <f t="shared" si="3"/>
        <v>2.0499999999999998</v>
      </c>
      <c r="AJ33">
        <f t="shared" si="4"/>
        <v>16.399999999999999</v>
      </c>
      <c r="AK33">
        <v>0</v>
      </c>
      <c r="AL33">
        <f t="shared" si="7"/>
        <v>307.24999999999994</v>
      </c>
      <c r="AM33" s="10">
        <v>37</v>
      </c>
      <c r="AN33" s="10">
        <v>38.1</v>
      </c>
      <c r="AO33" s="10" t="s">
        <v>41</v>
      </c>
      <c r="AP33" s="10">
        <v>120</v>
      </c>
      <c r="AQ33" s="10">
        <v>14.4</v>
      </c>
      <c r="AR33" s="10" t="s">
        <v>42</v>
      </c>
      <c r="AS33" t="s">
        <v>52</v>
      </c>
      <c r="AT33">
        <v>31</v>
      </c>
      <c r="AU33" s="12">
        <v>0</v>
      </c>
      <c r="AV33" s="12">
        <v>0</v>
      </c>
    </row>
    <row r="34" spans="1:48" x14ac:dyDescent="0.3">
      <c r="A34">
        <v>0</v>
      </c>
      <c r="B34">
        <v>0</v>
      </c>
      <c r="C34">
        <v>0</v>
      </c>
      <c r="D34">
        <v>2025</v>
      </c>
      <c r="E34">
        <v>5</v>
      </c>
      <c r="F34">
        <v>4</v>
      </c>
      <c r="G34" t="s">
        <v>45</v>
      </c>
      <c r="H34" t="s">
        <v>80</v>
      </c>
      <c r="I34" t="s">
        <v>128</v>
      </c>
      <c r="J34" t="s">
        <v>120</v>
      </c>
      <c r="K34" t="s">
        <v>39</v>
      </c>
      <c r="L34">
        <v>21</v>
      </c>
      <c r="M34" t="s">
        <v>62</v>
      </c>
      <c r="N34" t="s">
        <v>62</v>
      </c>
      <c r="O34" t="s">
        <v>40</v>
      </c>
      <c r="P34" t="s">
        <v>129</v>
      </c>
      <c r="Q34">
        <v>0</v>
      </c>
      <c r="R34">
        <f t="shared" si="5"/>
        <v>21</v>
      </c>
      <c r="S34">
        <f t="shared" si="0"/>
        <v>0</v>
      </c>
      <c r="T34" t="s">
        <v>40</v>
      </c>
      <c r="U34">
        <v>0</v>
      </c>
      <c r="V34">
        <v>0</v>
      </c>
      <c r="W34">
        <v>0</v>
      </c>
      <c r="X34">
        <v>0</v>
      </c>
      <c r="Y34">
        <f t="shared" si="1"/>
        <v>0</v>
      </c>
      <c r="Z34">
        <f t="shared" si="2"/>
        <v>0</v>
      </c>
      <c r="AA34">
        <v>0</v>
      </c>
      <c r="AB34">
        <f t="shared" si="6"/>
        <v>890.94999999999993</v>
      </c>
      <c r="AC34">
        <v>0</v>
      </c>
      <c r="AD34">
        <v>3.9</v>
      </c>
      <c r="AE34">
        <v>1.1000000000000001</v>
      </c>
      <c r="AF34">
        <v>0</v>
      </c>
      <c r="AG34">
        <v>0</v>
      </c>
      <c r="AH34">
        <v>0</v>
      </c>
      <c r="AI34">
        <f t="shared" si="3"/>
        <v>5</v>
      </c>
      <c r="AJ34">
        <f t="shared" si="4"/>
        <v>5.7142857142857144</v>
      </c>
      <c r="AK34">
        <v>0</v>
      </c>
      <c r="AL34">
        <f t="shared" si="7"/>
        <v>302.24999999999994</v>
      </c>
      <c r="AM34" s="11">
        <v>37</v>
      </c>
      <c r="AN34" s="11">
        <v>39.4</v>
      </c>
      <c r="AO34" s="11" t="s">
        <v>41</v>
      </c>
      <c r="AP34" s="11">
        <v>120</v>
      </c>
      <c r="AQ34" s="11">
        <v>18.100000000000001</v>
      </c>
      <c r="AR34" s="11" t="s">
        <v>42</v>
      </c>
      <c r="AS34" t="s">
        <v>43</v>
      </c>
      <c r="AT34">
        <v>31</v>
      </c>
      <c r="AU34" s="12">
        <v>0</v>
      </c>
      <c r="AV34" s="12">
        <v>0</v>
      </c>
    </row>
    <row r="35" spans="1:48" x14ac:dyDescent="0.3">
      <c r="A35">
        <v>0</v>
      </c>
      <c r="B35">
        <v>0</v>
      </c>
      <c r="C35">
        <v>0</v>
      </c>
      <c r="D35">
        <v>2025</v>
      </c>
      <c r="E35">
        <v>5</v>
      </c>
      <c r="F35">
        <v>4</v>
      </c>
      <c r="G35" t="s">
        <v>45</v>
      </c>
      <c r="H35" t="s">
        <v>80</v>
      </c>
      <c r="I35" t="s">
        <v>130</v>
      </c>
      <c r="J35" t="s">
        <v>120</v>
      </c>
      <c r="K35" t="s">
        <v>78</v>
      </c>
      <c r="L35">
        <v>22</v>
      </c>
      <c r="M35" t="s">
        <v>62</v>
      </c>
      <c r="N35" t="s">
        <v>52</v>
      </c>
      <c r="O35" t="s">
        <v>40</v>
      </c>
      <c r="P35" t="s">
        <v>56</v>
      </c>
      <c r="Q35">
        <v>0</v>
      </c>
      <c r="R35">
        <f t="shared" si="5"/>
        <v>21.999999999941792</v>
      </c>
      <c r="S35">
        <f t="shared" si="0"/>
        <v>0</v>
      </c>
      <c r="T35" t="s">
        <v>40</v>
      </c>
      <c r="U35">
        <v>0</v>
      </c>
      <c r="V35">
        <v>0</v>
      </c>
      <c r="W35">
        <v>0</v>
      </c>
      <c r="X35">
        <v>0</v>
      </c>
      <c r="Y35">
        <f t="shared" si="1"/>
        <v>0</v>
      </c>
      <c r="Z35">
        <f t="shared" si="2"/>
        <v>0</v>
      </c>
      <c r="AA35">
        <v>0</v>
      </c>
      <c r="AB35">
        <f t="shared" si="6"/>
        <v>890.94999999999993</v>
      </c>
      <c r="AC35">
        <v>0</v>
      </c>
      <c r="AD35">
        <v>4.55</v>
      </c>
      <c r="AE35">
        <v>1.1499999999999999</v>
      </c>
      <c r="AF35">
        <v>0</v>
      </c>
      <c r="AG35">
        <v>0</v>
      </c>
      <c r="AH35">
        <v>0</v>
      </c>
      <c r="AI35">
        <f t="shared" si="3"/>
        <v>5.6999999999999993</v>
      </c>
      <c r="AJ35">
        <f t="shared" si="4"/>
        <v>6.2181818181982695</v>
      </c>
      <c r="AK35">
        <v>0</v>
      </c>
      <c r="AL35">
        <f t="shared" si="7"/>
        <v>296.54999999999995</v>
      </c>
      <c r="AM35" s="11">
        <v>37</v>
      </c>
      <c r="AN35" s="11">
        <v>39.4</v>
      </c>
      <c r="AO35" s="11" t="s">
        <v>41</v>
      </c>
      <c r="AP35" s="11">
        <v>120</v>
      </c>
      <c r="AQ35" s="11">
        <v>18.100000000000001</v>
      </c>
      <c r="AR35" s="11" t="s">
        <v>42</v>
      </c>
      <c r="AS35" t="s">
        <v>62</v>
      </c>
      <c r="AT35">
        <v>31</v>
      </c>
      <c r="AU35" s="12">
        <v>0</v>
      </c>
      <c r="AV35" s="12">
        <v>0</v>
      </c>
    </row>
    <row r="36" spans="1:48" x14ac:dyDescent="0.3">
      <c r="A36">
        <v>0</v>
      </c>
      <c r="B36">
        <v>0</v>
      </c>
      <c r="C36">
        <v>0</v>
      </c>
      <c r="D36">
        <v>2025</v>
      </c>
      <c r="E36">
        <v>5</v>
      </c>
      <c r="F36">
        <v>4</v>
      </c>
      <c r="G36" t="s">
        <v>45</v>
      </c>
      <c r="H36" t="s">
        <v>80</v>
      </c>
      <c r="I36" t="s">
        <v>131</v>
      </c>
      <c r="J36" t="s">
        <v>120</v>
      </c>
      <c r="K36" t="s">
        <v>39</v>
      </c>
      <c r="L36">
        <v>2</v>
      </c>
      <c r="M36" t="s">
        <v>52</v>
      </c>
      <c r="N36" t="s">
        <v>52</v>
      </c>
      <c r="O36" t="s">
        <v>40</v>
      </c>
      <c r="P36" t="s">
        <v>70</v>
      </c>
      <c r="Q36">
        <v>0</v>
      </c>
      <c r="R36">
        <f t="shared" si="5"/>
        <v>2.0000000000582077</v>
      </c>
      <c r="S36">
        <f t="shared" si="0"/>
        <v>0</v>
      </c>
      <c r="T36" t="s">
        <v>67</v>
      </c>
      <c r="U36">
        <v>0</v>
      </c>
      <c r="V36">
        <v>0</v>
      </c>
      <c r="W36">
        <v>0</v>
      </c>
      <c r="X36">
        <v>0</v>
      </c>
      <c r="Y36">
        <f t="shared" si="1"/>
        <v>0</v>
      </c>
      <c r="Z36">
        <f t="shared" si="2"/>
        <v>0</v>
      </c>
      <c r="AA36">
        <v>0</v>
      </c>
      <c r="AB36">
        <f t="shared" si="6"/>
        <v>890.94999999999993</v>
      </c>
      <c r="AC36">
        <v>0</v>
      </c>
      <c r="AD36">
        <v>0.25</v>
      </c>
      <c r="AE36">
        <v>0.05</v>
      </c>
      <c r="AF36">
        <v>0</v>
      </c>
      <c r="AG36">
        <v>0</v>
      </c>
      <c r="AH36">
        <v>0</v>
      </c>
      <c r="AI36">
        <f t="shared" si="3"/>
        <v>0.3</v>
      </c>
      <c r="AJ36">
        <f t="shared" si="4"/>
        <v>3.5999999998952257</v>
      </c>
      <c r="AK36">
        <v>0</v>
      </c>
      <c r="AL36">
        <f t="shared" si="7"/>
        <v>296.24999999999994</v>
      </c>
      <c r="AM36" s="13">
        <v>37</v>
      </c>
      <c r="AN36" s="13">
        <v>39.4</v>
      </c>
      <c r="AO36" s="13" t="s">
        <v>41</v>
      </c>
      <c r="AP36" s="13">
        <v>120</v>
      </c>
      <c r="AQ36" s="13">
        <v>18.100000000000001</v>
      </c>
      <c r="AR36" s="13" t="s">
        <v>42</v>
      </c>
      <c r="AS36" t="s">
        <v>43</v>
      </c>
      <c r="AT36">
        <v>31</v>
      </c>
      <c r="AU36" s="12">
        <v>0</v>
      </c>
      <c r="AV36" s="12">
        <v>0</v>
      </c>
    </row>
    <row r="37" spans="1:48" x14ac:dyDescent="0.3">
      <c r="A37">
        <v>0</v>
      </c>
      <c r="B37">
        <v>0</v>
      </c>
      <c r="C37">
        <v>0</v>
      </c>
      <c r="D37">
        <v>2025</v>
      </c>
      <c r="E37">
        <v>5</v>
      </c>
      <c r="F37">
        <v>4</v>
      </c>
      <c r="G37" t="s">
        <v>45</v>
      </c>
      <c r="H37" t="s">
        <v>80</v>
      </c>
      <c r="I37" t="s">
        <v>132</v>
      </c>
      <c r="J37" t="s">
        <v>120</v>
      </c>
      <c r="K37" t="s">
        <v>79</v>
      </c>
      <c r="L37">
        <v>1.1000000000000001</v>
      </c>
      <c r="M37" t="s">
        <v>52</v>
      </c>
      <c r="N37" t="s">
        <v>46</v>
      </c>
      <c r="O37" t="s">
        <v>40</v>
      </c>
      <c r="P37" t="s">
        <v>133</v>
      </c>
      <c r="Q37">
        <v>8</v>
      </c>
      <c r="R37">
        <f t="shared" si="5"/>
        <v>1.0999999999185093</v>
      </c>
      <c r="S37">
        <f t="shared" si="0"/>
        <v>7.2727272732660539</v>
      </c>
      <c r="T37" t="s">
        <v>67</v>
      </c>
      <c r="U37">
        <v>0</v>
      </c>
      <c r="V37">
        <v>0</v>
      </c>
      <c r="W37">
        <v>0</v>
      </c>
      <c r="X37">
        <v>0</v>
      </c>
      <c r="Y37">
        <f t="shared" si="1"/>
        <v>0</v>
      </c>
      <c r="Z37">
        <f t="shared" si="2"/>
        <v>0</v>
      </c>
      <c r="AA37">
        <v>0</v>
      </c>
      <c r="AB37">
        <f t="shared" si="6"/>
        <v>890.94999999999993</v>
      </c>
      <c r="AC37">
        <v>0.8</v>
      </c>
      <c r="AD37">
        <v>0.25</v>
      </c>
      <c r="AE37">
        <v>0</v>
      </c>
      <c r="AF37">
        <v>0</v>
      </c>
      <c r="AG37">
        <v>0</v>
      </c>
      <c r="AH37">
        <v>0</v>
      </c>
      <c r="AI37">
        <f t="shared" si="3"/>
        <v>1.05</v>
      </c>
      <c r="AJ37">
        <f t="shared" si="4"/>
        <v>22.909090910788073</v>
      </c>
      <c r="AK37">
        <v>0</v>
      </c>
      <c r="AL37">
        <f t="shared" si="7"/>
        <v>295.19999999999993</v>
      </c>
      <c r="AM37" s="13">
        <v>37</v>
      </c>
      <c r="AN37" s="13">
        <v>39.4</v>
      </c>
      <c r="AO37" s="13" t="s">
        <v>41</v>
      </c>
      <c r="AP37" s="13">
        <v>120</v>
      </c>
      <c r="AQ37" s="13">
        <v>18.100000000000001</v>
      </c>
      <c r="AR37" s="13" t="s">
        <v>42</v>
      </c>
      <c r="AS37" t="s">
        <v>52</v>
      </c>
      <c r="AT37">
        <v>31</v>
      </c>
      <c r="AU37" s="12">
        <v>0</v>
      </c>
      <c r="AV37" s="12">
        <v>0</v>
      </c>
    </row>
    <row r="38" spans="1:48" x14ac:dyDescent="0.3">
      <c r="A38">
        <v>0</v>
      </c>
      <c r="B38">
        <v>0</v>
      </c>
      <c r="C38">
        <v>0</v>
      </c>
      <c r="D38">
        <v>2025</v>
      </c>
      <c r="E38">
        <v>6</v>
      </c>
      <c r="F38">
        <v>1</v>
      </c>
      <c r="G38" t="s">
        <v>134</v>
      </c>
      <c r="H38" t="s">
        <v>135</v>
      </c>
      <c r="I38" t="s">
        <v>136</v>
      </c>
      <c r="J38" t="s">
        <v>143</v>
      </c>
      <c r="K38" t="s">
        <v>137</v>
      </c>
      <c r="L38">
        <v>10.5</v>
      </c>
      <c r="M38" t="s">
        <v>46</v>
      </c>
      <c r="N38" t="s">
        <v>46</v>
      </c>
      <c r="O38" t="s">
        <v>47</v>
      </c>
      <c r="P38" t="s">
        <v>75</v>
      </c>
      <c r="Q38">
        <v>163</v>
      </c>
      <c r="R38">
        <f t="shared" si="5"/>
        <v>10.5</v>
      </c>
      <c r="S38">
        <f t="shared" si="0"/>
        <v>15.523809523809524</v>
      </c>
      <c r="T38" t="s">
        <v>67</v>
      </c>
      <c r="U38">
        <v>0</v>
      </c>
      <c r="V38">
        <v>0</v>
      </c>
      <c r="W38">
        <v>0</v>
      </c>
      <c r="X38">
        <v>0</v>
      </c>
      <c r="Y38">
        <f t="shared" si="1"/>
        <v>0</v>
      </c>
      <c r="Z38">
        <f t="shared" si="2"/>
        <v>0</v>
      </c>
      <c r="AA38">
        <v>0</v>
      </c>
      <c r="AB38">
        <f t="shared" si="6"/>
        <v>890.94999999999993</v>
      </c>
      <c r="AC38">
        <v>15.25</v>
      </c>
      <c r="AD38">
        <v>1.1499999999999999</v>
      </c>
      <c r="AE38">
        <v>0</v>
      </c>
      <c r="AF38">
        <v>0</v>
      </c>
      <c r="AG38">
        <v>0</v>
      </c>
      <c r="AH38">
        <v>0</v>
      </c>
      <c r="AI38">
        <f t="shared" si="3"/>
        <v>16.399999999999999</v>
      </c>
      <c r="AJ38">
        <f t="shared" si="4"/>
        <v>37.48571428571428</v>
      </c>
      <c r="AK38">
        <v>0</v>
      </c>
      <c r="AL38">
        <f t="shared" si="7"/>
        <v>278.79999999999995</v>
      </c>
      <c r="AM38" s="13">
        <v>36</v>
      </c>
      <c r="AN38" s="13">
        <v>41.4</v>
      </c>
      <c r="AO38" s="13" t="s">
        <v>41</v>
      </c>
      <c r="AP38" s="13">
        <v>120</v>
      </c>
      <c r="AQ38" s="13">
        <v>18.100000000000001</v>
      </c>
      <c r="AR38" s="13" t="s">
        <v>42</v>
      </c>
      <c r="AS38" t="s">
        <v>46</v>
      </c>
      <c r="AT38">
        <v>31</v>
      </c>
      <c r="AU38" s="12">
        <v>0</v>
      </c>
      <c r="AV38" s="12">
        <v>0</v>
      </c>
    </row>
    <row r="39" spans="1:48" x14ac:dyDescent="0.3">
      <c r="A39">
        <v>0</v>
      </c>
      <c r="B39">
        <v>0</v>
      </c>
      <c r="C39">
        <v>0</v>
      </c>
      <c r="D39">
        <v>2025</v>
      </c>
      <c r="E39">
        <v>6</v>
      </c>
      <c r="F39">
        <v>1</v>
      </c>
      <c r="G39" t="s">
        <v>134</v>
      </c>
      <c r="H39" t="s">
        <v>135</v>
      </c>
      <c r="I39" t="s">
        <v>138</v>
      </c>
      <c r="J39" t="s">
        <v>143</v>
      </c>
      <c r="K39" t="s">
        <v>39</v>
      </c>
      <c r="L39">
        <v>12.4</v>
      </c>
      <c r="M39" t="s">
        <v>46</v>
      </c>
      <c r="N39" t="s">
        <v>46</v>
      </c>
      <c r="O39" t="s">
        <v>47</v>
      </c>
      <c r="P39" t="s">
        <v>139</v>
      </c>
      <c r="Q39">
        <v>198</v>
      </c>
      <c r="R39">
        <f t="shared" si="5"/>
        <v>12.400000000081491</v>
      </c>
      <c r="S39">
        <f t="shared" si="0"/>
        <v>15.967741935378934</v>
      </c>
      <c r="T39" t="s">
        <v>74</v>
      </c>
      <c r="U39">
        <v>17</v>
      </c>
      <c r="V39">
        <v>1.5</v>
      </c>
      <c r="W39">
        <v>0</v>
      </c>
      <c r="X39">
        <v>0</v>
      </c>
      <c r="Y39">
        <f t="shared" si="1"/>
        <v>18.5</v>
      </c>
      <c r="Z39">
        <f t="shared" si="2"/>
        <v>35.806451612667914</v>
      </c>
      <c r="AA39">
        <v>0</v>
      </c>
      <c r="AB39">
        <f t="shared" si="6"/>
        <v>872.44999999999993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f t="shared" si="3"/>
        <v>0</v>
      </c>
      <c r="AJ39">
        <f t="shared" si="4"/>
        <v>0</v>
      </c>
      <c r="AK39">
        <v>0</v>
      </c>
      <c r="AL39">
        <f t="shared" si="7"/>
        <v>278.79999999999995</v>
      </c>
      <c r="AM39" s="12">
        <v>35</v>
      </c>
      <c r="AN39" s="12">
        <v>41.7</v>
      </c>
      <c r="AO39" s="12" t="s">
        <v>41</v>
      </c>
      <c r="AP39" s="12">
        <v>125</v>
      </c>
      <c r="AQ39" s="12">
        <v>18.100000000000001</v>
      </c>
      <c r="AR39" s="12" t="s">
        <v>42</v>
      </c>
      <c r="AS39" t="s">
        <v>43</v>
      </c>
      <c r="AT39">
        <v>31</v>
      </c>
      <c r="AU39" s="12">
        <v>0</v>
      </c>
      <c r="AV39" s="12">
        <v>0</v>
      </c>
    </row>
    <row r="40" spans="1:48" x14ac:dyDescent="0.3">
      <c r="A40">
        <v>0</v>
      </c>
      <c r="B40">
        <v>0</v>
      </c>
      <c r="C40">
        <v>0</v>
      </c>
      <c r="D40">
        <v>2025</v>
      </c>
      <c r="E40">
        <v>6</v>
      </c>
      <c r="F40">
        <v>1</v>
      </c>
      <c r="G40" t="s">
        <v>134</v>
      </c>
      <c r="H40" t="s">
        <v>135</v>
      </c>
      <c r="I40" t="s">
        <v>140</v>
      </c>
      <c r="J40" t="s">
        <v>143</v>
      </c>
      <c r="K40" t="s">
        <v>141</v>
      </c>
      <c r="L40">
        <v>11.5</v>
      </c>
      <c r="M40" t="s">
        <v>46</v>
      </c>
      <c r="N40" t="s">
        <v>46</v>
      </c>
      <c r="O40" t="s">
        <v>47</v>
      </c>
      <c r="P40" t="s">
        <v>142</v>
      </c>
      <c r="Q40">
        <v>185</v>
      </c>
      <c r="R40">
        <f t="shared" si="5"/>
        <v>11.499999999941792</v>
      </c>
      <c r="S40">
        <f t="shared" si="0"/>
        <v>16.086956521820554</v>
      </c>
      <c r="T40" t="s">
        <v>74</v>
      </c>
      <c r="U40">
        <v>19.350000000000001</v>
      </c>
      <c r="V40">
        <v>1.65</v>
      </c>
      <c r="W40">
        <v>0</v>
      </c>
      <c r="X40">
        <v>0</v>
      </c>
      <c r="Y40">
        <f t="shared" si="1"/>
        <v>21</v>
      </c>
      <c r="Z40">
        <f t="shared" si="2"/>
        <v>43.826086956743566</v>
      </c>
      <c r="AA40">
        <v>0</v>
      </c>
      <c r="AB40">
        <f t="shared" si="6"/>
        <v>851.44999999999993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f t="shared" si="3"/>
        <v>0</v>
      </c>
      <c r="AJ40">
        <f t="shared" si="4"/>
        <v>0</v>
      </c>
      <c r="AK40">
        <v>0</v>
      </c>
      <c r="AL40">
        <f t="shared" si="7"/>
        <v>278.79999999999995</v>
      </c>
      <c r="AM40" s="12">
        <v>34</v>
      </c>
      <c r="AN40" s="12">
        <v>41.7</v>
      </c>
      <c r="AO40" s="12" t="s">
        <v>41</v>
      </c>
      <c r="AP40" s="12">
        <v>125</v>
      </c>
      <c r="AQ40" s="12">
        <v>34.1</v>
      </c>
      <c r="AR40" s="12" t="s">
        <v>42</v>
      </c>
      <c r="AS40" t="s">
        <v>46</v>
      </c>
      <c r="AT40">
        <v>31</v>
      </c>
      <c r="AU40" s="12">
        <v>0</v>
      </c>
      <c r="AV40" s="12">
        <v>0</v>
      </c>
    </row>
    <row r="41" spans="1:48" x14ac:dyDescent="0.3">
      <c r="A41">
        <v>0</v>
      </c>
      <c r="B41">
        <v>0</v>
      </c>
      <c r="C41">
        <v>0</v>
      </c>
      <c r="D41">
        <v>2025</v>
      </c>
      <c r="E41">
        <v>6</v>
      </c>
      <c r="F41">
        <v>1</v>
      </c>
      <c r="G41" t="s">
        <v>134</v>
      </c>
      <c r="H41" t="s">
        <v>135</v>
      </c>
      <c r="I41" t="s">
        <v>143</v>
      </c>
      <c r="J41" t="s">
        <v>143</v>
      </c>
      <c r="K41" t="s">
        <v>55</v>
      </c>
      <c r="L41">
        <v>1.5</v>
      </c>
      <c r="M41" t="s">
        <v>46</v>
      </c>
      <c r="N41" t="s">
        <v>51</v>
      </c>
      <c r="O41" t="s">
        <v>47</v>
      </c>
      <c r="P41" t="s">
        <v>144</v>
      </c>
      <c r="Q41">
        <v>23</v>
      </c>
      <c r="R41">
        <f t="shared" si="5"/>
        <v>1.5</v>
      </c>
      <c r="S41">
        <f t="shared" si="0"/>
        <v>15.333333333333334</v>
      </c>
      <c r="T41" t="s">
        <v>74</v>
      </c>
      <c r="U41">
        <v>0</v>
      </c>
      <c r="V41">
        <v>0</v>
      </c>
      <c r="W41">
        <v>0</v>
      </c>
      <c r="X41">
        <v>0</v>
      </c>
      <c r="Y41">
        <f t="shared" si="1"/>
        <v>0</v>
      </c>
      <c r="Z41">
        <f t="shared" si="2"/>
        <v>0</v>
      </c>
      <c r="AA41">
        <v>0</v>
      </c>
      <c r="AB41">
        <f t="shared" si="6"/>
        <v>851.44999999999993</v>
      </c>
      <c r="AC41">
        <v>1.75</v>
      </c>
      <c r="AD41">
        <v>0.2</v>
      </c>
      <c r="AE41">
        <v>0</v>
      </c>
      <c r="AF41">
        <v>0</v>
      </c>
      <c r="AG41">
        <v>0</v>
      </c>
      <c r="AH41">
        <v>0</v>
      </c>
      <c r="AI41">
        <f t="shared" si="3"/>
        <v>1.95</v>
      </c>
      <c r="AJ41">
        <f t="shared" si="4"/>
        <v>31.2</v>
      </c>
      <c r="AK41">
        <v>0</v>
      </c>
      <c r="AL41">
        <f t="shared" si="7"/>
        <v>276.84999999999997</v>
      </c>
      <c r="AM41" s="12">
        <v>33</v>
      </c>
      <c r="AN41" s="12">
        <v>42.7</v>
      </c>
      <c r="AO41" s="12" t="s">
        <v>41</v>
      </c>
      <c r="AP41" s="12">
        <v>125</v>
      </c>
      <c r="AQ41" s="12">
        <v>40.1</v>
      </c>
      <c r="AR41" s="12" t="s">
        <v>42</v>
      </c>
      <c r="AS41" t="s">
        <v>46</v>
      </c>
      <c r="AT41">
        <v>31</v>
      </c>
      <c r="AU41" s="12">
        <v>0</v>
      </c>
      <c r="AV41" s="12">
        <v>0</v>
      </c>
    </row>
    <row r="42" spans="1:48" x14ac:dyDescent="0.3">
      <c r="A42">
        <v>0</v>
      </c>
      <c r="B42">
        <v>0</v>
      </c>
      <c r="C42">
        <v>0</v>
      </c>
      <c r="D42">
        <v>2025</v>
      </c>
      <c r="E42">
        <v>6</v>
      </c>
      <c r="F42">
        <v>1</v>
      </c>
      <c r="G42" t="s">
        <v>134</v>
      </c>
      <c r="H42" t="s">
        <v>135</v>
      </c>
      <c r="I42" t="s">
        <v>145</v>
      </c>
      <c r="J42" t="s">
        <v>143</v>
      </c>
      <c r="K42" t="s">
        <v>146</v>
      </c>
      <c r="L42">
        <v>7.5</v>
      </c>
      <c r="M42" t="s">
        <v>51</v>
      </c>
      <c r="N42" t="s">
        <v>46</v>
      </c>
      <c r="O42" t="s">
        <v>40</v>
      </c>
      <c r="P42" t="s">
        <v>147</v>
      </c>
      <c r="Q42">
        <v>0</v>
      </c>
      <c r="R42">
        <f t="shared" si="5"/>
        <v>7.5</v>
      </c>
      <c r="S42">
        <f t="shared" si="0"/>
        <v>0</v>
      </c>
      <c r="T42" t="s">
        <v>40</v>
      </c>
      <c r="U42">
        <v>0</v>
      </c>
      <c r="V42">
        <v>0</v>
      </c>
      <c r="W42">
        <v>0</v>
      </c>
      <c r="X42">
        <v>0</v>
      </c>
      <c r="Y42">
        <f t="shared" si="1"/>
        <v>0</v>
      </c>
      <c r="Z42">
        <f t="shared" si="2"/>
        <v>0</v>
      </c>
      <c r="AA42">
        <v>750</v>
      </c>
      <c r="AB42">
        <f t="shared" si="6"/>
        <v>1601.4499999999998</v>
      </c>
      <c r="AC42">
        <v>0.28000000000000003</v>
      </c>
      <c r="AD42">
        <v>0.85</v>
      </c>
      <c r="AE42">
        <v>0.42</v>
      </c>
      <c r="AF42">
        <v>0</v>
      </c>
      <c r="AG42">
        <v>0</v>
      </c>
      <c r="AH42">
        <v>0</v>
      </c>
      <c r="AI42">
        <f t="shared" si="3"/>
        <v>1.5499999999999998</v>
      </c>
      <c r="AJ42">
        <f t="shared" si="4"/>
        <v>4.9599999999999991</v>
      </c>
      <c r="AK42">
        <v>0</v>
      </c>
      <c r="AL42">
        <f t="shared" si="7"/>
        <v>275.29999999999995</v>
      </c>
      <c r="AM42" s="12">
        <v>33</v>
      </c>
      <c r="AN42" s="12">
        <v>42.7</v>
      </c>
      <c r="AO42" s="12" t="s">
        <v>41</v>
      </c>
      <c r="AP42" s="12">
        <v>125</v>
      </c>
      <c r="AQ42" s="12">
        <v>40.1</v>
      </c>
      <c r="AR42" s="12" t="s">
        <v>42</v>
      </c>
      <c r="AS42" t="s">
        <v>51</v>
      </c>
      <c r="AT42">
        <v>31</v>
      </c>
      <c r="AU42" s="12">
        <v>0</v>
      </c>
      <c r="AV42" s="12">
        <v>0</v>
      </c>
    </row>
    <row r="43" spans="1:48" x14ac:dyDescent="0.3">
      <c r="A43">
        <v>0</v>
      </c>
      <c r="B43">
        <v>0</v>
      </c>
      <c r="C43">
        <v>0</v>
      </c>
      <c r="D43">
        <v>2025</v>
      </c>
      <c r="E43">
        <v>6</v>
      </c>
      <c r="F43">
        <v>2</v>
      </c>
      <c r="G43" t="s">
        <v>135</v>
      </c>
      <c r="H43" t="s">
        <v>77</v>
      </c>
      <c r="I43" t="s">
        <v>148</v>
      </c>
      <c r="J43" t="s">
        <v>156</v>
      </c>
      <c r="K43" t="s">
        <v>149</v>
      </c>
      <c r="L43">
        <v>0.5</v>
      </c>
      <c r="M43" t="s">
        <v>46</v>
      </c>
      <c r="N43" t="s">
        <v>46</v>
      </c>
      <c r="O43" t="s">
        <v>47</v>
      </c>
      <c r="P43" t="s">
        <v>75</v>
      </c>
      <c r="Q43">
        <v>5</v>
      </c>
      <c r="R43">
        <f t="shared" si="5"/>
        <v>0.50000000005820766</v>
      </c>
      <c r="S43">
        <f t="shared" si="0"/>
        <v>9.9999999988358468</v>
      </c>
      <c r="T43" t="s">
        <v>48</v>
      </c>
      <c r="U43">
        <v>0</v>
      </c>
      <c r="V43">
        <v>0</v>
      </c>
      <c r="W43">
        <v>0</v>
      </c>
      <c r="X43">
        <v>0</v>
      </c>
      <c r="Y43">
        <f t="shared" si="1"/>
        <v>0</v>
      </c>
      <c r="Z43">
        <f t="shared" si="2"/>
        <v>0</v>
      </c>
      <c r="AA43">
        <v>0</v>
      </c>
      <c r="AB43">
        <f t="shared" si="6"/>
        <v>1601.4499999999998</v>
      </c>
      <c r="AC43">
        <v>0.35</v>
      </c>
      <c r="AD43">
        <v>0.1</v>
      </c>
      <c r="AE43">
        <v>0</v>
      </c>
      <c r="AF43">
        <v>0</v>
      </c>
      <c r="AG43">
        <v>0</v>
      </c>
      <c r="AH43">
        <v>0</v>
      </c>
      <c r="AI43">
        <f t="shared" si="3"/>
        <v>0.44999999999999996</v>
      </c>
      <c r="AJ43">
        <f t="shared" si="4"/>
        <v>21.599999997485426</v>
      </c>
      <c r="AK43">
        <v>0</v>
      </c>
      <c r="AL43">
        <f t="shared" si="7"/>
        <v>274.84999999999997</v>
      </c>
      <c r="AM43" s="12">
        <v>33</v>
      </c>
      <c r="AN43" s="12">
        <v>42.7</v>
      </c>
      <c r="AO43" s="12" t="s">
        <v>41</v>
      </c>
      <c r="AP43" s="12">
        <v>125</v>
      </c>
      <c r="AQ43" s="12">
        <v>42.1</v>
      </c>
      <c r="AR43" s="12" t="s">
        <v>42</v>
      </c>
      <c r="AS43" t="s">
        <v>46</v>
      </c>
      <c r="AT43">
        <v>31</v>
      </c>
      <c r="AU43" s="12">
        <v>0</v>
      </c>
      <c r="AV43" s="12">
        <v>0</v>
      </c>
    </row>
    <row r="44" spans="1:48" x14ac:dyDescent="0.3">
      <c r="A44">
        <v>0</v>
      </c>
      <c r="B44">
        <v>0</v>
      </c>
      <c r="C44">
        <v>0</v>
      </c>
      <c r="D44">
        <v>2025</v>
      </c>
      <c r="E44">
        <v>6</v>
      </c>
      <c r="F44">
        <v>2</v>
      </c>
      <c r="G44" t="s">
        <v>135</v>
      </c>
      <c r="H44" t="s">
        <v>77</v>
      </c>
      <c r="I44" t="s">
        <v>150</v>
      </c>
      <c r="J44" t="s">
        <v>156</v>
      </c>
      <c r="K44" t="s">
        <v>39</v>
      </c>
      <c r="L44">
        <v>3</v>
      </c>
      <c r="M44" t="s">
        <v>46</v>
      </c>
      <c r="N44" t="s">
        <v>46</v>
      </c>
      <c r="O44" t="s">
        <v>47</v>
      </c>
      <c r="P44" t="s">
        <v>73</v>
      </c>
      <c r="Q44">
        <v>67</v>
      </c>
      <c r="R44">
        <f t="shared" si="5"/>
        <v>3</v>
      </c>
      <c r="S44">
        <f t="shared" si="0"/>
        <v>22.333333333333332</v>
      </c>
      <c r="T44" t="s">
        <v>48</v>
      </c>
      <c r="U44">
        <v>3.45</v>
      </c>
      <c r="V44">
        <v>0.35</v>
      </c>
      <c r="W44">
        <v>0</v>
      </c>
      <c r="X44">
        <v>0</v>
      </c>
      <c r="Y44">
        <f t="shared" si="1"/>
        <v>3.8000000000000003</v>
      </c>
      <c r="Z44">
        <f t="shared" si="2"/>
        <v>30.400000000000002</v>
      </c>
      <c r="AA44">
        <v>0</v>
      </c>
      <c r="AB44">
        <f t="shared" si="6"/>
        <v>1597.6499999999999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f t="shared" si="3"/>
        <v>0</v>
      </c>
      <c r="AJ44">
        <f t="shared" si="4"/>
        <v>0</v>
      </c>
      <c r="AK44">
        <v>0</v>
      </c>
      <c r="AL44">
        <f t="shared" si="7"/>
        <v>274.84999999999997</v>
      </c>
      <c r="AM44">
        <v>33</v>
      </c>
      <c r="AN44">
        <v>44.1</v>
      </c>
      <c r="AO44" t="s">
        <v>41</v>
      </c>
      <c r="AP44">
        <v>127</v>
      </c>
      <c r="AQ44">
        <v>53.3</v>
      </c>
      <c r="AR44" t="s">
        <v>42</v>
      </c>
      <c r="AS44" t="s">
        <v>43</v>
      </c>
      <c r="AT44">
        <v>31</v>
      </c>
      <c r="AU44" s="12">
        <v>0</v>
      </c>
      <c r="AV44" s="12">
        <v>0</v>
      </c>
    </row>
    <row r="45" spans="1:48" x14ac:dyDescent="0.3">
      <c r="A45">
        <v>0</v>
      </c>
      <c r="B45">
        <v>0</v>
      </c>
      <c r="C45">
        <v>0</v>
      </c>
      <c r="D45">
        <v>2025</v>
      </c>
      <c r="E45">
        <v>6</v>
      </c>
      <c r="F45">
        <v>2</v>
      </c>
      <c r="G45" t="s">
        <v>135</v>
      </c>
      <c r="H45" t="s">
        <v>77</v>
      </c>
      <c r="I45" t="s">
        <v>151</v>
      </c>
      <c r="J45" t="s">
        <v>156</v>
      </c>
      <c r="K45" t="s">
        <v>39</v>
      </c>
      <c r="L45">
        <v>24</v>
      </c>
      <c r="M45" t="s">
        <v>46</v>
      </c>
      <c r="N45" t="s">
        <v>46</v>
      </c>
      <c r="O45" t="s">
        <v>47</v>
      </c>
      <c r="P45" t="s">
        <v>73</v>
      </c>
      <c r="Q45">
        <v>380</v>
      </c>
      <c r="R45">
        <f t="shared" si="5"/>
        <v>24</v>
      </c>
      <c r="S45">
        <f t="shared" si="0"/>
        <v>15.833333333333334</v>
      </c>
      <c r="T45" t="s">
        <v>67</v>
      </c>
      <c r="U45">
        <v>36.700000000000003</v>
      </c>
      <c r="V45">
        <v>3.35</v>
      </c>
      <c r="W45">
        <v>0</v>
      </c>
      <c r="X45">
        <v>0</v>
      </c>
      <c r="Y45">
        <f t="shared" si="1"/>
        <v>40.050000000000004</v>
      </c>
      <c r="Z45">
        <f t="shared" si="2"/>
        <v>40.050000000000004</v>
      </c>
      <c r="AA45">
        <v>0</v>
      </c>
      <c r="AB45">
        <f t="shared" si="6"/>
        <v>1557.6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f t="shared" si="3"/>
        <v>0</v>
      </c>
      <c r="AJ45">
        <f t="shared" si="4"/>
        <v>0</v>
      </c>
      <c r="AK45">
        <v>0</v>
      </c>
      <c r="AL45">
        <f t="shared" si="7"/>
        <v>274.84999999999997</v>
      </c>
      <c r="AM45">
        <v>30</v>
      </c>
      <c r="AN45">
        <v>53.1</v>
      </c>
      <c r="AO45" t="s">
        <v>41</v>
      </c>
      <c r="AP45">
        <v>132</v>
      </c>
      <c r="AQ45">
        <v>37.700000000000003</v>
      </c>
      <c r="AR45" t="s">
        <v>42</v>
      </c>
      <c r="AS45" t="s">
        <v>43</v>
      </c>
      <c r="AT45">
        <v>31</v>
      </c>
      <c r="AU45" s="12">
        <v>0</v>
      </c>
      <c r="AV45" s="12">
        <v>0</v>
      </c>
    </row>
    <row r="46" spans="1:48" x14ac:dyDescent="0.3">
      <c r="A46">
        <v>0</v>
      </c>
      <c r="B46">
        <v>0</v>
      </c>
      <c r="C46">
        <v>0</v>
      </c>
      <c r="D46">
        <v>2025</v>
      </c>
      <c r="E46">
        <v>6</v>
      </c>
      <c r="F46">
        <v>2</v>
      </c>
      <c r="G46" t="s">
        <v>135</v>
      </c>
      <c r="H46" t="s">
        <v>77</v>
      </c>
      <c r="I46" t="s">
        <v>152</v>
      </c>
      <c r="J46" t="s">
        <v>156</v>
      </c>
      <c r="K46" t="s">
        <v>39</v>
      </c>
      <c r="L46">
        <v>24</v>
      </c>
      <c r="M46" t="s">
        <v>46</v>
      </c>
      <c r="N46" t="s">
        <v>46</v>
      </c>
      <c r="O46" t="s">
        <v>47</v>
      </c>
      <c r="P46" t="s">
        <v>73</v>
      </c>
      <c r="Q46">
        <v>397</v>
      </c>
      <c r="R46">
        <f t="shared" si="5"/>
        <v>24</v>
      </c>
      <c r="S46">
        <f t="shared" si="0"/>
        <v>16.541666666666668</v>
      </c>
      <c r="T46" t="s">
        <v>99</v>
      </c>
      <c r="U46">
        <v>38.450000000000003</v>
      </c>
      <c r="V46">
        <v>5.8</v>
      </c>
      <c r="W46">
        <v>0</v>
      </c>
      <c r="X46">
        <v>0</v>
      </c>
      <c r="Y46">
        <f t="shared" si="1"/>
        <v>44.25</v>
      </c>
      <c r="Z46">
        <f t="shared" si="2"/>
        <v>44.25</v>
      </c>
      <c r="AA46">
        <v>0</v>
      </c>
      <c r="AB46">
        <f t="shared" si="6"/>
        <v>1513.35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f t="shared" si="3"/>
        <v>0</v>
      </c>
      <c r="AJ46">
        <f t="shared" si="4"/>
        <v>0</v>
      </c>
      <c r="AK46">
        <v>0</v>
      </c>
      <c r="AL46">
        <f t="shared" si="7"/>
        <v>274.84999999999997</v>
      </c>
      <c r="AM46">
        <v>30</v>
      </c>
      <c r="AN46">
        <v>42.5</v>
      </c>
      <c r="AO46" t="s">
        <v>41</v>
      </c>
      <c r="AP46">
        <v>140</v>
      </c>
      <c r="AQ46">
        <v>9.6999999999999993</v>
      </c>
      <c r="AR46" t="s">
        <v>42</v>
      </c>
      <c r="AS46" t="s">
        <v>43</v>
      </c>
      <c r="AT46">
        <v>31</v>
      </c>
      <c r="AU46" s="12">
        <v>0</v>
      </c>
      <c r="AV46" s="12">
        <v>0</v>
      </c>
    </row>
    <row r="47" spans="1:48" x14ac:dyDescent="0.3">
      <c r="A47">
        <v>0</v>
      </c>
      <c r="B47">
        <v>0</v>
      </c>
      <c r="C47">
        <v>0</v>
      </c>
      <c r="D47">
        <v>2025</v>
      </c>
      <c r="E47">
        <v>6</v>
      </c>
      <c r="F47">
        <v>2</v>
      </c>
      <c r="G47" t="s">
        <v>135</v>
      </c>
      <c r="H47" t="s">
        <v>77</v>
      </c>
      <c r="I47" t="s">
        <v>153</v>
      </c>
      <c r="J47" t="s">
        <v>156</v>
      </c>
      <c r="K47" t="s">
        <v>39</v>
      </c>
      <c r="L47">
        <v>24</v>
      </c>
      <c r="M47" t="s">
        <v>46</v>
      </c>
      <c r="N47" t="s">
        <v>46</v>
      </c>
      <c r="O47" t="s">
        <v>47</v>
      </c>
      <c r="P47" t="s">
        <v>73</v>
      </c>
      <c r="Q47">
        <v>384</v>
      </c>
      <c r="R47">
        <f t="shared" si="5"/>
        <v>24</v>
      </c>
      <c r="S47">
        <f t="shared" si="0"/>
        <v>16</v>
      </c>
      <c r="T47" t="s">
        <v>154</v>
      </c>
      <c r="U47">
        <v>37.700000000000003</v>
      </c>
      <c r="V47">
        <v>3.45</v>
      </c>
      <c r="W47">
        <v>0</v>
      </c>
      <c r="X47">
        <v>0</v>
      </c>
      <c r="Y47">
        <f t="shared" si="1"/>
        <v>41.150000000000006</v>
      </c>
      <c r="Z47">
        <f t="shared" si="2"/>
        <v>41.150000000000006</v>
      </c>
      <c r="AA47">
        <v>0</v>
      </c>
      <c r="AB47">
        <f t="shared" si="6"/>
        <v>1472.1999999999998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f t="shared" si="3"/>
        <v>0</v>
      </c>
      <c r="AJ47">
        <f t="shared" si="4"/>
        <v>0</v>
      </c>
      <c r="AK47">
        <v>0</v>
      </c>
      <c r="AL47">
        <f t="shared" si="7"/>
        <v>274.84999999999997</v>
      </c>
      <c r="AM47">
        <v>30</v>
      </c>
      <c r="AN47">
        <v>14.4</v>
      </c>
      <c r="AO47" t="s">
        <v>41</v>
      </c>
      <c r="AP47">
        <v>147</v>
      </c>
      <c r="AQ47">
        <v>28.4</v>
      </c>
      <c r="AR47" t="s">
        <v>42</v>
      </c>
      <c r="AS47" t="s">
        <v>43</v>
      </c>
      <c r="AT47">
        <v>31</v>
      </c>
      <c r="AU47" s="12">
        <v>0</v>
      </c>
      <c r="AV47" s="12">
        <v>0</v>
      </c>
    </row>
    <row r="48" spans="1:48" x14ac:dyDescent="0.3">
      <c r="A48">
        <v>0</v>
      </c>
      <c r="B48">
        <v>0</v>
      </c>
      <c r="C48">
        <v>0</v>
      </c>
      <c r="D48">
        <v>2025</v>
      </c>
      <c r="E48">
        <v>6</v>
      </c>
      <c r="F48">
        <v>2</v>
      </c>
      <c r="G48" t="s">
        <v>135</v>
      </c>
      <c r="H48" t="s">
        <v>77</v>
      </c>
      <c r="I48" t="s">
        <v>155</v>
      </c>
      <c r="J48" t="s">
        <v>156</v>
      </c>
      <c r="K48" t="s">
        <v>39</v>
      </c>
      <c r="L48">
        <v>23</v>
      </c>
      <c r="M48" t="s">
        <v>46</v>
      </c>
      <c r="N48" t="s">
        <v>46</v>
      </c>
      <c r="O48" t="s">
        <v>47</v>
      </c>
      <c r="P48" t="s">
        <v>73</v>
      </c>
      <c r="Q48">
        <v>369</v>
      </c>
      <c r="R48">
        <f t="shared" si="5"/>
        <v>24</v>
      </c>
      <c r="S48">
        <f t="shared" si="0"/>
        <v>15.375</v>
      </c>
      <c r="T48" t="s">
        <v>154</v>
      </c>
      <c r="U48">
        <v>37.75</v>
      </c>
      <c r="V48">
        <v>3.4</v>
      </c>
      <c r="W48">
        <v>0</v>
      </c>
      <c r="X48">
        <v>0</v>
      </c>
      <c r="Y48">
        <f t="shared" si="1"/>
        <v>41.15</v>
      </c>
      <c r="Z48">
        <f t="shared" si="2"/>
        <v>41.15</v>
      </c>
      <c r="AA48">
        <v>0</v>
      </c>
      <c r="AB48">
        <f t="shared" si="6"/>
        <v>1431.0499999999997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f t="shared" si="3"/>
        <v>0</v>
      </c>
      <c r="AJ48">
        <f t="shared" si="4"/>
        <v>0</v>
      </c>
      <c r="AK48">
        <v>0</v>
      </c>
      <c r="AL48">
        <f t="shared" si="7"/>
        <v>274.84999999999997</v>
      </c>
      <c r="AM48">
        <v>29</v>
      </c>
      <c r="AN48">
        <v>22.1</v>
      </c>
      <c r="AO48" t="s">
        <v>41</v>
      </c>
      <c r="AP48">
        <v>154</v>
      </c>
      <c r="AQ48">
        <v>26.8</v>
      </c>
      <c r="AR48" t="s">
        <v>42</v>
      </c>
      <c r="AS48" t="s">
        <v>43</v>
      </c>
      <c r="AT48">
        <v>31</v>
      </c>
      <c r="AU48" s="12">
        <v>0</v>
      </c>
      <c r="AV48" s="12">
        <v>0</v>
      </c>
    </row>
    <row r="49" spans="1:48" x14ac:dyDescent="0.3">
      <c r="A49">
        <v>0</v>
      </c>
      <c r="B49">
        <v>0</v>
      </c>
      <c r="C49">
        <v>0</v>
      </c>
      <c r="D49">
        <v>2025</v>
      </c>
      <c r="E49">
        <v>6</v>
      </c>
      <c r="F49">
        <v>2</v>
      </c>
      <c r="G49" t="s">
        <v>135</v>
      </c>
      <c r="H49" t="s">
        <v>77</v>
      </c>
      <c r="I49" t="s">
        <v>156</v>
      </c>
      <c r="J49" t="s">
        <v>156</v>
      </c>
      <c r="K49" t="s">
        <v>39</v>
      </c>
      <c r="L49">
        <v>24</v>
      </c>
      <c r="M49" t="s">
        <v>46</v>
      </c>
      <c r="N49" t="s">
        <v>46</v>
      </c>
      <c r="O49" t="s">
        <v>47</v>
      </c>
      <c r="P49" t="s">
        <v>73</v>
      </c>
      <c r="Q49">
        <v>382</v>
      </c>
      <c r="R49">
        <f t="shared" si="5"/>
        <v>24</v>
      </c>
      <c r="S49">
        <f t="shared" si="0"/>
        <v>15.916666666666666</v>
      </c>
      <c r="T49" t="s">
        <v>59</v>
      </c>
      <c r="U49">
        <v>38.1</v>
      </c>
      <c r="V49">
        <v>6.25</v>
      </c>
      <c r="W49">
        <v>0</v>
      </c>
      <c r="X49">
        <v>0</v>
      </c>
      <c r="Y49">
        <f t="shared" si="1"/>
        <v>44.35</v>
      </c>
      <c r="Z49">
        <f t="shared" si="2"/>
        <v>44.35</v>
      </c>
      <c r="AA49">
        <v>0</v>
      </c>
      <c r="AB49">
        <f t="shared" si="6"/>
        <v>1386.6999999999998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f t="shared" si="3"/>
        <v>0</v>
      </c>
      <c r="AJ49">
        <f t="shared" si="4"/>
        <v>0</v>
      </c>
      <c r="AK49">
        <v>0</v>
      </c>
      <c r="AL49">
        <f t="shared" si="7"/>
        <v>274.84999999999997</v>
      </c>
      <c r="AM49">
        <v>28</v>
      </c>
      <c r="AN49">
        <v>7.4</v>
      </c>
      <c r="AO49" t="s">
        <v>41</v>
      </c>
      <c r="AP49">
        <v>161</v>
      </c>
      <c r="AQ49">
        <v>31.2</v>
      </c>
      <c r="AR49" t="s">
        <v>42</v>
      </c>
      <c r="AS49" t="s">
        <v>43</v>
      </c>
      <c r="AT49">
        <v>31</v>
      </c>
      <c r="AU49" s="12">
        <v>0</v>
      </c>
      <c r="AV49" s="12"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 register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2025-02-28T14:19:11Z</dcterms:created>
  <dcterms:modified xsi:type="dcterms:W3CDTF">2025-03-17T20:30:14Z</dcterms:modified>
  <cp:category/>
</cp:coreProperties>
</file>