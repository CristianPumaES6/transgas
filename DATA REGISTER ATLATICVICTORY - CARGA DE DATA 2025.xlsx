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8_{4BC42846-D27B-41F9-ACD4-4D98C37AA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register" sheetId="1" r:id="rId1"/>
  </sheets>
  <calcPr calcId="181029"/>
</workbook>
</file>

<file path=xl/calcChain.xml><?xml version="1.0" encoding="utf-8"?>
<calcChain xmlns="http://schemas.openxmlformats.org/spreadsheetml/2006/main">
  <c r="AJ5" i="1" l="1"/>
  <c r="AA56" i="1"/>
  <c r="AH52" i="1"/>
  <c r="X52" i="1"/>
  <c r="Q52" i="1"/>
  <c r="R52" i="1" s="1"/>
  <c r="AH51" i="1"/>
  <c r="X51" i="1"/>
  <c r="Q51" i="1"/>
  <c r="R51" i="1" s="1"/>
  <c r="AH50" i="1"/>
  <c r="X50" i="1"/>
  <c r="Q50" i="1"/>
  <c r="R50" i="1" s="1"/>
  <c r="AH49" i="1"/>
  <c r="X49" i="1"/>
  <c r="Q49" i="1"/>
  <c r="Y49" i="1" s="1"/>
  <c r="AH48" i="1"/>
  <c r="X48" i="1"/>
  <c r="Q48" i="1"/>
  <c r="R48" i="1" s="1"/>
  <c r="AH47" i="1"/>
  <c r="X47" i="1"/>
  <c r="Q47" i="1"/>
  <c r="R47" i="1" s="1"/>
  <c r="AH46" i="1"/>
  <c r="X46" i="1"/>
  <c r="Q46" i="1"/>
  <c r="R46" i="1" s="1"/>
  <c r="AH45" i="1"/>
  <c r="X45" i="1"/>
  <c r="Q45" i="1"/>
  <c r="AH44" i="1"/>
  <c r="X44" i="1"/>
  <c r="Q44" i="1"/>
  <c r="R44" i="1" s="1"/>
  <c r="AH43" i="1"/>
  <c r="X43" i="1"/>
  <c r="Q43" i="1"/>
  <c r="Y43" i="1" s="1"/>
  <c r="AH42" i="1"/>
  <c r="X42" i="1"/>
  <c r="Q42" i="1"/>
  <c r="R42" i="1" s="1"/>
  <c r="AH41" i="1"/>
  <c r="X41" i="1"/>
  <c r="Q41" i="1"/>
  <c r="R41" i="1" s="1"/>
  <c r="AH40" i="1"/>
  <c r="X40" i="1"/>
  <c r="Q40" i="1"/>
  <c r="R40" i="1" s="1"/>
  <c r="AH39" i="1"/>
  <c r="X39" i="1"/>
  <c r="Q39" i="1"/>
  <c r="R39" i="1" s="1"/>
  <c r="AH38" i="1"/>
  <c r="X38" i="1"/>
  <c r="Q38" i="1"/>
  <c r="R38" i="1" s="1"/>
  <c r="AH37" i="1"/>
  <c r="X37" i="1"/>
  <c r="Q37" i="1"/>
  <c r="AH36" i="1"/>
  <c r="X36" i="1"/>
  <c r="Q36" i="1"/>
  <c r="R36" i="1" s="1"/>
  <c r="AH35" i="1"/>
  <c r="X35" i="1"/>
  <c r="Q35" i="1"/>
  <c r="AH34" i="1"/>
  <c r="X34" i="1"/>
  <c r="Q34" i="1"/>
  <c r="R34" i="1" s="1"/>
  <c r="AH33" i="1"/>
  <c r="X33" i="1"/>
  <c r="Q33" i="1"/>
  <c r="R33" i="1" s="1"/>
  <c r="AH32" i="1"/>
  <c r="X32" i="1"/>
  <c r="Q32" i="1"/>
  <c r="R32" i="1" s="1"/>
  <c r="AH31" i="1"/>
  <c r="X31" i="1"/>
  <c r="Q31" i="1"/>
  <c r="R31" i="1" s="1"/>
  <c r="AH30" i="1"/>
  <c r="X30" i="1"/>
  <c r="Q30" i="1"/>
  <c r="R30" i="1" s="1"/>
  <c r="AH29" i="1"/>
  <c r="X29" i="1"/>
  <c r="Q29" i="1"/>
  <c r="AH28" i="1"/>
  <c r="X28" i="1"/>
  <c r="Q28" i="1"/>
  <c r="R28" i="1" s="1"/>
  <c r="AH27" i="1"/>
  <c r="X27" i="1"/>
  <c r="Q27" i="1"/>
  <c r="R27" i="1" s="1"/>
  <c r="AH26" i="1"/>
  <c r="X26" i="1"/>
  <c r="Q26" i="1"/>
  <c r="R26" i="1" s="1"/>
  <c r="AH25" i="1"/>
  <c r="X25" i="1"/>
  <c r="Q25" i="1"/>
  <c r="AH24" i="1"/>
  <c r="X24" i="1"/>
  <c r="Q24" i="1"/>
  <c r="R24" i="1" s="1"/>
  <c r="AH23" i="1"/>
  <c r="X23" i="1"/>
  <c r="Q23" i="1"/>
  <c r="AH22" i="1"/>
  <c r="X22" i="1"/>
  <c r="Q22" i="1"/>
  <c r="R22" i="1" s="1"/>
  <c r="AH21" i="1"/>
  <c r="X21" i="1"/>
  <c r="Q21" i="1"/>
  <c r="R21" i="1" s="1"/>
  <c r="AH20" i="1"/>
  <c r="X20" i="1"/>
  <c r="Q20" i="1"/>
  <c r="R20" i="1" s="1"/>
  <c r="AH19" i="1"/>
  <c r="X19" i="1"/>
  <c r="Q19" i="1"/>
  <c r="R19" i="1" s="1"/>
  <c r="AH18" i="1"/>
  <c r="X18" i="1"/>
  <c r="Q18" i="1"/>
  <c r="R18" i="1" s="1"/>
  <c r="AH17" i="1"/>
  <c r="X17" i="1"/>
  <c r="Q17" i="1"/>
  <c r="R17" i="1" s="1"/>
  <c r="AH16" i="1"/>
  <c r="X16" i="1"/>
  <c r="Q16" i="1"/>
  <c r="R16" i="1" s="1"/>
  <c r="AH15" i="1"/>
  <c r="X15" i="1"/>
  <c r="Q15" i="1"/>
  <c r="AH14" i="1"/>
  <c r="X14" i="1"/>
  <c r="Q14" i="1"/>
  <c r="R14" i="1" s="1"/>
  <c r="AH13" i="1"/>
  <c r="X13" i="1"/>
  <c r="Q13" i="1"/>
  <c r="AH12" i="1"/>
  <c r="X12" i="1"/>
  <c r="Q12" i="1"/>
  <c r="R12" i="1" s="1"/>
  <c r="AH11" i="1"/>
  <c r="X11" i="1"/>
  <c r="Q11" i="1"/>
  <c r="R11" i="1" s="1"/>
  <c r="AH10" i="1"/>
  <c r="X10" i="1"/>
  <c r="Q10" i="1"/>
  <c r="R10" i="1" s="1"/>
  <c r="AH9" i="1"/>
  <c r="X9" i="1"/>
  <c r="Q9" i="1"/>
  <c r="R9" i="1" s="1"/>
  <c r="AH8" i="1"/>
  <c r="X8" i="1"/>
  <c r="Q8" i="1"/>
  <c r="R8" i="1" s="1"/>
  <c r="AH7" i="1"/>
  <c r="X7" i="1"/>
  <c r="Q7" i="1"/>
  <c r="R7" i="1" s="1"/>
  <c r="AH6" i="1"/>
  <c r="X6" i="1"/>
  <c r="Q6" i="1"/>
  <c r="R6" i="1" s="1"/>
  <c r="AH5" i="1"/>
  <c r="X5" i="1"/>
  <c r="Q5" i="1"/>
  <c r="R5" i="1" s="1"/>
  <c r="AI25" i="1" l="1"/>
  <c r="AI13" i="1"/>
  <c r="Y21" i="1"/>
  <c r="AI5" i="1"/>
  <c r="Y11" i="1"/>
  <c r="AI41" i="1"/>
  <c r="AI17" i="1"/>
  <c r="AI33" i="1"/>
  <c r="Y29" i="1"/>
  <c r="AI9" i="1"/>
  <c r="Y10" i="1"/>
  <c r="AI31" i="1"/>
  <c r="Y37" i="1"/>
  <c r="Y6" i="1"/>
  <c r="R25" i="1"/>
  <c r="R49" i="1"/>
  <c r="Y13" i="1"/>
  <c r="AI11" i="1"/>
  <c r="AI49" i="1"/>
  <c r="Y26" i="1"/>
  <c r="Y12" i="1"/>
  <c r="Y41" i="1"/>
  <c r="Y30" i="1"/>
  <c r="Y39" i="1"/>
  <c r="AI34" i="1"/>
  <c r="AI16" i="1"/>
  <c r="Y36" i="1"/>
  <c r="R13" i="1"/>
  <c r="AI28" i="1"/>
  <c r="Y42" i="1"/>
  <c r="Y47" i="1"/>
  <c r="Y52" i="1"/>
  <c r="AI39" i="1"/>
  <c r="Y44" i="1"/>
  <c r="AI44" i="1"/>
  <c r="Y31" i="1"/>
  <c r="Y45" i="1"/>
  <c r="AI21" i="1"/>
  <c r="AI36" i="1"/>
  <c r="Y5" i="1"/>
  <c r="Y14" i="1"/>
  <c r="Y33" i="1"/>
  <c r="AI47" i="1"/>
  <c r="AA6" i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R23" i="1"/>
  <c r="AI23" i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I15" i="1"/>
  <c r="R15" i="1"/>
  <c r="R37" i="1"/>
  <c r="Y50" i="1"/>
  <c r="Y15" i="1"/>
  <c r="Y35" i="1"/>
  <c r="R35" i="1"/>
  <c r="AI37" i="1"/>
  <c r="Y27" i="1"/>
  <c r="AI50" i="1"/>
  <c r="Y7" i="1"/>
  <c r="Y46" i="1"/>
  <c r="Y18" i="1"/>
  <c r="AI45" i="1"/>
  <c r="R45" i="1"/>
  <c r="Y8" i="1"/>
  <c r="R43" i="1"/>
  <c r="Y51" i="1"/>
  <c r="Y9" i="1"/>
  <c r="Y24" i="1"/>
  <c r="AI27" i="1"/>
  <c r="AI24" i="1"/>
  <c r="Y28" i="1"/>
  <c r="AI7" i="1"/>
  <c r="AI18" i="1"/>
  <c r="Y25" i="1"/>
  <c r="AI29" i="1"/>
  <c r="R29" i="1"/>
  <c r="AI8" i="1"/>
  <c r="Y22" i="1"/>
  <c r="Y40" i="1"/>
  <c r="AI43" i="1"/>
  <c r="Y19" i="1"/>
  <c r="AI40" i="1"/>
  <c r="AI12" i="1"/>
  <c r="Y34" i="1"/>
  <c r="Y16" i="1"/>
  <c r="Y38" i="1"/>
  <c r="AI10" i="1"/>
  <c r="AI19" i="1"/>
  <c r="Y32" i="1"/>
  <c r="Y48" i="1"/>
  <c r="AI51" i="1"/>
  <c r="Y23" i="1"/>
  <c r="AI32" i="1"/>
  <c r="AI35" i="1"/>
  <c r="AI48" i="1"/>
  <c r="Y20" i="1"/>
  <c r="AI26" i="1"/>
  <c r="AI42" i="1"/>
  <c r="Y17" i="1"/>
  <c r="AI20" i="1"/>
  <c r="AI6" i="1"/>
  <c r="AI14" i="1"/>
  <c r="AI22" i="1"/>
  <c r="AI30" i="1"/>
  <c r="AI38" i="1"/>
  <c r="AI46" i="1"/>
  <c r="AI52" i="1"/>
</calcChain>
</file>

<file path=xl/sharedStrings.xml><?xml version="1.0" encoding="utf-8"?>
<sst xmlns="http://schemas.openxmlformats.org/spreadsheetml/2006/main" count="626" uniqueCount="165">
  <si>
    <t>VLSFO CONSUMPTION IN MT</t>
  </si>
  <si>
    <t>MGO CONSUMPTION IN MT</t>
  </si>
  <si>
    <t>voyageId</t>
  </si>
  <si>
    <t>portId</t>
  </si>
  <si>
    <t>dailyReportId</t>
  </si>
  <si>
    <t>year</t>
  </si>
  <si>
    <t>voyageNumber</t>
  </si>
  <si>
    <t>portNumber</t>
  </si>
  <si>
    <t>departurePort</t>
  </si>
  <si>
    <t>arrivalPort</t>
  </si>
  <si>
    <t>date</t>
  </si>
  <si>
    <t>hour</t>
  </si>
  <si>
    <t>steamingTime</t>
  </si>
  <si>
    <t>activityPerformed</t>
  </si>
  <si>
    <t>speedStraction</t>
  </si>
  <si>
    <t>observation</t>
  </si>
  <si>
    <t>distance</t>
  </si>
  <si>
    <t>steamingTime2</t>
  </si>
  <si>
    <t>SPEED22</t>
  </si>
  <si>
    <t>beaufour</t>
  </si>
  <si>
    <t>mplaIfo</t>
  </si>
  <si>
    <t>auxIfo</t>
  </si>
  <si>
    <t>boilerIfo</t>
  </si>
  <si>
    <t>otherIfo</t>
  </si>
  <si>
    <t>TOTAL</t>
  </si>
  <si>
    <t>DAILY COSUMTION</t>
  </si>
  <si>
    <t>bunkeringIfo</t>
  </si>
  <si>
    <t>ROB</t>
  </si>
  <si>
    <t>mplaMgo</t>
  </si>
  <si>
    <t>auxMgo</t>
  </si>
  <si>
    <t>boilerMgo</t>
  </si>
  <si>
    <t>ppMgo</t>
  </si>
  <si>
    <t>giMgo</t>
  </si>
  <si>
    <t>otherMgo</t>
  </si>
  <si>
    <t>bunkeringMgo</t>
  </si>
  <si>
    <t>north_degree</t>
  </si>
  <si>
    <t>north_minutes</t>
  </si>
  <si>
    <t>north_north_south</t>
  </si>
  <si>
    <t>east_degree</t>
  </si>
  <si>
    <t>east_minutes</t>
  </si>
  <si>
    <t>east_east_west</t>
  </si>
  <si>
    <t>typeActivityPerformed</t>
  </si>
  <si>
    <t>userId</t>
  </si>
  <si>
    <t>updatePort</t>
  </si>
  <si>
    <t>delete_report</t>
  </si>
  <si>
    <t>08:00</t>
  </si>
  <si>
    <t/>
  </si>
  <si>
    <t>North</t>
  </si>
  <si>
    <t>East</t>
  </si>
  <si>
    <t>REPORT_AT_08_00</t>
  </si>
  <si>
    <t>West</t>
  </si>
  <si>
    <t>BALBOA</t>
  </si>
  <si>
    <t>SAILING_IN_BALLAST</t>
  </si>
  <si>
    <t>FULL</t>
  </si>
  <si>
    <t>NE5</t>
  </si>
  <si>
    <t>NE2</t>
  </si>
  <si>
    <t>NW3</t>
  </si>
  <si>
    <t>ANCHORED</t>
  </si>
  <si>
    <t>MANEUVER</t>
  </si>
  <si>
    <t>NE4</t>
  </si>
  <si>
    <t>SAILING_WITH_LADEN</t>
  </si>
  <si>
    <t>21:00</t>
  </si>
  <si>
    <t>ME ready for maneuvering.</t>
  </si>
  <si>
    <t>N2</t>
  </si>
  <si>
    <t>S4</t>
  </si>
  <si>
    <t>NW5</t>
  </si>
  <si>
    <t>NW7</t>
  </si>
  <si>
    <t>N4</t>
  </si>
  <si>
    <t>DOWNLOADING</t>
  </si>
  <si>
    <t>SW6</t>
  </si>
  <si>
    <t>N5</t>
  </si>
  <si>
    <t>N3</t>
  </si>
  <si>
    <t>sw</t>
  </si>
  <si>
    <t>SE2</t>
  </si>
  <si>
    <t>SW7</t>
  </si>
  <si>
    <t>06:42</t>
  </si>
  <si>
    <t>TSL report, maneuvering.</t>
  </si>
  <si>
    <t>SW4</t>
  </si>
  <si>
    <t>NW2</t>
  </si>
  <si>
    <t>TSL report, sailing to Balboa.</t>
  </si>
  <si>
    <t>NE6</t>
  </si>
  <si>
    <t>Change to HFO.</t>
  </si>
  <si>
    <t>Change to MGO.</t>
  </si>
  <si>
    <t>Balboa.</t>
  </si>
  <si>
    <t>06:00</t>
  </si>
  <si>
    <t>09:06</t>
  </si>
  <si>
    <t>QUINGDAO</t>
  </si>
  <si>
    <t>2024-12-25 06:42:00.000</t>
  </si>
  <si>
    <t>Change to FO.</t>
  </si>
  <si>
    <t>2024-12-25 08:00:00.000</t>
  </si>
  <si>
    <t>TSL report, sailing to Qingdao.</t>
  </si>
  <si>
    <t>2024-12-26 08:00:00.000</t>
  </si>
  <si>
    <t>W1</t>
  </si>
  <si>
    <t>2024-12-27 08:00:00.000</t>
  </si>
  <si>
    <t>2024-12-28 08:00:00.000</t>
  </si>
  <si>
    <t>2024-12-29 08:00:00.000</t>
  </si>
  <si>
    <t>2024-12-30 08:00:00.000</t>
  </si>
  <si>
    <t>2024-12-31 08:00:00.000</t>
  </si>
  <si>
    <t>2025-01-01 08:00:00.000</t>
  </si>
  <si>
    <t>2025-01-02 08:00:00.000</t>
  </si>
  <si>
    <t>2025-01-03 08:00:00.000</t>
  </si>
  <si>
    <t>2025-01-04 08:00:00.000</t>
  </si>
  <si>
    <t>2025-01-05 08:00:00.000</t>
  </si>
  <si>
    <t>2025-01-06 08:00:00.000</t>
  </si>
  <si>
    <t>TSl report, sailing to Qingdao.</t>
  </si>
  <si>
    <t>W6</t>
  </si>
  <si>
    <t>2025-01-07 08:00:00.000</t>
  </si>
  <si>
    <t xml:space="preserve">TSL report, sailing to Qingdao.
</t>
  </si>
  <si>
    <t>2025-01-08 08:00:00.000</t>
  </si>
  <si>
    <t>2025-01-09 08:00:00.000</t>
  </si>
  <si>
    <t>TSL report, sailing to Longkou.</t>
  </si>
  <si>
    <t>2025-01-10 08:00:00.000</t>
  </si>
  <si>
    <t>2025-01-11 08:00:00.000</t>
  </si>
  <si>
    <t>2025-01-12 08:00:00.000</t>
  </si>
  <si>
    <t>2025-01-13 08:00:00.000</t>
  </si>
  <si>
    <t>2025-01-15 08:00:00.000</t>
  </si>
  <si>
    <t>TSL report, sailing to Longkou. se adelanta un dia por cambio zona horaria.</t>
  </si>
  <si>
    <t>2025-01-16 08:00:00.000</t>
  </si>
  <si>
    <t xml:space="preserve">TSL report, sailing to Longkou.
</t>
  </si>
  <si>
    <t>2025-01-17 08:00:00.000</t>
  </si>
  <si>
    <t>2025-01-18 08:00:00.000</t>
  </si>
  <si>
    <t>2025-01-19 08:00:00.000</t>
  </si>
  <si>
    <t>2025-01-20 08:00:00.000</t>
  </si>
  <si>
    <t>2025-01-21 08:00:00.000</t>
  </si>
  <si>
    <t>2025-01-21 15:12:00.000</t>
  </si>
  <si>
    <t>15:12</t>
  </si>
  <si>
    <t>2025-01-22 03:42:00.000</t>
  </si>
  <si>
    <t>03:42</t>
  </si>
  <si>
    <t>Arrival to Longkou.</t>
  </si>
  <si>
    <t>2025-01-22 08:00:00.000</t>
  </si>
  <si>
    <t>TSL report, anchored in Longkou.</t>
  </si>
  <si>
    <t>2025-01-22 11:00:00.000</t>
  </si>
  <si>
    <t>11:00</t>
  </si>
  <si>
    <t>FWE, berthed in Longkou.</t>
  </si>
  <si>
    <t>2025-01-23 08:00:00.000</t>
  </si>
  <si>
    <t>TSL report, berthed in Longkou.</t>
  </si>
  <si>
    <t>2025-01-24 06:00:00.000</t>
  </si>
  <si>
    <t>2025-01-24 08:00:00.000</t>
  </si>
  <si>
    <t>2025-01-24 09:06:00.000</t>
  </si>
  <si>
    <t>Departure Longkou.</t>
  </si>
  <si>
    <t>Longkou</t>
  </si>
  <si>
    <t>Yeosu</t>
  </si>
  <si>
    <t>2025-01-24 19:36:00.000</t>
  </si>
  <si>
    <t>19:36</t>
  </si>
  <si>
    <t>2025-01-25 08:00:00.000</t>
  </si>
  <si>
    <t>TSL report, sailing to Yeosu.</t>
  </si>
  <si>
    <t>2025-01-25 19:30:00.000</t>
  </si>
  <si>
    <t>19:30</t>
  </si>
  <si>
    <t>Change to  MGO.</t>
  </si>
  <si>
    <t>2025-01-25 21:00:00.000</t>
  </si>
  <si>
    <t>Arrival Yeosu.</t>
  </si>
  <si>
    <t>2025-01-26 04:30:00.000</t>
  </si>
  <si>
    <t>04:30</t>
  </si>
  <si>
    <t>Departure Yeosu.</t>
  </si>
  <si>
    <t>2025-01-26 05:00:00.000</t>
  </si>
  <si>
    <t>05:00</t>
  </si>
  <si>
    <t>2025-01-26 08:00:00.000</t>
  </si>
  <si>
    <t>2025-01-27 08:00:00.000</t>
  </si>
  <si>
    <t>2025-01-28 08:00:00.000</t>
  </si>
  <si>
    <t>2025-01-29 08:00:00.000</t>
  </si>
  <si>
    <t>W5</t>
  </si>
  <si>
    <t>2025-01-30 08:00:00.000</t>
  </si>
  <si>
    <t>2025-01-31 08:00:00.000</t>
  </si>
  <si>
    <t>nextActivityPerformed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</si>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</sst>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rgb="FFFFCD06"/>
      <name val="Calibri"/>
    </font>
    <font>
      <b/>
      <sz val="8"/>
      <color rgb="FFFFFFFF"/>
      <name val="Calibri"/>
    </font>
    <font>
      <b/>
      <u/>
      <sz val="8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1556"/>
      </patternFill>
    </fill>
    <fill>
      <patternFill patternType="solid">
        <fgColor rgb="FF0040D8"/>
      </patternFill>
    </fill>
    <fill>
      <patternFill patternType="solid">
        <fgColor rgb="FF375F9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double">
        <color rgb="FFF3F3F3"/>
      </left>
      <right style="double">
        <color rgb="FFF3F3F3"/>
      </right>
      <top style="double">
        <color rgb="FFF3F3F3"/>
      </top>
      <bottom style="double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5" borderId="3" xfId="0" applyFill="1" applyBorder="1"/>
    <xf numFmtId="0" fontId="0" fillId="5" borderId="4" xfId="0" applyFill="1" applyBorder="1"/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4" xfId="0" applyBorder="1"/>
    <xf numFmtId="0" fontId="2" fillId="4" borderId="5" xfId="0" applyFont="1" applyFill="1" applyBorder="1" applyAlignment="1">
      <alignment horizontal="center" vertical="center"/>
    </xf>
    <xf numFmtId="0" fontId="0" fillId="6" borderId="0" xfId="0" applyFill="1"/>
    <xf numFmtId="0" fontId="2" fillId="6" borderId="2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M56"/>
  <sheetViews>
    <sheetView tabSelected="1" topLeftCell="A7" workbookViewId="0">
      <selection activeCell="G43" sqref="G43"/>
    </sheetView>
  </sheetViews>
  <sheetFormatPr baseColWidth="10" defaultColWidth="8.88671875" defaultRowHeight="14.4" x14ac:dyDescent="0.3"/>
  <cols>
    <col min="1" max="3" width="4" customWidth="1"/>
    <col min="4" max="4" width="16.33203125" customWidth="1"/>
    <col min="5" max="5" width="4" customWidth="1"/>
    <col min="6" max="6" width="8" customWidth="1"/>
    <col min="7" max="8" width="16" customWidth="1"/>
    <col min="9" max="9" width="24.77734375" customWidth="1"/>
    <col min="10" max="10" width="8" customWidth="1"/>
    <col min="11" max="11" width="14" customWidth="1"/>
    <col min="12" max="12" width="22.33203125" customWidth="1"/>
    <col min="13" max="13" width="22.109375" customWidth="1"/>
    <col min="14" max="14" width="24.21875" customWidth="1"/>
    <col min="15" max="15" width="24" customWidth="1"/>
    <col min="16" max="38" width="13.21875" customWidth="1"/>
    <col min="39" max="62" width="8" customWidth="1"/>
    <col min="63" max="93" width="4" customWidth="1"/>
  </cols>
  <sheetData>
    <row r="3" spans="1:91" ht="27" thickTop="1" thickBot="1" x14ac:dyDescent="0.35">
      <c r="T3" s="16" t="s">
        <v>0</v>
      </c>
      <c r="U3" s="16"/>
      <c r="V3" s="16"/>
      <c r="W3" s="16"/>
      <c r="X3" s="16"/>
      <c r="Y3" s="16"/>
      <c r="Z3" s="16"/>
      <c r="AA3" s="16"/>
      <c r="AB3" s="16" t="s">
        <v>1</v>
      </c>
      <c r="AC3" s="16"/>
      <c r="AD3" s="16"/>
      <c r="AE3" s="16"/>
      <c r="AF3" s="16"/>
      <c r="AG3" s="16"/>
      <c r="AH3" s="16"/>
      <c r="AI3" s="16"/>
      <c r="AJ3" s="16"/>
      <c r="AK3" s="16"/>
    </row>
    <row r="4" spans="1:91" ht="21.6" customHeight="1" thickTop="1" x14ac:dyDescent="0.3">
      <c r="A4" s="1" t="s">
        <v>2</v>
      </c>
      <c r="B4" s="2" t="s">
        <v>3</v>
      </c>
      <c r="C4" s="2" t="s">
        <v>4</v>
      </c>
      <c r="D4" s="3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5" t="s">
        <v>10</v>
      </c>
      <c r="J4" s="5" t="s">
        <v>11</v>
      </c>
      <c r="K4" s="4" t="s">
        <v>12</v>
      </c>
      <c r="L4" s="3" t="s">
        <v>13</v>
      </c>
      <c r="M4" s="6" t="s">
        <v>163</v>
      </c>
      <c r="N4" s="3" t="s">
        <v>14</v>
      </c>
      <c r="O4" s="3" t="s">
        <v>15</v>
      </c>
      <c r="P4" s="3" t="s">
        <v>16</v>
      </c>
      <c r="Q4" s="2" t="s">
        <v>17</v>
      </c>
      <c r="R4" s="7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7" t="s">
        <v>24</v>
      </c>
      <c r="Y4" s="7" t="s">
        <v>25</v>
      </c>
      <c r="Z4" s="3" t="s">
        <v>26</v>
      </c>
      <c r="AA4" s="7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7" t="s">
        <v>24</v>
      </c>
      <c r="AI4" s="7" t="s">
        <v>25</v>
      </c>
      <c r="AJ4" s="3" t="s">
        <v>34</v>
      </c>
      <c r="AK4" s="7" t="s">
        <v>27</v>
      </c>
      <c r="AL4" s="3" t="s">
        <v>35</v>
      </c>
      <c r="AM4" s="5" t="s">
        <v>36</v>
      </c>
      <c r="AN4" s="3" t="s">
        <v>37</v>
      </c>
      <c r="AO4" s="5" t="s">
        <v>38</v>
      </c>
      <c r="AP4" s="5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8" t="s">
        <v>44</v>
      </c>
      <c r="AW4" s="9"/>
      <c r="AX4" s="10"/>
      <c r="AY4" s="9"/>
      <c r="AZ4" s="10"/>
      <c r="BA4" s="9"/>
      <c r="BB4" s="10"/>
      <c r="BC4" s="9"/>
      <c r="BD4" s="10"/>
      <c r="BE4" s="9"/>
      <c r="BF4" s="10"/>
      <c r="BG4" s="9"/>
      <c r="BH4" s="10"/>
      <c r="BI4" s="9"/>
      <c r="BJ4" s="10"/>
      <c r="BK4" s="9"/>
      <c r="BL4" s="10"/>
      <c r="BM4" s="9"/>
      <c r="BN4" s="10"/>
      <c r="BO4" s="9"/>
      <c r="BP4" s="10"/>
      <c r="BQ4" s="9"/>
      <c r="BR4" s="10"/>
      <c r="BS4" s="9"/>
      <c r="BT4" s="10"/>
      <c r="BU4" s="9"/>
      <c r="BV4" s="10"/>
      <c r="BW4" s="9"/>
      <c r="BX4" s="10"/>
      <c r="BY4" s="9"/>
      <c r="BZ4" s="10"/>
      <c r="CA4" s="9"/>
      <c r="CB4" s="10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</row>
    <row r="5" spans="1:91" x14ac:dyDescent="0.3">
      <c r="D5">
        <v>2025</v>
      </c>
      <c r="E5">
        <v>5</v>
      </c>
      <c r="F5">
        <v>4</v>
      </c>
      <c r="G5" t="s">
        <v>51</v>
      </c>
      <c r="H5" t="s">
        <v>86</v>
      </c>
      <c r="I5" t="s">
        <v>87</v>
      </c>
      <c r="J5" t="s">
        <v>75</v>
      </c>
      <c r="K5">
        <v>0.9</v>
      </c>
      <c r="L5" t="s">
        <v>60</v>
      </c>
      <c r="M5" t="s">
        <v>60</v>
      </c>
      <c r="N5" t="s">
        <v>53</v>
      </c>
      <c r="O5" t="s">
        <v>88</v>
      </c>
      <c r="P5">
        <v>6</v>
      </c>
      <c r="Q5">
        <f>IFERROR((I5 -#REF!)*24,0)</f>
        <v>0</v>
      </c>
      <c r="R5">
        <f t="shared" ref="R5:R52" si="0">IF(ISERROR(P5/Q5),0,P5/Q5)</f>
        <v>0</v>
      </c>
      <c r="S5" t="s">
        <v>56</v>
      </c>
      <c r="T5">
        <v>0</v>
      </c>
      <c r="U5">
        <v>0</v>
      </c>
      <c r="V5">
        <v>0</v>
      </c>
      <c r="W5">
        <v>0</v>
      </c>
      <c r="X5">
        <f t="shared" ref="X5:X52" si="1">SUM(T5:W5)</f>
        <v>0</v>
      </c>
      <c r="Y5">
        <f t="shared" ref="Y5:Y52" si="2">IF(ISERROR(X5*24/Q5),0,X5*24/Q5)</f>
        <v>0</v>
      </c>
      <c r="Z5">
        <v>2143.33</v>
      </c>
      <c r="AA5">
        <v>2143.33</v>
      </c>
      <c r="AB5">
        <v>0.45</v>
      </c>
      <c r="AC5">
        <v>0.2</v>
      </c>
      <c r="AD5">
        <v>0</v>
      </c>
      <c r="AE5">
        <v>0</v>
      </c>
      <c r="AF5">
        <v>0</v>
      </c>
      <c r="AG5">
        <v>0</v>
      </c>
      <c r="AH5">
        <f t="shared" ref="AH5:AH52" si="3">SUM(AB5:AG5)</f>
        <v>0.65</v>
      </c>
      <c r="AI5">
        <f t="shared" ref="AI5:AI52" si="4">IF(ISERROR(AH5*24/Q5),0,AH5*24/Q5)</f>
        <v>0</v>
      </c>
      <c r="AJ5">
        <f>331.95+AH5</f>
        <v>332.59999999999997</v>
      </c>
      <c r="AK5">
        <v>331.95</v>
      </c>
      <c r="AL5" s="14">
        <v>8</v>
      </c>
      <c r="AM5" s="14">
        <v>20.7</v>
      </c>
      <c r="AN5" s="14" t="s">
        <v>47</v>
      </c>
      <c r="AO5" s="14">
        <v>79</v>
      </c>
      <c r="AP5" s="14">
        <v>27.1</v>
      </c>
      <c r="AQ5" s="14" t="s">
        <v>50</v>
      </c>
      <c r="AR5" t="s">
        <v>60</v>
      </c>
      <c r="AS5">
        <v>31</v>
      </c>
    </row>
    <row r="6" spans="1:91" x14ac:dyDescent="0.3">
      <c r="D6">
        <v>2025</v>
      </c>
      <c r="E6">
        <v>5</v>
      </c>
      <c r="F6">
        <v>4</v>
      </c>
      <c r="G6" t="s">
        <v>51</v>
      </c>
      <c r="H6" t="s">
        <v>86</v>
      </c>
      <c r="I6" t="s">
        <v>89</v>
      </c>
      <c r="J6" t="s">
        <v>45</v>
      </c>
      <c r="K6">
        <v>1.3</v>
      </c>
      <c r="L6" t="s">
        <v>60</v>
      </c>
      <c r="M6" t="s">
        <v>60</v>
      </c>
      <c r="N6" t="s">
        <v>53</v>
      </c>
      <c r="O6" t="s">
        <v>90</v>
      </c>
      <c r="P6">
        <v>2.2000000000000002</v>
      </c>
      <c r="Q6">
        <f t="shared" ref="Q6:Q52" si="5">IFERROR((I6 - I5)*24,0)</f>
        <v>1.3000000000465661</v>
      </c>
      <c r="R6">
        <f t="shared" si="0"/>
        <v>1.6923076922470739</v>
      </c>
      <c r="S6" t="s">
        <v>56</v>
      </c>
      <c r="T6">
        <v>1.75</v>
      </c>
      <c r="U6">
        <v>0.35</v>
      </c>
      <c r="V6">
        <v>0</v>
      </c>
      <c r="W6">
        <v>0</v>
      </c>
      <c r="X6">
        <f t="shared" si="1"/>
        <v>2.1</v>
      </c>
      <c r="Y6">
        <f t="shared" si="2"/>
        <v>38.769230767842053</v>
      </c>
      <c r="Z6">
        <v>0</v>
      </c>
      <c r="AA6">
        <f t="shared" ref="AA6:AA52" si="6">AA5-X6+Z6</f>
        <v>2141.23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f t="shared" si="3"/>
        <v>0</v>
      </c>
      <c r="AI6">
        <f t="shared" si="4"/>
        <v>0</v>
      </c>
      <c r="AJ6">
        <v>0</v>
      </c>
      <c r="AK6">
        <f t="shared" ref="AK6:AK52" si="7">AK5-AH6+AJ6</f>
        <v>331.95</v>
      </c>
      <c r="AL6" s="14">
        <v>8</v>
      </c>
      <c r="AM6" s="14">
        <v>20.7</v>
      </c>
      <c r="AN6" s="14" t="s">
        <v>47</v>
      </c>
      <c r="AO6" s="14">
        <v>79</v>
      </c>
      <c r="AP6" s="14">
        <v>27.1</v>
      </c>
      <c r="AQ6" s="14" t="s">
        <v>50</v>
      </c>
      <c r="AR6" t="s">
        <v>49</v>
      </c>
      <c r="AS6">
        <v>31</v>
      </c>
    </row>
    <row r="7" spans="1:91" x14ac:dyDescent="0.3">
      <c r="D7">
        <v>2025</v>
      </c>
      <c r="E7">
        <v>5</v>
      </c>
      <c r="F7">
        <v>4</v>
      </c>
      <c r="G7" t="s">
        <v>51</v>
      </c>
      <c r="H7" t="s">
        <v>86</v>
      </c>
      <c r="I7" t="s">
        <v>91</v>
      </c>
      <c r="J7" t="s">
        <v>45</v>
      </c>
      <c r="K7">
        <v>24</v>
      </c>
      <c r="L7" t="s">
        <v>60</v>
      </c>
      <c r="M7" t="s">
        <v>60</v>
      </c>
      <c r="N7" t="s">
        <v>53</v>
      </c>
      <c r="O7" t="s">
        <v>90</v>
      </c>
      <c r="P7">
        <v>313</v>
      </c>
      <c r="Q7">
        <f t="shared" si="5"/>
        <v>24</v>
      </c>
      <c r="R7">
        <f t="shared" si="0"/>
        <v>13.041666666666666</v>
      </c>
      <c r="S7" t="s">
        <v>92</v>
      </c>
      <c r="T7">
        <v>35.5</v>
      </c>
      <c r="U7">
        <v>7.2</v>
      </c>
      <c r="V7">
        <v>0</v>
      </c>
      <c r="W7">
        <v>0</v>
      </c>
      <c r="X7">
        <f t="shared" si="1"/>
        <v>42.7</v>
      </c>
      <c r="Y7">
        <f t="shared" si="2"/>
        <v>42.70000000000001</v>
      </c>
      <c r="Z7">
        <v>0</v>
      </c>
      <c r="AA7">
        <f t="shared" si="6"/>
        <v>2098.5300000000002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f t="shared" si="3"/>
        <v>0</v>
      </c>
      <c r="AI7">
        <f t="shared" si="4"/>
        <v>0</v>
      </c>
      <c r="AJ7">
        <v>0</v>
      </c>
      <c r="AK7">
        <f t="shared" si="7"/>
        <v>331.95</v>
      </c>
      <c r="AL7">
        <v>8</v>
      </c>
      <c r="AM7">
        <v>9.3000000000000007</v>
      </c>
      <c r="AN7" t="s">
        <v>47</v>
      </c>
      <c r="AO7">
        <v>84</v>
      </c>
      <c r="AP7">
        <v>11.4</v>
      </c>
      <c r="AQ7" t="s">
        <v>50</v>
      </c>
      <c r="AR7" t="s">
        <v>49</v>
      </c>
      <c r="AS7">
        <v>31</v>
      </c>
    </row>
    <row r="8" spans="1:91" x14ac:dyDescent="0.3">
      <c r="D8">
        <v>2025</v>
      </c>
      <c r="E8">
        <v>5</v>
      </c>
      <c r="F8">
        <v>4</v>
      </c>
      <c r="G8" t="s">
        <v>51</v>
      </c>
      <c r="H8" t="s">
        <v>86</v>
      </c>
      <c r="I8" t="s">
        <v>93</v>
      </c>
      <c r="J8" t="s">
        <v>45</v>
      </c>
      <c r="K8">
        <v>24</v>
      </c>
      <c r="L8" t="s">
        <v>60</v>
      </c>
      <c r="M8" t="s">
        <v>60</v>
      </c>
      <c r="N8" t="s">
        <v>53</v>
      </c>
      <c r="O8" t="s">
        <v>90</v>
      </c>
      <c r="P8">
        <v>366</v>
      </c>
      <c r="Q8">
        <f t="shared" si="5"/>
        <v>24</v>
      </c>
      <c r="R8">
        <f t="shared" si="0"/>
        <v>15.25</v>
      </c>
      <c r="S8" t="s">
        <v>67</v>
      </c>
      <c r="T8">
        <v>38.75</v>
      </c>
      <c r="U8">
        <v>7.48</v>
      </c>
      <c r="V8">
        <v>0</v>
      </c>
      <c r="W8">
        <v>0</v>
      </c>
      <c r="X8">
        <f t="shared" si="1"/>
        <v>46.230000000000004</v>
      </c>
      <c r="Y8">
        <f t="shared" si="2"/>
        <v>46.23</v>
      </c>
      <c r="Z8">
        <v>0</v>
      </c>
      <c r="AA8">
        <f t="shared" si="6"/>
        <v>2052.3000000000002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f t="shared" si="3"/>
        <v>0</v>
      </c>
      <c r="AI8">
        <f t="shared" si="4"/>
        <v>0</v>
      </c>
      <c r="AJ8">
        <v>0</v>
      </c>
      <c r="AK8">
        <f t="shared" si="7"/>
        <v>331.95</v>
      </c>
      <c r="AL8">
        <v>10</v>
      </c>
      <c r="AM8">
        <v>58.9</v>
      </c>
      <c r="AN8" t="s">
        <v>47</v>
      </c>
      <c r="AO8">
        <v>89</v>
      </c>
      <c r="AP8">
        <v>24</v>
      </c>
      <c r="AQ8" t="s">
        <v>50</v>
      </c>
      <c r="AR8" t="s">
        <v>49</v>
      </c>
      <c r="AS8">
        <v>31</v>
      </c>
    </row>
    <row r="9" spans="1:91" x14ac:dyDescent="0.3">
      <c r="D9">
        <v>2025</v>
      </c>
      <c r="E9">
        <v>5</v>
      </c>
      <c r="F9">
        <v>4</v>
      </c>
      <c r="G9" t="s">
        <v>51</v>
      </c>
      <c r="H9" t="s">
        <v>86</v>
      </c>
      <c r="I9" t="s">
        <v>94</v>
      </c>
      <c r="J9" t="s">
        <v>45</v>
      </c>
      <c r="K9">
        <v>25</v>
      </c>
      <c r="L9" t="s">
        <v>60</v>
      </c>
      <c r="M9" t="s">
        <v>60</v>
      </c>
      <c r="N9" t="s">
        <v>53</v>
      </c>
      <c r="O9" t="s">
        <v>90</v>
      </c>
      <c r="P9">
        <v>386</v>
      </c>
      <c r="Q9">
        <f t="shared" si="5"/>
        <v>24</v>
      </c>
      <c r="R9">
        <f t="shared" si="0"/>
        <v>16.083333333333332</v>
      </c>
      <c r="S9" t="s">
        <v>55</v>
      </c>
      <c r="T9">
        <v>41.85</v>
      </c>
      <c r="U9">
        <v>5.15</v>
      </c>
      <c r="V9">
        <v>0</v>
      </c>
      <c r="W9">
        <v>0</v>
      </c>
      <c r="X9">
        <f t="shared" si="1"/>
        <v>47</v>
      </c>
      <c r="Y9">
        <f t="shared" si="2"/>
        <v>47</v>
      </c>
      <c r="Z9">
        <v>0</v>
      </c>
      <c r="AA9">
        <f t="shared" si="6"/>
        <v>2005.3000000000002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f t="shared" si="3"/>
        <v>0</v>
      </c>
      <c r="AI9">
        <f t="shared" si="4"/>
        <v>0</v>
      </c>
      <c r="AJ9">
        <v>0</v>
      </c>
      <c r="AK9">
        <f t="shared" si="7"/>
        <v>331.95</v>
      </c>
      <c r="AL9">
        <v>13</v>
      </c>
      <c r="AM9">
        <v>39.1</v>
      </c>
      <c r="AN9" t="s">
        <v>47</v>
      </c>
      <c r="AO9">
        <v>95</v>
      </c>
      <c r="AP9">
        <v>19.7</v>
      </c>
      <c r="AQ9" t="s">
        <v>50</v>
      </c>
      <c r="AR9" t="s">
        <v>49</v>
      </c>
      <c r="AS9">
        <v>31</v>
      </c>
    </row>
    <row r="10" spans="1:91" x14ac:dyDescent="0.3">
      <c r="D10">
        <v>2025</v>
      </c>
      <c r="E10">
        <v>5</v>
      </c>
      <c r="F10">
        <v>4</v>
      </c>
      <c r="G10" t="s">
        <v>51</v>
      </c>
      <c r="H10" t="s">
        <v>86</v>
      </c>
      <c r="I10" t="s">
        <v>95</v>
      </c>
      <c r="J10" t="s">
        <v>45</v>
      </c>
      <c r="K10">
        <v>24</v>
      </c>
      <c r="L10" t="s">
        <v>60</v>
      </c>
      <c r="M10" t="s">
        <v>60</v>
      </c>
      <c r="N10" t="s">
        <v>53</v>
      </c>
      <c r="O10" t="s">
        <v>90</v>
      </c>
      <c r="P10">
        <v>368</v>
      </c>
      <c r="Q10">
        <f t="shared" si="5"/>
        <v>24</v>
      </c>
      <c r="R10">
        <f t="shared" si="0"/>
        <v>15.333333333333334</v>
      </c>
      <c r="S10" t="s">
        <v>71</v>
      </c>
      <c r="T10">
        <v>42.75</v>
      </c>
      <c r="U10">
        <v>3.9</v>
      </c>
      <c r="V10">
        <v>0</v>
      </c>
      <c r="W10">
        <v>0</v>
      </c>
      <c r="X10">
        <f t="shared" si="1"/>
        <v>46.65</v>
      </c>
      <c r="Y10">
        <f t="shared" si="2"/>
        <v>46.65</v>
      </c>
      <c r="Z10">
        <v>0</v>
      </c>
      <c r="AA10">
        <f t="shared" si="6"/>
        <v>1958.65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f t="shared" si="3"/>
        <v>0</v>
      </c>
      <c r="AI10">
        <f t="shared" si="4"/>
        <v>0</v>
      </c>
      <c r="AJ10">
        <v>0</v>
      </c>
      <c r="AK10">
        <f t="shared" si="7"/>
        <v>331.95</v>
      </c>
      <c r="AL10">
        <v>16</v>
      </c>
      <c r="AM10">
        <v>11.9</v>
      </c>
      <c r="AN10" t="s">
        <v>47</v>
      </c>
      <c r="AO10">
        <v>101</v>
      </c>
      <c r="AP10">
        <v>3.4</v>
      </c>
      <c r="AQ10" t="s">
        <v>50</v>
      </c>
      <c r="AR10" t="s">
        <v>49</v>
      </c>
      <c r="AS10">
        <v>31</v>
      </c>
    </row>
    <row r="11" spans="1:91" x14ac:dyDescent="0.3">
      <c r="D11">
        <v>2025</v>
      </c>
      <c r="E11">
        <v>5</v>
      </c>
      <c r="F11">
        <v>4</v>
      </c>
      <c r="G11" t="s">
        <v>51</v>
      </c>
      <c r="H11" t="s">
        <v>86</v>
      </c>
      <c r="I11" t="s">
        <v>96</v>
      </c>
      <c r="J11" t="s">
        <v>45</v>
      </c>
      <c r="K11">
        <v>24</v>
      </c>
      <c r="L11" t="s">
        <v>60</v>
      </c>
      <c r="M11" t="s">
        <v>60</v>
      </c>
      <c r="N11" t="s">
        <v>53</v>
      </c>
      <c r="O11" t="s">
        <v>90</v>
      </c>
      <c r="P11">
        <v>375</v>
      </c>
      <c r="Q11">
        <f t="shared" si="5"/>
        <v>24</v>
      </c>
      <c r="R11">
        <f t="shared" si="0"/>
        <v>15.625</v>
      </c>
      <c r="S11" t="s">
        <v>63</v>
      </c>
      <c r="T11">
        <v>42.75</v>
      </c>
      <c r="U11">
        <v>4</v>
      </c>
      <c r="V11">
        <v>0</v>
      </c>
      <c r="W11">
        <v>0</v>
      </c>
      <c r="X11">
        <f t="shared" si="1"/>
        <v>46.75</v>
      </c>
      <c r="Y11">
        <f t="shared" si="2"/>
        <v>46.75</v>
      </c>
      <c r="Z11">
        <v>0</v>
      </c>
      <c r="AA11">
        <f t="shared" si="6"/>
        <v>1911.9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f t="shared" si="3"/>
        <v>0</v>
      </c>
      <c r="AI11">
        <f t="shared" si="4"/>
        <v>0</v>
      </c>
      <c r="AJ11">
        <v>0</v>
      </c>
      <c r="AK11">
        <f t="shared" si="7"/>
        <v>331.95</v>
      </c>
      <c r="AL11">
        <v>19</v>
      </c>
      <c r="AM11">
        <v>4.3</v>
      </c>
      <c r="AN11" t="s">
        <v>47</v>
      </c>
      <c r="AO11">
        <v>106</v>
      </c>
      <c r="AP11">
        <v>48.4</v>
      </c>
      <c r="AQ11" t="s">
        <v>50</v>
      </c>
      <c r="AR11" t="s">
        <v>49</v>
      </c>
      <c r="AS11">
        <v>31</v>
      </c>
    </row>
    <row r="12" spans="1:91" x14ac:dyDescent="0.3">
      <c r="D12">
        <v>2025</v>
      </c>
      <c r="E12">
        <v>5</v>
      </c>
      <c r="F12">
        <v>4</v>
      </c>
      <c r="G12" t="s">
        <v>51</v>
      </c>
      <c r="H12" t="s">
        <v>86</v>
      </c>
      <c r="I12" t="s">
        <v>97</v>
      </c>
      <c r="J12" t="s">
        <v>45</v>
      </c>
      <c r="K12">
        <v>24</v>
      </c>
      <c r="L12" t="s">
        <v>60</v>
      </c>
      <c r="M12" t="s">
        <v>60</v>
      </c>
      <c r="N12" t="s">
        <v>53</v>
      </c>
      <c r="O12" t="s">
        <v>90</v>
      </c>
      <c r="P12">
        <v>369</v>
      </c>
      <c r="Q12">
        <f t="shared" si="5"/>
        <v>24</v>
      </c>
      <c r="R12">
        <f t="shared" si="0"/>
        <v>15.375</v>
      </c>
      <c r="S12" t="s">
        <v>56</v>
      </c>
      <c r="T12">
        <v>43.35</v>
      </c>
      <c r="U12">
        <v>3.8</v>
      </c>
      <c r="V12">
        <v>0</v>
      </c>
      <c r="W12">
        <v>0</v>
      </c>
      <c r="X12">
        <f t="shared" si="1"/>
        <v>47.15</v>
      </c>
      <c r="Y12">
        <f t="shared" si="2"/>
        <v>47.15</v>
      </c>
      <c r="Z12">
        <v>0</v>
      </c>
      <c r="AA12">
        <f t="shared" si="6"/>
        <v>1864.75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f t="shared" si="3"/>
        <v>0</v>
      </c>
      <c r="AI12">
        <f t="shared" si="4"/>
        <v>0</v>
      </c>
      <c r="AJ12">
        <v>0</v>
      </c>
      <c r="AK12">
        <f t="shared" si="7"/>
        <v>331.95</v>
      </c>
      <c r="AL12">
        <v>22</v>
      </c>
      <c r="AM12">
        <v>5</v>
      </c>
      <c r="AN12" t="s">
        <v>47</v>
      </c>
      <c r="AO12">
        <v>112</v>
      </c>
      <c r="AP12">
        <v>29.8</v>
      </c>
      <c r="AQ12" t="s">
        <v>50</v>
      </c>
      <c r="AR12" t="s">
        <v>49</v>
      </c>
      <c r="AS12">
        <v>31</v>
      </c>
    </row>
    <row r="13" spans="1:91" x14ac:dyDescent="0.3">
      <c r="D13">
        <v>2025</v>
      </c>
      <c r="E13">
        <v>5</v>
      </c>
      <c r="F13">
        <v>4</v>
      </c>
      <c r="G13" t="s">
        <v>51</v>
      </c>
      <c r="H13" t="s">
        <v>86</v>
      </c>
      <c r="I13" t="s">
        <v>98</v>
      </c>
      <c r="J13" t="s">
        <v>45</v>
      </c>
      <c r="K13">
        <v>25</v>
      </c>
      <c r="L13" t="s">
        <v>60</v>
      </c>
      <c r="M13" t="s">
        <v>60</v>
      </c>
      <c r="N13" t="s">
        <v>53</v>
      </c>
      <c r="O13" t="s">
        <v>90</v>
      </c>
      <c r="P13">
        <v>357</v>
      </c>
      <c r="Q13">
        <f t="shared" si="5"/>
        <v>24</v>
      </c>
      <c r="R13">
        <f t="shared" si="0"/>
        <v>14.875</v>
      </c>
      <c r="S13" t="s">
        <v>59</v>
      </c>
      <c r="T13">
        <v>45.85</v>
      </c>
      <c r="U13">
        <v>3.9</v>
      </c>
      <c r="V13">
        <v>0</v>
      </c>
      <c r="W13">
        <v>0</v>
      </c>
      <c r="X13">
        <f t="shared" si="1"/>
        <v>49.75</v>
      </c>
      <c r="Y13">
        <f t="shared" si="2"/>
        <v>49.75</v>
      </c>
      <c r="Z13">
        <v>0</v>
      </c>
      <c r="AA13">
        <f t="shared" si="6"/>
        <v>1815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f t="shared" si="3"/>
        <v>0</v>
      </c>
      <c r="AI13">
        <f t="shared" si="4"/>
        <v>0</v>
      </c>
      <c r="AJ13">
        <v>0</v>
      </c>
      <c r="AK13">
        <f t="shared" si="7"/>
        <v>331.95</v>
      </c>
      <c r="AL13">
        <v>25</v>
      </c>
      <c r="AM13">
        <v>0.2</v>
      </c>
      <c r="AN13" t="s">
        <v>47</v>
      </c>
      <c r="AO13">
        <v>118</v>
      </c>
      <c r="AP13">
        <v>40</v>
      </c>
      <c r="AQ13" t="s">
        <v>50</v>
      </c>
      <c r="AR13" t="s">
        <v>49</v>
      </c>
      <c r="AS13">
        <v>31</v>
      </c>
    </row>
    <row r="14" spans="1:91" x14ac:dyDescent="0.3">
      <c r="D14">
        <v>2025</v>
      </c>
      <c r="E14">
        <v>5</v>
      </c>
      <c r="F14">
        <v>4</v>
      </c>
      <c r="G14" t="s">
        <v>51</v>
      </c>
      <c r="H14" t="s">
        <v>86</v>
      </c>
      <c r="I14" t="s">
        <v>99</v>
      </c>
      <c r="J14" t="s">
        <v>45</v>
      </c>
      <c r="K14">
        <v>24</v>
      </c>
      <c r="L14" t="s">
        <v>60</v>
      </c>
      <c r="M14" t="s">
        <v>60</v>
      </c>
      <c r="N14" t="s">
        <v>53</v>
      </c>
      <c r="O14" t="s">
        <v>90</v>
      </c>
      <c r="P14">
        <v>375</v>
      </c>
      <c r="Q14">
        <f t="shared" si="5"/>
        <v>24</v>
      </c>
      <c r="R14">
        <f t="shared" si="0"/>
        <v>15.625</v>
      </c>
      <c r="S14" t="s">
        <v>59</v>
      </c>
      <c r="T14">
        <v>43.25</v>
      </c>
      <c r="U14">
        <v>3.35</v>
      </c>
      <c r="V14">
        <v>0</v>
      </c>
      <c r="W14">
        <v>0</v>
      </c>
      <c r="X14">
        <f t="shared" si="1"/>
        <v>46.6</v>
      </c>
      <c r="Y14">
        <f t="shared" si="2"/>
        <v>46.6</v>
      </c>
      <c r="Z14">
        <v>0</v>
      </c>
      <c r="AA14">
        <f t="shared" si="6"/>
        <v>1768.4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f t="shared" si="3"/>
        <v>0</v>
      </c>
      <c r="AI14">
        <f t="shared" si="4"/>
        <v>0</v>
      </c>
      <c r="AJ14">
        <v>0</v>
      </c>
      <c r="AK14">
        <f t="shared" si="7"/>
        <v>331.95</v>
      </c>
      <c r="AL14">
        <v>27</v>
      </c>
      <c r="AM14">
        <v>36.4</v>
      </c>
      <c r="AN14" t="s">
        <v>47</v>
      </c>
      <c r="AO14">
        <v>124</v>
      </c>
      <c r="AP14">
        <v>56.6</v>
      </c>
      <c r="AQ14" t="s">
        <v>50</v>
      </c>
      <c r="AR14" t="s">
        <v>49</v>
      </c>
      <c r="AS14">
        <v>31</v>
      </c>
    </row>
    <row r="15" spans="1:91" x14ac:dyDescent="0.3">
      <c r="D15">
        <v>2025</v>
      </c>
      <c r="E15">
        <v>5</v>
      </c>
      <c r="F15">
        <v>4</v>
      </c>
      <c r="G15" t="s">
        <v>51</v>
      </c>
      <c r="H15" t="s">
        <v>86</v>
      </c>
      <c r="I15" t="s">
        <v>100</v>
      </c>
      <c r="J15" t="s">
        <v>45</v>
      </c>
      <c r="K15">
        <v>24</v>
      </c>
      <c r="L15" t="s">
        <v>60</v>
      </c>
      <c r="M15" t="s">
        <v>60</v>
      </c>
      <c r="N15" t="s">
        <v>53</v>
      </c>
      <c r="O15" t="s">
        <v>90</v>
      </c>
      <c r="P15">
        <v>377</v>
      </c>
      <c r="Q15">
        <f t="shared" si="5"/>
        <v>24</v>
      </c>
      <c r="R15">
        <f t="shared" si="0"/>
        <v>15.708333333333334</v>
      </c>
      <c r="S15" t="s">
        <v>71</v>
      </c>
      <c r="T15">
        <v>45.4</v>
      </c>
      <c r="U15">
        <v>3.55</v>
      </c>
      <c r="V15">
        <v>0</v>
      </c>
      <c r="W15">
        <v>0</v>
      </c>
      <c r="X15">
        <f t="shared" si="1"/>
        <v>48.949999999999996</v>
      </c>
      <c r="Y15">
        <f t="shared" si="2"/>
        <v>48.949999999999996</v>
      </c>
      <c r="Z15">
        <v>0</v>
      </c>
      <c r="AA15">
        <f t="shared" si="6"/>
        <v>1719.45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f t="shared" si="3"/>
        <v>0</v>
      </c>
      <c r="AI15">
        <f t="shared" si="4"/>
        <v>0</v>
      </c>
      <c r="AJ15">
        <v>0</v>
      </c>
      <c r="AK15">
        <f t="shared" si="7"/>
        <v>331.95</v>
      </c>
      <c r="AL15">
        <v>29</v>
      </c>
      <c r="AM15">
        <v>56.4</v>
      </c>
      <c r="AN15" t="s">
        <v>47</v>
      </c>
      <c r="AO15">
        <v>131</v>
      </c>
      <c r="AP15">
        <v>38</v>
      </c>
      <c r="AQ15" t="s">
        <v>50</v>
      </c>
      <c r="AR15" t="s">
        <v>49</v>
      </c>
      <c r="AS15">
        <v>31</v>
      </c>
    </row>
    <row r="16" spans="1:91" x14ac:dyDescent="0.3">
      <c r="D16">
        <v>2025</v>
      </c>
      <c r="E16">
        <v>5</v>
      </c>
      <c r="F16">
        <v>4</v>
      </c>
      <c r="G16" t="s">
        <v>51</v>
      </c>
      <c r="H16" t="s">
        <v>86</v>
      </c>
      <c r="I16" t="s">
        <v>101</v>
      </c>
      <c r="J16" t="s">
        <v>45</v>
      </c>
      <c r="K16">
        <v>24</v>
      </c>
      <c r="L16" t="s">
        <v>60</v>
      </c>
      <c r="M16" t="s">
        <v>60</v>
      </c>
      <c r="N16" t="s">
        <v>53</v>
      </c>
      <c r="O16" t="s">
        <v>90</v>
      </c>
      <c r="P16">
        <v>363</v>
      </c>
      <c r="Q16">
        <f t="shared" si="5"/>
        <v>24</v>
      </c>
      <c r="R16">
        <f t="shared" si="0"/>
        <v>15.125</v>
      </c>
      <c r="S16" t="s">
        <v>59</v>
      </c>
      <c r="T16">
        <v>43.65</v>
      </c>
      <c r="U16">
        <v>3.55</v>
      </c>
      <c r="V16">
        <v>0</v>
      </c>
      <c r="W16">
        <v>0</v>
      </c>
      <c r="X16">
        <f t="shared" si="1"/>
        <v>47.199999999999996</v>
      </c>
      <c r="Y16">
        <f t="shared" si="2"/>
        <v>47.199999999999996</v>
      </c>
      <c r="Z16">
        <v>0</v>
      </c>
      <c r="AA16">
        <f t="shared" si="6"/>
        <v>1672.25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f t="shared" si="3"/>
        <v>0</v>
      </c>
      <c r="AI16">
        <f t="shared" si="4"/>
        <v>0</v>
      </c>
      <c r="AJ16">
        <v>0</v>
      </c>
      <c r="AK16">
        <f t="shared" si="7"/>
        <v>331.95</v>
      </c>
      <c r="AL16">
        <v>29</v>
      </c>
      <c r="AM16">
        <v>13</v>
      </c>
      <c r="AN16" t="s">
        <v>47</v>
      </c>
      <c r="AO16">
        <v>138</v>
      </c>
      <c r="AP16">
        <v>18.399999999999999</v>
      </c>
      <c r="AQ16" t="s">
        <v>50</v>
      </c>
      <c r="AR16" t="s">
        <v>49</v>
      </c>
      <c r="AS16">
        <v>31</v>
      </c>
    </row>
    <row r="17" spans="4:45" x14ac:dyDescent="0.3">
      <c r="D17">
        <v>2025</v>
      </c>
      <c r="E17">
        <v>5</v>
      </c>
      <c r="F17">
        <v>4</v>
      </c>
      <c r="G17" t="s">
        <v>51</v>
      </c>
      <c r="H17" t="s">
        <v>86</v>
      </c>
      <c r="I17" t="s">
        <v>102</v>
      </c>
      <c r="J17" t="s">
        <v>45</v>
      </c>
      <c r="K17">
        <v>25</v>
      </c>
      <c r="L17" t="s">
        <v>60</v>
      </c>
      <c r="M17" t="s">
        <v>60</v>
      </c>
      <c r="N17" t="s">
        <v>53</v>
      </c>
      <c r="O17" t="s">
        <v>90</v>
      </c>
      <c r="P17">
        <v>389</v>
      </c>
      <c r="Q17">
        <f t="shared" si="5"/>
        <v>24</v>
      </c>
      <c r="R17">
        <f t="shared" si="0"/>
        <v>16.208333333333332</v>
      </c>
      <c r="S17" t="s">
        <v>64</v>
      </c>
      <c r="T17">
        <v>43.55</v>
      </c>
      <c r="U17">
        <v>3.7</v>
      </c>
      <c r="V17">
        <v>0</v>
      </c>
      <c r="W17">
        <v>0</v>
      </c>
      <c r="X17">
        <f t="shared" si="1"/>
        <v>47.25</v>
      </c>
      <c r="Y17">
        <f t="shared" si="2"/>
        <v>47.25</v>
      </c>
      <c r="Z17">
        <v>0</v>
      </c>
      <c r="AA17">
        <f t="shared" si="6"/>
        <v>1625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f t="shared" si="3"/>
        <v>0</v>
      </c>
      <c r="AI17">
        <f t="shared" si="4"/>
        <v>0</v>
      </c>
      <c r="AJ17">
        <v>0</v>
      </c>
      <c r="AK17">
        <f t="shared" si="7"/>
        <v>331.95</v>
      </c>
      <c r="AL17">
        <v>30</v>
      </c>
      <c r="AM17">
        <v>8.6999999999999993</v>
      </c>
      <c r="AN17" t="s">
        <v>47</v>
      </c>
      <c r="AO17">
        <v>145</v>
      </c>
      <c r="AP17">
        <v>34.9</v>
      </c>
      <c r="AQ17" t="s">
        <v>50</v>
      </c>
      <c r="AR17" t="s">
        <v>49</v>
      </c>
      <c r="AS17">
        <v>31</v>
      </c>
    </row>
    <row r="18" spans="4:45" x14ac:dyDescent="0.3">
      <c r="D18">
        <v>2025</v>
      </c>
      <c r="E18">
        <v>5</v>
      </c>
      <c r="F18">
        <v>4</v>
      </c>
      <c r="G18" t="s">
        <v>51</v>
      </c>
      <c r="H18" t="s">
        <v>86</v>
      </c>
      <c r="I18" t="s">
        <v>103</v>
      </c>
      <c r="J18" t="s">
        <v>45</v>
      </c>
      <c r="K18">
        <v>25</v>
      </c>
      <c r="L18" t="s">
        <v>60</v>
      </c>
      <c r="M18" t="s">
        <v>60</v>
      </c>
      <c r="N18" t="s">
        <v>53</v>
      </c>
      <c r="O18" t="s">
        <v>104</v>
      </c>
      <c r="P18">
        <v>325</v>
      </c>
      <c r="Q18">
        <f t="shared" si="5"/>
        <v>24</v>
      </c>
      <c r="R18">
        <f t="shared" si="0"/>
        <v>13.541666666666666</v>
      </c>
      <c r="S18" t="s">
        <v>105</v>
      </c>
      <c r="T18">
        <v>42.3</v>
      </c>
      <c r="U18">
        <v>3.6</v>
      </c>
      <c r="V18">
        <v>0</v>
      </c>
      <c r="W18">
        <v>0</v>
      </c>
      <c r="X18">
        <f t="shared" si="1"/>
        <v>45.9</v>
      </c>
      <c r="Y18">
        <f t="shared" si="2"/>
        <v>45.9</v>
      </c>
      <c r="Z18">
        <v>0</v>
      </c>
      <c r="AA18">
        <f t="shared" si="6"/>
        <v>1579.1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f t="shared" si="3"/>
        <v>0</v>
      </c>
      <c r="AI18">
        <f t="shared" si="4"/>
        <v>0</v>
      </c>
      <c r="AJ18">
        <v>0</v>
      </c>
      <c r="AK18">
        <f t="shared" si="7"/>
        <v>331.95</v>
      </c>
      <c r="AL18">
        <v>32</v>
      </c>
      <c r="AM18">
        <v>56.6</v>
      </c>
      <c r="AN18" t="s">
        <v>47</v>
      </c>
      <c r="AO18">
        <v>150</v>
      </c>
      <c r="AP18">
        <v>55.4</v>
      </c>
      <c r="AQ18" t="s">
        <v>50</v>
      </c>
      <c r="AR18" t="s">
        <v>49</v>
      </c>
      <c r="AS18">
        <v>31</v>
      </c>
    </row>
    <row r="19" spans="4:45" x14ac:dyDescent="0.3">
      <c r="D19">
        <v>2025</v>
      </c>
      <c r="E19">
        <v>5</v>
      </c>
      <c r="F19">
        <v>4</v>
      </c>
      <c r="G19" t="s">
        <v>51</v>
      </c>
      <c r="H19" t="s">
        <v>86</v>
      </c>
      <c r="I19" t="s">
        <v>106</v>
      </c>
      <c r="J19" t="s">
        <v>45</v>
      </c>
      <c r="K19">
        <v>25</v>
      </c>
      <c r="L19" t="s">
        <v>60</v>
      </c>
      <c r="M19" t="s">
        <v>60</v>
      </c>
      <c r="N19" t="s">
        <v>53</v>
      </c>
      <c r="O19" t="s">
        <v>107</v>
      </c>
      <c r="P19">
        <v>329</v>
      </c>
      <c r="Q19">
        <f t="shared" si="5"/>
        <v>24</v>
      </c>
      <c r="R19">
        <f t="shared" si="0"/>
        <v>13.708333333333334</v>
      </c>
      <c r="S19" t="s">
        <v>77</v>
      </c>
      <c r="T19">
        <v>45.35</v>
      </c>
      <c r="U19">
        <v>3.6</v>
      </c>
      <c r="V19">
        <v>0</v>
      </c>
      <c r="W19">
        <v>0</v>
      </c>
      <c r="X19">
        <f t="shared" si="1"/>
        <v>48.95</v>
      </c>
      <c r="Y19">
        <f t="shared" si="2"/>
        <v>48.95000000000001</v>
      </c>
      <c r="Z19">
        <v>0</v>
      </c>
      <c r="AA19">
        <f t="shared" si="6"/>
        <v>1530.1499999999999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f t="shared" si="3"/>
        <v>0</v>
      </c>
      <c r="AI19">
        <f t="shared" si="4"/>
        <v>0</v>
      </c>
      <c r="AJ19">
        <v>0</v>
      </c>
      <c r="AK19">
        <f t="shared" si="7"/>
        <v>331.95</v>
      </c>
      <c r="AL19">
        <v>35</v>
      </c>
      <c r="AM19">
        <v>59.7</v>
      </c>
      <c r="AN19" t="s">
        <v>47</v>
      </c>
      <c r="AO19">
        <v>156</v>
      </c>
      <c r="AP19">
        <v>23.6</v>
      </c>
      <c r="AQ19" t="s">
        <v>50</v>
      </c>
      <c r="AR19" t="s">
        <v>49</v>
      </c>
      <c r="AS19">
        <v>31</v>
      </c>
    </row>
    <row r="20" spans="4:45" x14ac:dyDescent="0.3">
      <c r="D20">
        <v>2025</v>
      </c>
      <c r="E20">
        <v>5</v>
      </c>
      <c r="F20">
        <v>4</v>
      </c>
      <c r="G20" t="s">
        <v>51</v>
      </c>
      <c r="H20" t="s">
        <v>86</v>
      </c>
      <c r="I20" t="s">
        <v>108</v>
      </c>
      <c r="J20" t="s">
        <v>45</v>
      </c>
      <c r="K20">
        <v>24</v>
      </c>
      <c r="L20" t="s">
        <v>60</v>
      </c>
      <c r="M20" t="s">
        <v>60</v>
      </c>
      <c r="N20" t="s">
        <v>53</v>
      </c>
      <c r="O20" t="s">
        <v>90</v>
      </c>
      <c r="P20">
        <v>306</v>
      </c>
      <c r="Q20">
        <f t="shared" si="5"/>
        <v>24</v>
      </c>
      <c r="R20">
        <f t="shared" si="0"/>
        <v>12.75</v>
      </c>
      <c r="S20" t="s">
        <v>66</v>
      </c>
      <c r="T20">
        <v>43.7</v>
      </c>
      <c r="U20">
        <v>7.45</v>
      </c>
      <c r="V20">
        <v>0</v>
      </c>
      <c r="W20">
        <v>0</v>
      </c>
      <c r="X20">
        <f t="shared" si="1"/>
        <v>51.150000000000006</v>
      </c>
      <c r="Y20">
        <f t="shared" si="2"/>
        <v>51.150000000000006</v>
      </c>
      <c r="Z20">
        <v>0</v>
      </c>
      <c r="AA20">
        <f t="shared" si="6"/>
        <v>1478.9999999999998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f t="shared" si="3"/>
        <v>0</v>
      </c>
      <c r="AI20">
        <f t="shared" si="4"/>
        <v>0</v>
      </c>
      <c r="AJ20">
        <v>0</v>
      </c>
      <c r="AK20">
        <f t="shared" si="7"/>
        <v>331.95</v>
      </c>
      <c r="AL20">
        <v>37</v>
      </c>
      <c r="AM20">
        <v>36.799999999999997</v>
      </c>
      <c r="AN20" t="s">
        <v>47</v>
      </c>
      <c r="AO20">
        <v>162</v>
      </c>
      <c r="AP20">
        <v>8.5</v>
      </c>
      <c r="AQ20" t="s">
        <v>50</v>
      </c>
      <c r="AR20" t="s">
        <v>49</v>
      </c>
      <c r="AS20">
        <v>31</v>
      </c>
    </row>
    <row r="21" spans="4:45" x14ac:dyDescent="0.3">
      <c r="D21">
        <v>2025</v>
      </c>
      <c r="E21">
        <v>5</v>
      </c>
      <c r="F21">
        <v>4</v>
      </c>
      <c r="G21" t="s">
        <v>51</v>
      </c>
      <c r="H21" t="s">
        <v>86</v>
      </c>
      <c r="I21" t="s">
        <v>109</v>
      </c>
      <c r="J21" t="s">
        <v>45</v>
      </c>
      <c r="K21">
        <v>25</v>
      </c>
      <c r="L21" t="s">
        <v>60</v>
      </c>
      <c r="M21" t="s">
        <v>60</v>
      </c>
      <c r="N21" t="s">
        <v>53</v>
      </c>
      <c r="O21" t="s">
        <v>110</v>
      </c>
      <c r="P21">
        <v>311</v>
      </c>
      <c r="Q21">
        <f t="shared" si="5"/>
        <v>24</v>
      </c>
      <c r="R21">
        <f t="shared" si="0"/>
        <v>12.958333333333334</v>
      </c>
      <c r="S21" t="s">
        <v>72</v>
      </c>
      <c r="T21">
        <v>44.6</v>
      </c>
      <c r="U21">
        <v>7.9</v>
      </c>
      <c r="V21">
        <v>0</v>
      </c>
      <c r="W21">
        <v>0</v>
      </c>
      <c r="X21">
        <f t="shared" si="1"/>
        <v>52.5</v>
      </c>
      <c r="Y21">
        <f t="shared" si="2"/>
        <v>52.5</v>
      </c>
      <c r="Z21">
        <v>0</v>
      </c>
      <c r="AA21">
        <f t="shared" si="6"/>
        <v>1426.4999999999998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f t="shared" si="3"/>
        <v>0</v>
      </c>
      <c r="AI21">
        <f t="shared" si="4"/>
        <v>0</v>
      </c>
      <c r="AJ21">
        <v>0</v>
      </c>
      <c r="AK21">
        <f t="shared" si="7"/>
        <v>331.95</v>
      </c>
      <c r="AL21">
        <v>36</v>
      </c>
      <c r="AM21">
        <v>42.4</v>
      </c>
      <c r="AN21" t="s">
        <v>47</v>
      </c>
      <c r="AO21">
        <v>168</v>
      </c>
      <c r="AP21">
        <v>17.399999999999999</v>
      </c>
      <c r="AQ21" t="s">
        <v>50</v>
      </c>
      <c r="AR21" t="s">
        <v>49</v>
      </c>
      <c r="AS21">
        <v>31</v>
      </c>
    </row>
    <row r="22" spans="4:45" x14ac:dyDescent="0.3">
      <c r="D22">
        <v>2025</v>
      </c>
      <c r="E22">
        <v>5</v>
      </c>
      <c r="F22">
        <v>4</v>
      </c>
      <c r="G22" t="s">
        <v>51</v>
      </c>
      <c r="H22" t="s">
        <v>86</v>
      </c>
      <c r="I22" t="s">
        <v>111</v>
      </c>
      <c r="J22" t="s">
        <v>45</v>
      </c>
      <c r="K22">
        <v>24</v>
      </c>
      <c r="L22" t="s">
        <v>60</v>
      </c>
      <c r="M22" t="s">
        <v>60</v>
      </c>
      <c r="N22" t="s">
        <v>53</v>
      </c>
      <c r="O22" t="s">
        <v>110</v>
      </c>
      <c r="P22">
        <v>283</v>
      </c>
      <c r="Q22">
        <f t="shared" si="5"/>
        <v>24</v>
      </c>
      <c r="R22">
        <f t="shared" si="0"/>
        <v>11.791666666666666</v>
      </c>
      <c r="S22" t="s">
        <v>74</v>
      </c>
      <c r="T22">
        <v>41.8</v>
      </c>
      <c r="U22">
        <v>7.8</v>
      </c>
      <c r="V22">
        <v>0</v>
      </c>
      <c r="W22">
        <v>0</v>
      </c>
      <c r="X22">
        <f t="shared" si="1"/>
        <v>49.599999999999994</v>
      </c>
      <c r="Y22">
        <f t="shared" si="2"/>
        <v>49.599999999999994</v>
      </c>
      <c r="Z22">
        <v>0</v>
      </c>
      <c r="AA22">
        <f t="shared" si="6"/>
        <v>1376.8999999999999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f t="shared" si="3"/>
        <v>0</v>
      </c>
      <c r="AI22">
        <f t="shared" si="4"/>
        <v>0</v>
      </c>
      <c r="AJ22">
        <v>0</v>
      </c>
      <c r="AK22">
        <f t="shared" si="7"/>
        <v>331.95</v>
      </c>
      <c r="AL22">
        <v>34</v>
      </c>
      <c r="AM22">
        <v>31.8</v>
      </c>
      <c r="AN22" t="s">
        <v>47</v>
      </c>
      <c r="AO22">
        <v>173</v>
      </c>
      <c r="AP22">
        <v>10.4</v>
      </c>
      <c r="AQ22" t="s">
        <v>50</v>
      </c>
      <c r="AR22" t="s">
        <v>49</v>
      </c>
      <c r="AS22">
        <v>31</v>
      </c>
    </row>
    <row r="23" spans="4:45" x14ac:dyDescent="0.3">
      <c r="D23">
        <v>2025</v>
      </c>
      <c r="E23">
        <v>5</v>
      </c>
      <c r="F23">
        <v>4</v>
      </c>
      <c r="G23" t="s">
        <v>51</v>
      </c>
      <c r="H23" t="s">
        <v>86</v>
      </c>
      <c r="I23" t="s">
        <v>112</v>
      </c>
      <c r="J23" t="s">
        <v>45</v>
      </c>
      <c r="K23">
        <v>24</v>
      </c>
      <c r="L23" t="s">
        <v>60</v>
      </c>
      <c r="M23" t="s">
        <v>60</v>
      </c>
      <c r="N23" t="s">
        <v>53</v>
      </c>
      <c r="O23" t="s">
        <v>110</v>
      </c>
      <c r="P23">
        <v>354</v>
      </c>
      <c r="Q23">
        <f t="shared" si="5"/>
        <v>24</v>
      </c>
      <c r="R23">
        <f t="shared" si="0"/>
        <v>14.75</v>
      </c>
      <c r="S23" t="s">
        <v>69</v>
      </c>
      <c r="T23">
        <v>42.4</v>
      </c>
      <c r="U23">
        <v>4.75</v>
      </c>
      <c r="V23">
        <v>0</v>
      </c>
      <c r="W23">
        <v>0</v>
      </c>
      <c r="X23">
        <f t="shared" si="1"/>
        <v>47.15</v>
      </c>
      <c r="Y23">
        <f t="shared" si="2"/>
        <v>47.15</v>
      </c>
      <c r="Z23">
        <v>0</v>
      </c>
      <c r="AA23">
        <f t="shared" si="6"/>
        <v>1329.7499999999998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f t="shared" si="3"/>
        <v>0</v>
      </c>
      <c r="AI23">
        <f t="shared" si="4"/>
        <v>0</v>
      </c>
      <c r="AJ23">
        <v>0</v>
      </c>
      <c r="AK23">
        <f t="shared" si="7"/>
        <v>331.95</v>
      </c>
      <c r="AL23">
        <v>30</v>
      </c>
      <c r="AM23">
        <v>11.2</v>
      </c>
      <c r="AN23" t="s">
        <v>47</v>
      </c>
      <c r="AO23">
        <v>177</v>
      </c>
      <c r="AP23">
        <v>13.5</v>
      </c>
      <c r="AQ23" t="s">
        <v>50</v>
      </c>
      <c r="AR23" t="s">
        <v>49</v>
      </c>
      <c r="AS23">
        <v>31</v>
      </c>
    </row>
    <row r="24" spans="4:45" x14ac:dyDescent="0.3">
      <c r="D24">
        <v>2025</v>
      </c>
      <c r="E24">
        <v>5</v>
      </c>
      <c r="F24">
        <v>4</v>
      </c>
      <c r="G24" t="s">
        <v>51</v>
      </c>
      <c r="H24" t="s">
        <v>86</v>
      </c>
      <c r="I24" t="s">
        <v>113</v>
      </c>
      <c r="J24" t="s">
        <v>45</v>
      </c>
      <c r="K24">
        <v>25</v>
      </c>
      <c r="L24" t="s">
        <v>60</v>
      </c>
      <c r="M24" t="s">
        <v>60</v>
      </c>
      <c r="N24" t="s">
        <v>53</v>
      </c>
      <c r="O24" t="s">
        <v>110</v>
      </c>
      <c r="P24">
        <v>368</v>
      </c>
      <c r="Q24">
        <f t="shared" si="5"/>
        <v>24</v>
      </c>
      <c r="R24">
        <f t="shared" si="0"/>
        <v>15.333333333333334</v>
      </c>
      <c r="S24" t="s">
        <v>70</v>
      </c>
      <c r="T24">
        <v>44.6</v>
      </c>
      <c r="U24">
        <v>3.45</v>
      </c>
      <c r="V24">
        <v>0</v>
      </c>
      <c r="W24">
        <v>0</v>
      </c>
      <c r="X24">
        <f t="shared" si="1"/>
        <v>48.050000000000004</v>
      </c>
      <c r="Y24">
        <f t="shared" si="2"/>
        <v>48.050000000000004</v>
      </c>
      <c r="Z24">
        <v>0</v>
      </c>
      <c r="AA24">
        <f t="shared" si="6"/>
        <v>1281.6999999999998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f t="shared" si="3"/>
        <v>0</v>
      </c>
      <c r="AI24">
        <f t="shared" si="4"/>
        <v>0</v>
      </c>
      <c r="AJ24">
        <v>0</v>
      </c>
      <c r="AK24">
        <f t="shared" si="7"/>
        <v>331.95</v>
      </c>
      <c r="AL24">
        <v>28</v>
      </c>
      <c r="AM24">
        <v>16.5</v>
      </c>
      <c r="AN24" t="s">
        <v>47</v>
      </c>
      <c r="AO24">
        <v>176</v>
      </c>
      <c r="AP24">
        <v>11.6</v>
      </c>
      <c r="AQ24" t="s">
        <v>48</v>
      </c>
      <c r="AR24" t="s">
        <v>49</v>
      </c>
      <c r="AS24">
        <v>31</v>
      </c>
    </row>
    <row r="25" spans="4:45" x14ac:dyDescent="0.3">
      <c r="D25">
        <v>2025</v>
      </c>
      <c r="E25">
        <v>5</v>
      </c>
      <c r="F25">
        <v>4</v>
      </c>
      <c r="G25" t="s">
        <v>51</v>
      </c>
      <c r="H25" t="s">
        <v>86</v>
      </c>
      <c r="I25" t="s">
        <v>114</v>
      </c>
      <c r="J25" t="s">
        <v>45</v>
      </c>
      <c r="K25">
        <v>24</v>
      </c>
      <c r="L25" t="s">
        <v>60</v>
      </c>
      <c r="M25" t="s">
        <v>60</v>
      </c>
      <c r="N25" t="s">
        <v>53</v>
      </c>
      <c r="O25" t="s">
        <v>110</v>
      </c>
      <c r="P25">
        <v>364</v>
      </c>
      <c r="Q25">
        <f t="shared" si="5"/>
        <v>24</v>
      </c>
      <c r="R25">
        <f t="shared" si="0"/>
        <v>15.166666666666666</v>
      </c>
      <c r="S25" t="s">
        <v>54</v>
      </c>
      <c r="T25">
        <v>41.4</v>
      </c>
      <c r="U25">
        <v>3.3</v>
      </c>
      <c r="V25">
        <v>0</v>
      </c>
      <c r="W25">
        <v>0</v>
      </c>
      <c r="X25">
        <f t="shared" si="1"/>
        <v>44.699999999999996</v>
      </c>
      <c r="Y25">
        <f t="shared" si="2"/>
        <v>44.699999999999996</v>
      </c>
      <c r="Z25">
        <v>0</v>
      </c>
      <c r="AA25">
        <f t="shared" si="6"/>
        <v>1236.9999999999998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f t="shared" si="3"/>
        <v>0</v>
      </c>
      <c r="AI25">
        <f t="shared" si="4"/>
        <v>0</v>
      </c>
      <c r="AJ25">
        <v>0</v>
      </c>
      <c r="AK25">
        <f t="shared" si="7"/>
        <v>331.95</v>
      </c>
      <c r="AL25">
        <v>26</v>
      </c>
      <c r="AM25">
        <v>9.8000000000000007</v>
      </c>
      <c r="AN25" t="s">
        <v>47</v>
      </c>
      <c r="AO25">
        <v>169</v>
      </c>
      <c r="AP25">
        <v>52.5</v>
      </c>
      <c r="AQ25" t="s">
        <v>48</v>
      </c>
      <c r="AR25" t="s">
        <v>49</v>
      </c>
      <c r="AS25">
        <v>31</v>
      </c>
    </row>
    <row r="26" spans="4:45" x14ac:dyDescent="0.3">
      <c r="D26">
        <v>2025</v>
      </c>
      <c r="E26">
        <v>5</v>
      </c>
      <c r="F26">
        <v>4</v>
      </c>
      <c r="G26" t="s">
        <v>51</v>
      </c>
      <c r="H26" t="s">
        <v>86</v>
      </c>
      <c r="I26" t="s">
        <v>115</v>
      </c>
      <c r="J26" t="s">
        <v>45</v>
      </c>
      <c r="K26">
        <v>24</v>
      </c>
      <c r="L26" t="s">
        <v>60</v>
      </c>
      <c r="M26" t="s">
        <v>60</v>
      </c>
      <c r="N26" t="s">
        <v>53</v>
      </c>
      <c r="O26" t="s">
        <v>116</v>
      </c>
      <c r="P26">
        <v>384</v>
      </c>
      <c r="Q26">
        <f t="shared" si="5"/>
        <v>48</v>
      </c>
      <c r="R26">
        <f t="shared" si="0"/>
        <v>8</v>
      </c>
      <c r="S26" t="s">
        <v>70</v>
      </c>
      <c r="T26">
        <v>44.4</v>
      </c>
      <c r="U26">
        <v>3.2</v>
      </c>
      <c r="V26">
        <v>0</v>
      </c>
      <c r="W26">
        <v>0</v>
      </c>
      <c r="X26">
        <f t="shared" si="1"/>
        <v>47.6</v>
      </c>
      <c r="Y26">
        <f t="shared" si="2"/>
        <v>23.8</v>
      </c>
      <c r="Z26">
        <v>0</v>
      </c>
      <c r="AA26">
        <f t="shared" si="6"/>
        <v>1189.3999999999999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f t="shared" si="3"/>
        <v>0</v>
      </c>
      <c r="AI26">
        <f t="shared" si="4"/>
        <v>0</v>
      </c>
      <c r="AJ26">
        <v>0</v>
      </c>
      <c r="AK26">
        <f t="shared" si="7"/>
        <v>331.95</v>
      </c>
      <c r="AL26">
        <v>25</v>
      </c>
      <c r="AM26">
        <v>46.4</v>
      </c>
      <c r="AN26" t="s">
        <v>47</v>
      </c>
      <c r="AO26">
        <v>162</v>
      </c>
      <c r="AP26">
        <v>50.9</v>
      </c>
      <c r="AQ26" t="s">
        <v>48</v>
      </c>
      <c r="AR26" t="s">
        <v>49</v>
      </c>
      <c r="AS26">
        <v>31</v>
      </c>
    </row>
    <row r="27" spans="4:45" x14ac:dyDescent="0.3">
      <c r="D27">
        <v>2025</v>
      </c>
      <c r="E27">
        <v>5</v>
      </c>
      <c r="F27">
        <v>4</v>
      </c>
      <c r="G27" t="s">
        <v>51</v>
      </c>
      <c r="H27" t="s">
        <v>86</v>
      </c>
      <c r="I27" t="s">
        <v>117</v>
      </c>
      <c r="J27" t="s">
        <v>45</v>
      </c>
      <c r="K27">
        <v>24</v>
      </c>
      <c r="L27" t="s">
        <v>60</v>
      </c>
      <c r="M27" t="s">
        <v>60</v>
      </c>
      <c r="N27" t="s">
        <v>53</v>
      </c>
      <c r="O27" t="s">
        <v>118</v>
      </c>
      <c r="P27">
        <v>311</v>
      </c>
      <c r="Q27">
        <f t="shared" si="5"/>
        <v>24</v>
      </c>
      <c r="R27">
        <f t="shared" si="0"/>
        <v>12.958333333333334</v>
      </c>
      <c r="S27" t="s">
        <v>64</v>
      </c>
      <c r="T27">
        <v>42.05</v>
      </c>
      <c r="U27">
        <v>3.25</v>
      </c>
      <c r="V27">
        <v>0</v>
      </c>
      <c r="W27">
        <v>0</v>
      </c>
      <c r="X27">
        <f t="shared" si="1"/>
        <v>45.3</v>
      </c>
      <c r="Y27">
        <f t="shared" si="2"/>
        <v>45.29999999999999</v>
      </c>
      <c r="Z27">
        <v>0</v>
      </c>
      <c r="AA27">
        <f t="shared" si="6"/>
        <v>1144.0999999999999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f t="shared" si="3"/>
        <v>0</v>
      </c>
      <c r="AI27">
        <f t="shared" si="4"/>
        <v>0</v>
      </c>
      <c r="AJ27">
        <v>0</v>
      </c>
      <c r="AK27">
        <f t="shared" si="7"/>
        <v>331.95</v>
      </c>
      <c r="AL27">
        <v>26</v>
      </c>
      <c r="AM27">
        <v>9.1</v>
      </c>
      <c r="AN27" t="s">
        <v>47</v>
      </c>
      <c r="AO27">
        <v>157</v>
      </c>
      <c r="AP27">
        <v>13.9</v>
      </c>
      <c r="AQ27" t="s">
        <v>48</v>
      </c>
      <c r="AR27" t="s">
        <v>49</v>
      </c>
      <c r="AS27">
        <v>31</v>
      </c>
    </row>
    <row r="28" spans="4:45" x14ac:dyDescent="0.3">
      <c r="D28">
        <v>2025</v>
      </c>
      <c r="E28">
        <v>5</v>
      </c>
      <c r="F28">
        <v>4</v>
      </c>
      <c r="G28" t="s">
        <v>51</v>
      </c>
      <c r="H28" t="s">
        <v>86</v>
      </c>
      <c r="I28" t="s">
        <v>119</v>
      </c>
      <c r="J28" t="s">
        <v>45</v>
      </c>
      <c r="K28">
        <v>25</v>
      </c>
      <c r="L28" t="s">
        <v>60</v>
      </c>
      <c r="M28" t="s">
        <v>60</v>
      </c>
      <c r="N28" t="s">
        <v>53</v>
      </c>
      <c r="O28" t="s">
        <v>110</v>
      </c>
      <c r="P28">
        <v>386</v>
      </c>
      <c r="Q28">
        <f t="shared" si="5"/>
        <v>24</v>
      </c>
      <c r="R28">
        <f t="shared" si="0"/>
        <v>16.083333333333332</v>
      </c>
      <c r="S28" t="s">
        <v>78</v>
      </c>
      <c r="T28">
        <v>45.35</v>
      </c>
      <c r="U28">
        <v>3.5</v>
      </c>
      <c r="V28">
        <v>0</v>
      </c>
      <c r="W28">
        <v>0</v>
      </c>
      <c r="X28">
        <f t="shared" si="1"/>
        <v>48.85</v>
      </c>
      <c r="Y28">
        <f t="shared" si="2"/>
        <v>48.85</v>
      </c>
      <c r="Z28">
        <v>0</v>
      </c>
      <c r="AA28">
        <f t="shared" si="6"/>
        <v>1095.25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f t="shared" si="3"/>
        <v>0</v>
      </c>
      <c r="AI28">
        <f t="shared" si="4"/>
        <v>0</v>
      </c>
      <c r="AJ28">
        <v>0</v>
      </c>
      <c r="AK28">
        <f t="shared" si="7"/>
        <v>331.95</v>
      </c>
      <c r="AL28">
        <v>27</v>
      </c>
      <c r="AM28">
        <v>39.299999999999997</v>
      </c>
      <c r="AN28" t="s">
        <v>47</v>
      </c>
      <c r="AO28">
        <v>150</v>
      </c>
      <c r="AP28">
        <v>17.3</v>
      </c>
      <c r="AQ28" t="s">
        <v>48</v>
      </c>
      <c r="AR28" t="s">
        <v>49</v>
      </c>
      <c r="AS28">
        <v>31</v>
      </c>
    </row>
    <row r="29" spans="4:45" x14ac:dyDescent="0.3">
      <c r="D29">
        <v>2025</v>
      </c>
      <c r="E29">
        <v>5</v>
      </c>
      <c r="F29">
        <v>4</v>
      </c>
      <c r="G29" t="s">
        <v>51</v>
      </c>
      <c r="H29" t="s">
        <v>86</v>
      </c>
      <c r="I29" t="s">
        <v>120</v>
      </c>
      <c r="J29" t="s">
        <v>45</v>
      </c>
      <c r="K29">
        <v>25</v>
      </c>
      <c r="L29" t="s">
        <v>60</v>
      </c>
      <c r="M29" t="s">
        <v>60</v>
      </c>
      <c r="N29" t="s">
        <v>53</v>
      </c>
      <c r="O29" t="s">
        <v>110</v>
      </c>
      <c r="P29">
        <v>388</v>
      </c>
      <c r="Q29">
        <f t="shared" si="5"/>
        <v>24</v>
      </c>
      <c r="R29">
        <f t="shared" si="0"/>
        <v>16.166666666666668</v>
      </c>
      <c r="S29" t="s">
        <v>70</v>
      </c>
      <c r="T29">
        <v>45.45</v>
      </c>
      <c r="U29">
        <v>3.25</v>
      </c>
      <c r="V29">
        <v>0</v>
      </c>
      <c r="W29">
        <v>0</v>
      </c>
      <c r="X29">
        <f t="shared" si="1"/>
        <v>48.7</v>
      </c>
      <c r="Y29">
        <f t="shared" si="2"/>
        <v>48.70000000000001</v>
      </c>
      <c r="Z29">
        <v>0</v>
      </c>
      <c r="AA29">
        <f t="shared" si="6"/>
        <v>1046.55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 t="shared" si="3"/>
        <v>0</v>
      </c>
      <c r="AI29">
        <f t="shared" si="4"/>
        <v>0</v>
      </c>
      <c r="AJ29">
        <v>0</v>
      </c>
      <c r="AK29">
        <f t="shared" si="7"/>
        <v>331.95</v>
      </c>
      <c r="AL29">
        <v>28</v>
      </c>
      <c r="AM29">
        <v>53.7</v>
      </c>
      <c r="AN29" t="s">
        <v>47</v>
      </c>
      <c r="AO29">
        <v>143</v>
      </c>
      <c r="AP29">
        <v>9.8000000000000007</v>
      </c>
      <c r="AQ29" t="s">
        <v>48</v>
      </c>
      <c r="AR29" t="s">
        <v>49</v>
      </c>
      <c r="AS29">
        <v>31</v>
      </c>
    </row>
    <row r="30" spans="4:45" x14ac:dyDescent="0.3">
      <c r="D30">
        <v>2025</v>
      </c>
      <c r="E30">
        <v>5</v>
      </c>
      <c r="F30">
        <v>4</v>
      </c>
      <c r="G30" t="s">
        <v>51</v>
      </c>
      <c r="H30" t="s">
        <v>86</v>
      </c>
      <c r="I30" t="s">
        <v>121</v>
      </c>
      <c r="J30" t="s">
        <v>45</v>
      </c>
      <c r="K30">
        <v>24</v>
      </c>
      <c r="L30" t="s">
        <v>60</v>
      </c>
      <c r="M30" t="s">
        <v>60</v>
      </c>
      <c r="N30" t="s">
        <v>53</v>
      </c>
      <c r="O30" t="s">
        <v>110</v>
      </c>
      <c r="P30">
        <v>378</v>
      </c>
      <c r="Q30">
        <f t="shared" si="5"/>
        <v>24</v>
      </c>
      <c r="R30">
        <f t="shared" si="0"/>
        <v>15.75</v>
      </c>
      <c r="S30" t="s">
        <v>54</v>
      </c>
      <c r="T30">
        <v>41.75</v>
      </c>
      <c r="U30">
        <v>3.1</v>
      </c>
      <c r="V30">
        <v>0</v>
      </c>
      <c r="W30">
        <v>0</v>
      </c>
      <c r="X30">
        <f t="shared" si="1"/>
        <v>44.85</v>
      </c>
      <c r="Y30">
        <f t="shared" si="2"/>
        <v>44.85</v>
      </c>
      <c r="Z30">
        <v>0</v>
      </c>
      <c r="AA30">
        <f t="shared" si="6"/>
        <v>1001.6999999999999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f t="shared" si="3"/>
        <v>0</v>
      </c>
      <c r="AI30">
        <f t="shared" si="4"/>
        <v>0</v>
      </c>
      <c r="AJ30">
        <v>0</v>
      </c>
      <c r="AK30">
        <f t="shared" si="7"/>
        <v>331.95</v>
      </c>
      <c r="AL30">
        <v>30</v>
      </c>
      <c r="AM30">
        <v>3.6</v>
      </c>
      <c r="AN30" t="s">
        <v>47</v>
      </c>
      <c r="AO30">
        <v>136</v>
      </c>
      <c r="AP30">
        <v>7.6</v>
      </c>
      <c r="AQ30" t="s">
        <v>48</v>
      </c>
      <c r="AR30" t="s">
        <v>49</v>
      </c>
      <c r="AS30">
        <v>31</v>
      </c>
    </row>
    <row r="31" spans="4:45" x14ac:dyDescent="0.3">
      <c r="D31">
        <v>2025</v>
      </c>
      <c r="E31">
        <v>5</v>
      </c>
      <c r="F31">
        <v>4</v>
      </c>
      <c r="G31" t="s">
        <v>51</v>
      </c>
      <c r="H31" t="s">
        <v>86</v>
      </c>
      <c r="I31" t="s">
        <v>122</v>
      </c>
      <c r="J31" t="s">
        <v>45</v>
      </c>
      <c r="K31">
        <v>25</v>
      </c>
      <c r="L31" t="s">
        <v>60</v>
      </c>
      <c r="M31" t="s">
        <v>60</v>
      </c>
      <c r="N31" t="s">
        <v>53</v>
      </c>
      <c r="O31" t="s">
        <v>110</v>
      </c>
      <c r="P31">
        <v>384</v>
      </c>
      <c r="Q31">
        <f t="shared" si="5"/>
        <v>24</v>
      </c>
      <c r="R31">
        <f t="shared" si="0"/>
        <v>16</v>
      </c>
      <c r="S31" t="s">
        <v>70</v>
      </c>
      <c r="T31">
        <v>43.15</v>
      </c>
      <c r="U31">
        <v>3.3</v>
      </c>
      <c r="V31">
        <v>0</v>
      </c>
      <c r="W31">
        <v>0</v>
      </c>
      <c r="X31">
        <f t="shared" si="1"/>
        <v>46.449999999999996</v>
      </c>
      <c r="Y31">
        <f t="shared" si="2"/>
        <v>46.449999999999996</v>
      </c>
      <c r="Z31">
        <v>0</v>
      </c>
      <c r="AA31">
        <f t="shared" si="6"/>
        <v>955.24999999999989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f t="shared" si="3"/>
        <v>0</v>
      </c>
      <c r="AI31">
        <f t="shared" si="4"/>
        <v>0</v>
      </c>
      <c r="AJ31">
        <v>0</v>
      </c>
      <c r="AK31">
        <f t="shared" si="7"/>
        <v>331.95</v>
      </c>
      <c r="AL31">
        <v>31</v>
      </c>
      <c r="AM31">
        <v>14.3</v>
      </c>
      <c r="AN31" t="s">
        <v>47</v>
      </c>
      <c r="AO31">
        <v>128</v>
      </c>
      <c r="AP31">
        <v>55.1</v>
      </c>
      <c r="AQ31" t="s">
        <v>48</v>
      </c>
      <c r="AR31" t="s">
        <v>49</v>
      </c>
      <c r="AS31">
        <v>31</v>
      </c>
    </row>
    <row r="32" spans="4:45" x14ac:dyDescent="0.3">
      <c r="D32">
        <v>2025</v>
      </c>
      <c r="E32">
        <v>5</v>
      </c>
      <c r="F32">
        <v>4</v>
      </c>
      <c r="G32" t="s">
        <v>51</v>
      </c>
      <c r="H32" t="s">
        <v>86</v>
      </c>
      <c r="I32" t="s">
        <v>123</v>
      </c>
      <c r="J32" t="s">
        <v>45</v>
      </c>
      <c r="K32">
        <v>24</v>
      </c>
      <c r="L32" t="s">
        <v>60</v>
      </c>
      <c r="M32" t="s">
        <v>60</v>
      </c>
      <c r="N32" t="s">
        <v>53</v>
      </c>
      <c r="O32" t="s">
        <v>110</v>
      </c>
      <c r="P32">
        <v>379</v>
      </c>
      <c r="Q32">
        <f t="shared" si="5"/>
        <v>24</v>
      </c>
      <c r="R32">
        <f t="shared" si="0"/>
        <v>15.791666666666666</v>
      </c>
      <c r="S32" t="s">
        <v>54</v>
      </c>
      <c r="T32">
        <v>42.2</v>
      </c>
      <c r="U32">
        <v>6.85</v>
      </c>
      <c r="V32">
        <v>0</v>
      </c>
      <c r="W32">
        <v>0</v>
      </c>
      <c r="X32">
        <f t="shared" si="1"/>
        <v>49.050000000000004</v>
      </c>
      <c r="Y32">
        <f t="shared" si="2"/>
        <v>49.050000000000004</v>
      </c>
      <c r="Z32">
        <v>0</v>
      </c>
      <c r="AA32">
        <f t="shared" si="6"/>
        <v>906.19999999999993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f t="shared" si="3"/>
        <v>0</v>
      </c>
      <c r="AI32">
        <f t="shared" si="4"/>
        <v>0</v>
      </c>
      <c r="AJ32">
        <v>0</v>
      </c>
      <c r="AK32">
        <f t="shared" si="7"/>
        <v>331.95</v>
      </c>
      <c r="AL32" s="11">
        <v>35</v>
      </c>
      <c r="AM32" s="11">
        <v>43.6</v>
      </c>
      <c r="AN32" s="11" t="s">
        <v>47</v>
      </c>
      <c r="AO32" s="11">
        <v>124</v>
      </c>
      <c r="AP32" s="11">
        <v>16.899999999999999</v>
      </c>
      <c r="AQ32" s="11" t="s">
        <v>48</v>
      </c>
      <c r="AR32" t="s">
        <v>49</v>
      </c>
      <c r="AS32">
        <v>31</v>
      </c>
    </row>
    <row r="33" spans="4:45" x14ac:dyDescent="0.3">
      <c r="D33">
        <v>2025</v>
      </c>
      <c r="E33">
        <v>5</v>
      </c>
      <c r="F33">
        <v>4</v>
      </c>
      <c r="G33" t="s">
        <v>51</v>
      </c>
      <c r="H33" t="s">
        <v>86</v>
      </c>
      <c r="I33" t="s">
        <v>124</v>
      </c>
      <c r="J33" t="s">
        <v>125</v>
      </c>
      <c r="K33">
        <v>7.2</v>
      </c>
      <c r="L33" t="s">
        <v>60</v>
      </c>
      <c r="M33" t="s">
        <v>60</v>
      </c>
      <c r="N33" t="s">
        <v>53</v>
      </c>
      <c r="O33" t="s">
        <v>82</v>
      </c>
      <c r="P33">
        <v>113</v>
      </c>
      <c r="Q33">
        <f t="shared" si="5"/>
        <v>7.1999999998952262</v>
      </c>
      <c r="R33">
        <f t="shared" si="0"/>
        <v>15.694444444672829</v>
      </c>
      <c r="S33" t="s">
        <v>55</v>
      </c>
      <c r="T33">
        <v>13.6</v>
      </c>
      <c r="U33">
        <v>1.65</v>
      </c>
      <c r="V33">
        <v>0</v>
      </c>
      <c r="W33">
        <v>0</v>
      </c>
      <c r="X33">
        <f t="shared" si="1"/>
        <v>15.25</v>
      </c>
      <c r="Y33">
        <f t="shared" si="2"/>
        <v>50.833333334073053</v>
      </c>
      <c r="Z33">
        <v>0</v>
      </c>
      <c r="AA33">
        <f t="shared" si="6"/>
        <v>890.94999999999993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f t="shared" si="3"/>
        <v>0</v>
      </c>
      <c r="AI33">
        <f t="shared" si="4"/>
        <v>0</v>
      </c>
      <c r="AJ33">
        <v>0</v>
      </c>
      <c r="AK33">
        <f t="shared" si="7"/>
        <v>331.95</v>
      </c>
      <c r="AL33" s="11">
        <v>33</v>
      </c>
      <c r="AM33" s="11">
        <v>43.3</v>
      </c>
      <c r="AN33" s="11" t="s">
        <v>47</v>
      </c>
      <c r="AO33" s="11">
        <v>124</v>
      </c>
      <c r="AP33" s="11">
        <v>10.9</v>
      </c>
      <c r="AQ33" s="11" t="s">
        <v>48</v>
      </c>
      <c r="AR33" t="s">
        <v>57</v>
      </c>
      <c r="AS33">
        <v>31</v>
      </c>
    </row>
    <row r="34" spans="4:45" x14ac:dyDescent="0.3">
      <c r="D34">
        <v>2025</v>
      </c>
      <c r="E34">
        <v>5</v>
      </c>
      <c r="F34">
        <v>4</v>
      </c>
      <c r="G34" t="s">
        <v>51</v>
      </c>
      <c r="H34" t="s">
        <v>86</v>
      </c>
      <c r="I34" t="s">
        <v>126</v>
      </c>
      <c r="J34" t="s">
        <v>127</v>
      </c>
      <c r="K34">
        <v>12.5</v>
      </c>
      <c r="L34" t="s">
        <v>60</v>
      </c>
      <c r="M34" t="s">
        <v>57</v>
      </c>
      <c r="N34" t="s">
        <v>53</v>
      </c>
      <c r="O34" t="s">
        <v>128</v>
      </c>
      <c r="P34">
        <v>250</v>
      </c>
      <c r="Q34">
        <f t="shared" si="5"/>
        <v>12.500000000058208</v>
      </c>
      <c r="R34">
        <f t="shared" si="0"/>
        <v>19.999999999906869</v>
      </c>
      <c r="S34" t="s">
        <v>54</v>
      </c>
      <c r="T34">
        <v>0</v>
      </c>
      <c r="U34">
        <v>0</v>
      </c>
      <c r="V34">
        <v>0</v>
      </c>
      <c r="W34">
        <v>0</v>
      </c>
      <c r="X34">
        <f t="shared" si="1"/>
        <v>0</v>
      </c>
      <c r="Y34">
        <f t="shared" si="2"/>
        <v>0</v>
      </c>
      <c r="Z34">
        <v>0</v>
      </c>
      <c r="AA34">
        <f t="shared" si="6"/>
        <v>890.94999999999993</v>
      </c>
      <c r="AB34">
        <v>20.350000000000001</v>
      </c>
      <c r="AC34">
        <v>1.45</v>
      </c>
      <c r="AD34">
        <v>0</v>
      </c>
      <c r="AE34">
        <v>0</v>
      </c>
      <c r="AF34">
        <v>0</v>
      </c>
      <c r="AG34">
        <v>0</v>
      </c>
      <c r="AH34">
        <f t="shared" si="3"/>
        <v>21.8</v>
      </c>
      <c r="AI34">
        <f t="shared" si="4"/>
        <v>41.8559999998051</v>
      </c>
      <c r="AJ34">
        <v>0</v>
      </c>
      <c r="AK34">
        <f t="shared" si="7"/>
        <v>310.14999999999998</v>
      </c>
      <c r="AL34" s="11">
        <v>37</v>
      </c>
      <c r="AM34" s="11">
        <v>43.1</v>
      </c>
      <c r="AN34" s="11" t="s">
        <v>47</v>
      </c>
      <c r="AO34" s="11">
        <v>124</v>
      </c>
      <c r="AP34" s="11">
        <v>8.4</v>
      </c>
      <c r="AQ34" s="11" t="s">
        <v>48</v>
      </c>
      <c r="AR34" t="s">
        <v>60</v>
      </c>
      <c r="AS34">
        <v>31</v>
      </c>
    </row>
    <row r="35" spans="4:45" x14ac:dyDescent="0.3">
      <c r="D35">
        <v>2025</v>
      </c>
      <c r="E35">
        <v>5</v>
      </c>
      <c r="F35">
        <v>4</v>
      </c>
      <c r="G35" t="s">
        <v>51</v>
      </c>
      <c r="H35" t="s">
        <v>86</v>
      </c>
      <c r="I35" t="s">
        <v>129</v>
      </c>
      <c r="J35" t="s">
        <v>45</v>
      </c>
      <c r="K35">
        <v>4.3</v>
      </c>
      <c r="L35" t="s">
        <v>57</v>
      </c>
      <c r="M35" t="s">
        <v>58</v>
      </c>
      <c r="N35" t="s">
        <v>46</v>
      </c>
      <c r="O35" t="s">
        <v>130</v>
      </c>
      <c r="P35">
        <v>0</v>
      </c>
      <c r="Q35">
        <f t="shared" si="5"/>
        <v>4.3000000000465661</v>
      </c>
      <c r="R35">
        <f t="shared" si="0"/>
        <v>0</v>
      </c>
      <c r="S35" t="s">
        <v>46</v>
      </c>
      <c r="T35">
        <v>0</v>
      </c>
      <c r="U35">
        <v>0</v>
      </c>
      <c r="V35">
        <v>0</v>
      </c>
      <c r="W35">
        <v>0</v>
      </c>
      <c r="X35">
        <f t="shared" si="1"/>
        <v>0</v>
      </c>
      <c r="Y35">
        <f t="shared" si="2"/>
        <v>0</v>
      </c>
      <c r="Z35">
        <v>0</v>
      </c>
      <c r="AA35">
        <f t="shared" si="6"/>
        <v>890.94999999999993</v>
      </c>
      <c r="AB35">
        <v>0.05</v>
      </c>
      <c r="AC35">
        <v>0.5</v>
      </c>
      <c r="AD35">
        <v>0.3</v>
      </c>
      <c r="AE35">
        <v>0</v>
      </c>
      <c r="AF35">
        <v>0</v>
      </c>
      <c r="AG35">
        <v>0</v>
      </c>
      <c r="AH35">
        <f t="shared" si="3"/>
        <v>0.85000000000000009</v>
      </c>
      <c r="AI35">
        <f t="shared" si="4"/>
        <v>4.7441860464602517</v>
      </c>
      <c r="AJ35">
        <v>0</v>
      </c>
      <c r="AK35">
        <f t="shared" si="7"/>
        <v>309.29999999999995</v>
      </c>
      <c r="AL35" s="12">
        <v>37</v>
      </c>
      <c r="AM35" s="12">
        <v>43.1</v>
      </c>
      <c r="AN35" s="12" t="s">
        <v>47</v>
      </c>
      <c r="AO35" s="12">
        <v>120</v>
      </c>
      <c r="AP35" s="12">
        <v>8.4</v>
      </c>
      <c r="AQ35" s="12" t="s">
        <v>48</v>
      </c>
      <c r="AR35" t="s">
        <v>49</v>
      </c>
      <c r="AS35">
        <v>31</v>
      </c>
    </row>
    <row r="36" spans="4:45" x14ac:dyDescent="0.3">
      <c r="D36">
        <v>2025</v>
      </c>
      <c r="E36">
        <v>5</v>
      </c>
      <c r="F36">
        <v>4</v>
      </c>
      <c r="G36" t="s">
        <v>51</v>
      </c>
      <c r="H36" t="s">
        <v>86</v>
      </c>
      <c r="I36" t="s">
        <v>131</v>
      </c>
      <c r="J36" t="s">
        <v>132</v>
      </c>
      <c r="K36">
        <v>3</v>
      </c>
      <c r="L36" t="s">
        <v>58</v>
      </c>
      <c r="M36" t="s">
        <v>68</v>
      </c>
      <c r="N36" t="s">
        <v>46</v>
      </c>
      <c r="O36" t="s">
        <v>133</v>
      </c>
      <c r="P36">
        <v>6</v>
      </c>
      <c r="Q36">
        <f t="shared" si="5"/>
        <v>3</v>
      </c>
      <c r="R36">
        <f t="shared" si="0"/>
        <v>2</v>
      </c>
      <c r="S36" t="s">
        <v>54</v>
      </c>
      <c r="T36">
        <v>0</v>
      </c>
      <c r="U36">
        <v>0</v>
      </c>
      <c r="V36">
        <v>0</v>
      </c>
      <c r="W36">
        <v>0</v>
      </c>
      <c r="X36">
        <f t="shared" si="1"/>
        <v>0</v>
      </c>
      <c r="Y36">
        <f t="shared" si="2"/>
        <v>0</v>
      </c>
      <c r="Z36">
        <v>0</v>
      </c>
      <c r="AA36">
        <f t="shared" si="6"/>
        <v>890.94999999999993</v>
      </c>
      <c r="AB36">
        <v>1.2</v>
      </c>
      <c r="AC36">
        <v>0.75</v>
      </c>
      <c r="AD36">
        <v>0.1</v>
      </c>
      <c r="AE36">
        <v>0</v>
      </c>
      <c r="AF36">
        <v>0</v>
      </c>
      <c r="AG36">
        <v>0</v>
      </c>
      <c r="AH36">
        <f t="shared" si="3"/>
        <v>2.0499999999999998</v>
      </c>
      <c r="AI36">
        <f t="shared" si="4"/>
        <v>16.399999999999999</v>
      </c>
      <c r="AJ36">
        <v>0</v>
      </c>
      <c r="AK36">
        <f t="shared" si="7"/>
        <v>307.24999999999994</v>
      </c>
      <c r="AL36" s="12">
        <v>37</v>
      </c>
      <c r="AM36" s="12">
        <v>38.1</v>
      </c>
      <c r="AN36" s="12" t="s">
        <v>47</v>
      </c>
      <c r="AO36" s="12">
        <v>120</v>
      </c>
      <c r="AP36" s="12">
        <v>14.4</v>
      </c>
      <c r="AQ36" s="12" t="s">
        <v>48</v>
      </c>
      <c r="AR36" t="s">
        <v>58</v>
      </c>
      <c r="AS36">
        <v>31</v>
      </c>
    </row>
    <row r="37" spans="4:45" x14ac:dyDescent="0.3">
      <c r="D37">
        <v>2025</v>
      </c>
      <c r="E37">
        <v>5</v>
      </c>
      <c r="F37">
        <v>4</v>
      </c>
      <c r="G37" t="s">
        <v>51</v>
      </c>
      <c r="H37" t="s">
        <v>86</v>
      </c>
      <c r="I37" t="s">
        <v>134</v>
      </c>
      <c r="J37" t="s">
        <v>45</v>
      </c>
      <c r="K37">
        <v>21</v>
      </c>
      <c r="L37" t="s">
        <v>68</v>
      </c>
      <c r="M37" t="s">
        <v>68</v>
      </c>
      <c r="N37" t="s">
        <v>46</v>
      </c>
      <c r="O37" t="s">
        <v>135</v>
      </c>
      <c r="P37">
        <v>0</v>
      </c>
      <c r="Q37">
        <f t="shared" si="5"/>
        <v>21</v>
      </c>
      <c r="R37">
        <f t="shared" si="0"/>
        <v>0</v>
      </c>
      <c r="S37" t="s">
        <v>46</v>
      </c>
      <c r="T37">
        <v>0</v>
      </c>
      <c r="U37">
        <v>0</v>
      </c>
      <c r="V37">
        <v>0</v>
      </c>
      <c r="W37">
        <v>0</v>
      </c>
      <c r="X37">
        <f t="shared" si="1"/>
        <v>0</v>
      </c>
      <c r="Y37">
        <f t="shared" si="2"/>
        <v>0</v>
      </c>
      <c r="Z37">
        <v>0</v>
      </c>
      <c r="AA37">
        <f t="shared" si="6"/>
        <v>890.94999999999993</v>
      </c>
      <c r="AB37">
        <v>0</v>
      </c>
      <c r="AC37">
        <v>3.9</v>
      </c>
      <c r="AD37">
        <v>1.1000000000000001</v>
      </c>
      <c r="AE37">
        <v>0</v>
      </c>
      <c r="AF37">
        <v>0</v>
      </c>
      <c r="AG37">
        <v>0</v>
      </c>
      <c r="AH37">
        <f t="shared" si="3"/>
        <v>5</v>
      </c>
      <c r="AI37">
        <f t="shared" si="4"/>
        <v>5.7142857142857144</v>
      </c>
      <c r="AJ37">
        <v>0</v>
      </c>
      <c r="AK37">
        <f t="shared" si="7"/>
        <v>302.24999999999994</v>
      </c>
      <c r="AL37" s="13">
        <v>37</v>
      </c>
      <c r="AM37" s="13">
        <v>39.4</v>
      </c>
      <c r="AN37" s="13" t="s">
        <v>47</v>
      </c>
      <c r="AO37" s="13">
        <v>120</v>
      </c>
      <c r="AP37" s="13">
        <v>18.100000000000001</v>
      </c>
      <c r="AQ37" s="13" t="s">
        <v>48</v>
      </c>
      <c r="AR37" t="s">
        <v>49</v>
      </c>
      <c r="AS37">
        <v>31</v>
      </c>
    </row>
    <row r="38" spans="4:45" x14ac:dyDescent="0.3">
      <c r="D38">
        <v>2025</v>
      </c>
      <c r="E38">
        <v>5</v>
      </c>
      <c r="F38">
        <v>4</v>
      </c>
      <c r="G38" t="s">
        <v>51</v>
      </c>
      <c r="H38" t="s">
        <v>86</v>
      </c>
      <c r="I38" t="s">
        <v>136</v>
      </c>
      <c r="J38" t="s">
        <v>84</v>
      </c>
      <c r="K38">
        <v>22</v>
      </c>
      <c r="L38" t="s">
        <v>68</v>
      </c>
      <c r="M38" t="s">
        <v>58</v>
      </c>
      <c r="N38" t="s">
        <v>46</v>
      </c>
      <c r="O38" t="s">
        <v>62</v>
      </c>
      <c r="P38">
        <v>0</v>
      </c>
      <c r="Q38">
        <f t="shared" si="5"/>
        <v>21.999999999941792</v>
      </c>
      <c r="R38">
        <f t="shared" si="0"/>
        <v>0</v>
      </c>
      <c r="S38" t="s">
        <v>46</v>
      </c>
      <c r="T38">
        <v>0</v>
      </c>
      <c r="U38">
        <v>0</v>
      </c>
      <c r="V38">
        <v>0</v>
      </c>
      <c r="W38">
        <v>0</v>
      </c>
      <c r="X38">
        <f t="shared" si="1"/>
        <v>0</v>
      </c>
      <c r="Y38">
        <f t="shared" si="2"/>
        <v>0</v>
      </c>
      <c r="Z38">
        <v>0</v>
      </c>
      <c r="AA38">
        <f t="shared" si="6"/>
        <v>890.94999999999993</v>
      </c>
      <c r="AB38">
        <v>0</v>
      </c>
      <c r="AC38">
        <v>4.55</v>
      </c>
      <c r="AD38">
        <v>1.1499999999999999</v>
      </c>
      <c r="AE38">
        <v>0</v>
      </c>
      <c r="AF38">
        <v>0</v>
      </c>
      <c r="AG38">
        <v>0</v>
      </c>
      <c r="AH38">
        <f t="shared" si="3"/>
        <v>5.6999999999999993</v>
      </c>
      <c r="AI38">
        <f t="shared" si="4"/>
        <v>6.2181818181982695</v>
      </c>
      <c r="AJ38">
        <v>0</v>
      </c>
      <c r="AK38">
        <f t="shared" si="7"/>
        <v>296.54999999999995</v>
      </c>
      <c r="AL38" s="13">
        <v>37</v>
      </c>
      <c r="AM38" s="13">
        <v>39.4</v>
      </c>
      <c r="AN38" s="13" t="s">
        <v>47</v>
      </c>
      <c r="AO38" s="13">
        <v>120</v>
      </c>
      <c r="AP38" s="13">
        <v>18.100000000000001</v>
      </c>
      <c r="AQ38" s="13" t="s">
        <v>48</v>
      </c>
      <c r="AR38" t="s">
        <v>68</v>
      </c>
      <c r="AS38">
        <v>31</v>
      </c>
    </row>
    <row r="39" spans="4:45" x14ac:dyDescent="0.3">
      <c r="D39">
        <v>2025</v>
      </c>
      <c r="E39">
        <v>5</v>
      </c>
      <c r="F39">
        <v>4</v>
      </c>
      <c r="G39" t="s">
        <v>51</v>
      </c>
      <c r="H39" t="s">
        <v>86</v>
      </c>
      <c r="I39" t="s">
        <v>137</v>
      </c>
      <c r="J39" t="s">
        <v>45</v>
      </c>
      <c r="K39">
        <v>2</v>
      </c>
      <c r="L39" t="s">
        <v>58</v>
      </c>
      <c r="M39" t="s">
        <v>58</v>
      </c>
      <c r="N39" t="s">
        <v>46</v>
      </c>
      <c r="O39" t="s">
        <v>76</v>
      </c>
      <c r="P39">
        <v>0</v>
      </c>
      <c r="Q39">
        <f t="shared" si="5"/>
        <v>2.0000000000582077</v>
      </c>
      <c r="R39">
        <f t="shared" si="0"/>
        <v>0</v>
      </c>
      <c r="S39" t="s">
        <v>73</v>
      </c>
      <c r="T39">
        <v>0</v>
      </c>
      <c r="U39">
        <v>0</v>
      </c>
      <c r="V39">
        <v>0</v>
      </c>
      <c r="W39">
        <v>0</v>
      </c>
      <c r="X39">
        <f t="shared" si="1"/>
        <v>0</v>
      </c>
      <c r="Y39">
        <f t="shared" si="2"/>
        <v>0</v>
      </c>
      <c r="Z39">
        <v>0</v>
      </c>
      <c r="AA39">
        <f t="shared" si="6"/>
        <v>890.94999999999993</v>
      </c>
      <c r="AB39">
        <v>0</v>
      </c>
      <c r="AC39">
        <v>0.25</v>
      </c>
      <c r="AD39">
        <v>0.05</v>
      </c>
      <c r="AE39">
        <v>0</v>
      </c>
      <c r="AF39">
        <v>0</v>
      </c>
      <c r="AG39">
        <v>0</v>
      </c>
      <c r="AH39">
        <f t="shared" si="3"/>
        <v>0.3</v>
      </c>
      <c r="AI39">
        <f t="shared" si="4"/>
        <v>3.5999999998952257</v>
      </c>
      <c r="AJ39">
        <v>0</v>
      </c>
      <c r="AK39">
        <f t="shared" si="7"/>
        <v>296.24999999999994</v>
      </c>
      <c r="AL39" s="15">
        <v>37</v>
      </c>
      <c r="AM39" s="15">
        <v>39.4</v>
      </c>
      <c r="AN39" s="15" t="s">
        <v>47</v>
      </c>
      <c r="AO39" s="15">
        <v>120</v>
      </c>
      <c r="AP39" s="15">
        <v>18.100000000000001</v>
      </c>
      <c r="AQ39" s="15" t="s">
        <v>48</v>
      </c>
      <c r="AR39" t="s">
        <v>49</v>
      </c>
      <c r="AS39">
        <v>31</v>
      </c>
    </row>
    <row r="40" spans="4:45" x14ac:dyDescent="0.3">
      <c r="D40">
        <v>2025</v>
      </c>
      <c r="E40">
        <v>5</v>
      </c>
      <c r="F40">
        <v>4</v>
      </c>
      <c r="G40" t="s">
        <v>51</v>
      </c>
      <c r="H40" t="s">
        <v>86</v>
      </c>
      <c r="I40" t="s">
        <v>138</v>
      </c>
      <c r="J40" t="s">
        <v>85</v>
      </c>
      <c r="K40">
        <v>1.1000000000000001</v>
      </c>
      <c r="L40" t="s">
        <v>58</v>
      </c>
      <c r="M40" t="s">
        <v>52</v>
      </c>
      <c r="N40" t="s">
        <v>46</v>
      </c>
      <c r="O40" t="s">
        <v>139</v>
      </c>
      <c r="P40">
        <v>8</v>
      </c>
      <c r="Q40">
        <f t="shared" si="5"/>
        <v>1.0999999999185093</v>
      </c>
      <c r="R40">
        <f t="shared" si="0"/>
        <v>7.2727272732660539</v>
      </c>
      <c r="S40" t="s">
        <v>73</v>
      </c>
      <c r="T40">
        <v>0</v>
      </c>
      <c r="U40">
        <v>0</v>
      </c>
      <c r="V40">
        <v>0</v>
      </c>
      <c r="W40">
        <v>0</v>
      </c>
      <c r="X40">
        <f t="shared" si="1"/>
        <v>0</v>
      </c>
      <c r="Y40">
        <f t="shared" si="2"/>
        <v>0</v>
      </c>
      <c r="Z40">
        <v>0</v>
      </c>
      <c r="AA40">
        <f t="shared" si="6"/>
        <v>890.94999999999993</v>
      </c>
      <c r="AB40">
        <v>0.8</v>
      </c>
      <c r="AC40">
        <v>0.25</v>
      </c>
      <c r="AD40">
        <v>0</v>
      </c>
      <c r="AE40">
        <v>0</v>
      </c>
      <c r="AF40">
        <v>0</v>
      </c>
      <c r="AG40">
        <v>0</v>
      </c>
      <c r="AH40">
        <f t="shared" si="3"/>
        <v>1.05</v>
      </c>
      <c r="AI40">
        <f t="shared" si="4"/>
        <v>22.909090910788073</v>
      </c>
      <c r="AJ40">
        <v>0</v>
      </c>
      <c r="AK40">
        <f t="shared" si="7"/>
        <v>295.19999999999993</v>
      </c>
      <c r="AL40" s="15">
        <v>37</v>
      </c>
      <c r="AM40" s="15">
        <v>39.4</v>
      </c>
      <c r="AN40" s="15" t="s">
        <v>47</v>
      </c>
      <c r="AO40" s="15">
        <v>120</v>
      </c>
      <c r="AP40" s="15">
        <v>18.100000000000001</v>
      </c>
      <c r="AQ40" s="15" t="s">
        <v>48</v>
      </c>
      <c r="AR40" t="s">
        <v>58</v>
      </c>
      <c r="AS40">
        <v>31</v>
      </c>
    </row>
    <row r="41" spans="4:45" x14ac:dyDescent="0.3">
      <c r="D41">
        <v>2025</v>
      </c>
      <c r="E41">
        <v>6</v>
      </c>
      <c r="F41">
        <v>1</v>
      </c>
      <c r="G41" t="s">
        <v>140</v>
      </c>
      <c r="H41" t="s">
        <v>141</v>
      </c>
      <c r="I41" t="s">
        <v>142</v>
      </c>
      <c r="J41" t="s">
        <v>143</v>
      </c>
      <c r="K41">
        <v>10.5</v>
      </c>
      <c r="L41" t="s">
        <v>52</v>
      </c>
      <c r="M41" t="s">
        <v>52</v>
      </c>
      <c r="N41" t="s">
        <v>53</v>
      </c>
      <c r="O41" t="s">
        <v>81</v>
      </c>
      <c r="P41">
        <v>163</v>
      </c>
      <c r="Q41">
        <f t="shared" si="5"/>
        <v>10.5</v>
      </c>
      <c r="R41">
        <f t="shared" si="0"/>
        <v>15.523809523809524</v>
      </c>
      <c r="S41" t="s">
        <v>73</v>
      </c>
      <c r="T41">
        <v>0</v>
      </c>
      <c r="U41">
        <v>0</v>
      </c>
      <c r="V41">
        <v>0</v>
      </c>
      <c r="W41">
        <v>0</v>
      </c>
      <c r="X41">
        <f t="shared" si="1"/>
        <v>0</v>
      </c>
      <c r="Y41">
        <f t="shared" si="2"/>
        <v>0</v>
      </c>
      <c r="Z41">
        <v>0</v>
      </c>
      <c r="AA41">
        <f t="shared" si="6"/>
        <v>890.94999999999993</v>
      </c>
      <c r="AB41">
        <v>15.25</v>
      </c>
      <c r="AC41">
        <v>1.1499999999999999</v>
      </c>
      <c r="AD41">
        <v>0</v>
      </c>
      <c r="AE41">
        <v>0</v>
      </c>
      <c r="AF41">
        <v>0</v>
      </c>
      <c r="AG41">
        <v>0</v>
      </c>
      <c r="AH41">
        <f t="shared" si="3"/>
        <v>16.399999999999999</v>
      </c>
      <c r="AI41">
        <f t="shared" si="4"/>
        <v>37.48571428571428</v>
      </c>
      <c r="AJ41">
        <v>0</v>
      </c>
      <c r="AK41">
        <f t="shared" si="7"/>
        <v>278.79999999999995</v>
      </c>
      <c r="AL41" s="15">
        <v>36</v>
      </c>
      <c r="AM41" s="15">
        <v>41.4</v>
      </c>
      <c r="AN41" s="15" t="s">
        <v>47</v>
      </c>
      <c r="AO41" s="15">
        <v>120</v>
      </c>
      <c r="AP41" s="15">
        <v>18.100000000000001</v>
      </c>
      <c r="AQ41" s="15" t="s">
        <v>48</v>
      </c>
      <c r="AR41" t="s">
        <v>52</v>
      </c>
      <c r="AS41">
        <v>31</v>
      </c>
    </row>
    <row r="42" spans="4:45" x14ac:dyDescent="0.3">
      <c r="D42">
        <v>2025</v>
      </c>
      <c r="E42">
        <v>6</v>
      </c>
      <c r="F42">
        <v>1</v>
      </c>
      <c r="G42" t="s">
        <v>140</v>
      </c>
      <c r="H42" t="s">
        <v>141</v>
      </c>
      <c r="I42" t="s">
        <v>144</v>
      </c>
      <c r="J42" t="s">
        <v>45</v>
      </c>
      <c r="K42">
        <v>12.4</v>
      </c>
      <c r="L42" t="s">
        <v>52</v>
      </c>
      <c r="M42" t="s">
        <v>52</v>
      </c>
      <c r="N42" t="s">
        <v>53</v>
      </c>
      <c r="O42" t="s">
        <v>145</v>
      </c>
      <c r="P42">
        <v>198</v>
      </c>
      <c r="Q42">
        <f t="shared" si="5"/>
        <v>12.400000000081491</v>
      </c>
      <c r="R42">
        <f t="shared" si="0"/>
        <v>15.967741935378934</v>
      </c>
      <c r="S42" t="s">
        <v>80</v>
      </c>
      <c r="T42">
        <v>17</v>
      </c>
      <c r="U42">
        <v>1.5</v>
      </c>
      <c r="V42">
        <v>0</v>
      </c>
      <c r="W42">
        <v>0</v>
      </c>
      <c r="X42">
        <f t="shared" si="1"/>
        <v>18.5</v>
      </c>
      <c r="Y42">
        <f t="shared" si="2"/>
        <v>35.806451612667914</v>
      </c>
      <c r="Z42">
        <v>0</v>
      </c>
      <c r="AA42">
        <f t="shared" si="6"/>
        <v>872.44999999999993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f t="shared" si="3"/>
        <v>0</v>
      </c>
      <c r="AI42">
        <f t="shared" si="4"/>
        <v>0</v>
      </c>
      <c r="AJ42">
        <v>0</v>
      </c>
      <c r="AK42">
        <f t="shared" si="7"/>
        <v>278.79999999999995</v>
      </c>
      <c r="AL42" s="14">
        <v>35</v>
      </c>
      <c r="AM42" s="14">
        <v>41.7</v>
      </c>
      <c r="AN42" s="14" t="s">
        <v>47</v>
      </c>
      <c r="AO42" s="14">
        <v>125</v>
      </c>
      <c r="AP42" s="14">
        <v>18.100000000000001</v>
      </c>
      <c r="AQ42" s="14" t="s">
        <v>48</v>
      </c>
      <c r="AR42" t="s">
        <v>49</v>
      </c>
      <c r="AS42">
        <v>31</v>
      </c>
    </row>
    <row r="43" spans="4:45" x14ac:dyDescent="0.3">
      <c r="D43">
        <v>2025</v>
      </c>
      <c r="E43">
        <v>6</v>
      </c>
      <c r="F43">
        <v>1</v>
      </c>
      <c r="G43" t="s">
        <v>140</v>
      </c>
      <c r="H43" t="s">
        <v>141</v>
      </c>
      <c r="I43" t="s">
        <v>146</v>
      </c>
      <c r="J43" t="s">
        <v>147</v>
      </c>
      <c r="K43">
        <v>11.5</v>
      </c>
      <c r="L43" t="s">
        <v>52</v>
      </c>
      <c r="M43" t="s">
        <v>52</v>
      </c>
      <c r="N43" t="s">
        <v>53</v>
      </c>
      <c r="O43" t="s">
        <v>148</v>
      </c>
      <c r="P43">
        <v>185</v>
      </c>
      <c r="Q43">
        <f t="shared" si="5"/>
        <v>11.499999999941792</v>
      </c>
      <c r="R43">
        <f t="shared" si="0"/>
        <v>16.086956521820554</v>
      </c>
      <c r="S43" t="s">
        <v>80</v>
      </c>
      <c r="T43">
        <v>19.350000000000001</v>
      </c>
      <c r="U43">
        <v>1.65</v>
      </c>
      <c r="V43">
        <v>0</v>
      </c>
      <c r="W43">
        <v>0</v>
      </c>
      <c r="X43">
        <f t="shared" si="1"/>
        <v>21</v>
      </c>
      <c r="Y43">
        <f t="shared" si="2"/>
        <v>43.826086956743566</v>
      </c>
      <c r="Z43">
        <v>0</v>
      </c>
      <c r="AA43">
        <f t="shared" si="6"/>
        <v>851.44999999999993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f t="shared" si="3"/>
        <v>0</v>
      </c>
      <c r="AI43">
        <f t="shared" si="4"/>
        <v>0</v>
      </c>
      <c r="AJ43">
        <v>0</v>
      </c>
      <c r="AK43">
        <f t="shared" si="7"/>
        <v>278.79999999999995</v>
      </c>
      <c r="AL43" s="14">
        <v>34</v>
      </c>
      <c r="AM43" s="14">
        <v>41.7</v>
      </c>
      <c r="AN43" s="14" t="s">
        <v>47</v>
      </c>
      <c r="AO43" s="14">
        <v>125</v>
      </c>
      <c r="AP43" s="14">
        <v>34.1</v>
      </c>
      <c r="AQ43" s="14" t="s">
        <v>48</v>
      </c>
      <c r="AR43" t="s">
        <v>52</v>
      </c>
      <c r="AS43">
        <v>31</v>
      </c>
    </row>
    <row r="44" spans="4:45" x14ac:dyDescent="0.3">
      <c r="D44">
        <v>2025</v>
      </c>
      <c r="E44">
        <v>6</v>
      </c>
      <c r="F44">
        <v>1</v>
      </c>
      <c r="G44" t="s">
        <v>140</v>
      </c>
      <c r="H44" t="s">
        <v>141</v>
      </c>
      <c r="I44" t="s">
        <v>149</v>
      </c>
      <c r="J44" t="s">
        <v>61</v>
      </c>
      <c r="K44">
        <v>1.5</v>
      </c>
      <c r="L44" t="s">
        <v>52</v>
      </c>
      <c r="M44" t="s">
        <v>57</v>
      </c>
      <c r="N44" t="s">
        <v>53</v>
      </c>
      <c r="O44" t="s">
        <v>150</v>
      </c>
      <c r="P44">
        <v>23</v>
      </c>
      <c r="Q44">
        <f t="shared" si="5"/>
        <v>1.5</v>
      </c>
      <c r="R44">
        <f t="shared" si="0"/>
        <v>15.333333333333334</v>
      </c>
      <c r="S44" t="s">
        <v>80</v>
      </c>
      <c r="T44">
        <v>0</v>
      </c>
      <c r="U44">
        <v>0</v>
      </c>
      <c r="V44">
        <v>0</v>
      </c>
      <c r="W44">
        <v>0</v>
      </c>
      <c r="X44">
        <f t="shared" si="1"/>
        <v>0</v>
      </c>
      <c r="Y44">
        <f t="shared" si="2"/>
        <v>0</v>
      </c>
      <c r="Z44">
        <v>0</v>
      </c>
      <c r="AA44">
        <f t="shared" si="6"/>
        <v>851.44999999999993</v>
      </c>
      <c r="AB44">
        <v>1.75</v>
      </c>
      <c r="AC44">
        <v>0.2</v>
      </c>
      <c r="AD44">
        <v>0</v>
      </c>
      <c r="AE44">
        <v>0</v>
      </c>
      <c r="AF44">
        <v>0</v>
      </c>
      <c r="AG44">
        <v>0</v>
      </c>
      <c r="AH44">
        <f t="shared" si="3"/>
        <v>1.95</v>
      </c>
      <c r="AI44">
        <f t="shared" si="4"/>
        <v>31.2</v>
      </c>
      <c r="AJ44">
        <v>0</v>
      </c>
      <c r="AK44">
        <f t="shared" si="7"/>
        <v>276.84999999999997</v>
      </c>
      <c r="AL44" s="14">
        <v>33</v>
      </c>
      <c r="AM44" s="14">
        <v>42.7</v>
      </c>
      <c r="AN44" s="14" t="s">
        <v>47</v>
      </c>
      <c r="AO44" s="14">
        <v>125</v>
      </c>
      <c r="AP44" s="14">
        <v>40.1</v>
      </c>
      <c r="AQ44" s="14" t="s">
        <v>48</v>
      </c>
      <c r="AR44" t="s">
        <v>52</v>
      </c>
      <c r="AS44">
        <v>31</v>
      </c>
    </row>
    <row r="45" spans="4:45" x14ac:dyDescent="0.3">
      <c r="D45">
        <v>2025</v>
      </c>
      <c r="E45">
        <v>6</v>
      </c>
      <c r="F45">
        <v>1</v>
      </c>
      <c r="G45" t="s">
        <v>140</v>
      </c>
      <c r="H45" t="s">
        <v>141</v>
      </c>
      <c r="I45" t="s">
        <v>151</v>
      </c>
      <c r="J45" t="s">
        <v>152</v>
      </c>
      <c r="K45">
        <v>7.5</v>
      </c>
      <c r="L45" t="s">
        <v>57</v>
      </c>
      <c r="M45" t="s">
        <v>52</v>
      </c>
      <c r="N45" t="s">
        <v>46</v>
      </c>
      <c r="O45" t="s">
        <v>153</v>
      </c>
      <c r="P45">
        <v>0</v>
      </c>
      <c r="Q45">
        <f t="shared" si="5"/>
        <v>7.5</v>
      </c>
      <c r="R45">
        <f t="shared" si="0"/>
        <v>0</v>
      </c>
      <c r="S45" t="s">
        <v>46</v>
      </c>
      <c r="T45">
        <v>0</v>
      </c>
      <c r="U45">
        <v>0</v>
      </c>
      <c r="V45">
        <v>0</v>
      </c>
      <c r="W45">
        <v>0</v>
      </c>
      <c r="X45">
        <f t="shared" si="1"/>
        <v>0</v>
      </c>
      <c r="Y45">
        <f t="shared" si="2"/>
        <v>0</v>
      </c>
      <c r="Z45">
        <v>750</v>
      </c>
      <c r="AA45">
        <f t="shared" si="6"/>
        <v>1601.4499999999998</v>
      </c>
      <c r="AB45">
        <v>0.28000000000000003</v>
      </c>
      <c r="AC45">
        <v>0.85</v>
      </c>
      <c r="AD45">
        <v>0.42</v>
      </c>
      <c r="AE45">
        <v>0</v>
      </c>
      <c r="AF45">
        <v>0</v>
      </c>
      <c r="AG45">
        <v>0</v>
      </c>
      <c r="AH45">
        <f t="shared" si="3"/>
        <v>1.5499999999999998</v>
      </c>
      <c r="AI45">
        <f t="shared" si="4"/>
        <v>4.9599999999999991</v>
      </c>
      <c r="AJ45">
        <v>0</v>
      </c>
      <c r="AK45">
        <f t="shared" si="7"/>
        <v>275.29999999999995</v>
      </c>
      <c r="AL45" s="14">
        <v>33</v>
      </c>
      <c r="AM45" s="14">
        <v>42.7</v>
      </c>
      <c r="AN45" s="14" t="s">
        <v>47</v>
      </c>
      <c r="AO45" s="14">
        <v>125</v>
      </c>
      <c r="AP45" s="14">
        <v>40.1</v>
      </c>
      <c r="AQ45" s="14" t="s">
        <v>48</v>
      </c>
      <c r="AR45" t="s">
        <v>57</v>
      </c>
      <c r="AS45">
        <v>31</v>
      </c>
    </row>
    <row r="46" spans="4:45" x14ac:dyDescent="0.3">
      <c r="D46">
        <v>2025</v>
      </c>
      <c r="E46">
        <v>6</v>
      </c>
      <c r="F46">
        <v>2</v>
      </c>
      <c r="G46" t="s">
        <v>141</v>
      </c>
      <c r="H46" t="s">
        <v>83</v>
      </c>
      <c r="I46" t="s">
        <v>154</v>
      </c>
      <c r="J46" t="s">
        <v>155</v>
      </c>
      <c r="K46">
        <v>0.5</v>
      </c>
      <c r="L46" t="s">
        <v>52</v>
      </c>
      <c r="M46" t="s">
        <v>52</v>
      </c>
      <c r="N46" t="s">
        <v>53</v>
      </c>
      <c r="O46" t="s">
        <v>81</v>
      </c>
      <c r="P46">
        <v>5</v>
      </c>
      <c r="Q46">
        <f t="shared" si="5"/>
        <v>0.50000000005820766</v>
      </c>
      <c r="R46">
        <f t="shared" si="0"/>
        <v>9.9999999988358468</v>
      </c>
      <c r="S46" t="s">
        <v>54</v>
      </c>
      <c r="T46">
        <v>0</v>
      </c>
      <c r="U46">
        <v>0</v>
      </c>
      <c r="V46">
        <v>0</v>
      </c>
      <c r="W46">
        <v>0</v>
      </c>
      <c r="X46">
        <f t="shared" si="1"/>
        <v>0</v>
      </c>
      <c r="Y46">
        <f t="shared" si="2"/>
        <v>0</v>
      </c>
      <c r="Z46">
        <v>0</v>
      </c>
      <c r="AA46">
        <f t="shared" si="6"/>
        <v>1601.4499999999998</v>
      </c>
      <c r="AB46">
        <v>0.35</v>
      </c>
      <c r="AC46">
        <v>0.1</v>
      </c>
      <c r="AD46">
        <v>0</v>
      </c>
      <c r="AE46">
        <v>0</v>
      </c>
      <c r="AF46">
        <v>0</v>
      </c>
      <c r="AG46">
        <v>0</v>
      </c>
      <c r="AH46">
        <f t="shared" si="3"/>
        <v>0.44999999999999996</v>
      </c>
      <c r="AI46">
        <f t="shared" si="4"/>
        <v>21.599999997485426</v>
      </c>
      <c r="AJ46">
        <v>0</v>
      </c>
      <c r="AK46">
        <f t="shared" si="7"/>
        <v>274.84999999999997</v>
      </c>
      <c r="AL46" s="14">
        <v>33</v>
      </c>
      <c r="AM46" s="14">
        <v>42.7</v>
      </c>
      <c r="AN46" s="14" t="s">
        <v>47</v>
      </c>
      <c r="AO46" s="14">
        <v>125</v>
      </c>
      <c r="AP46" s="14">
        <v>42.1</v>
      </c>
      <c r="AQ46" s="14" t="s">
        <v>48</v>
      </c>
      <c r="AR46" t="s">
        <v>52</v>
      </c>
      <c r="AS46">
        <v>31</v>
      </c>
    </row>
    <row r="47" spans="4:45" x14ac:dyDescent="0.3">
      <c r="D47">
        <v>2025</v>
      </c>
      <c r="E47">
        <v>6</v>
      </c>
      <c r="F47">
        <v>2</v>
      </c>
      <c r="G47" t="s">
        <v>141</v>
      </c>
      <c r="H47" t="s">
        <v>83</v>
      </c>
      <c r="I47" t="s">
        <v>156</v>
      </c>
      <c r="J47" t="s">
        <v>45</v>
      </c>
      <c r="K47">
        <v>3</v>
      </c>
      <c r="L47" t="s">
        <v>52</v>
      </c>
      <c r="M47" t="s">
        <v>52</v>
      </c>
      <c r="N47" t="s">
        <v>53</v>
      </c>
      <c r="O47" t="s">
        <v>79</v>
      </c>
      <c r="P47">
        <v>67</v>
      </c>
      <c r="Q47">
        <f t="shared" si="5"/>
        <v>3</v>
      </c>
      <c r="R47">
        <f t="shared" si="0"/>
        <v>22.333333333333332</v>
      </c>
      <c r="S47" t="s">
        <v>54</v>
      </c>
      <c r="T47">
        <v>3.45</v>
      </c>
      <c r="U47">
        <v>0.35</v>
      </c>
      <c r="V47">
        <v>0</v>
      </c>
      <c r="W47">
        <v>0</v>
      </c>
      <c r="X47">
        <f t="shared" si="1"/>
        <v>3.8000000000000003</v>
      </c>
      <c r="Y47">
        <f t="shared" si="2"/>
        <v>30.400000000000002</v>
      </c>
      <c r="Z47">
        <v>0</v>
      </c>
      <c r="AA47">
        <f t="shared" si="6"/>
        <v>1597.6499999999999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f t="shared" si="3"/>
        <v>0</v>
      </c>
      <c r="AI47">
        <f t="shared" si="4"/>
        <v>0</v>
      </c>
      <c r="AJ47">
        <v>0</v>
      </c>
      <c r="AK47">
        <f t="shared" si="7"/>
        <v>274.84999999999997</v>
      </c>
      <c r="AL47">
        <v>33</v>
      </c>
      <c r="AM47">
        <v>44.1</v>
      </c>
      <c r="AN47" t="s">
        <v>47</v>
      </c>
      <c r="AO47">
        <v>127</v>
      </c>
      <c r="AP47">
        <v>53.3</v>
      </c>
      <c r="AQ47" t="s">
        <v>48</v>
      </c>
      <c r="AR47" t="s">
        <v>49</v>
      </c>
      <c r="AS47">
        <v>31</v>
      </c>
    </row>
    <row r="48" spans="4:45" x14ac:dyDescent="0.3">
      <c r="D48">
        <v>2025</v>
      </c>
      <c r="E48">
        <v>6</v>
      </c>
      <c r="F48">
        <v>2</v>
      </c>
      <c r="G48" t="s">
        <v>141</v>
      </c>
      <c r="H48" t="s">
        <v>83</v>
      </c>
      <c r="I48" t="s">
        <v>157</v>
      </c>
      <c r="J48" t="s">
        <v>45</v>
      </c>
      <c r="K48">
        <v>24</v>
      </c>
      <c r="L48" t="s">
        <v>52</v>
      </c>
      <c r="M48" t="s">
        <v>52</v>
      </c>
      <c r="N48" t="s">
        <v>53</v>
      </c>
      <c r="O48" t="s">
        <v>79</v>
      </c>
      <c r="P48">
        <v>380</v>
      </c>
      <c r="Q48">
        <f t="shared" si="5"/>
        <v>24</v>
      </c>
      <c r="R48">
        <f t="shared" si="0"/>
        <v>15.833333333333334</v>
      </c>
      <c r="S48" t="s">
        <v>73</v>
      </c>
      <c r="T48">
        <v>36.700000000000003</v>
      </c>
      <c r="U48">
        <v>3.35</v>
      </c>
      <c r="V48">
        <v>0</v>
      </c>
      <c r="W48">
        <v>0</v>
      </c>
      <c r="X48">
        <f t="shared" si="1"/>
        <v>40.050000000000004</v>
      </c>
      <c r="Y48">
        <f t="shared" si="2"/>
        <v>40.050000000000004</v>
      </c>
      <c r="Z48">
        <v>0</v>
      </c>
      <c r="AA48">
        <f t="shared" si="6"/>
        <v>1557.6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f t="shared" si="3"/>
        <v>0</v>
      </c>
      <c r="AI48">
        <f t="shared" si="4"/>
        <v>0</v>
      </c>
      <c r="AJ48">
        <v>0</v>
      </c>
      <c r="AK48">
        <f t="shared" si="7"/>
        <v>274.84999999999997</v>
      </c>
      <c r="AL48">
        <v>30</v>
      </c>
      <c r="AM48">
        <v>53.1</v>
      </c>
      <c r="AN48" t="s">
        <v>47</v>
      </c>
      <c r="AO48">
        <v>132</v>
      </c>
      <c r="AP48">
        <v>37.700000000000003</v>
      </c>
      <c r="AQ48" t="s">
        <v>48</v>
      </c>
      <c r="AR48" t="s">
        <v>49</v>
      </c>
      <c r="AS48">
        <v>31</v>
      </c>
    </row>
    <row r="49" spans="4:45" x14ac:dyDescent="0.3">
      <c r="D49">
        <v>2025</v>
      </c>
      <c r="E49">
        <v>6</v>
      </c>
      <c r="F49">
        <v>2</v>
      </c>
      <c r="G49" t="s">
        <v>141</v>
      </c>
      <c r="H49" t="s">
        <v>83</v>
      </c>
      <c r="I49" t="s">
        <v>158</v>
      </c>
      <c r="J49" t="s">
        <v>45</v>
      </c>
      <c r="K49">
        <v>24</v>
      </c>
      <c r="L49" t="s">
        <v>52</v>
      </c>
      <c r="M49" t="s">
        <v>52</v>
      </c>
      <c r="N49" t="s">
        <v>53</v>
      </c>
      <c r="O49" t="s">
        <v>79</v>
      </c>
      <c r="P49">
        <v>397</v>
      </c>
      <c r="Q49">
        <f t="shared" si="5"/>
        <v>24</v>
      </c>
      <c r="R49">
        <f t="shared" si="0"/>
        <v>16.541666666666668</v>
      </c>
      <c r="S49" t="s">
        <v>105</v>
      </c>
      <c r="T49">
        <v>38.450000000000003</v>
      </c>
      <c r="U49">
        <v>5.8</v>
      </c>
      <c r="V49">
        <v>0</v>
      </c>
      <c r="W49">
        <v>0</v>
      </c>
      <c r="X49">
        <f t="shared" si="1"/>
        <v>44.25</v>
      </c>
      <c r="Y49">
        <f t="shared" si="2"/>
        <v>44.25</v>
      </c>
      <c r="Z49">
        <v>0</v>
      </c>
      <c r="AA49">
        <f t="shared" si="6"/>
        <v>1513.35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f t="shared" si="3"/>
        <v>0</v>
      </c>
      <c r="AI49">
        <f t="shared" si="4"/>
        <v>0</v>
      </c>
      <c r="AJ49">
        <v>0</v>
      </c>
      <c r="AK49">
        <f t="shared" si="7"/>
        <v>274.84999999999997</v>
      </c>
      <c r="AL49">
        <v>30</v>
      </c>
      <c r="AM49">
        <v>42.5</v>
      </c>
      <c r="AN49" t="s">
        <v>47</v>
      </c>
      <c r="AO49">
        <v>140</v>
      </c>
      <c r="AP49">
        <v>9.6999999999999993</v>
      </c>
      <c r="AQ49" t="s">
        <v>48</v>
      </c>
      <c r="AR49" t="s">
        <v>49</v>
      </c>
      <c r="AS49">
        <v>31</v>
      </c>
    </row>
    <row r="50" spans="4:45" x14ac:dyDescent="0.3">
      <c r="D50">
        <v>2025</v>
      </c>
      <c r="E50">
        <v>6</v>
      </c>
      <c r="F50">
        <v>2</v>
      </c>
      <c r="G50" t="s">
        <v>141</v>
      </c>
      <c r="H50" t="s">
        <v>83</v>
      </c>
      <c r="I50" t="s">
        <v>159</v>
      </c>
      <c r="J50" t="s">
        <v>45</v>
      </c>
      <c r="K50">
        <v>24</v>
      </c>
      <c r="L50" t="s">
        <v>52</v>
      </c>
      <c r="M50" t="s">
        <v>52</v>
      </c>
      <c r="N50" t="s">
        <v>53</v>
      </c>
      <c r="O50" t="s">
        <v>79</v>
      </c>
      <c r="P50">
        <v>384</v>
      </c>
      <c r="Q50">
        <f t="shared" si="5"/>
        <v>24</v>
      </c>
      <c r="R50">
        <f t="shared" si="0"/>
        <v>16</v>
      </c>
      <c r="S50" t="s">
        <v>160</v>
      </c>
      <c r="T50">
        <v>37.700000000000003</v>
      </c>
      <c r="U50">
        <v>3.45</v>
      </c>
      <c r="V50">
        <v>0</v>
      </c>
      <c r="W50">
        <v>0</v>
      </c>
      <c r="X50">
        <f t="shared" si="1"/>
        <v>41.150000000000006</v>
      </c>
      <c r="Y50">
        <f t="shared" si="2"/>
        <v>41.150000000000006</v>
      </c>
      <c r="Z50">
        <v>0</v>
      </c>
      <c r="AA50">
        <f t="shared" si="6"/>
        <v>1472.1999999999998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f t="shared" si="3"/>
        <v>0</v>
      </c>
      <c r="AI50">
        <f t="shared" si="4"/>
        <v>0</v>
      </c>
      <c r="AJ50">
        <v>0</v>
      </c>
      <c r="AK50">
        <f t="shared" si="7"/>
        <v>274.84999999999997</v>
      </c>
      <c r="AL50">
        <v>30</v>
      </c>
      <c r="AM50">
        <v>14.4</v>
      </c>
      <c r="AN50" t="s">
        <v>47</v>
      </c>
      <c r="AO50">
        <v>147</v>
      </c>
      <c r="AP50">
        <v>28.4</v>
      </c>
      <c r="AQ50" t="s">
        <v>48</v>
      </c>
      <c r="AR50" t="s">
        <v>49</v>
      </c>
      <c r="AS50">
        <v>31</v>
      </c>
    </row>
    <row r="51" spans="4:45" x14ac:dyDescent="0.3">
      <c r="D51">
        <v>2025</v>
      </c>
      <c r="E51">
        <v>6</v>
      </c>
      <c r="F51">
        <v>2</v>
      </c>
      <c r="G51" t="s">
        <v>141</v>
      </c>
      <c r="H51" t="s">
        <v>83</v>
      </c>
      <c r="I51" t="s">
        <v>161</v>
      </c>
      <c r="J51" t="s">
        <v>45</v>
      </c>
      <c r="K51">
        <v>23</v>
      </c>
      <c r="L51" t="s">
        <v>52</v>
      </c>
      <c r="M51" t="s">
        <v>52</v>
      </c>
      <c r="N51" t="s">
        <v>53</v>
      </c>
      <c r="O51" t="s">
        <v>79</v>
      </c>
      <c r="P51">
        <v>369</v>
      </c>
      <c r="Q51">
        <f t="shared" si="5"/>
        <v>24</v>
      </c>
      <c r="R51">
        <f t="shared" si="0"/>
        <v>15.375</v>
      </c>
      <c r="S51" t="s">
        <v>160</v>
      </c>
      <c r="T51">
        <v>37.75</v>
      </c>
      <c r="U51">
        <v>3.4</v>
      </c>
      <c r="V51">
        <v>0</v>
      </c>
      <c r="W51">
        <v>0</v>
      </c>
      <c r="X51">
        <f t="shared" si="1"/>
        <v>41.15</v>
      </c>
      <c r="Y51">
        <f t="shared" si="2"/>
        <v>41.15</v>
      </c>
      <c r="Z51">
        <v>0</v>
      </c>
      <c r="AA51">
        <f t="shared" si="6"/>
        <v>1431.0499999999997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f t="shared" si="3"/>
        <v>0</v>
      </c>
      <c r="AI51">
        <f t="shared" si="4"/>
        <v>0</v>
      </c>
      <c r="AJ51">
        <v>0</v>
      </c>
      <c r="AK51">
        <f t="shared" si="7"/>
        <v>274.84999999999997</v>
      </c>
      <c r="AL51">
        <v>29</v>
      </c>
      <c r="AM51">
        <v>22.1</v>
      </c>
      <c r="AN51" t="s">
        <v>47</v>
      </c>
      <c r="AO51">
        <v>154</v>
      </c>
      <c r="AP51">
        <v>26.8</v>
      </c>
      <c r="AQ51" t="s">
        <v>48</v>
      </c>
      <c r="AR51" t="s">
        <v>49</v>
      </c>
      <c r="AS51">
        <v>31</v>
      </c>
    </row>
    <row r="52" spans="4:45" x14ac:dyDescent="0.3">
      <c r="D52">
        <v>2025</v>
      </c>
      <c r="E52">
        <v>6</v>
      </c>
      <c r="F52">
        <v>2</v>
      </c>
      <c r="G52" t="s">
        <v>141</v>
      </c>
      <c r="H52" t="s">
        <v>83</v>
      </c>
      <c r="I52" t="s">
        <v>162</v>
      </c>
      <c r="J52" t="s">
        <v>45</v>
      </c>
      <c r="K52">
        <v>24</v>
      </c>
      <c r="L52" t="s">
        <v>52</v>
      </c>
      <c r="M52" t="s">
        <v>52</v>
      </c>
      <c r="N52" t="s">
        <v>53</v>
      </c>
      <c r="O52" t="s">
        <v>79</v>
      </c>
      <c r="P52">
        <v>382</v>
      </c>
      <c r="Q52">
        <f t="shared" si="5"/>
        <v>24</v>
      </c>
      <c r="R52">
        <f t="shared" si="0"/>
        <v>15.916666666666666</v>
      </c>
      <c r="S52" t="s">
        <v>65</v>
      </c>
      <c r="T52">
        <v>38.1</v>
      </c>
      <c r="U52">
        <v>6.25</v>
      </c>
      <c r="V52">
        <v>0</v>
      </c>
      <c r="W52">
        <v>0</v>
      </c>
      <c r="X52">
        <f t="shared" si="1"/>
        <v>44.35</v>
      </c>
      <c r="Y52">
        <f t="shared" si="2"/>
        <v>44.35</v>
      </c>
      <c r="Z52">
        <v>0</v>
      </c>
      <c r="AA52">
        <f t="shared" si="6"/>
        <v>1386.6999999999998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f t="shared" si="3"/>
        <v>0</v>
      </c>
      <c r="AI52">
        <f t="shared" si="4"/>
        <v>0</v>
      </c>
      <c r="AJ52">
        <v>0</v>
      </c>
      <c r="AK52">
        <f t="shared" si="7"/>
        <v>274.84999999999997</v>
      </c>
      <c r="AL52">
        <v>28</v>
      </c>
      <c r="AM52">
        <v>7.4</v>
      </c>
      <c r="AN52" t="s">
        <v>47</v>
      </c>
      <c r="AO52">
        <v>161</v>
      </c>
      <c r="AP52">
        <v>31.2</v>
      </c>
      <c r="AQ52" t="s">
        <v>48</v>
      </c>
      <c r="AR52" t="s">
        <v>49</v>
      </c>
      <c r="AS52">
        <v>31</v>
      </c>
    </row>
    <row r="53" spans="4:45" x14ac:dyDescent="0.3">
      <c r="AK53" t="s">
        <v>164</v>
      </c>
    </row>
    <row r="56" spans="4:45" x14ac:dyDescent="0.3">
      <c r="AA56">
        <f>1386.7 +755.63</f>
        <v>2142.33</v>
      </c>
    </row>
  </sheetData>
  <mergeCells count="2">
    <mergeCell ref="T3:AA3"/>
    <mergeCell ref="AB3:AK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register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2025-02-28T14:19:11Z</dcterms:created>
  <dcterms:modified xsi:type="dcterms:W3CDTF">2025-02-28T17:03:24Z</dcterms:modified>
  <cp:category/>
</cp:coreProperties>
</file>