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Puma\Documents\GITHUB\transgas\"/>
    </mc:Choice>
  </mc:AlternateContent>
  <xr:revisionPtr revIDLastSave="0" documentId="13_ncr:1_{DA233A63-9E38-48D6-B45C-7B154809E5A5}" xr6:coauthVersionLast="47" xr6:coauthVersionMax="47" xr10:uidLastSave="{00000000-0000-0000-0000-000000000000}"/>
  <bookViews>
    <workbookView xWindow="28680" yWindow="-120" windowWidth="29040" windowHeight="15720" xr2:uid="{3F74D795-F681-4A7A-BAEA-8B7337A11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9" i="1" l="1"/>
  <c r="Z110" i="1" s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5" i="1"/>
  <c r="O294" i="1"/>
  <c r="O293" i="1"/>
  <c r="O292" i="1"/>
  <c r="O291" i="1"/>
  <c r="O290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6" i="1"/>
  <c r="M295" i="1"/>
  <c r="M294" i="1"/>
  <c r="M293" i="1"/>
  <c r="M292" i="1"/>
  <c r="M291" i="1"/>
  <c r="M290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Z111" i="1" l="1"/>
  <c r="O110" i="1"/>
  <c r="Z112" i="1" l="1"/>
  <c r="O113" i="1" s="1"/>
  <c r="O111" i="1"/>
  <c r="O1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Z42" authorId="0" shapeId="0" xr:uid="{5572B5B6-979A-44B2-A19F-5D762CA908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Bunkering: Newcastle Port Received 300.14 MT</t>
        </r>
      </text>
    </comment>
    <comment ref="X294" authorId="0" shapeId="0" xr:uid="{CE381576-7B5A-4A22-8340-A20B12F9D1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BUNKERING: VLSFO 265.84MT</t>
        </r>
      </text>
    </comment>
    <comment ref="X339" authorId="0" shapeId="0" xr:uid="{CF73AFB6-C5CF-4F15-AC4C-A55801AE15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BUNKERING:VLSFO 250MT</t>
        </r>
      </text>
    </comment>
    <comment ref="X366" authorId="0" shapeId="0" xr:uid="{77B5B007-CDE5-4419-85CE-4FBF44A45A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BUNKERING VLSFO 452.22MT
</t>
        </r>
      </text>
    </comment>
  </commentList>
</comments>
</file>

<file path=xl/sharedStrings.xml><?xml version="1.0" encoding="utf-8"?>
<sst xmlns="http://schemas.openxmlformats.org/spreadsheetml/2006/main" count="1497" uniqueCount="38">
  <si>
    <t>date</t>
  </si>
  <si>
    <t>hour</t>
  </si>
  <si>
    <t>lat_deg</t>
  </si>
  <si>
    <t>lat_min</t>
  </si>
  <si>
    <t>latitud</t>
  </si>
  <si>
    <t>long_deg</t>
  </si>
  <si>
    <t>long_min</t>
  </si>
  <si>
    <t>longitude</t>
  </si>
  <si>
    <t>event</t>
  </si>
  <si>
    <t>time</t>
  </si>
  <si>
    <t>time_sailing</t>
  </si>
  <si>
    <t>distance</t>
  </si>
  <si>
    <t>hfo</t>
  </si>
  <si>
    <t>lfo</t>
  </si>
  <si>
    <t>mgo</t>
  </si>
  <si>
    <t>mdo</t>
  </si>
  <si>
    <t>nil1</t>
  </si>
  <si>
    <t>nil2</t>
  </si>
  <si>
    <t>nil3</t>
  </si>
  <si>
    <t>nil4</t>
  </si>
  <si>
    <t>nil5</t>
  </si>
  <si>
    <t>nil6</t>
  </si>
  <si>
    <t>nil7</t>
  </si>
  <si>
    <t>rob_hfo</t>
  </si>
  <si>
    <t>rob_lfo</t>
  </si>
  <si>
    <t>rob_mgo</t>
  </si>
  <si>
    <t>rob_mdo</t>
  </si>
  <si>
    <t>rob_lpg</t>
  </si>
  <si>
    <t>rob_lng</t>
  </si>
  <si>
    <t>rob_methanol</t>
  </si>
  <si>
    <t>rob_ethanol</t>
  </si>
  <si>
    <t>rob_other</t>
  </si>
  <si>
    <t>other_type</t>
  </si>
  <si>
    <t>North</t>
  </si>
  <si>
    <t>Noon</t>
  </si>
  <si>
    <t>East</t>
  </si>
  <si>
    <t>12:00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</si>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</sst>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0"/>
    <numFmt numFmtId="166" formatCode="00.0"/>
    <numFmt numFmtId="167" formatCode="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2" fontId="0" fillId="2" borderId="2" xfId="0" applyNumberFormat="1" applyFill="1" applyBorder="1" applyProtection="1">
      <protection locked="0"/>
    </xf>
    <xf numFmtId="49" fontId="0" fillId="2" borderId="2" xfId="0" applyNumberFormat="1" applyFill="1" applyBorder="1" applyProtection="1">
      <protection locked="0"/>
    </xf>
    <xf numFmtId="164" fontId="2" fillId="3" borderId="1" xfId="0" applyNumberFormat="1" applyFont="1" applyFill="1" applyBorder="1" applyAlignment="1">
      <alignment horizontal="right" wrapText="1"/>
    </xf>
    <xf numFmtId="164" fontId="2" fillId="4" borderId="1" xfId="0" applyNumberFormat="1" applyFont="1" applyFill="1" applyBorder="1" applyAlignment="1">
      <alignment horizontal="right" wrapText="1"/>
    </xf>
    <xf numFmtId="165" fontId="2" fillId="3" borderId="1" xfId="0" applyNumberFormat="1" applyFont="1" applyFill="1" applyBorder="1" applyAlignment="1">
      <alignment horizontal="right" wrapText="1"/>
    </xf>
    <xf numFmtId="166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 wrapText="1"/>
    </xf>
    <xf numFmtId="167" fontId="2" fillId="3" borderId="1" xfId="0" applyNumberFormat="1" applyFont="1" applyFill="1" applyBorder="1" applyAlignment="1">
      <alignment horizontal="right" wrapText="1"/>
    </xf>
    <xf numFmtId="165" fontId="2" fillId="4" borderId="1" xfId="0" applyNumberFormat="1" applyFont="1" applyFill="1" applyBorder="1" applyAlignment="1">
      <alignment horizontal="right" wrapText="1"/>
    </xf>
    <xf numFmtId="166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left" wrapText="1"/>
    </xf>
    <xf numFmtId="167" fontId="2" fillId="4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right" wrapText="1"/>
    </xf>
    <xf numFmtId="2" fontId="2" fillId="4" borderId="1" xfId="0" applyNumberFormat="1" applyFont="1" applyFill="1" applyBorder="1" applyAlignment="1">
      <alignment horizontal="right" wrapText="1"/>
    </xf>
    <xf numFmtId="2" fontId="2" fillId="5" borderId="1" xfId="0" applyNumberFormat="1" applyFont="1" applyFill="1" applyBorder="1" applyAlignment="1">
      <alignment horizontal="right" vertical="center" wrapText="1"/>
    </xf>
    <xf numFmtId="2" fontId="2" fillId="4" borderId="1" xfId="0" applyNumberFormat="1" applyFont="1" applyFill="1" applyBorder="1" applyAlignment="1">
      <alignment horizontal="right" vertical="center" wrapText="1"/>
    </xf>
    <xf numFmtId="2" fontId="3" fillId="5" borderId="3" xfId="0" applyNumberFormat="1" applyFont="1" applyFill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24E5-A722-416C-B0A6-CD983134D43A}">
  <dimension ref="A1:AG367"/>
  <sheetViews>
    <sheetView tabSelected="1" topLeftCell="F1" workbookViewId="0">
      <selection activeCell="X294" sqref="X294"/>
    </sheetView>
  </sheetViews>
  <sheetFormatPr defaultRowHeight="14.4" x14ac:dyDescent="0.3"/>
  <cols>
    <col min="1" max="1" width="12.88671875" customWidth="1"/>
    <col min="2" max="2" width="8.88671875" style="3"/>
    <col min="11" max="11" width="11.109375" customWidth="1"/>
    <col min="33" max="33" width="11.109375" customWidth="1"/>
  </cols>
  <sheetData>
    <row r="1" spans="1:3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6">
        <v>45292</v>
      </c>
      <c r="B2" s="3" t="s">
        <v>36</v>
      </c>
      <c r="C2" s="8">
        <v>14</v>
      </c>
      <c r="D2" s="9">
        <v>5.3</v>
      </c>
      <c r="E2" s="10" t="s">
        <v>37</v>
      </c>
      <c r="F2" s="11">
        <v>144</v>
      </c>
      <c r="G2" s="9">
        <v>25</v>
      </c>
      <c r="H2" s="10" t="s">
        <v>35</v>
      </c>
      <c r="I2" s="16" t="s">
        <v>34</v>
      </c>
      <c r="J2" s="17">
        <v>24</v>
      </c>
      <c r="K2" s="17">
        <v>24</v>
      </c>
      <c r="L2" s="17">
        <v>281</v>
      </c>
      <c r="M2" s="19">
        <v>3.49</v>
      </c>
      <c r="N2" s="4">
        <v>0</v>
      </c>
      <c r="O2" s="19">
        <v>0.05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19">
        <v>529.41999999999996</v>
      </c>
      <c r="Y2" s="4">
        <v>0</v>
      </c>
      <c r="Z2" s="19">
        <v>41.67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5"/>
    </row>
    <row r="3" spans="1:33" x14ac:dyDescent="0.3">
      <c r="A3" s="6">
        <v>45293</v>
      </c>
      <c r="B3" s="3" t="s">
        <v>36</v>
      </c>
      <c r="C3" s="8">
        <v>18</v>
      </c>
      <c r="D3" s="9">
        <v>3.2</v>
      </c>
      <c r="E3" s="10" t="s">
        <v>37</v>
      </c>
      <c r="F3" s="11">
        <v>146</v>
      </c>
      <c r="G3" s="9">
        <v>22.1</v>
      </c>
      <c r="H3" s="10" t="s">
        <v>35</v>
      </c>
      <c r="I3" s="16" t="s">
        <v>34</v>
      </c>
      <c r="J3" s="17">
        <v>24</v>
      </c>
      <c r="K3" s="17">
        <v>23</v>
      </c>
      <c r="L3" s="17">
        <v>277</v>
      </c>
      <c r="M3" s="19">
        <v>22.44</v>
      </c>
      <c r="N3" s="4">
        <v>0</v>
      </c>
      <c r="O3" s="19">
        <v>0.25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19">
        <v>505.44</v>
      </c>
      <c r="Y3" s="4">
        <v>0</v>
      </c>
      <c r="Z3" s="19">
        <v>41.41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5"/>
    </row>
    <row r="4" spans="1:33" x14ac:dyDescent="0.3">
      <c r="A4" s="6">
        <v>45294</v>
      </c>
      <c r="B4" s="3" t="s">
        <v>36</v>
      </c>
      <c r="C4" s="8">
        <v>21</v>
      </c>
      <c r="D4" s="9">
        <v>11.9</v>
      </c>
      <c r="E4" s="10" t="s">
        <v>37</v>
      </c>
      <c r="F4" s="11">
        <v>150</v>
      </c>
      <c r="G4" s="9">
        <v>7.3</v>
      </c>
      <c r="H4" s="10" t="s">
        <v>35</v>
      </c>
      <c r="I4" s="16" t="s">
        <v>34</v>
      </c>
      <c r="J4" s="17">
        <v>24</v>
      </c>
      <c r="K4" s="17">
        <v>24</v>
      </c>
      <c r="L4" s="17">
        <v>288</v>
      </c>
      <c r="M4" s="19">
        <f t="shared" ref="M4:M38" si="0">X3-X4</f>
        <v>22.319999999999993</v>
      </c>
      <c r="N4" s="4">
        <v>0</v>
      </c>
      <c r="O4" s="19">
        <f t="shared" ref="O4:O38" si="1">Z3-Z4</f>
        <v>0.25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19">
        <v>483.12</v>
      </c>
      <c r="Y4" s="4">
        <v>0</v>
      </c>
      <c r="Z4" s="19">
        <v>41.16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3" x14ac:dyDescent="0.3">
      <c r="A5" s="6">
        <v>45295</v>
      </c>
      <c r="B5" s="3" t="s">
        <v>36</v>
      </c>
      <c r="C5" s="8">
        <v>24</v>
      </c>
      <c r="D5" s="9">
        <v>29.9</v>
      </c>
      <c r="E5" s="10" t="s">
        <v>37</v>
      </c>
      <c r="F5" s="11">
        <v>153</v>
      </c>
      <c r="G5" s="9">
        <v>32.299999999999997</v>
      </c>
      <c r="H5" s="10" t="s">
        <v>35</v>
      </c>
      <c r="I5" s="16" t="s">
        <v>34</v>
      </c>
      <c r="J5" s="17">
        <v>24</v>
      </c>
      <c r="K5" s="17">
        <v>24</v>
      </c>
      <c r="L5" s="17">
        <v>275</v>
      </c>
      <c r="M5" s="19">
        <f t="shared" si="0"/>
        <v>24.699999999999989</v>
      </c>
      <c r="N5" s="4">
        <v>0</v>
      </c>
      <c r="O5" s="19">
        <f t="shared" si="1"/>
        <v>0.29999999999999716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19">
        <v>458.42</v>
      </c>
      <c r="Y5" s="4">
        <v>0</v>
      </c>
      <c r="Z5" s="19">
        <v>40.86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3" x14ac:dyDescent="0.3">
      <c r="A6" s="6">
        <v>45296</v>
      </c>
      <c r="B6" s="3" t="s">
        <v>36</v>
      </c>
      <c r="C6" s="8">
        <v>28</v>
      </c>
      <c r="D6" s="9">
        <v>59.7</v>
      </c>
      <c r="E6" s="10" t="s">
        <v>37</v>
      </c>
      <c r="F6" s="11">
        <v>153</v>
      </c>
      <c r="G6" s="9">
        <v>45.3</v>
      </c>
      <c r="H6" s="10" t="s">
        <v>35</v>
      </c>
      <c r="I6" s="16" t="s">
        <v>34</v>
      </c>
      <c r="J6" s="17">
        <v>24</v>
      </c>
      <c r="K6" s="17">
        <v>23</v>
      </c>
      <c r="L6" s="17">
        <v>267</v>
      </c>
      <c r="M6" s="19">
        <f t="shared" si="0"/>
        <v>24.180000000000007</v>
      </c>
      <c r="N6" s="4">
        <v>0</v>
      </c>
      <c r="O6" s="19">
        <f t="shared" si="1"/>
        <v>0.35000000000000142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19">
        <v>434.24</v>
      </c>
      <c r="Y6" s="4">
        <v>0</v>
      </c>
      <c r="Z6" s="19">
        <v>40.51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3" x14ac:dyDescent="0.3">
      <c r="A7" s="6">
        <v>45297</v>
      </c>
      <c r="B7" s="3" t="s">
        <v>36</v>
      </c>
      <c r="C7" s="8">
        <v>28</v>
      </c>
      <c r="D7" s="9">
        <v>59.7</v>
      </c>
      <c r="E7" s="10" t="s">
        <v>37</v>
      </c>
      <c r="F7" s="11">
        <v>153</v>
      </c>
      <c r="G7" s="9">
        <v>45.3</v>
      </c>
      <c r="H7" s="10" t="s">
        <v>35</v>
      </c>
      <c r="I7" s="16" t="s">
        <v>34</v>
      </c>
      <c r="J7" s="17">
        <v>23.999999999999996</v>
      </c>
      <c r="K7" s="17">
        <v>0</v>
      </c>
      <c r="L7" s="17">
        <v>0</v>
      </c>
      <c r="M7" s="19">
        <f>X6-X7</f>
        <v>19.360000000000014</v>
      </c>
      <c r="N7" s="4">
        <v>0</v>
      </c>
      <c r="O7" s="19">
        <f>Z6-Z7</f>
        <v>0.47999999999999687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19">
        <v>414.88</v>
      </c>
      <c r="Y7" s="4">
        <v>0</v>
      </c>
      <c r="Z7" s="19">
        <v>40.03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3" x14ac:dyDescent="0.3">
      <c r="A8" s="6">
        <v>45298</v>
      </c>
      <c r="B8" s="3" t="s">
        <v>36</v>
      </c>
      <c r="C8" s="8">
        <v>33</v>
      </c>
      <c r="D8" s="9">
        <v>3.8</v>
      </c>
      <c r="E8" s="10" t="s">
        <v>37</v>
      </c>
      <c r="F8" s="11">
        <v>151</v>
      </c>
      <c r="G8" s="9">
        <v>45.5</v>
      </c>
      <c r="H8" s="10" t="s">
        <v>35</v>
      </c>
      <c r="I8" s="16" t="s">
        <v>34</v>
      </c>
      <c r="J8" s="17">
        <v>24</v>
      </c>
      <c r="K8" s="17">
        <v>0</v>
      </c>
      <c r="L8" s="17">
        <v>0</v>
      </c>
      <c r="M8" s="19">
        <f t="shared" si="0"/>
        <v>4.5400000000000205</v>
      </c>
      <c r="N8" s="4">
        <v>0</v>
      </c>
      <c r="O8" s="19">
        <f t="shared" si="1"/>
        <v>0.71999999999999886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19">
        <v>410.34</v>
      </c>
      <c r="Y8" s="4">
        <v>0</v>
      </c>
      <c r="Z8" s="19">
        <v>39.31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33" x14ac:dyDescent="0.3">
      <c r="A9" s="6">
        <v>45299</v>
      </c>
      <c r="B9" s="3" t="s">
        <v>36</v>
      </c>
      <c r="C9" s="8">
        <v>33</v>
      </c>
      <c r="D9" s="9">
        <v>44</v>
      </c>
      <c r="E9" s="10" t="s">
        <v>37</v>
      </c>
      <c r="F9" s="11">
        <v>151</v>
      </c>
      <c r="G9" s="9">
        <v>45.3</v>
      </c>
      <c r="H9" s="10" t="s">
        <v>35</v>
      </c>
      <c r="I9" s="16" t="s">
        <v>34</v>
      </c>
      <c r="J9" s="17">
        <v>24</v>
      </c>
      <c r="K9" s="17">
        <v>0</v>
      </c>
      <c r="L9" s="17">
        <v>0</v>
      </c>
      <c r="M9" s="19">
        <f t="shared" si="0"/>
        <v>3.8799999999999955</v>
      </c>
      <c r="N9" s="4">
        <v>0</v>
      </c>
      <c r="O9" s="19">
        <f t="shared" si="1"/>
        <v>1.0100000000000051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19">
        <v>406.46</v>
      </c>
      <c r="Y9" s="4">
        <v>0</v>
      </c>
      <c r="Z9" s="19">
        <v>38.299999999999997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  <row r="10" spans="1:33" x14ac:dyDescent="0.3">
      <c r="A10" s="6">
        <v>45300</v>
      </c>
      <c r="B10" s="3" t="s">
        <v>36</v>
      </c>
      <c r="C10" s="8">
        <v>30</v>
      </c>
      <c r="D10" s="9">
        <v>18.399999999999999</v>
      </c>
      <c r="E10" s="10" t="s">
        <v>37</v>
      </c>
      <c r="F10" s="11">
        <v>153</v>
      </c>
      <c r="G10" s="9">
        <v>24.37</v>
      </c>
      <c r="H10" s="10" t="s">
        <v>35</v>
      </c>
      <c r="I10" s="16" t="s">
        <v>34</v>
      </c>
      <c r="J10" s="17">
        <v>24</v>
      </c>
      <c r="K10" s="17">
        <v>19</v>
      </c>
      <c r="L10" s="17">
        <v>194</v>
      </c>
      <c r="M10" s="19">
        <f t="shared" si="0"/>
        <v>19.419999999999959</v>
      </c>
      <c r="N10" s="4">
        <v>0</v>
      </c>
      <c r="O10" s="19">
        <f t="shared" si="1"/>
        <v>1.1499999999999986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19">
        <v>387.04</v>
      </c>
      <c r="Y10" s="4">
        <v>0</v>
      </c>
      <c r="Z10" s="19">
        <v>37.15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</row>
    <row r="11" spans="1:33" x14ac:dyDescent="0.3">
      <c r="A11" s="6">
        <v>45301</v>
      </c>
      <c r="B11" s="3" t="s">
        <v>36</v>
      </c>
      <c r="C11" s="8">
        <v>26</v>
      </c>
      <c r="D11" s="9">
        <v>24.66</v>
      </c>
      <c r="E11" s="10" t="s">
        <v>37</v>
      </c>
      <c r="F11" s="11">
        <v>153</v>
      </c>
      <c r="G11" s="9">
        <v>41.28</v>
      </c>
      <c r="H11" s="10" t="s">
        <v>35</v>
      </c>
      <c r="I11" s="16" t="s">
        <v>34</v>
      </c>
      <c r="J11" s="17">
        <v>24</v>
      </c>
      <c r="K11" s="17">
        <v>24</v>
      </c>
      <c r="L11" s="17">
        <v>236</v>
      </c>
      <c r="M11" s="19">
        <f t="shared" si="0"/>
        <v>24.300000000000011</v>
      </c>
      <c r="N11" s="4">
        <v>0</v>
      </c>
      <c r="O11" s="19">
        <f t="shared" si="1"/>
        <v>0.92000000000000171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19">
        <v>362.74</v>
      </c>
      <c r="Y11" s="4">
        <v>0</v>
      </c>
      <c r="Z11" s="19">
        <v>36.229999999999997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</row>
    <row r="12" spans="1:33" x14ac:dyDescent="0.3">
      <c r="A12" s="6">
        <v>45302</v>
      </c>
      <c r="B12" s="3" t="s">
        <v>36</v>
      </c>
      <c r="C12" s="8">
        <v>23</v>
      </c>
      <c r="D12" s="9">
        <v>54.79</v>
      </c>
      <c r="E12" s="10" t="s">
        <v>37</v>
      </c>
      <c r="F12" s="11">
        <v>151</v>
      </c>
      <c r="G12" s="9">
        <v>35.659999999999997</v>
      </c>
      <c r="H12" s="10" t="s">
        <v>35</v>
      </c>
      <c r="I12" s="16" t="s">
        <v>34</v>
      </c>
      <c r="J12" s="17">
        <v>24</v>
      </c>
      <c r="K12" s="17">
        <v>21.7</v>
      </c>
      <c r="L12" s="17">
        <v>236</v>
      </c>
      <c r="M12" s="19">
        <f t="shared" si="0"/>
        <v>21.189999999999998</v>
      </c>
      <c r="N12" s="4">
        <v>0</v>
      </c>
      <c r="O12" s="19">
        <f t="shared" si="1"/>
        <v>0.95999999999999375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19">
        <v>341.55</v>
      </c>
      <c r="Y12" s="4">
        <v>0</v>
      </c>
      <c r="Z12" s="19">
        <v>35.270000000000003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</row>
    <row r="13" spans="1:33" x14ac:dyDescent="0.3">
      <c r="A13" s="6">
        <v>45303</v>
      </c>
      <c r="B13" s="3" t="s">
        <v>36</v>
      </c>
      <c r="C13" s="8">
        <v>23</v>
      </c>
      <c r="D13" s="9">
        <v>54.74</v>
      </c>
      <c r="E13" s="10" t="s">
        <v>37</v>
      </c>
      <c r="F13" s="11">
        <v>151</v>
      </c>
      <c r="G13" s="9">
        <v>13.5</v>
      </c>
      <c r="H13" s="10" t="s">
        <v>35</v>
      </c>
      <c r="I13" s="16" t="s">
        <v>34</v>
      </c>
      <c r="J13" s="17">
        <v>24</v>
      </c>
      <c r="K13" s="17">
        <v>0</v>
      </c>
      <c r="L13" s="17">
        <v>0</v>
      </c>
      <c r="M13" s="19">
        <f t="shared" si="0"/>
        <v>2.4499999999999886</v>
      </c>
      <c r="N13" s="4">
        <v>0</v>
      </c>
      <c r="O13" s="19">
        <f t="shared" si="1"/>
        <v>0.82000000000000028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19">
        <v>339.1</v>
      </c>
      <c r="Y13" s="4">
        <v>0</v>
      </c>
      <c r="Z13" s="19">
        <v>34.450000000000003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</row>
    <row r="14" spans="1:33" x14ac:dyDescent="0.3">
      <c r="A14" s="6">
        <v>45304</v>
      </c>
      <c r="B14" s="3" t="s">
        <v>36</v>
      </c>
      <c r="C14" s="8">
        <v>23</v>
      </c>
      <c r="D14" s="9">
        <v>54.74</v>
      </c>
      <c r="E14" s="10" t="s">
        <v>37</v>
      </c>
      <c r="F14" s="11">
        <v>151</v>
      </c>
      <c r="G14" s="9">
        <v>13.5</v>
      </c>
      <c r="H14" s="10" t="s">
        <v>35</v>
      </c>
      <c r="I14" s="16" t="s">
        <v>34</v>
      </c>
      <c r="J14" s="17">
        <v>24</v>
      </c>
      <c r="K14" s="17">
        <v>0</v>
      </c>
      <c r="L14" s="17">
        <v>0</v>
      </c>
      <c r="M14" s="19">
        <f t="shared" si="0"/>
        <v>1.5500000000000114</v>
      </c>
      <c r="N14" s="4">
        <v>0</v>
      </c>
      <c r="O14" s="19">
        <f t="shared" si="1"/>
        <v>0.8300000000000054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19">
        <v>337.55</v>
      </c>
      <c r="Y14" s="4">
        <v>0</v>
      </c>
      <c r="Z14" s="19">
        <v>33.619999999999997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</row>
    <row r="15" spans="1:33" x14ac:dyDescent="0.3">
      <c r="A15" s="6">
        <v>45305</v>
      </c>
      <c r="B15" s="3" t="s">
        <v>36</v>
      </c>
      <c r="C15" s="8">
        <v>23</v>
      </c>
      <c r="D15" s="9">
        <v>54.74</v>
      </c>
      <c r="E15" s="10" t="s">
        <v>37</v>
      </c>
      <c r="F15" s="11">
        <v>151</v>
      </c>
      <c r="G15" s="9">
        <v>13.5</v>
      </c>
      <c r="H15" s="10" t="s">
        <v>35</v>
      </c>
      <c r="I15" s="16" t="s">
        <v>34</v>
      </c>
      <c r="J15" s="17">
        <v>24</v>
      </c>
      <c r="K15" s="17">
        <v>0</v>
      </c>
      <c r="L15" s="17">
        <v>0</v>
      </c>
      <c r="M15" s="19">
        <f t="shared" si="0"/>
        <v>2.6200000000000045</v>
      </c>
      <c r="N15" s="4">
        <v>0</v>
      </c>
      <c r="O15" s="19">
        <f t="shared" si="1"/>
        <v>0.79999999999999716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19">
        <v>334.93</v>
      </c>
      <c r="Y15" s="4">
        <v>0</v>
      </c>
      <c r="Z15" s="19">
        <v>32.82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</row>
    <row r="16" spans="1:33" x14ac:dyDescent="0.3">
      <c r="A16" s="6">
        <v>45306</v>
      </c>
      <c r="B16" s="3" t="s">
        <v>36</v>
      </c>
      <c r="C16" s="8">
        <v>23</v>
      </c>
      <c r="D16" s="9">
        <v>54.74</v>
      </c>
      <c r="E16" s="10" t="s">
        <v>37</v>
      </c>
      <c r="F16" s="11">
        <v>151</v>
      </c>
      <c r="G16" s="9">
        <v>13.5</v>
      </c>
      <c r="H16" s="10" t="s">
        <v>35</v>
      </c>
      <c r="I16" s="16" t="s">
        <v>34</v>
      </c>
      <c r="J16" s="17">
        <v>24</v>
      </c>
      <c r="K16" s="17">
        <v>0</v>
      </c>
      <c r="L16" s="17">
        <v>0</v>
      </c>
      <c r="M16" s="19">
        <f t="shared" si="0"/>
        <v>3.5900000000000318</v>
      </c>
      <c r="N16" s="4">
        <v>0</v>
      </c>
      <c r="O16" s="19">
        <f t="shared" si="1"/>
        <v>0.99000000000000199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19">
        <v>331.34</v>
      </c>
      <c r="Y16" s="4">
        <v>0</v>
      </c>
      <c r="Z16" s="19">
        <v>31.83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</row>
    <row r="17" spans="1:32" x14ac:dyDescent="0.3">
      <c r="A17" s="6">
        <v>45307</v>
      </c>
      <c r="B17" s="3" t="s">
        <v>36</v>
      </c>
      <c r="C17" s="8">
        <v>23</v>
      </c>
      <c r="D17" s="9">
        <v>54.74</v>
      </c>
      <c r="E17" s="10" t="s">
        <v>37</v>
      </c>
      <c r="F17" s="11">
        <v>151</v>
      </c>
      <c r="G17" s="9">
        <v>13.5</v>
      </c>
      <c r="H17" s="10" t="s">
        <v>35</v>
      </c>
      <c r="I17" s="16" t="s">
        <v>34</v>
      </c>
      <c r="J17" s="17">
        <v>24</v>
      </c>
      <c r="K17" s="17">
        <v>0</v>
      </c>
      <c r="L17" s="17">
        <v>0</v>
      </c>
      <c r="M17" s="19">
        <f t="shared" si="0"/>
        <v>5.2999999999999545</v>
      </c>
      <c r="N17" s="4">
        <v>0</v>
      </c>
      <c r="O17" s="19">
        <f t="shared" si="1"/>
        <v>0.90999999999999659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19">
        <v>326.04000000000002</v>
      </c>
      <c r="Y17" s="4">
        <v>0</v>
      </c>
      <c r="Z17" s="19">
        <v>30.92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</row>
    <row r="18" spans="1:32" x14ac:dyDescent="0.3">
      <c r="A18" s="6">
        <v>45308</v>
      </c>
      <c r="B18" s="3" t="s">
        <v>36</v>
      </c>
      <c r="C18" s="8">
        <v>23</v>
      </c>
      <c r="D18" s="9">
        <v>54.74</v>
      </c>
      <c r="E18" s="10" t="s">
        <v>37</v>
      </c>
      <c r="F18" s="11">
        <v>151</v>
      </c>
      <c r="G18" s="9">
        <v>13.5</v>
      </c>
      <c r="H18" s="10" t="s">
        <v>35</v>
      </c>
      <c r="I18" s="16" t="s">
        <v>34</v>
      </c>
      <c r="J18" s="17">
        <v>24</v>
      </c>
      <c r="K18" s="17">
        <v>0</v>
      </c>
      <c r="L18" s="17">
        <v>0</v>
      </c>
      <c r="M18" s="19">
        <f t="shared" si="0"/>
        <v>3.4000000000000341</v>
      </c>
      <c r="N18" s="4">
        <v>0</v>
      </c>
      <c r="O18" s="19">
        <f t="shared" si="1"/>
        <v>0.81000000000000227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19">
        <v>322.64</v>
      </c>
      <c r="Y18" s="4">
        <v>0</v>
      </c>
      <c r="Z18" s="19">
        <v>30.11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</row>
    <row r="19" spans="1:32" x14ac:dyDescent="0.3">
      <c r="A19" s="6">
        <v>45309</v>
      </c>
      <c r="B19" s="3" t="s">
        <v>36</v>
      </c>
      <c r="C19" s="8">
        <v>23</v>
      </c>
      <c r="D19" s="9">
        <v>54.74</v>
      </c>
      <c r="E19" s="10" t="s">
        <v>37</v>
      </c>
      <c r="F19" s="11">
        <v>151</v>
      </c>
      <c r="G19" s="9">
        <v>13.5</v>
      </c>
      <c r="H19" s="10" t="s">
        <v>35</v>
      </c>
      <c r="I19" s="16" t="s">
        <v>34</v>
      </c>
      <c r="J19" s="17">
        <v>24</v>
      </c>
      <c r="K19" s="17">
        <v>0</v>
      </c>
      <c r="L19" s="17">
        <v>0</v>
      </c>
      <c r="M19" s="19">
        <f t="shared" si="0"/>
        <v>1.6299999999999955</v>
      </c>
      <c r="N19" s="4">
        <v>0</v>
      </c>
      <c r="O19" s="19">
        <f>Z18-Z19</f>
        <v>0.80000000000000071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19">
        <v>321.01</v>
      </c>
      <c r="Y19" s="4">
        <v>0</v>
      </c>
      <c r="Z19" s="19">
        <v>29.31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</row>
    <row r="20" spans="1:32" x14ac:dyDescent="0.3">
      <c r="A20" s="6">
        <v>45310</v>
      </c>
      <c r="B20" s="3" t="s">
        <v>36</v>
      </c>
      <c r="C20" s="8">
        <v>23</v>
      </c>
      <c r="D20" s="9">
        <v>54.74</v>
      </c>
      <c r="E20" s="10" t="s">
        <v>37</v>
      </c>
      <c r="F20" s="11">
        <v>151</v>
      </c>
      <c r="G20" s="9">
        <v>13.5</v>
      </c>
      <c r="H20" s="10" t="s">
        <v>35</v>
      </c>
      <c r="I20" s="16" t="s">
        <v>34</v>
      </c>
      <c r="J20" s="17">
        <v>24</v>
      </c>
      <c r="K20" s="17">
        <v>0</v>
      </c>
      <c r="L20" s="17">
        <v>0</v>
      </c>
      <c r="M20" s="19">
        <f t="shared" si="0"/>
        <v>1.3799999999999955</v>
      </c>
      <c r="N20" s="4">
        <v>0</v>
      </c>
      <c r="O20" s="19">
        <f>Z19-Z20</f>
        <v>0.82999999999999829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19">
        <v>319.63</v>
      </c>
      <c r="Y20" s="4">
        <v>0</v>
      </c>
      <c r="Z20" s="19">
        <v>28.48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</row>
    <row r="21" spans="1:32" x14ac:dyDescent="0.3">
      <c r="A21" s="6">
        <v>45311</v>
      </c>
      <c r="B21" s="3" t="s">
        <v>36</v>
      </c>
      <c r="C21" s="8">
        <v>23</v>
      </c>
      <c r="D21" s="9">
        <v>54.74</v>
      </c>
      <c r="E21" s="10" t="s">
        <v>37</v>
      </c>
      <c r="F21" s="11">
        <v>151</v>
      </c>
      <c r="G21" s="9">
        <v>13.5</v>
      </c>
      <c r="H21" s="10" t="s">
        <v>35</v>
      </c>
      <c r="I21" s="16" t="s">
        <v>34</v>
      </c>
      <c r="J21" s="17">
        <v>24</v>
      </c>
      <c r="K21" s="17">
        <v>0</v>
      </c>
      <c r="L21" s="17">
        <v>0</v>
      </c>
      <c r="M21" s="19">
        <f t="shared" si="0"/>
        <v>1.2799999999999727</v>
      </c>
      <c r="N21" s="4">
        <v>0</v>
      </c>
      <c r="O21" s="19">
        <f t="shared" si="1"/>
        <v>0.78000000000000114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19">
        <v>318.35000000000002</v>
      </c>
      <c r="Y21" s="4">
        <v>0</v>
      </c>
      <c r="Z21" s="19">
        <v>27.7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</row>
    <row r="22" spans="1:32" x14ac:dyDescent="0.3">
      <c r="A22" s="6">
        <v>45312</v>
      </c>
      <c r="B22" s="3" t="s">
        <v>36</v>
      </c>
      <c r="C22" s="8">
        <v>23</v>
      </c>
      <c r="D22" s="9">
        <v>30.25</v>
      </c>
      <c r="E22" s="10" t="s">
        <v>37</v>
      </c>
      <c r="F22" s="11">
        <v>151</v>
      </c>
      <c r="G22" s="9">
        <v>29.71</v>
      </c>
      <c r="H22" s="10" t="s">
        <v>35</v>
      </c>
      <c r="I22" s="16" t="s">
        <v>34</v>
      </c>
      <c r="J22" s="17">
        <v>24</v>
      </c>
      <c r="K22" s="17">
        <v>15.1</v>
      </c>
      <c r="L22" s="17">
        <v>172</v>
      </c>
      <c r="M22" s="19">
        <f t="shared" si="0"/>
        <v>12.200000000000045</v>
      </c>
      <c r="N22" s="4">
        <v>0</v>
      </c>
      <c r="O22" s="19">
        <f t="shared" si="1"/>
        <v>0.37999999999999901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19">
        <v>306.14999999999998</v>
      </c>
      <c r="Y22" s="4">
        <v>0</v>
      </c>
      <c r="Z22" s="19">
        <v>27.32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</row>
    <row r="23" spans="1:32" x14ac:dyDescent="0.3">
      <c r="A23" s="6">
        <v>45313</v>
      </c>
      <c r="B23" s="3" t="s">
        <v>36</v>
      </c>
      <c r="C23" s="8">
        <v>30</v>
      </c>
      <c r="D23" s="9">
        <v>9.3800000000000008</v>
      </c>
      <c r="E23" s="10" t="s">
        <v>37</v>
      </c>
      <c r="F23" s="11">
        <v>153</v>
      </c>
      <c r="G23" s="9">
        <v>12.3</v>
      </c>
      <c r="H23" s="10" t="s">
        <v>35</v>
      </c>
      <c r="I23" s="16" t="s">
        <v>34</v>
      </c>
      <c r="J23" s="17">
        <v>24</v>
      </c>
      <c r="K23" s="17">
        <v>24</v>
      </c>
      <c r="L23" s="17">
        <v>282</v>
      </c>
      <c r="M23" s="19">
        <f t="shared" si="0"/>
        <v>21.5</v>
      </c>
      <c r="N23" s="4">
        <v>0</v>
      </c>
      <c r="O23" s="19">
        <f t="shared" si="1"/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19">
        <v>284.64999999999998</v>
      </c>
      <c r="Y23" s="4">
        <v>0</v>
      </c>
      <c r="Z23" s="19">
        <v>27.32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</row>
    <row r="24" spans="1:32" x14ac:dyDescent="0.3">
      <c r="A24" s="6">
        <v>45314</v>
      </c>
      <c r="B24" s="3" t="s">
        <v>36</v>
      </c>
      <c r="C24" s="8">
        <v>33</v>
      </c>
      <c r="D24" s="9">
        <v>5.9</v>
      </c>
      <c r="E24" s="10" t="s">
        <v>37</v>
      </c>
      <c r="F24" s="11">
        <v>151</v>
      </c>
      <c r="G24" s="9">
        <v>43.7</v>
      </c>
      <c r="H24" s="10" t="s">
        <v>35</v>
      </c>
      <c r="I24" s="16" t="s">
        <v>34</v>
      </c>
      <c r="J24" s="17">
        <v>24</v>
      </c>
      <c r="K24" s="17">
        <v>17.7</v>
      </c>
      <c r="L24" s="17">
        <v>204</v>
      </c>
      <c r="M24" s="19">
        <f t="shared" si="0"/>
        <v>17.799999999999955</v>
      </c>
      <c r="N24" s="4">
        <v>0</v>
      </c>
      <c r="O24" s="19">
        <f t="shared" si="1"/>
        <v>3.0000000000001137E-2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19">
        <v>266.85000000000002</v>
      </c>
      <c r="Y24" s="4">
        <v>0</v>
      </c>
      <c r="Z24" s="19">
        <v>27.29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</row>
    <row r="25" spans="1:32" x14ac:dyDescent="0.3">
      <c r="A25" s="6">
        <v>45315</v>
      </c>
      <c r="B25" s="3" t="s">
        <v>36</v>
      </c>
      <c r="C25" s="8">
        <v>33</v>
      </c>
      <c r="D25" s="9">
        <v>5.9</v>
      </c>
      <c r="E25" s="10" t="s">
        <v>37</v>
      </c>
      <c r="F25" s="11">
        <v>151</v>
      </c>
      <c r="G25" s="9">
        <v>43.7</v>
      </c>
      <c r="H25" s="10" t="s">
        <v>35</v>
      </c>
      <c r="I25" s="16" t="s">
        <v>34</v>
      </c>
      <c r="J25" s="17">
        <v>24</v>
      </c>
      <c r="K25" s="17">
        <v>0</v>
      </c>
      <c r="L25" s="17">
        <v>0</v>
      </c>
      <c r="M25" s="19">
        <f t="shared" si="0"/>
        <v>1.3799999999999955</v>
      </c>
      <c r="N25" s="4">
        <v>0</v>
      </c>
      <c r="O25" s="19">
        <f t="shared" si="1"/>
        <v>0.84999999999999787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19">
        <v>265.47000000000003</v>
      </c>
      <c r="Y25" s="4">
        <v>0</v>
      </c>
      <c r="Z25" s="19">
        <v>26.44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</row>
    <row r="26" spans="1:32" x14ac:dyDescent="0.3">
      <c r="A26" s="6">
        <v>45316</v>
      </c>
      <c r="B26" s="3" t="s">
        <v>36</v>
      </c>
      <c r="C26" s="8">
        <v>33</v>
      </c>
      <c r="D26" s="9">
        <v>5.9</v>
      </c>
      <c r="E26" s="10" t="s">
        <v>37</v>
      </c>
      <c r="F26" s="11">
        <v>151</v>
      </c>
      <c r="G26" s="9">
        <v>43.7</v>
      </c>
      <c r="H26" s="10" t="s">
        <v>35</v>
      </c>
      <c r="I26" s="16" t="s">
        <v>34</v>
      </c>
      <c r="J26" s="17">
        <v>24</v>
      </c>
      <c r="K26" s="17">
        <v>0</v>
      </c>
      <c r="L26" s="17">
        <v>0</v>
      </c>
      <c r="M26" s="19">
        <f t="shared" si="0"/>
        <v>1.9200000000000159</v>
      </c>
      <c r="N26" s="4">
        <v>0</v>
      </c>
      <c r="O26" s="19">
        <f t="shared" si="1"/>
        <v>0.60000000000000142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19">
        <v>263.55</v>
      </c>
      <c r="Y26" s="4">
        <v>0</v>
      </c>
      <c r="Z26" s="19">
        <v>25.84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</row>
    <row r="27" spans="1:32" x14ac:dyDescent="0.3">
      <c r="A27" s="6">
        <v>45317</v>
      </c>
      <c r="B27" s="3" t="s">
        <v>36</v>
      </c>
      <c r="C27" s="8">
        <v>32</v>
      </c>
      <c r="D27" s="9">
        <v>53.6</v>
      </c>
      <c r="E27" s="10" t="s">
        <v>37</v>
      </c>
      <c r="F27" s="11">
        <v>151</v>
      </c>
      <c r="G27" s="9">
        <v>46.39</v>
      </c>
      <c r="H27" s="10" t="s">
        <v>35</v>
      </c>
      <c r="I27" s="16" t="s">
        <v>34</v>
      </c>
      <c r="J27" s="17">
        <v>24</v>
      </c>
      <c r="K27" s="17">
        <v>3.8</v>
      </c>
      <c r="L27" s="17">
        <v>12</v>
      </c>
      <c r="M27" s="19">
        <f t="shared" si="0"/>
        <v>4.1000000000000227</v>
      </c>
      <c r="N27" s="4">
        <v>0</v>
      </c>
      <c r="O27" s="19">
        <f t="shared" si="1"/>
        <v>0.83999999999999986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19">
        <v>259.45</v>
      </c>
      <c r="Y27" s="4">
        <v>0</v>
      </c>
      <c r="Z27" s="19">
        <v>25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</row>
    <row r="28" spans="1:32" x14ac:dyDescent="0.3">
      <c r="A28" s="6">
        <v>45318</v>
      </c>
      <c r="B28" s="3" t="s">
        <v>36</v>
      </c>
      <c r="C28" s="8">
        <v>33</v>
      </c>
      <c r="D28" s="9">
        <v>26.09</v>
      </c>
      <c r="E28" s="10" t="s">
        <v>37</v>
      </c>
      <c r="F28" s="11">
        <v>151</v>
      </c>
      <c r="G28" s="9">
        <v>46.68</v>
      </c>
      <c r="H28" s="10" t="s">
        <v>35</v>
      </c>
      <c r="I28" s="16" t="s">
        <v>34</v>
      </c>
      <c r="J28" s="17">
        <v>24</v>
      </c>
      <c r="K28" s="17">
        <v>6.6</v>
      </c>
      <c r="L28" s="17">
        <v>73</v>
      </c>
      <c r="M28" s="19">
        <f t="shared" si="0"/>
        <v>5.5</v>
      </c>
      <c r="N28" s="4">
        <v>0</v>
      </c>
      <c r="O28" s="19">
        <f t="shared" si="1"/>
        <v>0.60000000000000142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19">
        <v>253.95</v>
      </c>
      <c r="Y28" s="4">
        <v>0</v>
      </c>
      <c r="Z28" s="19">
        <v>24.4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</row>
    <row r="29" spans="1:32" x14ac:dyDescent="0.3">
      <c r="A29" s="6">
        <v>45319</v>
      </c>
      <c r="B29" s="3" t="s">
        <v>36</v>
      </c>
      <c r="C29" s="8">
        <v>33</v>
      </c>
      <c r="D29" s="9">
        <v>18.87</v>
      </c>
      <c r="E29" s="10" t="s">
        <v>37</v>
      </c>
      <c r="F29" s="11">
        <v>151</v>
      </c>
      <c r="G29" s="9">
        <v>54.6</v>
      </c>
      <c r="H29" s="10" t="s">
        <v>35</v>
      </c>
      <c r="I29" s="16" t="s">
        <v>34</v>
      </c>
      <c r="J29" s="17">
        <v>24</v>
      </c>
      <c r="K29" s="17">
        <v>6.2</v>
      </c>
      <c r="L29" s="17">
        <v>68</v>
      </c>
      <c r="M29" s="19">
        <f t="shared" si="0"/>
        <v>7.1999999999999886</v>
      </c>
      <c r="N29" s="4">
        <v>0</v>
      </c>
      <c r="O29" s="19">
        <f t="shared" si="1"/>
        <v>0.19999999999999929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19">
        <v>246.75</v>
      </c>
      <c r="Y29" s="4">
        <v>0</v>
      </c>
      <c r="Z29" s="19">
        <v>24.2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</row>
    <row r="30" spans="1:32" x14ac:dyDescent="0.3">
      <c r="A30" s="6">
        <v>45320</v>
      </c>
      <c r="B30" s="3" t="s">
        <v>36</v>
      </c>
      <c r="C30" s="8">
        <v>33</v>
      </c>
      <c r="D30" s="9">
        <v>44.31</v>
      </c>
      <c r="E30" s="10" t="s">
        <v>37</v>
      </c>
      <c r="F30" s="11">
        <v>151</v>
      </c>
      <c r="G30" s="9">
        <v>31.54</v>
      </c>
      <c r="H30" s="10" t="s">
        <v>35</v>
      </c>
      <c r="I30" s="16" t="s">
        <v>34</v>
      </c>
      <c r="J30" s="17">
        <v>24</v>
      </c>
      <c r="K30" s="17">
        <v>0</v>
      </c>
      <c r="L30" s="17">
        <v>0</v>
      </c>
      <c r="M30" s="19">
        <f t="shared" si="0"/>
        <v>2.8000000000000114</v>
      </c>
      <c r="N30" s="4">
        <v>0</v>
      </c>
      <c r="O30" s="19">
        <f t="shared" si="1"/>
        <v>0.69999999999999929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19">
        <v>243.95</v>
      </c>
      <c r="Y30" s="4">
        <v>0</v>
      </c>
      <c r="Z30" s="19">
        <v>23.5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</row>
    <row r="31" spans="1:32" x14ac:dyDescent="0.3">
      <c r="A31" s="6">
        <v>45321</v>
      </c>
      <c r="B31" s="3" t="s">
        <v>36</v>
      </c>
      <c r="C31" s="8">
        <v>33</v>
      </c>
      <c r="D31" s="9">
        <v>20.420000000000002</v>
      </c>
      <c r="E31" s="10" t="s">
        <v>37</v>
      </c>
      <c r="F31" s="11">
        <v>151</v>
      </c>
      <c r="G31" s="9">
        <v>50.9</v>
      </c>
      <c r="H31" s="10" t="s">
        <v>35</v>
      </c>
      <c r="I31" s="16" t="s">
        <v>34</v>
      </c>
      <c r="J31" s="17">
        <v>24</v>
      </c>
      <c r="K31" s="17">
        <v>9.6</v>
      </c>
      <c r="L31" s="17">
        <v>106</v>
      </c>
      <c r="M31" s="19">
        <f t="shared" si="0"/>
        <v>8.0499999999999829</v>
      </c>
      <c r="N31" s="4">
        <v>0</v>
      </c>
      <c r="O31" s="19">
        <f t="shared" si="1"/>
        <v>0.89999999999999858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19">
        <v>235.9</v>
      </c>
      <c r="Y31" s="4">
        <v>0</v>
      </c>
      <c r="Z31" s="19">
        <v>22.6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</row>
    <row r="32" spans="1:32" x14ac:dyDescent="0.3">
      <c r="A32" s="6">
        <v>45322</v>
      </c>
      <c r="B32" s="3" t="s">
        <v>36</v>
      </c>
      <c r="C32" s="8">
        <v>31</v>
      </c>
      <c r="D32" s="9">
        <v>10.63</v>
      </c>
      <c r="E32" s="10" t="s">
        <v>37</v>
      </c>
      <c r="F32" s="11">
        <v>151</v>
      </c>
      <c r="G32" s="9">
        <v>51.43</v>
      </c>
      <c r="H32" s="10" t="s">
        <v>35</v>
      </c>
      <c r="I32" s="16" t="s">
        <v>34</v>
      </c>
      <c r="J32" s="17">
        <v>24</v>
      </c>
      <c r="K32" s="17">
        <v>9.1999999999999993</v>
      </c>
      <c r="L32" s="17">
        <v>100</v>
      </c>
      <c r="M32" s="19">
        <f t="shared" si="0"/>
        <v>7.7000000000000171</v>
      </c>
      <c r="N32" s="4">
        <v>0</v>
      </c>
      <c r="O32" s="19">
        <f t="shared" si="1"/>
        <v>0.70000000000000284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19">
        <v>228.2</v>
      </c>
      <c r="Y32" s="4">
        <v>0</v>
      </c>
      <c r="Z32" s="19">
        <v>21.9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</row>
    <row r="33" spans="1:32" x14ac:dyDescent="0.3">
      <c r="A33" s="6">
        <v>45323</v>
      </c>
      <c r="B33" s="3" t="s">
        <v>36</v>
      </c>
      <c r="C33" s="8">
        <v>32</v>
      </c>
      <c r="D33" s="9">
        <v>53.6</v>
      </c>
      <c r="E33" s="10" t="s">
        <v>37</v>
      </c>
      <c r="F33" s="11">
        <v>151</v>
      </c>
      <c r="G33" s="9">
        <v>46.3</v>
      </c>
      <c r="H33" s="10" t="s">
        <v>35</v>
      </c>
      <c r="I33" s="16" t="s">
        <v>34</v>
      </c>
      <c r="J33" s="17">
        <v>24</v>
      </c>
      <c r="K33" s="17">
        <v>0</v>
      </c>
      <c r="L33" s="17">
        <v>0</v>
      </c>
      <c r="M33" s="19">
        <f t="shared" si="0"/>
        <v>5.3999999999999773</v>
      </c>
      <c r="N33" s="4">
        <v>0</v>
      </c>
      <c r="O33" s="19">
        <f t="shared" si="1"/>
        <v>0.59999999999999787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19">
        <v>222.8</v>
      </c>
      <c r="Y33" s="4">
        <v>0</v>
      </c>
      <c r="Z33" s="19">
        <v>21.3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</row>
    <row r="34" spans="1:32" x14ac:dyDescent="0.3">
      <c r="A34" s="6">
        <v>45324</v>
      </c>
      <c r="B34" s="3" t="s">
        <v>36</v>
      </c>
      <c r="C34" s="8">
        <v>32</v>
      </c>
      <c r="D34" s="9">
        <v>4.5999999999999996</v>
      </c>
      <c r="E34" s="10" t="s">
        <v>37</v>
      </c>
      <c r="F34" s="11">
        <v>151</v>
      </c>
      <c r="G34" s="9">
        <v>44.9</v>
      </c>
      <c r="H34" s="10" t="s">
        <v>35</v>
      </c>
      <c r="I34" s="16" t="s">
        <v>34</v>
      </c>
      <c r="J34" s="17">
        <v>24</v>
      </c>
      <c r="K34" s="17">
        <v>0</v>
      </c>
      <c r="L34" s="17">
        <v>0</v>
      </c>
      <c r="M34" s="19">
        <f t="shared" si="0"/>
        <v>2.4000000000000057</v>
      </c>
      <c r="N34" s="4">
        <v>0</v>
      </c>
      <c r="O34" s="19">
        <f t="shared" si="1"/>
        <v>0.40000000000000213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19">
        <v>220.4</v>
      </c>
      <c r="Y34" s="4">
        <v>0</v>
      </c>
      <c r="Z34" s="19">
        <v>20.9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</row>
    <row r="35" spans="1:32" x14ac:dyDescent="0.3">
      <c r="A35" s="6">
        <v>45325</v>
      </c>
      <c r="B35" s="3" t="s">
        <v>36</v>
      </c>
      <c r="C35" s="8">
        <v>33</v>
      </c>
      <c r="D35" s="9">
        <v>9.6999999999999993</v>
      </c>
      <c r="E35" s="10" t="s">
        <v>37</v>
      </c>
      <c r="F35" s="11">
        <v>152</v>
      </c>
      <c r="G35" s="9">
        <v>0.4</v>
      </c>
      <c r="H35" s="10" t="s">
        <v>35</v>
      </c>
      <c r="I35" s="16" t="s">
        <v>34</v>
      </c>
      <c r="J35" s="17">
        <v>24</v>
      </c>
      <c r="K35" s="17">
        <v>0</v>
      </c>
      <c r="L35" s="17">
        <v>0</v>
      </c>
      <c r="M35" s="19">
        <f t="shared" si="0"/>
        <v>1.7000000000000171</v>
      </c>
      <c r="N35" s="4">
        <v>0</v>
      </c>
      <c r="O35" s="19">
        <f t="shared" si="1"/>
        <v>0.5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19">
        <v>218.7</v>
      </c>
      <c r="Y35" s="4">
        <v>0</v>
      </c>
      <c r="Z35" s="19">
        <v>20.399999999999999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</row>
    <row r="36" spans="1:32" x14ac:dyDescent="0.3">
      <c r="A36" s="6">
        <v>45326</v>
      </c>
      <c r="B36" s="3" t="s">
        <v>36</v>
      </c>
      <c r="C36" s="8">
        <v>33</v>
      </c>
      <c r="D36" s="9">
        <v>10.4</v>
      </c>
      <c r="E36" s="10" t="s">
        <v>37</v>
      </c>
      <c r="F36" s="11">
        <v>151</v>
      </c>
      <c r="G36" s="9">
        <v>67.3</v>
      </c>
      <c r="H36" s="10" t="s">
        <v>35</v>
      </c>
      <c r="I36" s="16" t="s">
        <v>34</v>
      </c>
      <c r="J36" s="17">
        <v>24</v>
      </c>
      <c r="K36" s="17">
        <v>13.6</v>
      </c>
      <c r="L36" s="17">
        <v>148</v>
      </c>
      <c r="M36" s="19">
        <f t="shared" si="0"/>
        <v>13</v>
      </c>
      <c r="N36" s="4">
        <v>0</v>
      </c>
      <c r="O36" s="19">
        <f t="shared" si="1"/>
        <v>0.19999999999999929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19">
        <v>205.7</v>
      </c>
      <c r="Y36" s="4">
        <v>0</v>
      </c>
      <c r="Z36" s="19">
        <v>20.2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</row>
    <row r="37" spans="1:32" x14ac:dyDescent="0.3">
      <c r="A37" s="6">
        <v>45327</v>
      </c>
      <c r="B37" s="3" t="s">
        <v>36</v>
      </c>
      <c r="C37" s="8">
        <v>32</v>
      </c>
      <c r="D37" s="9">
        <v>52</v>
      </c>
      <c r="E37" s="10" t="s">
        <v>37</v>
      </c>
      <c r="F37" s="11">
        <v>151</v>
      </c>
      <c r="G37" s="9">
        <v>31.4</v>
      </c>
      <c r="H37" s="10" t="s">
        <v>35</v>
      </c>
      <c r="I37" s="16" t="s">
        <v>34</v>
      </c>
      <c r="J37" s="17">
        <v>24</v>
      </c>
      <c r="K37" s="17">
        <v>12</v>
      </c>
      <c r="L37" s="17">
        <v>124</v>
      </c>
      <c r="M37" s="19">
        <f t="shared" si="0"/>
        <v>12.599999999999994</v>
      </c>
      <c r="N37" s="4">
        <v>0</v>
      </c>
      <c r="O37" s="19">
        <f t="shared" si="1"/>
        <v>0.30000000000000071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19">
        <v>193.1</v>
      </c>
      <c r="Y37" s="4">
        <v>0</v>
      </c>
      <c r="Z37" s="19">
        <v>19.899999999999999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</row>
    <row r="38" spans="1:32" x14ac:dyDescent="0.3">
      <c r="A38" s="6">
        <v>45328</v>
      </c>
      <c r="B38" s="3" t="s">
        <v>36</v>
      </c>
      <c r="C38" s="8">
        <v>32</v>
      </c>
      <c r="D38" s="9">
        <v>58.3</v>
      </c>
      <c r="E38" s="10" t="s">
        <v>37</v>
      </c>
      <c r="F38" s="11">
        <v>152</v>
      </c>
      <c r="G38" s="9">
        <v>16.100000000000001</v>
      </c>
      <c r="H38" s="10" t="s">
        <v>35</v>
      </c>
      <c r="I38" s="16" t="s">
        <v>34</v>
      </c>
      <c r="J38" s="17">
        <v>24</v>
      </c>
      <c r="K38" s="17">
        <v>0</v>
      </c>
      <c r="L38" s="17">
        <v>0</v>
      </c>
      <c r="M38" s="19">
        <f t="shared" si="0"/>
        <v>6.2999999999999829</v>
      </c>
      <c r="N38" s="4">
        <v>0</v>
      </c>
      <c r="O38" s="19">
        <f t="shared" si="1"/>
        <v>0.39999999999999858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19">
        <v>186.8</v>
      </c>
      <c r="Y38" s="4">
        <v>0</v>
      </c>
      <c r="Z38" s="19">
        <v>19.5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</row>
    <row r="39" spans="1:32" x14ac:dyDescent="0.3">
      <c r="A39" s="6">
        <v>45329</v>
      </c>
      <c r="B39" s="3" t="s">
        <v>36</v>
      </c>
      <c r="C39" s="8">
        <v>33</v>
      </c>
      <c r="D39" s="9">
        <v>32.1</v>
      </c>
      <c r="E39" s="10" t="s">
        <v>37</v>
      </c>
      <c r="F39" s="11">
        <v>151</v>
      </c>
      <c r="G39" s="9">
        <v>50.9</v>
      </c>
      <c r="H39" s="10" t="s">
        <v>35</v>
      </c>
      <c r="I39" s="16" t="s">
        <v>34</v>
      </c>
      <c r="J39" s="17">
        <v>24</v>
      </c>
      <c r="K39" s="17">
        <v>18.2</v>
      </c>
      <c r="L39" s="17">
        <v>189</v>
      </c>
      <c r="M39" s="19">
        <f>X38-X39</f>
        <v>17.200000000000017</v>
      </c>
      <c r="N39" s="4">
        <v>0</v>
      </c>
      <c r="O39" s="19">
        <f>Z38-Z39</f>
        <v>0.5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19">
        <v>169.6</v>
      </c>
      <c r="Y39" s="4">
        <v>0</v>
      </c>
      <c r="Z39" s="19">
        <v>19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</row>
    <row r="40" spans="1:32" x14ac:dyDescent="0.3">
      <c r="A40" s="6">
        <v>45330</v>
      </c>
      <c r="B40" s="3" t="s">
        <v>36</v>
      </c>
      <c r="C40" s="8">
        <v>33</v>
      </c>
      <c r="D40" s="9">
        <v>24</v>
      </c>
      <c r="E40" s="10" t="s">
        <v>37</v>
      </c>
      <c r="F40" s="11">
        <v>152</v>
      </c>
      <c r="G40" s="9">
        <v>0.6</v>
      </c>
      <c r="H40" s="10" t="s">
        <v>35</v>
      </c>
      <c r="I40" s="16" t="s">
        <v>34</v>
      </c>
      <c r="J40" s="17">
        <v>24</v>
      </c>
      <c r="K40" s="17">
        <v>0</v>
      </c>
      <c r="L40" s="17">
        <v>0</v>
      </c>
      <c r="M40" s="19">
        <f>X39-X40</f>
        <v>6.2999999999999829</v>
      </c>
      <c r="N40" s="4">
        <v>0</v>
      </c>
      <c r="O40" s="19">
        <f t="shared" ref="O40:O103" si="2">Z39-Z40</f>
        <v>0.5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19">
        <v>163.30000000000001</v>
      </c>
      <c r="Y40" s="4">
        <v>0</v>
      </c>
      <c r="Z40" s="19">
        <v>18.5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</row>
    <row r="41" spans="1:32" x14ac:dyDescent="0.3">
      <c r="A41" s="6">
        <v>45331</v>
      </c>
      <c r="B41" s="3" t="s">
        <v>36</v>
      </c>
      <c r="C41" s="8">
        <v>32</v>
      </c>
      <c r="D41" s="9">
        <v>53.6</v>
      </c>
      <c r="E41" s="10" t="s">
        <v>37</v>
      </c>
      <c r="F41" s="11">
        <v>151</v>
      </c>
      <c r="G41" s="9">
        <v>46</v>
      </c>
      <c r="H41" s="10" t="s">
        <v>35</v>
      </c>
      <c r="I41" s="16" t="s">
        <v>34</v>
      </c>
      <c r="J41" s="17">
        <v>24</v>
      </c>
      <c r="K41" s="17">
        <v>8.3000000000000007</v>
      </c>
      <c r="L41" s="17">
        <v>88</v>
      </c>
      <c r="M41" s="19">
        <f t="shared" ref="M41:M104" si="3">X40-X41</f>
        <v>9.2000000000000171</v>
      </c>
      <c r="N41" s="4">
        <v>0</v>
      </c>
      <c r="O41" s="19">
        <f t="shared" si="2"/>
        <v>0.80000000000000071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19">
        <v>154.1</v>
      </c>
      <c r="Y41" s="4">
        <v>0</v>
      </c>
      <c r="Z41" s="19">
        <v>17.7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</row>
    <row r="42" spans="1:32" x14ac:dyDescent="0.3">
      <c r="A42" s="6">
        <v>45332</v>
      </c>
      <c r="B42" s="3" t="s">
        <v>36</v>
      </c>
      <c r="C42" s="8">
        <v>32</v>
      </c>
      <c r="D42" s="9">
        <v>7.9</v>
      </c>
      <c r="E42" s="10" t="s">
        <v>37</v>
      </c>
      <c r="F42" s="11">
        <v>152</v>
      </c>
      <c r="G42" s="9">
        <v>2</v>
      </c>
      <c r="H42" s="10" t="s">
        <v>35</v>
      </c>
      <c r="I42" s="16" t="s">
        <v>34</v>
      </c>
      <c r="J42" s="17">
        <v>24</v>
      </c>
      <c r="K42" s="17">
        <v>2.4</v>
      </c>
      <c r="L42" s="17">
        <v>14</v>
      </c>
      <c r="M42" s="19">
        <f t="shared" si="3"/>
        <v>5.6999999999999886</v>
      </c>
      <c r="N42" s="4">
        <v>0</v>
      </c>
      <c r="O42" s="19">
        <f>Z41-Z42+300.14</f>
        <v>0.73999999999995225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19">
        <v>148.4</v>
      </c>
      <c r="Y42" s="4">
        <v>0</v>
      </c>
      <c r="Z42" s="19">
        <v>317.10000000000002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</row>
    <row r="43" spans="1:32" x14ac:dyDescent="0.3">
      <c r="A43" s="6">
        <v>45333</v>
      </c>
      <c r="B43" s="3" t="s">
        <v>36</v>
      </c>
      <c r="C43" s="8">
        <v>33</v>
      </c>
      <c r="D43" s="9">
        <v>28.4</v>
      </c>
      <c r="E43" s="10" t="s">
        <v>37</v>
      </c>
      <c r="F43" s="11">
        <v>152</v>
      </c>
      <c r="G43" s="9">
        <v>13.8</v>
      </c>
      <c r="H43" s="10" t="s">
        <v>35</v>
      </c>
      <c r="I43" s="16" t="s">
        <v>34</v>
      </c>
      <c r="J43" s="17">
        <v>24</v>
      </c>
      <c r="K43" s="17">
        <v>0</v>
      </c>
      <c r="L43" s="17">
        <v>0</v>
      </c>
      <c r="M43" s="19">
        <f t="shared" si="3"/>
        <v>3.7000000000000171</v>
      </c>
      <c r="N43" s="4">
        <v>0</v>
      </c>
      <c r="O43" s="19">
        <f t="shared" si="2"/>
        <v>0.60000000000002274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19">
        <v>144.69999999999999</v>
      </c>
      <c r="Y43" s="4">
        <v>0</v>
      </c>
      <c r="Z43" s="19">
        <v>316.5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</row>
    <row r="44" spans="1:32" x14ac:dyDescent="0.3">
      <c r="A44" s="6">
        <v>45334</v>
      </c>
      <c r="B44" s="3" t="s">
        <v>36</v>
      </c>
      <c r="C44" s="8">
        <v>33</v>
      </c>
      <c r="D44" s="9">
        <v>24.9</v>
      </c>
      <c r="E44" s="10" t="s">
        <v>37</v>
      </c>
      <c r="F44" s="11">
        <v>151</v>
      </c>
      <c r="G44" s="9">
        <v>57.7</v>
      </c>
      <c r="H44" s="10" t="s">
        <v>35</v>
      </c>
      <c r="I44" s="16" t="s">
        <v>34</v>
      </c>
      <c r="J44" s="17">
        <v>24</v>
      </c>
      <c r="K44" s="17">
        <v>0</v>
      </c>
      <c r="L44" s="17">
        <v>0</v>
      </c>
      <c r="M44" s="19">
        <f t="shared" si="3"/>
        <v>3.7999999999999829</v>
      </c>
      <c r="N44" s="4">
        <v>0</v>
      </c>
      <c r="O44" s="19">
        <f t="shared" si="2"/>
        <v>0.80000000000001137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19">
        <v>140.9</v>
      </c>
      <c r="Y44" s="4">
        <v>0</v>
      </c>
      <c r="Z44" s="19">
        <v>315.7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</row>
    <row r="45" spans="1:32" x14ac:dyDescent="0.3">
      <c r="A45" s="6">
        <v>45335</v>
      </c>
      <c r="B45" s="3" t="s">
        <v>36</v>
      </c>
      <c r="C45" s="8">
        <v>33</v>
      </c>
      <c r="D45" s="9">
        <v>15.7</v>
      </c>
      <c r="E45" s="10" t="s">
        <v>37</v>
      </c>
      <c r="F45" s="11">
        <v>152</v>
      </c>
      <c r="G45" s="9">
        <v>22.8</v>
      </c>
      <c r="H45" s="10" t="s">
        <v>35</v>
      </c>
      <c r="I45" s="16" t="s">
        <v>34</v>
      </c>
      <c r="J45" s="17">
        <v>24</v>
      </c>
      <c r="K45" s="17">
        <v>0</v>
      </c>
      <c r="L45" s="17">
        <v>0</v>
      </c>
      <c r="M45" s="19">
        <f t="shared" si="3"/>
        <v>4.3000000000000114</v>
      </c>
      <c r="N45" s="4">
        <v>0</v>
      </c>
      <c r="O45" s="19">
        <f t="shared" si="2"/>
        <v>0.80000000000001137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19">
        <v>136.6</v>
      </c>
      <c r="Y45" s="4">
        <v>0</v>
      </c>
      <c r="Z45" s="19">
        <v>314.89999999999998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</row>
    <row r="46" spans="1:32" x14ac:dyDescent="0.3">
      <c r="A46" s="6">
        <v>45336</v>
      </c>
      <c r="B46" s="3" t="s">
        <v>36</v>
      </c>
      <c r="C46" s="8">
        <v>33</v>
      </c>
      <c r="D46" s="9">
        <v>39.5</v>
      </c>
      <c r="E46" s="10" t="s">
        <v>37</v>
      </c>
      <c r="F46" s="11">
        <v>152</v>
      </c>
      <c r="G46" s="9">
        <v>2.5</v>
      </c>
      <c r="H46" s="10" t="s">
        <v>35</v>
      </c>
      <c r="I46" s="16" t="s">
        <v>34</v>
      </c>
      <c r="J46" s="17">
        <v>24</v>
      </c>
      <c r="K46" s="17">
        <v>0</v>
      </c>
      <c r="L46" s="17">
        <v>0</v>
      </c>
      <c r="M46" s="19">
        <f t="shared" si="3"/>
        <v>3.1999999999999886</v>
      </c>
      <c r="N46" s="4">
        <v>0</v>
      </c>
      <c r="O46" s="19">
        <f t="shared" si="2"/>
        <v>0.59999999999996589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19">
        <v>133.4</v>
      </c>
      <c r="Y46" s="4">
        <v>0</v>
      </c>
      <c r="Z46" s="19">
        <v>314.3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</row>
    <row r="47" spans="1:32" x14ac:dyDescent="0.3">
      <c r="A47" s="6">
        <v>45337</v>
      </c>
      <c r="B47" s="3" t="s">
        <v>36</v>
      </c>
      <c r="C47" s="8">
        <v>33</v>
      </c>
      <c r="D47" s="9">
        <v>14</v>
      </c>
      <c r="E47" s="10" t="s">
        <v>37</v>
      </c>
      <c r="F47" s="11">
        <v>152</v>
      </c>
      <c r="G47" s="9">
        <v>22.5</v>
      </c>
      <c r="H47" s="10" t="s">
        <v>35</v>
      </c>
      <c r="I47" s="16" t="s">
        <v>34</v>
      </c>
      <c r="J47" s="17">
        <v>24</v>
      </c>
      <c r="K47" s="17">
        <v>2</v>
      </c>
      <c r="L47" s="17">
        <v>10.9</v>
      </c>
      <c r="M47" s="19">
        <f t="shared" si="3"/>
        <v>5.9000000000000057</v>
      </c>
      <c r="N47" s="4">
        <v>0</v>
      </c>
      <c r="O47" s="19">
        <f t="shared" si="2"/>
        <v>0.90000000000003411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19">
        <v>127.5</v>
      </c>
      <c r="Y47" s="4">
        <v>0</v>
      </c>
      <c r="Z47" s="19">
        <v>313.39999999999998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</row>
    <row r="48" spans="1:32" x14ac:dyDescent="0.3">
      <c r="A48" s="6">
        <v>45338</v>
      </c>
      <c r="B48" s="3" t="s">
        <v>36</v>
      </c>
      <c r="C48" s="8">
        <v>33</v>
      </c>
      <c r="D48" s="9">
        <v>23.1</v>
      </c>
      <c r="E48" s="10" t="s">
        <v>37</v>
      </c>
      <c r="F48" s="11">
        <v>151</v>
      </c>
      <c r="G48" s="9">
        <v>37.4</v>
      </c>
      <c r="H48" s="10" t="s">
        <v>35</v>
      </c>
      <c r="I48" s="16" t="s">
        <v>34</v>
      </c>
      <c r="J48" s="17">
        <v>24</v>
      </c>
      <c r="K48" s="17">
        <v>1.8</v>
      </c>
      <c r="L48" s="17">
        <v>0</v>
      </c>
      <c r="M48" s="19">
        <f t="shared" si="3"/>
        <v>5.5</v>
      </c>
      <c r="N48" s="4">
        <v>0</v>
      </c>
      <c r="O48" s="19">
        <f t="shared" si="2"/>
        <v>0.69999999999998863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19">
        <v>122</v>
      </c>
      <c r="Y48" s="4">
        <v>0</v>
      </c>
      <c r="Z48" s="19">
        <v>312.7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</row>
    <row r="49" spans="1:32" x14ac:dyDescent="0.3">
      <c r="A49" s="6">
        <v>45339</v>
      </c>
      <c r="B49" s="3" t="s">
        <v>36</v>
      </c>
      <c r="C49" s="8">
        <v>33</v>
      </c>
      <c r="D49" s="9">
        <v>21.2</v>
      </c>
      <c r="E49" s="10" t="s">
        <v>37</v>
      </c>
      <c r="F49" s="11">
        <v>152</v>
      </c>
      <c r="G49" s="9">
        <v>17.7</v>
      </c>
      <c r="H49" s="10" t="s">
        <v>35</v>
      </c>
      <c r="I49" s="16" t="s">
        <v>34</v>
      </c>
      <c r="J49" s="17">
        <v>24</v>
      </c>
      <c r="K49" s="17">
        <v>8.1</v>
      </c>
      <c r="L49" s="17">
        <v>86</v>
      </c>
      <c r="M49" s="19">
        <f t="shared" si="3"/>
        <v>9.5999999999999943</v>
      </c>
      <c r="N49" s="4">
        <v>0</v>
      </c>
      <c r="O49" s="19">
        <f t="shared" si="2"/>
        <v>0.69999999999998863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19">
        <v>112.4</v>
      </c>
      <c r="Y49" s="4">
        <v>0</v>
      </c>
      <c r="Z49" s="19">
        <v>312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</row>
    <row r="50" spans="1:32" x14ac:dyDescent="0.3">
      <c r="A50" s="6">
        <v>45340</v>
      </c>
      <c r="B50" s="3" t="s">
        <v>36</v>
      </c>
      <c r="C50" s="8">
        <v>33</v>
      </c>
      <c r="D50" s="9">
        <v>19</v>
      </c>
      <c r="E50" s="10" t="s">
        <v>37</v>
      </c>
      <c r="F50" s="11">
        <v>152</v>
      </c>
      <c r="G50" s="9">
        <v>31.4</v>
      </c>
      <c r="H50" s="10" t="s">
        <v>35</v>
      </c>
      <c r="I50" s="16" t="s">
        <v>34</v>
      </c>
      <c r="J50" s="17">
        <v>24</v>
      </c>
      <c r="K50" s="17">
        <v>7.8</v>
      </c>
      <c r="L50" s="17">
        <v>74</v>
      </c>
      <c r="M50" s="19">
        <f t="shared" si="3"/>
        <v>9</v>
      </c>
      <c r="N50" s="4">
        <v>0</v>
      </c>
      <c r="O50" s="19">
        <f t="shared" si="2"/>
        <v>0.5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19">
        <v>103.4</v>
      </c>
      <c r="Y50" s="4">
        <v>0</v>
      </c>
      <c r="Z50" s="19">
        <v>311.5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</row>
    <row r="51" spans="1:32" x14ac:dyDescent="0.3">
      <c r="A51" s="6">
        <v>45341</v>
      </c>
      <c r="B51" s="3" t="s">
        <v>36</v>
      </c>
      <c r="C51" s="8">
        <v>32</v>
      </c>
      <c r="D51" s="9">
        <v>59.7</v>
      </c>
      <c r="E51" s="10" t="s">
        <v>37</v>
      </c>
      <c r="F51" s="11">
        <v>152</v>
      </c>
      <c r="G51" s="9">
        <v>35.200000000000003</v>
      </c>
      <c r="H51" s="10" t="s">
        <v>35</v>
      </c>
      <c r="I51" s="16" t="s">
        <v>34</v>
      </c>
      <c r="J51" s="17">
        <v>24</v>
      </c>
      <c r="K51" s="17">
        <v>0</v>
      </c>
      <c r="L51" s="17">
        <v>0</v>
      </c>
      <c r="M51" s="19">
        <f t="shared" si="3"/>
        <v>6.8000000000000114</v>
      </c>
      <c r="N51" s="4">
        <v>0</v>
      </c>
      <c r="O51" s="19">
        <f t="shared" si="2"/>
        <v>0.80000000000001137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19">
        <v>96.6</v>
      </c>
      <c r="Y51" s="4">
        <v>0</v>
      </c>
      <c r="Z51" s="19">
        <v>310.7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</row>
    <row r="52" spans="1:32" x14ac:dyDescent="0.3">
      <c r="A52" s="6">
        <v>45342</v>
      </c>
      <c r="B52" s="3" t="s">
        <v>36</v>
      </c>
      <c r="C52" s="8">
        <v>33</v>
      </c>
      <c r="D52" s="9">
        <v>9.4</v>
      </c>
      <c r="E52" s="10" t="s">
        <v>37</v>
      </c>
      <c r="F52" s="11">
        <v>151</v>
      </c>
      <c r="G52" s="9">
        <v>42.4</v>
      </c>
      <c r="H52" s="10" t="s">
        <v>35</v>
      </c>
      <c r="I52" s="16" t="s">
        <v>34</v>
      </c>
      <c r="J52" s="17">
        <v>24</v>
      </c>
      <c r="K52" s="17">
        <v>0</v>
      </c>
      <c r="L52" s="17">
        <v>0</v>
      </c>
      <c r="M52" s="19">
        <f t="shared" si="3"/>
        <v>5.3999999999999915</v>
      </c>
      <c r="N52" s="4">
        <v>0</v>
      </c>
      <c r="O52" s="19">
        <f t="shared" si="2"/>
        <v>0.69999999999998863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19">
        <v>91.2</v>
      </c>
      <c r="Y52" s="4">
        <v>0</v>
      </c>
      <c r="Z52" s="19">
        <v>310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</row>
    <row r="53" spans="1:32" x14ac:dyDescent="0.3">
      <c r="A53" s="6">
        <v>45343</v>
      </c>
      <c r="B53" s="3" t="s">
        <v>36</v>
      </c>
      <c r="C53" s="8">
        <v>33</v>
      </c>
      <c r="D53" s="9">
        <v>9.35</v>
      </c>
      <c r="E53" s="10" t="s">
        <v>37</v>
      </c>
      <c r="F53" s="11">
        <v>151</v>
      </c>
      <c r="G53" s="9">
        <v>42.5</v>
      </c>
      <c r="H53" s="10" t="s">
        <v>35</v>
      </c>
      <c r="I53" s="16" t="s">
        <v>34</v>
      </c>
      <c r="J53" s="17">
        <v>24</v>
      </c>
      <c r="K53" s="17">
        <v>0</v>
      </c>
      <c r="L53" s="17">
        <v>0</v>
      </c>
      <c r="M53" s="19">
        <f t="shared" si="3"/>
        <v>1.7999999999999972</v>
      </c>
      <c r="N53" s="4">
        <v>0</v>
      </c>
      <c r="O53" s="19">
        <f t="shared" si="2"/>
        <v>0.69999999999998863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19">
        <v>89.4</v>
      </c>
      <c r="Y53" s="4">
        <v>0</v>
      </c>
      <c r="Z53" s="19">
        <v>309.3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</row>
    <row r="54" spans="1:32" x14ac:dyDescent="0.3">
      <c r="A54" s="6">
        <v>45344</v>
      </c>
      <c r="B54" s="3" t="s">
        <v>36</v>
      </c>
      <c r="C54" s="8">
        <v>33</v>
      </c>
      <c r="D54" s="9">
        <v>9.4</v>
      </c>
      <c r="E54" s="10" t="s">
        <v>37</v>
      </c>
      <c r="F54" s="11">
        <v>151</v>
      </c>
      <c r="G54" s="9">
        <v>42.4</v>
      </c>
      <c r="H54" s="10" t="s">
        <v>35</v>
      </c>
      <c r="I54" s="16" t="s">
        <v>34</v>
      </c>
      <c r="J54" s="17">
        <v>24</v>
      </c>
      <c r="K54" s="17">
        <v>0</v>
      </c>
      <c r="L54" s="17">
        <v>0</v>
      </c>
      <c r="M54" s="19">
        <f t="shared" si="3"/>
        <v>1.8000000000000114</v>
      </c>
      <c r="N54" s="4">
        <v>0</v>
      </c>
      <c r="O54" s="19">
        <f t="shared" si="2"/>
        <v>0.69999999999998863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19">
        <v>87.6</v>
      </c>
      <c r="Y54" s="4">
        <v>0</v>
      </c>
      <c r="Z54" s="19">
        <v>308.60000000000002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</row>
    <row r="55" spans="1:32" x14ac:dyDescent="0.3">
      <c r="A55" s="6">
        <v>45345</v>
      </c>
      <c r="B55" s="3" t="s">
        <v>36</v>
      </c>
      <c r="C55" s="8">
        <v>33</v>
      </c>
      <c r="D55" s="9">
        <v>9.5</v>
      </c>
      <c r="E55" s="10" t="s">
        <v>37</v>
      </c>
      <c r="F55" s="11">
        <v>151</v>
      </c>
      <c r="G55" s="9">
        <v>42.5</v>
      </c>
      <c r="H55" s="10" t="s">
        <v>35</v>
      </c>
      <c r="I55" s="16" t="s">
        <v>34</v>
      </c>
      <c r="J55" s="17">
        <v>24</v>
      </c>
      <c r="K55" s="17">
        <v>0</v>
      </c>
      <c r="L55" s="17">
        <v>0</v>
      </c>
      <c r="M55" s="19">
        <f t="shared" si="3"/>
        <v>5.5999999999999943</v>
      </c>
      <c r="N55" s="4">
        <v>0</v>
      </c>
      <c r="O55" s="19">
        <f t="shared" si="2"/>
        <v>0.70000000000004547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19">
        <v>82</v>
      </c>
      <c r="Y55" s="4">
        <v>0</v>
      </c>
      <c r="Z55" s="19">
        <v>307.89999999999998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</row>
    <row r="56" spans="1:32" x14ac:dyDescent="0.3">
      <c r="A56" s="6">
        <v>45346</v>
      </c>
      <c r="B56" s="3" t="s">
        <v>36</v>
      </c>
      <c r="C56" s="8">
        <v>32</v>
      </c>
      <c r="D56" s="9">
        <v>53.6</v>
      </c>
      <c r="E56" s="10" t="s">
        <v>37</v>
      </c>
      <c r="F56" s="11">
        <v>151</v>
      </c>
      <c r="G56" s="9">
        <v>46.3</v>
      </c>
      <c r="H56" s="10" t="s">
        <v>35</v>
      </c>
      <c r="I56" s="16" t="s">
        <v>34</v>
      </c>
      <c r="J56" s="17">
        <v>24</v>
      </c>
      <c r="K56" s="17">
        <v>0</v>
      </c>
      <c r="L56" s="17">
        <v>0</v>
      </c>
      <c r="M56" s="19">
        <f t="shared" si="3"/>
        <v>5.2000000000000028</v>
      </c>
      <c r="N56" s="4">
        <v>0</v>
      </c>
      <c r="O56" s="19">
        <f t="shared" si="2"/>
        <v>0.69999999999998863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19">
        <v>76.8</v>
      </c>
      <c r="Y56" s="4">
        <v>0</v>
      </c>
      <c r="Z56" s="19">
        <v>307.2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</row>
    <row r="57" spans="1:32" x14ac:dyDescent="0.3">
      <c r="A57" s="6">
        <v>45347</v>
      </c>
      <c r="B57" s="3" t="s">
        <v>36</v>
      </c>
      <c r="C57" s="8">
        <v>32</v>
      </c>
      <c r="D57" s="9">
        <v>53.6</v>
      </c>
      <c r="E57" s="10" t="s">
        <v>37</v>
      </c>
      <c r="F57" s="11">
        <v>151</v>
      </c>
      <c r="G57" s="9">
        <v>46.3</v>
      </c>
      <c r="H57" s="10" t="s">
        <v>35</v>
      </c>
      <c r="I57" s="16" t="s">
        <v>34</v>
      </c>
      <c r="J57" s="17">
        <v>24</v>
      </c>
      <c r="K57" s="17">
        <v>0</v>
      </c>
      <c r="L57" s="17">
        <v>0</v>
      </c>
      <c r="M57" s="19">
        <f t="shared" si="3"/>
        <v>2.2999999999999972</v>
      </c>
      <c r="N57" s="4">
        <v>0</v>
      </c>
      <c r="O57" s="19">
        <f t="shared" si="2"/>
        <v>0.69999999999998863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19">
        <v>74.5</v>
      </c>
      <c r="Y57" s="4">
        <v>0</v>
      </c>
      <c r="Z57" s="19">
        <v>306.5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</row>
    <row r="58" spans="1:32" x14ac:dyDescent="0.3">
      <c r="A58" s="6">
        <v>45348</v>
      </c>
      <c r="B58" s="3" t="s">
        <v>36</v>
      </c>
      <c r="C58" s="8">
        <v>33</v>
      </c>
      <c r="D58" s="9">
        <v>9.6</v>
      </c>
      <c r="E58" s="10" t="s">
        <v>37</v>
      </c>
      <c r="F58" s="11">
        <v>151</v>
      </c>
      <c r="G58" s="9">
        <v>42.1</v>
      </c>
      <c r="H58" s="10" t="s">
        <v>35</v>
      </c>
      <c r="I58" s="16" t="s">
        <v>34</v>
      </c>
      <c r="J58" s="17">
        <v>24</v>
      </c>
      <c r="K58" s="17">
        <v>0</v>
      </c>
      <c r="L58" s="17">
        <v>0</v>
      </c>
      <c r="M58" s="19">
        <f>X57-X58</f>
        <v>3.5999999999999943</v>
      </c>
      <c r="N58" s="4">
        <v>0</v>
      </c>
      <c r="O58" s="19">
        <f t="shared" si="2"/>
        <v>0.5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19">
        <v>70.900000000000006</v>
      </c>
      <c r="Y58" s="4">
        <v>0</v>
      </c>
      <c r="Z58" s="19">
        <v>306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</row>
    <row r="59" spans="1:32" x14ac:dyDescent="0.3">
      <c r="A59" s="6">
        <v>45349</v>
      </c>
      <c r="B59" s="3" t="s">
        <v>36</v>
      </c>
      <c r="C59" s="8">
        <v>33</v>
      </c>
      <c r="D59" s="9">
        <v>4.57</v>
      </c>
      <c r="E59" s="10" t="s">
        <v>37</v>
      </c>
      <c r="F59" s="11">
        <v>151</v>
      </c>
      <c r="G59" s="9">
        <v>42.2</v>
      </c>
      <c r="H59" s="10" t="s">
        <v>35</v>
      </c>
      <c r="I59" s="16" t="s">
        <v>34</v>
      </c>
      <c r="J59" s="17">
        <v>24</v>
      </c>
      <c r="K59" s="17">
        <v>0</v>
      </c>
      <c r="L59" s="17">
        <v>0</v>
      </c>
      <c r="M59" s="19">
        <f t="shared" si="3"/>
        <v>1.8000000000000114</v>
      </c>
      <c r="N59" s="4">
        <v>0</v>
      </c>
      <c r="O59" s="19">
        <f t="shared" si="2"/>
        <v>0.69999999999998863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19">
        <v>69.099999999999994</v>
      </c>
      <c r="Y59" s="4">
        <v>0</v>
      </c>
      <c r="Z59" s="19">
        <v>305.3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</row>
    <row r="60" spans="1:32" x14ac:dyDescent="0.3">
      <c r="A60" s="6">
        <v>45350</v>
      </c>
      <c r="B60" s="3" t="s">
        <v>36</v>
      </c>
      <c r="C60" s="8">
        <v>33</v>
      </c>
      <c r="D60" s="9">
        <v>9.6999999999999993</v>
      </c>
      <c r="E60" s="10" t="s">
        <v>37</v>
      </c>
      <c r="F60" s="11">
        <v>151</v>
      </c>
      <c r="G60" s="9">
        <v>42.1</v>
      </c>
      <c r="H60" s="10" t="s">
        <v>35</v>
      </c>
      <c r="I60" s="16" t="s">
        <v>34</v>
      </c>
      <c r="J60" s="17">
        <v>24</v>
      </c>
      <c r="K60" s="17">
        <v>0</v>
      </c>
      <c r="L60" s="17">
        <v>0</v>
      </c>
      <c r="M60" s="19">
        <f t="shared" si="3"/>
        <v>1.6999999999999886</v>
      </c>
      <c r="N60" s="4">
        <v>0</v>
      </c>
      <c r="O60" s="19">
        <f t="shared" si="2"/>
        <v>0.69999999999998863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19">
        <v>67.400000000000006</v>
      </c>
      <c r="Y60" s="4">
        <v>0</v>
      </c>
      <c r="Z60" s="19">
        <v>304.60000000000002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</row>
    <row r="61" spans="1:32" x14ac:dyDescent="0.3">
      <c r="A61" s="6">
        <v>45351</v>
      </c>
      <c r="B61" s="3" t="s">
        <v>36</v>
      </c>
      <c r="C61" s="8">
        <v>33</v>
      </c>
      <c r="D61" s="9">
        <v>9.6999999999999993</v>
      </c>
      <c r="E61" s="10" t="s">
        <v>37</v>
      </c>
      <c r="F61" s="11">
        <v>151</v>
      </c>
      <c r="G61" s="9">
        <v>42.1</v>
      </c>
      <c r="H61" s="10" t="s">
        <v>35</v>
      </c>
      <c r="I61" s="16" t="s">
        <v>34</v>
      </c>
      <c r="J61" s="17">
        <v>24</v>
      </c>
      <c r="K61" s="17">
        <v>0</v>
      </c>
      <c r="L61" s="17">
        <v>0</v>
      </c>
      <c r="M61" s="19">
        <f t="shared" si="3"/>
        <v>1.7000000000000028</v>
      </c>
      <c r="N61" s="4">
        <v>0</v>
      </c>
      <c r="O61" s="19">
        <f t="shared" si="2"/>
        <v>0.70000000000004547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19">
        <v>65.7</v>
      </c>
      <c r="Y61" s="4">
        <v>0</v>
      </c>
      <c r="Z61" s="19">
        <v>303.89999999999998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</row>
    <row r="62" spans="1:32" x14ac:dyDescent="0.3">
      <c r="A62" s="6">
        <v>45352</v>
      </c>
      <c r="B62" s="3" t="s">
        <v>36</v>
      </c>
      <c r="C62" s="8">
        <v>33</v>
      </c>
      <c r="D62" s="9">
        <v>9.6</v>
      </c>
      <c r="E62" s="10" t="s">
        <v>37</v>
      </c>
      <c r="F62" s="11">
        <v>151</v>
      </c>
      <c r="G62" s="9">
        <v>42.1</v>
      </c>
      <c r="H62" s="10" t="s">
        <v>35</v>
      </c>
      <c r="I62" s="16" t="s">
        <v>34</v>
      </c>
      <c r="J62" s="17">
        <v>24</v>
      </c>
      <c r="K62" s="17">
        <v>0</v>
      </c>
      <c r="L62" s="17">
        <v>0</v>
      </c>
      <c r="M62" s="19">
        <f t="shared" si="3"/>
        <v>1.7000000000000028</v>
      </c>
      <c r="N62" s="4">
        <v>0</v>
      </c>
      <c r="O62" s="19">
        <f t="shared" si="2"/>
        <v>0.69999999999998863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19">
        <v>64</v>
      </c>
      <c r="Y62" s="4">
        <v>0</v>
      </c>
      <c r="Z62" s="19">
        <v>303.2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</row>
    <row r="63" spans="1:32" x14ac:dyDescent="0.3">
      <c r="A63" s="6">
        <v>45353</v>
      </c>
      <c r="B63" s="3" t="s">
        <v>36</v>
      </c>
      <c r="C63" s="8">
        <v>33</v>
      </c>
      <c r="D63" s="9">
        <v>9.5</v>
      </c>
      <c r="E63" s="10" t="s">
        <v>37</v>
      </c>
      <c r="F63" s="11">
        <v>151</v>
      </c>
      <c r="G63" s="9">
        <v>42.3</v>
      </c>
      <c r="H63" s="10" t="s">
        <v>35</v>
      </c>
      <c r="I63" s="16" t="s">
        <v>34</v>
      </c>
      <c r="J63" s="17">
        <v>24</v>
      </c>
      <c r="K63" s="17">
        <v>0</v>
      </c>
      <c r="L63" s="17">
        <v>0</v>
      </c>
      <c r="M63" s="19">
        <f t="shared" si="3"/>
        <v>1.7000000000000028</v>
      </c>
      <c r="N63" s="4">
        <v>0</v>
      </c>
      <c r="O63" s="19">
        <f t="shared" si="2"/>
        <v>0.69999999999998863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19">
        <v>62.3</v>
      </c>
      <c r="Y63" s="4">
        <v>0</v>
      </c>
      <c r="Z63" s="19">
        <v>302.5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</row>
    <row r="64" spans="1:32" x14ac:dyDescent="0.3">
      <c r="A64" s="6">
        <v>45354</v>
      </c>
      <c r="B64" s="3" t="s">
        <v>36</v>
      </c>
      <c r="C64" s="8">
        <v>33</v>
      </c>
      <c r="D64" s="9">
        <v>9.5</v>
      </c>
      <c r="E64" s="10" t="s">
        <v>37</v>
      </c>
      <c r="F64" s="11">
        <v>151</v>
      </c>
      <c r="G64" s="9">
        <v>42.2</v>
      </c>
      <c r="H64" s="10" t="s">
        <v>35</v>
      </c>
      <c r="I64" s="16" t="s">
        <v>34</v>
      </c>
      <c r="J64" s="17">
        <v>24</v>
      </c>
      <c r="K64" s="17">
        <v>0</v>
      </c>
      <c r="L64" s="17">
        <v>0</v>
      </c>
      <c r="M64" s="19">
        <f t="shared" si="3"/>
        <v>2.3999999999999986</v>
      </c>
      <c r="N64" s="4">
        <v>0</v>
      </c>
      <c r="O64" s="19">
        <f t="shared" si="2"/>
        <v>0.89999999999997726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19">
        <v>59.9</v>
      </c>
      <c r="Y64" s="4">
        <v>0</v>
      </c>
      <c r="Z64" s="19">
        <v>301.60000000000002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</row>
    <row r="65" spans="1:32" x14ac:dyDescent="0.3">
      <c r="A65" s="6">
        <v>45355</v>
      </c>
      <c r="B65" s="3" t="s">
        <v>36</v>
      </c>
      <c r="C65" s="8">
        <v>33</v>
      </c>
      <c r="D65" s="9">
        <v>0.2</v>
      </c>
      <c r="E65" s="10" t="s">
        <v>37</v>
      </c>
      <c r="F65" s="11">
        <v>151</v>
      </c>
      <c r="G65" s="9">
        <v>6</v>
      </c>
      <c r="H65" s="10" t="s">
        <v>35</v>
      </c>
      <c r="I65" s="16" t="s">
        <v>34</v>
      </c>
      <c r="J65" s="17">
        <v>24</v>
      </c>
      <c r="K65" s="17">
        <v>0</v>
      </c>
      <c r="L65" s="17">
        <v>0</v>
      </c>
      <c r="M65" s="19">
        <f t="shared" si="3"/>
        <v>3.6999999999999957</v>
      </c>
      <c r="N65" s="4">
        <v>0</v>
      </c>
      <c r="O65" s="19">
        <f t="shared" si="2"/>
        <v>0.70000000000004547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19">
        <v>56.2</v>
      </c>
      <c r="Y65" s="4">
        <v>0</v>
      </c>
      <c r="Z65" s="19">
        <v>300.89999999999998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</row>
    <row r="66" spans="1:32" x14ac:dyDescent="0.3">
      <c r="A66" s="6">
        <v>45356</v>
      </c>
      <c r="B66" s="3" t="s">
        <v>36</v>
      </c>
      <c r="C66" s="8">
        <v>33</v>
      </c>
      <c r="D66" s="9">
        <v>16.8</v>
      </c>
      <c r="E66" s="10" t="s">
        <v>37</v>
      </c>
      <c r="F66" s="11">
        <v>151</v>
      </c>
      <c r="G66" s="9">
        <v>53.3</v>
      </c>
      <c r="H66" s="10" t="s">
        <v>35</v>
      </c>
      <c r="I66" s="16" t="s">
        <v>34</v>
      </c>
      <c r="J66" s="17">
        <v>24</v>
      </c>
      <c r="K66" s="17">
        <v>0</v>
      </c>
      <c r="L66" s="17">
        <v>0</v>
      </c>
      <c r="M66" s="19">
        <f t="shared" si="3"/>
        <v>5</v>
      </c>
      <c r="N66" s="4">
        <v>0</v>
      </c>
      <c r="O66" s="19">
        <f t="shared" si="2"/>
        <v>0.59999999999996589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19">
        <v>51.2</v>
      </c>
      <c r="Y66" s="4">
        <v>0</v>
      </c>
      <c r="Z66" s="19">
        <v>300.3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</row>
    <row r="67" spans="1:32" x14ac:dyDescent="0.3">
      <c r="A67" s="6">
        <v>45357</v>
      </c>
      <c r="B67" s="3" t="s">
        <v>36</v>
      </c>
      <c r="C67" s="8">
        <v>29</v>
      </c>
      <c r="D67" s="9">
        <v>53.4</v>
      </c>
      <c r="E67" s="10" t="s">
        <v>37</v>
      </c>
      <c r="F67" s="11">
        <v>153</v>
      </c>
      <c r="G67" s="9">
        <v>30.7</v>
      </c>
      <c r="H67" s="10" t="s">
        <v>35</v>
      </c>
      <c r="I67" s="16" t="s">
        <v>34</v>
      </c>
      <c r="J67" s="17">
        <v>24</v>
      </c>
      <c r="K67" s="17">
        <v>20</v>
      </c>
      <c r="L67" s="17">
        <v>220</v>
      </c>
      <c r="M67" s="19">
        <f t="shared" si="3"/>
        <v>11.5</v>
      </c>
      <c r="N67" s="4">
        <v>0</v>
      </c>
      <c r="O67" s="19">
        <f t="shared" si="2"/>
        <v>0.30000000000001137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19">
        <v>39.700000000000003</v>
      </c>
      <c r="Y67" s="4">
        <v>0</v>
      </c>
      <c r="Z67" s="19">
        <v>300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</row>
    <row r="68" spans="1:32" x14ac:dyDescent="0.3">
      <c r="A68" s="6">
        <v>45358</v>
      </c>
      <c r="B68" s="3" t="s">
        <v>36</v>
      </c>
      <c r="C68" s="8">
        <v>25</v>
      </c>
      <c r="D68" s="9">
        <v>53.7</v>
      </c>
      <c r="E68" s="10" t="s">
        <v>37</v>
      </c>
      <c r="F68" s="11">
        <v>153</v>
      </c>
      <c r="G68" s="9">
        <v>23.4</v>
      </c>
      <c r="H68" s="10" t="s">
        <v>35</v>
      </c>
      <c r="I68" s="16" t="s">
        <v>34</v>
      </c>
      <c r="J68" s="17">
        <v>24</v>
      </c>
      <c r="K68" s="17">
        <v>24</v>
      </c>
      <c r="L68" s="17">
        <v>244</v>
      </c>
      <c r="M68" s="19">
        <f t="shared" si="3"/>
        <v>23.300000000000004</v>
      </c>
      <c r="N68" s="4">
        <v>0</v>
      </c>
      <c r="O68" s="19">
        <f t="shared" si="2"/>
        <v>0.60000000000002274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19">
        <v>16.399999999999999</v>
      </c>
      <c r="Y68" s="4">
        <v>0</v>
      </c>
      <c r="Z68" s="19">
        <v>299.39999999999998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</row>
    <row r="69" spans="1:32" x14ac:dyDescent="0.3">
      <c r="A69" s="6">
        <v>45359</v>
      </c>
      <c r="B69" s="3" t="s">
        <v>36</v>
      </c>
      <c r="C69" s="8">
        <v>23</v>
      </c>
      <c r="D69" s="9">
        <v>54.1</v>
      </c>
      <c r="E69" s="10" t="s">
        <v>37</v>
      </c>
      <c r="F69" s="11">
        <v>151</v>
      </c>
      <c r="G69" s="9">
        <v>36.5</v>
      </c>
      <c r="H69" s="10" t="s">
        <v>35</v>
      </c>
      <c r="I69" s="16" t="s">
        <v>34</v>
      </c>
      <c r="J69" s="17">
        <v>24</v>
      </c>
      <c r="K69" s="17">
        <v>18.5</v>
      </c>
      <c r="L69" s="17">
        <v>210</v>
      </c>
      <c r="M69" s="19">
        <f t="shared" si="3"/>
        <v>14.599999999999998</v>
      </c>
      <c r="N69" s="4">
        <v>0</v>
      </c>
      <c r="O69" s="19">
        <f t="shared" si="2"/>
        <v>0.39999999999997726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19">
        <v>1.8</v>
      </c>
      <c r="Y69" s="4">
        <v>0</v>
      </c>
      <c r="Z69" s="19">
        <v>299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</row>
    <row r="70" spans="1:32" x14ac:dyDescent="0.3">
      <c r="A70" s="6">
        <v>45360</v>
      </c>
      <c r="B70" s="3" t="s">
        <v>36</v>
      </c>
      <c r="C70" s="8">
        <v>23</v>
      </c>
      <c r="D70" s="9">
        <v>54</v>
      </c>
      <c r="E70" s="10" t="s">
        <v>37</v>
      </c>
      <c r="F70" s="11">
        <v>151</v>
      </c>
      <c r="G70" s="9">
        <v>36.5</v>
      </c>
      <c r="H70" s="10" t="s">
        <v>35</v>
      </c>
      <c r="I70" s="16" t="s">
        <v>34</v>
      </c>
      <c r="J70" s="17">
        <v>24</v>
      </c>
      <c r="K70" s="17">
        <v>0</v>
      </c>
      <c r="L70" s="17">
        <v>0</v>
      </c>
      <c r="M70" s="19">
        <f t="shared" si="3"/>
        <v>1.7</v>
      </c>
      <c r="N70" s="4">
        <v>0</v>
      </c>
      <c r="O70" s="19">
        <f t="shared" si="2"/>
        <v>0.80000000000001137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19">
        <v>0.1</v>
      </c>
      <c r="Y70" s="4">
        <v>0</v>
      </c>
      <c r="Z70" s="19">
        <v>298.2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</row>
    <row r="71" spans="1:32" x14ac:dyDescent="0.3">
      <c r="A71" s="6">
        <v>45361</v>
      </c>
      <c r="B71" s="3" t="s">
        <v>36</v>
      </c>
      <c r="C71" s="8">
        <v>23</v>
      </c>
      <c r="D71" s="9">
        <v>54</v>
      </c>
      <c r="E71" s="10" t="s">
        <v>37</v>
      </c>
      <c r="F71" s="11">
        <v>151</v>
      </c>
      <c r="G71" s="9">
        <v>36.5</v>
      </c>
      <c r="H71" s="10" t="s">
        <v>35</v>
      </c>
      <c r="I71" s="16" t="s">
        <v>34</v>
      </c>
      <c r="J71" s="17">
        <v>24</v>
      </c>
      <c r="K71" s="17">
        <v>0</v>
      </c>
      <c r="L71" s="17">
        <v>0</v>
      </c>
      <c r="M71" s="19">
        <f t="shared" si="3"/>
        <v>0.1</v>
      </c>
      <c r="N71" s="4">
        <v>0</v>
      </c>
      <c r="O71" s="19">
        <f t="shared" si="2"/>
        <v>1.6999999999999886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19">
        <v>0</v>
      </c>
      <c r="Y71" s="4">
        <v>0</v>
      </c>
      <c r="Z71" s="19">
        <v>296.5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</row>
    <row r="72" spans="1:32" x14ac:dyDescent="0.3">
      <c r="A72" s="6">
        <v>45362</v>
      </c>
      <c r="B72" s="3" t="s">
        <v>36</v>
      </c>
      <c r="C72" s="8">
        <v>23</v>
      </c>
      <c r="D72" s="9">
        <v>54</v>
      </c>
      <c r="E72" s="10" t="s">
        <v>37</v>
      </c>
      <c r="F72" s="11">
        <v>151</v>
      </c>
      <c r="G72" s="9">
        <v>36.5</v>
      </c>
      <c r="H72" s="10" t="s">
        <v>35</v>
      </c>
      <c r="I72" s="16" t="s">
        <v>34</v>
      </c>
      <c r="J72" s="17">
        <v>24</v>
      </c>
      <c r="K72" s="17">
        <v>0</v>
      </c>
      <c r="L72" s="17">
        <v>0</v>
      </c>
      <c r="M72" s="19">
        <f t="shared" si="3"/>
        <v>0</v>
      </c>
      <c r="N72" s="4">
        <v>0</v>
      </c>
      <c r="O72" s="19">
        <f t="shared" si="2"/>
        <v>2.3999999999999773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19">
        <v>0</v>
      </c>
      <c r="Y72" s="4">
        <v>0</v>
      </c>
      <c r="Z72" s="19">
        <v>294.10000000000002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</row>
    <row r="73" spans="1:32" x14ac:dyDescent="0.3">
      <c r="A73" s="6">
        <v>45363</v>
      </c>
      <c r="B73" s="3" t="s">
        <v>36</v>
      </c>
      <c r="C73" s="8">
        <v>23</v>
      </c>
      <c r="D73" s="9">
        <v>47.1</v>
      </c>
      <c r="E73" s="10" t="s">
        <v>37</v>
      </c>
      <c r="F73" s="11">
        <v>151</v>
      </c>
      <c r="G73" s="9">
        <v>10.4</v>
      </c>
      <c r="H73" s="10" t="s">
        <v>35</v>
      </c>
      <c r="I73" s="16" t="s">
        <v>34</v>
      </c>
      <c r="J73" s="17">
        <v>24</v>
      </c>
      <c r="K73" s="17">
        <v>0</v>
      </c>
      <c r="L73" s="17">
        <v>0</v>
      </c>
      <c r="M73" s="19">
        <f>X72-X73+80.1</f>
        <v>0</v>
      </c>
      <c r="N73" s="4">
        <v>0</v>
      </c>
      <c r="O73" s="19">
        <f t="shared" si="2"/>
        <v>8.3000000000000114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19">
        <v>80.099999999999994</v>
      </c>
      <c r="Y73" s="4">
        <v>0</v>
      </c>
      <c r="Z73" s="19">
        <v>285.8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</row>
    <row r="74" spans="1:32" x14ac:dyDescent="0.3">
      <c r="A74" s="6">
        <v>45364</v>
      </c>
      <c r="B74" s="3" t="s">
        <v>36</v>
      </c>
      <c r="C74" s="8">
        <v>23</v>
      </c>
      <c r="D74" s="9">
        <v>4.2</v>
      </c>
      <c r="E74" s="10" t="s">
        <v>37</v>
      </c>
      <c r="F74" s="11">
        <v>151</v>
      </c>
      <c r="G74" s="9">
        <v>59</v>
      </c>
      <c r="H74" s="10" t="s">
        <v>35</v>
      </c>
      <c r="I74" s="16" t="s">
        <v>34</v>
      </c>
      <c r="J74" s="17">
        <v>24</v>
      </c>
      <c r="K74" s="17">
        <v>5.5</v>
      </c>
      <c r="L74" s="17">
        <v>57</v>
      </c>
      <c r="M74" s="19">
        <f t="shared" si="3"/>
        <v>0</v>
      </c>
      <c r="N74" s="4">
        <v>0</v>
      </c>
      <c r="O74" s="19">
        <f t="shared" si="2"/>
        <v>7.9300000000000068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19">
        <v>80.099999999999994</v>
      </c>
      <c r="Y74" s="4">
        <v>0</v>
      </c>
      <c r="Z74" s="19">
        <v>277.87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</row>
    <row r="75" spans="1:32" x14ac:dyDescent="0.3">
      <c r="A75" s="6">
        <v>45365</v>
      </c>
      <c r="B75" s="3" t="s">
        <v>36</v>
      </c>
      <c r="C75" s="8">
        <v>20</v>
      </c>
      <c r="D75" s="9">
        <v>16.399999999999999</v>
      </c>
      <c r="E75" s="10" t="s">
        <v>37</v>
      </c>
      <c r="F75" s="11">
        <v>152</v>
      </c>
      <c r="G75" s="9">
        <v>58.9</v>
      </c>
      <c r="H75" s="10" t="s">
        <v>35</v>
      </c>
      <c r="I75" s="16" t="s">
        <v>34</v>
      </c>
      <c r="J75" s="17">
        <v>24</v>
      </c>
      <c r="K75" s="17">
        <v>24</v>
      </c>
      <c r="L75" s="17">
        <v>207</v>
      </c>
      <c r="M75" s="19">
        <f t="shared" si="3"/>
        <v>0</v>
      </c>
      <c r="N75" s="4">
        <v>0</v>
      </c>
      <c r="O75" s="19">
        <f t="shared" si="2"/>
        <v>18.689999999999998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19">
        <v>80.099999999999994</v>
      </c>
      <c r="Y75" s="4">
        <v>0</v>
      </c>
      <c r="Z75" s="19">
        <v>259.18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</row>
    <row r="76" spans="1:32" x14ac:dyDescent="0.3">
      <c r="A76" s="6">
        <v>45366</v>
      </c>
      <c r="B76" s="3" t="s">
        <v>36</v>
      </c>
      <c r="C76" s="8">
        <v>15</v>
      </c>
      <c r="D76" s="9">
        <v>42.3</v>
      </c>
      <c r="E76" s="10" t="s">
        <v>37</v>
      </c>
      <c r="F76" s="11">
        <v>152</v>
      </c>
      <c r="G76" s="9">
        <v>32.200000000000003</v>
      </c>
      <c r="H76" s="10" t="s">
        <v>35</v>
      </c>
      <c r="I76" s="16" t="s">
        <v>34</v>
      </c>
      <c r="J76" s="17">
        <v>24</v>
      </c>
      <c r="K76" s="17">
        <v>24</v>
      </c>
      <c r="L76" s="17">
        <v>271</v>
      </c>
      <c r="M76" s="19">
        <f t="shared" si="3"/>
        <v>0</v>
      </c>
      <c r="N76" s="4">
        <v>0</v>
      </c>
      <c r="O76" s="19">
        <f t="shared" si="2"/>
        <v>20.599999999999994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19">
        <v>80.099999999999994</v>
      </c>
      <c r="Y76" s="4">
        <v>0</v>
      </c>
      <c r="Z76" s="19">
        <v>238.58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</row>
    <row r="77" spans="1:32" x14ac:dyDescent="0.3">
      <c r="A77" s="6">
        <v>45367</v>
      </c>
      <c r="B77" s="3" t="s">
        <v>36</v>
      </c>
      <c r="C77" s="8">
        <v>11</v>
      </c>
      <c r="D77" s="9">
        <v>17.8</v>
      </c>
      <c r="E77" s="10" t="s">
        <v>37</v>
      </c>
      <c r="F77" s="11">
        <v>152</v>
      </c>
      <c r="G77" s="9">
        <v>6.4</v>
      </c>
      <c r="H77" s="10" t="s">
        <v>35</v>
      </c>
      <c r="I77" s="16" t="s">
        <v>34</v>
      </c>
      <c r="J77" s="17">
        <v>24</v>
      </c>
      <c r="K77" s="17">
        <v>24</v>
      </c>
      <c r="L77" s="17">
        <v>266</v>
      </c>
      <c r="M77" s="19">
        <f t="shared" si="3"/>
        <v>15.899999999999991</v>
      </c>
      <c r="N77" s="4">
        <v>0</v>
      </c>
      <c r="O77" s="19">
        <f t="shared" si="2"/>
        <v>3.160000000000025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19">
        <v>64.2</v>
      </c>
      <c r="Y77" s="4">
        <v>0</v>
      </c>
      <c r="Z77" s="19">
        <v>235.42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</row>
    <row r="78" spans="1:32" x14ac:dyDescent="0.3">
      <c r="A78" s="6">
        <v>45368</v>
      </c>
      <c r="B78" s="3" t="s">
        <v>36</v>
      </c>
      <c r="C78" s="8">
        <v>7</v>
      </c>
      <c r="D78" s="9">
        <v>18.399999999999999</v>
      </c>
      <c r="E78" s="10" t="s">
        <v>37</v>
      </c>
      <c r="F78" s="11">
        <v>149</v>
      </c>
      <c r="G78" s="9">
        <v>45.78</v>
      </c>
      <c r="H78" s="10" t="s">
        <v>35</v>
      </c>
      <c r="I78" s="16" t="s">
        <v>34</v>
      </c>
      <c r="J78" s="17">
        <v>24</v>
      </c>
      <c r="K78" s="17">
        <v>24</v>
      </c>
      <c r="L78" s="17">
        <v>304</v>
      </c>
      <c r="M78" s="19">
        <f t="shared" si="3"/>
        <v>18.590000000000003</v>
      </c>
      <c r="N78" s="4">
        <v>0</v>
      </c>
      <c r="O78" s="19">
        <f t="shared" si="2"/>
        <v>3.1899999999999977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19">
        <v>45.61</v>
      </c>
      <c r="Y78" s="4">
        <v>0</v>
      </c>
      <c r="Z78" s="19">
        <v>232.23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</row>
    <row r="79" spans="1:32" x14ac:dyDescent="0.3">
      <c r="A79" s="6">
        <v>45369</v>
      </c>
      <c r="B79" s="3" t="s">
        <v>36</v>
      </c>
      <c r="C79" s="8">
        <v>4</v>
      </c>
      <c r="D79" s="9">
        <v>16.100000000000001</v>
      </c>
      <c r="E79" s="10" t="s">
        <v>37</v>
      </c>
      <c r="F79" s="11">
        <v>146</v>
      </c>
      <c r="G79" s="9">
        <v>39.47</v>
      </c>
      <c r="H79" s="10" t="s">
        <v>35</v>
      </c>
      <c r="I79" s="16" t="s">
        <v>34</v>
      </c>
      <c r="J79" s="17">
        <v>24</v>
      </c>
      <c r="K79" s="17">
        <v>24</v>
      </c>
      <c r="L79" s="17">
        <v>266</v>
      </c>
      <c r="M79" s="19">
        <f t="shared" si="3"/>
        <v>16</v>
      </c>
      <c r="N79" s="4">
        <v>0</v>
      </c>
      <c r="O79" s="19">
        <f t="shared" si="2"/>
        <v>6.4699999999999989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19">
        <v>29.61</v>
      </c>
      <c r="Y79" s="4">
        <v>0</v>
      </c>
      <c r="Z79" s="19">
        <v>225.76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</row>
    <row r="80" spans="1:32" x14ac:dyDescent="0.3">
      <c r="A80" s="6">
        <v>45370</v>
      </c>
      <c r="B80" s="3" t="s">
        <v>36</v>
      </c>
      <c r="C80" s="8">
        <v>0</v>
      </c>
      <c r="D80" s="9">
        <v>31.21</v>
      </c>
      <c r="E80" s="10" t="s">
        <v>37</v>
      </c>
      <c r="F80" s="11">
        <v>144</v>
      </c>
      <c r="G80" s="9">
        <v>19</v>
      </c>
      <c r="H80" s="10" t="s">
        <v>35</v>
      </c>
      <c r="I80" s="16" t="s">
        <v>34</v>
      </c>
      <c r="J80" s="17">
        <v>24</v>
      </c>
      <c r="K80" s="17">
        <v>24</v>
      </c>
      <c r="L80" s="17">
        <v>269</v>
      </c>
      <c r="M80" s="19">
        <f t="shared" si="3"/>
        <v>0</v>
      </c>
      <c r="N80" s="4">
        <v>0</v>
      </c>
      <c r="O80" s="19">
        <f t="shared" si="2"/>
        <v>24.819999999999993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19">
        <v>29.61</v>
      </c>
      <c r="Y80" s="4">
        <v>0</v>
      </c>
      <c r="Z80" s="19">
        <v>200.94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</row>
    <row r="81" spans="1:32" x14ac:dyDescent="0.3">
      <c r="A81" s="6">
        <v>45371</v>
      </c>
      <c r="B81" s="3" t="s">
        <v>36</v>
      </c>
      <c r="C81" s="8">
        <v>3</v>
      </c>
      <c r="D81" s="9">
        <v>24.4</v>
      </c>
      <c r="E81" s="10" t="s">
        <v>33</v>
      </c>
      <c r="F81" s="11">
        <v>142</v>
      </c>
      <c r="G81" s="9">
        <v>2</v>
      </c>
      <c r="H81" s="10" t="s">
        <v>35</v>
      </c>
      <c r="I81" s="16" t="s">
        <v>34</v>
      </c>
      <c r="J81" s="17">
        <v>24</v>
      </c>
      <c r="K81" s="17">
        <v>24</v>
      </c>
      <c r="L81" s="17">
        <v>269</v>
      </c>
      <c r="M81" s="19">
        <f t="shared" si="3"/>
        <v>0</v>
      </c>
      <c r="N81" s="4">
        <v>0</v>
      </c>
      <c r="O81" s="19">
        <f t="shared" si="2"/>
        <v>19.599999999999994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19">
        <v>29.61</v>
      </c>
      <c r="Y81" s="4">
        <v>0</v>
      </c>
      <c r="Z81" s="19">
        <v>181.34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</row>
    <row r="82" spans="1:32" x14ac:dyDescent="0.3">
      <c r="A82" s="6">
        <v>45372</v>
      </c>
      <c r="B82" s="3" t="s">
        <v>36</v>
      </c>
      <c r="C82" s="8">
        <v>6</v>
      </c>
      <c r="D82" s="9">
        <v>51.9</v>
      </c>
      <c r="E82" s="10" t="s">
        <v>33</v>
      </c>
      <c r="F82" s="11">
        <v>139</v>
      </c>
      <c r="G82" s="9">
        <v>24.8</v>
      </c>
      <c r="H82" s="10" t="s">
        <v>35</v>
      </c>
      <c r="I82" s="16" t="s">
        <v>34</v>
      </c>
      <c r="J82" s="17">
        <v>24</v>
      </c>
      <c r="K82" s="17">
        <v>24</v>
      </c>
      <c r="L82" s="17">
        <v>263</v>
      </c>
      <c r="M82" s="19">
        <f t="shared" si="3"/>
        <v>2.25</v>
      </c>
      <c r="N82" s="4">
        <v>0</v>
      </c>
      <c r="O82" s="19">
        <f t="shared" si="2"/>
        <v>19.879999999999995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19">
        <v>27.36</v>
      </c>
      <c r="Y82" s="4">
        <v>0</v>
      </c>
      <c r="Z82" s="19">
        <v>161.46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</row>
    <row r="83" spans="1:32" x14ac:dyDescent="0.3">
      <c r="A83" s="6">
        <v>45373</v>
      </c>
      <c r="B83" s="3" t="s">
        <v>36</v>
      </c>
      <c r="C83" s="8">
        <v>10</v>
      </c>
      <c r="D83" s="9">
        <v>13</v>
      </c>
      <c r="E83" s="10" t="s">
        <v>33</v>
      </c>
      <c r="F83" s="11">
        <v>137</v>
      </c>
      <c r="G83" s="9">
        <v>4.5999999999999996</v>
      </c>
      <c r="H83" s="10" t="s">
        <v>35</v>
      </c>
      <c r="I83" s="16" t="s">
        <v>34</v>
      </c>
      <c r="J83" s="17">
        <v>24</v>
      </c>
      <c r="K83" s="17">
        <v>24</v>
      </c>
      <c r="L83" s="17">
        <v>245</v>
      </c>
      <c r="M83" s="19">
        <f t="shared" si="3"/>
        <v>1.8999999999999986</v>
      </c>
      <c r="N83" s="4">
        <v>0</v>
      </c>
      <c r="O83" s="19">
        <f t="shared" si="2"/>
        <v>19.53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19">
        <v>25.46</v>
      </c>
      <c r="Y83" s="4">
        <v>0</v>
      </c>
      <c r="Z83" s="19">
        <v>141.93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</row>
    <row r="84" spans="1:32" x14ac:dyDescent="0.3">
      <c r="A84" s="6">
        <v>45374</v>
      </c>
      <c r="B84" s="3" t="s">
        <v>36</v>
      </c>
      <c r="C84" s="8">
        <v>13</v>
      </c>
      <c r="D84" s="9">
        <v>44.6</v>
      </c>
      <c r="E84" s="10" t="s">
        <v>33</v>
      </c>
      <c r="F84" s="11">
        <v>134</v>
      </c>
      <c r="G84" s="9">
        <v>42.1</v>
      </c>
      <c r="H84" s="10" t="s">
        <v>35</v>
      </c>
      <c r="I84" s="16" t="s">
        <v>34</v>
      </c>
      <c r="J84" s="17">
        <v>24</v>
      </c>
      <c r="K84" s="17">
        <v>24</v>
      </c>
      <c r="L84" s="17">
        <v>258</v>
      </c>
      <c r="M84" s="19">
        <f t="shared" si="3"/>
        <v>1.8399999999999999</v>
      </c>
      <c r="N84" s="4">
        <v>0</v>
      </c>
      <c r="O84" s="19">
        <f t="shared" si="2"/>
        <v>19.910000000000011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19">
        <v>23.62</v>
      </c>
      <c r="Y84" s="4">
        <v>0</v>
      </c>
      <c r="Z84" s="19">
        <v>122.02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</row>
    <row r="85" spans="1:32" x14ac:dyDescent="0.3">
      <c r="A85" s="6">
        <v>45375</v>
      </c>
      <c r="B85" s="3" t="s">
        <v>36</v>
      </c>
      <c r="C85" s="8">
        <v>17</v>
      </c>
      <c r="D85" s="9">
        <v>29.2</v>
      </c>
      <c r="E85" s="10" t="s">
        <v>33</v>
      </c>
      <c r="F85" s="11">
        <v>131</v>
      </c>
      <c r="G85" s="9">
        <v>55.3</v>
      </c>
      <c r="H85" s="10" t="s">
        <v>35</v>
      </c>
      <c r="I85" s="16" t="s">
        <v>34</v>
      </c>
      <c r="J85" s="17">
        <v>24</v>
      </c>
      <c r="K85" s="17">
        <v>25</v>
      </c>
      <c r="L85" s="17">
        <v>281</v>
      </c>
      <c r="M85" s="19">
        <f t="shared" si="3"/>
        <v>1.9000000000000021</v>
      </c>
      <c r="N85" s="4">
        <v>0</v>
      </c>
      <c r="O85" s="19">
        <f t="shared" si="2"/>
        <v>18.909999999999997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19">
        <v>21.72</v>
      </c>
      <c r="Y85" s="4">
        <v>0</v>
      </c>
      <c r="Z85" s="19">
        <v>103.11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</row>
    <row r="86" spans="1:32" x14ac:dyDescent="0.3">
      <c r="A86" s="6">
        <v>45376</v>
      </c>
      <c r="B86" s="3" t="s">
        <v>36</v>
      </c>
      <c r="C86" s="8">
        <v>21</v>
      </c>
      <c r="D86" s="9">
        <v>18.399999999999999</v>
      </c>
      <c r="E86" s="10" t="s">
        <v>33</v>
      </c>
      <c r="F86" s="11">
        <v>129</v>
      </c>
      <c r="G86" s="9">
        <v>6</v>
      </c>
      <c r="H86" s="10" t="s">
        <v>35</v>
      </c>
      <c r="I86" s="16" t="s">
        <v>34</v>
      </c>
      <c r="J86" s="17">
        <v>24</v>
      </c>
      <c r="K86" s="17">
        <v>24</v>
      </c>
      <c r="L86" s="17">
        <v>278</v>
      </c>
      <c r="M86" s="19">
        <f t="shared" si="3"/>
        <v>1.879999999999999</v>
      </c>
      <c r="N86" s="4">
        <v>0</v>
      </c>
      <c r="O86" s="19">
        <f t="shared" si="2"/>
        <v>18.620000000000005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19">
        <v>19.84</v>
      </c>
      <c r="Y86" s="4">
        <v>0</v>
      </c>
      <c r="Z86" s="19">
        <v>84.49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</row>
    <row r="87" spans="1:32" x14ac:dyDescent="0.3">
      <c r="A87" s="6">
        <v>45377</v>
      </c>
      <c r="B87" s="3" t="s">
        <v>36</v>
      </c>
      <c r="C87" s="8">
        <v>25</v>
      </c>
      <c r="D87" s="9">
        <v>5.9</v>
      </c>
      <c r="E87" s="10" t="s">
        <v>33</v>
      </c>
      <c r="F87" s="11">
        <v>126</v>
      </c>
      <c r="G87" s="9">
        <v>11.6</v>
      </c>
      <c r="H87" s="10" t="s">
        <v>35</v>
      </c>
      <c r="I87" s="16" t="s">
        <v>34</v>
      </c>
      <c r="J87" s="17">
        <v>24</v>
      </c>
      <c r="K87" s="17">
        <v>24</v>
      </c>
      <c r="L87" s="17">
        <v>277</v>
      </c>
      <c r="M87" s="19">
        <f t="shared" si="3"/>
        <v>1.870000000000001</v>
      </c>
      <c r="N87" s="4">
        <v>0</v>
      </c>
      <c r="O87" s="19">
        <f t="shared" si="2"/>
        <v>18.099999999999994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19">
        <v>17.97</v>
      </c>
      <c r="Y87" s="4">
        <v>0</v>
      </c>
      <c r="Z87" s="19">
        <v>66.39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</row>
    <row r="88" spans="1:32" x14ac:dyDescent="0.3">
      <c r="A88" s="6">
        <v>45378</v>
      </c>
      <c r="B88" s="3" t="s">
        <v>36</v>
      </c>
      <c r="C88" s="8">
        <v>28</v>
      </c>
      <c r="D88" s="9">
        <v>17.2</v>
      </c>
      <c r="E88" s="10" t="s">
        <v>33</v>
      </c>
      <c r="F88" s="11">
        <v>123</v>
      </c>
      <c r="G88" s="9">
        <v>40.9</v>
      </c>
      <c r="H88" s="10" t="s">
        <v>35</v>
      </c>
      <c r="I88" s="16" t="s">
        <v>34</v>
      </c>
      <c r="J88" s="17">
        <v>24</v>
      </c>
      <c r="K88" s="17">
        <v>24</v>
      </c>
      <c r="L88" s="17">
        <v>238</v>
      </c>
      <c r="M88" s="19">
        <f t="shared" si="3"/>
        <v>1.8499999999999979</v>
      </c>
      <c r="N88" s="4">
        <v>0</v>
      </c>
      <c r="O88" s="19">
        <f t="shared" si="2"/>
        <v>17.43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19">
        <v>16.12</v>
      </c>
      <c r="Y88" s="4">
        <v>0</v>
      </c>
      <c r="Z88" s="19">
        <v>48.96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</row>
    <row r="89" spans="1:32" x14ac:dyDescent="0.3">
      <c r="A89" s="6">
        <v>45379</v>
      </c>
      <c r="B89" s="3" t="s">
        <v>36</v>
      </c>
      <c r="C89" s="8">
        <v>29</v>
      </c>
      <c r="D89" s="9">
        <v>57.3</v>
      </c>
      <c r="E89" s="10" t="s">
        <v>33</v>
      </c>
      <c r="F89" s="11">
        <v>122</v>
      </c>
      <c r="G89" s="9">
        <v>42.7</v>
      </c>
      <c r="H89" s="10" t="s">
        <v>35</v>
      </c>
      <c r="I89" s="16" t="s">
        <v>34</v>
      </c>
      <c r="J89" s="17">
        <v>24</v>
      </c>
      <c r="K89" s="17">
        <v>8.5</v>
      </c>
      <c r="L89" s="17">
        <v>93</v>
      </c>
      <c r="M89" s="19">
        <f t="shared" si="3"/>
        <v>1.5600000000000005</v>
      </c>
      <c r="N89" s="4">
        <v>0</v>
      </c>
      <c r="O89" s="19">
        <f t="shared" si="2"/>
        <v>7.8500000000000014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19">
        <v>14.56</v>
      </c>
      <c r="Y89" s="4">
        <v>0</v>
      </c>
      <c r="Z89" s="19">
        <v>41.11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</row>
    <row r="90" spans="1:32" x14ac:dyDescent="0.3">
      <c r="A90" s="6">
        <v>45380</v>
      </c>
      <c r="B90" s="3" t="s">
        <v>36</v>
      </c>
      <c r="C90" s="8">
        <v>29</v>
      </c>
      <c r="D90" s="9">
        <v>57.3</v>
      </c>
      <c r="E90" s="10" t="s">
        <v>33</v>
      </c>
      <c r="F90" s="11">
        <v>122</v>
      </c>
      <c r="G90" s="9">
        <v>42.6</v>
      </c>
      <c r="H90" s="10" t="s">
        <v>35</v>
      </c>
      <c r="I90" s="16" t="s">
        <v>34</v>
      </c>
      <c r="J90" s="17">
        <v>24</v>
      </c>
      <c r="K90" s="17">
        <v>0</v>
      </c>
      <c r="L90" s="17">
        <v>0</v>
      </c>
      <c r="M90" s="19">
        <f t="shared" si="3"/>
        <v>1.5400000000000009</v>
      </c>
      <c r="N90" s="4">
        <v>0</v>
      </c>
      <c r="O90" s="19">
        <f t="shared" si="2"/>
        <v>0.56000000000000227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19">
        <v>13.02</v>
      </c>
      <c r="Y90" s="4">
        <v>0</v>
      </c>
      <c r="Z90" s="19">
        <v>40.549999999999997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</row>
    <row r="91" spans="1:32" x14ac:dyDescent="0.3">
      <c r="A91" s="6">
        <v>45381</v>
      </c>
      <c r="B91" s="3" t="s">
        <v>36</v>
      </c>
      <c r="C91" s="8">
        <v>30</v>
      </c>
      <c r="D91" s="9">
        <v>4.3</v>
      </c>
      <c r="E91" s="10" t="s">
        <v>33</v>
      </c>
      <c r="F91" s="11">
        <v>122</v>
      </c>
      <c r="G91" s="9">
        <v>29.2</v>
      </c>
      <c r="H91" s="10" t="s">
        <v>35</v>
      </c>
      <c r="I91" s="16" t="s">
        <v>34</v>
      </c>
      <c r="J91" s="17">
        <v>24</v>
      </c>
      <c r="K91" s="17">
        <v>0</v>
      </c>
      <c r="L91" s="17">
        <v>0</v>
      </c>
      <c r="M91" s="19">
        <f t="shared" si="3"/>
        <v>1.7300000000000004</v>
      </c>
      <c r="N91" s="4">
        <v>0</v>
      </c>
      <c r="O91" s="19">
        <f t="shared" si="2"/>
        <v>0.55999999999999517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19">
        <v>11.29</v>
      </c>
      <c r="Y91" s="4">
        <v>0</v>
      </c>
      <c r="Z91" s="19">
        <v>39.99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</row>
    <row r="92" spans="1:32" x14ac:dyDescent="0.3">
      <c r="A92" s="6">
        <v>45382</v>
      </c>
      <c r="B92" s="3" t="s">
        <v>36</v>
      </c>
      <c r="C92" s="8">
        <v>30</v>
      </c>
      <c r="D92" s="9">
        <v>10</v>
      </c>
      <c r="E92" s="10" t="s">
        <v>33</v>
      </c>
      <c r="F92" s="11">
        <v>122</v>
      </c>
      <c r="G92" s="9">
        <v>1.3</v>
      </c>
      <c r="H92" s="10" t="s">
        <v>35</v>
      </c>
      <c r="I92" s="16" t="s">
        <v>34</v>
      </c>
      <c r="J92" s="17">
        <v>24</v>
      </c>
      <c r="K92" s="17">
        <v>0</v>
      </c>
      <c r="L92" s="17">
        <v>0</v>
      </c>
      <c r="M92" s="19">
        <f t="shared" si="3"/>
        <v>0.47999999999999865</v>
      </c>
      <c r="N92" s="4">
        <v>0</v>
      </c>
      <c r="O92" s="19">
        <f t="shared" si="2"/>
        <v>0.64000000000000057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19">
        <v>10.81</v>
      </c>
      <c r="Y92" s="4">
        <v>0</v>
      </c>
      <c r="Z92" s="19">
        <v>39.35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</row>
    <row r="93" spans="1:32" x14ac:dyDescent="0.3">
      <c r="A93" s="6">
        <v>45383</v>
      </c>
      <c r="B93" s="3" t="s">
        <v>36</v>
      </c>
      <c r="C93" s="8">
        <v>30</v>
      </c>
      <c r="D93" s="9">
        <v>10</v>
      </c>
      <c r="E93" s="10" t="s">
        <v>33</v>
      </c>
      <c r="F93" s="11">
        <v>122</v>
      </c>
      <c r="G93" s="9">
        <v>1.3</v>
      </c>
      <c r="H93" s="10" t="s">
        <v>35</v>
      </c>
      <c r="I93" s="16" t="s">
        <v>34</v>
      </c>
      <c r="J93" s="17">
        <v>24</v>
      </c>
      <c r="K93" s="17">
        <v>0</v>
      </c>
      <c r="L93" s="17">
        <v>0</v>
      </c>
      <c r="M93" s="19">
        <f t="shared" si="3"/>
        <v>0</v>
      </c>
      <c r="N93" s="4">
        <v>0</v>
      </c>
      <c r="O93" s="19">
        <f t="shared" si="2"/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19">
        <v>10.81</v>
      </c>
      <c r="Y93" s="4">
        <v>0</v>
      </c>
      <c r="Z93" s="19">
        <v>39.35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</row>
    <row r="94" spans="1:32" x14ac:dyDescent="0.3">
      <c r="A94" s="6">
        <v>45384</v>
      </c>
      <c r="B94" s="3" t="s">
        <v>36</v>
      </c>
      <c r="C94" s="8">
        <v>30</v>
      </c>
      <c r="D94" s="9">
        <v>10</v>
      </c>
      <c r="E94" s="10" t="s">
        <v>33</v>
      </c>
      <c r="F94" s="11">
        <v>122</v>
      </c>
      <c r="G94" s="9">
        <v>1.3</v>
      </c>
      <c r="H94" s="10" t="s">
        <v>35</v>
      </c>
      <c r="I94" s="16" t="s">
        <v>34</v>
      </c>
      <c r="J94" s="17">
        <v>24</v>
      </c>
      <c r="K94" s="17">
        <v>0</v>
      </c>
      <c r="L94" s="17">
        <v>0</v>
      </c>
      <c r="M94" s="19">
        <f t="shared" si="3"/>
        <v>0</v>
      </c>
      <c r="N94" s="4">
        <v>0</v>
      </c>
      <c r="O94" s="19">
        <f t="shared" si="2"/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19">
        <v>10.81</v>
      </c>
      <c r="Y94" s="4">
        <v>0</v>
      </c>
      <c r="Z94" s="19">
        <v>39.35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</row>
    <row r="95" spans="1:32" x14ac:dyDescent="0.3">
      <c r="A95" s="6">
        <v>45385</v>
      </c>
      <c r="B95" s="3" t="s">
        <v>36</v>
      </c>
      <c r="C95" s="8">
        <v>30</v>
      </c>
      <c r="D95" s="9">
        <v>10</v>
      </c>
      <c r="E95" s="10" t="s">
        <v>33</v>
      </c>
      <c r="F95" s="11">
        <v>122</v>
      </c>
      <c r="G95" s="9">
        <v>1.3</v>
      </c>
      <c r="H95" s="10" t="s">
        <v>35</v>
      </c>
      <c r="I95" s="16" t="s">
        <v>34</v>
      </c>
      <c r="J95" s="17">
        <v>24</v>
      </c>
      <c r="K95" s="17">
        <v>0</v>
      </c>
      <c r="L95" s="17">
        <v>0</v>
      </c>
      <c r="M95" s="19">
        <f t="shared" si="3"/>
        <v>0</v>
      </c>
      <c r="N95" s="4">
        <v>0</v>
      </c>
      <c r="O95" s="19">
        <f t="shared" si="2"/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19">
        <v>10.81</v>
      </c>
      <c r="Y95" s="4">
        <v>0</v>
      </c>
      <c r="Z95" s="19">
        <v>39.35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</row>
    <row r="96" spans="1:32" x14ac:dyDescent="0.3">
      <c r="A96" s="6">
        <v>45386</v>
      </c>
      <c r="B96" s="3" t="s">
        <v>36</v>
      </c>
      <c r="C96" s="8">
        <v>30</v>
      </c>
      <c r="D96" s="9">
        <v>10</v>
      </c>
      <c r="E96" s="10" t="s">
        <v>33</v>
      </c>
      <c r="F96" s="11">
        <v>122</v>
      </c>
      <c r="G96" s="9">
        <v>1.3</v>
      </c>
      <c r="H96" s="10" t="s">
        <v>35</v>
      </c>
      <c r="I96" s="16" t="s">
        <v>34</v>
      </c>
      <c r="J96" s="17">
        <v>24</v>
      </c>
      <c r="K96" s="17">
        <v>0</v>
      </c>
      <c r="L96" s="17">
        <v>0</v>
      </c>
      <c r="M96" s="19">
        <f t="shared" si="3"/>
        <v>0</v>
      </c>
      <c r="N96" s="4">
        <v>0</v>
      </c>
      <c r="O96" s="19">
        <f t="shared" si="2"/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19">
        <v>10.81</v>
      </c>
      <c r="Y96" s="4">
        <v>0</v>
      </c>
      <c r="Z96" s="19">
        <v>39.35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</row>
    <row r="97" spans="1:32" x14ac:dyDescent="0.3">
      <c r="A97" s="6">
        <v>45387</v>
      </c>
      <c r="B97" s="3" t="s">
        <v>36</v>
      </c>
      <c r="C97" s="8">
        <v>30</v>
      </c>
      <c r="D97" s="9">
        <v>10</v>
      </c>
      <c r="E97" s="10" t="s">
        <v>33</v>
      </c>
      <c r="F97" s="11">
        <v>122</v>
      </c>
      <c r="G97" s="9">
        <v>1.3</v>
      </c>
      <c r="H97" s="10" t="s">
        <v>35</v>
      </c>
      <c r="I97" s="16" t="s">
        <v>34</v>
      </c>
      <c r="J97" s="17">
        <v>24</v>
      </c>
      <c r="K97" s="17">
        <v>0</v>
      </c>
      <c r="L97" s="17">
        <v>0</v>
      </c>
      <c r="M97" s="19">
        <f t="shared" si="3"/>
        <v>0</v>
      </c>
      <c r="N97" s="4">
        <v>0</v>
      </c>
      <c r="O97" s="19">
        <f t="shared" si="2"/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19">
        <v>10.81</v>
      </c>
      <c r="Y97" s="4">
        <v>0</v>
      </c>
      <c r="Z97" s="19">
        <v>39.35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</row>
    <row r="98" spans="1:32" x14ac:dyDescent="0.3">
      <c r="A98" s="6">
        <v>45388</v>
      </c>
      <c r="B98" s="3" t="s">
        <v>36</v>
      </c>
      <c r="C98" s="8">
        <v>30</v>
      </c>
      <c r="D98" s="9">
        <v>10</v>
      </c>
      <c r="E98" s="10" t="s">
        <v>33</v>
      </c>
      <c r="F98" s="11">
        <v>122</v>
      </c>
      <c r="G98" s="9">
        <v>1.3</v>
      </c>
      <c r="H98" s="10" t="s">
        <v>35</v>
      </c>
      <c r="I98" s="16" t="s">
        <v>34</v>
      </c>
      <c r="J98" s="17">
        <v>24</v>
      </c>
      <c r="K98" s="17">
        <v>0</v>
      </c>
      <c r="L98" s="17">
        <v>0</v>
      </c>
      <c r="M98" s="19">
        <f t="shared" si="3"/>
        <v>0</v>
      </c>
      <c r="N98" s="4">
        <v>0</v>
      </c>
      <c r="O98" s="19">
        <f t="shared" si="2"/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19">
        <v>10.81</v>
      </c>
      <c r="Y98" s="4">
        <v>0</v>
      </c>
      <c r="Z98" s="19">
        <v>39.35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</row>
    <row r="99" spans="1:32" x14ac:dyDescent="0.3">
      <c r="A99" s="6">
        <v>45389</v>
      </c>
      <c r="B99" s="3" t="s">
        <v>36</v>
      </c>
      <c r="C99" s="8">
        <v>30</v>
      </c>
      <c r="D99" s="9">
        <v>10</v>
      </c>
      <c r="E99" s="10" t="s">
        <v>33</v>
      </c>
      <c r="F99" s="11">
        <v>122</v>
      </c>
      <c r="G99" s="9">
        <v>1.3</v>
      </c>
      <c r="H99" s="10" t="s">
        <v>35</v>
      </c>
      <c r="I99" s="16" t="s">
        <v>34</v>
      </c>
      <c r="J99" s="17">
        <v>24</v>
      </c>
      <c r="K99" s="17">
        <v>0</v>
      </c>
      <c r="L99" s="17">
        <v>0</v>
      </c>
      <c r="M99" s="19">
        <f t="shared" si="3"/>
        <v>0.30000000000000071</v>
      </c>
      <c r="N99" s="4">
        <v>0</v>
      </c>
      <c r="O99" s="19">
        <f t="shared" si="2"/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21">
        <v>10.51</v>
      </c>
      <c r="Y99" s="4">
        <v>0</v>
      </c>
      <c r="Z99" s="19">
        <v>39.35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</row>
    <row r="100" spans="1:32" x14ac:dyDescent="0.3">
      <c r="A100" s="6">
        <v>45390</v>
      </c>
      <c r="B100" s="3" t="s">
        <v>36</v>
      </c>
      <c r="C100" s="8">
        <v>30</v>
      </c>
      <c r="D100" s="9">
        <v>10</v>
      </c>
      <c r="E100" s="10" t="s">
        <v>33</v>
      </c>
      <c r="F100" s="11">
        <v>122</v>
      </c>
      <c r="G100" s="9">
        <v>1.3</v>
      </c>
      <c r="H100" s="10" t="s">
        <v>35</v>
      </c>
      <c r="I100" s="16" t="s">
        <v>34</v>
      </c>
      <c r="J100" s="17">
        <v>24</v>
      </c>
      <c r="K100" s="17">
        <v>0</v>
      </c>
      <c r="L100" s="17">
        <v>0</v>
      </c>
      <c r="M100" s="19">
        <f t="shared" si="3"/>
        <v>0.37999999999999901</v>
      </c>
      <c r="N100" s="4">
        <v>0</v>
      </c>
      <c r="O100" s="19">
        <f t="shared" si="2"/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21">
        <v>10.130000000000001</v>
      </c>
      <c r="Y100" s="4">
        <v>0</v>
      </c>
      <c r="Z100" s="19">
        <v>39.35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</row>
    <row r="101" spans="1:32" x14ac:dyDescent="0.3">
      <c r="A101" s="6">
        <v>45391</v>
      </c>
      <c r="B101" s="3" t="s">
        <v>36</v>
      </c>
      <c r="C101" s="8">
        <v>30</v>
      </c>
      <c r="D101" s="9">
        <v>10</v>
      </c>
      <c r="E101" s="10" t="s">
        <v>33</v>
      </c>
      <c r="F101" s="11">
        <v>122</v>
      </c>
      <c r="G101" s="9">
        <v>1.3</v>
      </c>
      <c r="H101" s="10" t="s">
        <v>35</v>
      </c>
      <c r="I101" s="16" t="s">
        <v>34</v>
      </c>
      <c r="J101" s="17">
        <v>24</v>
      </c>
      <c r="K101" s="17">
        <v>0</v>
      </c>
      <c r="L101" s="17">
        <v>0</v>
      </c>
      <c r="M101" s="19">
        <f>X100-X101</f>
        <v>0</v>
      </c>
      <c r="N101" s="4">
        <v>0</v>
      </c>
      <c r="O101" s="19">
        <f t="shared" si="2"/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21">
        <v>10.130000000000001</v>
      </c>
      <c r="Y101" s="4">
        <v>0</v>
      </c>
      <c r="Z101" s="19">
        <v>39.35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</row>
    <row r="102" spans="1:32" x14ac:dyDescent="0.3">
      <c r="A102" s="6">
        <v>45392</v>
      </c>
      <c r="B102" s="3" t="s">
        <v>36</v>
      </c>
      <c r="C102" s="8">
        <v>30</v>
      </c>
      <c r="D102" s="9">
        <v>10</v>
      </c>
      <c r="E102" s="10" t="s">
        <v>33</v>
      </c>
      <c r="F102" s="11">
        <v>122</v>
      </c>
      <c r="G102" s="9">
        <v>1.3</v>
      </c>
      <c r="H102" s="10" t="s">
        <v>35</v>
      </c>
      <c r="I102" s="16" t="s">
        <v>34</v>
      </c>
      <c r="J102" s="17">
        <v>24</v>
      </c>
      <c r="K102" s="17">
        <v>0</v>
      </c>
      <c r="L102" s="17">
        <v>0</v>
      </c>
      <c r="M102" s="19">
        <f t="shared" si="3"/>
        <v>0</v>
      </c>
      <c r="N102" s="4">
        <v>0</v>
      </c>
      <c r="O102" s="19">
        <f t="shared" si="2"/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21">
        <v>10.130000000000001</v>
      </c>
      <c r="Y102" s="4">
        <v>0</v>
      </c>
      <c r="Z102" s="19">
        <v>39.35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</row>
    <row r="103" spans="1:32" x14ac:dyDescent="0.3">
      <c r="A103" s="6">
        <v>45393</v>
      </c>
      <c r="B103" s="3" t="s">
        <v>36</v>
      </c>
      <c r="C103" s="8">
        <v>30</v>
      </c>
      <c r="D103" s="9">
        <v>10</v>
      </c>
      <c r="E103" s="10" t="s">
        <v>33</v>
      </c>
      <c r="F103" s="11">
        <v>122</v>
      </c>
      <c r="G103" s="9">
        <v>1.3</v>
      </c>
      <c r="H103" s="10" t="s">
        <v>35</v>
      </c>
      <c r="I103" s="16" t="s">
        <v>34</v>
      </c>
      <c r="J103" s="17">
        <v>24</v>
      </c>
      <c r="K103" s="17">
        <v>0</v>
      </c>
      <c r="L103" s="17">
        <v>0</v>
      </c>
      <c r="M103" s="19">
        <f t="shared" si="3"/>
        <v>0</v>
      </c>
      <c r="N103" s="4">
        <v>0</v>
      </c>
      <c r="O103" s="19">
        <f t="shared" si="2"/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21">
        <v>10.130000000000001</v>
      </c>
      <c r="Y103" s="4">
        <v>0</v>
      </c>
      <c r="Z103" s="19">
        <v>39.35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</row>
    <row r="104" spans="1:32" x14ac:dyDescent="0.3">
      <c r="A104" s="6">
        <v>45394</v>
      </c>
      <c r="B104" s="3" t="s">
        <v>36</v>
      </c>
      <c r="C104" s="8">
        <v>30</v>
      </c>
      <c r="D104" s="9">
        <v>10</v>
      </c>
      <c r="E104" s="10" t="s">
        <v>33</v>
      </c>
      <c r="F104" s="11">
        <v>122</v>
      </c>
      <c r="G104" s="9">
        <v>1.3</v>
      </c>
      <c r="H104" s="10" t="s">
        <v>35</v>
      </c>
      <c r="I104" s="16" t="s">
        <v>34</v>
      </c>
      <c r="J104" s="17">
        <v>24</v>
      </c>
      <c r="K104" s="17">
        <v>0</v>
      </c>
      <c r="L104" s="17">
        <v>0</v>
      </c>
      <c r="M104" s="19">
        <f t="shared" si="3"/>
        <v>0</v>
      </c>
      <c r="N104" s="4">
        <v>0</v>
      </c>
      <c r="O104" s="19">
        <f t="shared" ref="O104:O167" si="4">Z103-Z104</f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21">
        <v>10.130000000000001</v>
      </c>
      <c r="Y104" s="4">
        <v>0</v>
      </c>
      <c r="Z104" s="19">
        <v>39.35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</row>
    <row r="105" spans="1:32" x14ac:dyDescent="0.3">
      <c r="A105" s="6">
        <v>45395</v>
      </c>
      <c r="B105" s="3" t="s">
        <v>36</v>
      </c>
      <c r="C105" s="8">
        <v>30</v>
      </c>
      <c r="D105" s="9">
        <v>10</v>
      </c>
      <c r="E105" s="10" t="s">
        <v>33</v>
      </c>
      <c r="F105" s="11">
        <v>122</v>
      </c>
      <c r="G105" s="9">
        <v>1.3</v>
      </c>
      <c r="H105" s="10" t="s">
        <v>35</v>
      </c>
      <c r="I105" s="16" t="s">
        <v>34</v>
      </c>
      <c r="J105" s="17">
        <v>24</v>
      </c>
      <c r="K105" s="17">
        <v>0</v>
      </c>
      <c r="L105" s="17">
        <v>0</v>
      </c>
      <c r="M105" s="19">
        <f t="shared" ref="M105:M168" si="5">X104-X105</f>
        <v>0</v>
      </c>
      <c r="N105" s="4">
        <v>0</v>
      </c>
      <c r="O105" s="19">
        <f t="shared" si="4"/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21">
        <v>10.130000000000001</v>
      </c>
      <c r="Y105" s="4">
        <v>0</v>
      </c>
      <c r="Z105" s="19">
        <v>39.35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</row>
    <row r="106" spans="1:32" x14ac:dyDescent="0.3">
      <c r="A106" s="6">
        <v>45396</v>
      </c>
      <c r="B106" s="3" t="s">
        <v>36</v>
      </c>
      <c r="C106" s="8">
        <v>30</v>
      </c>
      <c r="D106" s="9">
        <v>10</v>
      </c>
      <c r="E106" s="10" t="s">
        <v>33</v>
      </c>
      <c r="F106" s="11">
        <v>122</v>
      </c>
      <c r="G106" s="9">
        <v>1.3</v>
      </c>
      <c r="H106" s="10" t="s">
        <v>35</v>
      </c>
      <c r="I106" s="16" t="s">
        <v>34</v>
      </c>
      <c r="J106" s="17">
        <v>24</v>
      </c>
      <c r="K106" s="17">
        <v>0</v>
      </c>
      <c r="L106" s="17">
        <v>0</v>
      </c>
      <c r="M106" s="19">
        <f t="shared" si="5"/>
        <v>0</v>
      </c>
      <c r="N106" s="4">
        <v>0</v>
      </c>
      <c r="O106" s="19">
        <f t="shared" si="4"/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21">
        <v>10.130000000000001</v>
      </c>
      <c r="Y106" s="4">
        <v>0</v>
      </c>
      <c r="Z106" s="19">
        <v>39.35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</row>
    <row r="107" spans="1:32" x14ac:dyDescent="0.3">
      <c r="A107" s="6">
        <v>45397</v>
      </c>
      <c r="B107" s="3" t="s">
        <v>36</v>
      </c>
      <c r="C107" s="8">
        <v>30</v>
      </c>
      <c r="D107" s="9">
        <v>10</v>
      </c>
      <c r="E107" s="10" t="s">
        <v>33</v>
      </c>
      <c r="F107" s="11">
        <v>122</v>
      </c>
      <c r="G107" s="9">
        <v>1.3</v>
      </c>
      <c r="H107" s="10" t="s">
        <v>35</v>
      </c>
      <c r="I107" s="16" t="s">
        <v>34</v>
      </c>
      <c r="J107" s="17">
        <v>24</v>
      </c>
      <c r="K107" s="17">
        <v>0</v>
      </c>
      <c r="L107" s="17">
        <v>0</v>
      </c>
      <c r="M107" s="19">
        <f t="shared" si="5"/>
        <v>0</v>
      </c>
      <c r="N107" s="4">
        <v>0</v>
      </c>
      <c r="O107" s="19">
        <f t="shared" si="4"/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21">
        <v>10.130000000000001</v>
      </c>
      <c r="Y107" s="4">
        <v>0</v>
      </c>
      <c r="Z107" s="19">
        <v>39.35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</row>
    <row r="108" spans="1:32" x14ac:dyDescent="0.3">
      <c r="A108" s="6">
        <v>45398</v>
      </c>
      <c r="B108" s="3" t="s">
        <v>36</v>
      </c>
      <c r="C108" s="8">
        <v>30</v>
      </c>
      <c r="D108" s="9">
        <v>10</v>
      </c>
      <c r="E108" s="10" t="s">
        <v>33</v>
      </c>
      <c r="F108" s="11">
        <v>122</v>
      </c>
      <c r="G108" s="9">
        <v>1.3</v>
      </c>
      <c r="H108" s="10" t="s">
        <v>35</v>
      </c>
      <c r="I108" s="16" t="s">
        <v>34</v>
      </c>
      <c r="J108" s="17">
        <v>24</v>
      </c>
      <c r="K108" s="17">
        <v>0</v>
      </c>
      <c r="L108" s="17">
        <v>0</v>
      </c>
      <c r="M108" s="19">
        <f t="shared" si="5"/>
        <v>0</v>
      </c>
      <c r="N108" s="4">
        <v>0</v>
      </c>
      <c r="O108" s="19">
        <f t="shared" si="4"/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21">
        <v>10.130000000000001</v>
      </c>
      <c r="Y108" s="4">
        <v>0</v>
      </c>
      <c r="Z108" s="19">
        <v>39.35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</row>
    <row r="109" spans="1:32" x14ac:dyDescent="0.3">
      <c r="A109" s="6">
        <v>45399</v>
      </c>
      <c r="B109" s="3" t="s">
        <v>36</v>
      </c>
      <c r="C109" s="8">
        <v>30</v>
      </c>
      <c r="D109" s="9">
        <v>10</v>
      </c>
      <c r="E109" s="10" t="s">
        <v>33</v>
      </c>
      <c r="F109" s="11">
        <v>122</v>
      </c>
      <c r="G109" s="9">
        <v>1.3</v>
      </c>
      <c r="H109" s="10" t="s">
        <v>35</v>
      </c>
      <c r="I109" s="16" t="s">
        <v>34</v>
      </c>
      <c r="J109" s="17">
        <v>24</v>
      </c>
      <c r="K109" s="17">
        <v>0</v>
      </c>
      <c r="L109" s="17">
        <v>0</v>
      </c>
      <c r="M109" s="19">
        <f t="shared" si="5"/>
        <v>1</v>
      </c>
      <c r="N109" s="4">
        <v>0</v>
      </c>
      <c r="O109" s="19">
        <f t="shared" si="4"/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21">
        <v>9.1300000000000008</v>
      </c>
      <c r="Y109" s="4">
        <v>0</v>
      </c>
      <c r="Z109" s="22">
        <f t="shared" ref="Z109:Z112" si="6">IF(D109="","",SUM(Z108-Q109-R109-S109-T109-U109)+AB109)</f>
        <v>39.35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</row>
    <row r="110" spans="1:32" x14ac:dyDescent="0.3">
      <c r="A110" s="6">
        <v>45400</v>
      </c>
      <c r="B110" s="3" t="s">
        <v>36</v>
      </c>
      <c r="C110" s="8">
        <v>30</v>
      </c>
      <c r="D110" s="9">
        <v>10</v>
      </c>
      <c r="E110" s="10" t="s">
        <v>33</v>
      </c>
      <c r="F110" s="11">
        <v>122</v>
      </c>
      <c r="G110" s="9">
        <v>1.3</v>
      </c>
      <c r="H110" s="10" t="s">
        <v>35</v>
      </c>
      <c r="I110" s="16" t="s">
        <v>34</v>
      </c>
      <c r="J110" s="17">
        <v>24</v>
      </c>
      <c r="K110" s="17">
        <v>0</v>
      </c>
      <c r="L110" s="17">
        <v>0</v>
      </c>
      <c r="M110" s="19">
        <f t="shared" si="5"/>
        <v>1.6300000000000008</v>
      </c>
      <c r="N110" s="4">
        <v>0</v>
      </c>
      <c r="O110" s="19">
        <f t="shared" si="4"/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21">
        <v>7.5</v>
      </c>
      <c r="Y110" s="4">
        <v>0</v>
      </c>
      <c r="Z110" s="22">
        <f t="shared" si="6"/>
        <v>39.35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</row>
    <row r="111" spans="1:32" x14ac:dyDescent="0.3">
      <c r="A111" s="6">
        <v>45401</v>
      </c>
      <c r="B111" s="3" t="s">
        <v>36</v>
      </c>
      <c r="C111" s="8">
        <v>30</v>
      </c>
      <c r="D111" s="9">
        <v>10</v>
      </c>
      <c r="E111" s="10" t="s">
        <v>33</v>
      </c>
      <c r="F111" s="11">
        <v>122</v>
      </c>
      <c r="G111" s="9">
        <v>1.3</v>
      </c>
      <c r="H111" s="10" t="s">
        <v>35</v>
      </c>
      <c r="I111" s="16" t="s">
        <v>34</v>
      </c>
      <c r="J111" s="17">
        <v>24</v>
      </c>
      <c r="K111" s="17">
        <v>0</v>
      </c>
      <c r="L111" s="17">
        <v>0</v>
      </c>
      <c r="M111" s="19">
        <f t="shared" si="5"/>
        <v>1.6399999999999997</v>
      </c>
      <c r="N111" s="4">
        <v>0</v>
      </c>
      <c r="O111" s="19">
        <f t="shared" si="4"/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21">
        <v>5.86</v>
      </c>
      <c r="Y111" s="4">
        <v>0</v>
      </c>
      <c r="Z111" s="22">
        <f t="shared" si="6"/>
        <v>39.35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</row>
    <row r="112" spans="1:32" x14ac:dyDescent="0.3">
      <c r="A112" s="6">
        <v>45402</v>
      </c>
      <c r="B112" s="3" t="s">
        <v>36</v>
      </c>
      <c r="C112" s="8">
        <v>30</v>
      </c>
      <c r="D112" s="9">
        <v>10</v>
      </c>
      <c r="E112" s="10" t="s">
        <v>33</v>
      </c>
      <c r="F112" s="11">
        <v>122</v>
      </c>
      <c r="G112" s="9">
        <v>1.3</v>
      </c>
      <c r="H112" s="10" t="s">
        <v>35</v>
      </c>
      <c r="I112" s="16" t="s">
        <v>34</v>
      </c>
      <c r="J112" s="17">
        <v>24</v>
      </c>
      <c r="K112" s="17">
        <v>0</v>
      </c>
      <c r="L112" s="17">
        <v>0</v>
      </c>
      <c r="M112" s="19">
        <f t="shared" si="5"/>
        <v>1.6000000000000005</v>
      </c>
      <c r="N112" s="4">
        <v>0</v>
      </c>
      <c r="O112" s="19">
        <f t="shared" si="4"/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21">
        <v>4.26</v>
      </c>
      <c r="Y112" s="4">
        <v>0</v>
      </c>
      <c r="Z112" s="22">
        <f t="shared" si="6"/>
        <v>39.35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</row>
    <row r="113" spans="1:32" x14ac:dyDescent="0.3">
      <c r="A113" s="6">
        <v>45403</v>
      </c>
      <c r="B113" s="3" t="s">
        <v>36</v>
      </c>
      <c r="C113" s="8">
        <v>30</v>
      </c>
      <c r="D113" s="9">
        <v>10</v>
      </c>
      <c r="E113" s="10" t="s">
        <v>33</v>
      </c>
      <c r="F113" s="11">
        <v>122</v>
      </c>
      <c r="G113" s="9">
        <v>1.3</v>
      </c>
      <c r="H113" s="10" t="s">
        <v>35</v>
      </c>
      <c r="I113" s="16" t="s">
        <v>34</v>
      </c>
      <c r="J113" s="17">
        <v>24</v>
      </c>
      <c r="K113" s="17">
        <v>0</v>
      </c>
      <c r="L113" s="17">
        <v>0</v>
      </c>
      <c r="M113" s="19">
        <f t="shared" si="5"/>
        <v>1.6099999999999999</v>
      </c>
      <c r="N113" s="4">
        <v>0</v>
      </c>
      <c r="O113" s="19">
        <f t="shared" si="4"/>
        <v>5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21">
        <v>2.65</v>
      </c>
      <c r="Y113" s="4">
        <v>0</v>
      </c>
      <c r="Z113" s="22">
        <v>34.35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</row>
    <row r="114" spans="1:32" x14ac:dyDescent="0.3">
      <c r="A114" s="6">
        <v>45404</v>
      </c>
      <c r="B114" s="3" t="s">
        <v>36</v>
      </c>
      <c r="C114" s="8">
        <v>30</v>
      </c>
      <c r="D114" s="9">
        <v>10</v>
      </c>
      <c r="E114" s="10" t="s">
        <v>33</v>
      </c>
      <c r="F114" s="11">
        <v>122</v>
      </c>
      <c r="G114" s="9">
        <v>1.3</v>
      </c>
      <c r="H114" s="10" t="s">
        <v>35</v>
      </c>
      <c r="I114" s="16" t="s">
        <v>34</v>
      </c>
      <c r="J114" s="17">
        <v>24</v>
      </c>
      <c r="K114" s="17">
        <v>0</v>
      </c>
      <c r="L114" s="17">
        <v>0</v>
      </c>
      <c r="M114" s="19">
        <v>0</v>
      </c>
      <c r="N114" s="4">
        <v>0</v>
      </c>
      <c r="O114" s="19">
        <f>Z113-Z114+80</f>
        <v>2.3499999999999943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21">
        <v>802.65</v>
      </c>
      <c r="Y114" s="4">
        <v>0</v>
      </c>
      <c r="Z114" s="22">
        <v>112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</row>
    <row r="115" spans="1:32" x14ac:dyDescent="0.3">
      <c r="A115" s="6">
        <v>45405</v>
      </c>
      <c r="B115" s="3" t="s">
        <v>36</v>
      </c>
      <c r="C115" s="8">
        <v>30</v>
      </c>
      <c r="D115" s="9">
        <v>10</v>
      </c>
      <c r="E115" s="10" t="s">
        <v>33</v>
      </c>
      <c r="F115" s="11">
        <v>122</v>
      </c>
      <c r="G115" s="9">
        <v>1.3</v>
      </c>
      <c r="H115" s="10" t="s">
        <v>35</v>
      </c>
      <c r="I115" s="16" t="s">
        <v>34</v>
      </c>
      <c r="J115" s="17">
        <v>24</v>
      </c>
      <c r="K115" s="17">
        <v>0</v>
      </c>
      <c r="L115" s="17">
        <v>0</v>
      </c>
      <c r="M115" s="19">
        <f t="shared" si="5"/>
        <v>0</v>
      </c>
      <c r="N115" s="4">
        <v>0</v>
      </c>
      <c r="O115" s="19">
        <f t="shared" si="4"/>
        <v>2.6400000000000006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21">
        <v>802.65</v>
      </c>
      <c r="Y115" s="4">
        <v>0</v>
      </c>
      <c r="Z115" s="22">
        <v>109.36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</row>
    <row r="116" spans="1:32" x14ac:dyDescent="0.3">
      <c r="A116" s="6">
        <v>45406</v>
      </c>
      <c r="B116" s="3" t="s">
        <v>36</v>
      </c>
      <c r="C116" s="8">
        <v>30</v>
      </c>
      <c r="D116" s="9">
        <v>10</v>
      </c>
      <c r="E116" s="10" t="s">
        <v>33</v>
      </c>
      <c r="F116" s="11">
        <v>122</v>
      </c>
      <c r="G116" s="9">
        <v>1.3</v>
      </c>
      <c r="H116" s="10" t="s">
        <v>35</v>
      </c>
      <c r="I116" s="16" t="s">
        <v>34</v>
      </c>
      <c r="J116" s="17">
        <v>24</v>
      </c>
      <c r="K116" s="17">
        <v>0</v>
      </c>
      <c r="L116" s="17">
        <v>0</v>
      </c>
      <c r="M116" s="19">
        <f t="shared" si="5"/>
        <v>0</v>
      </c>
      <c r="N116" s="4">
        <v>0</v>
      </c>
      <c r="O116" s="19">
        <f t="shared" si="4"/>
        <v>2.7099999999999937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21">
        <v>802.65</v>
      </c>
      <c r="Y116" s="4">
        <v>0</v>
      </c>
      <c r="Z116" s="22">
        <v>106.65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</row>
    <row r="117" spans="1:32" x14ac:dyDescent="0.3">
      <c r="A117" s="6">
        <v>45407</v>
      </c>
      <c r="B117" s="3" t="s">
        <v>36</v>
      </c>
      <c r="C117" s="8">
        <v>30</v>
      </c>
      <c r="D117" s="9">
        <v>10</v>
      </c>
      <c r="E117" s="10" t="s">
        <v>33</v>
      </c>
      <c r="F117" s="11">
        <v>122</v>
      </c>
      <c r="G117" s="9">
        <v>1.3</v>
      </c>
      <c r="H117" s="10" t="s">
        <v>35</v>
      </c>
      <c r="I117" s="16" t="s">
        <v>34</v>
      </c>
      <c r="J117" s="17">
        <v>24</v>
      </c>
      <c r="K117" s="17">
        <v>0</v>
      </c>
      <c r="L117" s="17">
        <v>0</v>
      </c>
      <c r="M117" s="19">
        <f t="shared" si="5"/>
        <v>0</v>
      </c>
      <c r="N117" s="4">
        <v>0</v>
      </c>
      <c r="O117" s="19">
        <f t="shared" si="4"/>
        <v>2.3400000000000034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21">
        <v>802.65</v>
      </c>
      <c r="Y117" s="4">
        <v>0</v>
      </c>
      <c r="Z117" s="22">
        <v>104.31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</row>
    <row r="118" spans="1:32" x14ac:dyDescent="0.3">
      <c r="A118" s="6">
        <v>45408</v>
      </c>
      <c r="B118" s="3" t="s">
        <v>36</v>
      </c>
      <c r="C118" s="8">
        <v>30</v>
      </c>
      <c r="D118" s="9">
        <v>10</v>
      </c>
      <c r="E118" s="10" t="s">
        <v>33</v>
      </c>
      <c r="F118" s="11">
        <v>122</v>
      </c>
      <c r="G118" s="9">
        <v>1.3</v>
      </c>
      <c r="H118" s="10" t="s">
        <v>35</v>
      </c>
      <c r="I118" s="16" t="s">
        <v>34</v>
      </c>
      <c r="J118" s="17">
        <v>24</v>
      </c>
      <c r="K118" s="17">
        <v>0</v>
      </c>
      <c r="L118" s="17">
        <v>0</v>
      </c>
      <c r="M118" s="19">
        <f t="shared" si="5"/>
        <v>0</v>
      </c>
      <c r="N118" s="4">
        <v>0</v>
      </c>
      <c r="O118" s="19">
        <f t="shared" si="4"/>
        <v>2.4900000000000091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21">
        <v>802.65</v>
      </c>
      <c r="Y118" s="4">
        <v>0</v>
      </c>
      <c r="Z118" s="22">
        <v>101.82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</row>
    <row r="119" spans="1:32" x14ac:dyDescent="0.3">
      <c r="A119" s="6">
        <v>45409</v>
      </c>
      <c r="B119" s="3" t="s">
        <v>36</v>
      </c>
      <c r="C119" s="8">
        <v>30</v>
      </c>
      <c r="D119" s="9">
        <v>10</v>
      </c>
      <c r="E119" s="10" t="s">
        <v>33</v>
      </c>
      <c r="F119" s="11">
        <v>122</v>
      </c>
      <c r="G119" s="9">
        <v>1.3</v>
      </c>
      <c r="H119" s="10" t="s">
        <v>35</v>
      </c>
      <c r="I119" s="16" t="s">
        <v>34</v>
      </c>
      <c r="J119" s="17">
        <v>24</v>
      </c>
      <c r="K119" s="17">
        <v>0</v>
      </c>
      <c r="L119" s="17">
        <v>0</v>
      </c>
      <c r="M119" s="19">
        <f t="shared" si="5"/>
        <v>0</v>
      </c>
      <c r="N119" s="4">
        <v>0</v>
      </c>
      <c r="O119" s="19">
        <f t="shared" si="4"/>
        <v>2.3599999999999994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21">
        <v>802.65</v>
      </c>
      <c r="Y119" s="4">
        <v>0</v>
      </c>
      <c r="Z119" s="19">
        <v>99.46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</row>
    <row r="120" spans="1:32" x14ac:dyDescent="0.3">
      <c r="A120" s="6">
        <v>45410</v>
      </c>
      <c r="B120" s="3" t="s">
        <v>36</v>
      </c>
      <c r="C120" s="8">
        <v>30</v>
      </c>
      <c r="D120" s="9">
        <v>10</v>
      </c>
      <c r="E120" s="10" t="s">
        <v>33</v>
      </c>
      <c r="F120" s="11">
        <v>122</v>
      </c>
      <c r="G120" s="9">
        <v>1.3</v>
      </c>
      <c r="H120" s="10" t="s">
        <v>35</v>
      </c>
      <c r="I120" s="16" t="s">
        <v>34</v>
      </c>
      <c r="J120" s="17">
        <v>24</v>
      </c>
      <c r="K120" s="17">
        <v>0</v>
      </c>
      <c r="L120" s="17">
        <v>0</v>
      </c>
      <c r="M120" s="19">
        <f t="shared" si="5"/>
        <v>0</v>
      </c>
      <c r="N120" s="4">
        <v>0</v>
      </c>
      <c r="O120" s="19">
        <f t="shared" si="4"/>
        <v>2.3599999999999994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21">
        <v>802.65</v>
      </c>
      <c r="Y120" s="4">
        <v>0</v>
      </c>
      <c r="Z120" s="19">
        <v>97.1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</row>
    <row r="121" spans="1:32" x14ac:dyDescent="0.3">
      <c r="A121" s="6">
        <v>45411</v>
      </c>
      <c r="B121" s="3" t="s">
        <v>36</v>
      </c>
      <c r="C121" s="8">
        <v>30</v>
      </c>
      <c r="D121" s="9">
        <v>10</v>
      </c>
      <c r="E121" s="10" t="s">
        <v>33</v>
      </c>
      <c r="F121" s="11">
        <v>122</v>
      </c>
      <c r="G121" s="9">
        <v>1.3</v>
      </c>
      <c r="H121" s="10" t="s">
        <v>35</v>
      </c>
      <c r="I121" s="16" t="s">
        <v>34</v>
      </c>
      <c r="J121" s="17">
        <v>24</v>
      </c>
      <c r="K121" s="17">
        <v>0</v>
      </c>
      <c r="L121" s="17">
        <v>0</v>
      </c>
      <c r="M121" s="19">
        <f t="shared" si="5"/>
        <v>0</v>
      </c>
      <c r="N121" s="4">
        <v>0</v>
      </c>
      <c r="O121" s="19">
        <f t="shared" si="4"/>
        <v>1.3999999999999915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21">
        <v>802.65</v>
      </c>
      <c r="Y121" s="4">
        <v>0</v>
      </c>
      <c r="Z121" s="19">
        <v>95.7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</row>
    <row r="122" spans="1:32" x14ac:dyDescent="0.3">
      <c r="A122" s="6">
        <v>45412</v>
      </c>
      <c r="B122" s="3" t="s">
        <v>36</v>
      </c>
      <c r="C122" s="8">
        <v>30</v>
      </c>
      <c r="D122" s="9">
        <v>10</v>
      </c>
      <c r="E122" s="10" t="s">
        <v>33</v>
      </c>
      <c r="F122" s="11">
        <v>122</v>
      </c>
      <c r="G122" s="9">
        <v>1.3</v>
      </c>
      <c r="H122" s="10" t="s">
        <v>35</v>
      </c>
      <c r="I122" s="16" t="s">
        <v>34</v>
      </c>
      <c r="J122" s="17">
        <v>24</v>
      </c>
      <c r="K122" s="17">
        <v>0</v>
      </c>
      <c r="L122" s="17">
        <v>0</v>
      </c>
      <c r="M122" s="19">
        <f t="shared" si="5"/>
        <v>0</v>
      </c>
      <c r="N122" s="4">
        <v>0</v>
      </c>
      <c r="O122" s="19">
        <f t="shared" si="4"/>
        <v>4.1899999999999977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21">
        <v>802.65</v>
      </c>
      <c r="Y122" s="4">
        <v>0</v>
      </c>
      <c r="Z122" s="19">
        <v>91.51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</row>
    <row r="123" spans="1:32" x14ac:dyDescent="0.3">
      <c r="A123" s="6">
        <v>45413</v>
      </c>
      <c r="B123" s="3" t="s">
        <v>36</v>
      </c>
      <c r="C123" s="8">
        <v>30</v>
      </c>
      <c r="D123" s="9">
        <v>10</v>
      </c>
      <c r="E123" s="10" t="s">
        <v>33</v>
      </c>
      <c r="F123" s="11">
        <v>122</v>
      </c>
      <c r="G123" s="9">
        <v>1.3</v>
      </c>
      <c r="H123" s="10" t="s">
        <v>35</v>
      </c>
      <c r="I123" s="16" t="s">
        <v>34</v>
      </c>
      <c r="J123" s="17">
        <v>24</v>
      </c>
      <c r="K123" s="17">
        <v>0</v>
      </c>
      <c r="L123" s="17">
        <v>0</v>
      </c>
      <c r="M123" s="19">
        <f t="shared" si="5"/>
        <v>0</v>
      </c>
      <c r="N123" s="4">
        <v>0</v>
      </c>
      <c r="O123" s="19">
        <f t="shared" si="4"/>
        <v>9.0900000000000034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21">
        <v>802.65</v>
      </c>
      <c r="Y123" s="4">
        <v>0</v>
      </c>
      <c r="Z123" s="19">
        <v>82.42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</row>
    <row r="124" spans="1:32" x14ac:dyDescent="0.3">
      <c r="A124" s="6">
        <v>45414</v>
      </c>
      <c r="B124" s="3" t="s">
        <v>36</v>
      </c>
      <c r="C124" s="8">
        <v>30</v>
      </c>
      <c r="D124" s="9">
        <v>10</v>
      </c>
      <c r="E124" s="10" t="s">
        <v>33</v>
      </c>
      <c r="F124" s="11">
        <v>122</v>
      </c>
      <c r="G124" s="9">
        <v>1.3</v>
      </c>
      <c r="H124" s="10" t="s">
        <v>35</v>
      </c>
      <c r="I124" s="16" t="s">
        <v>34</v>
      </c>
      <c r="J124" s="17">
        <v>24</v>
      </c>
      <c r="K124" s="17">
        <v>0</v>
      </c>
      <c r="L124" s="17">
        <v>0</v>
      </c>
      <c r="M124" s="19">
        <f t="shared" si="5"/>
        <v>0</v>
      </c>
      <c r="N124" s="4">
        <v>0</v>
      </c>
      <c r="O124" s="19">
        <f t="shared" si="4"/>
        <v>2.0799999999999983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21">
        <v>802.65</v>
      </c>
      <c r="Y124" s="4">
        <v>0</v>
      </c>
      <c r="Z124" s="19">
        <v>80.34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</row>
    <row r="125" spans="1:32" x14ac:dyDescent="0.3">
      <c r="A125" s="6">
        <v>45415</v>
      </c>
      <c r="B125" s="3" t="s">
        <v>36</v>
      </c>
      <c r="C125" s="8">
        <v>27</v>
      </c>
      <c r="D125" s="9">
        <v>18.2</v>
      </c>
      <c r="E125" s="10" t="s">
        <v>33</v>
      </c>
      <c r="F125" s="11">
        <v>121</v>
      </c>
      <c r="G125" s="9">
        <v>48.5</v>
      </c>
      <c r="H125" s="10" t="s">
        <v>35</v>
      </c>
      <c r="I125" s="16" t="s">
        <v>34</v>
      </c>
      <c r="J125" s="17">
        <v>24</v>
      </c>
      <c r="K125" s="17">
        <v>15.5</v>
      </c>
      <c r="L125" s="17">
        <v>217</v>
      </c>
      <c r="M125" s="19">
        <f t="shared" si="5"/>
        <v>0.60000000000002274</v>
      </c>
      <c r="N125" s="4">
        <v>0</v>
      </c>
      <c r="O125" s="19">
        <f t="shared" si="4"/>
        <v>17.060000000000002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19">
        <v>802.05</v>
      </c>
      <c r="Y125" s="4">
        <v>0</v>
      </c>
      <c r="Z125" s="19">
        <v>63.28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</row>
    <row r="126" spans="1:32" x14ac:dyDescent="0.3">
      <c r="A126" s="6">
        <v>45416</v>
      </c>
      <c r="B126" s="3" t="s">
        <v>36</v>
      </c>
      <c r="C126" s="8">
        <v>22</v>
      </c>
      <c r="D126" s="9">
        <v>1.4</v>
      </c>
      <c r="E126" s="10" t="s">
        <v>33</v>
      </c>
      <c r="F126" s="11">
        <v>119</v>
      </c>
      <c r="G126" s="9">
        <v>47.65</v>
      </c>
      <c r="H126" s="10" t="s">
        <v>35</v>
      </c>
      <c r="I126" s="16" t="s">
        <v>34</v>
      </c>
      <c r="J126" s="17">
        <v>24</v>
      </c>
      <c r="K126" s="17">
        <v>24</v>
      </c>
      <c r="L126" s="17">
        <v>336</v>
      </c>
      <c r="M126" s="19">
        <f t="shared" si="5"/>
        <v>6.0099999999999909</v>
      </c>
      <c r="N126" s="4">
        <v>0</v>
      </c>
      <c r="O126" s="19">
        <f t="shared" si="4"/>
        <v>17.82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19">
        <v>796.04</v>
      </c>
      <c r="Y126" s="4">
        <v>0</v>
      </c>
      <c r="Z126" s="19">
        <v>45.46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</row>
    <row r="127" spans="1:32" x14ac:dyDescent="0.3">
      <c r="A127" s="6">
        <v>45417</v>
      </c>
      <c r="B127" s="3" t="s">
        <v>36</v>
      </c>
      <c r="C127" s="8">
        <v>18</v>
      </c>
      <c r="D127" s="9">
        <v>29.6</v>
      </c>
      <c r="E127" s="10" t="s">
        <v>33</v>
      </c>
      <c r="F127" s="11">
        <v>119</v>
      </c>
      <c r="G127" s="9">
        <v>37.5</v>
      </c>
      <c r="H127" s="10" t="s">
        <v>35</v>
      </c>
      <c r="I127" s="16" t="s">
        <v>34</v>
      </c>
      <c r="J127" s="17">
        <v>24</v>
      </c>
      <c r="K127" s="17">
        <v>24</v>
      </c>
      <c r="L127" s="17">
        <v>248</v>
      </c>
      <c r="M127" s="19">
        <f t="shared" si="5"/>
        <v>19.189999999999941</v>
      </c>
      <c r="N127" s="4">
        <v>0</v>
      </c>
      <c r="O127" s="19">
        <f t="shared" si="4"/>
        <v>1.6899999999999977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19">
        <v>776.85</v>
      </c>
      <c r="Y127" s="4">
        <v>0</v>
      </c>
      <c r="Z127" s="19">
        <v>43.77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</row>
    <row r="128" spans="1:32" x14ac:dyDescent="0.3">
      <c r="A128" s="6">
        <v>45418</v>
      </c>
      <c r="B128" s="3" t="s">
        <v>36</v>
      </c>
      <c r="C128" s="8">
        <v>12</v>
      </c>
      <c r="D128" s="9">
        <v>36.299999999999997</v>
      </c>
      <c r="E128" s="10" t="s">
        <v>33</v>
      </c>
      <c r="F128" s="11">
        <v>120</v>
      </c>
      <c r="G128" s="9">
        <v>16.600000000000001</v>
      </c>
      <c r="H128" s="10" t="s">
        <v>35</v>
      </c>
      <c r="I128" s="16" t="s">
        <v>34</v>
      </c>
      <c r="J128" s="17">
        <v>24</v>
      </c>
      <c r="K128" s="17">
        <v>24</v>
      </c>
      <c r="L128" s="17">
        <v>357</v>
      </c>
      <c r="M128" s="19">
        <f t="shared" si="5"/>
        <v>20.220000000000027</v>
      </c>
      <c r="N128" s="4">
        <v>0</v>
      </c>
      <c r="O128" s="19">
        <f t="shared" si="4"/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19">
        <v>756.63</v>
      </c>
      <c r="Y128" s="4">
        <v>0</v>
      </c>
      <c r="Z128" s="19">
        <v>43.77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</row>
    <row r="129" spans="1:32" x14ac:dyDescent="0.3">
      <c r="A129" s="6">
        <v>45419</v>
      </c>
      <c r="B129" s="3" t="s">
        <v>36</v>
      </c>
      <c r="C129" s="8">
        <v>6</v>
      </c>
      <c r="D129" s="9">
        <v>54.2</v>
      </c>
      <c r="E129" s="10" t="s">
        <v>33</v>
      </c>
      <c r="F129" s="11">
        <v>120</v>
      </c>
      <c r="G129" s="9">
        <v>4.9000000000000004</v>
      </c>
      <c r="H129" s="10" t="s">
        <v>35</v>
      </c>
      <c r="I129" s="16" t="s">
        <v>34</v>
      </c>
      <c r="J129" s="17">
        <v>24</v>
      </c>
      <c r="K129" s="17">
        <v>24</v>
      </c>
      <c r="L129" s="17">
        <v>354</v>
      </c>
      <c r="M129" s="19">
        <f t="shared" si="5"/>
        <v>14.5</v>
      </c>
      <c r="N129" s="4">
        <v>0</v>
      </c>
      <c r="O129" s="19">
        <f t="shared" si="4"/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19">
        <v>742.13</v>
      </c>
      <c r="Y129" s="4">
        <v>0</v>
      </c>
      <c r="Z129" s="19">
        <v>43.77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</row>
    <row r="130" spans="1:32" x14ac:dyDescent="0.3">
      <c r="A130" s="6">
        <v>45420</v>
      </c>
      <c r="B130" s="3" t="s">
        <v>36</v>
      </c>
      <c r="C130" s="8">
        <v>1</v>
      </c>
      <c r="D130" s="9">
        <v>20.399999999999999</v>
      </c>
      <c r="E130" s="10" t="s">
        <v>33</v>
      </c>
      <c r="F130" s="11">
        <v>119</v>
      </c>
      <c r="G130" s="9">
        <v>13.38</v>
      </c>
      <c r="H130" s="10" t="s">
        <v>35</v>
      </c>
      <c r="I130" s="16" t="s">
        <v>34</v>
      </c>
      <c r="J130" s="17">
        <v>24</v>
      </c>
      <c r="K130" s="17">
        <v>24</v>
      </c>
      <c r="L130" s="17">
        <v>335</v>
      </c>
      <c r="M130" s="19">
        <f>X129-X130</f>
        <v>6.8899999999999864</v>
      </c>
      <c r="N130" s="4">
        <v>0</v>
      </c>
      <c r="O130" s="19">
        <f>Z129-Z130</f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19">
        <v>735.24</v>
      </c>
      <c r="Y130" s="4">
        <v>0</v>
      </c>
      <c r="Z130" s="19">
        <v>43.77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</row>
    <row r="131" spans="1:32" x14ac:dyDescent="0.3">
      <c r="A131" s="6">
        <v>45421</v>
      </c>
      <c r="B131" s="3" t="s">
        <v>36</v>
      </c>
      <c r="C131" s="8">
        <v>0</v>
      </c>
      <c r="D131" s="9">
        <v>10.7</v>
      </c>
      <c r="E131" s="10" t="s">
        <v>33</v>
      </c>
      <c r="F131" s="11">
        <v>117</v>
      </c>
      <c r="G131" s="9">
        <v>30.1</v>
      </c>
      <c r="H131" s="10" t="s">
        <v>35</v>
      </c>
      <c r="I131" s="16" t="s">
        <v>34</v>
      </c>
      <c r="J131" s="17">
        <v>24</v>
      </c>
      <c r="K131" s="17">
        <v>9.3000000000000007</v>
      </c>
      <c r="L131" s="17">
        <v>101</v>
      </c>
      <c r="M131" s="19">
        <f t="shared" si="5"/>
        <v>5.8600000000000136</v>
      </c>
      <c r="N131" s="4">
        <v>0</v>
      </c>
      <c r="O131" s="19">
        <f t="shared" si="4"/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19">
        <v>729.38</v>
      </c>
      <c r="Y131" s="4">
        <v>0</v>
      </c>
      <c r="Z131" s="19">
        <v>43.77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</row>
    <row r="132" spans="1:32" x14ac:dyDescent="0.3">
      <c r="A132" s="6">
        <v>45422</v>
      </c>
      <c r="B132" s="3" t="s">
        <v>36</v>
      </c>
      <c r="C132" s="8">
        <v>0</v>
      </c>
      <c r="D132" s="9">
        <v>25</v>
      </c>
      <c r="E132" s="10" t="s">
        <v>33</v>
      </c>
      <c r="F132" s="11">
        <v>118</v>
      </c>
      <c r="G132" s="9">
        <v>20.8</v>
      </c>
      <c r="H132" s="10" t="s">
        <v>35</v>
      </c>
      <c r="I132" s="16" t="s">
        <v>34</v>
      </c>
      <c r="J132" s="17">
        <v>24</v>
      </c>
      <c r="K132" s="17">
        <v>0</v>
      </c>
      <c r="L132" s="17">
        <v>0</v>
      </c>
      <c r="M132" s="19">
        <f t="shared" si="5"/>
        <v>6.7000000000000455</v>
      </c>
      <c r="N132" s="4">
        <v>0</v>
      </c>
      <c r="O132" s="19">
        <f t="shared" si="4"/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19">
        <v>722.68</v>
      </c>
      <c r="Y132" s="4">
        <v>0</v>
      </c>
      <c r="Z132" s="19">
        <v>43.77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</row>
    <row r="133" spans="1:32" x14ac:dyDescent="0.3">
      <c r="A133" s="6">
        <v>45423</v>
      </c>
      <c r="B133" s="3" t="s">
        <v>36</v>
      </c>
      <c r="C133" s="8">
        <v>0</v>
      </c>
      <c r="D133" s="9">
        <v>0.9</v>
      </c>
      <c r="E133" s="10" t="s">
        <v>33</v>
      </c>
      <c r="F133" s="11">
        <v>118</v>
      </c>
      <c r="G133" s="9">
        <v>8</v>
      </c>
      <c r="H133" s="10" t="s">
        <v>35</v>
      </c>
      <c r="I133" s="16" t="s">
        <v>34</v>
      </c>
      <c r="J133" s="17">
        <v>24</v>
      </c>
      <c r="K133" s="17">
        <v>0</v>
      </c>
      <c r="L133" s="17">
        <v>0</v>
      </c>
      <c r="M133" s="19">
        <f t="shared" si="5"/>
        <v>3.0199999999999818</v>
      </c>
      <c r="N133" s="4">
        <v>0</v>
      </c>
      <c r="O133" s="19">
        <f t="shared" si="4"/>
        <v>0.75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19">
        <v>719.66</v>
      </c>
      <c r="Y133" s="4">
        <v>0</v>
      </c>
      <c r="Z133" s="19">
        <v>43.02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</row>
    <row r="134" spans="1:32" x14ac:dyDescent="0.3">
      <c r="A134" s="6">
        <v>45424</v>
      </c>
      <c r="B134" s="3" t="s">
        <v>36</v>
      </c>
      <c r="C134" s="8">
        <v>0</v>
      </c>
      <c r="D134" s="9">
        <v>8.6999999999999993</v>
      </c>
      <c r="E134" s="10" t="s">
        <v>33</v>
      </c>
      <c r="F134" s="11">
        <v>117</v>
      </c>
      <c r="G134" s="9">
        <v>32.700000000000003</v>
      </c>
      <c r="H134" s="10" t="s">
        <v>35</v>
      </c>
      <c r="I134" s="16" t="s">
        <v>34</v>
      </c>
      <c r="J134" s="17">
        <v>24</v>
      </c>
      <c r="K134" s="17">
        <v>0</v>
      </c>
      <c r="L134" s="17">
        <v>0</v>
      </c>
      <c r="M134" s="19">
        <f t="shared" si="5"/>
        <v>11.829999999999927</v>
      </c>
      <c r="N134" s="4">
        <v>0</v>
      </c>
      <c r="O134" s="19">
        <f t="shared" si="4"/>
        <v>0.62000000000000455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19">
        <v>707.83</v>
      </c>
      <c r="Y134" s="4">
        <v>0</v>
      </c>
      <c r="Z134" s="19">
        <v>42.4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</row>
    <row r="135" spans="1:32" x14ac:dyDescent="0.3">
      <c r="A135" s="6">
        <v>45425</v>
      </c>
      <c r="B135" s="3" t="s">
        <v>36</v>
      </c>
      <c r="C135" s="8">
        <v>0</v>
      </c>
      <c r="D135" s="9">
        <v>10.7</v>
      </c>
      <c r="E135" s="10" t="s">
        <v>33</v>
      </c>
      <c r="F135" s="11">
        <v>117</v>
      </c>
      <c r="G135" s="9">
        <v>30.1</v>
      </c>
      <c r="H135" s="10" t="s">
        <v>35</v>
      </c>
      <c r="I135" s="16" t="s">
        <v>34</v>
      </c>
      <c r="J135" s="17">
        <v>24</v>
      </c>
      <c r="K135" s="17">
        <v>0</v>
      </c>
      <c r="L135" s="17">
        <v>0</v>
      </c>
      <c r="M135" s="19">
        <f t="shared" si="5"/>
        <v>4.5400000000000773</v>
      </c>
      <c r="N135" s="4">
        <v>0</v>
      </c>
      <c r="O135" s="19">
        <f t="shared" si="4"/>
        <v>0.72999999999999687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19">
        <v>703.29</v>
      </c>
      <c r="Y135" s="4">
        <v>0</v>
      </c>
      <c r="Z135" s="19">
        <v>41.67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</row>
    <row r="136" spans="1:32" x14ac:dyDescent="0.3">
      <c r="A136" s="6">
        <v>45426</v>
      </c>
      <c r="B136" s="3" t="s">
        <v>36</v>
      </c>
      <c r="C136" s="8">
        <v>2</v>
      </c>
      <c r="D136" s="9">
        <v>13.7</v>
      </c>
      <c r="E136" s="10" t="s">
        <v>37</v>
      </c>
      <c r="F136" s="11">
        <v>118</v>
      </c>
      <c r="G136" s="9">
        <v>23.5</v>
      </c>
      <c r="H136" s="10" t="s">
        <v>35</v>
      </c>
      <c r="I136" s="16" t="s">
        <v>34</v>
      </c>
      <c r="J136" s="17">
        <v>24</v>
      </c>
      <c r="K136" s="17">
        <v>10.9</v>
      </c>
      <c r="L136" s="17">
        <v>150</v>
      </c>
      <c r="M136" s="19">
        <f t="shared" si="5"/>
        <v>9.3299999999999272</v>
      </c>
      <c r="N136" s="4">
        <v>0</v>
      </c>
      <c r="O136" s="19">
        <f t="shared" si="4"/>
        <v>0.57000000000000028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19">
        <v>693.96</v>
      </c>
      <c r="Y136" s="4">
        <v>0</v>
      </c>
      <c r="Z136" s="19">
        <v>41.1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</row>
    <row r="137" spans="1:32" x14ac:dyDescent="0.3">
      <c r="A137" s="6">
        <v>45427</v>
      </c>
      <c r="B137" s="3" t="s">
        <v>36</v>
      </c>
      <c r="C137" s="8">
        <v>5</v>
      </c>
      <c r="D137" s="9">
        <v>54.5</v>
      </c>
      <c r="E137" s="10" t="s">
        <v>37</v>
      </c>
      <c r="F137" s="11">
        <v>120</v>
      </c>
      <c r="G137" s="9">
        <v>45.3</v>
      </c>
      <c r="H137" s="10" t="s">
        <v>35</v>
      </c>
      <c r="I137" s="16" t="s">
        <v>34</v>
      </c>
      <c r="J137" s="17">
        <v>24</v>
      </c>
      <c r="K137" s="17">
        <v>24</v>
      </c>
      <c r="L137" s="17">
        <v>323</v>
      </c>
      <c r="M137" s="19">
        <f t="shared" si="5"/>
        <v>20.090000000000032</v>
      </c>
      <c r="N137" s="4">
        <v>0</v>
      </c>
      <c r="O137" s="19">
        <f t="shared" si="4"/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19">
        <v>673.87</v>
      </c>
      <c r="Y137" s="4">
        <v>0</v>
      </c>
      <c r="Z137" s="19">
        <v>41.1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</row>
    <row r="138" spans="1:32" x14ac:dyDescent="0.3">
      <c r="A138" s="6">
        <v>45428</v>
      </c>
      <c r="B138" s="3" t="s">
        <v>36</v>
      </c>
      <c r="C138" s="8">
        <v>7</v>
      </c>
      <c r="D138" s="9">
        <v>42.3</v>
      </c>
      <c r="E138" s="10" t="s">
        <v>37</v>
      </c>
      <c r="F138" s="11">
        <v>124</v>
      </c>
      <c r="G138" s="9">
        <v>26</v>
      </c>
      <c r="H138" s="10" t="s">
        <v>35</v>
      </c>
      <c r="I138" s="16" t="s">
        <v>34</v>
      </c>
      <c r="J138" s="17">
        <v>24</v>
      </c>
      <c r="K138" s="17">
        <v>24</v>
      </c>
      <c r="L138" s="17">
        <v>253</v>
      </c>
      <c r="M138" s="19">
        <f t="shared" si="5"/>
        <v>17.460000000000036</v>
      </c>
      <c r="N138" s="4">
        <v>0</v>
      </c>
      <c r="O138" s="19">
        <f t="shared" si="4"/>
        <v>0.19000000000000483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19">
        <v>656.41</v>
      </c>
      <c r="Y138" s="4">
        <v>0</v>
      </c>
      <c r="Z138" s="19">
        <v>40.909999999999997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</row>
    <row r="139" spans="1:32" x14ac:dyDescent="0.3">
      <c r="A139" s="6">
        <v>45429</v>
      </c>
      <c r="B139" s="3" t="s">
        <v>36</v>
      </c>
      <c r="C139" s="8">
        <v>8</v>
      </c>
      <c r="D139" s="9">
        <v>40.299999999999997</v>
      </c>
      <c r="E139" s="10" t="s">
        <v>37</v>
      </c>
      <c r="F139" s="11">
        <v>129</v>
      </c>
      <c r="G139" s="9">
        <v>19.399999999999999</v>
      </c>
      <c r="H139" s="10" t="s">
        <v>35</v>
      </c>
      <c r="I139" s="16" t="s">
        <v>34</v>
      </c>
      <c r="J139" s="17">
        <v>24</v>
      </c>
      <c r="K139" s="17">
        <v>23</v>
      </c>
      <c r="L139" s="17">
        <v>296</v>
      </c>
      <c r="M139" s="19">
        <f t="shared" si="5"/>
        <v>17.049999999999955</v>
      </c>
      <c r="N139" s="4">
        <v>0</v>
      </c>
      <c r="O139" s="19">
        <f t="shared" si="4"/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19">
        <v>639.36</v>
      </c>
      <c r="Y139" s="4">
        <v>0</v>
      </c>
      <c r="Z139" s="19">
        <v>40.909999999999997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</row>
    <row r="140" spans="1:32" x14ac:dyDescent="0.3">
      <c r="A140" s="6">
        <v>45430</v>
      </c>
      <c r="B140" s="3" t="s">
        <v>36</v>
      </c>
      <c r="C140" s="8">
        <v>9</v>
      </c>
      <c r="D140" s="9">
        <v>23.8</v>
      </c>
      <c r="E140" s="10" t="s">
        <v>37</v>
      </c>
      <c r="F140" s="11">
        <v>133</v>
      </c>
      <c r="G140" s="9">
        <v>47.9</v>
      </c>
      <c r="H140" s="10" t="s">
        <v>35</v>
      </c>
      <c r="I140" s="16" t="s">
        <v>34</v>
      </c>
      <c r="J140" s="17">
        <v>24</v>
      </c>
      <c r="K140" s="17">
        <v>24</v>
      </c>
      <c r="L140" s="17">
        <v>270</v>
      </c>
      <c r="M140" s="19">
        <f t="shared" si="5"/>
        <v>19.330000000000041</v>
      </c>
      <c r="N140" s="4">
        <v>0</v>
      </c>
      <c r="O140" s="19">
        <f t="shared" si="4"/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19">
        <v>620.03</v>
      </c>
      <c r="Y140" s="4">
        <v>0</v>
      </c>
      <c r="Z140" s="19">
        <v>40.909999999999997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</row>
    <row r="141" spans="1:32" x14ac:dyDescent="0.3">
      <c r="A141" s="6">
        <v>45431</v>
      </c>
      <c r="B141" s="3" t="s">
        <v>36</v>
      </c>
      <c r="C141" s="8">
        <v>10</v>
      </c>
      <c r="D141" s="9">
        <v>4.0999999999999996</v>
      </c>
      <c r="E141" s="10" t="s">
        <v>37</v>
      </c>
      <c r="F141" s="11">
        <v>137</v>
      </c>
      <c r="G141" s="9">
        <v>49.8</v>
      </c>
      <c r="H141" s="10" t="s">
        <v>35</v>
      </c>
      <c r="I141" s="16" t="s">
        <v>34</v>
      </c>
      <c r="J141" s="17">
        <v>24</v>
      </c>
      <c r="K141" s="17">
        <v>23</v>
      </c>
      <c r="L141" s="17">
        <v>242</v>
      </c>
      <c r="M141" s="19">
        <f t="shared" si="5"/>
        <v>18.029999999999973</v>
      </c>
      <c r="N141" s="4">
        <v>0</v>
      </c>
      <c r="O141" s="19">
        <f t="shared" si="4"/>
        <v>4.9999999999997158E-2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19">
        <v>602</v>
      </c>
      <c r="Y141" s="4">
        <v>0</v>
      </c>
      <c r="Z141" s="19">
        <v>40.86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</row>
    <row r="142" spans="1:32" x14ac:dyDescent="0.3">
      <c r="A142" s="6">
        <v>45432</v>
      </c>
      <c r="B142" s="3" t="s">
        <v>36</v>
      </c>
      <c r="C142" s="8">
        <v>10</v>
      </c>
      <c r="D142" s="9">
        <v>30.6</v>
      </c>
      <c r="E142" s="10" t="s">
        <v>37</v>
      </c>
      <c r="F142" s="11">
        <v>142</v>
      </c>
      <c r="G142" s="9">
        <v>12.7</v>
      </c>
      <c r="H142" s="10" t="s">
        <v>35</v>
      </c>
      <c r="I142" s="16" t="s">
        <v>34</v>
      </c>
      <c r="J142" s="17">
        <v>24</v>
      </c>
      <c r="K142" s="17">
        <v>24</v>
      </c>
      <c r="L142" s="17">
        <v>265</v>
      </c>
      <c r="M142" s="19">
        <f t="shared" si="5"/>
        <v>19.230000000000018</v>
      </c>
      <c r="N142" s="4">
        <v>0</v>
      </c>
      <c r="O142" s="19">
        <f t="shared" si="4"/>
        <v>0.20000000000000284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19">
        <v>582.77</v>
      </c>
      <c r="Y142" s="4">
        <v>0</v>
      </c>
      <c r="Z142" s="19">
        <v>40.659999999999997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</row>
    <row r="143" spans="1:32" x14ac:dyDescent="0.3">
      <c r="A143" s="6">
        <v>45433</v>
      </c>
      <c r="B143" s="3" t="s">
        <v>36</v>
      </c>
      <c r="C143" s="8">
        <v>14</v>
      </c>
      <c r="D143" s="9">
        <v>10.199999999999999</v>
      </c>
      <c r="E143" s="10" t="s">
        <v>37</v>
      </c>
      <c r="F143" s="11">
        <v>144</v>
      </c>
      <c r="G143" s="9">
        <v>34.1</v>
      </c>
      <c r="H143" s="10" t="s">
        <v>35</v>
      </c>
      <c r="I143" s="16" t="s">
        <v>34</v>
      </c>
      <c r="J143" s="17">
        <v>24</v>
      </c>
      <c r="K143" s="17">
        <v>24</v>
      </c>
      <c r="L143" s="17">
        <v>277</v>
      </c>
      <c r="M143" s="19">
        <f t="shared" si="5"/>
        <v>19.149999999999977</v>
      </c>
      <c r="N143" s="4">
        <v>0</v>
      </c>
      <c r="O143" s="19">
        <f t="shared" si="4"/>
        <v>0.25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19">
        <v>563.62</v>
      </c>
      <c r="Y143" s="4">
        <v>0</v>
      </c>
      <c r="Z143" s="19">
        <v>40.409999999999997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</row>
    <row r="144" spans="1:32" x14ac:dyDescent="0.3">
      <c r="A144" s="6">
        <v>45434</v>
      </c>
      <c r="B144" s="3" t="s">
        <v>36</v>
      </c>
      <c r="C144" s="8">
        <v>18</v>
      </c>
      <c r="D144" s="9">
        <v>9.9</v>
      </c>
      <c r="E144" s="10" t="s">
        <v>37</v>
      </c>
      <c r="F144" s="11">
        <v>146</v>
      </c>
      <c r="G144" s="9">
        <v>24.3</v>
      </c>
      <c r="H144" s="10" t="s">
        <v>35</v>
      </c>
      <c r="I144" s="16" t="s">
        <v>34</v>
      </c>
      <c r="J144" s="17">
        <v>24</v>
      </c>
      <c r="K144" s="17">
        <v>24</v>
      </c>
      <c r="L144" s="17">
        <v>276</v>
      </c>
      <c r="M144" s="19">
        <f t="shared" si="5"/>
        <v>18.919999999999959</v>
      </c>
      <c r="N144" s="4">
        <v>0</v>
      </c>
      <c r="O144" s="19">
        <f t="shared" si="4"/>
        <v>0.25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19">
        <v>544.70000000000005</v>
      </c>
      <c r="Y144" s="4">
        <v>0</v>
      </c>
      <c r="Z144" s="19">
        <v>40.159999999999997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</row>
    <row r="145" spans="1:32" x14ac:dyDescent="0.3">
      <c r="A145" s="6">
        <v>45435</v>
      </c>
      <c r="B145" s="3" t="s">
        <v>36</v>
      </c>
      <c r="C145" s="8">
        <v>21</v>
      </c>
      <c r="D145" s="9">
        <v>14.2</v>
      </c>
      <c r="E145" s="10" t="s">
        <v>37</v>
      </c>
      <c r="F145" s="11">
        <v>150</v>
      </c>
      <c r="G145" s="9">
        <v>49.5</v>
      </c>
      <c r="H145" s="10" t="s">
        <v>35</v>
      </c>
      <c r="I145" s="16" t="s">
        <v>34</v>
      </c>
      <c r="J145" s="17">
        <v>24</v>
      </c>
      <c r="K145" s="17">
        <v>24</v>
      </c>
      <c r="L145" s="17">
        <v>285</v>
      </c>
      <c r="M145" s="19">
        <f t="shared" si="5"/>
        <v>16.520000000000095</v>
      </c>
      <c r="N145" s="4">
        <v>0</v>
      </c>
      <c r="O145" s="19">
        <f t="shared" si="4"/>
        <v>0.25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19">
        <v>528.17999999999995</v>
      </c>
      <c r="Y145" s="4">
        <v>0</v>
      </c>
      <c r="Z145" s="19">
        <v>39.909999999999997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</row>
    <row r="146" spans="1:32" x14ac:dyDescent="0.3">
      <c r="A146" s="6">
        <v>45436</v>
      </c>
      <c r="B146" s="3" t="s">
        <v>36</v>
      </c>
      <c r="C146" s="8">
        <v>23</v>
      </c>
      <c r="D146" s="9">
        <v>47.1</v>
      </c>
      <c r="E146" s="10" t="s">
        <v>37</v>
      </c>
      <c r="F146" s="11">
        <v>151</v>
      </c>
      <c r="G146" s="9">
        <v>10.4</v>
      </c>
      <c r="H146" s="10" t="s">
        <v>35</v>
      </c>
      <c r="I146" s="16" t="s">
        <v>34</v>
      </c>
      <c r="J146" s="17">
        <v>24</v>
      </c>
      <c r="K146" s="17">
        <v>14.6</v>
      </c>
      <c r="L146" s="17">
        <v>173</v>
      </c>
      <c r="M146" s="19">
        <f t="shared" si="5"/>
        <v>14.709999999999923</v>
      </c>
      <c r="N146" s="4">
        <v>0</v>
      </c>
      <c r="O146" s="19">
        <f t="shared" si="4"/>
        <v>0.46999999999999886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19">
        <v>513.47</v>
      </c>
      <c r="Y146" s="4">
        <v>0</v>
      </c>
      <c r="Z146" s="19">
        <v>39.44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</row>
    <row r="147" spans="1:32" x14ac:dyDescent="0.3">
      <c r="A147" s="6">
        <v>45437</v>
      </c>
      <c r="B147" s="3" t="s">
        <v>36</v>
      </c>
      <c r="C147" s="8">
        <v>24</v>
      </c>
      <c r="D147" s="9">
        <v>2.8</v>
      </c>
      <c r="E147" s="10" t="s">
        <v>37</v>
      </c>
      <c r="F147" s="11">
        <v>152</v>
      </c>
      <c r="G147" s="9">
        <v>39.200000000000003</v>
      </c>
      <c r="H147" s="10" t="s">
        <v>35</v>
      </c>
      <c r="I147" s="16" t="s">
        <v>34</v>
      </c>
      <c r="J147" s="17">
        <v>24</v>
      </c>
      <c r="K147" s="17">
        <v>4.8</v>
      </c>
      <c r="L147" s="17">
        <v>57</v>
      </c>
      <c r="M147" s="19">
        <f t="shared" si="5"/>
        <v>7.3700000000000045</v>
      </c>
      <c r="N147" s="4">
        <v>0</v>
      </c>
      <c r="O147" s="19">
        <f t="shared" si="4"/>
        <v>0.83999999999999631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19">
        <v>506.1</v>
      </c>
      <c r="Y147" s="4">
        <v>0</v>
      </c>
      <c r="Z147" s="19">
        <v>38.6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</row>
    <row r="148" spans="1:32" x14ac:dyDescent="0.3">
      <c r="A148" s="6">
        <v>45438</v>
      </c>
      <c r="B148" s="3" t="s">
        <v>36</v>
      </c>
      <c r="C148" s="8">
        <v>28</v>
      </c>
      <c r="D148" s="9">
        <v>50.5</v>
      </c>
      <c r="E148" s="10" t="s">
        <v>37</v>
      </c>
      <c r="F148" s="11">
        <v>153</v>
      </c>
      <c r="G148" s="9">
        <v>46</v>
      </c>
      <c r="H148" s="10" t="s">
        <v>35</v>
      </c>
      <c r="I148" s="16" t="s">
        <v>34</v>
      </c>
      <c r="J148" s="17">
        <v>24</v>
      </c>
      <c r="K148" s="17">
        <v>24</v>
      </c>
      <c r="L148" s="17">
        <v>315</v>
      </c>
      <c r="M148" s="19">
        <f t="shared" si="5"/>
        <v>16.939999999999998</v>
      </c>
      <c r="N148" s="4">
        <v>0</v>
      </c>
      <c r="O148" s="19">
        <f t="shared" si="4"/>
        <v>0.21999999999999886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19">
        <v>489.16</v>
      </c>
      <c r="Y148" s="4">
        <v>0</v>
      </c>
      <c r="Z148" s="19">
        <v>38.380000000000003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</row>
    <row r="149" spans="1:32" x14ac:dyDescent="0.3">
      <c r="A149" s="6">
        <v>45439</v>
      </c>
      <c r="B149" s="3" t="s">
        <v>36</v>
      </c>
      <c r="C149" s="8">
        <v>33</v>
      </c>
      <c r="D149" s="9">
        <v>4.4000000000000004</v>
      </c>
      <c r="E149" s="10" t="s">
        <v>37</v>
      </c>
      <c r="F149" s="11">
        <v>151</v>
      </c>
      <c r="G149" s="9">
        <v>45.9</v>
      </c>
      <c r="H149" s="10" t="s">
        <v>35</v>
      </c>
      <c r="I149" s="16" t="s">
        <v>34</v>
      </c>
      <c r="J149" s="17">
        <v>24</v>
      </c>
      <c r="K149" s="17">
        <v>21.8</v>
      </c>
      <c r="L149" s="17">
        <v>294</v>
      </c>
      <c r="M149" s="19">
        <f t="shared" si="5"/>
        <v>16.420000000000016</v>
      </c>
      <c r="N149" s="4">
        <v>0</v>
      </c>
      <c r="O149" s="19">
        <f t="shared" si="4"/>
        <v>0.3300000000000054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19">
        <v>472.74</v>
      </c>
      <c r="Y149" s="4">
        <v>0</v>
      </c>
      <c r="Z149" s="19">
        <v>38.049999999999997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</row>
    <row r="150" spans="1:32" x14ac:dyDescent="0.3">
      <c r="A150" s="6">
        <v>45440</v>
      </c>
      <c r="B150" s="3" t="s">
        <v>36</v>
      </c>
      <c r="C150" s="8">
        <v>33</v>
      </c>
      <c r="D150" s="9">
        <v>4.3</v>
      </c>
      <c r="E150" s="10" t="s">
        <v>37</v>
      </c>
      <c r="F150" s="11">
        <v>151</v>
      </c>
      <c r="G150" s="9">
        <v>45.1</v>
      </c>
      <c r="H150" s="10" t="s">
        <v>35</v>
      </c>
      <c r="I150" s="16" t="s">
        <v>34</v>
      </c>
      <c r="J150" s="17">
        <v>24</v>
      </c>
      <c r="K150" s="17">
        <v>0</v>
      </c>
      <c r="L150" s="17">
        <v>0</v>
      </c>
      <c r="M150" s="19">
        <f t="shared" si="5"/>
        <v>1.5799999999999841</v>
      </c>
      <c r="N150" s="4">
        <v>0</v>
      </c>
      <c r="O150" s="19">
        <f t="shared" si="4"/>
        <v>0.82000000000000028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19">
        <v>471.16</v>
      </c>
      <c r="Y150" s="4">
        <v>0</v>
      </c>
      <c r="Z150" s="19">
        <v>37.229999999999997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</row>
    <row r="151" spans="1:32" x14ac:dyDescent="0.3">
      <c r="A151" s="6">
        <v>45441</v>
      </c>
      <c r="B151" s="3" t="s">
        <v>36</v>
      </c>
      <c r="C151" s="8">
        <v>33</v>
      </c>
      <c r="D151" s="9">
        <v>4.5</v>
      </c>
      <c r="E151" s="10" t="s">
        <v>37</v>
      </c>
      <c r="F151" s="11">
        <v>151</v>
      </c>
      <c r="G151" s="9">
        <v>45.9</v>
      </c>
      <c r="H151" s="10" t="s">
        <v>35</v>
      </c>
      <c r="I151" s="16" t="s">
        <v>34</v>
      </c>
      <c r="J151" s="17">
        <v>24</v>
      </c>
      <c r="K151" s="17">
        <v>0</v>
      </c>
      <c r="L151" s="17">
        <v>0</v>
      </c>
      <c r="M151" s="19">
        <f t="shared" si="5"/>
        <v>1.7800000000000296</v>
      </c>
      <c r="N151" s="4">
        <v>0</v>
      </c>
      <c r="O151" s="19">
        <f t="shared" si="4"/>
        <v>0.89999999999999858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19">
        <v>469.38</v>
      </c>
      <c r="Y151" s="4">
        <v>0</v>
      </c>
      <c r="Z151" s="19">
        <v>36.33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</row>
    <row r="152" spans="1:32" x14ac:dyDescent="0.3">
      <c r="A152" s="6">
        <v>45442</v>
      </c>
      <c r="B152" s="3" t="s">
        <v>36</v>
      </c>
      <c r="C152" s="8">
        <v>33</v>
      </c>
      <c r="D152" s="9">
        <v>4.0999999999999996</v>
      </c>
      <c r="E152" s="10" t="s">
        <v>37</v>
      </c>
      <c r="F152" s="11">
        <v>151</v>
      </c>
      <c r="G152" s="9">
        <v>45.8</v>
      </c>
      <c r="H152" s="10" t="s">
        <v>35</v>
      </c>
      <c r="I152" s="16" t="s">
        <v>34</v>
      </c>
      <c r="J152" s="17">
        <v>24</v>
      </c>
      <c r="K152" s="17">
        <v>0</v>
      </c>
      <c r="L152" s="17">
        <v>0</v>
      </c>
      <c r="M152" s="19">
        <f t="shared" si="5"/>
        <v>1.9200000000000159</v>
      </c>
      <c r="N152" s="4">
        <v>0</v>
      </c>
      <c r="O152" s="19">
        <f t="shared" si="4"/>
        <v>1.019999999999996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19">
        <v>467.46</v>
      </c>
      <c r="Y152" s="4">
        <v>0</v>
      </c>
      <c r="Z152" s="19">
        <v>35.31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</row>
    <row r="153" spans="1:32" x14ac:dyDescent="0.3">
      <c r="A153" s="6">
        <v>45443</v>
      </c>
      <c r="B153" s="3" t="s">
        <v>36</v>
      </c>
      <c r="C153" s="8">
        <v>33</v>
      </c>
      <c r="D153" s="9">
        <v>4.5999999999999996</v>
      </c>
      <c r="E153" s="10" t="s">
        <v>37</v>
      </c>
      <c r="F153" s="11">
        <v>151</v>
      </c>
      <c r="G153" s="9">
        <v>45.8</v>
      </c>
      <c r="H153" s="10" t="s">
        <v>35</v>
      </c>
      <c r="I153" s="16" t="s">
        <v>34</v>
      </c>
      <c r="J153" s="17">
        <v>24</v>
      </c>
      <c r="K153" s="17">
        <v>0</v>
      </c>
      <c r="L153" s="17">
        <v>0</v>
      </c>
      <c r="M153" s="19">
        <f t="shared" si="5"/>
        <v>4.7599999999999909</v>
      </c>
      <c r="N153" s="4">
        <v>0</v>
      </c>
      <c r="O153" s="19">
        <f t="shared" si="4"/>
        <v>0.69000000000000483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19">
        <v>462.7</v>
      </c>
      <c r="Y153" s="4">
        <v>0</v>
      </c>
      <c r="Z153" s="19">
        <v>34.619999999999997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</row>
    <row r="154" spans="1:32" x14ac:dyDescent="0.3">
      <c r="A154" s="6">
        <v>45444</v>
      </c>
      <c r="B154" s="3" t="s">
        <v>36</v>
      </c>
      <c r="C154" s="8">
        <v>33</v>
      </c>
      <c r="D154" s="9">
        <v>18.100000000000001</v>
      </c>
      <c r="E154" s="10" t="s">
        <v>37</v>
      </c>
      <c r="F154" s="11">
        <v>152</v>
      </c>
      <c r="G154" s="9">
        <v>1.2</v>
      </c>
      <c r="H154" s="10" t="s">
        <v>35</v>
      </c>
      <c r="I154" s="16" t="s">
        <v>34</v>
      </c>
      <c r="J154" s="17">
        <v>24</v>
      </c>
      <c r="K154" s="17">
        <v>0</v>
      </c>
      <c r="L154" s="17">
        <v>0</v>
      </c>
      <c r="M154" s="19">
        <f t="shared" si="5"/>
        <v>6.5500000000000114</v>
      </c>
      <c r="N154" s="4">
        <v>0</v>
      </c>
      <c r="O154" s="19">
        <f t="shared" si="4"/>
        <v>0.89000000000000057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19">
        <v>456.15</v>
      </c>
      <c r="Y154" s="4">
        <v>0</v>
      </c>
      <c r="Z154" s="19">
        <v>33.729999999999997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</row>
    <row r="155" spans="1:32" x14ac:dyDescent="0.3">
      <c r="A155" s="6">
        <v>45445</v>
      </c>
      <c r="B155" s="3" t="s">
        <v>36</v>
      </c>
      <c r="C155" s="8">
        <v>33</v>
      </c>
      <c r="D155" s="9">
        <v>18.2</v>
      </c>
      <c r="E155" s="10" t="s">
        <v>37</v>
      </c>
      <c r="F155" s="11">
        <v>151</v>
      </c>
      <c r="G155" s="9">
        <v>55.7</v>
      </c>
      <c r="H155" s="10" t="s">
        <v>35</v>
      </c>
      <c r="I155" s="16" t="s">
        <v>34</v>
      </c>
      <c r="J155" s="17">
        <v>24</v>
      </c>
      <c r="K155" s="17">
        <v>0</v>
      </c>
      <c r="L155" s="17">
        <v>0</v>
      </c>
      <c r="M155" s="19">
        <f t="shared" si="5"/>
        <v>11.109999999999957</v>
      </c>
      <c r="N155" s="4">
        <v>0</v>
      </c>
      <c r="O155" s="19">
        <f t="shared" si="4"/>
        <v>0.78999999999999915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19">
        <v>445.04</v>
      </c>
      <c r="Y155" s="4">
        <v>0</v>
      </c>
      <c r="Z155" s="19">
        <v>32.94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</row>
    <row r="156" spans="1:32" x14ac:dyDescent="0.3">
      <c r="A156" s="6">
        <v>45446</v>
      </c>
      <c r="B156" s="3" t="s">
        <v>36</v>
      </c>
      <c r="C156" s="8">
        <v>33</v>
      </c>
      <c r="D156" s="9">
        <v>6.1</v>
      </c>
      <c r="E156" s="10" t="s">
        <v>37</v>
      </c>
      <c r="F156" s="11">
        <v>151</v>
      </c>
      <c r="G156" s="9">
        <v>51.5</v>
      </c>
      <c r="H156" s="10" t="s">
        <v>35</v>
      </c>
      <c r="I156" s="16" t="s">
        <v>34</v>
      </c>
      <c r="J156" s="17">
        <v>24</v>
      </c>
      <c r="K156" s="17">
        <v>0</v>
      </c>
      <c r="L156" s="17">
        <v>0</v>
      </c>
      <c r="M156" s="19">
        <f t="shared" si="5"/>
        <v>18.700000000000045</v>
      </c>
      <c r="N156" s="4">
        <v>0</v>
      </c>
      <c r="O156" s="19">
        <f t="shared" si="4"/>
        <v>0.79999999999999716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19">
        <v>426.34</v>
      </c>
      <c r="Y156" s="4">
        <v>0</v>
      </c>
      <c r="Z156" s="19">
        <v>32.14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</row>
    <row r="157" spans="1:32" x14ac:dyDescent="0.3">
      <c r="A157" s="6">
        <v>45447</v>
      </c>
      <c r="B157" s="3" t="s">
        <v>36</v>
      </c>
      <c r="C157" s="8">
        <v>33</v>
      </c>
      <c r="D157" s="9">
        <v>32.4</v>
      </c>
      <c r="E157" s="10" t="s">
        <v>37</v>
      </c>
      <c r="F157" s="11">
        <v>151</v>
      </c>
      <c r="G157" s="9">
        <v>48.9</v>
      </c>
      <c r="H157" s="10" t="s">
        <v>35</v>
      </c>
      <c r="I157" s="16" t="s">
        <v>34</v>
      </c>
      <c r="J157" s="17">
        <v>24</v>
      </c>
      <c r="K157" s="17">
        <v>0</v>
      </c>
      <c r="L157" s="17">
        <v>0</v>
      </c>
      <c r="M157" s="19">
        <f>X156-X157</f>
        <v>-45.240000000000009</v>
      </c>
      <c r="N157" s="4">
        <v>0</v>
      </c>
      <c r="O157" s="19">
        <f t="shared" si="4"/>
        <v>0.82000000000000028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19">
        <v>471.58</v>
      </c>
      <c r="Y157" s="4">
        <v>0</v>
      </c>
      <c r="Z157" s="19">
        <v>31.32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</row>
    <row r="158" spans="1:32" x14ac:dyDescent="0.3">
      <c r="A158" s="6">
        <v>45448</v>
      </c>
      <c r="B158" s="3" t="s">
        <v>36</v>
      </c>
      <c r="C158" s="8">
        <v>33</v>
      </c>
      <c r="D158" s="9">
        <v>18.5</v>
      </c>
      <c r="E158" s="10" t="s">
        <v>37</v>
      </c>
      <c r="F158" s="11">
        <v>151</v>
      </c>
      <c r="G158" s="9">
        <v>55.3</v>
      </c>
      <c r="H158" s="10" t="s">
        <v>35</v>
      </c>
      <c r="I158" s="16" t="s">
        <v>34</v>
      </c>
      <c r="J158" s="17">
        <v>24</v>
      </c>
      <c r="K158" s="17">
        <v>0</v>
      </c>
      <c r="L158" s="17">
        <v>0</v>
      </c>
      <c r="M158" s="19">
        <f t="shared" si="5"/>
        <v>56.789999999999964</v>
      </c>
      <c r="N158" s="4">
        <v>0</v>
      </c>
      <c r="O158" s="19">
        <f t="shared" si="4"/>
        <v>0.80999999999999872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19">
        <v>414.79</v>
      </c>
      <c r="Y158" s="4">
        <v>0</v>
      </c>
      <c r="Z158" s="19">
        <v>30.51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</row>
    <row r="159" spans="1:32" x14ac:dyDescent="0.3">
      <c r="A159" s="6">
        <v>45449</v>
      </c>
      <c r="B159" s="3" t="s">
        <v>36</v>
      </c>
      <c r="C159" s="8">
        <v>33</v>
      </c>
      <c r="D159" s="9">
        <v>20.6</v>
      </c>
      <c r="E159" s="10" t="s">
        <v>37</v>
      </c>
      <c r="F159" s="11">
        <v>151</v>
      </c>
      <c r="G159" s="9">
        <v>52.3</v>
      </c>
      <c r="H159" s="10" t="s">
        <v>35</v>
      </c>
      <c r="I159" s="16" t="s">
        <v>34</v>
      </c>
      <c r="J159" s="17">
        <v>24</v>
      </c>
      <c r="K159" s="17">
        <v>0</v>
      </c>
      <c r="L159" s="17">
        <v>0</v>
      </c>
      <c r="M159" s="19">
        <f t="shared" si="5"/>
        <v>2.5200000000000387</v>
      </c>
      <c r="N159" s="4">
        <v>0</v>
      </c>
      <c r="O159" s="19">
        <f t="shared" si="4"/>
        <v>0.81000000000000227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19">
        <v>412.27</v>
      </c>
      <c r="Y159" s="4">
        <v>0</v>
      </c>
      <c r="Z159" s="19">
        <v>29.7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</row>
    <row r="160" spans="1:32" x14ac:dyDescent="0.3">
      <c r="A160" s="6">
        <v>45450</v>
      </c>
      <c r="B160" s="3" t="s">
        <v>36</v>
      </c>
      <c r="C160" s="8">
        <v>32</v>
      </c>
      <c r="D160" s="9">
        <v>26.1</v>
      </c>
      <c r="E160" s="10" t="s">
        <v>37</v>
      </c>
      <c r="F160" s="11">
        <v>151</v>
      </c>
      <c r="G160" s="9">
        <v>55.1</v>
      </c>
      <c r="H160" s="10" t="s">
        <v>35</v>
      </c>
      <c r="I160" s="16" t="s">
        <v>34</v>
      </c>
      <c r="J160" s="17">
        <v>24</v>
      </c>
      <c r="K160" s="17">
        <v>0</v>
      </c>
      <c r="L160" s="17">
        <v>0</v>
      </c>
      <c r="M160" s="19">
        <f t="shared" si="5"/>
        <v>4.7400000000000091</v>
      </c>
      <c r="N160" s="4">
        <v>0</v>
      </c>
      <c r="O160" s="19">
        <f t="shared" si="4"/>
        <v>0.82999999999999829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19">
        <v>407.53</v>
      </c>
      <c r="Y160" s="4">
        <v>0</v>
      </c>
      <c r="Z160" s="19">
        <v>28.87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</row>
    <row r="161" spans="1:32" x14ac:dyDescent="0.3">
      <c r="A161" s="6">
        <v>45451</v>
      </c>
      <c r="B161" s="3" t="s">
        <v>36</v>
      </c>
      <c r="C161" s="8">
        <v>33</v>
      </c>
      <c r="D161" s="9">
        <v>34.6</v>
      </c>
      <c r="E161" s="10" t="s">
        <v>37</v>
      </c>
      <c r="F161" s="11">
        <v>151</v>
      </c>
      <c r="G161" s="9">
        <v>57.1</v>
      </c>
      <c r="H161" s="10" t="s">
        <v>35</v>
      </c>
      <c r="I161" s="16" t="s">
        <v>34</v>
      </c>
      <c r="J161" s="17">
        <v>24</v>
      </c>
      <c r="K161" s="17">
        <v>0</v>
      </c>
      <c r="L161" s="17">
        <v>0</v>
      </c>
      <c r="M161" s="19">
        <f t="shared" si="5"/>
        <v>5.2799999999999727</v>
      </c>
      <c r="N161" s="4">
        <v>0</v>
      </c>
      <c r="O161" s="19">
        <f t="shared" si="4"/>
        <v>0.83000000000000185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19">
        <v>402.25</v>
      </c>
      <c r="Y161" s="4">
        <v>0</v>
      </c>
      <c r="Z161" s="19">
        <v>28.04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</row>
    <row r="162" spans="1:32" x14ac:dyDescent="0.3">
      <c r="A162" s="6">
        <v>45452</v>
      </c>
      <c r="B162" s="3" t="s">
        <v>36</v>
      </c>
      <c r="C162" s="8">
        <v>33</v>
      </c>
      <c r="D162" s="9">
        <v>25.4</v>
      </c>
      <c r="E162" s="10" t="s">
        <v>37</v>
      </c>
      <c r="F162" s="11">
        <v>151</v>
      </c>
      <c r="G162" s="9">
        <v>16.64</v>
      </c>
      <c r="H162" s="10" t="s">
        <v>35</v>
      </c>
      <c r="I162" s="16" t="s">
        <v>34</v>
      </c>
      <c r="J162" s="17">
        <v>24</v>
      </c>
      <c r="K162" s="17">
        <v>0</v>
      </c>
      <c r="L162" s="17">
        <v>0</v>
      </c>
      <c r="M162" s="19">
        <f t="shared" si="5"/>
        <v>4.4900000000000091</v>
      </c>
      <c r="N162" s="4">
        <v>0</v>
      </c>
      <c r="O162" s="19">
        <f t="shared" si="4"/>
        <v>0.83999999999999986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19">
        <v>397.76</v>
      </c>
      <c r="Y162" s="4">
        <v>0</v>
      </c>
      <c r="Z162" s="19">
        <v>27.2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</row>
    <row r="163" spans="1:32" x14ac:dyDescent="0.3">
      <c r="A163" s="6">
        <v>45453</v>
      </c>
      <c r="B163" s="3" t="s">
        <v>36</v>
      </c>
      <c r="C163" s="8">
        <v>33</v>
      </c>
      <c r="D163" s="9">
        <v>21.3</v>
      </c>
      <c r="E163" s="10" t="s">
        <v>37</v>
      </c>
      <c r="F163" s="11">
        <v>151</v>
      </c>
      <c r="G163" s="9">
        <v>53</v>
      </c>
      <c r="H163" s="10" t="s">
        <v>35</v>
      </c>
      <c r="I163" s="16" t="s">
        <v>34</v>
      </c>
      <c r="J163" s="17">
        <v>24</v>
      </c>
      <c r="K163" s="17">
        <v>0</v>
      </c>
      <c r="L163" s="17">
        <v>0</v>
      </c>
      <c r="M163" s="19">
        <f t="shared" si="5"/>
        <v>2.3600000000000136</v>
      </c>
      <c r="N163" s="4">
        <v>0</v>
      </c>
      <c r="O163" s="19">
        <f t="shared" si="4"/>
        <v>0.82999999999999829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19">
        <v>395.4</v>
      </c>
      <c r="Y163" s="4">
        <v>0</v>
      </c>
      <c r="Z163" s="19">
        <v>26.37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</row>
    <row r="164" spans="1:32" x14ac:dyDescent="0.3">
      <c r="A164" s="6">
        <v>45454</v>
      </c>
      <c r="B164" s="3" t="s">
        <v>36</v>
      </c>
      <c r="C164" s="8">
        <v>33</v>
      </c>
      <c r="D164" s="9">
        <v>30.1</v>
      </c>
      <c r="E164" s="10" t="s">
        <v>37</v>
      </c>
      <c r="F164" s="11">
        <v>151</v>
      </c>
      <c r="G164" s="9">
        <v>48.7</v>
      </c>
      <c r="H164" s="10" t="s">
        <v>35</v>
      </c>
      <c r="I164" s="16" t="s">
        <v>34</v>
      </c>
      <c r="J164" s="17">
        <v>24</v>
      </c>
      <c r="K164" s="17">
        <v>0</v>
      </c>
      <c r="L164" s="17">
        <v>0</v>
      </c>
      <c r="M164" s="19">
        <f t="shared" si="5"/>
        <v>4.7699999999999818</v>
      </c>
      <c r="N164" s="4">
        <v>0</v>
      </c>
      <c r="O164" s="19">
        <f t="shared" si="4"/>
        <v>0.83000000000000185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19">
        <v>390.63</v>
      </c>
      <c r="Y164" s="4">
        <v>0</v>
      </c>
      <c r="Z164" s="19">
        <v>25.54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</row>
    <row r="165" spans="1:32" x14ac:dyDescent="0.3">
      <c r="A165" s="6">
        <v>45455</v>
      </c>
      <c r="B165" s="3" t="s">
        <v>36</v>
      </c>
      <c r="C165" s="8">
        <v>33</v>
      </c>
      <c r="D165" s="9">
        <v>19.399999999999999</v>
      </c>
      <c r="E165" s="10" t="s">
        <v>37</v>
      </c>
      <c r="F165" s="11">
        <v>151</v>
      </c>
      <c r="G165" s="9">
        <v>55.9</v>
      </c>
      <c r="H165" s="10" t="s">
        <v>35</v>
      </c>
      <c r="I165" s="16" t="s">
        <v>34</v>
      </c>
      <c r="J165" s="17">
        <v>24</v>
      </c>
      <c r="K165" s="17">
        <v>0</v>
      </c>
      <c r="L165" s="17">
        <v>0</v>
      </c>
      <c r="M165" s="19">
        <f t="shared" si="5"/>
        <v>7.4599999999999795</v>
      </c>
      <c r="N165" s="4">
        <v>0</v>
      </c>
      <c r="O165" s="19">
        <f t="shared" si="4"/>
        <v>0.83999999999999986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19">
        <v>383.17</v>
      </c>
      <c r="Y165" s="4">
        <v>0</v>
      </c>
      <c r="Z165" s="19">
        <v>24.7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</row>
    <row r="166" spans="1:32" x14ac:dyDescent="0.3">
      <c r="A166" s="6">
        <v>45456</v>
      </c>
      <c r="B166" s="3" t="s">
        <v>36</v>
      </c>
      <c r="C166" s="8">
        <v>33</v>
      </c>
      <c r="D166" s="9">
        <v>36.6</v>
      </c>
      <c r="E166" s="10" t="s">
        <v>37</v>
      </c>
      <c r="F166" s="11">
        <v>151</v>
      </c>
      <c r="G166" s="9">
        <v>46</v>
      </c>
      <c r="H166" s="10" t="s">
        <v>35</v>
      </c>
      <c r="I166" s="16" t="s">
        <v>34</v>
      </c>
      <c r="J166" s="17">
        <v>24</v>
      </c>
      <c r="K166" s="17">
        <v>0</v>
      </c>
      <c r="L166" s="17">
        <v>0</v>
      </c>
      <c r="M166" s="19">
        <f t="shared" si="5"/>
        <v>13.110000000000014</v>
      </c>
      <c r="N166" s="4">
        <v>0</v>
      </c>
      <c r="O166" s="19">
        <f t="shared" si="4"/>
        <v>0.83999999999999986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19">
        <v>370.06</v>
      </c>
      <c r="Y166" s="4">
        <v>0</v>
      </c>
      <c r="Z166" s="19">
        <v>23.86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</row>
    <row r="167" spans="1:32" x14ac:dyDescent="0.3">
      <c r="A167" s="6">
        <v>45457</v>
      </c>
      <c r="B167" s="3" t="s">
        <v>36</v>
      </c>
      <c r="C167" s="8">
        <v>32</v>
      </c>
      <c r="D167" s="9">
        <v>53.6</v>
      </c>
      <c r="E167" s="10" t="s">
        <v>37</v>
      </c>
      <c r="F167" s="11">
        <v>151</v>
      </c>
      <c r="G167" s="9">
        <v>46.3</v>
      </c>
      <c r="H167" s="10" t="s">
        <v>35</v>
      </c>
      <c r="I167" s="16" t="s">
        <v>34</v>
      </c>
      <c r="J167" s="17">
        <v>24</v>
      </c>
      <c r="K167" s="17">
        <v>0</v>
      </c>
      <c r="L167" s="17">
        <v>0</v>
      </c>
      <c r="M167" s="19">
        <f t="shared" si="5"/>
        <v>17.329999999999984</v>
      </c>
      <c r="N167" s="4">
        <v>0</v>
      </c>
      <c r="O167" s="19">
        <f t="shared" si="4"/>
        <v>0.84999999999999787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19">
        <v>352.73</v>
      </c>
      <c r="Y167" s="4">
        <v>0</v>
      </c>
      <c r="Z167" s="19">
        <v>23.01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</row>
    <row r="168" spans="1:32" x14ac:dyDescent="0.3">
      <c r="A168" s="6">
        <v>45458</v>
      </c>
      <c r="B168" s="3" t="s">
        <v>36</v>
      </c>
      <c r="C168" s="8">
        <v>32</v>
      </c>
      <c r="D168" s="9">
        <v>53.6</v>
      </c>
      <c r="E168" s="10" t="s">
        <v>37</v>
      </c>
      <c r="F168" s="11">
        <v>151</v>
      </c>
      <c r="G168" s="9">
        <v>46.3</v>
      </c>
      <c r="H168" s="10" t="s">
        <v>35</v>
      </c>
      <c r="I168" s="16" t="s">
        <v>34</v>
      </c>
      <c r="J168" s="17">
        <v>24</v>
      </c>
      <c r="K168" s="17">
        <v>0</v>
      </c>
      <c r="L168" s="17">
        <v>0</v>
      </c>
      <c r="M168" s="19">
        <f t="shared" si="5"/>
        <v>3.2800000000000296</v>
      </c>
      <c r="N168" s="4">
        <v>0</v>
      </c>
      <c r="O168" s="19">
        <f>Z167-Z168+45.22</f>
        <v>0.85999999999999943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19">
        <v>349.45</v>
      </c>
      <c r="Y168" s="4">
        <v>0</v>
      </c>
      <c r="Z168" s="19">
        <v>67.37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</row>
    <row r="169" spans="1:32" x14ac:dyDescent="0.3">
      <c r="A169" s="6">
        <v>45459</v>
      </c>
      <c r="B169" s="3" t="s">
        <v>36</v>
      </c>
      <c r="C169" s="8">
        <v>29</v>
      </c>
      <c r="D169" s="9">
        <v>15.2</v>
      </c>
      <c r="E169" s="10" t="s">
        <v>37</v>
      </c>
      <c r="F169" s="11">
        <v>153</v>
      </c>
      <c r="G169" s="9">
        <v>40</v>
      </c>
      <c r="H169" s="10" t="s">
        <v>35</v>
      </c>
      <c r="I169" s="16" t="s">
        <v>34</v>
      </c>
      <c r="J169" s="17">
        <v>24</v>
      </c>
      <c r="K169" s="17">
        <v>21.2</v>
      </c>
      <c r="L169" s="17">
        <v>250</v>
      </c>
      <c r="M169" s="19">
        <f t="shared" ref="M169:M232" si="7">X168-X169</f>
        <v>17.829999999999984</v>
      </c>
      <c r="N169" s="4">
        <v>0</v>
      </c>
      <c r="O169" s="19">
        <f t="shared" ref="O169:O232" si="8">Z168-Z169</f>
        <v>0.45000000000000284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19">
        <v>331.62</v>
      </c>
      <c r="Y169" s="4">
        <v>0</v>
      </c>
      <c r="Z169" s="19">
        <v>66.92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</row>
    <row r="170" spans="1:32" x14ac:dyDescent="0.3">
      <c r="A170" s="6">
        <v>45460</v>
      </c>
      <c r="B170" s="3" t="s">
        <v>36</v>
      </c>
      <c r="C170" s="8">
        <v>24</v>
      </c>
      <c r="D170" s="9">
        <v>20.3</v>
      </c>
      <c r="E170" s="10" t="s">
        <v>37</v>
      </c>
      <c r="F170" s="11">
        <v>153</v>
      </c>
      <c r="G170" s="9">
        <v>20.3</v>
      </c>
      <c r="H170" s="10" t="s">
        <v>35</v>
      </c>
      <c r="I170" s="16" t="s">
        <v>34</v>
      </c>
      <c r="J170" s="17">
        <v>24</v>
      </c>
      <c r="K170" s="17">
        <v>24</v>
      </c>
      <c r="L170" s="17">
        <v>302</v>
      </c>
      <c r="M170" s="19">
        <f t="shared" si="7"/>
        <v>20.810000000000002</v>
      </c>
      <c r="N170" s="4">
        <v>0</v>
      </c>
      <c r="O170" s="19">
        <f t="shared" si="8"/>
        <v>0.10000000000000853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19">
        <v>310.81</v>
      </c>
      <c r="Y170" s="4">
        <v>0</v>
      </c>
      <c r="Z170" s="19">
        <v>66.819999999999993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</row>
    <row r="171" spans="1:32" x14ac:dyDescent="0.3">
      <c r="A171" s="6">
        <v>45461</v>
      </c>
      <c r="B171" s="3" t="s">
        <v>36</v>
      </c>
      <c r="C171" s="8">
        <v>23</v>
      </c>
      <c r="D171" s="9">
        <v>54.1</v>
      </c>
      <c r="E171" s="10" t="s">
        <v>37</v>
      </c>
      <c r="F171" s="11">
        <v>151</v>
      </c>
      <c r="G171" s="9">
        <v>35.5</v>
      </c>
      <c r="H171" s="10" t="s">
        <v>35</v>
      </c>
      <c r="I171" s="16" t="s">
        <v>34</v>
      </c>
      <c r="J171" s="17">
        <v>24</v>
      </c>
      <c r="K171" s="17">
        <v>0</v>
      </c>
      <c r="L171" s="17">
        <v>0</v>
      </c>
      <c r="M171" s="19">
        <f t="shared" si="7"/>
        <v>9.160000000000025</v>
      </c>
      <c r="N171" s="4">
        <v>0</v>
      </c>
      <c r="O171" s="19">
        <f>Z170-Z171+39.9</f>
        <v>40.339999999999996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19">
        <v>301.64999999999998</v>
      </c>
      <c r="Y171" s="4">
        <v>0</v>
      </c>
      <c r="Z171" s="19">
        <v>66.38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</row>
    <row r="172" spans="1:32" x14ac:dyDescent="0.3">
      <c r="A172" s="6">
        <v>45462</v>
      </c>
      <c r="B172" s="3" t="s">
        <v>36</v>
      </c>
      <c r="C172" s="8">
        <v>23</v>
      </c>
      <c r="D172" s="9">
        <v>54.1</v>
      </c>
      <c r="E172" s="10" t="s">
        <v>37</v>
      </c>
      <c r="F172" s="11">
        <v>151</v>
      </c>
      <c r="G172" s="9">
        <v>35.5</v>
      </c>
      <c r="H172" s="10" t="s">
        <v>35</v>
      </c>
      <c r="I172" s="16" t="s">
        <v>34</v>
      </c>
      <c r="J172" s="17">
        <v>24</v>
      </c>
      <c r="K172" s="17">
        <v>0</v>
      </c>
      <c r="L172" s="17">
        <v>0</v>
      </c>
      <c r="M172" s="19">
        <f>X171-X172</f>
        <v>2.4499999999999886</v>
      </c>
      <c r="N172" s="4">
        <v>0</v>
      </c>
      <c r="O172" s="19">
        <f t="shared" si="8"/>
        <v>0.84999999999999432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19">
        <v>299.2</v>
      </c>
      <c r="Y172" s="4">
        <v>0</v>
      </c>
      <c r="Z172" s="19">
        <v>65.53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</row>
    <row r="173" spans="1:32" x14ac:dyDescent="0.3">
      <c r="A173" s="6">
        <v>45463</v>
      </c>
      <c r="B173" s="3" t="s">
        <v>36</v>
      </c>
      <c r="C173" s="8">
        <v>23</v>
      </c>
      <c r="D173" s="9">
        <v>54.1</v>
      </c>
      <c r="E173" s="10" t="s">
        <v>37</v>
      </c>
      <c r="F173" s="11">
        <v>151</v>
      </c>
      <c r="G173" s="9">
        <v>35.5</v>
      </c>
      <c r="H173" s="10" t="s">
        <v>35</v>
      </c>
      <c r="I173" s="16" t="s">
        <v>34</v>
      </c>
      <c r="J173" s="17">
        <v>24</v>
      </c>
      <c r="K173" s="17">
        <v>0</v>
      </c>
      <c r="L173" s="17">
        <v>0</v>
      </c>
      <c r="M173" s="19">
        <f t="shared" si="7"/>
        <v>1.7699999999999818</v>
      </c>
      <c r="N173" s="4">
        <v>0</v>
      </c>
      <c r="O173" s="19">
        <f t="shared" si="8"/>
        <v>0.85999999999999943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19">
        <v>297.43</v>
      </c>
      <c r="Y173" s="4">
        <v>0</v>
      </c>
      <c r="Z173" s="19">
        <v>64.67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</row>
    <row r="174" spans="1:32" x14ac:dyDescent="0.3">
      <c r="A174" s="6">
        <v>45464</v>
      </c>
      <c r="B174" s="3" t="s">
        <v>36</v>
      </c>
      <c r="C174" s="8">
        <v>23</v>
      </c>
      <c r="D174" s="9">
        <v>54.1</v>
      </c>
      <c r="E174" s="10" t="s">
        <v>37</v>
      </c>
      <c r="F174" s="11">
        <v>151</v>
      </c>
      <c r="G174" s="9">
        <v>35.5</v>
      </c>
      <c r="H174" s="10" t="s">
        <v>35</v>
      </c>
      <c r="I174" s="16" t="s">
        <v>34</v>
      </c>
      <c r="J174" s="17">
        <v>24</v>
      </c>
      <c r="K174" s="17">
        <v>0</v>
      </c>
      <c r="L174" s="17">
        <v>0</v>
      </c>
      <c r="M174" s="19">
        <f t="shared" si="7"/>
        <v>1.7900000000000205</v>
      </c>
      <c r="N174" s="4">
        <v>0</v>
      </c>
      <c r="O174" s="19">
        <f t="shared" si="8"/>
        <v>0.85000000000000142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19">
        <v>295.64</v>
      </c>
      <c r="Y174" s="4">
        <v>0</v>
      </c>
      <c r="Z174" s="19">
        <v>63.82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</row>
    <row r="175" spans="1:32" x14ac:dyDescent="0.3">
      <c r="A175" s="6">
        <v>45465</v>
      </c>
      <c r="B175" s="3" t="s">
        <v>36</v>
      </c>
      <c r="C175" s="8">
        <v>23</v>
      </c>
      <c r="D175" s="9">
        <v>54.1</v>
      </c>
      <c r="E175" s="10" t="s">
        <v>37</v>
      </c>
      <c r="F175" s="11">
        <v>151</v>
      </c>
      <c r="G175" s="9">
        <v>35.5</v>
      </c>
      <c r="H175" s="10" t="s">
        <v>35</v>
      </c>
      <c r="I175" s="16" t="s">
        <v>34</v>
      </c>
      <c r="J175" s="17">
        <v>24</v>
      </c>
      <c r="K175" s="17">
        <v>0</v>
      </c>
      <c r="L175" s="17">
        <v>0</v>
      </c>
      <c r="M175" s="19">
        <f t="shared" si="7"/>
        <v>1.8299999999999841</v>
      </c>
      <c r="N175" s="4">
        <v>0</v>
      </c>
      <c r="O175" s="19">
        <f t="shared" si="8"/>
        <v>0.85999999999999943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19">
        <v>293.81</v>
      </c>
      <c r="Y175" s="4">
        <v>0</v>
      </c>
      <c r="Z175" s="19">
        <v>62.96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</row>
    <row r="176" spans="1:32" x14ac:dyDescent="0.3">
      <c r="A176" s="6">
        <v>45466</v>
      </c>
      <c r="B176" s="3" t="s">
        <v>36</v>
      </c>
      <c r="C176" s="8">
        <v>23</v>
      </c>
      <c r="D176" s="9">
        <v>54.1</v>
      </c>
      <c r="E176" s="10" t="s">
        <v>37</v>
      </c>
      <c r="F176" s="11">
        <v>151</v>
      </c>
      <c r="G176" s="9">
        <v>35.5</v>
      </c>
      <c r="H176" s="10" t="s">
        <v>35</v>
      </c>
      <c r="I176" s="16" t="s">
        <v>34</v>
      </c>
      <c r="J176" s="17">
        <v>24</v>
      </c>
      <c r="K176" s="17">
        <v>0</v>
      </c>
      <c r="L176" s="17">
        <v>0</v>
      </c>
      <c r="M176" s="19">
        <f t="shared" si="7"/>
        <v>1.7800000000000296</v>
      </c>
      <c r="N176" s="4">
        <v>0</v>
      </c>
      <c r="O176" s="19">
        <f t="shared" si="8"/>
        <v>0.85000000000000142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19">
        <v>292.02999999999997</v>
      </c>
      <c r="Y176" s="4">
        <v>0</v>
      </c>
      <c r="Z176" s="19">
        <v>62.11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</row>
    <row r="177" spans="1:32" x14ac:dyDescent="0.3">
      <c r="A177" s="6">
        <v>45467</v>
      </c>
      <c r="B177" s="3" t="s">
        <v>36</v>
      </c>
      <c r="C177" s="8">
        <v>23</v>
      </c>
      <c r="D177" s="9">
        <v>54.1</v>
      </c>
      <c r="E177" s="10" t="s">
        <v>37</v>
      </c>
      <c r="F177" s="11">
        <v>151</v>
      </c>
      <c r="G177" s="9">
        <v>35.5</v>
      </c>
      <c r="H177" s="10" t="s">
        <v>35</v>
      </c>
      <c r="I177" s="16" t="s">
        <v>34</v>
      </c>
      <c r="J177" s="17">
        <v>24</v>
      </c>
      <c r="K177" s="17">
        <v>0</v>
      </c>
      <c r="L177" s="17">
        <v>0</v>
      </c>
      <c r="M177" s="19">
        <f t="shared" si="7"/>
        <v>1.7999999999999545</v>
      </c>
      <c r="N177" s="4">
        <v>0</v>
      </c>
      <c r="O177" s="19">
        <f t="shared" si="8"/>
        <v>0.85999999999999943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19">
        <v>290.23</v>
      </c>
      <c r="Y177" s="4">
        <v>0</v>
      </c>
      <c r="Z177" s="19">
        <v>61.25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</row>
    <row r="178" spans="1:32" x14ac:dyDescent="0.3">
      <c r="A178" s="6">
        <v>45468</v>
      </c>
      <c r="B178" s="3" t="s">
        <v>36</v>
      </c>
      <c r="C178" s="8">
        <v>23</v>
      </c>
      <c r="D178" s="9">
        <v>54.1</v>
      </c>
      <c r="E178" s="10" t="s">
        <v>37</v>
      </c>
      <c r="F178" s="11">
        <v>151</v>
      </c>
      <c r="G178" s="9">
        <v>35.5</v>
      </c>
      <c r="H178" s="10" t="s">
        <v>35</v>
      </c>
      <c r="I178" s="16" t="s">
        <v>34</v>
      </c>
      <c r="J178" s="17">
        <v>24</v>
      </c>
      <c r="K178" s="17">
        <v>0</v>
      </c>
      <c r="L178" s="17">
        <v>0</v>
      </c>
      <c r="M178" s="19">
        <f t="shared" si="7"/>
        <v>1.7700000000000387</v>
      </c>
      <c r="N178" s="4">
        <v>0</v>
      </c>
      <c r="O178" s="19">
        <f t="shared" si="8"/>
        <v>0.85000000000000142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19">
        <v>288.45999999999998</v>
      </c>
      <c r="Y178" s="4">
        <v>0</v>
      </c>
      <c r="Z178" s="19">
        <v>60.4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</row>
    <row r="179" spans="1:32" x14ac:dyDescent="0.3">
      <c r="A179" s="6">
        <v>45469</v>
      </c>
      <c r="B179" s="3" t="s">
        <v>36</v>
      </c>
      <c r="C179" s="8">
        <v>23</v>
      </c>
      <c r="D179" s="9">
        <v>54.1</v>
      </c>
      <c r="E179" s="10" t="s">
        <v>37</v>
      </c>
      <c r="F179" s="11">
        <v>151</v>
      </c>
      <c r="G179" s="9">
        <v>35.5</v>
      </c>
      <c r="H179" s="10" t="s">
        <v>35</v>
      </c>
      <c r="I179" s="16" t="s">
        <v>34</v>
      </c>
      <c r="J179" s="17">
        <v>24</v>
      </c>
      <c r="K179" s="17">
        <v>0</v>
      </c>
      <c r="L179" s="17">
        <v>0</v>
      </c>
      <c r="M179" s="19">
        <f t="shared" si="7"/>
        <v>1.8799999999999955</v>
      </c>
      <c r="N179" s="4">
        <v>0</v>
      </c>
      <c r="O179" s="19">
        <f t="shared" si="8"/>
        <v>0.85999999999999943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19">
        <v>286.58</v>
      </c>
      <c r="Y179" s="4">
        <v>0</v>
      </c>
      <c r="Z179" s="19">
        <v>59.54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</row>
    <row r="180" spans="1:32" x14ac:dyDescent="0.3">
      <c r="A180" s="6">
        <v>45470</v>
      </c>
      <c r="B180" s="3" t="s">
        <v>36</v>
      </c>
      <c r="C180" s="8">
        <v>23</v>
      </c>
      <c r="D180" s="9">
        <v>54.1</v>
      </c>
      <c r="E180" s="10" t="s">
        <v>37</v>
      </c>
      <c r="F180" s="11">
        <v>151</v>
      </c>
      <c r="G180" s="9">
        <v>35.5</v>
      </c>
      <c r="H180" s="10" t="s">
        <v>35</v>
      </c>
      <c r="I180" s="16" t="s">
        <v>34</v>
      </c>
      <c r="J180" s="17">
        <v>24</v>
      </c>
      <c r="K180" s="17">
        <v>0</v>
      </c>
      <c r="L180" s="17">
        <v>0</v>
      </c>
      <c r="M180" s="19">
        <f t="shared" si="7"/>
        <v>4.1299999999999955</v>
      </c>
      <c r="N180" s="4">
        <v>0</v>
      </c>
      <c r="O180" s="19">
        <f t="shared" si="8"/>
        <v>0.94999999999999574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19">
        <v>282.45</v>
      </c>
      <c r="Y180" s="4">
        <v>0</v>
      </c>
      <c r="Z180" s="19">
        <v>58.59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</row>
    <row r="181" spans="1:32" x14ac:dyDescent="0.3">
      <c r="A181" s="6">
        <v>45471</v>
      </c>
      <c r="B181" s="3" t="s">
        <v>36</v>
      </c>
      <c r="C181" s="8">
        <v>23</v>
      </c>
      <c r="D181" s="9">
        <v>54.1</v>
      </c>
      <c r="E181" s="10" t="s">
        <v>37</v>
      </c>
      <c r="F181" s="11">
        <v>151</v>
      </c>
      <c r="G181" s="9">
        <v>35.5</v>
      </c>
      <c r="H181" s="10" t="s">
        <v>35</v>
      </c>
      <c r="I181" s="16" t="s">
        <v>34</v>
      </c>
      <c r="J181" s="17">
        <v>24</v>
      </c>
      <c r="K181" s="17">
        <v>0</v>
      </c>
      <c r="L181" s="17">
        <v>0</v>
      </c>
      <c r="M181" s="19">
        <f t="shared" si="7"/>
        <v>3.6200000000000045</v>
      </c>
      <c r="N181" s="4">
        <v>0</v>
      </c>
      <c r="O181" s="19">
        <f t="shared" si="8"/>
        <v>0.76000000000000512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19">
        <v>278.83</v>
      </c>
      <c r="Y181" s="4">
        <v>0</v>
      </c>
      <c r="Z181" s="19">
        <v>57.83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</row>
    <row r="182" spans="1:32" x14ac:dyDescent="0.3">
      <c r="A182" s="6">
        <v>45472</v>
      </c>
      <c r="B182" s="3" t="s">
        <v>36</v>
      </c>
      <c r="C182" s="8">
        <v>23</v>
      </c>
      <c r="D182" s="9">
        <v>54.1</v>
      </c>
      <c r="E182" s="10" t="s">
        <v>37</v>
      </c>
      <c r="F182" s="11">
        <v>151</v>
      </c>
      <c r="G182" s="9">
        <v>35.5</v>
      </c>
      <c r="H182" s="10" t="s">
        <v>35</v>
      </c>
      <c r="I182" s="16" t="s">
        <v>34</v>
      </c>
      <c r="J182" s="17">
        <v>24</v>
      </c>
      <c r="K182" s="17">
        <v>0</v>
      </c>
      <c r="L182" s="17">
        <v>0</v>
      </c>
      <c r="M182" s="19">
        <f t="shared" si="7"/>
        <v>3.5999999999999659</v>
      </c>
      <c r="N182" s="4">
        <v>0</v>
      </c>
      <c r="O182" s="19">
        <f t="shared" si="8"/>
        <v>0.89999999999999858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19">
        <v>275.23</v>
      </c>
      <c r="Y182" s="4">
        <v>0</v>
      </c>
      <c r="Z182" s="19">
        <v>56.93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</row>
    <row r="183" spans="1:32" x14ac:dyDescent="0.3">
      <c r="A183" s="6">
        <v>45473</v>
      </c>
      <c r="B183" s="3" t="s">
        <v>36</v>
      </c>
      <c r="C183" s="8">
        <v>23</v>
      </c>
      <c r="D183" s="9">
        <v>54.1</v>
      </c>
      <c r="E183" s="10" t="s">
        <v>37</v>
      </c>
      <c r="F183" s="11">
        <v>151</v>
      </c>
      <c r="G183" s="9">
        <v>35.5</v>
      </c>
      <c r="H183" s="10" t="s">
        <v>35</v>
      </c>
      <c r="I183" s="16" t="s">
        <v>34</v>
      </c>
      <c r="J183" s="17">
        <v>24</v>
      </c>
      <c r="K183" s="17">
        <v>0</v>
      </c>
      <c r="L183" s="17">
        <v>0</v>
      </c>
      <c r="M183" s="19">
        <f t="shared" si="7"/>
        <v>3.5600000000000023</v>
      </c>
      <c r="N183" s="4">
        <v>0</v>
      </c>
      <c r="O183" s="19">
        <f t="shared" si="8"/>
        <v>0.89999999999999858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19">
        <v>271.67</v>
      </c>
      <c r="Y183" s="4">
        <v>0</v>
      </c>
      <c r="Z183" s="19">
        <v>56.03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</row>
    <row r="184" spans="1:32" x14ac:dyDescent="0.3">
      <c r="A184" s="6">
        <v>45474</v>
      </c>
      <c r="B184" s="3" t="s">
        <v>36</v>
      </c>
      <c r="C184" s="8">
        <v>23</v>
      </c>
      <c r="D184" s="9">
        <v>54.1</v>
      </c>
      <c r="E184" s="10" t="s">
        <v>37</v>
      </c>
      <c r="F184" s="11">
        <v>151</v>
      </c>
      <c r="G184" s="9">
        <v>35.5</v>
      </c>
      <c r="H184" s="10" t="s">
        <v>35</v>
      </c>
      <c r="I184" s="16" t="s">
        <v>34</v>
      </c>
      <c r="J184" s="17">
        <v>24</v>
      </c>
      <c r="K184" s="17">
        <v>0</v>
      </c>
      <c r="L184" s="17">
        <v>0</v>
      </c>
      <c r="M184" s="19">
        <f t="shared" si="7"/>
        <v>3.6200000000000045</v>
      </c>
      <c r="N184" s="4">
        <v>0</v>
      </c>
      <c r="O184" s="19">
        <f t="shared" si="8"/>
        <v>0.89999999999999858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19">
        <v>268.05</v>
      </c>
      <c r="Y184" s="4">
        <v>0</v>
      </c>
      <c r="Z184" s="19">
        <v>55.13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</row>
    <row r="185" spans="1:32" x14ac:dyDescent="0.3">
      <c r="A185" s="6">
        <v>45475</v>
      </c>
      <c r="B185" s="3" t="s">
        <v>36</v>
      </c>
      <c r="C185" s="8">
        <v>23</v>
      </c>
      <c r="D185" s="9">
        <v>51.3</v>
      </c>
      <c r="E185" s="10" t="s">
        <v>37</v>
      </c>
      <c r="F185" s="11">
        <v>151</v>
      </c>
      <c r="G185" s="9">
        <v>35.200000000000003</v>
      </c>
      <c r="H185" s="10" t="s">
        <v>35</v>
      </c>
      <c r="I185" s="16" t="s">
        <v>34</v>
      </c>
      <c r="J185" s="17">
        <v>24</v>
      </c>
      <c r="K185" s="17">
        <v>0</v>
      </c>
      <c r="L185" s="17">
        <v>0</v>
      </c>
      <c r="M185" s="19">
        <f t="shared" si="7"/>
        <v>6.2700000000000387</v>
      </c>
      <c r="N185" s="4">
        <v>0</v>
      </c>
      <c r="O185" s="19">
        <f t="shared" si="8"/>
        <v>0.88000000000000256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19">
        <v>261.77999999999997</v>
      </c>
      <c r="Y185" s="4">
        <v>0</v>
      </c>
      <c r="Z185" s="19">
        <v>54.25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</row>
    <row r="186" spans="1:32" x14ac:dyDescent="0.3">
      <c r="A186" s="6">
        <v>45476</v>
      </c>
      <c r="B186" s="3" t="s">
        <v>36</v>
      </c>
      <c r="C186" s="8">
        <v>26</v>
      </c>
      <c r="D186" s="9">
        <v>27.6</v>
      </c>
      <c r="E186" s="10" t="s">
        <v>37</v>
      </c>
      <c r="F186" s="11">
        <v>153</v>
      </c>
      <c r="G186" s="9">
        <v>35.1</v>
      </c>
      <c r="H186" s="10" t="s">
        <v>35</v>
      </c>
      <c r="I186" s="16" t="s">
        <v>34</v>
      </c>
      <c r="J186" s="17">
        <v>24</v>
      </c>
      <c r="K186" s="17">
        <v>23.8</v>
      </c>
      <c r="L186" s="17">
        <v>236</v>
      </c>
      <c r="M186" s="19">
        <f t="shared" si="7"/>
        <v>15.639999999999986</v>
      </c>
      <c r="N186" s="4">
        <v>0</v>
      </c>
      <c r="O186" s="19">
        <f t="shared" si="8"/>
        <v>0.45000000000000284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19">
        <v>246.14</v>
      </c>
      <c r="Y186" s="4">
        <v>0</v>
      </c>
      <c r="Z186" s="19">
        <v>53.8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</row>
    <row r="187" spans="1:32" x14ac:dyDescent="0.3">
      <c r="A187" s="6">
        <v>45477</v>
      </c>
      <c r="B187" s="3" t="s">
        <v>36</v>
      </c>
      <c r="C187" s="8">
        <v>29</v>
      </c>
      <c r="D187" s="9">
        <v>56.5</v>
      </c>
      <c r="E187" s="10" t="s">
        <v>37</v>
      </c>
      <c r="F187" s="11">
        <v>153</v>
      </c>
      <c r="G187" s="9">
        <v>29.4</v>
      </c>
      <c r="H187" s="10" t="s">
        <v>35</v>
      </c>
      <c r="I187" s="16" t="s">
        <v>34</v>
      </c>
      <c r="J187" s="17">
        <v>24</v>
      </c>
      <c r="K187" s="17">
        <v>24</v>
      </c>
      <c r="L187" s="17">
        <v>222</v>
      </c>
      <c r="M187" s="19">
        <f t="shared" si="7"/>
        <v>16.919999999999987</v>
      </c>
      <c r="N187" s="4">
        <v>0</v>
      </c>
      <c r="O187" s="19">
        <f t="shared" si="8"/>
        <v>0.77999999999999403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19">
        <v>229.22</v>
      </c>
      <c r="Y187" s="4">
        <v>0</v>
      </c>
      <c r="Z187" s="19">
        <v>53.02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</row>
    <row r="188" spans="1:32" x14ac:dyDescent="0.3">
      <c r="A188" s="6">
        <v>45478</v>
      </c>
      <c r="B188" s="3" t="s">
        <v>36</v>
      </c>
      <c r="C188" s="8">
        <v>33</v>
      </c>
      <c r="D188" s="9">
        <v>27.5</v>
      </c>
      <c r="E188" s="10" t="s">
        <v>37</v>
      </c>
      <c r="F188" s="11">
        <v>152</v>
      </c>
      <c r="G188" s="9">
        <v>8.4</v>
      </c>
      <c r="H188" s="10" t="s">
        <v>35</v>
      </c>
      <c r="I188" s="16" t="s">
        <v>34</v>
      </c>
      <c r="J188" s="17">
        <v>24</v>
      </c>
      <c r="K188" s="17">
        <v>20</v>
      </c>
      <c r="L188" s="17">
        <v>204</v>
      </c>
      <c r="M188" s="19">
        <f t="shared" si="7"/>
        <v>17.289999999999992</v>
      </c>
      <c r="N188" s="4">
        <v>0</v>
      </c>
      <c r="O188" s="19">
        <f t="shared" si="8"/>
        <v>0.78000000000000114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19">
        <v>211.93</v>
      </c>
      <c r="Y188" s="4">
        <v>0</v>
      </c>
      <c r="Z188" s="19">
        <v>52.24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</row>
    <row r="189" spans="1:32" x14ac:dyDescent="0.3">
      <c r="A189" s="6">
        <v>45479</v>
      </c>
      <c r="B189" s="3" t="s">
        <v>36</v>
      </c>
      <c r="C189" s="8">
        <v>33</v>
      </c>
      <c r="D189" s="9">
        <v>21.5</v>
      </c>
      <c r="E189" s="10" t="s">
        <v>37</v>
      </c>
      <c r="F189" s="11">
        <v>151</v>
      </c>
      <c r="G189" s="9">
        <v>53.6</v>
      </c>
      <c r="H189" s="10" t="s">
        <v>35</v>
      </c>
      <c r="I189" s="16" t="s">
        <v>34</v>
      </c>
      <c r="J189" s="17">
        <v>24</v>
      </c>
      <c r="K189" s="17">
        <v>0</v>
      </c>
      <c r="L189" s="17">
        <v>0</v>
      </c>
      <c r="M189" s="19">
        <f t="shared" si="7"/>
        <v>2.0100000000000193</v>
      </c>
      <c r="N189" s="4">
        <v>0</v>
      </c>
      <c r="O189" s="19">
        <f t="shared" si="8"/>
        <v>0.80000000000000426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19">
        <v>209.92</v>
      </c>
      <c r="Y189" s="4">
        <v>0</v>
      </c>
      <c r="Z189" s="19">
        <v>51.44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</row>
    <row r="190" spans="1:32" x14ac:dyDescent="0.3">
      <c r="A190" s="6">
        <v>45480</v>
      </c>
      <c r="B190" s="3" t="s">
        <v>36</v>
      </c>
      <c r="C190" s="8">
        <v>33</v>
      </c>
      <c r="D190" s="9">
        <v>4</v>
      </c>
      <c r="E190" s="10" t="s">
        <v>37</v>
      </c>
      <c r="F190" s="11">
        <v>151</v>
      </c>
      <c r="G190" s="9">
        <v>44.6</v>
      </c>
      <c r="H190" s="10" t="s">
        <v>35</v>
      </c>
      <c r="I190" s="16" t="s">
        <v>34</v>
      </c>
      <c r="J190" s="17">
        <v>24</v>
      </c>
      <c r="K190" s="17">
        <v>0</v>
      </c>
      <c r="L190" s="17">
        <v>0</v>
      </c>
      <c r="M190" s="19">
        <f t="shared" si="7"/>
        <v>2.7800000000000011</v>
      </c>
      <c r="N190" s="4">
        <v>0</v>
      </c>
      <c r="O190" s="19">
        <f t="shared" si="8"/>
        <v>0.84999999999999432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19">
        <v>207.14</v>
      </c>
      <c r="Y190" s="4">
        <v>0</v>
      </c>
      <c r="Z190" s="19">
        <v>50.59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</row>
    <row r="191" spans="1:32" x14ac:dyDescent="0.3">
      <c r="A191" s="6">
        <v>45481</v>
      </c>
      <c r="B191" s="3" t="s">
        <v>36</v>
      </c>
      <c r="C191" s="8">
        <v>33</v>
      </c>
      <c r="D191" s="9">
        <v>4.0999999999999996</v>
      </c>
      <c r="E191" s="10" t="s">
        <v>37</v>
      </c>
      <c r="F191" s="11">
        <v>151</v>
      </c>
      <c r="G191" s="9">
        <v>44.5</v>
      </c>
      <c r="H191" s="10" t="s">
        <v>35</v>
      </c>
      <c r="I191" s="16" t="s">
        <v>34</v>
      </c>
      <c r="J191" s="17">
        <v>24</v>
      </c>
      <c r="K191" s="17">
        <v>0</v>
      </c>
      <c r="L191" s="17">
        <v>0</v>
      </c>
      <c r="M191" s="19">
        <f t="shared" si="7"/>
        <v>1.789999999999992</v>
      </c>
      <c r="N191" s="4">
        <v>0</v>
      </c>
      <c r="O191" s="19">
        <f t="shared" si="8"/>
        <v>0.86000000000000654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19">
        <v>205.35</v>
      </c>
      <c r="Y191" s="4">
        <v>0</v>
      </c>
      <c r="Z191" s="19">
        <v>49.73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</row>
    <row r="192" spans="1:32" x14ac:dyDescent="0.3">
      <c r="A192" s="6">
        <v>45482</v>
      </c>
      <c r="B192" s="3" t="s">
        <v>36</v>
      </c>
      <c r="C192" s="8">
        <v>33</v>
      </c>
      <c r="D192" s="9">
        <v>4.2</v>
      </c>
      <c r="E192" s="10" t="s">
        <v>37</v>
      </c>
      <c r="F192" s="11">
        <v>151</v>
      </c>
      <c r="G192" s="9">
        <v>44.5</v>
      </c>
      <c r="H192" s="10" t="s">
        <v>35</v>
      </c>
      <c r="I192" s="16" t="s">
        <v>34</v>
      </c>
      <c r="J192" s="17">
        <v>24</v>
      </c>
      <c r="K192" s="17">
        <v>0</v>
      </c>
      <c r="L192" s="17">
        <v>0</v>
      </c>
      <c r="M192" s="19">
        <f t="shared" si="7"/>
        <v>2.0699999999999932</v>
      </c>
      <c r="N192" s="4">
        <v>0</v>
      </c>
      <c r="O192" s="19">
        <f t="shared" si="8"/>
        <v>0.85999999999999943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19">
        <v>203.28</v>
      </c>
      <c r="Y192" s="4">
        <v>0</v>
      </c>
      <c r="Z192" s="19">
        <v>48.87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</row>
    <row r="193" spans="1:32" x14ac:dyDescent="0.3">
      <c r="A193" s="6">
        <v>45483</v>
      </c>
      <c r="B193" s="3" t="s">
        <v>36</v>
      </c>
      <c r="C193" s="8">
        <v>33</v>
      </c>
      <c r="D193" s="9">
        <v>4.2</v>
      </c>
      <c r="E193" s="10" t="s">
        <v>37</v>
      </c>
      <c r="F193" s="11">
        <v>151</v>
      </c>
      <c r="G193" s="9">
        <v>44.7</v>
      </c>
      <c r="H193" s="10" t="s">
        <v>35</v>
      </c>
      <c r="I193" s="16" t="s">
        <v>34</v>
      </c>
      <c r="J193" s="17">
        <v>24</v>
      </c>
      <c r="K193" s="17">
        <v>0</v>
      </c>
      <c r="L193" s="17">
        <v>0</v>
      </c>
      <c r="M193" s="19">
        <f t="shared" si="7"/>
        <v>3.5099999999999909</v>
      </c>
      <c r="N193" s="4">
        <v>0</v>
      </c>
      <c r="O193" s="19">
        <f t="shared" si="8"/>
        <v>0.89999999999999858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19">
        <v>199.77</v>
      </c>
      <c r="Y193" s="4">
        <v>0</v>
      </c>
      <c r="Z193" s="19">
        <v>47.97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</row>
    <row r="194" spans="1:32" x14ac:dyDescent="0.3">
      <c r="A194" s="6">
        <v>45484</v>
      </c>
      <c r="B194" s="3" t="s">
        <v>36</v>
      </c>
      <c r="C194" s="8">
        <v>33</v>
      </c>
      <c r="D194" s="9">
        <v>4.2</v>
      </c>
      <c r="E194" s="10" t="s">
        <v>37</v>
      </c>
      <c r="F194" s="11">
        <v>151</v>
      </c>
      <c r="G194" s="9">
        <v>44.6</v>
      </c>
      <c r="H194" s="10" t="s">
        <v>35</v>
      </c>
      <c r="I194" s="16" t="s">
        <v>34</v>
      </c>
      <c r="J194" s="17">
        <v>24</v>
      </c>
      <c r="K194" s="17">
        <v>0</v>
      </c>
      <c r="L194" s="17">
        <v>0</v>
      </c>
      <c r="M194" s="19">
        <f t="shared" si="7"/>
        <v>3.4099999999999966</v>
      </c>
      <c r="N194" s="4">
        <v>0</v>
      </c>
      <c r="O194" s="19">
        <f t="shared" si="8"/>
        <v>0.89999999999999858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19">
        <v>196.36</v>
      </c>
      <c r="Y194" s="4">
        <v>0</v>
      </c>
      <c r="Z194" s="19">
        <v>47.07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</row>
    <row r="195" spans="1:32" x14ac:dyDescent="0.3">
      <c r="A195" s="6">
        <v>45485</v>
      </c>
      <c r="B195" s="3" t="s">
        <v>36</v>
      </c>
      <c r="C195" s="8">
        <v>33</v>
      </c>
      <c r="D195" s="9">
        <v>10.4</v>
      </c>
      <c r="E195" s="10" t="s">
        <v>37</v>
      </c>
      <c r="F195" s="11">
        <v>151</v>
      </c>
      <c r="G195" s="9">
        <v>50.4</v>
      </c>
      <c r="H195" s="10" t="s">
        <v>35</v>
      </c>
      <c r="I195" s="16" t="s">
        <v>34</v>
      </c>
      <c r="J195" s="17">
        <v>24</v>
      </c>
      <c r="K195" s="17">
        <v>0</v>
      </c>
      <c r="L195" s="17">
        <v>0</v>
      </c>
      <c r="M195" s="19">
        <f t="shared" si="7"/>
        <v>1.8000000000000114</v>
      </c>
      <c r="N195" s="4">
        <v>0</v>
      </c>
      <c r="O195" s="19">
        <f t="shared" si="8"/>
        <v>0.92000000000000171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19">
        <v>194.56</v>
      </c>
      <c r="Y195" s="4">
        <v>0</v>
      </c>
      <c r="Z195" s="19">
        <v>46.15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</row>
    <row r="196" spans="1:32" x14ac:dyDescent="0.3">
      <c r="A196" s="6">
        <v>45486</v>
      </c>
      <c r="B196" s="3" t="s">
        <v>36</v>
      </c>
      <c r="C196" s="8">
        <v>33</v>
      </c>
      <c r="D196" s="9">
        <v>20</v>
      </c>
      <c r="E196" s="10" t="s">
        <v>37</v>
      </c>
      <c r="F196" s="11">
        <v>151</v>
      </c>
      <c r="G196" s="9">
        <v>56</v>
      </c>
      <c r="H196" s="10" t="s">
        <v>35</v>
      </c>
      <c r="I196" s="16" t="s">
        <v>34</v>
      </c>
      <c r="J196" s="17">
        <v>24</v>
      </c>
      <c r="K196" s="17">
        <v>0</v>
      </c>
      <c r="L196" s="17">
        <v>0</v>
      </c>
      <c r="M196" s="19">
        <f t="shared" si="7"/>
        <v>4.2299999999999898</v>
      </c>
      <c r="N196" s="4">
        <v>0</v>
      </c>
      <c r="O196" s="19">
        <f t="shared" si="8"/>
        <v>1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19">
        <v>190.33</v>
      </c>
      <c r="Y196" s="4">
        <v>0</v>
      </c>
      <c r="Z196" s="19">
        <v>45.15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</row>
    <row r="197" spans="1:32" x14ac:dyDescent="0.3">
      <c r="A197" s="6">
        <v>45487</v>
      </c>
      <c r="B197" s="3" t="s">
        <v>36</v>
      </c>
      <c r="C197" s="8">
        <v>33</v>
      </c>
      <c r="D197" s="9">
        <v>40.6</v>
      </c>
      <c r="E197" s="10" t="s">
        <v>37</v>
      </c>
      <c r="F197" s="11">
        <v>151</v>
      </c>
      <c r="G197" s="9">
        <v>50.4</v>
      </c>
      <c r="H197" s="10" t="s">
        <v>35</v>
      </c>
      <c r="I197" s="16" t="s">
        <v>34</v>
      </c>
      <c r="J197" s="17">
        <v>24</v>
      </c>
      <c r="K197" s="17">
        <v>0</v>
      </c>
      <c r="L197" s="17">
        <v>0</v>
      </c>
      <c r="M197" s="19">
        <f t="shared" si="7"/>
        <v>7.5600000000000023</v>
      </c>
      <c r="N197" s="4">
        <v>0</v>
      </c>
      <c r="O197" s="19">
        <f t="shared" si="8"/>
        <v>1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19">
        <v>182.77</v>
      </c>
      <c r="Y197" s="4">
        <v>0</v>
      </c>
      <c r="Z197" s="19">
        <v>44.15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</row>
    <row r="198" spans="1:32" x14ac:dyDescent="0.3">
      <c r="A198" s="6">
        <v>45488</v>
      </c>
      <c r="B198" s="3" t="s">
        <v>36</v>
      </c>
      <c r="C198" s="8">
        <v>33</v>
      </c>
      <c r="D198" s="9">
        <v>20.5</v>
      </c>
      <c r="E198" s="10" t="s">
        <v>37</v>
      </c>
      <c r="F198" s="11">
        <v>151</v>
      </c>
      <c r="G198" s="9">
        <v>59.8</v>
      </c>
      <c r="H198" s="10" t="s">
        <v>35</v>
      </c>
      <c r="I198" s="16" t="s">
        <v>34</v>
      </c>
      <c r="J198" s="17">
        <v>24</v>
      </c>
      <c r="K198" s="17">
        <v>0</v>
      </c>
      <c r="L198" s="17">
        <v>0</v>
      </c>
      <c r="M198" s="19">
        <f t="shared" si="7"/>
        <v>7.6200000000000045</v>
      </c>
      <c r="N198" s="4">
        <v>0</v>
      </c>
      <c r="O198" s="19">
        <f t="shared" si="8"/>
        <v>0.97999999999999687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19">
        <v>175.15</v>
      </c>
      <c r="Y198" s="4">
        <v>0</v>
      </c>
      <c r="Z198" s="19">
        <v>43.17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</row>
    <row r="199" spans="1:32" x14ac:dyDescent="0.3">
      <c r="A199" s="6">
        <v>45489</v>
      </c>
      <c r="B199" s="3" t="s">
        <v>36</v>
      </c>
      <c r="C199" s="8">
        <v>33</v>
      </c>
      <c r="D199" s="9">
        <v>27.1</v>
      </c>
      <c r="E199" s="10" t="s">
        <v>37</v>
      </c>
      <c r="F199" s="11">
        <v>151</v>
      </c>
      <c r="G199" s="9">
        <v>57.7</v>
      </c>
      <c r="H199" s="10" t="s">
        <v>35</v>
      </c>
      <c r="I199" s="16" t="s">
        <v>34</v>
      </c>
      <c r="J199" s="17">
        <v>24</v>
      </c>
      <c r="K199" s="17">
        <v>0</v>
      </c>
      <c r="L199" s="17">
        <v>0</v>
      </c>
      <c r="M199" s="19">
        <f t="shared" si="7"/>
        <v>4.6100000000000136</v>
      </c>
      <c r="N199" s="4">
        <v>0</v>
      </c>
      <c r="O199" s="19">
        <f t="shared" si="8"/>
        <v>0.89999999999999858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19">
        <v>170.54</v>
      </c>
      <c r="Y199" s="4">
        <v>0</v>
      </c>
      <c r="Z199" s="19">
        <v>42.27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</row>
    <row r="200" spans="1:32" x14ac:dyDescent="0.3">
      <c r="A200" s="6">
        <v>45490</v>
      </c>
      <c r="B200" s="3" t="s">
        <v>36</v>
      </c>
      <c r="C200" s="8">
        <v>33</v>
      </c>
      <c r="D200" s="9">
        <v>5.9</v>
      </c>
      <c r="E200" s="10" t="s">
        <v>37</v>
      </c>
      <c r="F200" s="11">
        <v>152</v>
      </c>
      <c r="G200" s="9">
        <v>34.1</v>
      </c>
      <c r="H200" s="10" t="s">
        <v>35</v>
      </c>
      <c r="I200" s="16" t="s">
        <v>34</v>
      </c>
      <c r="J200" s="17">
        <v>24</v>
      </c>
      <c r="K200" s="17">
        <v>0</v>
      </c>
      <c r="L200" s="17">
        <v>0</v>
      </c>
      <c r="M200" s="19">
        <f t="shared" si="7"/>
        <v>4.6999999999999886</v>
      </c>
      <c r="N200" s="4">
        <v>0</v>
      </c>
      <c r="O200" s="19">
        <f t="shared" si="8"/>
        <v>0.90000000000000568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19">
        <v>165.84</v>
      </c>
      <c r="Y200" s="4">
        <v>0</v>
      </c>
      <c r="Z200" s="19">
        <v>41.37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</row>
    <row r="201" spans="1:32" x14ac:dyDescent="0.3">
      <c r="A201" s="6">
        <v>45491</v>
      </c>
      <c r="B201" s="3" t="s">
        <v>36</v>
      </c>
      <c r="C201" s="8">
        <v>33</v>
      </c>
      <c r="D201" s="9">
        <v>59.5</v>
      </c>
      <c r="E201" s="10" t="s">
        <v>37</v>
      </c>
      <c r="F201" s="11">
        <v>151</v>
      </c>
      <c r="G201" s="9">
        <v>52.7</v>
      </c>
      <c r="H201" s="10" t="s">
        <v>35</v>
      </c>
      <c r="I201" s="16" t="s">
        <v>34</v>
      </c>
      <c r="J201" s="17">
        <v>24</v>
      </c>
      <c r="K201" s="17">
        <v>0</v>
      </c>
      <c r="L201" s="17">
        <v>0</v>
      </c>
      <c r="M201" s="19">
        <f t="shared" si="7"/>
        <v>5.9200000000000159</v>
      </c>
      <c r="N201" s="4">
        <v>0</v>
      </c>
      <c r="O201" s="19">
        <f t="shared" si="8"/>
        <v>0.89999999999999858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19">
        <v>159.91999999999999</v>
      </c>
      <c r="Y201" s="4">
        <v>0</v>
      </c>
      <c r="Z201" s="19">
        <v>40.47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</row>
    <row r="202" spans="1:32" x14ac:dyDescent="0.3">
      <c r="A202" s="6">
        <v>45492</v>
      </c>
      <c r="B202" s="3" t="s">
        <v>36</v>
      </c>
      <c r="C202" s="8">
        <v>33</v>
      </c>
      <c r="D202" s="9">
        <v>59.5</v>
      </c>
      <c r="E202" s="10" t="s">
        <v>37</v>
      </c>
      <c r="F202" s="11">
        <v>151</v>
      </c>
      <c r="G202" s="9">
        <v>52.7</v>
      </c>
      <c r="H202" s="10" t="s">
        <v>35</v>
      </c>
      <c r="I202" s="16" t="s">
        <v>34</v>
      </c>
      <c r="J202" s="17">
        <v>24</v>
      </c>
      <c r="K202" s="17">
        <v>0</v>
      </c>
      <c r="L202" s="17">
        <v>0</v>
      </c>
      <c r="M202" s="19">
        <f t="shared" si="7"/>
        <v>3.5799999999999841</v>
      </c>
      <c r="N202" s="4">
        <v>0</v>
      </c>
      <c r="O202" s="19">
        <f t="shared" si="8"/>
        <v>0.93999999999999773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19">
        <v>156.34</v>
      </c>
      <c r="Y202" s="4">
        <v>0</v>
      </c>
      <c r="Z202" s="19">
        <v>39.53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</row>
    <row r="203" spans="1:32" x14ac:dyDescent="0.3">
      <c r="A203" s="6">
        <v>45493</v>
      </c>
      <c r="B203" s="3" t="s">
        <v>36</v>
      </c>
      <c r="C203" s="8">
        <v>33</v>
      </c>
      <c r="D203" s="9">
        <v>59.5</v>
      </c>
      <c r="E203" s="10" t="s">
        <v>37</v>
      </c>
      <c r="F203" s="11">
        <v>151</v>
      </c>
      <c r="G203" s="9">
        <v>52.7</v>
      </c>
      <c r="H203" s="10" t="s">
        <v>35</v>
      </c>
      <c r="I203" s="16" t="s">
        <v>34</v>
      </c>
      <c r="J203" s="17">
        <v>24</v>
      </c>
      <c r="K203" s="17">
        <v>0</v>
      </c>
      <c r="L203" s="17">
        <v>0</v>
      </c>
      <c r="M203" s="19">
        <f t="shared" si="7"/>
        <v>2.9000000000000057</v>
      </c>
      <c r="N203" s="4">
        <v>0</v>
      </c>
      <c r="O203" s="19">
        <f t="shared" si="8"/>
        <v>0.95000000000000284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19">
        <v>153.44</v>
      </c>
      <c r="Y203" s="4">
        <v>0</v>
      </c>
      <c r="Z203" s="19">
        <v>38.58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</row>
    <row r="204" spans="1:32" x14ac:dyDescent="0.3">
      <c r="A204" s="6">
        <v>45494</v>
      </c>
      <c r="B204" s="3" t="s">
        <v>36</v>
      </c>
      <c r="C204" s="8">
        <v>33</v>
      </c>
      <c r="D204" s="9">
        <v>59.5</v>
      </c>
      <c r="E204" s="10" t="s">
        <v>37</v>
      </c>
      <c r="F204" s="11">
        <v>151</v>
      </c>
      <c r="G204" s="9">
        <v>52.7</v>
      </c>
      <c r="H204" s="10" t="s">
        <v>35</v>
      </c>
      <c r="I204" s="16" t="s">
        <v>34</v>
      </c>
      <c r="J204" s="17">
        <v>24</v>
      </c>
      <c r="K204" s="17">
        <v>0</v>
      </c>
      <c r="L204" s="17">
        <v>0</v>
      </c>
      <c r="M204" s="19">
        <f t="shared" si="7"/>
        <v>1.8000000000000114</v>
      </c>
      <c r="N204" s="4">
        <v>0</v>
      </c>
      <c r="O204" s="19">
        <f t="shared" si="8"/>
        <v>0.89999999999999858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19">
        <v>151.63999999999999</v>
      </c>
      <c r="Y204" s="4">
        <v>0</v>
      </c>
      <c r="Z204" s="19">
        <v>37.68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</row>
    <row r="205" spans="1:32" x14ac:dyDescent="0.3">
      <c r="A205" s="6">
        <v>45495</v>
      </c>
      <c r="B205" s="3" t="s">
        <v>36</v>
      </c>
      <c r="C205" s="8">
        <v>33</v>
      </c>
      <c r="D205" s="9">
        <v>59.5</v>
      </c>
      <c r="E205" s="10" t="s">
        <v>37</v>
      </c>
      <c r="F205" s="11">
        <v>151</v>
      </c>
      <c r="G205" s="9">
        <v>52.7</v>
      </c>
      <c r="H205" s="10" t="s">
        <v>35</v>
      </c>
      <c r="I205" s="16" t="s">
        <v>34</v>
      </c>
      <c r="J205" s="17">
        <v>24</v>
      </c>
      <c r="K205" s="17">
        <v>0</v>
      </c>
      <c r="L205" s="17">
        <v>0</v>
      </c>
      <c r="M205" s="19">
        <f t="shared" si="7"/>
        <v>1.7999999999999829</v>
      </c>
      <c r="N205" s="4">
        <v>0</v>
      </c>
      <c r="O205" s="19">
        <f t="shared" si="8"/>
        <v>0.89999999999999858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19">
        <v>149.84</v>
      </c>
      <c r="Y205" s="4">
        <v>0</v>
      </c>
      <c r="Z205" s="19">
        <v>36.78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</row>
    <row r="206" spans="1:32" x14ac:dyDescent="0.3">
      <c r="A206" s="6">
        <v>45496</v>
      </c>
      <c r="B206" s="3" t="s">
        <v>36</v>
      </c>
      <c r="C206" s="8">
        <v>33</v>
      </c>
      <c r="D206" s="9">
        <v>59.5</v>
      </c>
      <c r="E206" s="10" t="s">
        <v>37</v>
      </c>
      <c r="F206" s="11">
        <v>151</v>
      </c>
      <c r="G206" s="9">
        <v>52.7</v>
      </c>
      <c r="H206" s="10" t="s">
        <v>35</v>
      </c>
      <c r="I206" s="16" t="s">
        <v>34</v>
      </c>
      <c r="J206" s="17">
        <v>24</v>
      </c>
      <c r="K206" s="17">
        <v>0</v>
      </c>
      <c r="L206" s="17">
        <v>0</v>
      </c>
      <c r="M206" s="19">
        <f t="shared" si="7"/>
        <v>1.7800000000000011</v>
      </c>
      <c r="N206" s="4">
        <v>0</v>
      </c>
      <c r="O206" s="19">
        <f t="shared" si="8"/>
        <v>0.89999999999999858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19">
        <v>148.06</v>
      </c>
      <c r="Y206" s="4">
        <v>0</v>
      </c>
      <c r="Z206" s="19">
        <v>35.880000000000003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</row>
    <row r="207" spans="1:32" x14ac:dyDescent="0.3">
      <c r="A207" s="6">
        <v>45497</v>
      </c>
      <c r="B207" s="3" t="s">
        <v>36</v>
      </c>
      <c r="C207" s="8">
        <v>32</v>
      </c>
      <c r="D207" s="9">
        <v>46.9</v>
      </c>
      <c r="E207" s="10" t="s">
        <v>37</v>
      </c>
      <c r="F207" s="11">
        <v>152</v>
      </c>
      <c r="G207" s="9">
        <v>19.8</v>
      </c>
      <c r="H207" s="10" t="s">
        <v>35</v>
      </c>
      <c r="I207" s="16" t="s">
        <v>34</v>
      </c>
      <c r="J207" s="17">
        <v>24</v>
      </c>
      <c r="K207" s="17">
        <v>1.7</v>
      </c>
      <c r="L207" s="17">
        <v>14.1</v>
      </c>
      <c r="M207" s="19">
        <f t="shared" si="7"/>
        <v>5.0900000000000034</v>
      </c>
      <c r="N207" s="4">
        <v>0</v>
      </c>
      <c r="O207" s="19">
        <f t="shared" si="8"/>
        <v>0.90000000000000568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19">
        <v>142.97</v>
      </c>
      <c r="Y207" s="4">
        <v>0</v>
      </c>
      <c r="Z207" s="19">
        <v>34.979999999999997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</row>
    <row r="208" spans="1:32" x14ac:dyDescent="0.3">
      <c r="A208" s="6">
        <v>45498</v>
      </c>
      <c r="B208" s="3" t="s">
        <v>36</v>
      </c>
      <c r="C208" s="8">
        <v>28</v>
      </c>
      <c r="D208" s="9">
        <v>41.9</v>
      </c>
      <c r="E208" s="10" t="s">
        <v>37</v>
      </c>
      <c r="F208" s="11">
        <v>153</v>
      </c>
      <c r="G208" s="9">
        <v>48.4</v>
      </c>
      <c r="H208" s="10" t="s">
        <v>35</v>
      </c>
      <c r="I208" s="16" t="s">
        <v>34</v>
      </c>
      <c r="J208" s="17">
        <v>24</v>
      </c>
      <c r="K208" s="17">
        <v>24</v>
      </c>
      <c r="L208" s="17">
        <v>262</v>
      </c>
      <c r="M208" s="19">
        <f t="shared" si="7"/>
        <v>17.700000000000003</v>
      </c>
      <c r="N208" s="4">
        <v>0</v>
      </c>
      <c r="O208" s="19">
        <f t="shared" si="8"/>
        <v>0.89999999999999858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19">
        <v>125.27</v>
      </c>
      <c r="Y208" s="4">
        <v>0</v>
      </c>
      <c r="Z208" s="19">
        <v>34.08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</row>
    <row r="209" spans="1:32" x14ac:dyDescent="0.3">
      <c r="A209" s="6">
        <v>45499</v>
      </c>
      <c r="B209" s="3" t="s">
        <v>36</v>
      </c>
      <c r="C209" s="8">
        <v>24</v>
      </c>
      <c r="D209" s="9">
        <v>18.399999999999999</v>
      </c>
      <c r="E209" s="10" t="s">
        <v>37</v>
      </c>
      <c r="F209" s="11">
        <v>153</v>
      </c>
      <c r="G209" s="9">
        <v>17</v>
      </c>
      <c r="H209" s="10" t="s">
        <v>35</v>
      </c>
      <c r="I209" s="16" t="s">
        <v>34</v>
      </c>
      <c r="J209" s="17">
        <v>24</v>
      </c>
      <c r="K209" s="17">
        <v>24</v>
      </c>
      <c r="L209" s="17">
        <v>273</v>
      </c>
      <c r="M209" s="19">
        <f t="shared" si="7"/>
        <v>15.939999999999998</v>
      </c>
      <c r="N209" s="4">
        <v>0</v>
      </c>
      <c r="O209" s="19">
        <f t="shared" si="8"/>
        <v>0.39000000000000057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19">
        <v>109.33</v>
      </c>
      <c r="Y209" s="4">
        <v>0</v>
      </c>
      <c r="Z209" s="19">
        <v>33.69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</row>
    <row r="210" spans="1:32" x14ac:dyDescent="0.3">
      <c r="A210" s="6">
        <v>45500</v>
      </c>
      <c r="B210" s="3" t="s">
        <v>36</v>
      </c>
      <c r="C210" s="8">
        <v>23</v>
      </c>
      <c r="D210" s="9">
        <v>53</v>
      </c>
      <c r="E210" s="10" t="s">
        <v>37</v>
      </c>
      <c r="F210" s="11">
        <v>151</v>
      </c>
      <c r="G210" s="9">
        <v>31.4</v>
      </c>
      <c r="H210" s="10" t="s">
        <v>35</v>
      </c>
      <c r="I210" s="16" t="s">
        <v>34</v>
      </c>
      <c r="J210" s="17">
        <v>24</v>
      </c>
      <c r="K210" s="17">
        <v>10</v>
      </c>
      <c r="L210" s="17">
        <v>87</v>
      </c>
      <c r="M210" s="19">
        <f>X209-X210+260</f>
        <v>7.2599999999999909</v>
      </c>
      <c r="N210" s="4">
        <v>0</v>
      </c>
      <c r="O210" s="19">
        <f t="shared" si="8"/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19">
        <v>362.07</v>
      </c>
      <c r="Y210" s="4">
        <v>0</v>
      </c>
      <c r="Z210" s="19">
        <v>33.69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</row>
    <row r="211" spans="1:32" x14ac:dyDescent="0.3">
      <c r="A211" s="6">
        <v>45501</v>
      </c>
      <c r="B211" s="3" t="s">
        <v>36</v>
      </c>
      <c r="C211" s="8">
        <v>23</v>
      </c>
      <c r="D211" s="9">
        <v>53</v>
      </c>
      <c r="E211" s="10" t="s">
        <v>37</v>
      </c>
      <c r="F211" s="11">
        <v>151</v>
      </c>
      <c r="G211" s="9">
        <v>31.4</v>
      </c>
      <c r="H211" s="10" t="s">
        <v>35</v>
      </c>
      <c r="I211" s="16" t="s">
        <v>34</v>
      </c>
      <c r="J211" s="17">
        <v>24</v>
      </c>
      <c r="K211" s="17">
        <v>0</v>
      </c>
      <c r="L211" s="17">
        <v>0</v>
      </c>
      <c r="M211" s="19">
        <f t="shared" si="7"/>
        <v>2.0199999999999818</v>
      </c>
      <c r="N211" s="4">
        <v>0</v>
      </c>
      <c r="O211" s="19">
        <f t="shared" si="8"/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19">
        <v>360.05</v>
      </c>
      <c r="Y211" s="4">
        <v>0</v>
      </c>
      <c r="Z211" s="19">
        <v>33.69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</row>
    <row r="212" spans="1:32" x14ac:dyDescent="0.3">
      <c r="A212" s="6">
        <v>45502</v>
      </c>
      <c r="B212" s="3" t="s">
        <v>36</v>
      </c>
      <c r="C212" s="8">
        <v>20</v>
      </c>
      <c r="D212" s="9">
        <v>40.6</v>
      </c>
      <c r="E212" s="10" t="s">
        <v>37</v>
      </c>
      <c r="F212" s="11">
        <v>149</v>
      </c>
      <c r="G212" s="9">
        <v>40.799999999999997</v>
      </c>
      <c r="H212" s="10" t="s">
        <v>35</v>
      </c>
      <c r="I212" s="16" t="s">
        <v>34</v>
      </c>
      <c r="J212" s="17">
        <v>24</v>
      </c>
      <c r="K212" s="17">
        <v>16.399999999999999</v>
      </c>
      <c r="L212" s="17">
        <v>212</v>
      </c>
      <c r="M212" s="19">
        <f t="shared" si="7"/>
        <v>11.980000000000018</v>
      </c>
      <c r="N212" s="4">
        <v>0</v>
      </c>
      <c r="O212" s="19">
        <f t="shared" si="8"/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19">
        <v>348.07</v>
      </c>
      <c r="Y212" s="4">
        <v>0</v>
      </c>
      <c r="Z212" s="19">
        <v>33.69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</row>
    <row r="213" spans="1:32" x14ac:dyDescent="0.3">
      <c r="A213" s="6">
        <v>45503</v>
      </c>
      <c r="B213" s="3" t="s">
        <v>36</v>
      </c>
      <c r="C213" s="8">
        <v>16</v>
      </c>
      <c r="D213" s="9">
        <v>51.3</v>
      </c>
      <c r="E213" s="10" t="s">
        <v>37</v>
      </c>
      <c r="F213" s="11">
        <v>147</v>
      </c>
      <c r="G213" s="9">
        <v>26.7</v>
      </c>
      <c r="H213" s="10" t="s">
        <v>35</v>
      </c>
      <c r="I213" s="16" t="s">
        <v>34</v>
      </c>
      <c r="J213" s="17">
        <v>24</v>
      </c>
      <c r="K213" s="17">
        <v>24</v>
      </c>
      <c r="L213" s="17">
        <v>265</v>
      </c>
      <c r="M213" s="19">
        <f t="shared" si="7"/>
        <v>14.800000000000011</v>
      </c>
      <c r="N213" s="4">
        <v>0</v>
      </c>
      <c r="O213" s="19">
        <f t="shared" si="8"/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19">
        <v>333.27</v>
      </c>
      <c r="Y213" s="4">
        <v>0</v>
      </c>
      <c r="Z213" s="19">
        <v>33.69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</row>
    <row r="214" spans="1:32" x14ac:dyDescent="0.3">
      <c r="A214" s="6">
        <v>45504</v>
      </c>
      <c r="B214" s="3" t="s">
        <v>36</v>
      </c>
      <c r="C214" s="8">
        <v>12</v>
      </c>
      <c r="D214" s="9">
        <v>45.4</v>
      </c>
      <c r="E214" s="10" t="s">
        <v>37</v>
      </c>
      <c r="F214" s="11">
        <v>147</v>
      </c>
      <c r="G214" s="9">
        <v>41.5</v>
      </c>
      <c r="H214" s="10" t="s">
        <v>35</v>
      </c>
      <c r="I214" s="16" t="s">
        <v>34</v>
      </c>
      <c r="J214" s="17">
        <v>24</v>
      </c>
      <c r="K214" s="17">
        <v>12</v>
      </c>
      <c r="L214" s="17">
        <v>292</v>
      </c>
      <c r="M214" s="19">
        <f t="shared" si="7"/>
        <v>15.029999999999973</v>
      </c>
      <c r="N214" s="4">
        <v>0</v>
      </c>
      <c r="O214" s="19">
        <f t="shared" si="8"/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19">
        <v>318.24</v>
      </c>
      <c r="Y214" s="4">
        <v>0</v>
      </c>
      <c r="Z214" s="19">
        <v>33.69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</row>
    <row r="215" spans="1:32" x14ac:dyDescent="0.3">
      <c r="A215" s="6">
        <v>45505</v>
      </c>
      <c r="B215" s="3" t="s">
        <v>36</v>
      </c>
      <c r="C215" s="8">
        <v>10</v>
      </c>
      <c r="D215" s="9">
        <v>25.9</v>
      </c>
      <c r="E215" s="10" t="s">
        <v>37</v>
      </c>
      <c r="F215" s="11">
        <v>145</v>
      </c>
      <c r="G215" s="9">
        <v>22.9</v>
      </c>
      <c r="H215" s="10" t="s">
        <v>35</v>
      </c>
      <c r="I215" s="16" t="s">
        <v>34</v>
      </c>
      <c r="J215" s="17">
        <v>24</v>
      </c>
      <c r="K215" s="17">
        <v>24</v>
      </c>
      <c r="L215" s="17">
        <v>237</v>
      </c>
      <c r="M215" s="19">
        <f t="shared" si="7"/>
        <v>67.920000000000016</v>
      </c>
      <c r="N215" s="4">
        <v>0</v>
      </c>
      <c r="O215" s="19">
        <f t="shared" si="8"/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19">
        <v>250.32</v>
      </c>
      <c r="Y215" s="4">
        <v>0</v>
      </c>
      <c r="Z215" s="19">
        <v>33.69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</row>
    <row r="216" spans="1:32" x14ac:dyDescent="0.3">
      <c r="A216" s="6">
        <v>45506</v>
      </c>
      <c r="B216" s="3" t="s">
        <v>36</v>
      </c>
      <c r="C216" s="8">
        <v>9</v>
      </c>
      <c r="D216" s="9">
        <v>26.6</v>
      </c>
      <c r="E216" s="10" t="s">
        <v>37</v>
      </c>
      <c r="F216" s="11">
        <v>143</v>
      </c>
      <c r="G216" s="9">
        <v>26.1</v>
      </c>
      <c r="H216" s="10" t="s">
        <v>35</v>
      </c>
      <c r="I216" s="16" t="s">
        <v>34</v>
      </c>
      <c r="J216" s="17">
        <v>24</v>
      </c>
      <c r="K216" s="17">
        <v>14.9</v>
      </c>
      <c r="L216" s="17">
        <v>15.6</v>
      </c>
      <c r="M216" s="19">
        <f t="shared" si="7"/>
        <v>12.319999999999993</v>
      </c>
      <c r="N216" s="4">
        <v>0</v>
      </c>
      <c r="O216" s="19">
        <f t="shared" si="8"/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19">
        <v>238</v>
      </c>
      <c r="Y216" s="4">
        <v>0</v>
      </c>
      <c r="Z216" s="19">
        <v>33.69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</row>
    <row r="217" spans="1:32" x14ac:dyDescent="0.3">
      <c r="A217" s="6">
        <v>45507</v>
      </c>
      <c r="B217" s="3" t="s">
        <v>36</v>
      </c>
      <c r="C217" s="8">
        <v>10</v>
      </c>
      <c r="D217" s="9">
        <v>31.2</v>
      </c>
      <c r="E217" s="10" t="s">
        <v>37</v>
      </c>
      <c r="F217" s="11">
        <v>140</v>
      </c>
      <c r="G217" s="9">
        <v>33.4</v>
      </c>
      <c r="H217" s="10" t="s">
        <v>35</v>
      </c>
      <c r="I217" s="16" t="s">
        <v>34</v>
      </c>
      <c r="J217" s="17">
        <v>24</v>
      </c>
      <c r="K217" s="17">
        <v>16</v>
      </c>
      <c r="L217" s="17">
        <v>222</v>
      </c>
      <c r="M217" s="19">
        <f t="shared" si="7"/>
        <v>7.8899999999999864</v>
      </c>
      <c r="N217" s="4">
        <v>0</v>
      </c>
      <c r="O217" s="19">
        <f t="shared" si="8"/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19">
        <v>230.11</v>
      </c>
      <c r="Y217" s="4">
        <v>0</v>
      </c>
      <c r="Z217" s="19">
        <v>33.69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</row>
    <row r="218" spans="1:32" x14ac:dyDescent="0.3">
      <c r="A218" s="6">
        <v>45508</v>
      </c>
      <c r="B218" s="3" t="s">
        <v>36</v>
      </c>
      <c r="C218" s="8">
        <v>9</v>
      </c>
      <c r="D218" s="9">
        <v>34.6</v>
      </c>
      <c r="E218" s="10" t="s">
        <v>37</v>
      </c>
      <c r="F218" s="11">
        <v>134</v>
      </c>
      <c r="G218" s="9">
        <v>49</v>
      </c>
      <c r="H218" s="10" t="s">
        <v>35</v>
      </c>
      <c r="I218" s="16" t="s">
        <v>34</v>
      </c>
      <c r="J218" s="17">
        <v>24</v>
      </c>
      <c r="K218" s="17">
        <v>24</v>
      </c>
      <c r="L218" s="17">
        <v>334</v>
      </c>
      <c r="M218" s="19">
        <f t="shared" si="7"/>
        <v>7.2300000000000182</v>
      </c>
      <c r="N218" s="4">
        <v>0</v>
      </c>
      <c r="O218" s="19">
        <f t="shared" si="8"/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19">
        <v>222.88</v>
      </c>
      <c r="Y218" s="4">
        <v>0</v>
      </c>
      <c r="Z218" s="19">
        <v>33.69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</row>
    <row r="219" spans="1:32" x14ac:dyDescent="0.3">
      <c r="A219" s="6">
        <v>45509</v>
      </c>
      <c r="B219" s="3" t="s">
        <v>36</v>
      </c>
      <c r="C219" s="8">
        <v>8</v>
      </c>
      <c r="D219" s="9">
        <v>44.1</v>
      </c>
      <c r="E219" s="10" t="s">
        <v>37</v>
      </c>
      <c r="F219" s="11">
        <v>129</v>
      </c>
      <c r="G219" s="9">
        <v>44</v>
      </c>
      <c r="H219" s="10" t="s">
        <v>35</v>
      </c>
      <c r="I219" s="16" t="s">
        <v>34</v>
      </c>
      <c r="J219" s="17">
        <v>24</v>
      </c>
      <c r="K219" s="17">
        <v>24</v>
      </c>
      <c r="L219" s="17">
        <v>307</v>
      </c>
      <c r="M219" s="19">
        <f t="shared" si="7"/>
        <v>8.2199999999999989</v>
      </c>
      <c r="N219" s="4">
        <v>0</v>
      </c>
      <c r="O219" s="19">
        <f t="shared" si="8"/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19">
        <v>214.66</v>
      </c>
      <c r="Y219" s="4">
        <v>0</v>
      </c>
      <c r="Z219" s="19">
        <v>33.69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</row>
    <row r="220" spans="1:32" x14ac:dyDescent="0.3">
      <c r="A220" s="6">
        <v>45510</v>
      </c>
      <c r="B220" s="3" t="s">
        <v>36</v>
      </c>
      <c r="C220" s="8">
        <v>7</v>
      </c>
      <c r="D220" s="9">
        <v>32.1</v>
      </c>
      <c r="E220" s="10" t="s">
        <v>37</v>
      </c>
      <c r="F220" s="11">
        <v>124</v>
      </c>
      <c r="G220" s="9">
        <v>23.5</v>
      </c>
      <c r="H220" s="10" t="s">
        <v>35</v>
      </c>
      <c r="I220" s="16" t="s">
        <v>34</v>
      </c>
      <c r="J220" s="17">
        <v>24</v>
      </c>
      <c r="K220" s="17">
        <v>24</v>
      </c>
      <c r="L220" s="17">
        <v>326</v>
      </c>
      <c r="M220" s="19">
        <f>X219-X220</f>
        <v>2.0999999999999943</v>
      </c>
      <c r="N220" s="4">
        <v>0</v>
      </c>
      <c r="O220" s="19">
        <f t="shared" si="8"/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19">
        <v>212.56</v>
      </c>
      <c r="Y220" s="4">
        <v>0</v>
      </c>
      <c r="Z220" s="19">
        <v>33.69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</row>
    <row r="221" spans="1:32" x14ac:dyDescent="0.3">
      <c r="A221" s="6">
        <v>45511</v>
      </c>
      <c r="B221" s="3" t="s">
        <v>36</v>
      </c>
      <c r="C221" s="8">
        <v>5</v>
      </c>
      <c r="D221" s="9">
        <v>59</v>
      </c>
      <c r="E221" s="10" t="s">
        <v>37</v>
      </c>
      <c r="F221" s="11">
        <v>119</v>
      </c>
      <c r="G221" s="9">
        <v>0</v>
      </c>
      <c r="H221" s="10" t="s">
        <v>35</v>
      </c>
      <c r="I221" s="16" t="s">
        <v>34</v>
      </c>
      <c r="J221" s="17">
        <v>24</v>
      </c>
      <c r="K221" s="17">
        <v>24</v>
      </c>
      <c r="L221" s="17">
        <v>349</v>
      </c>
      <c r="M221" s="19">
        <f t="shared" si="7"/>
        <v>1.789999999999992</v>
      </c>
      <c r="N221" s="4">
        <v>0</v>
      </c>
      <c r="O221" s="19">
        <f t="shared" si="8"/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19">
        <v>210.77</v>
      </c>
      <c r="Y221" s="4">
        <v>0</v>
      </c>
      <c r="Z221" s="19">
        <v>33.69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</row>
    <row r="222" spans="1:32" x14ac:dyDescent="0.3">
      <c r="A222" s="6">
        <v>45512</v>
      </c>
      <c r="B222" s="3" t="s">
        <v>36</v>
      </c>
      <c r="C222" s="8">
        <v>5</v>
      </c>
      <c r="D222" s="9">
        <v>30.9</v>
      </c>
      <c r="E222" s="10" t="s">
        <v>37</v>
      </c>
      <c r="F222" s="11">
        <v>113</v>
      </c>
      <c r="G222" s="9">
        <v>24.7</v>
      </c>
      <c r="H222" s="10" t="s">
        <v>35</v>
      </c>
      <c r="I222" s="16" t="s">
        <v>34</v>
      </c>
      <c r="J222" s="17">
        <v>24</v>
      </c>
      <c r="K222" s="17">
        <v>24</v>
      </c>
      <c r="L222" s="17">
        <v>363</v>
      </c>
      <c r="M222" s="19">
        <f t="shared" si="7"/>
        <v>1.6899999999999977</v>
      </c>
      <c r="N222" s="4">
        <v>0</v>
      </c>
      <c r="O222" s="19">
        <f t="shared" si="8"/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19">
        <v>209.08</v>
      </c>
      <c r="Y222" s="4">
        <v>0</v>
      </c>
      <c r="Z222" s="19">
        <v>33.69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</row>
    <row r="223" spans="1:32" x14ac:dyDescent="0.3">
      <c r="A223" s="6">
        <v>45513</v>
      </c>
      <c r="B223" s="3" t="s">
        <v>36</v>
      </c>
      <c r="C223" s="8">
        <v>2</v>
      </c>
      <c r="D223" s="9">
        <v>51.9</v>
      </c>
      <c r="E223" s="10" t="s">
        <v>37</v>
      </c>
      <c r="F223" s="11">
        <v>109</v>
      </c>
      <c r="G223" s="9">
        <v>13.4</v>
      </c>
      <c r="H223" s="10" t="s">
        <v>35</v>
      </c>
      <c r="I223" s="16" t="s">
        <v>34</v>
      </c>
      <c r="J223" s="17">
        <v>24</v>
      </c>
      <c r="K223" s="17">
        <v>24</v>
      </c>
      <c r="L223" s="17">
        <v>363</v>
      </c>
      <c r="M223" s="19">
        <f t="shared" si="7"/>
        <v>1.1000000000000227</v>
      </c>
      <c r="N223" s="4">
        <v>0</v>
      </c>
      <c r="O223" s="19">
        <f t="shared" si="8"/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19">
        <v>207.98</v>
      </c>
      <c r="Y223" s="4">
        <v>0</v>
      </c>
      <c r="Z223" s="19">
        <v>33.69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</row>
    <row r="224" spans="1:32" x14ac:dyDescent="0.3">
      <c r="A224" s="6">
        <v>45514</v>
      </c>
      <c r="B224" s="3" t="s">
        <v>36</v>
      </c>
      <c r="C224" s="8">
        <v>0</v>
      </c>
      <c r="D224" s="9">
        <v>43.9</v>
      </c>
      <c r="E224" s="10" t="s">
        <v>33</v>
      </c>
      <c r="F224" s="11">
        <v>105</v>
      </c>
      <c r="G224" s="9">
        <v>36.799999999999997</v>
      </c>
      <c r="H224" s="10" t="s">
        <v>35</v>
      </c>
      <c r="I224" s="16" t="s">
        <v>34</v>
      </c>
      <c r="J224" s="17">
        <v>24</v>
      </c>
      <c r="K224" s="17">
        <v>24</v>
      </c>
      <c r="L224" s="17">
        <v>349</v>
      </c>
      <c r="M224" s="19">
        <f t="shared" si="7"/>
        <v>1.4299999999999784</v>
      </c>
      <c r="N224" s="4">
        <v>0</v>
      </c>
      <c r="O224" s="19">
        <f t="shared" si="8"/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19">
        <v>206.55</v>
      </c>
      <c r="Y224" s="4">
        <v>0</v>
      </c>
      <c r="Z224" s="19">
        <v>33.69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</row>
    <row r="225" spans="1:32" x14ac:dyDescent="0.3">
      <c r="A225" s="6">
        <v>45515</v>
      </c>
      <c r="B225" s="3" t="s">
        <v>36</v>
      </c>
      <c r="C225" s="8">
        <v>1</v>
      </c>
      <c r="D225" s="9">
        <v>11.3</v>
      </c>
      <c r="E225" s="10" t="s">
        <v>33</v>
      </c>
      <c r="F225" s="11">
        <v>103</v>
      </c>
      <c r="G225" s="9">
        <v>45.5</v>
      </c>
      <c r="H225" s="10" t="s">
        <v>35</v>
      </c>
      <c r="I225" s="16" t="s">
        <v>34</v>
      </c>
      <c r="J225" s="17">
        <v>24</v>
      </c>
      <c r="K225" s="17">
        <v>12.8</v>
      </c>
      <c r="L225" s="17">
        <v>150</v>
      </c>
      <c r="M225" s="19">
        <f t="shared" si="7"/>
        <v>1.1500000000000057</v>
      </c>
      <c r="N225" s="4">
        <v>0</v>
      </c>
      <c r="O225" s="19">
        <f t="shared" si="8"/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19">
        <v>205.4</v>
      </c>
      <c r="Y225" s="4">
        <v>0</v>
      </c>
      <c r="Z225" s="19">
        <v>33.69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</row>
    <row r="226" spans="1:32" x14ac:dyDescent="0.3">
      <c r="A226" s="6">
        <v>45516</v>
      </c>
      <c r="B226" s="3" t="s">
        <v>36</v>
      </c>
      <c r="C226" s="8">
        <v>1</v>
      </c>
      <c r="D226" s="9">
        <v>11.3</v>
      </c>
      <c r="E226" s="10" t="s">
        <v>33</v>
      </c>
      <c r="F226" s="11">
        <v>103</v>
      </c>
      <c r="G226" s="9">
        <v>45.5</v>
      </c>
      <c r="H226" s="10" t="s">
        <v>35</v>
      </c>
      <c r="I226" s="16" t="s">
        <v>34</v>
      </c>
      <c r="J226" s="17">
        <v>24</v>
      </c>
      <c r="K226" s="17">
        <v>0</v>
      </c>
      <c r="L226" s="17">
        <v>0</v>
      </c>
      <c r="M226" s="19">
        <f t="shared" si="7"/>
        <v>0.92000000000001592</v>
      </c>
      <c r="N226" s="4">
        <v>0</v>
      </c>
      <c r="O226" s="19">
        <f t="shared" si="8"/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19">
        <v>204.48</v>
      </c>
      <c r="Y226" s="4">
        <v>0</v>
      </c>
      <c r="Z226" s="19">
        <v>33.69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</row>
    <row r="227" spans="1:32" x14ac:dyDescent="0.3">
      <c r="A227" s="6">
        <v>45517</v>
      </c>
      <c r="B227" s="3" t="s">
        <v>36</v>
      </c>
      <c r="C227" s="8">
        <v>1</v>
      </c>
      <c r="D227" s="9">
        <v>11.3</v>
      </c>
      <c r="E227" s="10" t="s">
        <v>33</v>
      </c>
      <c r="F227" s="11">
        <v>103</v>
      </c>
      <c r="G227" s="9">
        <v>45.5</v>
      </c>
      <c r="H227" s="10" t="s">
        <v>35</v>
      </c>
      <c r="I227" s="16" t="s">
        <v>34</v>
      </c>
      <c r="J227" s="17">
        <v>24</v>
      </c>
      <c r="K227" s="17">
        <v>0</v>
      </c>
      <c r="L227" s="17">
        <v>0</v>
      </c>
      <c r="M227" s="19">
        <f t="shared" si="7"/>
        <v>1.4699999999999989</v>
      </c>
      <c r="N227" s="4">
        <v>0</v>
      </c>
      <c r="O227" s="19">
        <f t="shared" si="8"/>
        <v>0.89999999999999858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19">
        <v>203.01</v>
      </c>
      <c r="Y227" s="4">
        <v>0</v>
      </c>
      <c r="Z227" s="19">
        <v>32.79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</row>
    <row r="228" spans="1:32" x14ac:dyDescent="0.3">
      <c r="A228" s="6">
        <v>45518</v>
      </c>
      <c r="B228" s="3" t="s">
        <v>36</v>
      </c>
      <c r="C228" s="8">
        <v>1</v>
      </c>
      <c r="D228" s="9">
        <v>11.3</v>
      </c>
      <c r="E228" s="10" t="s">
        <v>33</v>
      </c>
      <c r="F228" s="11">
        <v>103</v>
      </c>
      <c r="G228" s="9">
        <v>45.5</v>
      </c>
      <c r="H228" s="10" t="s">
        <v>35</v>
      </c>
      <c r="I228" s="16" t="s">
        <v>34</v>
      </c>
      <c r="J228" s="17">
        <v>24</v>
      </c>
      <c r="K228" s="17">
        <v>0</v>
      </c>
      <c r="L228" s="17">
        <v>0</v>
      </c>
      <c r="M228" s="19">
        <f t="shared" si="7"/>
        <v>1.5</v>
      </c>
      <c r="N228" s="4">
        <v>0</v>
      </c>
      <c r="O228" s="19">
        <f t="shared" si="8"/>
        <v>0.89999999999999858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19">
        <v>201.51</v>
      </c>
      <c r="Y228" s="4">
        <v>0</v>
      </c>
      <c r="Z228" s="19">
        <v>31.89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</row>
    <row r="229" spans="1:32" x14ac:dyDescent="0.3">
      <c r="A229" s="6">
        <v>45519</v>
      </c>
      <c r="B229" s="3" t="s">
        <v>36</v>
      </c>
      <c r="C229" s="8">
        <v>1</v>
      </c>
      <c r="D229" s="9">
        <v>11.3</v>
      </c>
      <c r="E229" s="10" t="s">
        <v>33</v>
      </c>
      <c r="F229" s="11">
        <v>103</v>
      </c>
      <c r="G229" s="9">
        <v>45.5</v>
      </c>
      <c r="H229" s="10" t="s">
        <v>35</v>
      </c>
      <c r="I229" s="16" t="s">
        <v>34</v>
      </c>
      <c r="J229" s="17">
        <v>24</v>
      </c>
      <c r="K229" s="17">
        <v>0</v>
      </c>
      <c r="L229" s="17">
        <v>0</v>
      </c>
      <c r="M229" s="19">
        <f>X228-X229</f>
        <v>1.4199999999999875</v>
      </c>
      <c r="N229" s="4">
        <v>0</v>
      </c>
      <c r="O229" s="19">
        <f t="shared" si="8"/>
        <v>0.90000000000000213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19">
        <v>200.09</v>
      </c>
      <c r="Y229" s="4">
        <v>0</v>
      </c>
      <c r="Z229" s="19">
        <v>30.99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</row>
    <row r="230" spans="1:32" x14ac:dyDescent="0.3">
      <c r="A230" s="6">
        <v>45520</v>
      </c>
      <c r="B230" s="3" t="s">
        <v>36</v>
      </c>
      <c r="C230" s="8">
        <v>1</v>
      </c>
      <c r="D230" s="9">
        <v>11.3</v>
      </c>
      <c r="E230" s="10" t="s">
        <v>33</v>
      </c>
      <c r="F230" s="11">
        <v>103</v>
      </c>
      <c r="G230" s="9">
        <v>45.5</v>
      </c>
      <c r="H230" s="10" t="s">
        <v>35</v>
      </c>
      <c r="I230" s="16" t="s">
        <v>34</v>
      </c>
      <c r="J230" s="17">
        <v>24</v>
      </c>
      <c r="K230" s="17">
        <v>0</v>
      </c>
      <c r="L230" s="17">
        <v>0</v>
      </c>
      <c r="M230" s="19">
        <f t="shared" si="7"/>
        <v>1.4000000000000057</v>
      </c>
      <c r="N230" s="4">
        <v>0</v>
      </c>
      <c r="O230" s="19">
        <f t="shared" si="8"/>
        <v>0.89999999999999858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19">
        <v>198.69</v>
      </c>
      <c r="Y230" s="4">
        <v>0</v>
      </c>
      <c r="Z230" s="19">
        <v>30.09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</row>
    <row r="231" spans="1:32" x14ac:dyDescent="0.3">
      <c r="A231" s="6">
        <v>45521</v>
      </c>
      <c r="B231" s="3" t="s">
        <v>36</v>
      </c>
      <c r="C231" s="8">
        <v>1</v>
      </c>
      <c r="D231" s="9">
        <v>11.3</v>
      </c>
      <c r="E231" s="10" t="s">
        <v>33</v>
      </c>
      <c r="F231" s="11">
        <v>103</v>
      </c>
      <c r="G231" s="9">
        <v>45.5</v>
      </c>
      <c r="H231" s="10" t="s">
        <v>35</v>
      </c>
      <c r="I231" s="16" t="s">
        <v>34</v>
      </c>
      <c r="J231" s="17">
        <v>24</v>
      </c>
      <c r="K231" s="17">
        <v>0</v>
      </c>
      <c r="L231" s="17">
        <v>0</v>
      </c>
      <c r="M231" s="19">
        <f t="shared" si="7"/>
        <v>1.3899999999999864</v>
      </c>
      <c r="N231" s="4">
        <v>0</v>
      </c>
      <c r="O231" s="19">
        <f t="shared" si="8"/>
        <v>0.94999999999999929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19">
        <v>197.3</v>
      </c>
      <c r="Y231" s="4">
        <v>0</v>
      </c>
      <c r="Z231" s="19">
        <v>29.14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</row>
    <row r="232" spans="1:32" x14ac:dyDescent="0.3">
      <c r="A232" s="6">
        <v>45522</v>
      </c>
      <c r="B232" s="3" t="s">
        <v>36</v>
      </c>
      <c r="C232" s="8">
        <v>1</v>
      </c>
      <c r="D232" s="9">
        <v>11.3</v>
      </c>
      <c r="E232" s="10" t="s">
        <v>33</v>
      </c>
      <c r="F232" s="11">
        <v>103</v>
      </c>
      <c r="G232" s="9">
        <v>45.5</v>
      </c>
      <c r="H232" s="10" t="s">
        <v>35</v>
      </c>
      <c r="I232" s="16" t="s">
        <v>34</v>
      </c>
      <c r="J232" s="17">
        <v>24</v>
      </c>
      <c r="K232" s="17">
        <v>0</v>
      </c>
      <c r="L232" s="17">
        <v>0</v>
      </c>
      <c r="M232" s="19">
        <f t="shared" si="7"/>
        <v>1.3600000000000136</v>
      </c>
      <c r="N232" s="4">
        <v>0</v>
      </c>
      <c r="O232" s="19">
        <f t="shared" si="8"/>
        <v>0.90000000000000213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19">
        <v>195.94</v>
      </c>
      <c r="Y232" s="4">
        <v>0</v>
      </c>
      <c r="Z232" s="19">
        <v>28.24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</row>
    <row r="233" spans="1:32" x14ac:dyDescent="0.3">
      <c r="A233" s="6">
        <v>45523</v>
      </c>
      <c r="B233" s="3" t="s">
        <v>36</v>
      </c>
      <c r="C233" s="8">
        <v>1</v>
      </c>
      <c r="D233" s="9">
        <v>11.3</v>
      </c>
      <c r="E233" s="10" t="s">
        <v>33</v>
      </c>
      <c r="F233" s="11">
        <v>103</v>
      </c>
      <c r="G233" s="9">
        <v>45.5</v>
      </c>
      <c r="H233" s="10" t="s">
        <v>35</v>
      </c>
      <c r="I233" s="16" t="s">
        <v>34</v>
      </c>
      <c r="J233" s="17">
        <v>24</v>
      </c>
      <c r="K233" s="17">
        <v>0</v>
      </c>
      <c r="L233" s="17">
        <v>0</v>
      </c>
      <c r="M233" s="19">
        <f t="shared" ref="M233:M288" si="9">X232-X233</f>
        <v>1.4000000000000057</v>
      </c>
      <c r="N233" s="4">
        <v>0</v>
      </c>
      <c r="O233" s="19">
        <f t="shared" ref="O233:O288" si="10">Z232-Z233</f>
        <v>0.89999999999999858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19">
        <v>194.54</v>
      </c>
      <c r="Y233" s="4">
        <v>0</v>
      </c>
      <c r="Z233" s="19">
        <v>27.34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</row>
    <row r="234" spans="1:32" x14ac:dyDescent="0.3">
      <c r="A234" s="6">
        <v>45524</v>
      </c>
      <c r="B234" s="3" t="s">
        <v>36</v>
      </c>
      <c r="C234" s="8">
        <v>1</v>
      </c>
      <c r="D234" s="9">
        <v>11.3</v>
      </c>
      <c r="E234" s="10" t="s">
        <v>33</v>
      </c>
      <c r="F234" s="11">
        <v>103</v>
      </c>
      <c r="G234" s="9">
        <v>45.5</v>
      </c>
      <c r="H234" s="10" t="s">
        <v>35</v>
      </c>
      <c r="I234" s="16" t="s">
        <v>34</v>
      </c>
      <c r="J234" s="17">
        <v>24</v>
      </c>
      <c r="K234" s="17">
        <v>0</v>
      </c>
      <c r="L234" s="17">
        <v>0</v>
      </c>
      <c r="M234" s="19">
        <f t="shared" si="9"/>
        <v>1.3100000000000023</v>
      </c>
      <c r="N234" s="4">
        <v>0</v>
      </c>
      <c r="O234" s="19">
        <f t="shared" si="10"/>
        <v>0.89999999999999858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19">
        <v>193.23</v>
      </c>
      <c r="Y234" s="4">
        <v>0</v>
      </c>
      <c r="Z234" s="19">
        <v>26.44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</row>
    <row r="235" spans="1:32" x14ac:dyDescent="0.3">
      <c r="A235" s="6">
        <v>45525</v>
      </c>
      <c r="B235" s="3" t="s">
        <v>36</v>
      </c>
      <c r="C235" s="8">
        <v>1</v>
      </c>
      <c r="D235" s="9">
        <v>11.3</v>
      </c>
      <c r="E235" s="10" t="s">
        <v>33</v>
      </c>
      <c r="F235" s="11">
        <v>103</v>
      </c>
      <c r="G235" s="9">
        <v>45.5</v>
      </c>
      <c r="H235" s="10" t="s">
        <v>35</v>
      </c>
      <c r="I235" s="16" t="s">
        <v>34</v>
      </c>
      <c r="J235" s="17">
        <v>24</v>
      </c>
      <c r="K235" s="17">
        <v>0</v>
      </c>
      <c r="L235" s="17">
        <v>0</v>
      </c>
      <c r="M235" s="19">
        <f t="shared" si="9"/>
        <v>1.3999999999999773</v>
      </c>
      <c r="N235" s="4">
        <v>0</v>
      </c>
      <c r="O235" s="19">
        <f t="shared" si="10"/>
        <v>0.90000000000000213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19">
        <v>191.83</v>
      </c>
      <c r="Y235" s="4">
        <v>0</v>
      </c>
      <c r="Z235" s="19">
        <v>25.54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</row>
    <row r="236" spans="1:32" x14ac:dyDescent="0.3">
      <c r="A236" s="6">
        <v>45526</v>
      </c>
      <c r="B236" s="3" t="s">
        <v>36</v>
      </c>
      <c r="C236" s="8">
        <v>1</v>
      </c>
      <c r="D236" s="9">
        <v>11.3</v>
      </c>
      <c r="E236" s="10" t="s">
        <v>33</v>
      </c>
      <c r="F236" s="11">
        <v>103</v>
      </c>
      <c r="G236" s="9">
        <v>45.5</v>
      </c>
      <c r="H236" s="10" t="s">
        <v>35</v>
      </c>
      <c r="I236" s="16" t="s">
        <v>34</v>
      </c>
      <c r="J236" s="17">
        <v>24</v>
      </c>
      <c r="K236" s="17">
        <v>0</v>
      </c>
      <c r="L236" s="17">
        <v>0</v>
      </c>
      <c r="M236" s="19">
        <f t="shared" si="9"/>
        <v>1.2900000000000205</v>
      </c>
      <c r="N236" s="4">
        <v>0</v>
      </c>
      <c r="O236" s="19">
        <f t="shared" si="10"/>
        <v>0.89999999999999858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19">
        <v>190.54</v>
      </c>
      <c r="Y236" s="4">
        <v>0</v>
      </c>
      <c r="Z236" s="19">
        <v>24.64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</row>
    <row r="237" spans="1:32" x14ac:dyDescent="0.3">
      <c r="A237" s="6">
        <v>45527</v>
      </c>
      <c r="B237" s="3" t="s">
        <v>36</v>
      </c>
      <c r="C237" s="8">
        <v>1</v>
      </c>
      <c r="D237" s="9">
        <v>11.3</v>
      </c>
      <c r="E237" s="10" t="s">
        <v>33</v>
      </c>
      <c r="F237" s="11">
        <v>103</v>
      </c>
      <c r="G237" s="9">
        <v>45.5</v>
      </c>
      <c r="H237" s="10" t="s">
        <v>35</v>
      </c>
      <c r="I237" s="16" t="s">
        <v>34</v>
      </c>
      <c r="J237" s="17">
        <v>24</v>
      </c>
      <c r="K237" s="17">
        <v>0</v>
      </c>
      <c r="L237" s="17">
        <v>0</v>
      </c>
      <c r="M237" s="19">
        <f t="shared" si="9"/>
        <v>1.2999999999999829</v>
      </c>
      <c r="N237" s="4">
        <v>0</v>
      </c>
      <c r="O237" s="19">
        <f t="shared" si="10"/>
        <v>0.90000000000000213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19">
        <v>189.24</v>
      </c>
      <c r="Y237" s="4">
        <v>0</v>
      </c>
      <c r="Z237" s="19">
        <v>23.74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</row>
    <row r="238" spans="1:32" x14ac:dyDescent="0.3">
      <c r="A238" s="6">
        <v>45528</v>
      </c>
      <c r="B238" s="3" t="s">
        <v>36</v>
      </c>
      <c r="C238" s="8">
        <v>1</v>
      </c>
      <c r="D238" s="9">
        <v>11.3</v>
      </c>
      <c r="E238" s="10" t="s">
        <v>33</v>
      </c>
      <c r="F238" s="11">
        <v>103</v>
      </c>
      <c r="G238" s="9">
        <v>45.5</v>
      </c>
      <c r="H238" s="10" t="s">
        <v>35</v>
      </c>
      <c r="I238" s="16" t="s">
        <v>34</v>
      </c>
      <c r="J238" s="17">
        <v>24</v>
      </c>
      <c r="K238" s="17">
        <v>0</v>
      </c>
      <c r="L238" s="17">
        <v>0</v>
      </c>
      <c r="M238" s="19">
        <f t="shared" si="9"/>
        <v>1.3200000000000216</v>
      </c>
      <c r="N238" s="4">
        <v>0</v>
      </c>
      <c r="O238" s="19">
        <f t="shared" si="10"/>
        <v>0.89999999999999858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19">
        <v>187.92</v>
      </c>
      <c r="Y238" s="4">
        <v>0</v>
      </c>
      <c r="Z238" s="19">
        <v>22.84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</row>
    <row r="239" spans="1:32" x14ac:dyDescent="0.3">
      <c r="A239" s="6">
        <v>45529</v>
      </c>
      <c r="B239" s="3" t="s">
        <v>36</v>
      </c>
      <c r="C239" s="8">
        <v>1</v>
      </c>
      <c r="D239" s="9">
        <v>11.3</v>
      </c>
      <c r="E239" s="10" t="s">
        <v>33</v>
      </c>
      <c r="F239" s="11">
        <v>103</v>
      </c>
      <c r="G239" s="9">
        <v>45.5</v>
      </c>
      <c r="H239" s="10" t="s">
        <v>35</v>
      </c>
      <c r="I239" s="16" t="s">
        <v>34</v>
      </c>
      <c r="J239" s="17">
        <v>24</v>
      </c>
      <c r="K239" s="17">
        <v>0</v>
      </c>
      <c r="L239" s="17">
        <v>0</v>
      </c>
      <c r="M239" s="19">
        <f t="shared" si="9"/>
        <v>1.3099999999999739</v>
      </c>
      <c r="N239" s="4">
        <v>0</v>
      </c>
      <c r="O239" s="19">
        <f t="shared" si="10"/>
        <v>0.89999999999999858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19">
        <v>186.61</v>
      </c>
      <c r="Y239" s="4">
        <v>0</v>
      </c>
      <c r="Z239" s="19">
        <v>21.94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</row>
    <row r="240" spans="1:32" x14ac:dyDescent="0.3">
      <c r="A240" s="6">
        <v>45530</v>
      </c>
      <c r="B240" s="3" t="s">
        <v>36</v>
      </c>
      <c r="C240" s="8">
        <v>1</v>
      </c>
      <c r="D240" s="9">
        <v>11.3</v>
      </c>
      <c r="E240" s="10" t="s">
        <v>33</v>
      </c>
      <c r="F240" s="11">
        <v>103</v>
      </c>
      <c r="G240" s="9">
        <v>45.5</v>
      </c>
      <c r="H240" s="10" t="s">
        <v>35</v>
      </c>
      <c r="I240" s="16" t="s">
        <v>34</v>
      </c>
      <c r="J240" s="17">
        <v>24</v>
      </c>
      <c r="K240" s="17">
        <v>0</v>
      </c>
      <c r="L240" s="17">
        <v>0</v>
      </c>
      <c r="M240" s="19">
        <f t="shared" si="9"/>
        <v>1.3400000000000034</v>
      </c>
      <c r="N240" s="4">
        <v>0</v>
      </c>
      <c r="O240" s="19">
        <f t="shared" si="10"/>
        <v>0.90000000000000213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19">
        <v>185.27</v>
      </c>
      <c r="Y240" s="4">
        <v>0</v>
      </c>
      <c r="Z240" s="19">
        <v>21.04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</row>
    <row r="241" spans="1:32" x14ac:dyDescent="0.3">
      <c r="A241" s="6">
        <v>45531</v>
      </c>
      <c r="B241" s="3" t="s">
        <v>36</v>
      </c>
      <c r="C241" s="8">
        <v>1</v>
      </c>
      <c r="D241" s="9">
        <v>11.3</v>
      </c>
      <c r="E241" s="10" t="s">
        <v>33</v>
      </c>
      <c r="F241" s="11">
        <v>103</v>
      </c>
      <c r="G241" s="9">
        <v>45.5</v>
      </c>
      <c r="H241" s="10" t="s">
        <v>35</v>
      </c>
      <c r="I241" s="16" t="s">
        <v>34</v>
      </c>
      <c r="J241" s="17">
        <v>24</v>
      </c>
      <c r="K241" s="17">
        <v>0</v>
      </c>
      <c r="L241" s="17">
        <v>0</v>
      </c>
      <c r="M241" s="19">
        <f t="shared" si="9"/>
        <v>1.3600000000000136</v>
      </c>
      <c r="N241" s="4">
        <v>0</v>
      </c>
      <c r="O241" s="19">
        <f t="shared" si="10"/>
        <v>0.75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19">
        <v>183.91</v>
      </c>
      <c r="Y241" s="4">
        <v>0</v>
      </c>
      <c r="Z241" s="19">
        <v>20.29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</row>
    <row r="242" spans="1:32" x14ac:dyDescent="0.3">
      <c r="A242" s="6">
        <v>45532</v>
      </c>
      <c r="B242" s="3" t="s">
        <v>36</v>
      </c>
      <c r="C242" s="8">
        <v>1</v>
      </c>
      <c r="D242" s="9">
        <v>11.3</v>
      </c>
      <c r="E242" s="10" t="s">
        <v>33</v>
      </c>
      <c r="F242" s="11">
        <v>103</v>
      </c>
      <c r="G242" s="9">
        <v>45.5</v>
      </c>
      <c r="H242" s="10" t="s">
        <v>35</v>
      </c>
      <c r="I242" s="16" t="s">
        <v>34</v>
      </c>
      <c r="J242" s="17">
        <v>24</v>
      </c>
      <c r="K242" s="17">
        <v>0</v>
      </c>
      <c r="L242" s="17">
        <v>0</v>
      </c>
      <c r="M242" s="19">
        <f t="shared" si="9"/>
        <v>1.3700000000000045</v>
      </c>
      <c r="N242" s="4">
        <v>0</v>
      </c>
      <c r="O242" s="19">
        <f t="shared" si="10"/>
        <v>1.0500000000000007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19">
        <v>182.54</v>
      </c>
      <c r="Y242" s="4">
        <v>0</v>
      </c>
      <c r="Z242" s="19">
        <v>19.239999999999998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</row>
    <row r="243" spans="1:32" x14ac:dyDescent="0.3">
      <c r="A243" s="6">
        <v>45533</v>
      </c>
      <c r="B243" s="3" t="s">
        <v>36</v>
      </c>
      <c r="C243" s="8">
        <v>1</v>
      </c>
      <c r="D243" s="9">
        <v>11.3</v>
      </c>
      <c r="E243" s="10" t="s">
        <v>33</v>
      </c>
      <c r="F243" s="11">
        <v>103</v>
      </c>
      <c r="G243" s="9">
        <v>45.5</v>
      </c>
      <c r="H243" s="10" t="s">
        <v>35</v>
      </c>
      <c r="I243" s="16" t="s">
        <v>34</v>
      </c>
      <c r="J243" s="17">
        <v>24</v>
      </c>
      <c r="K243" s="17">
        <v>0</v>
      </c>
      <c r="L243" s="17">
        <v>0</v>
      </c>
      <c r="M243" s="19">
        <f t="shared" si="9"/>
        <v>1.2999999999999829</v>
      </c>
      <c r="N243" s="4">
        <v>0</v>
      </c>
      <c r="O243" s="19">
        <f t="shared" si="10"/>
        <v>0.89999999999999858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19">
        <v>181.24</v>
      </c>
      <c r="Y243" s="4">
        <v>0</v>
      </c>
      <c r="Z243" s="19">
        <v>18.34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</row>
    <row r="244" spans="1:32" x14ac:dyDescent="0.3">
      <c r="A244" s="6">
        <v>45534</v>
      </c>
      <c r="B244" s="3" t="s">
        <v>36</v>
      </c>
      <c r="C244" s="8">
        <v>1</v>
      </c>
      <c r="D244" s="9">
        <v>11.28</v>
      </c>
      <c r="E244" s="10" t="s">
        <v>33</v>
      </c>
      <c r="F244" s="11">
        <v>103</v>
      </c>
      <c r="G244" s="9">
        <v>45.5</v>
      </c>
      <c r="H244" s="10" t="s">
        <v>35</v>
      </c>
      <c r="I244" s="16" t="s">
        <v>34</v>
      </c>
      <c r="J244" s="17">
        <v>24</v>
      </c>
      <c r="K244" s="17">
        <v>0</v>
      </c>
      <c r="L244" s="17">
        <v>0</v>
      </c>
      <c r="M244" s="19">
        <f>X243-X244+450.54</f>
        <v>1.3100000000000023</v>
      </c>
      <c r="N244" s="4">
        <v>0</v>
      </c>
      <c r="O244" s="19">
        <f t="shared" si="10"/>
        <v>0.89999999999999858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19">
        <v>630.47</v>
      </c>
      <c r="Y244" s="4">
        <v>0</v>
      </c>
      <c r="Z244" s="19">
        <v>17.440000000000001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</row>
    <row r="245" spans="1:32" x14ac:dyDescent="0.3">
      <c r="A245" s="6">
        <v>45535</v>
      </c>
      <c r="B245" s="3" t="s">
        <v>36</v>
      </c>
      <c r="C245" s="8">
        <v>3</v>
      </c>
      <c r="D245" s="9">
        <v>46.5</v>
      </c>
      <c r="E245" s="10" t="s">
        <v>33</v>
      </c>
      <c r="F245" s="11">
        <v>105</v>
      </c>
      <c r="G245" s="9">
        <v>45.5</v>
      </c>
      <c r="H245" s="10" t="s">
        <v>35</v>
      </c>
      <c r="I245" s="16" t="s">
        <v>34</v>
      </c>
      <c r="J245" s="17">
        <v>24</v>
      </c>
      <c r="K245" s="17">
        <v>17.2</v>
      </c>
      <c r="L245" s="17">
        <v>206</v>
      </c>
      <c r="M245" s="19">
        <f t="shared" si="9"/>
        <v>11.830000000000041</v>
      </c>
      <c r="N245" s="4">
        <v>0</v>
      </c>
      <c r="O245" s="19">
        <f t="shared" si="10"/>
        <v>0.22000000000000242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19">
        <v>618.64</v>
      </c>
      <c r="Y245" s="4">
        <v>0</v>
      </c>
      <c r="Z245" s="19">
        <v>17.22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</row>
    <row r="246" spans="1:32" x14ac:dyDescent="0.3">
      <c r="A246" s="6">
        <v>45536</v>
      </c>
      <c r="B246" s="3" t="s">
        <v>36</v>
      </c>
      <c r="C246" s="8">
        <v>7</v>
      </c>
      <c r="D246" s="9">
        <v>53.6</v>
      </c>
      <c r="E246" s="10" t="s">
        <v>33</v>
      </c>
      <c r="F246" s="11">
        <v>108</v>
      </c>
      <c r="G246" s="9">
        <v>8.6</v>
      </c>
      <c r="H246" s="10" t="s">
        <v>35</v>
      </c>
      <c r="I246" s="16" t="s">
        <v>34</v>
      </c>
      <c r="J246" s="17">
        <v>24</v>
      </c>
      <c r="K246" s="17">
        <v>24</v>
      </c>
      <c r="L246" s="17">
        <v>280</v>
      </c>
      <c r="M246" s="19">
        <f t="shared" si="9"/>
        <v>15.949999999999932</v>
      </c>
      <c r="N246" s="4">
        <v>0</v>
      </c>
      <c r="O246" s="19">
        <f t="shared" si="10"/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19">
        <v>602.69000000000005</v>
      </c>
      <c r="Y246" s="4">
        <v>0</v>
      </c>
      <c r="Z246" s="19">
        <v>17.22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</row>
    <row r="247" spans="1:32" x14ac:dyDescent="0.3">
      <c r="A247" s="6">
        <v>45537</v>
      </c>
      <c r="B247" s="3" t="s">
        <v>36</v>
      </c>
      <c r="C247" s="8">
        <v>12</v>
      </c>
      <c r="D247" s="9">
        <v>14.9</v>
      </c>
      <c r="E247" s="10" t="s">
        <v>33</v>
      </c>
      <c r="F247" s="11">
        <v>110</v>
      </c>
      <c r="G247" s="9">
        <v>41.2</v>
      </c>
      <c r="H247" s="10" t="s">
        <v>35</v>
      </c>
      <c r="I247" s="16" t="s">
        <v>34</v>
      </c>
      <c r="J247" s="17">
        <v>24</v>
      </c>
      <c r="K247" s="17">
        <v>24</v>
      </c>
      <c r="L247" s="17">
        <v>301</v>
      </c>
      <c r="M247" s="19">
        <f>X246-X247</f>
        <v>15.57000000000005</v>
      </c>
      <c r="N247" s="4">
        <v>0</v>
      </c>
      <c r="O247" s="19">
        <v>0.03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19">
        <v>587.12</v>
      </c>
      <c r="Y247" s="4">
        <v>0</v>
      </c>
      <c r="Z247" s="19">
        <v>17.22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</row>
    <row r="248" spans="1:32" x14ac:dyDescent="0.3">
      <c r="A248" s="6">
        <v>45538</v>
      </c>
      <c r="B248" s="3" t="s">
        <v>36</v>
      </c>
      <c r="C248" s="8">
        <v>16</v>
      </c>
      <c r="D248" s="9">
        <v>49.5</v>
      </c>
      <c r="E248" s="10" t="s">
        <v>33</v>
      </c>
      <c r="F248" s="11">
        <v>113</v>
      </c>
      <c r="G248" s="9">
        <v>29.9</v>
      </c>
      <c r="H248" s="10" t="s">
        <v>35</v>
      </c>
      <c r="I248" s="16" t="s">
        <v>34</v>
      </c>
      <c r="J248" s="17">
        <v>24</v>
      </c>
      <c r="K248" s="17">
        <v>24</v>
      </c>
      <c r="L248" s="17">
        <v>319</v>
      </c>
      <c r="M248" s="19">
        <f t="shared" si="9"/>
        <v>16.539999999999964</v>
      </c>
      <c r="N248" s="4">
        <v>0</v>
      </c>
      <c r="O248" s="19">
        <f t="shared" si="10"/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19">
        <v>570.58000000000004</v>
      </c>
      <c r="Y248" s="4">
        <v>0</v>
      </c>
      <c r="Z248" s="19">
        <v>17.22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</row>
    <row r="249" spans="1:32" x14ac:dyDescent="0.3">
      <c r="A249" s="6">
        <v>45539</v>
      </c>
      <c r="B249" s="3" t="s">
        <v>36</v>
      </c>
      <c r="C249" s="8">
        <v>20</v>
      </c>
      <c r="D249" s="9">
        <v>20.2</v>
      </c>
      <c r="E249" s="10" t="s">
        <v>33</v>
      </c>
      <c r="F249" s="11">
        <v>115</v>
      </c>
      <c r="G249" s="9">
        <v>41.9</v>
      </c>
      <c r="H249" s="10" t="s">
        <v>35</v>
      </c>
      <c r="I249" s="16" t="s">
        <v>34</v>
      </c>
      <c r="J249" s="17">
        <v>24</v>
      </c>
      <c r="K249" s="17">
        <v>24</v>
      </c>
      <c r="L249" s="17">
        <v>244</v>
      </c>
      <c r="M249" s="19">
        <f t="shared" si="9"/>
        <v>15.129999999999995</v>
      </c>
      <c r="N249" s="4">
        <v>0</v>
      </c>
      <c r="O249" s="19">
        <f t="shared" si="10"/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19">
        <v>555.45000000000005</v>
      </c>
      <c r="Y249" s="4">
        <v>0</v>
      </c>
      <c r="Z249" s="19">
        <v>17.22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</row>
    <row r="250" spans="1:32" x14ac:dyDescent="0.3">
      <c r="A250" s="6">
        <v>45540</v>
      </c>
      <c r="B250" s="3" t="s">
        <v>36</v>
      </c>
      <c r="C250" s="8">
        <v>23</v>
      </c>
      <c r="D250" s="9">
        <v>4.3</v>
      </c>
      <c r="E250" s="10" t="s">
        <v>33</v>
      </c>
      <c r="F250" s="11">
        <v>117</v>
      </c>
      <c r="G250" s="9">
        <v>16</v>
      </c>
      <c r="H250" s="10" t="s">
        <v>35</v>
      </c>
      <c r="I250" s="16" t="s">
        <v>34</v>
      </c>
      <c r="J250" s="17">
        <v>24</v>
      </c>
      <c r="K250" s="17">
        <v>24</v>
      </c>
      <c r="L250" s="17">
        <v>186</v>
      </c>
      <c r="M250" s="19">
        <f t="shared" si="9"/>
        <v>14.910000000000082</v>
      </c>
      <c r="N250" s="4">
        <v>0</v>
      </c>
      <c r="O250" s="19">
        <f t="shared" si="10"/>
        <v>1.0499999999999972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19">
        <v>540.54</v>
      </c>
      <c r="Y250" s="4">
        <v>0</v>
      </c>
      <c r="Z250" s="19">
        <v>16.170000000000002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</row>
    <row r="251" spans="1:32" x14ac:dyDescent="0.3">
      <c r="A251" s="6">
        <v>45541</v>
      </c>
      <c r="B251" s="3" t="s">
        <v>36</v>
      </c>
      <c r="C251" s="8">
        <v>25</v>
      </c>
      <c r="D251" s="9">
        <v>59.9</v>
      </c>
      <c r="E251" s="10" t="s">
        <v>33</v>
      </c>
      <c r="F251" s="11">
        <v>120</v>
      </c>
      <c r="G251" s="9">
        <v>15.7</v>
      </c>
      <c r="H251" s="10" t="s">
        <v>35</v>
      </c>
      <c r="I251" s="16" t="s">
        <v>34</v>
      </c>
      <c r="J251" s="17">
        <v>24</v>
      </c>
      <c r="K251" s="17">
        <v>24</v>
      </c>
      <c r="L251" s="17">
        <v>248</v>
      </c>
      <c r="M251" s="19">
        <f t="shared" si="9"/>
        <v>15.959999999999923</v>
      </c>
      <c r="N251" s="4">
        <v>0</v>
      </c>
      <c r="O251" s="19">
        <f t="shared" si="10"/>
        <v>0.90000000000000213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19">
        <v>524.58000000000004</v>
      </c>
      <c r="Y251" s="4">
        <v>0</v>
      </c>
      <c r="Z251" s="19">
        <v>15.27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</row>
    <row r="252" spans="1:32" x14ac:dyDescent="0.3">
      <c r="A252" s="6">
        <v>45542</v>
      </c>
      <c r="B252" s="3" t="s">
        <v>36</v>
      </c>
      <c r="C252" s="8">
        <v>24</v>
      </c>
      <c r="D252" s="9">
        <v>54.9</v>
      </c>
      <c r="E252" s="10" t="s">
        <v>33</v>
      </c>
      <c r="F252" s="11">
        <v>122</v>
      </c>
      <c r="G252" s="9">
        <v>39.1</v>
      </c>
      <c r="H252" s="10" t="s">
        <v>35</v>
      </c>
      <c r="I252" s="16" t="s">
        <v>34</v>
      </c>
      <c r="J252" s="17">
        <v>24</v>
      </c>
      <c r="K252" s="17">
        <v>24</v>
      </c>
      <c r="L252" s="17">
        <v>286</v>
      </c>
      <c r="M252" s="19">
        <f t="shared" si="9"/>
        <v>16.090000000000032</v>
      </c>
      <c r="N252" s="4">
        <v>0</v>
      </c>
      <c r="O252" s="19">
        <f t="shared" si="10"/>
        <v>0.90000000000000036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19">
        <v>508.49</v>
      </c>
      <c r="Y252" s="4">
        <v>0</v>
      </c>
      <c r="Z252" s="19">
        <v>14.37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</row>
    <row r="253" spans="1:32" x14ac:dyDescent="0.3">
      <c r="A253" s="6">
        <v>45543</v>
      </c>
      <c r="B253" s="3" t="s">
        <v>36</v>
      </c>
      <c r="C253" s="8">
        <v>30</v>
      </c>
      <c r="D253" s="9">
        <v>8.8000000000000007</v>
      </c>
      <c r="E253" s="10" t="s">
        <v>33</v>
      </c>
      <c r="F253" s="11">
        <v>122</v>
      </c>
      <c r="G253" s="9">
        <v>16.2</v>
      </c>
      <c r="H253" s="10" t="s">
        <v>35</v>
      </c>
      <c r="I253" s="16" t="s">
        <v>34</v>
      </c>
      <c r="J253" s="17">
        <v>24</v>
      </c>
      <c r="K253" s="17">
        <v>2.2999999999999998</v>
      </c>
      <c r="L253" s="17">
        <v>27</v>
      </c>
      <c r="M253" s="19">
        <f t="shared" si="9"/>
        <v>1.7599999999999909</v>
      </c>
      <c r="N253" s="4">
        <v>0</v>
      </c>
      <c r="O253" s="19">
        <f>Z252-Z253+49</f>
        <v>0.75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19">
        <v>506.73</v>
      </c>
      <c r="Y253" s="4">
        <v>0</v>
      </c>
      <c r="Z253" s="19">
        <v>62.62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</row>
    <row r="254" spans="1:32" x14ac:dyDescent="0.3">
      <c r="A254" s="6">
        <v>45544</v>
      </c>
      <c r="B254" s="3" t="s">
        <v>36</v>
      </c>
      <c r="C254" s="8">
        <v>30</v>
      </c>
      <c r="D254" s="9">
        <v>8.8000000000000007</v>
      </c>
      <c r="E254" s="10" t="s">
        <v>33</v>
      </c>
      <c r="F254" s="11">
        <v>122</v>
      </c>
      <c r="G254" s="9">
        <v>16.2</v>
      </c>
      <c r="H254" s="10" t="s">
        <v>35</v>
      </c>
      <c r="I254" s="16" t="s">
        <v>34</v>
      </c>
      <c r="J254" s="17">
        <v>24</v>
      </c>
      <c r="K254" s="17">
        <v>0</v>
      </c>
      <c r="L254" s="17">
        <v>0</v>
      </c>
      <c r="M254" s="19">
        <f t="shared" si="9"/>
        <v>1.4300000000000068</v>
      </c>
      <c r="N254" s="4">
        <v>0</v>
      </c>
      <c r="O254" s="19">
        <f t="shared" si="10"/>
        <v>1.0499999999999972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19">
        <v>505.3</v>
      </c>
      <c r="Y254" s="4">
        <v>0</v>
      </c>
      <c r="Z254" s="19">
        <v>61.57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</row>
    <row r="255" spans="1:32" x14ac:dyDescent="0.3">
      <c r="A255" s="6">
        <v>45545</v>
      </c>
      <c r="B255" s="3" t="s">
        <v>36</v>
      </c>
      <c r="C255" s="8">
        <v>30</v>
      </c>
      <c r="D255" s="9">
        <v>8.9</v>
      </c>
      <c r="E255" s="10" t="s">
        <v>33</v>
      </c>
      <c r="F255" s="11">
        <v>122</v>
      </c>
      <c r="G255" s="9">
        <v>16.2</v>
      </c>
      <c r="H255" s="10" t="s">
        <v>35</v>
      </c>
      <c r="I255" s="16" t="s">
        <v>34</v>
      </c>
      <c r="J255" s="17">
        <v>24</v>
      </c>
      <c r="K255" s="17">
        <v>0</v>
      </c>
      <c r="L255" s="17">
        <v>0</v>
      </c>
      <c r="M255" s="19">
        <f t="shared" si="9"/>
        <v>1.5600000000000023</v>
      </c>
      <c r="N255" s="4">
        <v>0</v>
      </c>
      <c r="O255" s="19">
        <f t="shared" si="10"/>
        <v>0.89999999999999858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19">
        <v>503.74</v>
      </c>
      <c r="Y255" s="4">
        <v>0</v>
      </c>
      <c r="Z255" s="19">
        <v>60.67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</row>
    <row r="256" spans="1:32" x14ac:dyDescent="0.3">
      <c r="A256" s="6">
        <v>45546</v>
      </c>
      <c r="B256" s="3" t="s">
        <v>36</v>
      </c>
      <c r="C256" s="8">
        <v>30</v>
      </c>
      <c r="D256" s="9">
        <v>8.9</v>
      </c>
      <c r="E256" s="10" t="s">
        <v>33</v>
      </c>
      <c r="F256" s="11">
        <v>122</v>
      </c>
      <c r="G256" s="9">
        <v>16.2</v>
      </c>
      <c r="H256" s="10" t="s">
        <v>35</v>
      </c>
      <c r="I256" s="16" t="s">
        <v>34</v>
      </c>
      <c r="J256" s="17">
        <v>24</v>
      </c>
      <c r="K256" s="17">
        <v>0</v>
      </c>
      <c r="L256" s="17">
        <v>0</v>
      </c>
      <c r="M256" s="19">
        <f>X255-X256+50</f>
        <v>1.6900000000000546</v>
      </c>
      <c r="N256" s="4">
        <v>0</v>
      </c>
      <c r="O256" s="19">
        <f t="shared" si="10"/>
        <v>0.89999999999999858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19">
        <v>552.04999999999995</v>
      </c>
      <c r="Y256" s="4">
        <v>0</v>
      </c>
      <c r="Z256" s="19">
        <v>59.77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</row>
    <row r="257" spans="1:32" x14ac:dyDescent="0.3">
      <c r="A257" s="6">
        <v>45547</v>
      </c>
      <c r="B257" s="3" t="s">
        <v>36</v>
      </c>
      <c r="C257" s="8">
        <v>30</v>
      </c>
      <c r="D257" s="9">
        <v>8.9</v>
      </c>
      <c r="E257" s="10" t="s">
        <v>33</v>
      </c>
      <c r="F257" s="11">
        <v>122</v>
      </c>
      <c r="G257" s="9">
        <v>16.2</v>
      </c>
      <c r="H257" s="10" t="s">
        <v>35</v>
      </c>
      <c r="I257" s="16" t="s">
        <v>34</v>
      </c>
      <c r="J257" s="17">
        <v>24</v>
      </c>
      <c r="K257" s="17">
        <v>0</v>
      </c>
      <c r="L257" s="17">
        <v>0</v>
      </c>
      <c r="M257" s="19">
        <f t="shared" si="9"/>
        <v>1.5</v>
      </c>
      <c r="N257" s="4">
        <v>0</v>
      </c>
      <c r="O257" s="19">
        <f t="shared" si="10"/>
        <v>0.90000000000000568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19">
        <v>550.54999999999995</v>
      </c>
      <c r="Y257" s="4">
        <v>0</v>
      </c>
      <c r="Z257" s="19">
        <v>58.87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</row>
    <row r="258" spans="1:32" x14ac:dyDescent="0.3">
      <c r="A258" s="6">
        <v>45548</v>
      </c>
      <c r="B258" s="3" t="s">
        <v>36</v>
      </c>
      <c r="C258" s="8">
        <v>30</v>
      </c>
      <c r="D258" s="9">
        <v>8.9</v>
      </c>
      <c r="E258" s="10" t="s">
        <v>33</v>
      </c>
      <c r="F258" s="11">
        <v>122</v>
      </c>
      <c r="G258" s="9">
        <v>16.2</v>
      </c>
      <c r="H258" s="10" t="s">
        <v>35</v>
      </c>
      <c r="I258" s="16" t="s">
        <v>34</v>
      </c>
      <c r="J258" s="17">
        <v>24</v>
      </c>
      <c r="K258" s="17">
        <v>0</v>
      </c>
      <c r="L258" s="17">
        <v>0</v>
      </c>
      <c r="M258" s="19">
        <f t="shared" si="9"/>
        <v>1.5299999999999727</v>
      </c>
      <c r="N258" s="4">
        <v>0</v>
      </c>
      <c r="O258" s="19">
        <f t="shared" si="10"/>
        <v>0.89999999999999858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19">
        <v>549.02</v>
      </c>
      <c r="Y258" s="4">
        <v>0</v>
      </c>
      <c r="Z258" s="19">
        <v>57.97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</row>
    <row r="259" spans="1:32" x14ac:dyDescent="0.3">
      <c r="A259" s="6">
        <v>45549</v>
      </c>
      <c r="B259" s="3" t="s">
        <v>36</v>
      </c>
      <c r="C259" s="8">
        <v>30</v>
      </c>
      <c r="D259" s="9">
        <v>8.9</v>
      </c>
      <c r="E259" s="10" t="s">
        <v>33</v>
      </c>
      <c r="F259" s="11">
        <v>122</v>
      </c>
      <c r="G259" s="9">
        <v>16.2</v>
      </c>
      <c r="H259" s="10" t="s">
        <v>35</v>
      </c>
      <c r="I259" s="16" t="s">
        <v>34</v>
      </c>
      <c r="J259" s="17">
        <v>24</v>
      </c>
      <c r="K259" s="17">
        <v>0</v>
      </c>
      <c r="L259" s="17">
        <v>0</v>
      </c>
      <c r="M259" s="19">
        <f t="shared" si="9"/>
        <v>1.9499999999999318</v>
      </c>
      <c r="N259" s="4">
        <v>0</v>
      </c>
      <c r="O259" s="19">
        <f t="shared" si="10"/>
        <v>0.89999999999999858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19">
        <v>547.07000000000005</v>
      </c>
      <c r="Y259" s="4">
        <v>0</v>
      </c>
      <c r="Z259" s="19">
        <v>57.07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</row>
    <row r="260" spans="1:32" x14ac:dyDescent="0.3">
      <c r="A260" s="6">
        <v>45550</v>
      </c>
      <c r="B260" s="3" t="s">
        <v>36</v>
      </c>
      <c r="C260" s="8">
        <v>33</v>
      </c>
      <c r="D260" s="9">
        <v>7.6</v>
      </c>
      <c r="E260" s="10" t="s">
        <v>33</v>
      </c>
      <c r="F260" s="11">
        <v>125</v>
      </c>
      <c r="G260" s="9">
        <v>40.4</v>
      </c>
      <c r="H260" s="10" t="s">
        <v>35</v>
      </c>
      <c r="I260" s="16" t="s">
        <v>34</v>
      </c>
      <c r="J260" s="17">
        <v>24</v>
      </c>
      <c r="K260" s="17">
        <v>23</v>
      </c>
      <c r="L260" s="17">
        <v>258</v>
      </c>
      <c r="M260" s="19">
        <f t="shared" si="9"/>
        <v>13.5</v>
      </c>
      <c r="N260" s="4">
        <v>0</v>
      </c>
      <c r="O260" s="19">
        <f t="shared" si="10"/>
        <v>0.89999999999999858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19">
        <v>533.57000000000005</v>
      </c>
      <c r="Y260" s="4">
        <v>0</v>
      </c>
      <c r="Z260" s="19">
        <v>56.17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</row>
    <row r="261" spans="1:32" x14ac:dyDescent="0.3">
      <c r="A261" s="6">
        <v>45551</v>
      </c>
      <c r="B261" s="3" t="s">
        <v>36</v>
      </c>
      <c r="C261" s="8">
        <v>34</v>
      </c>
      <c r="D261" s="9">
        <v>51.6</v>
      </c>
      <c r="E261" s="10" t="s">
        <v>33</v>
      </c>
      <c r="F261" s="11">
        <v>127</v>
      </c>
      <c r="G261" s="9">
        <v>44.9</v>
      </c>
      <c r="H261" s="10" t="s">
        <v>35</v>
      </c>
      <c r="I261" s="16" t="s">
        <v>34</v>
      </c>
      <c r="J261" s="17">
        <v>24</v>
      </c>
      <c r="K261" s="17">
        <v>1</v>
      </c>
      <c r="L261" s="17">
        <v>11</v>
      </c>
      <c r="M261" s="19">
        <f t="shared" si="9"/>
        <v>10.450000000000045</v>
      </c>
      <c r="N261" s="4">
        <v>0</v>
      </c>
      <c r="O261" s="19">
        <f t="shared" si="10"/>
        <v>1.1900000000000048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19">
        <v>523.12</v>
      </c>
      <c r="Y261" s="4">
        <v>0</v>
      </c>
      <c r="Z261" s="19">
        <v>54.98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</row>
    <row r="262" spans="1:32" x14ac:dyDescent="0.3">
      <c r="A262" s="6">
        <v>45552</v>
      </c>
      <c r="B262" s="3" t="s">
        <v>36</v>
      </c>
      <c r="C262" s="8">
        <v>34</v>
      </c>
      <c r="D262" s="9">
        <v>51.6</v>
      </c>
      <c r="E262" s="10" t="s">
        <v>33</v>
      </c>
      <c r="F262" s="11">
        <v>127</v>
      </c>
      <c r="G262" s="9">
        <v>44.9</v>
      </c>
      <c r="H262" s="10" t="s">
        <v>35</v>
      </c>
      <c r="I262" s="16" t="s">
        <v>34</v>
      </c>
      <c r="J262" s="17">
        <v>24</v>
      </c>
      <c r="K262" s="17">
        <v>0</v>
      </c>
      <c r="L262" s="17">
        <v>0</v>
      </c>
      <c r="M262" s="19">
        <f t="shared" si="9"/>
        <v>0</v>
      </c>
      <c r="N262" s="4">
        <v>0</v>
      </c>
      <c r="O262" s="19">
        <f t="shared" si="10"/>
        <v>2.7099999999999937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19">
        <v>523.12</v>
      </c>
      <c r="Y262" s="4">
        <v>0</v>
      </c>
      <c r="Z262" s="19">
        <v>52.27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</row>
    <row r="263" spans="1:32" x14ac:dyDescent="0.3">
      <c r="A263" s="6">
        <v>45553</v>
      </c>
      <c r="B263" s="3" t="s">
        <v>36</v>
      </c>
      <c r="C263" s="8">
        <v>34</v>
      </c>
      <c r="D263" s="9">
        <v>51.6</v>
      </c>
      <c r="E263" s="10" t="s">
        <v>33</v>
      </c>
      <c r="F263" s="11">
        <v>127</v>
      </c>
      <c r="G263" s="9">
        <v>44.9</v>
      </c>
      <c r="H263" s="10" t="s">
        <v>35</v>
      </c>
      <c r="I263" s="16" t="s">
        <v>34</v>
      </c>
      <c r="J263" s="17">
        <v>24</v>
      </c>
      <c r="K263" s="17">
        <v>0</v>
      </c>
      <c r="L263" s="17">
        <v>0</v>
      </c>
      <c r="M263" s="19">
        <f t="shared" si="9"/>
        <v>0</v>
      </c>
      <c r="N263" s="4">
        <v>0</v>
      </c>
      <c r="O263" s="19">
        <f t="shared" si="10"/>
        <v>2.6900000000000048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19">
        <v>523.12</v>
      </c>
      <c r="Y263" s="4">
        <v>0</v>
      </c>
      <c r="Z263" s="19">
        <v>49.58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</row>
    <row r="264" spans="1:32" x14ac:dyDescent="0.3">
      <c r="A264" s="6">
        <v>45554</v>
      </c>
      <c r="B264" s="3" t="s">
        <v>36</v>
      </c>
      <c r="C264" s="8">
        <v>33</v>
      </c>
      <c r="D264" s="9">
        <v>57.9</v>
      </c>
      <c r="E264" s="10" t="s">
        <v>33</v>
      </c>
      <c r="F264" s="11">
        <v>130</v>
      </c>
      <c r="G264" s="9">
        <v>58.1</v>
      </c>
      <c r="H264" s="10" t="s">
        <v>35</v>
      </c>
      <c r="I264" s="16" t="s">
        <v>34</v>
      </c>
      <c r="J264" s="17">
        <v>24</v>
      </c>
      <c r="K264" s="17">
        <v>21</v>
      </c>
      <c r="L264" s="17">
        <v>208</v>
      </c>
      <c r="M264" s="19">
        <f t="shared" si="9"/>
        <v>9.7400000000000091</v>
      </c>
      <c r="N264" s="4">
        <v>0</v>
      </c>
      <c r="O264" s="19">
        <f t="shared" si="10"/>
        <v>2.6999999999999957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19">
        <v>513.38</v>
      </c>
      <c r="Y264" s="4">
        <v>0</v>
      </c>
      <c r="Z264" s="19">
        <v>46.88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</row>
    <row r="265" spans="1:32" x14ac:dyDescent="0.3">
      <c r="A265" s="6">
        <v>45555</v>
      </c>
      <c r="B265" s="3" t="s">
        <v>36</v>
      </c>
      <c r="C265" s="8">
        <v>33</v>
      </c>
      <c r="D265" s="9">
        <v>51.5</v>
      </c>
      <c r="E265" s="10" t="s">
        <v>33</v>
      </c>
      <c r="F265" s="11">
        <v>132</v>
      </c>
      <c r="G265" s="9">
        <v>40.1</v>
      </c>
      <c r="H265" s="10" t="s">
        <v>35</v>
      </c>
      <c r="I265" s="16" t="s">
        <v>34</v>
      </c>
      <c r="J265" s="17">
        <v>24</v>
      </c>
      <c r="K265" s="17">
        <v>8</v>
      </c>
      <c r="L265" s="17">
        <v>95</v>
      </c>
      <c r="M265" s="19">
        <f t="shared" si="9"/>
        <v>5.7099999999999795</v>
      </c>
      <c r="N265" s="4">
        <v>0</v>
      </c>
      <c r="O265" s="19">
        <f t="shared" si="10"/>
        <v>0.85000000000000142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19">
        <v>507.67</v>
      </c>
      <c r="Y265" s="4">
        <v>0</v>
      </c>
      <c r="Z265" s="19">
        <v>46.03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</row>
    <row r="266" spans="1:32" x14ac:dyDescent="0.3">
      <c r="A266" s="6">
        <v>45556</v>
      </c>
      <c r="B266" s="3" t="s">
        <v>36</v>
      </c>
      <c r="C266" s="8">
        <v>33</v>
      </c>
      <c r="D266" s="9">
        <v>48</v>
      </c>
      <c r="E266" s="10" t="s">
        <v>33</v>
      </c>
      <c r="F266" s="11">
        <v>132</v>
      </c>
      <c r="G266" s="9">
        <v>29.9</v>
      </c>
      <c r="H266" s="10" t="s">
        <v>35</v>
      </c>
      <c r="I266" s="16" t="s">
        <v>34</v>
      </c>
      <c r="J266" s="17">
        <v>24</v>
      </c>
      <c r="K266" s="17">
        <v>4.9000000000000004</v>
      </c>
      <c r="L266" s="17">
        <v>53</v>
      </c>
      <c r="M266" s="19">
        <f t="shared" si="9"/>
        <v>4.0900000000000318</v>
      </c>
      <c r="N266" s="4">
        <v>0</v>
      </c>
      <c r="O266" s="19">
        <f t="shared" si="10"/>
        <v>0.92999999999999972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19">
        <v>503.58</v>
      </c>
      <c r="Y266" s="4">
        <v>0</v>
      </c>
      <c r="Z266" s="19">
        <v>45.1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</row>
    <row r="267" spans="1:32" x14ac:dyDescent="0.3">
      <c r="A267" s="6">
        <v>45557</v>
      </c>
      <c r="B267" s="3" t="s">
        <v>36</v>
      </c>
      <c r="C267" s="8">
        <v>32</v>
      </c>
      <c r="D267" s="9">
        <v>36.299999999999997</v>
      </c>
      <c r="E267" s="10" t="s">
        <v>33</v>
      </c>
      <c r="F267" s="11">
        <v>133</v>
      </c>
      <c r="G267" s="9">
        <v>17.399999999999999</v>
      </c>
      <c r="H267" s="10" t="s">
        <v>35</v>
      </c>
      <c r="I267" s="16" t="s">
        <v>34</v>
      </c>
      <c r="J267" s="17">
        <v>24</v>
      </c>
      <c r="K267" s="17">
        <v>24</v>
      </c>
      <c r="L267" s="17">
        <v>261</v>
      </c>
      <c r="M267" s="19">
        <f t="shared" si="9"/>
        <v>4.6899999999999977</v>
      </c>
      <c r="N267" s="4">
        <v>0</v>
      </c>
      <c r="O267" s="19">
        <f t="shared" si="10"/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19">
        <v>498.89</v>
      </c>
      <c r="Y267" s="4">
        <v>0</v>
      </c>
      <c r="Z267" s="19">
        <v>45.1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</row>
    <row r="268" spans="1:32" x14ac:dyDescent="0.3">
      <c r="A268" s="6">
        <v>45558</v>
      </c>
      <c r="B268" s="3" t="s">
        <v>36</v>
      </c>
      <c r="C268" s="8">
        <v>34</v>
      </c>
      <c r="D268" s="9">
        <v>6.5</v>
      </c>
      <c r="E268" s="10" t="s">
        <v>33</v>
      </c>
      <c r="F268" s="11">
        <v>132</v>
      </c>
      <c r="G268" s="9">
        <v>51.9</v>
      </c>
      <c r="H268" s="10" t="s">
        <v>35</v>
      </c>
      <c r="I268" s="16" t="s">
        <v>34</v>
      </c>
      <c r="J268" s="17">
        <v>24</v>
      </c>
      <c r="K268" s="17">
        <v>12</v>
      </c>
      <c r="L268" s="17">
        <v>108</v>
      </c>
      <c r="M268" s="19">
        <f t="shared" si="9"/>
        <v>4.339999999999975</v>
      </c>
      <c r="N268" s="4">
        <v>0</v>
      </c>
      <c r="O268" s="19">
        <f t="shared" si="10"/>
        <v>0.75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19">
        <v>494.55</v>
      </c>
      <c r="Y268" s="4">
        <v>0</v>
      </c>
      <c r="Z268" s="19">
        <v>44.35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</row>
    <row r="269" spans="1:32" x14ac:dyDescent="0.3">
      <c r="A269" s="6">
        <v>45559</v>
      </c>
      <c r="B269" s="3" t="s">
        <v>36</v>
      </c>
      <c r="C269" s="8">
        <v>33</v>
      </c>
      <c r="D269" s="9">
        <v>57.9</v>
      </c>
      <c r="E269" s="10" t="s">
        <v>33</v>
      </c>
      <c r="F269" s="11">
        <v>132</v>
      </c>
      <c r="G269" s="9">
        <v>42.5</v>
      </c>
      <c r="H269" s="10" t="s">
        <v>35</v>
      </c>
      <c r="I269" s="16" t="s">
        <v>34</v>
      </c>
      <c r="J269" s="17">
        <v>24</v>
      </c>
      <c r="K269" s="17">
        <v>1</v>
      </c>
      <c r="L269" s="17">
        <v>12</v>
      </c>
      <c r="M269" s="19">
        <f t="shared" si="9"/>
        <v>2.5200000000000387</v>
      </c>
      <c r="N269" s="4">
        <v>0</v>
      </c>
      <c r="O269" s="19">
        <f t="shared" si="10"/>
        <v>0.30000000000000426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19">
        <v>492.03</v>
      </c>
      <c r="Y269" s="4">
        <v>0</v>
      </c>
      <c r="Z269" s="19">
        <v>44.05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</row>
    <row r="270" spans="1:32" x14ac:dyDescent="0.3">
      <c r="A270" s="6">
        <v>45560</v>
      </c>
      <c r="B270" s="3" t="s">
        <v>36</v>
      </c>
      <c r="C270" s="8">
        <v>30</v>
      </c>
      <c r="D270" s="9">
        <v>16.5</v>
      </c>
      <c r="E270" s="10" t="s">
        <v>33</v>
      </c>
      <c r="F270" s="11">
        <v>129</v>
      </c>
      <c r="G270" s="9">
        <v>39.299999999999997</v>
      </c>
      <c r="H270" s="10" t="s">
        <v>35</v>
      </c>
      <c r="I270" s="16" t="s">
        <v>34</v>
      </c>
      <c r="J270" s="17">
        <v>24</v>
      </c>
      <c r="K270" s="17">
        <v>24</v>
      </c>
      <c r="L270" s="17">
        <v>292</v>
      </c>
      <c r="M270" s="19">
        <f t="shared" si="9"/>
        <v>16.049999999999955</v>
      </c>
      <c r="N270" s="4">
        <v>0</v>
      </c>
      <c r="O270" s="19">
        <f t="shared" si="10"/>
        <v>0.84999999999999432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19">
        <v>475.98</v>
      </c>
      <c r="Y270" s="4">
        <v>0</v>
      </c>
      <c r="Z270" s="19">
        <v>43.2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</row>
    <row r="271" spans="1:32" x14ac:dyDescent="0.3">
      <c r="A271" s="6">
        <v>45561</v>
      </c>
      <c r="B271" s="3" t="s">
        <v>36</v>
      </c>
      <c r="C271" s="8">
        <v>27</v>
      </c>
      <c r="D271" s="9">
        <v>15.4</v>
      </c>
      <c r="E271" s="10" t="s">
        <v>33</v>
      </c>
      <c r="F271" s="11">
        <v>126</v>
      </c>
      <c r="G271" s="9">
        <v>12.1</v>
      </c>
      <c r="H271" s="10" t="s">
        <v>35</v>
      </c>
      <c r="I271" s="16" t="s">
        <v>34</v>
      </c>
      <c r="J271" s="17">
        <v>24</v>
      </c>
      <c r="K271" s="17">
        <v>24</v>
      </c>
      <c r="L271" s="17">
        <v>260</v>
      </c>
      <c r="M271" s="19">
        <f t="shared" si="9"/>
        <v>17.660000000000025</v>
      </c>
      <c r="N271" s="4">
        <v>0</v>
      </c>
      <c r="O271" s="19">
        <f t="shared" si="10"/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19">
        <v>458.32</v>
      </c>
      <c r="Y271" s="4">
        <v>0</v>
      </c>
      <c r="Z271" s="19">
        <v>43.2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</row>
    <row r="272" spans="1:32" x14ac:dyDescent="0.3">
      <c r="A272" s="6">
        <v>45562</v>
      </c>
      <c r="B272" s="3" t="s">
        <v>36</v>
      </c>
      <c r="C272" s="8">
        <v>23</v>
      </c>
      <c r="D272" s="9">
        <v>51.9</v>
      </c>
      <c r="E272" s="10" t="s">
        <v>33</v>
      </c>
      <c r="F272" s="11">
        <v>122</v>
      </c>
      <c r="G272" s="9">
        <v>55.5</v>
      </c>
      <c r="H272" s="10" t="s">
        <v>35</v>
      </c>
      <c r="I272" s="16" t="s">
        <v>34</v>
      </c>
      <c r="J272" s="17">
        <v>24</v>
      </c>
      <c r="K272" s="17">
        <v>24</v>
      </c>
      <c r="L272" s="17">
        <v>266</v>
      </c>
      <c r="M272" s="19">
        <f t="shared" si="9"/>
        <v>17.279999999999973</v>
      </c>
      <c r="N272" s="4">
        <v>0</v>
      </c>
      <c r="O272" s="19">
        <f t="shared" si="10"/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19">
        <v>441.04</v>
      </c>
      <c r="Y272" s="4">
        <v>0</v>
      </c>
      <c r="Z272" s="19">
        <v>43.2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</row>
    <row r="273" spans="1:32" x14ac:dyDescent="0.3">
      <c r="A273" s="6">
        <v>45563</v>
      </c>
      <c r="B273" s="3" t="s">
        <v>36</v>
      </c>
      <c r="C273" s="8">
        <v>20</v>
      </c>
      <c r="D273" s="9">
        <v>20.3</v>
      </c>
      <c r="E273" s="10" t="s">
        <v>33</v>
      </c>
      <c r="F273" s="11">
        <v>119</v>
      </c>
      <c r="G273" s="9">
        <v>37</v>
      </c>
      <c r="H273" s="10" t="s">
        <v>35</v>
      </c>
      <c r="I273" s="16" t="s">
        <v>34</v>
      </c>
      <c r="J273" s="17">
        <v>24</v>
      </c>
      <c r="K273" s="17">
        <v>24</v>
      </c>
      <c r="L273" s="17">
        <v>283</v>
      </c>
      <c r="M273" s="19">
        <f t="shared" si="9"/>
        <v>16.150000000000034</v>
      </c>
      <c r="N273" s="4">
        <v>0</v>
      </c>
      <c r="O273" s="19">
        <f t="shared" si="10"/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19">
        <v>424.89</v>
      </c>
      <c r="Y273" s="4">
        <v>0</v>
      </c>
      <c r="Z273" s="19">
        <v>43.2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</row>
    <row r="274" spans="1:32" x14ac:dyDescent="0.3">
      <c r="A274" s="6">
        <v>45564</v>
      </c>
      <c r="B274" s="3" t="s">
        <v>36</v>
      </c>
      <c r="C274" s="8">
        <v>16</v>
      </c>
      <c r="D274" s="9">
        <v>33.9</v>
      </c>
      <c r="E274" s="10" t="s">
        <v>33</v>
      </c>
      <c r="F274" s="11">
        <v>116</v>
      </c>
      <c r="G274" s="9">
        <v>17.7</v>
      </c>
      <c r="H274" s="10" t="s">
        <v>35</v>
      </c>
      <c r="I274" s="16" t="s">
        <v>34</v>
      </c>
      <c r="J274" s="17">
        <v>24</v>
      </c>
      <c r="K274" s="17">
        <v>24</v>
      </c>
      <c r="L274" s="17">
        <v>299</v>
      </c>
      <c r="M274" s="19">
        <f t="shared" si="9"/>
        <v>16.019999999999982</v>
      </c>
      <c r="N274" s="4">
        <v>0</v>
      </c>
      <c r="O274" s="19">
        <f t="shared" si="10"/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19">
        <v>408.87</v>
      </c>
      <c r="Y274" s="4">
        <v>0</v>
      </c>
      <c r="Z274" s="19">
        <v>43.2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</row>
    <row r="275" spans="1:32" x14ac:dyDescent="0.3">
      <c r="A275" s="6">
        <v>45565</v>
      </c>
      <c r="B275" s="3" t="s">
        <v>36</v>
      </c>
      <c r="C275" s="8">
        <v>12</v>
      </c>
      <c r="D275" s="9">
        <v>55.9</v>
      </c>
      <c r="E275" s="10" t="s">
        <v>33</v>
      </c>
      <c r="F275" s="11">
        <v>113</v>
      </c>
      <c r="G275" s="9">
        <v>4.8</v>
      </c>
      <c r="H275" s="10" t="s">
        <v>35</v>
      </c>
      <c r="I275" s="16" t="s">
        <v>34</v>
      </c>
      <c r="J275" s="17">
        <v>24</v>
      </c>
      <c r="K275" s="17">
        <v>25</v>
      </c>
      <c r="L275" s="17">
        <v>286</v>
      </c>
      <c r="M275" s="19">
        <f t="shared" si="9"/>
        <v>15.579999999999984</v>
      </c>
      <c r="N275" s="4">
        <v>0</v>
      </c>
      <c r="O275" s="19">
        <f t="shared" si="10"/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19">
        <v>393.29</v>
      </c>
      <c r="Y275" s="4">
        <v>0</v>
      </c>
      <c r="Z275" s="19">
        <v>43.2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</row>
    <row r="276" spans="1:32" x14ac:dyDescent="0.3">
      <c r="A276" s="6">
        <v>45566</v>
      </c>
      <c r="B276" s="3" t="s">
        <v>36</v>
      </c>
      <c r="C276" s="8">
        <v>9</v>
      </c>
      <c r="D276" s="9">
        <v>34.6</v>
      </c>
      <c r="E276" s="10" t="s">
        <v>33</v>
      </c>
      <c r="F276" s="11">
        <v>110</v>
      </c>
      <c r="G276" s="9">
        <v>9.6</v>
      </c>
      <c r="H276" s="10" t="s">
        <v>35</v>
      </c>
      <c r="I276" s="16" t="s">
        <v>34</v>
      </c>
      <c r="J276" s="17">
        <v>24</v>
      </c>
      <c r="K276" s="17">
        <v>24</v>
      </c>
      <c r="L276" s="17">
        <v>266</v>
      </c>
      <c r="M276" s="19">
        <f t="shared" si="9"/>
        <v>13.730000000000018</v>
      </c>
      <c r="N276" s="4">
        <v>0</v>
      </c>
      <c r="O276" s="19">
        <f t="shared" si="10"/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19">
        <v>379.56</v>
      </c>
      <c r="Y276" s="4">
        <v>0</v>
      </c>
      <c r="Z276" s="19">
        <v>43.2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</row>
    <row r="277" spans="1:32" x14ac:dyDescent="0.3">
      <c r="A277" s="6">
        <v>45567</v>
      </c>
      <c r="B277" s="3" t="s">
        <v>36</v>
      </c>
      <c r="C277" s="8">
        <v>6</v>
      </c>
      <c r="D277" s="9">
        <v>34.5</v>
      </c>
      <c r="E277" s="10" t="s">
        <v>33</v>
      </c>
      <c r="F277" s="11">
        <v>107</v>
      </c>
      <c r="G277" s="9">
        <v>39.799999999999997</v>
      </c>
      <c r="H277" s="10" t="s">
        <v>35</v>
      </c>
      <c r="I277" s="16" t="s">
        <v>34</v>
      </c>
      <c r="J277" s="17">
        <v>24</v>
      </c>
      <c r="K277" s="17">
        <v>24</v>
      </c>
      <c r="L277" s="17">
        <v>234</v>
      </c>
      <c r="M277" s="19">
        <f t="shared" si="9"/>
        <v>11.220000000000027</v>
      </c>
      <c r="N277" s="4">
        <v>0</v>
      </c>
      <c r="O277" s="19">
        <f t="shared" si="10"/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19">
        <v>368.34</v>
      </c>
      <c r="Y277" s="4">
        <v>0</v>
      </c>
      <c r="Z277" s="19">
        <v>43.2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</row>
    <row r="278" spans="1:32" x14ac:dyDescent="0.3">
      <c r="A278" s="6">
        <v>45568</v>
      </c>
      <c r="B278" s="3" t="s">
        <v>36</v>
      </c>
      <c r="C278" s="8">
        <v>3</v>
      </c>
      <c r="D278" s="9">
        <v>12.5</v>
      </c>
      <c r="E278" s="10" t="s">
        <v>33</v>
      </c>
      <c r="F278" s="11">
        <v>105</v>
      </c>
      <c r="G278" s="9">
        <v>11.7</v>
      </c>
      <c r="H278" s="10" t="s">
        <v>35</v>
      </c>
      <c r="I278" s="16" t="s">
        <v>34</v>
      </c>
      <c r="J278" s="17">
        <v>24</v>
      </c>
      <c r="K278" s="17">
        <v>24</v>
      </c>
      <c r="L278" s="17">
        <v>250</v>
      </c>
      <c r="M278" s="19">
        <f t="shared" si="9"/>
        <v>10.849999999999966</v>
      </c>
      <c r="N278" s="4">
        <v>0</v>
      </c>
      <c r="O278" s="19">
        <f t="shared" si="10"/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19">
        <v>357.49</v>
      </c>
      <c r="Y278" s="4">
        <v>0</v>
      </c>
      <c r="Z278" s="19">
        <v>43.2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</row>
    <row r="279" spans="1:32" x14ac:dyDescent="0.3">
      <c r="A279" s="6">
        <v>45569</v>
      </c>
      <c r="B279" s="3" t="s">
        <v>36</v>
      </c>
      <c r="C279" s="8">
        <v>1</v>
      </c>
      <c r="D279" s="9">
        <v>10.9</v>
      </c>
      <c r="E279" s="10" t="s">
        <v>33</v>
      </c>
      <c r="F279" s="11">
        <v>103</v>
      </c>
      <c r="G279" s="9">
        <v>45.5</v>
      </c>
      <c r="H279" s="10" t="s">
        <v>35</v>
      </c>
      <c r="I279" s="16" t="s">
        <v>34</v>
      </c>
      <c r="J279" s="17">
        <v>24</v>
      </c>
      <c r="K279" s="17">
        <v>18</v>
      </c>
      <c r="L279" s="17">
        <v>152</v>
      </c>
      <c r="M279" s="19">
        <f t="shared" si="9"/>
        <v>7.9200000000000159</v>
      </c>
      <c r="N279" s="4">
        <v>0</v>
      </c>
      <c r="O279" s="19">
        <f t="shared" si="10"/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19">
        <v>349.57</v>
      </c>
      <c r="Y279" s="4">
        <v>0</v>
      </c>
      <c r="Z279" s="19">
        <v>43.2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</row>
    <row r="280" spans="1:32" x14ac:dyDescent="0.3">
      <c r="A280" s="6">
        <v>45570</v>
      </c>
      <c r="B280" s="3" t="s">
        <v>36</v>
      </c>
      <c r="C280" s="8">
        <v>2</v>
      </c>
      <c r="D280" s="9">
        <v>52.3</v>
      </c>
      <c r="E280" s="10" t="s">
        <v>33</v>
      </c>
      <c r="F280" s="11">
        <v>100</v>
      </c>
      <c r="G280" s="9">
        <v>57</v>
      </c>
      <c r="H280" s="10" t="s">
        <v>35</v>
      </c>
      <c r="I280" s="16" t="s">
        <v>34</v>
      </c>
      <c r="J280" s="17">
        <v>24</v>
      </c>
      <c r="K280" s="17">
        <v>16.5</v>
      </c>
      <c r="L280" s="17">
        <v>198</v>
      </c>
      <c r="M280" s="19">
        <f t="shared" si="9"/>
        <v>10.189999999999998</v>
      </c>
      <c r="N280" s="4">
        <v>0</v>
      </c>
      <c r="O280" s="19">
        <f t="shared" si="10"/>
        <v>0.66000000000000369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19">
        <v>339.38</v>
      </c>
      <c r="Y280" s="4">
        <v>0</v>
      </c>
      <c r="Z280" s="19">
        <v>42.54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</row>
    <row r="281" spans="1:32" x14ac:dyDescent="0.3">
      <c r="A281" s="6">
        <v>45571</v>
      </c>
      <c r="B281" s="3" t="s">
        <v>36</v>
      </c>
      <c r="C281" s="8">
        <v>5</v>
      </c>
      <c r="D281" s="9">
        <v>38.299999999999997</v>
      </c>
      <c r="E281" s="10" t="s">
        <v>33</v>
      </c>
      <c r="F281" s="11">
        <v>97</v>
      </c>
      <c r="G281" s="9">
        <v>8.3000000000000007</v>
      </c>
      <c r="H281" s="10" t="s">
        <v>35</v>
      </c>
      <c r="I281" s="16" t="s">
        <v>34</v>
      </c>
      <c r="J281" s="17">
        <v>24</v>
      </c>
      <c r="K281" s="17">
        <v>24</v>
      </c>
      <c r="L281" s="17">
        <v>287</v>
      </c>
      <c r="M281" s="19">
        <f t="shared" si="9"/>
        <v>14.70999999999998</v>
      </c>
      <c r="N281" s="4">
        <v>0</v>
      </c>
      <c r="O281" s="19">
        <f t="shared" si="10"/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19">
        <v>324.67</v>
      </c>
      <c r="Y281" s="4">
        <v>0</v>
      </c>
      <c r="Z281" s="19">
        <v>42.54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</row>
    <row r="282" spans="1:32" x14ac:dyDescent="0.3">
      <c r="A282" s="6">
        <v>45572</v>
      </c>
      <c r="B282" s="3" t="s">
        <v>36</v>
      </c>
      <c r="C282" s="8">
        <v>7</v>
      </c>
      <c r="D282" s="9">
        <v>8.3000000000000007</v>
      </c>
      <c r="E282" s="10" t="s">
        <v>33</v>
      </c>
      <c r="F282" s="11">
        <v>92</v>
      </c>
      <c r="G282" s="9">
        <v>30.5</v>
      </c>
      <c r="H282" s="10" t="s">
        <v>35</v>
      </c>
      <c r="I282" s="16" t="s">
        <v>34</v>
      </c>
      <c r="J282" s="17">
        <v>24</v>
      </c>
      <c r="K282" s="17">
        <v>24</v>
      </c>
      <c r="L282" s="17">
        <v>292</v>
      </c>
      <c r="M282" s="19">
        <f t="shared" si="9"/>
        <v>13.770000000000039</v>
      </c>
      <c r="N282" s="4">
        <v>0</v>
      </c>
      <c r="O282" s="19">
        <f t="shared" si="10"/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19">
        <v>310.89999999999998</v>
      </c>
      <c r="Y282" s="4">
        <v>0</v>
      </c>
      <c r="Z282" s="19">
        <v>42.54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</row>
    <row r="283" spans="1:32" x14ac:dyDescent="0.3">
      <c r="A283" s="6">
        <v>45573</v>
      </c>
      <c r="B283" s="3" t="s">
        <v>36</v>
      </c>
      <c r="C283" s="8">
        <v>8</v>
      </c>
      <c r="D283" s="9">
        <v>53.5</v>
      </c>
      <c r="E283" s="10" t="s">
        <v>33</v>
      </c>
      <c r="F283" s="11">
        <v>87</v>
      </c>
      <c r="G283" s="9">
        <v>43.8</v>
      </c>
      <c r="H283" s="10" t="s">
        <v>35</v>
      </c>
      <c r="I283" s="16" t="s">
        <v>34</v>
      </c>
      <c r="J283" s="17">
        <v>24</v>
      </c>
      <c r="K283" s="17">
        <v>24</v>
      </c>
      <c r="L283" s="17">
        <v>304</v>
      </c>
      <c r="M283" s="19">
        <f t="shared" si="9"/>
        <v>14.259999999999991</v>
      </c>
      <c r="N283" s="4">
        <v>0</v>
      </c>
      <c r="O283" s="19">
        <f t="shared" si="10"/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19">
        <v>296.64</v>
      </c>
      <c r="Y283" s="4">
        <v>0</v>
      </c>
      <c r="Z283" s="19">
        <v>42.54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</row>
    <row r="284" spans="1:32" x14ac:dyDescent="0.3">
      <c r="A284" s="6">
        <v>45574</v>
      </c>
      <c r="B284" s="3" t="s">
        <v>36</v>
      </c>
      <c r="C284" s="8">
        <v>10</v>
      </c>
      <c r="D284" s="9">
        <v>33</v>
      </c>
      <c r="E284" s="10" t="s">
        <v>33</v>
      </c>
      <c r="F284" s="11">
        <v>83</v>
      </c>
      <c r="G284" s="9">
        <v>5.2</v>
      </c>
      <c r="H284" s="10" t="s">
        <v>35</v>
      </c>
      <c r="I284" s="16" t="s">
        <v>34</v>
      </c>
      <c r="J284" s="17">
        <v>24</v>
      </c>
      <c r="K284" s="17">
        <v>23.5</v>
      </c>
      <c r="L284" s="17">
        <v>293</v>
      </c>
      <c r="M284" s="19">
        <f>X283-X284</f>
        <v>14.25</v>
      </c>
      <c r="N284" s="4">
        <v>0</v>
      </c>
      <c r="O284" s="19">
        <f t="shared" si="10"/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19">
        <v>282.39</v>
      </c>
      <c r="Y284" s="4">
        <v>0</v>
      </c>
      <c r="Z284" s="19">
        <v>42.54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</row>
    <row r="285" spans="1:32" x14ac:dyDescent="0.3">
      <c r="A285" s="6">
        <v>45575</v>
      </c>
      <c r="B285" s="3" t="s">
        <v>36</v>
      </c>
      <c r="C285" s="8">
        <v>11</v>
      </c>
      <c r="D285" s="9">
        <v>34.9</v>
      </c>
      <c r="E285" s="10" t="s">
        <v>33</v>
      </c>
      <c r="F285" s="11">
        <v>80</v>
      </c>
      <c r="G285" s="9">
        <v>8.8000000000000007</v>
      </c>
      <c r="H285" s="10" t="s">
        <v>35</v>
      </c>
      <c r="I285" s="16" t="s">
        <v>34</v>
      </c>
      <c r="J285" s="17">
        <v>24</v>
      </c>
      <c r="K285" s="17">
        <v>14</v>
      </c>
      <c r="L285" s="17">
        <v>172</v>
      </c>
      <c r="M285" s="19">
        <f t="shared" si="9"/>
        <v>11.149999999999977</v>
      </c>
      <c r="N285" s="4">
        <v>0</v>
      </c>
      <c r="O285" s="19">
        <f t="shared" si="10"/>
        <v>0.31000000000000227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19">
        <v>271.24</v>
      </c>
      <c r="Y285" s="4">
        <v>0</v>
      </c>
      <c r="Z285" s="19">
        <v>42.23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</row>
    <row r="286" spans="1:32" x14ac:dyDescent="0.3">
      <c r="A286" s="6">
        <v>45576</v>
      </c>
      <c r="B286" s="3" t="s">
        <v>36</v>
      </c>
      <c r="C286" s="8">
        <v>11</v>
      </c>
      <c r="D286" s="9">
        <v>45.1</v>
      </c>
      <c r="E286" s="10" t="s">
        <v>33</v>
      </c>
      <c r="F286" s="11">
        <v>80</v>
      </c>
      <c r="G286" s="9">
        <v>6.2</v>
      </c>
      <c r="H286" s="10" t="s">
        <v>35</v>
      </c>
      <c r="I286" s="16" t="s">
        <v>34</v>
      </c>
      <c r="J286" s="17">
        <v>24</v>
      </c>
      <c r="K286" s="17">
        <v>0</v>
      </c>
      <c r="L286" s="17">
        <v>0</v>
      </c>
      <c r="M286" s="19">
        <f t="shared" si="9"/>
        <v>1.7900000000000205</v>
      </c>
      <c r="N286" s="4">
        <v>0</v>
      </c>
      <c r="O286" s="19">
        <f t="shared" si="10"/>
        <v>0.89999999999999858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19">
        <v>269.45</v>
      </c>
      <c r="Y286" s="4">
        <v>0</v>
      </c>
      <c r="Z286" s="19">
        <v>41.33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</row>
    <row r="287" spans="1:32" x14ac:dyDescent="0.3">
      <c r="A287" s="6">
        <v>45577</v>
      </c>
      <c r="B287" s="3" t="s">
        <v>36</v>
      </c>
      <c r="C287" s="8">
        <v>11</v>
      </c>
      <c r="D287" s="9">
        <v>56.2</v>
      </c>
      <c r="E287" s="10" t="s">
        <v>33</v>
      </c>
      <c r="F287" s="11">
        <v>80</v>
      </c>
      <c r="G287" s="9">
        <v>25.8</v>
      </c>
      <c r="H287" s="10" t="s">
        <v>35</v>
      </c>
      <c r="I287" s="16" t="s">
        <v>34</v>
      </c>
      <c r="J287" s="17">
        <v>24</v>
      </c>
      <c r="K287" s="17">
        <v>2</v>
      </c>
      <c r="L287" s="17">
        <v>20</v>
      </c>
      <c r="M287" s="19">
        <f t="shared" si="9"/>
        <v>3.3999999999999773</v>
      </c>
      <c r="N287" s="4">
        <v>0</v>
      </c>
      <c r="O287" s="19">
        <f t="shared" si="10"/>
        <v>0.89999999999999858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19">
        <v>266.05</v>
      </c>
      <c r="Y287" s="4">
        <v>0</v>
      </c>
      <c r="Z287" s="19">
        <v>40.43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</row>
    <row r="288" spans="1:32" x14ac:dyDescent="0.3">
      <c r="A288" s="6">
        <v>45578</v>
      </c>
      <c r="B288" s="3" t="s">
        <v>36</v>
      </c>
      <c r="C288" s="8">
        <v>11</v>
      </c>
      <c r="D288" s="9">
        <v>37.4</v>
      </c>
      <c r="E288" s="10" t="s">
        <v>33</v>
      </c>
      <c r="F288" s="11">
        <v>80</v>
      </c>
      <c r="G288" s="9">
        <v>23.7</v>
      </c>
      <c r="H288" s="10" t="s">
        <v>35</v>
      </c>
      <c r="I288" s="16" t="s">
        <v>34</v>
      </c>
      <c r="J288" s="17">
        <v>24</v>
      </c>
      <c r="K288" s="17">
        <v>3.1</v>
      </c>
      <c r="L288" s="17">
        <v>42</v>
      </c>
      <c r="M288" s="19">
        <f t="shared" si="9"/>
        <v>4.0300000000000296</v>
      </c>
      <c r="N288" s="4">
        <v>0</v>
      </c>
      <c r="O288" s="19">
        <f t="shared" si="10"/>
        <v>0.89999999999999858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19">
        <v>262.02</v>
      </c>
      <c r="Y288" s="4">
        <v>0</v>
      </c>
      <c r="Z288" s="19">
        <v>39.53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</row>
    <row r="289" spans="1:32" x14ac:dyDescent="0.3">
      <c r="A289" s="6">
        <v>45579</v>
      </c>
      <c r="B289" s="3" t="s">
        <v>36</v>
      </c>
      <c r="C289" s="8">
        <v>11</v>
      </c>
      <c r="D289" s="9">
        <v>38.799999999999997</v>
      </c>
      <c r="E289" s="10" t="s">
        <v>33</v>
      </c>
      <c r="F289" s="11">
        <v>79</v>
      </c>
      <c r="G289" s="9">
        <v>46.3</v>
      </c>
      <c r="H289" s="10" t="s">
        <v>35</v>
      </c>
      <c r="I289" s="16" t="s">
        <v>34</v>
      </c>
      <c r="J289" s="17">
        <v>24</v>
      </c>
      <c r="K289" s="17">
        <v>0</v>
      </c>
      <c r="L289" s="17">
        <v>0</v>
      </c>
      <c r="M289" s="19">
        <v>3.87</v>
      </c>
      <c r="N289" s="4">
        <v>0</v>
      </c>
      <c r="O289" s="19">
        <v>1.04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19">
        <v>258.14999999999998</v>
      </c>
      <c r="Y289" s="4">
        <v>0</v>
      </c>
      <c r="Z289" s="19">
        <v>38.49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</row>
    <row r="290" spans="1:32" x14ac:dyDescent="0.3">
      <c r="A290" s="6">
        <v>45580</v>
      </c>
      <c r="B290" s="3" t="s">
        <v>36</v>
      </c>
      <c r="C290" s="8">
        <v>11</v>
      </c>
      <c r="D290" s="9">
        <v>38.799999999999997</v>
      </c>
      <c r="E290" s="10" t="s">
        <v>33</v>
      </c>
      <c r="F290" s="11">
        <v>79</v>
      </c>
      <c r="G290" s="9">
        <v>46.3</v>
      </c>
      <c r="H290" s="10" t="s">
        <v>35</v>
      </c>
      <c r="I290" s="16" t="s">
        <v>34</v>
      </c>
      <c r="J290" s="17">
        <v>24</v>
      </c>
      <c r="K290" s="17">
        <v>0</v>
      </c>
      <c r="L290" s="17">
        <v>0</v>
      </c>
      <c r="M290" s="19">
        <f>X289-X290</f>
        <v>1.9199999999999591</v>
      </c>
      <c r="N290" s="4">
        <v>0</v>
      </c>
      <c r="O290" s="19">
        <f>Z289-Z290</f>
        <v>0.76000000000000512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19">
        <v>256.23</v>
      </c>
      <c r="Y290" s="4">
        <v>0</v>
      </c>
      <c r="Z290" s="19">
        <v>37.729999999999997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</row>
    <row r="291" spans="1:32" x14ac:dyDescent="0.3">
      <c r="A291" s="6">
        <v>45581</v>
      </c>
      <c r="B291" s="3" t="s">
        <v>36</v>
      </c>
      <c r="C291" s="8">
        <v>10</v>
      </c>
      <c r="D291" s="9">
        <v>12.2</v>
      </c>
      <c r="E291" s="10" t="s">
        <v>33</v>
      </c>
      <c r="F291" s="11">
        <v>84</v>
      </c>
      <c r="G291" s="9">
        <v>8.4</v>
      </c>
      <c r="H291" s="10" t="s">
        <v>35</v>
      </c>
      <c r="I291" s="16" t="s">
        <v>34</v>
      </c>
      <c r="J291" s="17">
        <v>24</v>
      </c>
      <c r="K291" s="17">
        <v>20.7</v>
      </c>
      <c r="L291" s="17">
        <v>263</v>
      </c>
      <c r="M291" s="19">
        <f>X290-X291</f>
        <v>14.27000000000001</v>
      </c>
      <c r="N291" s="4">
        <v>0</v>
      </c>
      <c r="O291" s="19">
        <f t="shared" ref="O291:O354" si="11">Z290-Z291</f>
        <v>0.15999999999999659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19">
        <v>241.96</v>
      </c>
      <c r="Y291" s="4">
        <v>0</v>
      </c>
      <c r="Z291" s="19">
        <v>37.57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</row>
    <row r="292" spans="1:32" x14ac:dyDescent="0.3">
      <c r="A292" s="6">
        <v>45582</v>
      </c>
      <c r="B292" s="3" t="s">
        <v>36</v>
      </c>
      <c r="C292" s="8">
        <v>8</v>
      </c>
      <c r="D292" s="9">
        <v>31.6</v>
      </c>
      <c r="E292" s="10" t="s">
        <v>33</v>
      </c>
      <c r="F292" s="11">
        <v>88</v>
      </c>
      <c r="G292" s="9">
        <v>41.6</v>
      </c>
      <c r="H292" s="10" t="s">
        <v>35</v>
      </c>
      <c r="I292" s="16" t="s">
        <v>34</v>
      </c>
      <c r="J292" s="17">
        <v>24</v>
      </c>
      <c r="K292" s="17">
        <v>23.5</v>
      </c>
      <c r="L292" s="17">
        <v>288</v>
      </c>
      <c r="M292" s="19">
        <f t="shared" ref="M292:M355" si="12">X291-X292</f>
        <v>14.830000000000013</v>
      </c>
      <c r="N292" s="4">
        <v>0</v>
      </c>
      <c r="O292" s="19">
        <f t="shared" si="11"/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19">
        <v>227.13</v>
      </c>
      <c r="Y292" s="4">
        <v>0</v>
      </c>
      <c r="Z292" s="19">
        <v>37.57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</row>
    <row r="293" spans="1:32" x14ac:dyDescent="0.3">
      <c r="A293" s="6">
        <v>45583</v>
      </c>
      <c r="B293" s="3" t="s">
        <v>36</v>
      </c>
      <c r="C293" s="8">
        <v>6</v>
      </c>
      <c r="D293" s="9">
        <v>55.3</v>
      </c>
      <c r="E293" s="10" t="s">
        <v>33</v>
      </c>
      <c r="F293" s="11">
        <v>93</v>
      </c>
      <c r="G293" s="9">
        <v>7</v>
      </c>
      <c r="H293" s="10" t="s">
        <v>35</v>
      </c>
      <c r="I293" s="16" t="s">
        <v>34</v>
      </c>
      <c r="J293" s="17">
        <v>24</v>
      </c>
      <c r="K293" s="17">
        <v>23</v>
      </c>
      <c r="L293" s="17">
        <v>282</v>
      </c>
      <c r="M293" s="19">
        <f t="shared" si="12"/>
        <v>15.710000000000008</v>
      </c>
      <c r="N293" s="4">
        <v>0</v>
      </c>
      <c r="O293" s="19">
        <f t="shared" si="11"/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19">
        <v>211.42</v>
      </c>
      <c r="Y293" s="4">
        <v>0</v>
      </c>
      <c r="Z293" s="19">
        <v>37.57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</row>
    <row r="294" spans="1:32" x14ac:dyDescent="0.3">
      <c r="A294" s="6">
        <v>45584</v>
      </c>
      <c r="B294" s="3" t="s">
        <v>36</v>
      </c>
      <c r="C294" s="8">
        <v>5</v>
      </c>
      <c r="D294" s="9">
        <v>44.8</v>
      </c>
      <c r="E294" s="10" t="s">
        <v>33</v>
      </c>
      <c r="F294" s="11">
        <v>97</v>
      </c>
      <c r="G294" s="9">
        <v>0.1</v>
      </c>
      <c r="H294" s="10" t="s">
        <v>35</v>
      </c>
      <c r="I294" s="16" t="s">
        <v>34</v>
      </c>
      <c r="J294" s="17">
        <v>24</v>
      </c>
      <c r="K294" s="17">
        <v>23</v>
      </c>
      <c r="L294" s="17">
        <v>241</v>
      </c>
      <c r="M294" s="19">
        <f t="shared" si="12"/>
        <v>12.339999999999975</v>
      </c>
      <c r="N294" s="4">
        <v>0</v>
      </c>
      <c r="O294" s="19">
        <f t="shared" si="11"/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19">
        <v>199.08</v>
      </c>
      <c r="Y294" s="4">
        <v>0</v>
      </c>
      <c r="Z294" s="19">
        <v>37.57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</row>
    <row r="295" spans="1:32" x14ac:dyDescent="0.3">
      <c r="A295" s="6">
        <v>45585</v>
      </c>
      <c r="B295" s="3" t="s">
        <v>36</v>
      </c>
      <c r="C295" s="8">
        <v>2</v>
      </c>
      <c r="D295" s="9">
        <v>58.3</v>
      </c>
      <c r="E295" s="10" t="s">
        <v>33</v>
      </c>
      <c r="F295" s="11">
        <v>100</v>
      </c>
      <c r="G295" s="9">
        <v>44.3</v>
      </c>
      <c r="H295" s="10" t="s">
        <v>35</v>
      </c>
      <c r="I295" s="16" t="s">
        <v>34</v>
      </c>
      <c r="J295" s="17">
        <v>24</v>
      </c>
      <c r="K295" s="17">
        <v>24</v>
      </c>
      <c r="L295" s="17">
        <v>284</v>
      </c>
      <c r="M295" s="19">
        <f t="shared" si="12"/>
        <v>13.960000000000008</v>
      </c>
      <c r="N295" s="4">
        <v>0</v>
      </c>
      <c r="O295" s="19">
        <f t="shared" si="11"/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19">
        <v>185.12</v>
      </c>
      <c r="Y295" s="4">
        <v>0</v>
      </c>
      <c r="Z295" s="19">
        <v>37.57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</row>
    <row r="296" spans="1:32" x14ac:dyDescent="0.3">
      <c r="A296" s="6">
        <v>45586</v>
      </c>
      <c r="B296" s="3" t="s">
        <v>36</v>
      </c>
      <c r="C296" s="8">
        <v>1</v>
      </c>
      <c r="D296" s="9">
        <v>11.9</v>
      </c>
      <c r="E296" s="10" t="s">
        <v>33</v>
      </c>
      <c r="F296" s="11">
        <v>103</v>
      </c>
      <c r="G296" s="9">
        <v>41.1</v>
      </c>
      <c r="H296" s="10" t="s">
        <v>35</v>
      </c>
      <c r="I296" s="16" t="s">
        <v>34</v>
      </c>
      <c r="J296" s="17">
        <v>24</v>
      </c>
      <c r="K296" s="17">
        <v>17</v>
      </c>
      <c r="L296" s="17">
        <v>212</v>
      </c>
      <c r="M296" s="19">
        <f t="shared" si="12"/>
        <v>10.689999999999998</v>
      </c>
      <c r="N296" s="4">
        <v>0</v>
      </c>
      <c r="O296" s="19">
        <v>0.28999999999999998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19">
        <v>174.43</v>
      </c>
      <c r="Y296" s="4">
        <v>0</v>
      </c>
      <c r="Z296" s="19">
        <v>57.21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</row>
    <row r="297" spans="1:32" x14ac:dyDescent="0.3">
      <c r="A297" s="6">
        <v>45587</v>
      </c>
      <c r="B297" s="3" t="s">
        <v>36</v>
      </c>
      <c r="C297" s="8">
        <v>2</v>
      </c>
      <c r="D297" s="9">
        <v>55.2</v>
      </c>
      <c r="E297" s="10" t="s">
        <v>33</v>
      </c>
      <c r="F297" s="11">
        <v>105</v>
      </c>
      <c r="G297" s="9">
        <v>17.2</v>
      </c>
      <c r="H297" s="10" t="s">
        <v>35</v>
      </c>
      <c r="I297" s="16" t="s">
        <v>34</v>
      </c>
      <c r="J297" s="17">
        <v>24</v>
      </c>
      <c r="K297" s="17">
        <v>13.5</v>
      </c>
      <c r="L297" s="17">
        <v>170.5</v>
      </c>
      <c r="M297" s="19">
        <v>15.27</v>
      </c>
      <c r="N297" s="4">
        <v>0</v>
      </c>
      <c r="O297" s="19">
        <f t="shared" si="11"/>
        <v>0.21999999999999886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19">
        <v>662.55</v>
      </c>
      <c r="Y297" s="4">
        <v>0</v>
      </c>
      <c r="Z297" s="19">
        <v>56.99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</row>
    <row r="298" spans="1:32" x14ac:dyDescent="0.3">
      <c r="A298" s="6">
        <v>45588</v>
      </c>
      <c r="B298" s="3" t="s">
        <v>36</v>
      </c>
      <c r="C298" s="8">
        <v>7</v>
      </c>
      <c r="D298" s="9">
        <v>1.8</v>
      </c>
      <c r="E298" s="10" t="s">
        <v>33</v>
      </c>
      <c r="F298" s="11">
        <v>108</v>
      </c>
      <c r="G298" s="9">
        <v>25.7</v>
      </c>
      <c r="H298" s="10" t="s">
        <v>35</v>
      </c>
      <c r="I298" s="16" t="s">
        <v>34</v>
      </c>
      <c r="J298" s="17">
        <v>24</v>
      </c>
      <c r="K298" s="17">
        <v>24</v>
      </c>
      <c r="L298" s="17">
        <v>315.5</v>
      </c>
      <c r="M298" s="19">
        <f t="shared" si="12"/>
        <v>18.719999999999914</v>
      </c>
      <c r="N298" s="4">
        <v>0</v>
      </c>
      <c r="O298" s="19">
        <f t="shared" si="11"/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19">
        <v>643.83000000000004</v>
      </c>
      <c r="Y298" s="4">
        <v>0</v>
      </c>
      <c r="Z298" s="19">
        <v>56.99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</row>
    <row r="299" spans="1:32" x14ac:dyDescent="0.3">
      <c r="A299" s="6">
        <v>45589</v>
      </c>
      <c r="B299" s="3" t="s">
        <v>36</v>
      </c>
      <c r="C299" s="8">
        <v>10</v>
      </c>
      <c r="D299" s="9">
        <v>34</v>
      </c>
      <c r="E299" s="10" t="s">
        <v>33</v>
      </c>
      <c r="F299" s="11">
        <v>111</v>
      </c>
      <c r="G299" s="9">
        <v>37.5</v>
      </c>
      <c r="H299" s="10" t="s">
        <v>35</v>
      </c>
      <c r="I299" s="16" t="s">
        <v>34</v>
      </c>
      <c r="J299" s="17">
        <v>24</v>
      </c>
      <c r="K299" s="17">
        <v>24</v>
      </c>
      <c r="L299" s="17">
        <v>290</v>
      </c>
      <c r="M299" s="19">
        <f t="shared" si="12"/>
        <v>19.610000000000014</v>
      </c>
      <c r="N299" s="4">
        <v>0</v>
      </c>
      <c r="O299" s="19">
        <f t="shared" si="11"/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19">
        <v>624.22</v>
      </c>
      <c r="Y299" s="4">
        <v>0</v>
      </c>
      <c r="Z299" s="19">
        <v>56.99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</row>
    <row r="300" spans="1:32" x14ac:dyDescent="0.3">
      <c r="A300" s="6">
        <v>45590</v>
      </c>
      <c r="B300" s="3" t="s">
        <v>36</v>
      </c>
      <c r="C300" s="8">
        <v>12</v>
      </c>
      <c r="D300" s="9">
        <v>31.3</v>
      </c>
      <c r="E300" s="10" t="s">
        <v>33</v>
      </c>
      <c r="F300" s="11">
        <v>115</v>
      </c>
      <c r="G300" s="9">
        <v>19.100000000000001</v>
      </c>
      <c r="H300" s="10" t="s">
        <v>35</v>
      </c>
      <c r="I300" s="16" t="s">
        <v>34</v>
      </c>
      <c r="J300" s="17">
        <v>24</v>
      </c>
      <c r="K300" s="17">
        <v>24</v>
      </c>
      <c r="L300" s="17">
        <v>268</v>
      </c>
      <c r="M300" s="19">
        <f t="shared" si="12"/>
        <v>18.790000000000077</v>
      </c>
      <c r="N300" s="4">
        <v>0</v>
      </c>
      <c r="O300" s="19">
        <f t="shared" si="11"/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19">
        <v>605.42999999999995</v>
      </c>
      <c r="Y300" s="4">
        <v>0</v>
      </c>
      <c r="Z300" s="19">
        <v>56.99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</row>
    <row r="301" spans="1:32" x14ac:dyDescent="0.3">
      <c r="A301" s="6">
        <v>45591</v>
      </c>
      <c r="B301" s="3" t="s">
        <v>36</v>
      </c>
      <c r="C301" s="8">
        <v>15</v>
      </c>
      <c r="D301" s="9">
        <v>37.799999999999997</v>
      </c>
      <c r="E301" s="10" t="s">
        <v>33</v>
      </c>
      <c r="F301" s="11">
        <v>119</v>
      </c>
      <c r="G301" s="9">
        <v>5.2</v>
      </c>
      <c r="H301" s="10" t="s">
        <v>35</v>
      </c>
      <c r="I301" s="16" t="s">
        <v>34</v>
      </c>
      <c r="J301" s="17">
        <v>24</v>
      </c>
      <c r="K301" s="17">
        <v>24</v>
      </c>
      <c r="L301" s="17">
        <v>314</v>
      </c>
      <c r="M301" s="19">
        <f t="shared" si="12"/>
        <v>18.349999999999909</v>
      </c>
      <c r="N301" s="4">
        <v>0</v>
      </c>
      <c r="O301" s="19">
        <f t="shared" si="11"/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19">
        <v>587.08000000000004</v>
      </c>
      <c r="Y301" s="4">
        <v>0</v>
      </c>
      <c r="Z301" s="19">
        <v>56.99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</row>
    <row r="302" spans="1:32" x14ac:dyDescent="0.3">
      <c r="A302" s="6">
        <v>45592</v>
      </c>
      <c r="B302" s="3" t="s">
        <v>36</v>
      </c>
      <c r="C302" s="8">
        <v>20</v>
      </c>
      <c r="D302" s="9">
        <v>30</v>
      </c>
      <c r="E302" s="10" t="s">
        <v>33</v>
      </c>
      <c r="F302" s="11">
        <v>121</v>
      </c>
      <c r="G302" s="9">
        <v>6.6</v>
      </c>
      <c r="H302" s="10" t="s">
        <v>35</v>
      </c>
      <c r="I302" s="16" t="s">
        <v>34</v>
      </c>
      <c r="J302" s="17">
        <v>24</v>
      </c>
      <c r="K302" s="17">
        <v>24</v>
      </c>
      <c r="L302" s="17">
        <v>318</v>
      </c>
      <c r="M302" s="19">
        <f t="shared" si="12"/>
        <v>19</v>
      </c>
      <c r="N302" s="4">
        <v>0</v>
      </c>
      <c r="O302" s="19">
        <f t="shared" si="11"/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19">
        <v>568.08000000000004</v>
      </c>
      <c r="Y302" s="4">
        <v>0</v>
      </c>
      <c r="Z302" s="19">
        <v>56.99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</row>
    <row r="303" spans="1:32" x14ac:dyDescent="0.3">
      <c r="A303" s="6">
        <v>45593</v>
      </c>
      <c r="B303" s="3" t="s">
        <v>36</v>
      </c>
      <c r="C303" s="8">
        <v>24</v>
      </c>
      <c r="D303" s="9">
        <v>47.3</v>
      </c>
      <c r="E303" s="10" t="s">
        <v>33</v>
      </c>
      <c r="F303" s="11">
        <v>123</v>
      </c>
      <c r="G303" s="9">
        <v>45.3</v>
      </c>
      <c r="H303" s="10" t="s">
        <v>35</v>
      </c>
      <c r="I303" s="16" t="s">
        <v>34</v>
      </c>
      <c r="J303" s="17">
        <v>23</v>
      </c>
      <c r="K303" s="17">
        <v>23</v>
      </c>
      <c r="L303" s="17">
        <v>313</v>
      </c>
      <c r="M303" s="19">
        <f t="shared" si="12"/>
        <v>18.090000000000032</v>
      </c>
      <c r="N303" s="4">
        <v>0</v>
      </c>
      <c r="O303" s="19">
        <f t="shared" si="11"/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19">
        <v>549.99</v>
      </c>
      <c r="Y303" s="4">
        <v>0</v>
      </c>
      <c r="Z303" s="19">
        <v>56.99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</row>
    <row r="304" spans="1:32" x14ac:dyDescent="0.3">
      <c r="A304" s="6">
        <v>45594</v>
      </c>
      <c r="B304" s="3" t="s">
        <v>36</v>
      </c>
      <c r="C304" s="8">
        <v>28</v>
      </c>
      <c r="D304" s="9">
        <v>4.9000000000000004</v>
      </c>
      <c r="E304" s="10" t="s">
        <v>33</v>
      </c>
      <c r="F304" s="11">
        <v>127</v>
      </c>
      <c r="G304" s="9">
        <v>30.3</v>
      </c>
      <c r="H304" s="10" t="s">
        <v>35</v>
      </c>
      <c r="I304" s="16" t="s">
        <v>34</v>
      </c>
      <c r="J304" s="17">
        <v>24</v>
      </c>
      <c r="K304" s="17">
        <v>24</v>
      </c>
      <c r="L304" s="17">
        <v>285</v>
      </c>
      <c r="M304" s="19">
        <f t="shared" si="12"/>
        <v>19.149999999999977</v>
      </c>
      <c r="N304" s="4">
        <v>0</v>
      </c>
      <c r="O304" s="19">
        <f t="shared" si="11"/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19">
        <v>530.84</v>
      </c>
      <c r="Y304" s="4">
        <v>0</v>
      </c>
      <c r="Z304" s="19">
        <v>56.99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</row>
    <row r="305" spans="1:32" x14ac:dyDescent="0.3">
      <c r="A305" s="6">
        <v>45595</v>
      </c>
      <c r="B305" s="3" t="s">
        <v>36</v>
      </c>
      <c r="C305" s="8">
        <v>31</v>
      </c>
      <c r="D305" s="9">
        <v>33.4</v>
      </c>
      <c r="E305" s="10" t="s">
        <v>33</v>
      </c>
      <c r="F305" s="11">
        <v>131</v>
      </c>
      <c r="G305" s="9">
        <v>47.8</v>
      </c>
      <c r="H305" s="10" t="s">
        <v>35</v>
      </c>
      <c r="I305" s="16" t="s">
        <v>34</v>
      </c>
      <c r="J305" s="17">
        <v>24</v>
      </c>
      <c r="K305" s="17">
        <v>24</v>
      </c>
      <c r="L305" s="17">
        <v>313</v>
      </c>
      <c r="M305" s="19">
        <f t="shared" si="12"/>
        <v>19.350000000000023</v>
      </c>
      <c r="N305" s="4">
        <v>0</v>
      </c>
      <c r="O305" s="19">
        <f t="shared" si="11"/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19">
        <v>511.49</v>
      </c>
      <c r="Y305" s="4">
        <v>0</v>
      </c>
      <c r="Z305" s="19">
        <v>56.99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</row>
    <row r="306" spans="1:32" x14ac:dyDescent="0.3">
      <c r="A306" s="7">
        <v>45596</v>
      </c>
      <c r="B306" s="3" t="s">
        <v>36</v>
      </c>
      <c r="C306" s="12">
        <v>33</v>
      </c>
      <c r="D306" s="13">
        <v>57</v>
      </c>
      <c r="E306" s="14" t="s">
        <v>33</v>
      </c>
      <c r="F306" s="15">
        <v>132</v>
      </c>
      <c r="G306" s="13">
        <v>42.8</v>
      </c>
      <c r="H306" s="14" t="s">
        <v>35</v>
      </c>
      <c r="I306" s="16" t="s">
        <v>34</v>
      </c>
      <c r="J306" s="18">
        <v>24</v>
      </c>
      <c r="K306" s="18">
        <v>13</v>
      </c>
      <c r="L306" s="18">
        <v>133</v>
      </c>
      <c r="M306" s="20">
        <f t="shared" si="12"/>
        <v>11.050000000000011</v>
      </c>
      <c r="N306" s="4">
        <v>0</v>
      </c>
      <c r="O306" s="20">
        <f t="shared" si="11"/>
        <v>6.0000000000002274E-2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20">
        <v>500.44</v>
      </c>
      <c r="Y306" s="4">
        <v>0</v>
      </c>
      <c r="Z306" s="20">
        <v>56.93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</row>
    <row r="307" spans="1:32" x14ac:dyDescent="0.3">
      <c r="A307" s="6">
        <v>45597</v>
      </c>
      <c r="B307" s="3" t="s">
        <v>36</v>
      </c>
      <c r="C307" s="8">
        <v>34</v>
      </c>
      <c r="D307" s="9">
        <v>7.2</v>
      </c>
      <c r="E307" s="10" t="s">
        <v>33</v>
      </c>
      <c r="F307" s="11">
        <v>132</v>
      </c>
      <c r="G307" s="9">
        <v>54.5</v>
      </c>
      <c r="H307" s="10" t="s">
        <v>35</v>
      </c>
      <c r="I307" s="16" t="s">
        <v>34</v>
      </c>
      <c r="J307" s="17">
        <v>24</v>
      </c>
      <c r="K307" s="17">
        <v>3</v>
      </c>
      <c r="L307" s="17">
        <v>23</v>
      </c>
      <c r="M307" s="19">
        <f t="shared" si="12"/>
        <v>3.0799999999999841</v>
      </c>
      <c r="N307" s="4">
        <v>0</v>
      </c>
      <c r="O307" s="19">
        <f t="shared" si="11"/>
        <v>0.72999999999999687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19">
        <v>497.36</v>
      </c>
      <c r="Y307" s="4">
        <v>0</v>
      </c>
      <c r="Z307" s="19">
        <v>56.2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</row>
    <row r="308" spans="1:32" x14ac:dyDescent="0.3">
      <c r="A308" s="6">
        <v>45598</v>
      </c>
      <c r="B308" s="3" t="s">
        <v>36</v>
      </c>
      <c r="C308" s="8">
        <v>33</v>
      </c>
      <c r="D308" s="9">
        <v>55.1</v>
      </c>
      <c r="E308" s="10" t="s">
        <v>33</v>
      </c>
      <c r="F308" s="11">
        <v>132</v>
      </c>
      <c r="G308" s="9">
        <v>40.200000000000003</v>
      </c>
      <c r="H308" s="10" t="s">
        <v>35</v>
      </c>
      <c r="I308" s="16" t="s">
        <v>34</v>
      </c>
      <c r="J308" s="17">
        <v>24</v>
      </c>
      <c r="K308" s="17">
        <v>2</v>
      </c>
      <c r="L308" s="17">
        <v>24</v>
      </c>
      <c r="M308" s="19">
        <f t="shared" si="12"/>
        <v>3.0500000000000114</v>
      </c>
      <c r="N308" s="4">
        <v>0</v>
      </c>
      <c r="O308" s="19">
        <f t="shared" si="11"/>
        <v>0.31000000000000227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19">
        <v>494.31</v>
      </c>
      <c r="Y308" s="4">
        <v>0</v>
      </c>
      <c r="Z308" s="19">
        <v>55.89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</row>
    <row r="309" spans="1:32" x14ac:dyDescent="0.3">
      <c r="A309" s="6">
        <v>45599</v>
      </c>
      <c r="B309" s="3" t="s">
        <v>36</v>
      </c>
      <c r="C309" s="8">
        <v>30</v>
      </c>
      <c r="D309" s="9">
        <v>36.1</v>
      </c>
      <c r="E309" s="10" t="s">
        <v>33</v>
      </c>
      <c r="F309" s="11">
        <v>130</v>
      </c>
      <c r="G309" s="9">
        <v>12.8</v>
      </c>
      <c r="H309" s="10" t="s">
        <v>35</v>
      </c>
      <c r="I309" s="16" t="s">
        <v>34</v>
      </c>
      <c r="J309" s="17">
        <v>24</v>
      </c>
      <c r="K309" s="17">
        <v>20.3</v>
      </c>
      <c r="L309" s="17">
        <v>263</v>
      </c>
      <c r="M309" s="19">
        <f t="shared" si="12"/>
        <v>14.819999999999993</v>
      </c>
      <c r="N309" s="4">
        <v>0</v>
      </c>
      <c r="O309" s="19">
        <f t="shared" si="11"/>
        <v>0.36999999999999744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19">
        <v>479.49</v>
      </c>
      <c r="Y309" s="4">
        <v>0</v>
      </c>
      <c r="Z309" s="19">
        <v>55.52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</row>
    <row r="310" spans="1:32" x14ac:dyDescent="0.3">
      <c r="A310" s="6">
        <v>45600</v>
      </c>
      <c r="B310" s="3" t="s">
        <v>36</v>
      </c>
      <c r="C310" s="8">
        <v>27</v>
      </c>
      <c r="D310" s="9">
        <v>2.5</v>
      </c>
      <c r="E310" s="10" t="s">
        <v>33</v>
      </c>
      <c r="F310" s="11">
        <v>126</v>
      </c>
      <c r="G310" s="9">
        <v>49.2</v>
      </c>
      <c r="H310" s="10" t="s">
        <v>35</v>
      </c>
      <c r="I310" s="16" t="s">
        <v>34</v>
      </c>
      <c r="J310" s="17">
        <v>24</v>
      </c>
      <c r="K310" s="17">
        <v>24</v>
      </c>
      <c r="L310" s="17">
        <v>287</v>
      </c>
      <c r="M310" s="19">
        <f t="shared" si="12"/>
        <v>15.75</v>
      </c>
      <c r="N310" s="4">
        <v>0</v>
      </c>
      <c r="O310" s="19">
        <f t="shared" si="11"/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19">
        <v>463.74</v>
      </c>
      <c r="Y310" s="4">
        <v>0</v>
      </c>
      <c r="Z310" s="19">
        <v>55.52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</row>
    <row r="311" spans="1:32" x14ac:dyDescent="0.3">
      <c r="A311" s="6">
        <v>45601</v>
      </c>
      <c r="B311" s="3" t="s">
        <v>36</v>
      </c>
      <c r="C311" s="8">
        <v>25</v>
      </c>
      <c r="D311" s="9">
        <v>40.799999999999997</v>
      </c>
      <c r="E311" s="10" t="s">
        <v>33</v>
      </c>
      <c r="F311" s="11">
        <v>122</v>
      </c>
      <c r="G311" s="9">
        <v>56</v>
      </c>
      <c r="H311" s="10" t="s">
        <v>35</v>
      </c>
      <c r="I311" s="16" t="s">
        <v>34</v>
      </c>
      <c r="J311" s="17">
        <v>24</v>
      </c>
      <c r="K311" s="17">
        <v>24</v>
      </c>
      <c r="L311" s="17">
        <v>296</v>
      </c>
      <c r="M311" s="19">
        <f t="shared" si="12"/>
        <v>21.100000000000023</v>
      </c>
      <c r="N311" s="4">
        <v>0</v>
      </c>
      <c r="O311" s="19">
        <f t="shared" si="11"/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19">
        <v>442.64</v>
      </c>
      <c r="Y311" s="4">
        <v>0</v>
      </c>
      <c r="Z311" s="19">
        <v>55.52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</row>
    <row r="312" spans="1:32" x14ac:dyDescent="0.3">
      <c r="A312" s="6">
        <v>45602</v>
      </c>
      <c r="B312" s="3" t="s">
        <v>36</v>
      </c>
      <c r="C312" s="8">
        <v>20</v>
      </c>
      <c r="D312" s="9">
        <v>4.2</v>
      </c>
      <c r="E312" s="10" t="s">
        <v>33</v>
      </c>
      <c r="F312" s="11">
        <v>120</v>
      </c>
      <c r="G312" s="9">
        <v>4.5999999999999996</v>
      </c>
      <c r="H312" s="10" t="s">
        <v>35</v>
      </c>
      <c r="I312" s="16" t="s">
        <v>34</v>
      </c>
      <c r="J312" s="17">
        <v>24</v>
      </c>
      <c r="K312" s="17">
        <v>24</v>
      </c>
      <c r="L312" s="17">
        <v>281</v>
      </c>
      <c r="M312" s="19">
        <f t="shared" si="12"/>
        <v>18.430000000000007</v>
      </c>
      <c r="N312" s="4">
        <v>0</v>
      </c>
      <c r="O312" s="19">
        <f t="shared" si="11"/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19">
        <v>424.21</v>
      </c>
      <c r="Y312" s="4">
        <v>0</v>
      </c>
      <c r="Z312" s="19">
        <v>55.52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</row>
    <row r="313" spans="1:32" x14ac:dyDescent="0.3">
      <c r="A313" s="6">
        <v>45603</v>
      </c>
      <c r="B313" s="3" t="s">
        <v>36</v>
      </c>
      <c r="C313" s="8">
        <v>16</v>
      </c>
      <c r="D313" s="9">
        <v>26.1</v>
      </c>
      <c r="E313" s="10" t="s">
        <v>33</v>
      </c>
      <c r="F313" s="11">
        <v>116</v>
      </c>
      <c r="G313" s="9">
        <v>22.2</v>
      </c>
      <c r="H313" s="10" t="s">
        <v>35</v>
      </c>
      <c r="I313" s="16" t="s">
        <v>34</v>
      </c>
      <c r="J313" s="17">
        <v>25</v>
      </c>
      <c r="K313" s="17">
        <v>25</v>
      </c>
      <c r="L313" s="17">
        <v>308</v>
      </c>
      <c r="M313" s="19">
        <f t="shared" si="12"/>
        <v>19.569999999999993</v>
      </c>
      <c r="N313" s="4">
        <v>0</v>
      </c>
      <c r="O313" s="19">
        <f t="shared" si="11"/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19">
        <v>404.64</v>
      </c>
      <c r="Y313" s="4">
        <v>0</v>
      </c>
      <c r="Z313" s="19">
        <v>55.52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</row>
    <row r="314" spans="1:32" x14ac:dyDescent="0.3">
      <c r="A314" s="6">
        <v>45604</v>
      </c>
      <c r="B314" s="3" t="s">
        <v>36</v>
      </c>
      <c r="C314" s="8">
        <v>12</v>
      </c>
      <c r="D314" s="9">
        <v>46.5</v>
      </c>
      <c r="E314" s="10" t="s">
        <v>33</v>
      </c>
      <c r="F314" s="11">
        <v>112</v>
      </c>
      <c r="G314" s="9">
        <v>57.1</v>
      </c>
      <c r="H314" s="10" t="s">
        <v>35</v>
      </c>
      <c r="I314" s="16" t="s">
        <v>34</v>
      </c>
      <c r="J314" s="17">
        <v>24</v>
      </c>
      <c r="K314" s="17">
        <v>24</v>
      </c>
      <c r="L314" s="17">
        <v>286</v>
      </c>
      <c r="M314" s="19">
        <f t="shared" si="12"/>
        <v>19.419999999999959</v>
      </c>
      <c r="N314" s="4">
        <v>0</v>
      </c>
      <c r="O314" s="19">
        <f t="shared" si="11"/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19">
        <v>385.22</v>
      </c>
      <c r="Y314" s="4">
        <v>0</v>
      </c>
      <c r="Z314" s="19">
        <v>55.52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</row>
    <row r="315" spans="1:32" x14ac:dyDescent="0.3">
      <c r="A315" s="6">
        <v>45605</v>
      </c>
      <c r="B315" s="3" t="s">
        <v>36</v>
      </c>
      <c r="C315" s="8">
        <v>9</v>
      </c>
      <c r="D315" s="9">
        <v>7.1</v>
      </c>
      <c r="E315" s="10" t="s">
        <v>33</v>
      </c>
      <c r="F315" s="11">
        <v>109</v>
      </c>
      <c r="G315" s="9">
        <v>38.799999999999997</v>
      </c>
      <c r="H315" s="10" t="s">
        <v>35</v>
      </c>
      <c r="I315" s="16" t="s">
        <v>34</v>
      </c>
      <c r="J315" s="17">
        <v>24</v>
      </c>
      <c r="K315" s="17">
        <v>24</v>
      </c>
      <c r="L315" s="17">
        <v>290</v>
      </c>
      <c r="M315" s="19">
        <f t="shared" si="12"/>
        <v>18.880000000000052</v>
      </c>
      <c r="N315" s="4">
        <v>0</v>
      </c>
      <c r="O315" s="19">
        <f t="shared" si="11"/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19">
        <v>366.34</v>
      </c>
      <c r="Y315" s="4">
        <v>0</v>
      </c>
      <c r="Z315" s="19">
        <v>55.52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</row>
    <row r="316" spans="1:32" x14ac:dyDescent="0.3">
      <c r="A316" s="6">
        <v>45606</v>
      </c>
      <c r="B316" s="3" t="s">
        <v>36</v>
      </c>
      <c r="C316" s="8">
        <v>4</v>
      </c>
      <c r="D316" s="9">
        <v>29.4</v>
      </c>
      <c r="E316" s="10" t="s">
        <v>33</v>
      </c>
      <c r="F316" s="11">
        <v>106</v>
      </c>
      <c r="G316" s="9">
        <v>4.9000000000000004</v>
      </c>
      <c r="H316" s="10" t="s">
        <v>35</v>
      </c>
      <c r="I316" s="16" t="s">
        <v>34</v>
      </c>
      <c r="J316" s="17">
        <v>25</v>
      </c>
      <c r="K316" s="17">
        <v>25</v>
      </c>
      <c r="L316" s="17">
        <v>349</v>
      </c>
      <c r="M316" s="19">
        <f t="shared" si="12"/>
        <v>19.769999999999982</v>
      </c>
      <c r="N316" s="4">
        <v>0</v>
      </c>
      <c r="O316" s="19">
        <f t="shared" si="11"/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19">
        <v>346.57</v>
      </c>
      <c r="Y316" s="4">
        <v>0</v>
      </c>
      <c r="Z316" s="19">
        <v>55.52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</row>
    <row r="317" spans="1:32" x14ac:dyDescent="0.3">
      <c r="A317" s="6">
        <v>45607</v>
      </c>
      <c r="B317" s="3" t="s">
        <v>36</v>
      </c>
      <c r="C317" s="8">
        <v>1</v>
      </c>
      <c r="D317" s="9">
        <v>35.700000000000003</v>
      </c>
      <c r="E317" s="10" t="s">
        <v>33</v>
      </c>
      <c r="F317" s="11">
        <v>102</v>
      </c>
      <c r="G317" s="9">
        <v>55.3</v>
      </c>
      <c r="H317" s="10" t="s">
        <v>35</v>
      </c>
      <c r="I317" s="16" t="s">
        <v>34</v>
      </c>
      <c r="J317" s="17">
        <v>24</v>
      </c>
      <c r="K317" s="17">
        <v>24</v>
      </c>
      <c r="L317" s="17">
        <v>320</v>
      </c>
      <c r="M317" s="19">
        <f t="shared" si="12"/>
        <v>18.449999999999989</v>
      </c>
      <c r="N317" s="4">
        <v>0</v>
      </c>
      <c r="O317" s="19">
        <f t="shared" si="11"/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19">
        <v>328.12</v>
      </c>
      <c r="Y317" s="4">
        <v>0</v>
      </c>
      <c r="Z317" s="19">
        <v>55.52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</row>
    <row r="318" spans="1:32" x14ac:dyDescent="0.3">
      <c r="A318" s="6">
        <v>45608</v>
      </c>
      <c r="B318" s="3" t="s">
        <v>36</v>
      </c>
      <c r="C318" s="8">
        <v>4</v>
      </c>
      <c r="D318" s="9">
        <v>49.2</v>
      </c>
      <c r="E318" s="10" t="s">
        <v>33</v>
      </c>
      <c r="F318" s="11">
        <v>98</v>
      </c>
      <c r="G318" s="9">
        <v>48.4</v>
      </c>
      <c r="H318" s="10" t="s">
        <v>35</v>
      </c>
      <c r="I318" s="16" t="s">
        <v>34</v>
      </c>
      <c r="J318" s="17">
        <v>24</v>
      </c>
      <c r="K318" s="17">
        <v>24</v>
      </c>
      <c r="L318" s="17">
        <v>321</v>
      </c>
      <c r="M318" s="19">
        <f t="shared" si="12"/>
        <v>18.75</v>
      </c>
      <c r="N318" s="4">
        <v>0</v>
      </c>
      <c r="O318" s="19">
        <f t="shared" si="11"/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19">
        <v>309.37</v>
      </c>
      <c r="Y318" s="4">
        <v>0</v>
      </c>
      <c r="Z318" s="19">
        <v>55.52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</row>
    <row r="319" spans="1:32" x14ac:dyDescent="0.3">
      <c r="A319" s="6">
        <v>45609</v>
      </c>
      <c r="B319" s="3" t="s">
        <v>36</v>
      </c>
      <c r="C319" s="8">
        <v>6</v>
      </c>
      <c r="D319" s="9">
        <v>25.8</v>
      </c>
      <c r="E319" s="10" t="s">
        <v>33</v>
      </c>
      <c r="F319" s="11">
        <v>93</v>
      </c>
      <c r="G319" s="9">
        <v>59.5</v>
      </c>
      <c r="H319" s="10" t="s">
        <v>35</v>
      </c>
      <c r="I319" s="16" t="s">
        <v>34</v>
      </c>
      <c r="J319" s="17">
        <v>24</v>
      </c>
      <c r="K319" s="17">
        <v>24</v>
      </c>
      <c r="L319" s="17">
        <v>309</v>
      </c>
      <c r="M319" s="19">
        <f t="shared" si="12"/>
        <v>19.389999999999986</v>
      </c>
      <c r="N319" s="4">
        <v>0</v>
      </c>
      <c r="O319" s="19">
        <f t="shared" si="11"/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19">
        <v>289.98</v>
      </c>
      <c r="Y319" s="4">
        <v>0</v>
      </c>
      <c r="Z319" s="19">
        <v>55.52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</row>
    <row r="320" spans="1:32" x14ac:dyDescent="0.3">
      <c r="A320" s="6">
        <v>45610</v>
      </c>
      <c r="B320" s="3" t="s">
        <v>36</v>
      </c>
      <c r="C320" s="8">
        <v>8</v>
      </c>
      <c r="D320" s="9">
        <v>6.6</v>
      </c>
      <c r="E320" s="10" t="s">
        <v>33</v>
      </c>
      <c r="F320" s="11">
        <v>89</v>
      </c>
      <c r="G320" s="9">
        <v>8.6</v>
      </c>
      <c r="H320" s="10" t="s">
        <v>35</v>
      </c>
      <c r="I320" s="16" t="s">
        <v>34</v>
      </c>
      <c r="J320" s="17">
        <v>24</v>
      </c>
      <c r="K320" s="17">
        <v>24</v>
      </c>
      <c r="L320" s="17">
        <v>302</v>
      </c>
      <c r="M320" s="19">
        <f t="shared" si="12"/>
        <v>20.470000000000027</v>
      </c>
      <c r="N320" s="4">
        <v>0</v>
      </c>
      <c r="O320" s="19">
        <f t="shared" si="11"/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19">
        <v>269.51</v>
      </c>
      <c r="Y320" s="4">
        <v>0</v>
      </c>
      <c r="Z320" s="19">
        <v>55.52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</row>
    <row r="321" spans="1:32" x14ac:dyDescent="0.3">
      <c r="A321" s="6">
        <v>45611</v>
      </c>
      <c r="B321" s="3" t="s">
        <v>36</v>
      </c>
      <c r="C321" s="8">
        <v>11</v>
      </c>
      <c r="D321" s="9">
        <v>5.3</v>
      </c>
      <c r="E321" s="10" t="s">
        <v>33</v>
      </c>
      <c r="F321" s="11">
        <v>80</v>
      </c>
      <c r="G321" s="9">
        <v>40.4</v>
      </c>
      <c r="H321" s="10" t="s">
        <v>35</v>
      </c>
      <c r="I321" s="16" t="s">
        <v>34</v>
      </c>
      <c r="J321" s="17">
        <v>24.5</v>
      </c>
      <c r="K321" s="17">
        <v>24.5</v>
      </c>
      <c r="L321" s="17">
        <v>234</v>
      </c>
      <c r="M321" s="19">
        <f t="shared" si="12"/>
        <v>19.739999999999981</v>
      </c>
      <c r="N321" s="4">
        <v>0</v>
      </c>
      <c r="O321" s="19">
        <f t="shared" si="11"/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19">
        <v>249.77</v>
      </c>
      <c r="Y321" s="4">
        <v>0</v>
      </c>
      <c r="Z321" s="19">
        <v>55.52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</row>
    <row r="322" spans="1:32" x14ac:dyDescent="0.3">
      <c r="A322" s="6">
        <v>45612</v>
      </c>
      <c r="B322" s="3" t="s">
        <v>36</v>
      </c>
      <c r="C322" s="8">
        <v>11</v>
      </c>
      <c r="D322" s="9">
        <v>7.7</v>
      </c>
      <c r="E322" s="10" t="s">
        <v>33</v>
      </c>
      <c r="F322" s="11">
        <v>80</v>
      </c>
      <c r="G322" s="9">
        <v>51.2</v>
      </c>
      <c r="H322" s="10" t="s">
        <v>35</v>
      </c>
      <c r="I322" s="16" t="s">
        <v>34</v>
      </c>
      <c r="J322" s="17">
        <v>24</v>
      </c>
      <c r="K322" s="17">
        <v>24</v>
      </c>
      <c r="L322" s="17">
        <v>22</v>
      </c>
      <c r="M322" s="19">
        <f t="shared" si="12"/>
        <v>16.77000000000001</v>
      </c>
      <c r="N322" s="4">
        <v>0</v>
      </c>
      <c r="O322" s="19">
        <f t="shared" si="11"/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19">
        <v>233</v>
      </c>
      <c r="Y322" s="4">
        <v>0</v>
      </c>
      <c r="Z322" s="19">
        <v>55.52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</row>
    <row r="323" spans="1:32" x14ac:dyDescent="0.3">
      <c r="A323" s="6">
        <v>45613</v>
      </c>
      <c r="B323" s="3" t="s">
        <v>36</v>
      </c>
      <c r="C323" s="8">
        <v>11</v>
      </c>
      <c r="D323" s="9">
        <v>7.7</v>
      </c>
      <c r="E323" s="10" t="s">
        <v>33</v>
      </c>
      <c r="F323" s="11">
        <v>80</v>
      </c>
      <c r="G323" s="9">
        <v>51.2</v>
      </c>
      <c r="H323" s="10" t="s">
        <v>35</v>
      </c>
      <c r="I323" s="16" t="s">
        <v>34</v>
      </c>
      <c r="J323" s="17">
        <v>24</v>
      </c>
      <c r="K323" s="17">
        <v>4.4000000000000004</v>
      </c>
      <c r="L323" s="17">
        <v>43</v>
      </c>
      <c r="M323" s="19">
        <f t="shared" si="12"/>
        <v>5.3600000000000136</v>
      </c>
      <c r="N323" s="4">
        <v>0</v>
      </c>
      <c r="O323" s="19">
        <f t="shared" si="11"/>
        <v>1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19">
        <v>227.64</v>
      </c>
      <c r="Y323" s="4">
        <v>0</v>
      </c>
      <c r="Z323" s="19">
        <v>54.52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</row>
    <row r="324" spans="1:32" x14ac:dyDescent="0.3">
      <c r="A324" s="6">
        <v>45614</v>
      </c>
      <c r="B324" s="3" t="s">
        <v>36</v>
      </c>
      <c r="C324" s="8">
        <v>11</v>
      </c>
      <c r="D324" s="9">
        <v>11.7</v>
      </c>
      <c r="E324" s="10" t="s">
        <v>33</v>
      </c>
      <c r="F324" s="11">
        <v>80</v>
      </c>
      <c r="G324" s="9">
        <v>53.3</v>
      </c>
      <c r="H324" s="10" t="s">
        <v>35</v>
      </c>
      <c r="I324" s="16" t="s">
        <v>34</v>
      </c>
      <c r="J324" s="17">
        <v>24</v>
      </c>
      <c r="K324" s="17">
        <v>5.4</v>
      </c>
      <c r="L324" s="17">
        <v>48.6</v>
      </c>
      <c r="M324" s="19">
        <f t="shared" si="12"/>
        <v>6.5</v>
      </c>
      <c r="N324" s="4">
        <v>0</v>
      </c>
      <c r="O324" s="19">
        <f t="shared" si="11"/>
        <v>1.1000000000000014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19">
        <v>221.14</v>
      </c>
      <c r="Y324" s="4">
        <v>0</v>
      </c>
      <c r="Z324" s="19">
        <v>53.42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</row>
    <row r="325" spans="1:32" x14ac:dyDescent="0.3">
      <c r="A325" s="6">
        <v>45615</v>
      </c>
      <c r="B325" s="3" t="s">
        <v>36</v>
      </c>
      <c r="C325" s="8">
        <v>11</v>
      </c>
      <c r="D325" s="9">
        <v>20.5</v>
      </c>
      <c r="E325" s="10" t="s">
        <v>33</v>
      </c>
      <c r="F325" s="11">
        <v>80</v>
      </c>
      <c r="G325" s="9">
        <v>52.5</v>
      </c>
      <c r="H325" s="10" t="s">
        <v>35</v>
      </c>
      <c r="I325" s="16" t="s">
        <v>34</v>
      </c>
      <c r="J325" s="17">
        <v>24</v>
      </c>
      <c r="K325" s="17">
        <v>5.4</v>
      </c>
      <c r="L325" s="17">
        <v>45</v>
      </c>
      <c r="M325" s="19">
        <f t="shared" si="12"/>
        <v>6.5499999999999829</v>
      </c>
      <c r="N325" s="4">
        <v>0</v>
      </c>
      <c r="O325" s="19">
        <f t="shared" si="11"/>
        <v>1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19">
        <v>214.59</v>
      </c>
      <c r="Y325" s="4">
        <v>0</v>
      </c>
      <c r="Z325" s="19">
        <v>52.42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</row>
    <row r="326" spans="1:32" x14ac:dyDescent="0.3">
      <c r="A326" s="6">
        <v>45616</v>
      </c>
      <c r="B326" s="3" t="s">
        <v>36</v>
      </c>
      <c r="C326" s="8">
        <v>11</v>
      </c>
      <c r="D326" s="9">
        <v>6.9</v>
      </c>
      <c r="E326" s="10" t="s">
        <v>33</v>
      </c>
      <c r="F326" s="11">
        <v>80</v>
      </c>
      <c r="G326" s="9">
        <v>44.2</v>
      </c>
      <c r="H326" s="10" t="s">
        <v>35</v>
      </c>
      <c r="I326" s="16" t="s">
        <v>34</v>
      </c>
      <c r="J326" s="17">
        <v>24</v>
      </c>
      <c r="K326" s="17">
        <v>5</v>
      </c>
      <c r="L326" s="17">
        <v>51</v>
      </c>
      <c r="M326" s="19">
        <f t="shared" si="12"/>
        <v>6.1100000000000136</v>
      </c>
      <c r="N326" s="4">
        <v>0</v>
      </c>
      <c r="O326" s="19">
        <f t="shared" si="11"/>
        <v>1.2000000000000028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19">
        <v>208.48</v>
      </c>
      <c r="Y326" s="4">
        <v>0</v>
      </c>
      <c r="Z326" s="19">
        <v>51.22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</row>
    <row r="327" spans="1:32" x14ac:dyDescent="0.3">
      <c r="A327" s="6">
        <v>45617</v>
      </c>
      <c r="B327" s="3" t="s">
        <v>36</v>
      </c>
      <c r="C327" s="8">
        <v>11</v>
      </c>
      <c r="D327" s="9">
        <v>16.7</v>
      </c>
      <c r="E327" s="10" t="s">
        <v>33</v>
      </c>
      <c r="F327" s="11">
        <v>81</v>
      </c>
      <c r="G327" s="9">
        <v>4.9000000000000004</v>
      </c>
      <c r="H327" s="10" t="s">
        <v>35</v>
      </c>
      <c r="I327" s="16" t="s">
        <v>34</v>
      </c>
      <c r="J327" s="17">
        <v>24</v>
      </c>
      <c r="K327" s="17">
        <v>5.9</v>
      </c>
      <c r="L327" s="17">
        <v>53</v>
      </c>
      <c r="M327" s="19">
        <f t="shared" si="12"/>
        <v>7.2199999999999989</v>
      </c>
      <c r="N327" s="4">
        <v>0</v>
      </c>
      <c r="O327" s="19">
        <f t="shared" si="11"/>
        <v>1.1999999999999957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19">
        <v>201.26</v>
      </c>
      <c r="Y327" s="4">
        <v>0</v>
      </c>
      <c r="Z327" s="19">
        <v>50.02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</row>
    <row r="328" spans="1:32" x14ac:dyDescent="0.3">
      <c r="A328" s="6">
        <v>45618</v>
      </c>
      <c r="B328" s="3" t="s">
        <v>36</v>
      </c>
      <c r="C328" s="8">
        <v>11</v>
      </c>
      <c r="D328" s="9">
        <v>13.6</v>
      </c>
      <c r="E328" s="10" t="s">
        <v>33</v>
      </c>
      <c r="F328" s="11">
        <v>81</v>
      </c>
      <c r="G328" s="9">
        <v>4</v>
      </c>
      <c r="H328" s="10" t="s">
        <v>35</v>
      </c>
      <c r="I328" s="16" t="s">
        <v>34</v>
      </c>
      <c r="J328" s="17">
        <v>24</v>
      </c>
      <c r="K328" s="17">
        <v>4.5</v>
      </c>
      <c r="L328" s="17">
        <v>41.4</v>
      </c>
      <c r="M328" s="19">
        <f t="shared" si="12"/>
        <v>5.3799999999999955</v>
      </c>
      <c r="N328" s="4">
        <v>0</v>
      </c>
      <c r="O328" s="19">
        <f t="shared" si="11"/>
        <v>1.2000000000000028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19">
        <v>195.88</v>
      </c>
      <c r="Y328" s="4">
        <v>0</v>
      </c>
      <c r="Z328" s="19">
        <v>48.82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</row>
    <row r="329" spans="1:32" x14ac:dyDescent="0.3">
      <c r="A329" s="6">
        <v>45619</v>
      </c>
      <c r="B329" s="3" t="s">
        <v>36</v>
      </c>
      <c r="C329" s="8">
        <v>10</v>
      </c>
      <c r="D329" s="9">
        <v>54.7</v>
      </c>
      <c r="E329" s="10" t="s">
        <v>33</v>
      </c>
      <c r="F329" s="11">
        <v>80</v>
      </c>
      <c r="G329" s="9">
        <v>54.6</v>
      </c>
      <c r="H329" s="10" t="s">
        <v>35</v>
      </c>
      <c r="I329" s="16" t="s">
        <v>34</v>
      </c>
      <c r="J329" s="17">
        <v>24</v>
      </c>
      <c r="K329" s="17">
        <v>3.9</v>
      </c>
      <c r="L329" s="17">
        <v>37.299999999999997</v>
      </c>
      <c r="M329" s="19">
        <f t="shared" si="12"/>
        <v>4.7299999999999898</v>
      </c>
      <c r="N329" s="4">
        <v>0</v>
      </c>
      <c r="O329" s="19">
        <f t="shared" si="11"/>
        <v>1.2000000000000028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19">
        <v>191.15</v>
      </c>
      <c r="Y329" s="4">
        <v>0</v>
      </c>
      <c r="Z329" s="19">
        <v>47.62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</row>
    <row r="330" spans="1:32" x14ac:dyDescent="0.3">
      <c r="A330" s="6">
        <v>45620</v>
      </c>
      <c r="B330" s="3" t="s">
        <v>36</v>
      </c>
      <c r="C330" s="8">
        <v>11</v>
      </c>
      <c r="D330" s="9">
        <v>12.1</v>
      </c>
      <c r="E330" s="10" t="s">
        <v>33</v>
      </c>
      <c r="F330" s="11">
        <v>80</v>
      </c>
      <c r="G330" s="9">
        <v>59.7</v>
      </c>
      <c r="H330" s="10" t="s">
        <v>35</v>
      </c>
      <c r="I330" s="16" t="s">
        <v>34</v>
      </c>
      <c r="J330" s="17">
        <v>24</v>
      </c>
      <c r="K330" s="17">
        <v>5.22</v>
      </c>
      <c r="L330" s="17">
        <v>46.5</v>
      </c>
      <c r="M330" s="19">
        <f t="shared" si="12"/>
        <v>6.289999999999992</v>
      </c>
      <c r="N330" s="4">
        <v>0</v>
      </c>
      <c r="O330" s="19">
        <f t="shared" si="11"/>
        <v>1.1999999999999957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19">
        <v>184.86</v>
      </c>
      <c r="Y330" s="4">
        <v>0</v>
      </c>
      <c r="Z330" s="19">
        <v>46.42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</row>
    <row r="331" spans="1:32" x14ac:dyDescent="0.3">
      <c r="A331" s="6">
        <v>45621</v>
      </c>
      <c r="B331" s="3" t="s">
        <v>36</v>
      </c>
      <c r="C331" s="8">
        <v>11</v>
      </c>
      <c r="D331" s="9">
        <v>15.8</v>
      </c>
      <c r="E331" s="10" t="s">
        <v>33</v>
      </c>
      <c r="F331" s="11">
        <v>80</v>
      </c>
      <c r="G331" s="9">
        <v>51.4</v>
      </c>
      <c r="H331" s="10" t="s">
        <v>35</v>
      </c>
      <c r="I331" s="16" t="s">
        <v>34</v>
      </c>
      <c r="J331" s="17">
        <v>24</v>
      </c>
      <c r="K331" s="17">
        <v>5</v>
      </c>
      <c r="L331" s="17">
        <v>45.9</v>
      </c>
      <c r="M331" s="19">
        <f t="shared" si="12"/>
        <v>6.0400000000000205</v>
      </c>
      <c r="N331" s="4">
        <v>0</v>
      </c>
      <c r="O331" s="19">
        <f t="shared" si="11"/>
        <v>1.2000000000000028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19">
        <v>178.82</v>
      </c>
      <c r="Y331" s="4">
        <v>0</v>
      </c>
      <c r="Z331" s="19">
        <v>45.22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</row>
    <row r="332" spans="1:32" x14ac:dyDescent="0.3">
      <c r="A332" s="6">
        <v>45622</v>
      </c>
      <c r="B332" s="3" t="s">
        <v>36</v>
      </c>
      <c r="C332" s="8">
        <v>11</v>
      </c>
      <c r="D332" s="9">
        <v>53.4</v>
      </c>
      <c r="E332" s="10" t="s">
        <v>33</v>
      </c>
      <c r="F332" s="11">
        <v>80</v>
      </c>
      <c r="G332" s="9">
        <v>0.8</v>
      </c>
      <c r="H332" s="10" t="s">
        <v>35</v>
      </c>
      <c r="I332" s="16" t="s">
        <v>34</v>
      </c>
      <c r="J332" s="17">
        <v>24</v>
      </c>
      <c r="K332" s="17">
        <v>5.5</v>
      </c>
      <c r="L332" s="17">
        <v>50</v>
      </c>
      <c r="M332" s="19">
        <f t="shared" si="12"/>
        <v>6.6099999999999852</v>
      </c>
      <c r="N332" s="4">
        <v>0</v>
      </c>
      <c r="O332" s="19">
        <f t="shared" si="11"/>
        <v>0.5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19">
        <v>172.21</v>
      </c>
      <c r="Y332" s="4">
        <v>0</v>
      </c>
      <c r="Z332" s="19">
        <v>44.72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</row>
    <row r="333" spans="1:32" x14ac:dyDescent="0.3">
      <c r="A333" s="6">
        <v>45623</v>
      </c>
      <c r="B333" s="3" t="s">
        <v>36</v>
      </c>
      <c r="C333" s="8">
        <v>11</v>
      </c>
      <c r="D333" s="9">
        <v>21</v>
      </c>
      <c r="E333" s="10" t="s">
        <v>33</v>
      </c>
      <c r="F333" s="11">
        <v>80</v>
      </c>
      <c r="G333" s="9">
        <v>59.8</v>
      </c>
      <c r="H333" s="10" t="s">
        <v>35</v>
      </c>
      <c r="I333" s="16" t="s">
        <v>34</v>
      </c>
      <c r="J333" s="17">
        <v>24</v>
      </c>
      <c r="K333" s="17">
        <v>4</v>
      </c>
      <c r="L333" s="17">
        <v>36.4</v>
      </c>
      <c r="M333" s="19">
        <f t="shared" si="12"/>
        <v>4.8300000000000125</v>
      </c>
      <c r="N333" s="4">
        <v>0</v>
      </c>
      <c r="O333" s="19">
        <f t="shared" si="11"/>
        <v>0.60000000000000142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19">
        <v>167.38</v>
      </c>
      <c r="Y333" s="4">
        <v>0</v>
      </c>
      <c r="Z333" s="19">
        <v>44.12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</row>
    <row r="334" spans="1:32" x14ac:dyDescent="0.3">
      <c r="A334" s="6">
        <v>45624</v>
      </c>
      <c r="B334" s="3" t="s">
        <v>36</v>
      </c>
      <c r="C334" s="8">
        <v>10</v>
      </c>
      <c r="D334" s="9">
        <v>42.9</v>
      </c>
      <c r="E334" s="10" t="s">
        <v>33</v>
      </c>
      <c r="F334" s="11">
        <v>81</v>
      </c>
      <c r="G334" s="9">
        <v>14.2</v>
      </c>
      <c r="H334" s="10" t="s">
        <v>35</v>
      </c>
      <c r="I334" s="16" t="s">
        <v>34</v>
      </c>
      <c r="J334" s="17">
        <v>24</v>
      </c>
      <c r="K334" s="17">
        <v>5.4</v>
      </c>
      <c r="L334" s="17">
        <v>49.6</v>
      </c>
      <c r="M334" s="19">
        <f t="shared" si="12"/>
        <v>6.5099999999999909</v>
      </c>
      <c r="N334" s="4">
        <v>0</v>
      </c>
      <c r="O334" s="19">
        <f t="shared" si="11"/>
        <v>0.59999999999999432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19">
        <v>160.87</v>
      </c>
      <c r="Y334" s="4">
        <v>0</v>
      </c>
      <c r="Z334" s="19">
        <v>43.52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</row>
    <row r="335" spans="1:32" x14ac:dyDescent="0.3">
      <c r="A335" s="6">
        <v>45625</v>
      </c>
      <c r="B335" s="3" t="s">
        <v>36</v>
      </c>
      <c r="C335" s="8">
        <v>10</v>
      </c>
      <c r="D335" s="9">
        <v>54.3</v>
      </c>
      <c r="E335" s="10" t="s">
        <v>33</v>
      </c>
      <c r="F335" s="11">
        <v>81</v>
      </c>
      <c r="G335" s="9">
        <v>24.7</v>
      </c>
      <c r="H335" s="10" t="s">
        <v>35</v>
      </c>
      <c r="I335" s="16" t="s">
        <v>34</v>
      </c>
      <c r="J335" s="17">
        <v>24</v>
      </c>
      <c r="K335" s="17">
        <v>6.8</v>
      </c>
      <c r="L335" s="17">
        <v>65.900000000000006</v>
      </c>
      <c r="M335" s="19">
        <f t="shared" si="12"/>
        <v>8.1400000000000148</v>
      </c>
      <c r="N335" s="4">
        <v>0</v>
      </c>
      <c r="O335" s="19">
        <f t="shared" si="11"/>
        <v>0.5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19">
        <v>152.72999999999999</v>
      </c>
      <c r="Y335" s="4">
        <v>0</v>
      </c>
      <c r="Z335" s="19">
        <v>43.02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</row>
    <row r="336" spans="1:32" x14ac:dyDescent="0.3">
      <c r="A336" s="6">
        <v>45626</v>
      </c>
      <c r="B336" s="3" t="s">
        <v>36</v>
      </c>
      <c r="C336" s="8">
        <v>10</v>
      </c>
      <c r="D336" s="9">
        <v>38.4</v>
      </c>
      <c r="E336" s="10" t="s">
        <v>33</v>
      </c>
      <c r="F336" s="11">
        <v>81</v>
      </c>
      <c r="G336" s="9">
        <v>59.9</v>
      </c>
      <c r="H336" s="10" t="s">
        <v>35</v>
      </c>
      <c r="I336" s="16" t="s">
        <v>34</v>
      </c>
      <c r="J336" s="17">
        <v>24</v>
      </c>
      <c r="K336" s="17">
        <v>4.2</v>
      </c>
      <c r="L336" s="17">
        <v>46.5</v>
      </c>
      <c r="M336" s="19">
        <f t="shared" si="12"/>
        <v>5.0099999999999909</v>
      </c>
      <c r="N336" s="4">
        <v>0</v>
      </c>
      <c r="O336" s="19">
        <f t="shared" si="11"/>
        <v>0.70000000000000284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19">
        <v>147.72</v>
      </c>
      <c r="Y336" s="4">
        <v>0</v>
      </c>
      <c r="Z336" s="19">
        <v>42.32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</row>
    <row r="337" spans="1:32" x14ac:dyDescent="0.3">
      <c r="A337" s="6">
        <v>45627</v>
      </c>
      <c r="B337" s="3" t="s">
        <v>36</v>
      </c>
      <c r="C337" s="8">
        <v>11</v>
      </c>
      <c r="D337" s="9">
        <v>12.7</v>
      </c>
      <c r="E337" s="10" t="s">
        <v>33</v>
      </c>
      <c r="F337" s="11">
        <v>81</v>
      </c>
      <c r="G337" s="9">
        <v>36.299999999999997</v>
      </c>
      <c r="H337" s="10" t="s">
        <v>35</v>
      </c>
      <c r="I337" s="16" t="s">
        <v>34</v>
      </c>
      <c r="J337" s="17">
        <v>24</v>
      </c>
      <c r="K337" s="17">
        <v>5.3</v>
      </c>
      <c r="L337" s="17">
        <v>46.6</v>
      </c>
      <c r="M337" s="19">
        <f t="shared" si="12"/>
        <v>6.4199999999999875</v>
      </c>
      <c r="N337" s="4">
        <v>0</v>
      </c>
      <c r="O337" s="19">
        <f t="shared" si="11"/>
        <v>0.5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19">
        <v>141.30000000000001</v>
      </c>
      <c r="Y337" s="4">
        <v>0</v>
      </c>
      <c r="Z337" s="19">
        <v>41.82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</row>
    <row r="338" spans="1:32" x14ac:dyDescent="0.3">
      <c r="A338" s="6">
        <v>45628</v>
      </c>
      <c r="B338" s="3" t="s">
        <v>36</v>
      </c>
      <c r="C338" s="8">
        <v>11</v>
      </c>
      <c r="D338" s="9">
        <v>37.799999999999997</v>
      </c>
      <c r="E338" s="10" t="s">
        <v>33</v>
      </c>
      <c r="F338" s="11">
        <v>81</v>
      </c>
      <c r="G338" s="9">
        <v>41.9</v>
      </c>
      <c r="H338" s="10" t="s">
        <v>35</v>
      </c>
      <c r="I338" s="16" t="s">
        <v>34</v>
      </c>
      <c r="J338" s="17">
        <v>24</v>
      </c>
      <c r="K338" s="17">
        <v>3.5</v>
      </c>
      <c r="L338" s="17">
        <v>31.8</v>
      </c>
      <c r="M338" s="19">
        <f t="shared" si="12"/>
        <v>4.2300000000000182</v>
      </c>
      <c r="N338" s="4">
        <v>0</v>
      </c>
      <c r="O338" s="19">
        <f t="shared" si="11"/>
        <v>1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19">
        <v>137.07</v>
      </c>
      <c r="Y338" s="4">
        <v>0</v>
      </c>
      <c r="Z338" s="19">
        <v>40.82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</row>
    <row r="339" spans="1:32" x14ac:dyDescent="0.3">
      <c r="A339" s="6">
        <v>45629</v>
      </c>
      <c r="B339" s="3" t="s">
        <v>36</v>
      </c>
      <c r="C339" s="8">
        <v>11</v>
      </c>
      <c r="D339" s="9">
        <v>35.4</v>
      </c>
      <c r="E339" s="10" t="s">
        <v>33</v>
      </c>
      <c r="F339" s="11">
        <v>80</v>
      </c>
      <c r="G339" s="9">
        <v>40.9</v>
      </c>
      <c r="H339" s="10" t="s">
        <v>35</v>
      </c>
      <c r="I339" s="16" t="s">
        <v>34</v>
      </c>
      <c r="J339" s="17">
        <v>24</v>
      </c>
      <c r="K339" s="17">
        <v>9.1999999999999993</v>
      </c>
      <c r="L339" s="17">
        <v>87</v>
      </c>
      <c r="M339" s="19">
        <f t="shared" si="12"/>
        <v>11.029999999999987</v>
      </c>
      <c r="N339" s="4">
        <v>0</v>
      </c>
      <c r="O339" s="19">
        <f t="shared" si="11"/>
        <v>0.39999999999999858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19">
        <v>126.04</v>
      </c>
      <c r="Y339" s="4">
        <v>0</v>
      </c>
      <c r="Z339" s="19">
        <v>40.42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</row>
    <row r="340" spans="1:32" x14ac:dyDescent="0.3">
      <c r="A340" s="6">
        <v>45630</v>
      </c>
      <c r="B340" s="3" t="s">
        <v>36</v>
      </c>
      <c r="C340" s="8">
        <v>11</v>
      </c>
      <c r="D340" s="9">
        <v>38.299999999999997</v>
      </c>
      <c r="E340" s="10" t="s">
        <v>33</v>
      </c>
      <c r="F340" s="11">
        <v>79</v>
      </c>
      <c r="G340" s="9">
        <v>46.4</v>
      </c>
      <c r="H340" s="10" t="s">
        <v>35</v>
      </c>
      <c r="I340" s="16" t="s">
        <v>34</v>
      </c>
      <c r="J340" s="17">
        <v>24</v>
      </c>
      <c r="K340" s="17">
        <v>6.7</v>
      </c>
      <c r="L340" s="17">
        <v>62</v>
      </c>
      <c r="M340" s="19">
        <f t="shared" si="12"/>
        <v>8.1200000000000045</v>
      </c>
      <c r="N340" s="4">
        <v>0</v>
      </c>
      <c r="O340" s="19">
        <f t="shared" si="11"/>
        <v>0.39999999999999858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19">
        <v>117.92</v>
      </c>
      <c r="Y340" s="4">
        <v>0</v>
      </c>
      <c r="Z340" s="19">
        <v>40.020000000000003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</row>
    <row r="341" spans="1:32" x14ac:dyDescent="0.3">
      <c r="A341" s="6">
        <v>45631</v>
      </c>
      <c r="B341" s="3" t="s">
        <v>36</v>
      </c>
      <c r="C341" s="8">
        <v>11</v>
      </c>
      <c r="D341" s="9">
        <v>38.299999999999997</v>
      </c>
      <c r="E341" s="10" t="s">
        <v>33</v>
      </c>
      <c r="F341" s="11">
        <v>79</v>
      </c>
      <c r="G341" s="9">
        <v>46.4</v>
      </c>
      <c r="H341" s="10" t="s">
        <v>35</v>
      </c>
      <c r="I341" s="16" t="s">
        <v>34</v>
      </c>
      <c r="J341" s="17">
        <v>24</v>
      </c>
      <c r="K341" s="17">
        <v>3.6</v>
      </c>
      <c r="L341" s="17">
        <v>33</v>
      </c>
      <c r="M341" s="19">
        <f t="shared" si="12"/>
        <v>4.2900000000000063</v>
      </c>
      <c r="N341" s="4">
        <v>0</v>
      </c>
      <c r="O341" s="19">
        <f t="shared" si="11"/>
        <v>1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19">
        <v>113.63</v>
      </c>
      <c r="Y341" s="4">
        <v>0</v>
      </c>
      <c r="Z341" s="19">
        <v>39.020000000000003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</row>
    <row r="342" spans="1:32" x14ac:dyDescent="0.3">
      <c r="A342" s="6">
        <v>45632</v>
      </c>
      <c r="B342" s="3" t="s">
        <v>36</v>
      </c>
      <c r="C342" s="8">
        <v>11</v>
      </c>
      <c r="D342" s="9">
        <v>17.2</v>
      </c>
      <c r="E342" s="10" t="s">
        <v>33</v>
      </c>
      <c r="F342" s="11">
        <v>80</v>
      </c>
      <c r="G342" s="9">
        <v>52.5</v>
      </c>
      <c r="H342" s="10" t="s">
        <v>35</v>
      </c>
      <c r="I342" s="16" t="s">
        <v>34</v>
      </c>
      <c r="J342" s="17">
        <v>24</v>
      </c>
      <c r="K342" s="17">
        <v>4</v>
      </c>
      <c r="L342" s="17">
        <v>57</v>
      </c>
      <c r="M342" s="19">
        <f t="shared" si="12"/>
        <v>6.9200000000000017</v>
      </c>
      <c r="N342" s="4">
        <v>0</v>
      </c>
      <c r="O342" s="19">
        <f t="shared" si="11"/>
        <v>0.60000000000000142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19">
        <v>106.71</v>
      </c>
      <c r="Y342" s="4">
        <v>0</v>
      </c>
      <c r="Z342" s="19">
        <v>38.42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</row>
    <row r="343" spans="1:32" x14ac:dyDescent="0.3">
      <c r="A343" s="6">
        <v>45633</v>
      </c>
      <c r="B343" s="3" t="s">
        <v>36</v>
      </c>
      <c r="C343" s="8">
        <v>9</v>
      </c>
      <c r="D343" s="9">
        <v>21.9</v>
      </c>
      <c r="E343" s="10" t="s">
        <v>33</v>
      </c>
      <c r="F343" s="11">
        <v>85</v>
      </c>
      <c r="G343" s="9">
        <v>53.4</v>
      </c>
      <c r="H343" s="10" t="s">
        <v>35</v>
      </c>
      <c r="I343" s="16" t="s">
        <v>34</v>
      </c>
      <c r="J343" s="17">
        <v>24</v>
      </c>
      <c r="K343" s="17">
        <v>24</v>
      </c>
      <c r="L343" s="17">
        <v>318</v>
      </c>
      <c r="M343" s="19">
        <f t="shared" si="12"/>
        <v>19.209999999999994</v>
      </c>
      <c r="N343" s="4">
        <v>0</v>
      </c>
      <c r="O343" s="19">
        <f t="shared" si="11"/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19">
        <v>87.5</v>
      </c>
      <c r="Y343" s="4">
        <v>0</v>
      </c>
      <c r="Z343" s="19">
        <v>38.42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</row>
    <row r="344" spans="1:32" x14ac:dyDescent="0.3">
      <c r="A344" s="6">
        <v>45634</v>
      </c>
      <c r="B344" s="3" t="s">
        <v>36</v>
      </c>
      <c r="C344" s="8">
        <v>7</v>
      </c>
      <c r="D344" s="9">
        <v>27.7</v>
      </c>
      <c r="E344" s="10" t="s">
        <v>33</v>
      </c>
      <c r="F344" s="11">
        <v>90</v>
      </c>
      <c r="G344" s="9">
        <v>50.7</v>
      </c>
      <c r="H344" s="10" t="s">
        <v>35</v>
      </c>
      <c r="I344" s="16" t="s">
        <v>34</v>
      </c>
      <c r="J344" s="17">
        <v>23.5</v>
      </c>
      <c r="K344" s="17">
        <v>23.5</v>
      </c>
      <c r="L344" s="17">
        <v>316</v>
      </c>
      <c r="M344" s="19">
        <f t="shared" si="12"/>
        <v>20.11</v>
      </c>
      <c r="N344" s="4">
        <v>0</v>
      </c>
      <c r="O344" s="19">
        <f t="shared" si="11"/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19">
        <v>67.39</v>
      </c>
      <c r="Y344" s="4">
        <v>0</v>
      </c>
      <c r="Z344" s="19">
        <v>38.42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</row>
    <row r="345" spans="1:32" x14ac:dyDescent="0.3">
      <c r="A345" s="6">
        <v>45635</v>
      </c>
      <c r="B345" s="3" t="s">
        <v>36</v>
      </c>
      <c r="C345" s="8">
        <v>6</v>
      </c>
      <c r="D345" s="9">
        <v>7</v>
      </c>
      <c r="E345" s="10" t="s">
        <v>33</v>
      </c>
      <c r="F345" s="11">
        <v>95</v>
      </c>
      <c r="G345" s="9">
        <v>50.7</v>
      </c>
      <c r="H345" s="10" t="s">
        <v>35</v>
      </c>
      <c r="I345" s="16" t="s">
        <v>34</v>
      </c>
      <c r="J345" s="17">
        <v>23</v>
      </c>
      <c r="K345" s="17">
        <v>23</v>
      </c>
      <c r="L345" s="17">
        <v>312</v>
      </c>
      <c r="M345" s="19">
        <f t="shared" si="12"/>
        <v>17.259999999999998</v>
      </c>
      <c r="N345" s="4">
        <v>0</v>
      </c>
      <c r="O345" s="19">
        <f t="shared" si="11"/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19">
        <v>50.13</v>
      </c>
      <c r="Y345" s="4">
        <v>0</v>
      </c>
      <c r="Z345" s="19">
        <v>38.42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</row>
    <row r="346" spans="1:32" x14ac:dyDescent="0.3">
      <c r="A346" s="6">
        <v>45636</v>
      </c>
      <c r="B346" s="3" t="s">
        <v>36</v>
      </c>
      <c r="C346" s="8">
        <v>3</v>
      </c>
      <c r="D346" s="9">
        <v>11.7</v>
      </c>
      <c r="E346" s="10" t="s">
        <v>33</v>
      </c>
      <c r="F346" s="11">
        <v>100</v>
      </c>
      <c r="G346" s="9">
        <v>31.6</v>
      </c>
      <c r="H346" s="10" t="s">
        <v>35</v>
      </c>
      <c r="I346" s="16" t="s">
        <v>34</v>
      </c>
      <c r="J346" s="17">
        <v>23</v>
      </c>
      <c r="K346" s="17">
        <v>23</v>
      </c>
      <c r="L346" s="17">
        <v>334</v>
      </c>
      <c r="M346" s="19">
        <f t="shared" si="12"/>
        <v>16.900000000000006</v>
      </c>
      <c r="N346" s="4">
        <v>0</v>
      </c>
      <c r="O346" s="19">
        <f t="shared" si="11"/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19">
        <v>33.229999999999997</v>
      </c>
      <c r="Y346" s="4">
        <v>0</v>
      </c>
      <c r="Z346" s="19">
        <v>38.42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</row>
    <row r="347" spans="1:32" x14ac:dyDescent="0.3">
      <c r="A347" s="6">
        <v>45637</v>
      </c>
      <c r="B347" s="3" t="s">
        <v>36</v>
      </c>
      <c r="C347" s="8">
        <v>1</v>
      </c>
      <c r="D347" s="9">
        <v>11.5</v>
      </c>
      <c r="E347" s="10" t="s">
        <v>33</v>
      </c>
      <c r="F347" s="11">
        <v>103</v>
      </c>
      <c r="G347" s="9">
        <v>4.5999999999999996</v>
      </c>
      <c r="H347" s="10" t="s">
        <v>35</v>
      </c>
      <c r="I347" s="16" t="s">
        <v>34</v>
      </c>
      <c r="J347" s="17">
        <v>24</v>
      </c>
      <c r="K347" s="17">
        <v>22</v>
      </c>
      <c r="L347" s="17">
        <v>214</v>
      </c>
      <c r="M347" s="19">
        <f t="shared" si="12"/>
        <v>12.089999999999996</v>
      </c>
      <c r="N347" s="4">
        <v>0</v>
      </c>
      <c r="O347" s="19">
        <f t="shared" si="11"/>
        <v>0.20000000000000284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19">
        <v>21.14</v>
      </c>
      <c r="Y347" s="4">
        <v>0</v>
      </c>
      <c r="Z347" s="19">
        <v>38.22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</row>
    <row r="348" spans="1:32" x14ac:dyDescent="0.3">
      <c r="A348" s="6">
        <v>45638</v>
      </c>
      <c r="B348" s="3" t="s">
        <v>36</v>
      </c>
      <c r="C348" s="8">
        <v>1</v>
      </c>
      <c r="D348" s="9">
        <v>11.5</v>
      </c>
      <c r="E348" s="10" t="s">
        <v>33</v>
      </c>
      <c r="F348" s="11">
        <v>103</v>
      </c>
      <c r="G348" s="9">
        <v>4.5999999999999996</v>
      </c>
      <c r="H348" s="10" t="s">
        <v>35</v>
      </c>
      <c r="I348" s="16" t="s">
        <v>34</v>
      </c>
      <c r="J348" s="17">
        <v>24</v>
      </c>
      <c r="K348" s="17">
        <v>0</v>
      </c>
      <c r="L348" s="17">
        <v>0</v>
      </c>
      <c r="M348" s="19">
        <v>2.87</v>
      </c>
      <c r="N348" s="4">
        <v>0</v>
      </c>
      <c r="O348" s="19">
        <v>0.7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19">
        <v>787.23</v>
      </c>
      <c r="Y348" s="4">
        <v>0</v>
      </c>
      <c r="Z348" s="19">
        <v>86.81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</row>
    <row r="349" spans="1:32" x14ac:dyDescent="0.3">
      <c r="A349" s="6">
        <v>45639</v>
      </c>
      <c r="B349" s="3" t="s">
        <v>36</v>
      </c>
      <c r="C349" s="8">
        <v>3</v>
      </c>
      <c r="D349" s="9">
        <v>8.1999999999999993</v>
      </c>
      <c r="E349" s="10" t="s">
        <v>33</v>
      </c>
      <c r="F349" s="11">
        <v>105</v>
      </c>
      <c r="G349" s="9">
        <v>47.4</v>
      </c>
      <c r="H349" s="10" t="s">
        <v>35</v>
      </c>
      <c r="I349" s="16" t="s">
        <v>34</v>
      </c>
      <c r="J349" s="17">
        <v>24</v>
      </c>
      <c r="K349" s="17">
        <v>17</v>
      </c>
      <c r="L349" s="17">
        <v>233</v>
      </c>
      <c r="M349" s="19">
        <f t="shared" si="12"/>
        <v>17.420000000000073</v>
      </c>
      <c r="N349" s="4">
        <v>0</v>
      </c>
      <c r="O349" s="19">
        <f t="shared" si="11"/>
        <v>0.20000000000000284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19">
        <v>769.81</v>
      </c>
      <c r="Y349" s="4">
        <v>0</v>
      </c>
      <c r="Z349" s="19">
        <v>86.61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</row>
    <row r="350" spans="1:32" x14ac:dyDescent="0.3">
      <c r="A350" s="6">
        <v>45640</v>
      </c>
      <c r="B350" s="3" t="s">
        <v>36</v>
      </c>
      <c r="C350" s="8">
        <v>7</v>
      </c>
      <c r="D350" s="9">
        <v>36.700000000000003</v>
      </c>
      <c r="E350" s="10" t="s">
        <v>33</v>
      </c>
      <c r="F350" s="11">
        <v>109</v>
      </c>
      <c r="G350" s="9">
        <v>18.899999999999999</v>
      </c>
      <c r="H350" s="10" t="s">
        <v>35</v>
      </c>
      <c r="I350" s="16" t="s">
        <v>34</v>
      </c>
      <c r="J350" s="17">
        <v>24</v>
      </c>
      <c r="K350" s="17">
        <v>24</v>
      </c>
      <c r="L350" s="17">
        <v>319</v>
      </c>
      <c r="M350" s="19">
        <f t="shared" si="12"/>
        <v>23.629999999999995</v>
      </c>
      <c r="N350" s="4">
        <v>0</v>
      </c>
      <c r="O350" s="19">
        <f t="shared" si="11"/>
        <v>9.9999999999994316E-2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19">
        <v>746.18</v>
      </c>
      <c r="Y350" s="4">
        <v>0</v>
      </c>
      <c r="Z350" s="19">
        <v>86.51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</row>
    <row r="351" spans="1:32" x14ac:dyDescent="0.3">
      <c r="A351" s="6">
        <v>45641</v>
      </c>
      <c r="B351" s="3" t="s">
        <v>36</v>
      </c>
      <c r="C351" s="8">
        <v>10</v>
      </c>
      <c r="D351" s="9">
        <v>38.9</v>
      </c>
      <c r="E351" s="10" t="s">
        <v>33</v>
      </c>
      <c r="F351" s="11">
        <v>112</v>
      </c>
      <c r="G351" s="9">
        <v>13.1</v>
      </c>
      <c r="H351" s="10" t="s">
        <v>35</v>
      </c>
      <c r="I351" s="16" t="s">
        <v>34</v>
      </c>
      <c r="J351" s="17">
        <v>24</v>
      </c>
      <c r="K351" s="17">
        <v>24</v>
      </c>
      <c r="L351" s="17">
        <v>252</v>
      </c>
      <c r="M351" s="19">
        <f t="shared" si="12"/>
        <v>21.1099999999999</v>
      </c>
      <c r="N351" s="4">
        <v>0</v>
      </c>
      <c r="O351" s="19">
        <f t="shared" si="11"/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19">
        <v>725.07</v>
      </c>
      <c r="Y351" s="4">
        <v>0</v>
      </c>
      <c r="Z351" s="19">
        <v>86.51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</row>
    <row r="352" spans="1:32" x14ac:dyDescent="0.3">
      <c r="A352" s="6">
        <v>45642</v>
      </c>
      <c r="B352" s="3" t="s">
        <v>36</v>
      </c>
      <c r="C352" s="8">
        <v>13</v>
      </c>
      <c r="D352" s="9">
        <v>5</v>
      </c>
      <c r="E352" s="10" t="s">
        <v>33</v>
      </c>
      <c r="F352" s="11">
        <v>114</v>
      </c>
      <c r="G352" s="9">
        <v>33</v>
      </c>
      <c r="H352" s="10" t="s">
        <v>35</v>
      </c>
      <c r="I352" s="16" t="s">
        <v>34</v>
      </c>
      <c r="J352" s="17">
        <v>24</v>
      </c>
      <c r="K352" s="17">
        <v>24</v>
      </c>
      <c r="L352" s="17">
        <v>200</v>
      </c>
      <c r="M352" s="19">
        <f t="shared" si="12"/>
        <v>20.120000000000005</v>
      </c>
      <c r="N352" s="4">
        <v>0</v>
      </c>
      <c r="O352" s="19">
        <f t="shared" si="11"/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19">
        <v>704.95</v>
      </c>
      <c r="Y352" s="4">
        <v>0</v>
      </c>
      <c r="Z352" s="19">
        <v>86.51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</row>
    <row r="353" spans="1:32" x14ac:dyDescent="0.3">
      <c r="A353" s="6">
        <v>45643</v>
      </c>
      <c r="B353" s="3" t="s">
        <v>36</v>
      </c>
      <c r="C353" s="8">
        <v>15</v>
      </c>
      <c r="D353" s="9">
        <v>47.8</v>
      </c>
      <c r="E353" s="10" t="s">
        <v>33</v>
      </c>
      <c r="F353" s="11">
        <v>117</v>
      </c>
      <c r="G353" s="9">
        <v>2.9</v>
      </c>
      <c r="H353" s="10" t="s">
        <v>35</v>
      </c>
      <c r="I353" s="16" t="s">
        <v>34</v>
      </c>
      <c r="J353" s="17">
        <v>24</v>
      </c>
      <c r="K353" s="17">
        <v>24</v>
      </c>
      <c r="L353" s="17">
        <v>216</v>
      </c>
      <c r="M353" s="19">
        <f t="shared" si="12"/>
        <v>20.660000000000082</v>
      </c>
      <c r="N353" s="4">
        <v>0</v>
      </c>
      <c r="O353" s="19">
        <f t="shared" si="11"/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19">
        <v>684.29</v>
      </c>
      <c r="Y353" s="4">
        <v>0</v>
      </c>
      <c r="Z353" s="19">
        <v>86.51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</row>
    <row r="354" spans="1:32" x14ac:dyDescent="0.3">
      <c r="A354" s="6">
        <v>45644</v>
      </c>
      <c r="B354" s="3" t="s">
        <v>36</v>
      </c>
      <c r="C354" s="8">
        <v>18</v>
      </c>
      <c r="D354" s="9">
        <v>37.4</v>
      </c>
      <c r="E354" s="10" t="s">
        <v>33</v>
      </c>
      <c r="F354" s="11">
        <v>119</v>
      </c>
      <c r="G354" s="9">
        <v>39.200000000000003</v>
      </c>
      <c r="H354" s="10" t="s">
        <v>35</v>
      </c>
      <c r="I354" s="16" t="s">
        <v>34</v>
      </c>
      <c r="J354" s="17">
        <v>24</v>
      </c>
      <c r="K354" s="17">
        <v>24</v>
      </c>
      <c r="L354" s="17">
        <v>225</v>
      </c>
      <c r="M354" s="19">
        <f t="shared" si="12"/>
        <v>21.349999999999909</v>
      </c>
      <c r="N354" s="4">
        <v>0</v>
      </c>
      <c r="O354" s="19">
        <f t="shared" si="11"/>
        <v>0.10000000000000853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19">
        <v>662.94</v>
      </c>
      <c r="Y354" s="4">
        <v>0</v>
      </c>
      <c r="Z354" s="19">
        <v>86.41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</row>
    <row r="355" spans="1:32" x14ac:dyDescent="0.3">
      <c r="A355" s="6">
        <v>45645</v>
      </c>
      <c r="B355" s="3" t="s">
        <v>36</v>
      </c>
      <c r="C355" s="8">
        <v>21</v>
      </c>
      <c r="D355" s="9">
        <v>0.8</v>
      </c>
      <c r="E355" s="10" t="s">
        <v>33</v>
      </c>
      <c r="F355" s="11">
        <v>121</v>
      </c>
      <c r="G355" s="9">
        <v>32.4</v>
      </c>
      <c r="H355" s="10" t="s">
        <v>35</v>
      </c>
      <c r="I355" s="16" t="s">
        <v>34</v>
      </c>
      <c r="J355" s="17">
        <v>24</v>
      </c>
      <c r="K355" s="17">
        <v>24</v>
      </c>
      <c r="L355" s="17">
        <v>181</v>
      </c>
      <c r="M355" s="19">
        <f t="shared" si="12"/>
        <v>20.760000000000105</v>
      </c>
      <c r="N355" s="4">
        <v>0</v>
      </c>
      <c r="O355" s="19">
        <f t="shared" ref="O355:O367" si="13">Z354-Z355</f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19">
        <v>642.17999999999995</v>
      </c>
      <c r="Y355" s="4">
        <v>0</v>
      </c>
      <c r="Z355" s="19">
        <v>86.41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</row>
    <row r="356" spans="1:32" x14ac:dyDescent="0.3">
      <c r="A356" s="6">
        <v>45646</v>
      </c>
      <c r="B356" s="3" t="s">
        <v>36</v>
      </c>
      <c r="C356" s="8">
        <v>24</v>
      </c>
      <c r="D356" s="9">
        <v>23.8</v>
      </c>
      <c r="E356" s="10" t="s">
        <v>33</v>
      </c>
      <c r="F356" s="11">
        <v>123</v>
      </c>
      <c r="G356" s="9">
        <v>23.7</v>
      </c>
      <c r="H356" s="10" t="s">
        <v>35</v>
      </c>
      <c r="I356" s="16" t="s">
        <v>34</v>
      </c>
      <c r="J356" s="17">
        <v>24</v>
      </c>
      <c r="K356" s="17">
        <v>24</v>
      </c>
      <c r="L356" s="17">
        <v>226</v>
      </c>
      <c r="M356" s="19">
        <f t="shared" ref="M356:M367" si="14">X355-X356</f>
        <v>20.009999999999991</v>
      </c>
      <c r="N356" s="4">
        <v>0</v>
      </c>
      <c r="O356" s="19">
        <f t="shared" si="13"/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19">
        <v>622.16999999999996</v>
      </c>
      <c r="Y356" s="4">
        <v>0</v>
      </c>
      <c r="Z356" s="19">
        <v>86.41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</row>
    <row r="357" spans="1:32" x14ac:dyDescent="0.3">
      <c r="A357" s="6">
        <v>45647</v>
      </c>
      <c r="B357" s="3" t="s">
        <v>36</v>
      </c>
      <c r="C357" s="8">
        <v>27</v>
      </c>
      <c r="D357" s="9">
        <v>56.2</v>
      </c>
      <c r="E357" s="10" t="s">
        <v>33</v>
      </c>
      <c r="F357" s="11">
        <v>127</v>
      </c>
      <c r="G357" s="9">
        <v>45.4</v>
      </c>
      <c r="H357" s="10" t="s">
        <v>35</v>
      </c>
      <c r="I357" s="16" t="s">
        <v>34</v>
      </c>
      <c r="J357" s="17">
        <v>24</v>
      </c>
      <c r="K357" s="17">
        <v>24</v>
      </c>
      <c r="L357" s="17">
        <v>320</v>
      </c>
      <c r="M357" s="19">
        <f t="shared" si="14"/>
        <v>23.110000000000014</v>
      </c>
      <c r="N357" s="4">
        <v>0</v>
      </c>
      <c r="O357" s="19">
        <f t="shared" si="13"/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19">
        <v>599.05999999999995</v>
      </c>
      <c r="Y357" s="4">
        <v>0</v>
      </c>
      <c r="Z357" s="19">
        <v>86.41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</row>
    <row r="358" spans="1:32" x14ac:dyDescent="0.3">
      <c r="A358" s="6">
        <v>45648</v>
      </c>
      <c r="B358" s="3" t="s">
        <v>36</v>
      </c>
      <c r="C358" s="8">
        <v>30</v>
      </c>
      <c r="D358" s="9">
        <v>57.9</v>
      </c>
      <c r="E358" s="10" t="s">
        <v>33</v>
      </c>
      <c r="F358" s="11">
        <v>130</v>
      </c>
      <c r="G358" s="9">
        <v>57.4</v>
      </c>
      <c r="H358" s="10" t="s">
        <v>35</v>
      </c>
      <c r="I358" s="16" t="s">
        <v>34</v>
      </c>
      <c r="J358" s="17">
        <v>24</v>
      </c>
      <c r="K358" s="17">
        <v>24</v>
      </c>
      <c r="L358" s="17">
        <v>256</v>
      </c>
      <c r="M358" s="19">
        <f t="shared" si="14"/>
        <v>19.92999999999995</v>
      </c>
      <c r="N358" s="4">
        <v>0</v>
      </c>
      <c r="O358" s="19">
        <f t="shared" si="13"/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19">
        <v>579.13</v>
      </c>
      <c r="Y358" s="4">
        <v>0</v>
      </c>
      <c r="Z358" s="19">
        <v>86.41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</row>
    <row r="359" spans="1:32" x14ac:dyDescent="0.3">
      <c r="A359" s="6">
        <v>45649</v>
      </c>
      <c r="B359" s="3" t="s">
        <v>36</v>
      </c>
      <c r="C359" s="8">
        <v>33</v>
      </c>
      <c r="D359" s="9">
        <v>51.5</v>
      </c>
      <c r="E359" s="10" t="s">
        <v>33</v>
      </c>
      <c r="F359" s="11">
        <v>132</v>
      </c>
      <c r="G359" s="9">
        <v>41</v>
      </c>
      <c r="H359" s="10" t="s">
        <v>35</v>
      </c>
      <c r="I359" s="16" t="s">
        <v>34</v>
      </c>
      <c r="J359" s="17">
        <v>23</v>
      </c>
      <c r="K359" s="17">
        <v>19</v>
      </c>
      <c r="L359" s="17">
        <v>216</v>
      </c>
      <c r="M359" s="19">
        <f t="shared" si="14"/>
        <v>15.919999999999959</v>
      </c>
      <c r="N359" s="4">
        <v>0</v>
      </c>
      <c r="O359" s="19">
        <f t="shared" si="13"/>
        <v>0.5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19">
        <v>563.21</v>
      </c>
      <c r="Y359" s="4">
        <v>0</v>
      </c>
      <c r="Z359" s="19">
        <v>85.91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</row>
    <row r="360" spans="1:32" x14ac:dyDescent="0.3">
      <c r="A360" s="6">
        <v>45650</v>
      </c>
      <c r="B360" s="3" t="s">
        <v>36</v>
      </c>
      <c r="C360" s="8">
        <v>34</v>
      </c>
      <c r="D360" s="9">
        <v>7.2</v>
      </c>
      <c r="E360" s="10" t="s">
        <v>33</v>
      </c>
      <c r="F360" s="11">
        <v>132</v>
      </c>
      <c r="G360" s="9">
        <v>54.4</v>
      </c>
      <c r="H360" s="10" t="s">
        <v>35</v>
      </c>
      <c r="I360" s="16" t="s">
        <v>34</v>
      </c>
      <c r="J360" s="17">
        <v>24</v>
      </c>
      <c r="K360" s="17">
        <v>2.7</v>
      </c>
      <c r="L360" s="17">
        <v>24</v>
      </c>
      <c r="M360" s="19">
        <f t="shared" si="14"/>
        <v>5.2800000000000864</v>
      </c>
      <c r="N360" s="4">
        <v>0</v>
      </c>
      <c r="O360" s="19">
        <f t="shared" si="13"/>
        <v>1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19">
        <v>557.92999999999995</v>
      </c>
      <c r="Y360" s="4">
        <v>0</v>
      </c>
      <c r="Z360" s="19">
        <v>84.91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</row>
    <row r="361" spans="1:32" x14ac:dyDescent="0.3">
      <c r="A361" s="6">
        <v>45651</v>
      </c>
      <c r="B361" s="3" t="s">
        <v>36</v>
      </c>
      <c r="C361" s="8">
        <v>37</v>
      </c>
      <c r="D361" s="9">
        <v>7.2</v>
      </c>
      <c r="E361" s="10" t="s">
        <v>33</v>
      </c>
      <c r="F361" s="11">
        <v>132</v>
      </c>
      <c r="G361" s="9">
        <v>54.4</v>
      </c>
      <c r="H361" s="10" t="s">
        <v>35</v>
      </c>
      <c r="I361" s="16" t="s">
        <v>34</v>
      </c>
      <c r="J361" s="17">
        <v>24</v>
      </c>
      <c r="K361" s="17">
        <v>0</v>
      </c>
      <c r="L361" s="17">
        <v>0</v>
      </c>
      <c r="M361" s="19">
        <f t="shared" si="14"/>
        <v>3.5999999999999091</v>
      </c>
      <c r="N361" s="4">
        <v>0</v>
      </c>
      <c r="O361" s="19">
        <f t="shared" si="13"/>
        <v>1.2000000000000028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19">
        <v>554.33000000000004</v>
      </c>
      <c r="Y361" s="4">
        <v>0</v>
      </c>
      <c r="Z361" s="19">
        <v>83.71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</row>
    <row r="362" spans="1:32" x14ac:dyDescent="0.3">
      <c r="A362" s="6">
        <v>45652</v>
      </c>
      <c r="B362" s="3" t="s">
        <v>36</v>
      </c>
      <c r="C362" s="8">
        <v>30</v>
      </c>
      <c r="D362" s="9">
        <v>35.4</v>
      </c>
      <c r="E362" s="10" t="s">
        <v>33</v>
      </c>
      <c r="F362" s="11">
        <v>130</v>
      </c>
      <c r="G362" s="9">
        <v>8.1999999999999993</v>
      </c>
      <c r="H362" s="10" t="s">
        <v>35</v>
      </c>
      <c r="I362" s="16" t="s">
        <v>34</v>
      </c>
      <c r="J362" s="17">
        <v>24</v>
      </c>
      <c r="K362" s="17">
        <v>22</v>
      </c>
      <c r="L362" s="17">
        <v>283</v>
      </c>
      <c r="M362" s="19">
        <f t="shared" si="14"/>
        <v>20</v>
      </c>
      <c r="N362" s="4">
        <v>0</v>
      </c>
      <c r="O362" s="19">
        <f t="shared" si="13"/>
        <v>0.29999999999999716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19">
        <v>534.33000000000004</v>
      </c>
      <c r="Y362" s="4">
        <v>0</v>
      </c>
      <c r="Z362" s="19">
        <v>83.41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</row>
    <row r="363" spans="1:32" x14ac:dyDescent="0.3">
      <c r="A363" s="6">
        <v>45653</v>
      </c>
      <c r="B363" s="3" t="s">
        <v>36</v>
      </c>
      <c r="C363" s="8">
        <v>26</v>
      </c>
      <c r="D363" s="9">
        <v>53.7</v>
      </c>
      <c r="E363" s="10" t="s">
        <v>33</v>
      </c>
      <c r="F363" s="11">
        <v>126</v>
      </c>
      <c r="G363" s="9">
        <v>37.1</v>
      </c>
      <c r="H363" s="10" t="s">
        <v>35</v>
      </c>
      <c r="I363" s="16" t="s">
        <v>34</v>
      </c>
      <c r="J363" s="17">
        <v>24</v>
      </c>
      <c r="K363" s="17">
        <v>24</v>
      </c>
      <c r="L363" s="17">
        <v>295</v>
      </c>
      <c r="M363" s="19">
        <f t="shared" si="14"/>
        <v>20.680000000000064</v>
      </c>
      <c r="N363" s="4">
        <v>0</v>
      </c>
      <c r="O363" s="19">
        <f t="shared" si="13"/>
        <v>0.20000000000000284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19">
        <v>513.65</v>
      </c>
      <c r="Y363" s="4">
        <v>0</v>
      </c>
      <c r="Z363" s="19">
        <v>83.21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</row>
    <row r="364" spans="1:32" x14ac:dyDescent="0.3">
      <c r="A364" s="6">
        <v>45654</v>
      </c>
      <c r="B364" s="3" t="s">
        <v>36</v>
      </c>
      <c r="C364" s="8">
        <v>24</v>
      </c>
      <c r="D364" s="9">
        <v>56.2</v>
      </c>
      <c r="E364" s="10" t="s">
        <v>33</v>
      </c>
      <c r="F364" s="11">
        <v>123</v>
      </c>
      <c r="G364" s="9">
        <v>58.9</v>
      </c>
      <c r="H364" s="10" t="s">
        <v>35</v>
      </c>
      <c r="I364" s="16" t="s">
        <v>34</v>
      </c>
      <c r="J364" s="17">
        <v>24</v>
      </c>
      <c r="K364" s="17">
        <v>24</v>
      </c>
      <c r="L364" s="17">
        <v>215</v>
      </c>
      <c r="M364" s="19">
        <f t="shared" si="14"/>
        <v>18.139999999999986</v>
      </c>
      <c r="N364" s="4">
        <v>0</v>
      </c>
      <c r="O364" s="19">
        <f t="shared" si="13"/>
        <v>0.20999999999999375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19">
        <v>495.51</v>
      </c>
      <c r="Y364" s="4">
        <v>0</v>
      </c>
      <c r="Z364" s="19">
        <v>83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</row>
    <row r="365" spans="1:32" x14ac:dyDescent="0.3">
      <c r="A365" s="6">
        <v>45655</v>
      </c>
      <c r="B365" s="3" t="s">
        <v>36</v>
      </c>
      <c r="C365" s="8">
        <v>21</v>
      </c>
      <c r="D365" s="9">
        <v>0.1</v>
      </c>
      <c r="E365" s="10" t="s">
        <v>33</v>
      </c>
      <c r="F365" s="11">
        <v>121</v>
      </c>
      <c r="G365" s="9">
        <v>2.8</v>
      </c>
      <c r="H365" s="10" t="s">
        <v>35</v>
      </c>
      <c r="I365" s="16" t="s">
        <v>34</v>
      </c>
      <c r="J365" s="17">
        <v>24</v>
      </c>
      <c r="K365" s="17">
        <v>24</v>
      </c>
      <c r="L365" s="17">
        <v>282</v>
      </c>
      <c r="M365" s="19">
        <f t="shared" si="14"/>
        <v>21.740000000000009</v>
      </c>
      <c r="N365" s="4">
        <v>0</v>
      </c>
      <c r="O365" s="19">
        <f t="shared" si="13"/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19">
        <v>473.77</v>
      </c>
      <c r="Y365" s="4">
        <v>0</v>
      </c>
      <c r="Z365" s="19">
        <v>83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</row>
    <row r="366" spans="1:32" x14ac:dyDescent="0.3">
      <c r="A366" s="6">
        <v>45656</v>
      </c>
      <c r="B366" s="3" t="s">
        <v>36</v>
      </c>
      <c r="C366" s="8">
        <v>16</v>
      </c>
      <c r="D366" s="9">
        <v>58.9</v>
      </c>
      <c r="E366" s="10" t="s">
        <v>33</v>
      </c>
      <c r="F366" s="11">
        <v>116</v>
      </c>
      <c r="G366" s="9">
        <v>55.6</v>
      </c>
      <c r="H366" s="10" t="s">
        <v>35</v>
      </c>
      <c r="I366" s="16" t="s">
        <v>34</v>
      </c>
      <c r="J366" s="17">
        <v>24</v>
      </c>
      <c r="K366" s="17">
        <v>24</v>
      </c>
      <c r="L366" s="17">
        <v>321</v>
      </c>
      <c r="M366" s="19">
        <f t="shared" si="14"/>
        <v>22.599999999999966</v>
      </c>
      <c r="N366" s="4">
        <v>0</v>
      </c>
      <c r="O366" s="19">
        <f t="shared" si="13"/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19">
        <v>451.17</v>
      </c>
      <c r="Y366" s="4">
        <v>0</v>
      </c>
      <c r="Z366" s="19">
        <v>83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</row>
    <row r="367" spans="1:32" x14ac:dyDescent="0.3">
      <c r="A367" s="6">
        <v>45657</v>
      </c>
      <c r="B367" s="3" t="s">
        <v>36</v>
      </c>
      <c r="C367" s="8">
        <v>13</v>
      </c>
      <c r="D367" s="9">
        <v>11.4</v>
      </c>
      <c r="E367" s="10" t="s">
        <v>33</v>
      </c>
      <c r="F367" s="11">
        <v>113</v>
      </c>
      <c r="G367" s="9">
        <v>18.399999999999999</v>
      </c>
      <c r="H367" s="10" t="s">
        <v>35</v>
      </c>
      <c r="I367" s="16" t="s">
        <v>34</v>
      </c>
      <c r="J367" s="17">
        <v>24</v>
      </c>
      <c r="K367" s="17">
        <v>24</v>
      </c>
      <c r="L367" s="17">
        <v>310</v>
      </c>
      <c r="M367" s="19">
        <f t="shared" si="14"/>
        <v>20.210000000000036</v>
      </c>
      <c r="N367" s="4">
        <v>0</v>
      </c>
      <c r="O367" s="19">
        <f t="shared" si="13"/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19">
        <v>430.96</v>
      </c>
      <c r="Y367" s="4">
        <v>0</v>
      </c>
      <c r="Z367" s="19">
        <v>83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</row>
  </sheetData>
  <conditionalFormatting sqref="J2:J3">
    <cfRule type="expression" dxfId="3" priority="7" stopIfTrue="1">
      <formula>AND(OR(J2&lt;=0.95*(#REF!+#REF!+#REF!+#REF!),J2&gt;=1.05*(#REF!+#REF!+#REF!+#REF!)),J2&lt;&gt;0)</formula>
    </cfRule>
  </conditionalFormatting>
  <conditionalFormatting sqref="K2:K3">
    <cfRule type="expression" dxfId="2" priority="6" stopIfTrue="1">
      <formula>AND(AND(IF(#REF!="",OR(K2&lt;=0.95*(0-#REF!-#REF!-#REF!),K2&gt;=1.05*(0-#REF!-#REF!-#REF!)),OR(K2&lt;=0.95*(#REF!-#REF!-#REF!-#REF!),K2&gt;=1.05*(#REF!-#REF!-#REF!-#REF!))),K2&lt;&gt;0),OR(#REF!&lt;&gt;"",OR(#REF!&lt;&gt;"",OR(#REF!&lt;&gt;"",#REF!&lt;&gt;""))))</formula>
    </cfRule>
  </conditionalFormatting>
  <conditionalFormatting sqref="L2:L3">
    <cfRule type="expression" dxfId="1" priority="5">
      <formula>L2&gt;(#REF!+#REF!)*#REF!</formula>
    </cfRule>
  </conditionalFormatting>
  <conditionalFormatting sqref="M2:M3 O2:X3 Z2:Z3 AG2:AG3 N2:N367 P2:W367 Y2:Y367 AA2:AF367">
    <cfRule type="expression" dxfId="0" priority="1" stopIfTrue="1">
      <formula>M2&gt;#REF!</formula>
    </cfRule>
  </conditionalFormatting>
  <dataValidations count="6">
    <dataValidation type="decimal" allowBlank="1" showInputMessage="1" showErrorMessage="1" errorTitle="Insert Minutes" error="Insert minutes between 0 and 60" sqref="G2:G3 D2:D3" xr:uid="{25571E76-2D53-44CD-97DB-852D91295325}">
      <formula1>0</formula1>
      <formula2>60</formula2>
    </dataValidation>
    <dataValidation type="date" allowBlank="1" showInputMessage="1" showErrorMessage="1" errorTitle="Insert Data" error="Insert data as yyyy-mm-dd" sqref="A2:A3" xr:uid="{3F71C78E-DF1A-42A6-A2B4-46C9B5044EF1}">
      <formula1>36526</formula1>
      <formula2>47848</formula2>
    </dataValidation>
    <dataValidation type="whole" allowBlank="1" showInputMessage="1" showErrorMessage="1" errorTitle="Insert Degrees" error="Insert deegres between 0 and 90" sqref="C2:C3" xr:uid="{E0EF9E9F-9209-4617-BDFE-1B30BD1B8924}">
      <formula1>0</formula1>
      <formula2>90</formula2>
    </dataValidation>
    <dataValidation type="list" allowBlank="1" showInputMessage="1" showErrorMessage="1" errorTitle="Insert Latitude" error="Insert latitude North or South" sqref="E2:E3" xr:uid="{84A7A95D-C1F8-454E-93A3-49B71B8F4D72}">
      <formula1>"North, South"</formula1>
    </dataValidation>
    <dataValidation type="whole" allowBlank="1" showInputMessage="1" showErrorMessage="1" errorTitle="Insert Degrees" error="Insert deegres between 0 and 180" sqref="F2:F3" xr:uid="{E08B335B-14E4-47E1-B21A-6B50DDC402D5}">
      <formula1>0</formula1>
      <formula2>180</formula2>
    </dataValidation>
    <dataValidation type="list" allowBlank="1" showInputMessage="1" showErrorMessage="1" errorTitle="Insert Longitude" error="Insert longitude East or West" sqref="H2:H3" xr:uid="{01D18787-C228-4434-8735-AEF21D0C56F2}">
      <formula1>"East, West"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FLOTA TRANSGAS</dc:creator>
  <cp:lastModifiedBy>FLOTA TRANSGAS</cp:lastModifiedBy>
  <dcterms:created xsi:type="dcterms:W3CDTF">2025-03-11T17:42:05Z</dcterms:created>
  <dcterms:modified xsi:type="dcterms:W3CDTF">2025-03-21T21:59:34Z</dcterms:modified>
</cp:coreProperties>
</file>