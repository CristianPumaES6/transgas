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istian Puma\Documents\GITHUB\transgas\"/>
    </mc:Choice>
  </mc:AlternateContent>
  <xr:revisionPtr revIDLastSave="0" documentId="8_{EA45BBEF-3BA2-4CAD-BEF2-86F891F785D0}" xr6:coauthVersionLast="47" xr6:coauthVersionMax="47" xr10:uidLastSave="{00000000-0000-0000-0000-000000000000}"/>
  <bookViews>
    <workbookView xWindow="28680" yWindow="-120" windowWidth="29040" windowHeight="15720" xr2:uid="{3F74D795-F681-4A7A-BAEA-8B7337A116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" i="1" l="1"/>
  <c r="O5" i="1"/>
  <c r="O4" i="1"/>
  <c r="M6" i="1"/>
  <c r="M5" i="1"/>
  <c r="M4" i="1"/>
</calcChain>
</file>

<file path=xl/sharedStrings.xml><?xml version="1.0" encoding="utf-8"?>
<sst xmlns="http://schemas.openxmlformats.org/spreadsheetml/2006/main" count="53" uniqueCount="37">
  <si>
    <t>date</t>
  </si>
  <si>
    <t>hour</t>
  </si>
  <si>
    <t>lat_deg</t>
  </si>
  <si>
    <t>lat_min</t>
  </si>
  <si>
    <t>latitud</t>
  </si>
  <si>
    <t>long_deg</t>
  </si>
  <si>
    <t>long_min</t>
  </si>
  <si>
    <t>longitude</t>
  </si>
  <si>
    <t>event</t>
  </si>
  <si>
    <t>time</t>
  </si>
  <si>
    <t>time_sailing</t>
  </si>
  <si>
    <t>distance</t>
  </si>
  <si>
    <t>hfo</t>
  </si>
  <si>
    <t>lfo</t>
  </si>
  <si>
    <t>mgo</t>
  </si>
  <si>
    <t>mdo</t>
  </si>
  <si>
    <t>nil1</t>
  </si>
  <si>
    <t>nil2</t>
  </si>
  <si>
    <t>nil3</t>
  </si>
  <si>
    <t>nil4</t>
  </si>
  <si>
    <t>nil5</t>
  </si>
  <si>
    <t>nil6</t>
  </si>
  <si>
    <t>nil7</t>
  </si>
  <si>
    <t>rob_hfo</t>
  </si>
  <si>
    <t>rob_lfo</t>
  </si>
  <si>
    <t>rob_mgo</t>
  </si>
  <si>
    <t>rob_mdo</t>
  </si>
  <si>
    <t>rob_lpg</t>
  </si>
  <si>
    <t>rob_lng</t>
  </si>
  <si>
    <t>rob_methanol</t>
  </si>
  <si>
    <t>rob_ethanol</t>
  </si>
  <si>
    <t>rob_other</t>
  </si>
  <si>
    <t>other_type</t>
  </si>
  <si>
    <t>Noon</t>
  </si>
  <si>
    <t>East</t>
  </si>
  <si>
    <t>12:00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</si>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</sst>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;@"/>
    <numFmt numFmtId="165" formatCode="00"/>
    <numFmt numFmtId="166" formatCode="00.0"/>
    <numFmt numFmtId="167" formatCode="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49" fontId="1" fillId="0" borderId="1" xfId="0" applyNumberFormat="1" applyFont="1" applyBorder="1"/>
    <xf numFmtId="49" fontId="0" fillId="0" borderId="0" xfId="0" applyNumberFormat="1"/>
    <xf numFmtId="2" fontId="0" fillId="2" borderId="2" xfId="0" applyNumberFormat="1" applyFill="1" applyBorder="1" applyProtection="1">
      <protection locked="0"/>
    </xf>
    <xf numFmtId="49" fontId="0" fillId="2" borderId="2" xfId="0" applyNumberFormat="1" applyFill="1" applyBorder="1" applyProtection="1">
      <protection locked="0"/>
    </xf>
    <xf numFmtId="164" fontId="2" fillId="3" borderId="1" xfId="0" applyNumberFormat="1" applyFont="1" applyFill="1" applyBorder="1" applyAlignment="1">
      <alignment horizontal="right" wrapText="1"/>
    </xf>
    <xf numFmtId="165" fontId="2" fillId="3" borderId="1" xfId="0" applyNumberFormat="1" applyFont="1" applyFill="1" applyBorder="1" applyAlignment="1">
      <alignment horizontal="right" wrapText="1"/>
    </xf>
    <xf numFmtId="166" fontId="2" fillId="3" borderId="1" xfId="0" applyNumberFormat="1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left" wrapText="1"/>
    </xf>
    <xf numFmtId="167" fontId="2" fillId="3" borderId="1" xfId="0" applyNumberFormat="1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center" wrapText="1"/>
    </xf>
    <xf numFmtId="2" fontId="2" fillId="3" borderId="1" xfId="0" applyNumberFormat="1" applyFont="1" applyFill="1" applyBorder="1" applyAlignment="1">
      <alignment horizontal="right" wrapText="1"/>
    </xf>
    <xf numFmtId="2" fontId="2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4"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24E5-A722-416C-B0A6-CD983134D43A}">
  <dimension ref="A1:AG6"/>
  <sheetViews>
    <sheetView tabSelected="1" workbookViewId="0">
      <selection activeCell="B15" sqref="B15"/>
    </sheetView>
  </sheetViews>
  <sheetFormatPr defaultRowHeight="14.4" x14ac:dyDescent="0.3"/>
  <cols>
    <col min="1" max="1" width="12.88671875" customWidth="1"/>
    <col min="2" max="2" width="8.88671875" style="3"/>
    <col min="11" max="11" width="11.109375" customWidth="1"/>
    <col min="33" max="33" width="11.109375" customWidth="1"/>
  </cols>
  <sheetData>
    <row r="1" spans="1:33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s="6">
        <v>45292</v>
      </c>
      <c r="B2" s="3" t="s">
        <v>35</v>
      </c>
      <c r="C2" s="7">
        <v>14</v>
      </c>
      <c r="D2" s="8">
        <v>5.3</v>
      </c>
      <c r="E2" s="9" t="s">
        <v>36</v>
      </c>
      <c r="F2" s="10">
        <v>144</v>
      </c>
      <c r="G2" s="8">
        <v>25</v>
      </c>
      <c r="H2" s="9" t="s">
        <v>34</v>
      </c>
      <c r="I2" s="11" t="s">
        <v>33</v>
      </c>
      <c r="J2" s="12">
        <v>24</v>
      </c>
      <c r="K2" s="12">
        <v>24</v>
      </c>
      <c r="L2" s="12">
        <v>281</v>
      </c>
      <c r="M2" s="13">
        <v>3.49</v>
      </c>
      <c r="N2" s="4">
        <v>0</v>
      </c>
      <c r="O2" s="13">
        <v>0.05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13">
        <v>529.41999999999996</v>
      </c>
      <c r="Y2" s="4">
        <v>0</v>
      </c>
      <c r="Z2" s="13">
        <v>41.67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5"/>
    </row>
    <row r="3" spans="1:33" x14ac:dyDescent="0.3">
      <c r="A3" s="6">
        <v>45293</v>
      </c>
      <c r="B3" s="3" t="s">
        <v>35</v>
      </c>
      <c r="C3" s="7">
        <v>18</v>
      </c>
      <c r="D3" s="8">
        <v>3.2</v>
      </c>
      <c r="E3" s="9" t="s">
        <v>36</v>
      </c>
      <c r="F3" s="10">
        <v>146</v>
      </c>
      <c r="G3" s="8">
        <v>22.1</v>
      </c>
      <c r="H3" s="9" t="s">
        <v>34</v>
      </c>
      <c r="I3" s="11" t="s">
        <v>33</v>
      </c>
      <c r="J3" s="12">
        <v>24</v>
      </c>
      <c r="K3" s="12">
        <v>23</v>
      </c>
      <c r="L3" s="12">
        <v>277</v>
      </c>
      <c r="M3" s="13">
        <v>22.44</v>
      </c>
      <c r="N3" s="4">
        <v>0</v>
      </c>
      <c r="O3" s="13">
        <v>0.25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13">
        <v>505.44</v>
      </c>
      <c r="Y3" s="4">
        <v>0</v>
      </c>
      <c r="Z3" s="13">
        <v>41.41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5"/>
    </row>
    <row r="4" spans="1:33" x14ac:dyDescent="0.3">
      <c r="A4" s="6">
        <v>45294</v>
      </c>
      <c r="B4" s="3" t="s">
        <v>35</v>
      </c>
      <c r="C4" s="7">
        <v>21</v>
      </c>
      <c r="D4" s="8">
        <v>11.9</v>
      </c>
      <c r="E4" s="9" t="s">
        <v>36</v>
      </c>
      <c r="F4" s="10">
        <v>150</v>
      </c>
      <c r="G4" s="8">
        <v>7.3</v>
      </c>
      <c r="H4" s="9" t="s">
        <v>34</v>
      </c>
      <c r="I4" s="11" t="s">
        <v>33</v>
      </c>
      <c r="J4" s="12">
        <v>24</v>
      </c>
      <c r="K4" s="12">
        <v>24</v>
      </c>
      <c r="L4" s="12">
        <v>288</v>
      </c>
      <c r="M4" s="13">
        <f t="shared" ref="M4:M6" si="0">X3-X4</f>
        <v>22.319999999999993</v>
      </c>
      <c r="N4" s="4">
        <v>0</v>
      </c>
      <c r="O4" s="13">
        <f t="shared" ref="O4:O6" si="1">Z3-Z4</f>
        <v>0.25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13">
        <v>483.12</v>
      </c>
      <c r="Y4" s="4">
        <v>0</v>
      </c>
      <c r="Z4" s="13">
        <v>41.16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</row>
    <row r="5" spans="1:33" x14ac:dyDescent="0.3">
      <c r="A5" s="6">
        <v>45295</v>
      </c>
      <c r="B5" s="3" t="s">
        <v>35</v>
      </c>
      <c r="C5" s="7">
        <v>24</v>
      </c>
      <c r="D5" s="8">
        <v>29.9</v>
      </c>
      <c r="E5" s="9" t="s">
        <v>36</v>
      </c>
      <c r="F5" s="10">
        <v>153</v>
      </c>
      <c r="G5" s="8">
        <v>32.299999999999997</v>
      </c>
      <c r="H5" s="9" t="s">
        <v>34</v>
      </c>
      <c r="I5" s="11" t="s">
        <v>33</v>
      </c>
      <c r="J5" s="12">
        <v>24</v>
      </c>
      <c r="K5" s="12">
        <v>24</v>
      </c>
      <c r="L5" s="12">
        <v>275</v>
      </c>
      <c r="M5" s="13">
        <f t="shared" si="0"/>
        <v>24.699999999999989</v>
      </c>
      <c r="N5" s="4">
        <v>0</v>
      </c>
      <c r="O5" s="13">
        <f t="shared" si="1"/>
        <v>0.29999999999999716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13">
        <v>458.42</v>
      </c>
      <c r="Y5" s="4">
        <v>0</v>
      </c>
      <c r="Z5" s="13">
        <v>40.86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</row>
    <row r="6" spans="1:33" x14ac:dyDescent="0.3">
      <c r="A6" s="6">
        <v>45296</v>
      </c>
      <c r="B6" s="3" t="s">
        <v>35</v>
      </c>
      <c r="C6" s="7">
        <v>28</v>
      </c>
      <c r="D6" s="8">
        <v>59.7</v>
      </c>
      <c r="E6" s="9" t="s">
        <v>36</v>
      </c>
      <c r="F6" s="10">
        <v>153</v>
      </c>
      <c r="G6" s="8">
        <v>45.3</v>
      </c>
      <c r="H6" s="9" t="s">
        <v>34</v>
      </c>
      <c r="I6" s="11" t="s">
        <v>33</v>
      </c>
      <c r="J6" s="12">
        <v>24</v>
      </c>
      <c r="K6" s="12">
        <v>23</v>
      </c>
      <c r="L6" s="12">
        <v>267</v>
      </c>
      <c r="M6" s="13">
        <f t="shared" si="0"/>
        <v>24.180000000000007</v>
      </c>
      <c r="N6" s="4">
        <v>0</v>
      </c>
      <c r="O6" s="13">
        <f t="shared" si="1"/>
        <v>0.35000000000000142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13">
        <v>434.24</v>
      </c>
      <c r="Y6" s="4">
        <v>0</v>
      </c>
      <c r="Z6" s="13">
        <v>40.51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</row>
  </sheetData>
  <conditionalFormatting sqref="J2:J3">
    <cfRule type="expression" dxfId="3" priority="7" stopIfTrue="1">
      <formula>AND(OR(J2&lt;=0.95*(#REF!+#REF!+#REF!+#REF!),J2&gt;=1.05*(#REF!+#REF!+#REF!+#REF!)),J2&lt;&gt;0)</formula>
    </cfRule>
  </conditionalFormatting>
  <conditionalFormatting sqref="K2:K3">
    <cfRule type="expression" dxfId="2" priority="6" stopIfTrue="1">
      <formula>AND(AND(IF(#REF!="",OR(K2&lt;=0.95*(0-#REF!-#REF!-#REF!),K2&gt;=1.05*(0-#REF!-#REF!-#REF!)),OR(K2&lt;=0.95*(#REF!-#REF!-#REF!-#REF!),K2&gt;=1.05*(#REF!-#REF!-#REF!-#REF!))),K2&lt;&gt;0),OR(#REF!&lt;&gt;"",OR(#REF!&lt;&gt;"",OR(#REF!&lt;&gt;"",#REF!&lt;&gt;""))))</formula>
    </cfRule>
  </conditionalFormatting>
  <conditionalFormatting sqref="L2:L3">
    <cfRule type="expression" dxfId="1" priority="5">
      <formula>L2&gt;(#REF!+#REF!)*#REF!</formula>
    </cfRule>
  </conditionalFormatting>
  <conditionalFormatting sqref="M2:M3 O2:X3 Z2:Z3 AG2:AG3 N2:N6 P2:W6 Y2:Y6 AA2:AF6">
    <cfRule type="expression" dxfId="0" priority="1" stopIfTrue="1">
      <formula>M2&gt;#REF!</formula>
    </cfRule>
  </conditionalFormatting>
  <dataValidations count="6">
    <dataValidation type="decimal" allowBlank="1" showInputMessage="1" showErrorMessage="1" errorTitle="Insert Minutes" error="Insert minutes between 0 and 60" sqref="G2:G3 D2:D3" xr:uid="{25571E76-2D53-44CD-97DB-852D91295325}">
      <formula1>0</formula1>
      <formula2>60</formula2>
    </dataValidation>
    <dataValidation type="date" allowBlank="1" showInputMessage="1" showErrorMessage="1" errorTitle="Insert Data" error="Insert data as yyyy-mm-dd" sqref="A2:A3" xr:uid="{3F71C78E-DF1A-42A6-A2B4-46C9B5044EF1}">
      <formula1>36526</formula1>
      <formula2>47848</formula2>
    </dataValidation>
    <dataValidation type="whole" allowBlank="1" showInputMessage="1" showErrorMessage="1" errorTitle="Insert Degrees" error="Insert deegres between 0 and 90" sqref="C2:C3" xr:uid="{E0EF9E9F-9209-4617-BDFE-1B30BD1B8924}">
      <formula1>0</formula1>
      <formula2>90</formula2>
    </dataValidation>
    <dataValidation type="list" allowBlank="1" showInputMessage="1" showErrorMessage="1" errorTitle="Insert Latitude" error="Insert latitude North or South" sqref="E2:E3" xr:uid="{84A7A95D-C1F8-454E-93A3-49B71B8F4D72}">
      <formula1>"North, South"</formula1>
    </dataValidation>
    <dataValidation type="whole" allowBlank="1" showInputMessage="1" showErrorMessage="1" errorTitle="Insert Degrees" error="Insert deegres between 0 and 180" sqref="F2:F3" xr:uid="{E08B335B-14E4-47E1-B21A-6B50DDC402D5}">
      <formula1>0</formula1>
      <formula2>180</formula2>
    </dataValidation>
    <dataValidation type="list" allowBlank="1" showInputMessage="1" showErrorMessage="1" errorTitle="Insert Longitude" error="Insert longitude East or West" sqref="H2:H3" xr:uid="{01D18787-C228-4434-8735-AEF21D0C56F2}">
      <formula1>"East, West"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FLOTA TRANSGAS</dc:creator>
  <cp:lastModifiedBy>FLOTA TRANSGAS</cp:lastModifiedBy>
  <dcterms:created xsi:type="dcterms:W3CDTF">2025-03-11T17:42:05Z</dcterms:created>
  <dcterms:modified xsi:type="dcterms:W3CDTF">2025-03-18T20:12:36Z</dcterms:modified>
</cp:coreProperties>
</file>