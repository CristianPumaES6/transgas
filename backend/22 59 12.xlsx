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Report" state="visible" r:id="rId4"/>
    <sheet sheetId="2" name="Port N°1 - Talara" state="visible" r:id="rId5"/>
    <sheet sheetId="3" name="Port N°2 - Bayovar" state="visible" r:id="rId6"/>
  </sheets>
  <calcPr calcId="171027"/>
</workbook>
</file>

<file path=xl/sharedStrings.xml><?xml version="1.0" encoding="utf-8"?>
<sst xmlns="http://schemas.openxmlformats.org/spreadsheetml/2006/main" count="557" uniqueCount="190">
  <si>
    <t>LEGEND</t>
  </si>
  <si>
    <t/>
  </si>
  <si>
    <t>Data recorded by the captain</t>
  </si>
  <si>
    <t>Value obtained by a formula.</t>
  </si>
  <si>
    <t>Null value</t>
  </si>
  <si>
    <t>Positive value</t>
  </si>
  <si>
    <t>Negative value</t>
  </si>
  <si>
    <t>INFO VESSEL</t>
  </si>
  <si>
    <t>Alejandro</t>
  </si>
  <si>
    <t>VLSFO</t>
  </si>
  <si>
    <t>MGO</t>
  </si>
  <si>
    <t>START DATE</t>
  </si>
  <si>
    <t>2022-12-04 03:53:00 GMT</t>
  </si>
  <si>
    <t>TIME</t>
  </si>
  <si>
    <t>SPEED</t>
  </si>
  <si>
    <t>CHARTER</t>
  </si>
  <si>
    <t>PERFORMEND</t>
  </si>
  <si>
    <t>DAILY CONSUMPTION</t>
  </si>
  <si>
    <t>CONSUMPTION</t>
  </si>
  <si>
    <t>LOADING</t>
  </si>
  <si>
    <t>FULL</t>
  </si>
  <si>
    <t>ECO</t>
  </si>
  <si>
    <t>DISCHARGE</t>
  </si>
  <si>
    <t>S. BALLAST</t>
  </si>
  <si>
    <t>S. LADEN</t>
  </si>
  <si>
    <t>ANCHORED</t>
  </si>
  <si>
    <t>MANEUVER</t>
  </si>
  <si>
    <t>S. ECONOMICAL</t>
  </si>
  <si>
    <t>OTHER ACT</t>
  </si>
  <si>
    <t>TOTAL CONSUMPTION</t>
  </si>
  <si>
    <t>TOTAL BUNKERING</t>
  </si>
  <si>
    <t>LUBRICANT CONSUMPTION</t>
  </si>
  <si>
    <t>END DATE</t>
  </si>
  <si>
    <t>2022-12-14 18:48:00 GMT</t>
  </si>
  <si>
    <t>VESSEL PERFORMANCE VLSFO</t>
  </si>
  <si>
    <t>VESSEL PERFORMANCE MGO</t>
  </si>
  <si>
    <t xml:space="preserve">ACTIVITY
PERFORMED</t>
  </si>
  <si>
    <t xml:space="preserve">TOTAL TIME
PER ACTIVITY
(HRS)</t>
  </si>
  <si>
    <t>TOTAL DISTANCE (MILES)</t>
  </si>
  <si>
    <t xml:space="preserve">AVERAGE SPEED
(MILES/HRS)</t>
  </si>
  <si>
    <t xml:space="preserve">AVERAGE SPEED
(MILES/HRS)
(CHARTER)</t>
  </si>
  <si>
    <t xml:space="preserve">TOTAL CONSUMPTION
(MT)</t>
  </si>
  <si>
    <t xml:space="preserve">DAILY CONSUMPTION
(MT)</t>
  </si>
  <si>
    <t xml:space="preserve">DAILY CONSUMPTION
(MT) (CHARTER)</t>
  </si>
  <si>
    <t xml:space="preserve">SAILING TIME
(HRS) (CHARTER)</t>
  </si>
  <si>
    <t xml:space="preserve">TOTAL CONSUMPTION
(MT) (CHARTER)</t>
  </si>
  <si>
    <t xml:space="preserve">BALANCE CONSUMPTION
(MT)</t>
  </si>
  <si>
    <t xml:space="preserve">BALANCE TIME
(HRS)</t>
  </si>
  <si>
    <t>VLSFO CONSUMPTION IN MT</t>
  </si>
  <si>
    <t>MGO CONSUMPTION IN MT</t>
  </si>
  <si>
    <t>NAVIGATION DATA</t>
  </si>
  <si>
    <t>PREVIOUS VOYAGE</t>
  </si>
  <si>
    <t>voyageId</t>
  </si>
  <si>
    <t>portId</t>
  </si>
  <si>
    <t>dailyReportId</t>
  </si>
  <si>
    <t>VOYAGE</t>
  </si>
  <si>
    <t>DEPARTURE</t>
  </si>
  <si>
    <t>ARRIVAL</t>
  </si>
  <si>
    <t>DATE UTC</t>
  </si>
  <si>
    <t>HOUR LOCAL</t>
  </si>
  <si>
    <t>ACTIVITY PERFORMED</t>
  </si>
  <si>
    <t>OBSERVATION</t>
  </si>
  <si>
    <t>DISTANCE</t>
  </si>
  <si>
    <t>BEAUFORT</t>
  </si>
  <si>
    <t>MPLA</t>
  </si>
  <si>
    <t>AUX</t>
  </si>
  <si>
    <t>BOILER</t>
  </si>
  <si>
    <t>OTHER</t>
  </si>
  <si>
    <t>TOTAL</t>
  </si>
  <si>
    <t>DAILY COSUMTION</t>
  </si>
  <si>
    <t>BUNKERING</t>
  </si>
  <si>
    <t>ROB</t>
  </si>
  <si>
    <t>P.P</t>
  </si>
  <si>
    <t>G.I</t>
  </si>
  <si>
    <t>V12-2022</t>
  </si>
  <si>
    <t>Bayovar</t>
  </si>
  <si>
    <t>Talara</t>
  </si>
  <si>
    <t>2022-12-04 03:53:00</t>
  </si>
  <si>
    <t>22:53</t>
  </si>
  <si>
    <t>Loading</t>
  </si>
  <si>
    <t>Termina carga buque amarrado muelle de Bayovar , calentando tks de carga.</t>
  </si>
  <si>
    <t>2022-12-04 07:06:00</t>
  </si>
  <si>
    <t>02:06</t>
  </si>
  <si>
    <t>Other Act</t>
  </si>
  <si>
    <t>Buque libre muelle Bayovar , calentando tks de carga.</t>
  </si>
  <si>
    <t>2022-12-04 08:00:00</t>
  </si>
  <si>
    <t>03:00</t>
  </si>
  <si>
    <t>Maneuver</t>
  </si>
  <si>
    <t>Zarpe de Bayovar calentando tks de carga.</t>
  </si>
  <si>
    <t>2022-12-04 13:00:00</t>
  </si>
  <si>
    <t>08:00</t>
  </si>
  <si>
    <t>S. Laden</t>
  </si>
  <si>
    <t>FULL_SPEED</t>
  </si>
  <si>
    <t>Reporte diario buque navegando a Talara, calentando tks de carga.</t>
  </si>
  <si>
    <t>S3</t>
  </si>
  <si>
    <t>2022-12-04 14:00:00</t>
  </si>
  <si>
    <t>09:00</t>
  </si>
  <si>
    <t>Arribo Talara , calentando taks de carga.</t>
  </si>
  <si>
    <t>2022-12-04 14:48:00</t>
  </si>
  <si>
    <t>09:48</t>
  </si>
  <si>
    <t>TCM buque fondeado bahia Talara, calentando tks de carga.</t>
  </si>
  <si>
    <t>2022-12-05 13:00:00</t>
  </si>
  <si>
    <t>Reporte diario buque fondeado bahía Talara, calentando tks de carga.</t>
  </si>
  <si>
    <t>2022-12-06 13:00:00</t>
  </si>
  <si>
    <t>Reporte diario buque fondeado bahia Talara , calentando tks de carga.</t>
  </si>
  <si>
    <t>2022-12-07 13:00:00</t>
  </si>
  <si>
    <t>Reporte diario buque fondeado bahia Talara, calentando tks de carga.</t>
  </si>
  <si>
    <t>2022-12-08 11:00:00</t>
  </si>
  <si>
    <t>06:00</t>
  </si>
  <si>
    <t xml:space="preserve">Ancla arriba bahía Talara, calentando tks de carga. </t>
  </si>
  <si>
    <t>2022-12-08 13:00:00</t>
  </si>
  <si>
    <t>Reporte diario buque maniobrando amarre boyas Talara, calentando tks de carga.</t>
  </si>
  <si>
    <t>2022-12-08 14:12:00</t>
  </si>
  <si>
    <t>09:12</t>
  </si>
  <si>
    <t>TCM buque amarrado a boyas Talara, calentando tks de carga.</t>
  </si>
  <si>
    <t>2022-12-08 20:30:00</t>
  </si>
  <si>
    <t>15:30</t>
  </si>
  <si>
    <t>Discharge</t>
  </si>
  <si>
    <t>Inicia descarga buque boyas Talara, calentando tks de carga.</t>
  </si>
  <si>
    <t>2022-12-09 13:00:00</t>
  </si>
  <si>
    <t>Reporte diario buque descargando boyas Talara, se para de calentar tks de carga.</t>
  </si>
  <si>
    <t>2022-12-10 13:00:00</t>
  </si>
  <si>
    <t>Reporte diario buque descargando boyas Talara.</t>
  </si>
  <si>
    <t>2022-12-11 13:00:00</t>
  </si>
  <si>
    <t>2022-12-11 15:20:00</t>
  </si>
  <si>
    <t>10:20</t>
  </si>
  <si>
    <t>Para descarga buque amarrado boyas Talara.</t>
  </si>
  <si>
    <t>2022-12-11 21:54:00</t>
  </si>
  <si>
    <t>16:54</t>
  </si>
  <si>
    <t>Buque libre de boyas Talara.</t>
  </si>
  <si>
    <t>2022-12-11 22:48:00</t>
  </si>
  <si>
    <t>17:48</t>
  </si>
  <si>
    <t>Tcm buque fondeado bahía Talara.</t>
  </si>
  <si>
    <t>2022-12-12 01:18:00</t>
  </si>
  <si>
    <t>20:18</t>
  </si>
  <si>
    <t>Ancla arriba buque bahía Talara.</t>
  </si>
  <si>
    <t>2022-12-12 03:06:00</t>
  </si>
  <si>
    <t>22:06</t>
  </si>
  <si>
    <t>TCM buque amarrado muelle Talara.</t>
  </si>
  <si>
    <t>2022-12-12 06:30:00</t>
  </si>
  <si>
    <t>01:30</t>
  </si>
  <si>
    <t>Inicia descarga buque amarrado muelle Talara.</t>
  </si>
  <si>
    <t>2022-12-12 13:00:00</t>
  </si>
  <si>
    <t>Reporte diario buque descargando muelle Talara.</t>
  </si>
  <si>
    <t>2022-12-12 23:00:00</t>
  </si>
  <si>
    <t>18:00</t>
  </si>
  <si>
    <t>Termina descarga buque amarrado muelle talara.</t>
  </si>
  <si>
    <t>2022-12-13 02:48:00</t>
  </si>
  <si>
    <t>21:48</t>
  </si>
  <si>
    <t>buque libre muelle Talara.</t>
  </si>
  <si>
    <t>2022-12-13 03:24:00</t>
  </si>
  <si>
    <t>22:24</t>
  </si>
  <si>
    <t>TCM buque fondeado bahía Talara.</t>
  </si>
  <si>
    <t>2022-12-13 13:00:00</t>
  </si>
  <si>
    <t>Reporte diario buque fondeado bahía Talara.</t>
  </si>
  <si>
    <t>2022-12-14 01:54:00</t>
  </si>
  <si>
    <t>20:54</t>
  </si>
  <si>
    <t>Ancla arriba bahía Talara.</t>
  </si>
  <si>
    <t>2022-12-14 02:00:00</t>
  </si>
  <si>
    <t>21:00</t>
  </si>
  <si>
    <t>Zarpe Talara.</t>
  </si>
  <si>
    <t>2022-12-14 02:12:00</t>
  </si>
  <si>
    <t>21:12</t>
  </si>
  <si>
    <t>Se para maquinas por avería en la und. #5 de la MP.</t>
  </si>
  <si>
    <t>2022-12-14 12:00:00</t>
  </si>
  <si>
    <t>07:00</t>
  </si>
  <si>
    <t>Se reanuda travesía a Bayovar.</t>
  </si>
  <si>
    <t>2022-12-14 13:00:00</t>
  </si>
  <si>
    <t>Reporte diario navegando a Bayovar</t>
  </si>
  <si>
    <t>S4</t>
  </si>
  <si>
    <t>2022-12-14 18:48:00</t>
  </si>
  <si>
    <t>13:48</t>
  </si>
  <si>
    <t>Arribo Bayovar.</t>
  </si>
  <si>
    <t>SAILING FROM :</t>
  </si>
  <si>
    <t>DATE :</t>
  </si>
  <si>
    <t>ARRIVE TO :</t>
  </si>
  <si>
    <t>2022-12-14 02:00:00 GMT</t>
  </si>
  <si>
    <t>DATE UTC:</t>
  </si>
  <si>
    <t>POSITION / ACTIVITY</t>
  </si>
  <si>
    <t>HOURS SAILED</t>
  </si>
  <si>
    <t>4º44'South / 81º28'West</t>
  </si>
  <si>
    <t>DAYS SAIL:</t>
  </si>
  <si>
    <t>LSFO</t>
  </si>
  <si>
    <t>Oil</t>
  </si>
  <si>
    <t>BUNKERSAT THE BEGINNING OF       VOYAGE:</t>
  </si>
  <si>
    <t>BUNKERS AT THE END OF PORT</t>
  </si>
  <si>
    <t>BUNKERS CONSUMED ON PORT</t>
  </si>
  <si>
    <t>CONSUMO PROMEDIO / DIA</t>
  </si>
  <si>
    <t>2022-12-14 02:12:00 GMT</t>
  </si>
  <si>
    <t>0º0'South / 0º0'West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</si>
</sst>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2" x14ac:knownFonts="1">
    <font>
      <color theme="1"/>
      <family val="2"/>
      <scheme val="minor"/>
      <sz val="11"/>
      <name val="Calibri"/>
    </font>
    <font>
      <b/>
      <color rgb="FFCD06"/>
      <sz val="10"/>
    </font>
    <font>
      <b/>
      <color auto="1"/>
      <sz val="10"/>
    </font>
    <font>
      <b/>
      <color rgb="000"/>
      <sz val="8"/>
    </font>
    <font>
      <b/>
      <color rgb="f3f3f3"/>
      <sz val="10"/>
    </font>
    <font>
      <b/>
      <color rgb="FFCD06"/>
      <sz val="20"/>
    </font>
    <font>
      <b/>
      <color rgb="000000"/>
      <sz val="15"/>
    </font>
    <font>
      <b/>
      <color rgb="ffffff"/>
      <sz val="8"/>
    </font>
    <font>
      <b/>
      <color rgb="000000"/>
      <sz val="8"/>
    </font>
    <font>
      <b/>
      <color rgb="FFCD06"/>
      <sz val="15"/>
    </font>
    <font>
      <b/>
      <color rgb="ffffff"/>
      <sz val="10"/>
    </font>
    <font>
      <b/>
      <color rgb="ffffff"/>
      <sz val="18"/>
    </font>
  </fonts>
  <fills count="9">
    <fill>
      <patternFill patternType="none"/>
    </fill>
    <fill>
      <patternFill patternType="gray125"/>
    </fill>
    <fill>
      <patternFill patternType="solid">
        <fgColor rgb="001556"/>
      </patternFill>
    </fill>
    <fill>
      <patternFill patternType="solid">
        <fgColor rgb="375f9a"/>
      </patternFill>
    </fill>
    <fill>
      <patternFill patternType="solid">
        <fgColor rgb="ffffff"/>
      </patternFill>
    </fill>
    <fill>
      <patternFill patternType="solid">
        <fgColor rgb="0040d8"/>
      </patternFill>
    </fill>
    <fill>
      <patternFill patternType="solid">
        <fgColor auto="1"/>
      </patternFill>
    </fill>
    <fill>
      <patternFill patternType="solid">
        <fgColor rgb="b6c2ff94"/>
      </patternFill>
    </fill>
    <fill>
      <patternFill patternType="solid">
        <fgColor rgb="ffd6d6"/>
      </patternFill>
    </fill>
  </fills>
  <borders count="37">
    <border>
      <left/>
      <right/>
      <top/>
      <bottom/>
      <diagonal/>
    </border>
    <border>
      <left style="thick">
        <color rgb="001556"/>
      </left>
      <right style="thick">
        <color rgb="001556"/>
      </right>
      <top style="thick">
        <color rgb="001556"/>
      </top>
      <bottom style="thick">
        <color rgb="001556"/>
      </bottom>
      <diagonal/>
    </border>
    <border>
      <left style="thick">
        <color rgb="001556"/>
      </left>
      <right/>
      <top/>
      <bottom/>
      <diagonal/>
    </border>
    <border>
      <left/>
      <right style="thick">
        <color rgb="001556"/>
      </right>
      <top/>
      <bottom/>
      <diagonal/>
    </border>
    <border>
      <left style="thick">
        <color rgb="001556"/>
      </left>
      <right/>
      <top/>
      <bottom style="thick">
        <color rgb="001556"/>
      </bottom>
      <diagonal/>
    </border>
    <border>
      <left/>
      <right/>
      <top/>
      <bottom style="thick">
        <color rgb="001556"/>
      </bottom>
      <diagonal/>
    </border>
    <border>
      <left/>
      <right style="thick">
        <color rgb="001556"/>
      </right>
      <top/>
      <bottom style="thick">
        <color rgb="001556"/>
      </bottom>
      <diagonal/>
    </border>
    <border>
      <left style="thick">
        <color rgb="001556"/>
      </left>
      <right style="thick">
        <color rgb="001556"/>
      </right>
      <top/>
      <bottom/>
      <diagonal/>
    </border>
    <border>
      <left style="thin">
        <color rgb="001556"/>
      </left>
      <right style="thin">
        <color rgb="001556"/>
      </right>
      <top style="thin">
        <color rgb="001556"/>
      </top>
      <bottom style="thin">
        <color rgb="001556"/>
      </bottom>
      <diagonal/>
    </border>
    <border>
      <left style="thick">
        <color rgb="001556"/>
      </left>
      <right/>
      <top style="thick">
        <color rgb="001556"/>
      </top>
      <bottom/>
      <diagonal/>
    </border>
    <border>
      <left/>
      <right style="thick">
        <color rgb="001556"/>
      </right>
      <top style="thick">
        <color rgb="001556"/>
      </top>
      <bottom/>
      <diagonal/>
    </border>
    <border>
      <left style="thick">
        <color rgb="0040d8"/>
      </left>
      <right style="thick">
        <color rgb="0040d8"/>
      </right>
      <top style="thick">
        <color rgb="0040d8"/>
      </top>
      <bottom/>
      <diagonal/>
    </border>
    <border>
      <left style="thin">
        <color rgb="001556"/>
      </left>
      <right style="thick">
        <color rgb="001556"/>
      </right>
      <top style="thin">
        <color rgb="001556"/>
      </top>
      <bottom style="thin">
        <color rgb="001556"/>
      </bottom>
      <diagonal/>
    </border>
    <border>
      <left style="thick">
        <color rgb="0040d8"/>
      </left>
      <right/>
      <top/>
      <bottom/>
      <diagonal/>
    </border>
    <border>
      <left/>
      <right style="thick">
        <color rgb="0040d8"/>
      </right>
      <top/>
      <bottom/>
      <diagonal/>
    </border>
    <border>
      <left style="thick">
        <color rgb="001556"/>
      </left>
      <right style="thin">
        <color rgb="001556"/>
      </right>
      <top style="thick">
        <color rgb="001556"/>
      </top>
      <bottom style="thin">
        <color rgb="001556"/>
      </bottom>
      <diagonal/>
    </border>
    <border>
      <left/>
      <right style="thin">
        <color rgb="001556"/>
      </right>
      <top style="thick">
        <color rgb="001556"/>
      </top>
      <bottom style="thin">
        <color rgb="001556"/>
      </bottom>
      <diagonal/>
    </border>
    <border>
      <left/>
      <right style="thick">
        <color rgb="001556"/>
      </right>
      <top style="thick">
        <color rgb="001556"/>
      </top>
      <bottom style="thin">
        <color rgb="001556"/>
      </bottom>
      <diagonal/>
    </border>
    <border>
      <left style="thick">
        <color rgb="001556"/>
      </left>
      <right style="thin">
        <color rgb="001556"/>
      </right>
      <top/>
      <bottom style="thin">
        <color rgb="001556"/>
      </bottom>
      <diagonal/>
    </border>
    <border>
      <left style="thin">
        <color rgb="001556"/>
      </left>
      <right style="thin">
        <color rgb="001556"/>
      </right>
      <top/>
      <bottom style="thin">
        <color rgb="001556"/>
      </bottom>
      <diagonal/>
    </border>
    <border>
      <left style="thin">
        <color rgb="001556"/>
      </left>
      <right style="thick">
        <color rgb="001556"/>
      </right>
      <top/>
      <bottom style="thin">
        <color rgb="001556"/>
      </bottom>
      <diagonal/>
    </border>
    <border>
      <left style="thick">
        <color rgb="0040d8"/>
      </left>
      <right/>
      <top/>
      <bottom style="thin">
        <color rgb="0040d8"/>
      </bottom>
      <diagonal/>
    </border>
    <border>
      <left style="thin">
        <color rgb="0040d8"/>
      </left>
      <right style="thick">
        <color rgb="0040d8"/>
      </right>
      <top/>
      <bottom style="thin">
        <color rgb="0040d8"/>
      </bottom>
      <diagonal/>
    </border>
    <border>
      <left/>
      <right style="thin">
        <color rgb="001556"/>
      </right>
      <top/>
      <bottom style="thin">
        <color rgb="001556"/>
      </bottom>
      <diagonal/>
    </border>
    <border>
      <left/>
      <right style="thick">
        <color rgb="001556"/>
      </right>
      <top/>
      <bottom style="thin">
        <color rgb="001556"/>
      </bottom>
      <diagonal/>
    </border>
    <border>
      <left style="thick">
        <color rgb="001556"/>
      </left>
      <right style="thin">
        <color rgb="001556"/>
      </right>
      <top/>
      <bottom style="thick">
        <color rgb="001556"/>
      </bottom>
      <diagonal/>
    </border>
    <border>
      <left style="thin">
        <color rgb="001556"/>
      </left>
      <right style="thin">
        <color rgb="001556"/>
      </right>
      <top/>
      <bottom style="thick">
        <color rgb="001556"/>
      </bottom>
      <diagonal/>
    </border>
    <border>
      <left style="thin">
        <color rgb="001556"/>
      </left>
      <right style="thick">
        <color rgb="001556"/>
      </right>
      <top/>
      <bottom style="thick">
        <color rgb="001556"/>
      </bottom>
      <diagonal/>
    </border>
    <border>
      <left style="thick">
        <color rgb="0040d8"/>
      </left>
      <right/>
      <top/>
      <bottom style="thick">
        <color rgb="0040d8"/>
      </bottom>
      <diagonal/>
    </border>
    <border>
      <left style="thin">
        <color rgb="0040d8"/>
      </left>
      <right style="thick">
        <color rgb="0040d8"/>
      </right>
      <top/>
      <bottom style="thick">
        <color rgb="0040d8"/>
      </bottom>
      <diagonal/>
    </border>
    <border>
      <left/>
      <right/>
      <top style="thick">
        <color rgb="001556"/>
      </top>
      <bottom/>
      <diagonal/>
    </border>
    <border>
      <left/>
      <right style="thin">
        <color rgb="001556"/>
      </right>
      <top/>
      <bottom style="thick">
        <color rgb="001556"/>
      </bottom>
      <diagonal/>
    </border>
    <border>
      <left/>
      <right/>
      <top style="thick">
        <color rgb="001556"/>
      </top>
      <bottom style="thick">
        <color rgb="001556"/>
      </bottom>
      <diagonal/>
    </border>
    <border>
      <left style="thick">
        <color rgb="001556"/>
      </left>
      <right style="thick">
        <color rgb="001556"/>
      </right>
      <top style="thick">
        <color rgb="001556"/>
      </top>
      <bottom/>
      <diagonal/>
    </border>
    <border>
      <left style="double">
        <color rgb="f3f3f3"/>
      </left>
      <right style="double">
        <color rgb="f3f3f3"/>
      </right>
      <top style="double">
        <color rgb="f3f3f3"/>
      </top>
      <bottom style="double">
        <color rgb="f3f3f3"/>
      </bottom>
      <diagonal/>
    </border>
    <border>
      <left style="thin">
        <color rgb="f3f3f3"/>
      </left>
      <right style="thin">
        <color rgb="f3f3f3"/>
      </right>
      <top style="thin">
        <color rgb="f3f3f3"/>
      </top>
      <bottom style="thin">
        <color rgb="f3f3f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7" xfId="0" applyBorder="1"/>
    <xf numFmtId="0" fontId="8" fillId="4" borderId="8" xfId="0" applyFont="1" applyFill="1" applyBorder="1" applyAlignment="1">
      <alignment horizontal="center" vertical="center" wrapText="1"/>
    </xf>
    <xf numFmtId="2" fontId="8" fillId="4" borderId="8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2" fontId="3" fillId="4" borderId="19" xfId="0" applyNumberFormat="1" applyFont="1" applyFill="1" applyBorder="1" applyAlignment="1">
      <alignment horizontal="center" vertical="center" wrapText="1"/>
    </xf>
    <xf numFmtId="2" fontId="3" fillId="4" borderId="20" xfId="0" applyNumberFormat="1" applyFont="1" applyFill="1" applyBorder="1" applyAlignment="1">
      <alignment horizontal="center" vertical="center" wrapText="1"/>
    </xf>
    <xf numFmtId="2" fontId="3" fillId="4" borderId="21" xfId="0" applyNumberFormat="1" applyFont="1" applyFill="1" applyBorder="1" applyAlignment="1">
      <alignment horizontal="center" vertical="center" wrapText="1"/>
    </xf>
    <xf numFmtId="2" fontId="3" fillId="4" borderId="22" xfId="0" applyNumberFormat="1" applyFont="1" applyFill="1" applyBorder="1" applyAlignment="1">
      <alignment horizontal="center" vertical="center" wrapText="1"/>
    </xf>
    <xf numFmtId="2" fontId="3" fillId="4" borderId="23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2" fontId="3" fillId="4" borderId="26" xfId="0" applyNumberFormat="1" applyFont="1" applyFill="1" applyBorder="1" applyAlignment="1">
      <alignment horizontal="center" vertical="center" wrapText="1"/>
    </xf>
    <xf numFmtId="2" fontId="3" fillId="4" borderId="27" xfId="0" applyNumberFormat="1" applyFont="1" applyFill="1" applyBorder="1" applyAlignment="1">
      <alignment horizontal="center" vertical="center" wrapText="1"/>
    </xf>
    <xf numFmtId="2" fontId="3" fillId="4" borderId="28" xfId="0" applyNumberFormat="1" applyFont="1" applyFill="1" applyBorder="1" applyAlignment="1">
      <alignment horizontal="center" vertical="center" wrapText="1"/>
    </xf>
    <xf numFmtId="2" fontId="3" fillId="4" borderId="29" xfId="0" applyNumberFormat="1" applyFont="1" applyFill="1" applyBorder="1" applyAlignment="1">
      <alignment horizontal="center" vertical="center" wrapText="1"/>
    </xf>
    <xf numFmtId="2" fontId="3" fillId="4" borderId="18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30" xfId="0" applyBorder="1"/>
    <xf numFmtId="2" fontId="3" fillId="4" borderId="31" xfId="0" applyNumberFormat="1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wrapText="1"/>
    </xf>
    <xf numFmtId="0" fontId="0" fillId="0" borderId="32" xfId="0" applyBorder="1"/>
    <xf numFmtId="0" fontId="5" fillId="2" borderId="3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right" vertical="center"/>
    </xf>
    <xf numFmtId="2" fontId="11" fillId="2" borderId="35" xfId="0" applyNumberFormat="1" applyFont="1" applyFill="1" applyBorder="1" applyAlignment="1">
      <alignment horizontal="right" vertical="center"/>
    </xf>
    <xf numFmtId="0" fontId="7" fillId="5" borderId="35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88"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  <dxf>
      <font>
        <color rgb="ebe8e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9"/>
  <sheetFormatPr defaultRowHeight="15" outlineLevelRow="0" outlineLevelCol="0" x14ac:dyDescent="55"/>
  <cols>
    <col min="1" max="5" customWidth="1"/>
    <col min="6" max="15" width="4" customWidth="1"/>
    <col min="16" max="18" width="6" customWidth="1"/>
    <col min="19" max="118" width="4" customWidth="1"/>
  </cols>
  <sheetData>
    <row r="2" spans="8:19" x14ac:dyDescent="0.25">
      <c r="H2" s="1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8:19" x14ac:dyDescent="0.25">
      <c r="H3" s="2"/>
      <c r="S3" s="3"/>
    </row>
    <row r="4" spans="8:19" x14ac:dyDescent="0.25">
      <c r="H4" s="2"/>
      <c r="I4" s="4" t="s">
        <v>1</v>
      </c>
      <c r="K4" s="5" t="s">
        <v>2</v>
      </c>
      <c r="L4" s="5"/>
      <c r="M4" s="5"/>
      <c r="N4" s="5"/>
      <c r="O4" s="5"/>
      <c r="P4" s="5"/>
      <c r="Q4" s="5"/>
      <c r="R4" s="5"/>
      <c r="S4" s="3"/>
    </row>
    <row r="5" spans="8:19" x14ac:dyDescent="0.25">
      <c r="H5" s="2"/>
      <c r="I5" s="6" t="s">
        <v>1</v>
      </c>
      <c r="K5" s="5" t="s">
        <v>3</v>
      </c>
      <c r="L5" s="5"/>
      <c r="M5" s="5"/>
      <c r="N5" s="5"/>
      <c r="O5" s="5"/>
      <c r="P5" s="5"/>
      <c r="Q5" s="5"/>
      <c r="R5" s="5"/>
      <c r="S5" s="3"/>
    </row>
    <row r="6" spans="8:19" x14ac:dyDescent="0.25">
      <c r="H6" s="2"/>
      <c r="I6" s="7">
        <v>0</v>
      </c>
      <c r="K6" s="5" t="s">
        <v>4</v>
      </c>
      <c r="L6" s="5"/>
      <c r="M6" s="5"/>
      <c r="N6" s="5"/>
      <c r="O6" s="5"/>
      <c r="P6" s="5"/>
      <c r="Q6" s="5"/>
      <c r="R6" s="5"/>
      <c r="S6" s="3"/>
    </row>
    <row r="7" spans="8:19" x14ac:dyDescent="0.25">
      <c r="H7" s="2"/>
      <c r="I7" s="8" t="s">
        <v>1</v>
      </c>
      <c r="K7" s="5" t="s">
        <v>5</v>
      </c>
      <c r="L7" s="5"/>
      <c r="M7" s="5"/>
      <c r="N7" s="5"/>
      <c r="O7" s="5"/>
      <c r="P7" s="5"/>
      <c r="Q7" s="5"/>
      <c r="R7" s="5"/>
      <c r="S7" s="3"/>
    </row>
    <row r="8" spans="8:19" x14ac:dyDescent="0.25">
      <c r="H8" s="2"/>
      <c r="I8" s="9" t="s">
        <v>1</v>
      </c>
      <c r="K8" s="5" t="s">
        <v>6</v>
      </c>
      <c r="L8" s="5"/>
      <c r="M8" s="5"/>
      <c r="N8" s="5"/>
      <c r="O8" s="5"/>
      <c r="P8" s="5"/>
      <c r="Q8" s="5"/>
      <c r="R8" s="5"/>
      <c r="S8" s="3"/>
    </row>
    <row r="9" spans="8:19" x14ac:dyDescent="0.25"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</row>
    <row r="12" spans="8:64" x14ac:dyDescent="0.25">
      <c r="H12" s="13" t="s">
        <v>7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</row>
    <row r="13" spans="8:64" x14ac:dyDescent="0.25">
      <c r="H13" s="2"/>
      <c r="BL13" s="3"/>
    </row>
    <row r="14" spans="8:64" x14ac:dyDescent="0.25">
      <c r="H14" s="2"/>
      <c r="BL14" s="3"/>
    </row>
    <row r="15" spans="8:64" x14ac:dyDescent="0.25">
      <c r="H15" s="2"/>
      <c r="I15" s="14" t="s">
        <v>8</v>
      </c>
      <c r="J15" s="14"/>
      <c r="K15" s="14"/>
      <c r="L15" s="14"/>
      <c r="M15" s="14"/>
      <c r="N15" s="11"/>
      <c r="O15" s="11"/>
      <c r="P15" s="11"/>
      <c r="Q15" s="11"/>
      <c r="R15" s="11"/>
      <c r="S15" s="15" t="s">
        <v>9</v>
      </c>
      <c r="T15" s="15"/>
      <c r="U15" s="15" t="s">
        <v>10</v>
      </c>
      <c r="V15" s="15"/>
      <c r="AA15" s="16" t="s">
        <v>9</v>
      </c>
      <c r="AB15" s="16"/>
      <c r="AC15" s="16"/>
      <c r="AD15" s="16"/>
      <c r="AE15" s="16"/>
      <c r="AF15" s="16"/>
      <c r="AG15" s="16"/>
      <c r="AI15" s="16" t="s">
        <v>9</v>
      </c>
      <c r="AJ15" s="16"/>
      <c r="AK15" s="16"/>
      <c r="AL15" s="16"/>
      <c r="AM15" s="16"/>
      <c r="AN15" s="16"/>
      <c r="AO15" s="16"/>
      <c r="AP15" s="16"/>
      <c r="AV15" s="16" t="s">
        <v>10</v>
      </c>
      <c r="AW15" s="16"/>
      <c r="AX15" s="16"/>
      <c r="AY15" s="16"/>
      <c r="AZ15" s="16"/>
      <c r="BA15" s="16"/>
      <c r="BB15" s="16"/>
      <c r="BD15" s="16" t="s">
        <v>10</v>
      </c>
      <c r="BE15" s="16"/>
      <c r="BF15" s="16"/>
      <c r="BG15" s="16"/>
      <c r="BH15" s="16"/>
      <c r="BI15" s="16"/>
      <c r="BJ15" s="16"/>
      <c r="BK15" s="16"/>
      <c r="BL15" s="3"/>
    </row>
    <row r="16" spans="8:64" x14ac:dyDescent="0.25">
      <c r="H16" s="17"/>
      <c r="I16" s="18" t="s">
        <v>11</v>
      </c>
      <c r="J16" s="18"/>
      <c r="K16" s="18"/>
      <c r="L16" s="18"/>
      <c r="M16" s="18"/>
      <c r="N16" s="18" t="s">
        <v>12</v>
      </c>
      <c r="O16" s="18"/>
      <c r="P16" s="18"/>
      <c r="Q16" s="18"/>
      <c r="R16" s="18"/>
      <c r="S16" s="19">
        <v>617.1200000000017</v>
      </c>
      <c r="T16" s="19"/>
      <c r="U16" s="19">
        <v>61.3179999999999</v>
      </c>
      <c r="V16" s="19"/>
      <c r="W16" s="20" t="s">
        <v>13</v>
      </c>
      <c r="X16" s="20"/>
      <c r="AA16" s="21" t="s">
        <v>14</v>
      </c>
      <c r="AB16" s="21"/>
      <c r="AC16" s="22" t="s">
        <v>15</v>
      </c>
      <c r="AD16" s="22"/>
      <c r="AE16" s="23" t="s">
        <v>16</v>
      </c>
      <c r="AF16" s="23"/>
      <c r="AG16" s="23"/>
      <c r="AI16" s="16" t="s">
        <v>17</v>
      </c>
      <c r="AJ16" s="16"/>
      <c r="AK16" s="16"/>
      <c r="AL16" s="16"/>
      <c r="AM16" s="16"/>
      <c r="AN16" s="16"/>
      <c r="AO16" s="16"/>
      <c r="AP16" s="16"/>
      <c r="AV16" s="21" t="s">
        <v>14</v>
      </c>
      <c r="AW16" s="21"/>
      <c r="AX16" s="22" t="s">
        <v>15</v>
      </c>
      <c r="AY16" s="22"/>
      <c r="AZ16" s="23" t="s">
        <v>16</v>
      </c>
      <c r="BA16" s="23"/>
      <c r="BB16" s="23"/>
      <c r="BD16" s="16" t="s">
        <v>17</v>
      </c>
      <c r="BE16" s="16"/>
      <c r="BF16" s="16"/>
      <c r="BG16" s="16"/>
      <c r="BH16" s="16"/>
      <c r="BI16" s="16"/>
      <c r="BJ16" s="16"/>
      <c r="BK16" s="16"/>
      <c r="BL16" s="3"/>
    </row>
    <row r="17" spans="8:64" x14ac:dyDescent="0.25">
      <c r="H17" s="17"/>
      <c r="I17" s="18" t="s">
        <v>18</v>
      </c>
      <c r="J17" s="18"/>
      <c r="K17" s="18"/>
      <c r="L17" s="18"/>
      <c r="M17" s="18"/>
      <c r="N17" s="18"/>
      <c r="O17" s="18"/>
      <c r="P17" s="18" t="s">
        <v>19</v>
      </c>
      <c r="Q17" s="18"/>
      <c r="R17" s="18"/>
      <c r="S17" s="19">
        <f>SUMIFS($AZ$47:$AZ$79,$W$47:$W$79,P17)</f>
      </c>
      <c r="T17" s="19"/>
      <c r="U17" s="19">
        <f>SUMIFS($BT$47:$BT$79,$W$47:$W$79,P17)</f>
      </c>
      <c r="V17" s="19"/>
      <c r="W17" s="24">
        <v>0</v>
      </c>
      <c r="X17" s="24"/>
      <c r="AA17" s="21"/>
      <c r="AB17" s="21"/>
      <c r="AC17" s="25" t="s">
        <v>20</v>
      </c>
      <c r="AD17" s="26" t="s">
        <v>21</v>
      </c>
      <c r="AE17" s="27" t="s">
        <v>20</v>
      </c>
      <c r="AF17" s="28" t="s">
        <v>21</v>
      </c>
      <c r="AG17" s="28"/>
      <c r="AI17" s="29" t="s">
        <v>1</v>
      </c>
      <c r="AJ17" s="29"/>
      <c r="AK17" s="29"/>
      <c r="AL17" s="30" t="s">
        <v>15</v>
      </c>
      <c r="AM17" s="30"/>
      <c r="AN17" s="31" t="s">
        <v>16</v>
      </c>
      <c r="AO17" s="31"/>
      <c r="AP17" s="31"/>
      <c r="AV17" s="21"/>
      <c r="AW17" s="21"/>
      <c r="AX17" s="25" t="s">
        <v>20</v>
      </c>
      <c r="AY17" s="26" t="s">
        <v>21</v>
      </c>
      <c r="AZ17" s="27" t="s">
        <v>20</v>
      </c>
      <c r="BA17" s="28" t="s">
        <v>21</v>
      </c>
      <c r="BB17" s="28"/>
      <c r="BD17" s="29" t="s">
        <v>1</v>
      </c>
      <c r="BE17" s="29"/>
      <c r="BF17" s="29"/>
      <c r="BG17" s="30" t="s">
        <v>15</v>
      </c>
      <c r="BH17" s="30"/>
      <c r="BI17" s="31" t="s">
        <v>16</v>
      </c>
      <c r="BJ17" s="31"/>
      <c r="BK17" s="31"/>
      <c r="BL17" s="3"/>
    </row>
    <row r="18" spans="8:64" x14ac:dyDescent="0.25">
      <c r="H18" s="17"/>
      <c r="I18" s="18"/>
      <c r="J18" s="18"/>
      <c r="K18" s="18"/>
      <c r="L18" s="18"/>
      <c r="M18" s="18"/>
      <c r="N18" s="18"/>
      <c r="O18" s="18"/>
      <c r="P18" s="18" t="s">
        <v>22</v>
      </c>
      <c r="Q18" s="18"/>
      <c r="R18" s="18"/>
      <c r="S18" s="19">
        <f>SUMIFS($AZ$47:$AZ$79,$W$47:$W$79,P18)</f>
      </c>
      <c r="T18" s="19"/>
      <c r="U18" s="19">
        <f>SUMIFS($BT$47:$BT$79,$W$47:$W$79,P18)</f>
      </c>
      <c r="V18" s="19"/>
      <c r="W18" s="24">
        <f>SUMIFS($U$47:$U$79,$W$47:$W$79,P18)</f>
      </c>
      <c r="X18" s="24"/>
      <c r="AA18" s="32" t="s">
        <v>23</v>
      </c>
      <c r="AB18" s="32"/>
      <c r="AC18" s="33">
        <v>12</v>
      </c>
      <c r="AD18" s="34">
        <v>12</v>
      </c>
      <c r="AE18" s="35">
        <f>Q36</f>
      </c>
      <c r="AF18" s="36">
        <v>0</v>
      </c>
      <c r="AG18" s="36"/>
      <c r="AI18" s="32" t="s">
        <v>19</v>
      </c>
      <c r="AJ18" s="32"/>
      <c r="AK18" s="32"/>
      <c r="AL18" s="37">
        <v>6</v>
      </c>
      <c r="AM18" s="37"/>
      <c r="AN18" s="38">
        <f>Z34</f>
      </c>
      <c r="AO18" s="38"/>
      <c r="AP18" s="38"/>
      <c r="AV18" s="32" t="s">
        <v>23</v>
      </c>
      <c r="AW18" s="32"/>
      <c r="AX18" s="33">
        <v>12</v>
      </c>
      <c r="AY18" s="34">
        <v>12</v>
      </c>
      <c r="AZ18" s="35">
        <f>BE36</f>
      </c>
      <c r="BA18" s="36">
        <v>0</v>
      </c>
      <c r="BB18" s="36"/>
      <c r="BD18" s="32" t="s">
        <v>19</v>
      </c>
      <c r="BE18" s="32"/>
      <c r="BF18" s="32"/>
      <c r="BG18" s="37">
        <v>6</v>
      </c>
      <c r="BH18" s="37"/>
      <c r="BI18" s="38">
        <f>BN34</f>
      </c>
      <c r="BJ18" s="38"/>
      <c r="BK18" s="38"/>
      <c r="BL18" s="3"/>
    </row>
    <row r="19" spans="8:64" x14ac:dyDescent="0.25">
      <c r="H19" s="17"/>
      <c r="I19" s="18"/>
      <c r="J19" s="18"/>
      <c r="K19" s="18"/>
      <c r="L19" s="18"/>
      <c r="M19" s="18"/>
      <c r="N19" s="18"/>
      <c r="O19" s="18"/>
      <c r="P19" s="18" t="s">
        <v>23</v>
      </c>
      <c r="Q19" s="18"/>
      <c r="R19" s="18"/>
      <c r="S19" s="19">
        <f>SUMIFS($AZ$47:$AZ$79,$W$47:$W$79,P19)</f>
      </c>
      <c r="T19" s="19"/>
      <c r="U19" s="19">
        <f>SUMIFS($BT$47:$BT$79,$W$47:$W$79,P19)</f>
      </c>
      <c r="V19" s="19"/>
      <c r="W19" s="24">
        <f>SUMIFS($U$47:$U$79,$W$47:$W$79,P19)</f>
      </c>
      <c r="X19" s="24"/>
      <c r="AA19" s="39" t="s">
        <v>24</v>
      </c>
      <c r="AB19" s="39"/>
      <c r="AC19" s="40">
        <v>12</v>
      </c>
      <c r="AD19" s="41">
        <v>12</v>
      </c>
      <c r="AE19" s="42">
        <f>Q37</f>
      </c>
      <c r="AF19" s="43">
        <v>0</v>
      </c>
      <c r="AG19" s="43"/>
      <c r="AI19" s="32" t="s">
        <v>22</v>
      </c>
      <c r="AJ19" s="32"/>
      <c r="AK19" s="32"/>
      <c r="AL19" s="37">
        <v>6</v>
      </c>
      <c r="AM19" s="37"/>
      <c r="AN19" s="38">
        <f>Z35</f>
      </c>
      <c r="AO19" s="38"/>
      <c r="AP19" s="38"/>
      <c r="AV19" s="39" t="s">
        <v>24</v>
      </c>
      <c r="AW19" s="39"/>
      <c r="AX19" s="40">
        <v>12</v>
      </c>
      <c r="AY19" s="41">
        <v>12</v>
      </c>
      <c r="AZ19" s="42">
        <f>BE37</f>
      </c>
      <c r="BA19" s="43">
        <v>0</v>
      </c>
      <c r="BB19" s="43"/>
      <c r="BD19" s="32" t="s">
        <v>22</v>
      </c>
      <c r="BE19" s="32"/>
      <c r="BF19" s="32"/>
      <c r="BG19" s="37">
        <v>6</v>
      </c>
      <c r="BH19" s="37"/>
      <c r="BI19" s="38">
        <f>BN35</f>
      </c>
      <c r="BJ19" s="38"/>
      <c r="BK19" s="38"/>
      <c r="BL19" s="3"/>
    </row>
    <row r="20" spans="8:64" x14ac:dyDescent="0.25">
      <c r="H20" s="17"/>
      <c r="I20" s="18"/>
      <c r="J20" s="18"/>
      <c r="K20" s="18"/>
      <c r="L20" s="18"/>
      <c r="M20" s="18"/>
      <c r="N20" s="18"/>
      <c r="O20" s="18"/>
      <c r="P20" s="18" t="s">
        <v>24</v>
      </c>
      <c r="Q20" s="18"/>
      <c r="R20" s="18"/>
      <c r="S20" s="19">
        <f>SUMIFS($AZ$47:$AZ$79,$W$47:$W$79,P20)</f>
      </c>
      <c r="T20" s="19"/>
      <c r="U20" s="19">
        <f>SUMIFS($BT$47:$BT$79,$W$47:$W$79,P20)</f>
      </c>
      <c r="V20" s="19"/>
      <c r="W20" s="24">
        <f>SUMIFS($U$47:$U$79,$W$47:$W$79,P20)</f>
      </c>
      <c r="X20" s="24"/>
      <c r="AI20" s="32" t="s">
        <v>23</v>
      </c>
      <c r="AJ20" s="32"/>
      <c r="AK20" s="32"/>
      <c r="AL20" s="37">
        <v>27</v>
      </c>
      <c r="AM20" s="37"/>
      <c r="AN20" s="38">
        <f>Z36</f>
      </c>
      <c r="AO20" s="38"/>
      <c r="AP20" s="38"/>
      <c r="BD20" s="32" t="s">
        <v>23</v>
      </c>
      <c r="BE20" s="32"/>
      <c r="BF20" s="32"/>
      <c r="BG20" s="37">
        <v>27</v>
      </c>
      <c r="BH20" s="37"/>
      <c r="BI20" s="38">
        <f>BN36</f>
      </c>
      <c r="BJ20" s="38"/>
      <c r="BK20" s="38"/>
      <c r="BL20" s="3"/>
    </row>
    <row r="21" spans="8:64" x14ac:dyDescent="0.25">
      <c r="H21" s="17"/>
      <c r="I21" s="18"/>
      <c r="J21" s="18"/>
      <c r="K21" s="18"/>
      <c r="L21" s="18"/>
      <c r="M21" s="18"/>
      <c r="N21" s="18"/>
      <c r="O21" s="18"/>
      <c r="P21" s="18" t="s">
        <v>25</v>
      </c>
      <c r="Q21" s="18"/>
      <c r="R21" s="18"/>
      <c r="S21" s="19">
        <f>SUMIFS($AZ$47:$AZ$79,$W$47:$W$79,P21)</f>
      </c>
      <c r="T21" s="19"/>
      <c r="U21" s="19">
        <f>SUMIFS($BT$47:$BT$79,$W$47:$W$79,P21)</f>
      </c>
      <c r="V21" s="19"/>
      <c r="W21" s="24">
        <f>SUMIFS($U$47:$U$79,$W$47:$W$79,P21)</f>
      </c>
      <c r="X21" s="24"/>
      <c r="AI21" s="32" t="s">
        <v>24</v>
      </c>
      <c r="AJ21" s="32"/>
      <c r="AK21" s="32"/>
      <c r="AL21" s="37">
        <v>27</v>
      </c>
      <c r="AM21" s="37"/>
      <c r="AN21" s="38">
        <f>Z37</f>
      </c>
      <c r="AO21" s="38"/>
      <c r="AP21" s="38"/>
      <c r="BD21" s="32" t="s">
        <v>24</v>
      </c>
      <c r="BE21" s="32"/>
      <c r="BF21" s="32"/>
      <c r="BG21" s="37">
        <v>27</v>
      </c>
      <c r="BH21" s="37"/>
      <c r="BI21" s="38">
        <f>BN37</f>
      </c>
      <c r="BJ21" s="38"/>
      <c r="BK21" s="38"/>
      <c r="BL21" s="3"/>
    </row>
    <row r="22" spans="8:64" x14ac:dyDescent="0.25">
      <c r="H22" s="17"/>
      <c r="I22" s="18"/>
      <c r="J22" s="18"/>
      <c r="K22" s="18"/>
      <c r="L22" s="18"/>
      <c r="M22" s="18"/>
      <c r="N22" s="18"/>
      <c r="O22" s="18"/>
      <c r="P22" s="18" t="s">
        <v>26</v>
      </c>
      <c r="Q22" s="18"/>
      <c r="R22" s="18"/>
      <c r="S22" s="19">
        <f>SUMIFS($AZ$47:$AZ$79,$W$47:$W$79,P22)</f>
      </c>
      <c r="T22" s="19"/>
      <c r="U22" s="19">
        <f>SUMIFS($BT$47:$BT$79,$W$47:$W$79,P22)</f>
      </c>
      <c r="V22" s="19"/>
      <c r="W22" s="24">
        <f>SUMIFS($U$47:$U$79,$W$47:$W$79,P22)</f>
      </c>
      <c r="X22" s="24"/>
      <c r="AI22" s="32" t="s">
        <v>27</v>
      </c>
      <c r="AJ22" s="32"/>
      <c r="AK22" s="32"/>
      <c r="AL22" s="37">
        <v>27</v>
      </c>
      <c r="AM22" s="37"/>
      <c r="AN22" s="38">
        <f>Z38</f>
      </c>
      <c r="AO22" s="38"/>
      <c r="AP22" s="38"/>
      <c r="BD22" s="32" t="s">
        <v>27</v>
      </c>
      <c r="BE22" s="32"/>
      <c r="BF22" s="32"/>
      <c r="BG22" s="37">
        <v>27</v>
      </c>
      <c r="BH22" s="37"/>
      <c r="BI22" s="38">
        <f>BN38</f>
      </c>
      <c r="BJ22" s="38"/>
      <c r="BK22" s="38"/>
      <c r="BL22" s="3"/>
    </row>
    <row r="23" spans="8:64" x14ac:dyDescent="0.25">
      <c r="H23" s="17"/>
      <c r="I23" s="18"/>
      <c r="J23" s="18"/>
      <c r="K23" s="18"/>
      <c r="L23" s="18"/>
      <c r="M23" s="18"/>
      <c r="N23" s="18"/>
      <c r="O23" s="18"/>
      <c r="P23" s="18" t="s">
        <v>28</v>
      </c>
      <c r="Q23" s="18"/>
      <c r="R23" s="18"/>
      <c r="S23" s="19">
        <f>SUMIFS($AZ$47:$AZ$79,$W$47:$W$79,P23)</f>
      </c>
      <c r="T23" s="19"/>
      <c r="U23" s="19">
        <f>SUMIFS($BT$47:$BT$79,$W$47:$W$79,P23)</f>
      </c>
      <c r="V23" s="19"/>
      <c r="W23" s="24">
        <f>SUMIFS($U$47:$U$79,$W$47:$W$79,P23)</f>
      </c>
      <c r="X23" s="24"/>
      <c r="AI23" s="44" t="s">
        <v>25</v>
      </c>
      <c r="AJ23" s="44"/>
      <c r="AK23" s="44"/>
      <c r="AL23" s="37">
        <v>6</v>
      </c>
      <c r="AM23" s="37"/>
      <c r="AN23" s="38">
        <f>Z39</f>
      </c>
      <c r="AO23" s="38"/>
      <c r="AP23" s="38"/>
      <c r="BD23" s="44" t="s">
        <v>25</v>
      </c>
      <c r="BE23" s="44"/>
      <c r="BF23" s="44"/>
      <c r="BG23" s="37">
        <v>6</v>
      </c>
      <c r="BH23" s="37"/>
      <c r="BI23" s="38">
        <f>BN39</f>
      </c>
      <c r="BJ23" s="38"/>
      <c r="BK23" s="38"/>
      <c r="BL23" s="3"/>
    </row>
    <row r="24" spans="8:64" x14ac:dyDescent="0.25">
      <c r="H24" s="17"/>
      <c r="I24" s="18" t="s">
        <v>29</v>
      </c>
      <c r="J24" s="18"/>
      <c r="K24" s="18"/>
      <c r="L24" s="18"/>
      <c r="M24" s="18"/>
      <c r="N24" s="18"/>
      <c r="O24" s="18"/>
      <c r="P24" s="18"/>
      <c r="Q24" s="18"/>
      <c r="R24" s="18"/>
      <c r="S24" s="19">
        <f>SUM(AR47:AY79)</f>
      </c>
      <c r="T24" s="19"/>
      <c r="U24" s="19">
        <f>SUM(BH47:BS79)</f>
      </c>
      <c r="V24" s="19"/>
      <c r="W24" s="45"/>
      <c r="X24" s="46"/>
      <c r="AI24" s="32" t="s">
        <v>26</v>
      </c>
      <c r="AJ24" s="32"/>
      <c r="AK24" s="32"/>
      <c r="AL24" s="37">
        <v>6</v>
      </c>
      <c r="AM24" s="37"/>
      <c r="AN24" s="38">
        <f>Z40</f>
      </c>
      <c r="AO24" s="38"/>
      <c r="AP24" s="38"/>
      <c r="BD24" s="32" t="s">
        <v>26</v>
      </c>
      <c r="BE24" s="32"/>
      <c r="BF24" s="32"/>
      <c r="BG24" s="37">
        <v>6</v>
      </c>
      <c r="BH24" s="37"/>
      <c r="BI24" s="38">
        <f>BN40</f>
      </c>
      <c r="BJ24" s="38"/>
      <c r="BK24" s="38"/>
      <c r="BL24" s="3"/>
    </row>
    <row r="25" spans="8:64" x14ac:dyDescent="0.25">
      <c r="H25" s="17"/>
      <c r="I25" s="18" t="s">
        <v>30</v>
      </c>
      <c r="J25" s="18"/>
      <c r="K25" s="18"/>
      <c r="L25" s="18"/>
      <c r="M25" s="18"/>
      <c r="N25" s="18"/>
      <c r="O25" s="18"/>
      <c r="P25" s="18"/>
      <c r="Q25" s="18"/>
      <c r="R25" s="18"/>
      <c r="S25" s="19">
        <f>SUM(BD47:BD79)</f>
      </c>
      <c r="T25" s="19"/>
      <c r="U25" s="19">
        <f>SUM(BX47:BX79)</f>
      </c>
      <c r="V25" s="19"/>
      <c r="W25" s="2"/>
      <c r="AI25" s="39" t="s">
        <v>28</v>
      </c>
      <c r="AJ25" s="39"/>
      <c r="AK25" s="39"/>
      <c r="AL25" s="47">
        <v>8</v>
      </c>
      <c r="AM25" s="47"/>
      <c r="AN25" s="48">
        <f>Z41</f>
      </c>
      <c r="AO25" s="48"/>
      <c r="AP25" s="48"/>
      <c r="BD25" s="39" t="s">
        <v>28</v>
      </c>
      <c r="BE25" s="39"/>
      <c r="BF25" s="39"/>
      <c r="BG25" s="47">
        <v>8</v>
      </c>
      <c r="BH25" s="47"/>
      <c r="BI25" s="48">
        <f>BN41</f>
      </c>
      <c r="BJ25" s="48"/>
      <c r="BK25" s="48"/>
      <c r="BL25" s="3"/>
    </row>
    <row r="26" spans="8:64" x14ac:dyDescent="0.25">
      <c r="H26" s="17"/>
      <c r="I26" s="18" t="s">
        <v>31</v>
      </c>
      <c r="J26" s="18"/>
      <c r="K26" s="18"/>
      <c r="L26" s="18"/>
      <c r="M26" s="18"/>
      <c r="N26" s="18"/>
      <c r="O26" s="18"/>
      <c r="P26" s="18"/>
      <c r="Q26" s="18"/>
      <c r="R26" s="18"/>
      <c r="S26" s="19">
        <v>0</v>
      </c>
      <c r="T26" s="19"/>
      <c r="U26" s="19"/>
      <c r="V26" s="19"/>
      <c r="W26" s="2"/>
      <c r="BL26" s="3"/>
    </row>
    <row r="27" spans="8:64" x14ac:dyDescent="0.25">
      <c r="H27" s="17"/>
      <c r="I27" s="18" t="s">
        <v>32</v>
      </c>
      <c r="J27" s="18"/>
      <c r="K27" s="18"/>
      <c r="L27" s="18"/>
      <c r="M27" s="18"/>
      <c r="N27" s="18" t="s">
        <v>33</v>
      </c>
      <c r="O27" s="18"/>
      <c r="P27" s="18"/>
      <c r="Q27" s="18"/>
      <c r="R27" s="18"/>
      <c r="S27" s="19">
        <f>S16-S24+S25</f>
      </c>
      <c r="T27" s="19"/>
      <c r="U27" s="19">
        <f>U16-U24+U25</f>
      </c>
      <c r="V27" s="19"/>
      <c r="W27" s="2"/>
      <c r="BL27" s="3"/>
    </row>
    <row r="28" spans="8:64" x14ac:dyDescent="0.25">
      <c r="H28" s="10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2"/>
    </row>
    <row r="31" spans="8:83" x14ac:dyDescent="0.25">
      <c r="H31" s="50" t="s">
        <v>34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V31" s="50" t="s">
        <v>35</v>
      </c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</row>
    <row r="32" spans="8:83" x14ac:dyDescent="0.25">
      <c r="H32" s="51" t="s">
        <v>36</v>
      </c>
      <c r="I32" s="51"/>
      <c r="J32" s="51"/>
      <c r="K32" s="52" t="s">
        <v>37</v>
      </c>
      <c r="L32" s="52"/>
      <c r="M32" s="52"/>
      <c r="N32" s="52" t="s">
        <v>38</v>
      </c>
      <c r="O32" s="52"/>
      <c r="P32" s="52"/>
      <c r="Q32" s="53" t="s">
        <v>39</v>
      </c>
      <c r="R32" s="53"/>
      <c r="S32" s="53"/>
      <c r="T32" s="54" t="s">
        <v>40</v>
      </c>
      <c r="U32" s="54"/>
      <c r="V32" s="54"/>
      <c r="W32" s="52" t="s">
        <v>41</v>
      </c>
      <c r="X32" s="52"/>
      <c r="Y32" s="52"/>
      <c r="Z32" s="53" t="s">
        <v>42</v>
      </c>
      <c r="AA32" s="53"/>
      <c r="AB32" s="53"/>
      <c r="AC32" s="54" t="s">
        <v>43</v>
      </c>
      <c r="AD32" s="54"/>
      <c r="AE32" s="54"/>
      <c r="AF32" s="54" t="s">
        <v>44</v>
      </c>
      <c r="AG32" s="54"/>
      <c r="AH32" s="54"/>
      <c r="AI32" s="54" t="s">
        <v>45</v>
      </c>
      <c r="AJ32" s="54"/>
      <c r="AK32" s="54"/>
      <c r="AL32" s="53" t="s">
        <v>46</v>
      </c>
      <c r="AM32" s="53"/>
      <c r="AN32" s="53"/>
      <c r="AO32" s="55" t="s">
        <v>47</v>
      </c>
      <c r="AP32" s="55"/>
      <c r="AQ32" s="55"/>
      <c r="AV32" s="51" t="s">
        <v>36</v>
      </c>
      <c r="AW32" s="51"/>
      <c r="AX32" s="51"/>
      <c r="AY32" s="52" t="s">
        <v>37</v>
      </c>
      <c r="AZ32" s="52"/>
      <c r="BA32" s="52"/>
      <c r="BB32" s="52" t="s">
        <v>38</v>
      </c>
      <c r="BC32" s="52"/>
      <c r="BD32" s="52"/>
      <c r="BE32" s="53" t="s">
        <v>39</v>
      </c>
      <c r="BF32" s="53"/>
      <c r="BG32" s="53"/>
      <c r="BH32" s="54" t="s">
        <v>40</v>
      </c>
      <c r="BI32" s="54"/>
      <c r="BJ32" s="54"/>
      <c r="BK32" s="52" t="s">
        <v>41</v>
      </c>
      <c r="BL32" s="52"/>
      <c r="BM32" s="52"/>
      <c r="BN32" s="53" t="s">
        <v>42</v>
      </c>
      <c r="BO32" s="53"/>
      <c r="BP32" s="53"/>
      <c r="BQ32" s="54" t="s">
        <v>43</v>
      </c>
      <c r="BR32" s="54"/>
      <c r="BS32" s="54"/>
      <c r="BT32" s="54" t="s">
        <v>44</v>
      </c>
      <c r="BU32" s="54"/>
      <c r="BV32" s="54"/>
      <c r="BW32" s="54" t="s">
        <v>45</v>
      </c>
      <c r="BX32" s="54"/>
      <c r="BY32" s="54"/>
      <c r="BZ32" s="53" t="s">
        <v>46</v>
      </c>
      <c r="CA32" s="53"/>
      <c r="CB32" s="53"/>
      <c r="CC32" s="55" t="s">
        <v>47</v>
      </c>
      <c r="CD32" s="55"/>
      <c r="CE32" s="55"/>
    </row>
    <row r="33" spans="8:83" x14ac:dyDescent="0.25">
      <c r="H33" s="51"/>
      <c r="I33" s="51"/>
      <c r="J33" s="51"/>
      <c r="K33" s="52"/>
      <c r="L33" s="52"/>
      <c r="M33" s="52"/>
      <c r="N33" s="52"/>
      <c r="O33" s="52"/>
      <c r="P33" s="52"/>
      <c r="Q33" s="53"/>
      <c r="R33" s="53"/>
      <c r="S33" s="53"/>
      <c r="T33" s="54"/>
      <c r="U33" s="54"/>
      <c r="V33" s="54"/>
      <c r="W33" s="52"/>
      <c r="X33" s="52"/>
      <c r="Y33" s="52"/>
      <c r="Z33" s="53"/>
      <c r="AA33" s="53"/>
      <c r="AB33" s="53"/>
      <c r="AC33" s="54"/>
      <c r="AD33" s="54"/>
      <c r="AE33" s="54"/>
      <c r="AF33" s="54"/>
      <c r="AG33" s="54"/>
      <c r="AH33" s="54"/>
      <c r="AI33" s="54"/>
      <c r="AJ33" s="54"/>
      <c r="AK33" s="54"/>
      <c r="AL33" s="53"/>
      <c r="AM33" s="53"/>
      <c r="AN33" s="53"/>
      <c r="AO33" s="55"/>
      <c r="AP33" s="55"/>
      <c r="AQ33" s="55"/>
      <c r="AV33" s="51"/>
      <c r="AW33" s="51"/>
      <c r="AX33" s="51"/>
      <c r="AY33" s="52"/>
      <c r="AZ33" s="52"/>
      <c r="BA33" s="52"/>
      <c r="BB33" s="52"/>
      <c r="BC33" s="52"/>
      <c r="BD33" s="52"/>
      <c r="BE33" s="53"/>
      <c r="BF33" s="53"/>
      <c r="BG33" s="53"/>
      <c r="BH33" s="54"/>
      <c r="BI33" s="54"/>
      <c r="BJ33" s="54"/>
      <c r="BK33" s="52"/>
      <c r="BL33" s="52"/>
      <c r="BM33" s="52"/>
      <c r="BN33" s="53"/>
      <c r="BO33" s="53"/>
      <c r="BP33" s="53"/>
      <c r="BQ33" s="54"/>
      <c r="BR33" s="54"/>
      <c r="BS33" s="54"/>
      <c r="BT33" s="54"/>
      <c r="BU33" s="54"/>
      <c r="BV33" s="54"/>
      <c r="BW33" s="54"/>
      <c r="BX33" s="54"/>
      <c r="BY33" s="54"/>
      <c r="BZ33" s="53"/>
      <c r="CA33" s="53"/>
      <c r="CB33" s="53"/>
      <c r="CC33" s="55"/>
      <c r="CD33" s="55"/>
      <c r="CE33" s="55"/>
    </row>
    <row r="34" spans="8:83" x14ac:dyDescent="0.25">
      <c r="H34" s="32" t="s">
        <v>19</v>
      </c>
      <c r="I34" s="32"/>
      <c r="J34" s="32"/>
      <c r="K34" s="37">
        <f>SUMIFS($U$47:$U$79,$W$47:$W$79,H34,$AZ$47:$AZ$79,"&gt;0")</f>
        <v>0.14</v>
      </c>
      <c r="L34" s="37"/>
      <c r="M34" s="37"/>
      <c r="N34" s="37">
        <f>SUMIFS($AJ$47:$AJ$79,$W$47:$W$79,H34,$AZ$47:$AZ$79,"&gt;0")</f>
        <v>0.14</v>
      </c>
      <c r="O34" s="37"/>
      <c r="P34" s="37"/>
      <c r="Q34" s="37">
        <f>IF(ISERROR(N34/K34),0,N34/K34)</f>
        <v>0.14</v>
      </c>
      <c r="R34" s="37"/>
      <c r="S34" s="37"/>
      <c r="T34" s="37">
        <v>0</v>
      </c>
      <c r="U34" s="37"/>
      <c r="V34" s="37"/>
      <c r="W34" s="37">
        <f>SUMIFS($AZ$47:$AZ$79,$W$47:$W$79,H34,$AZ$47:$AZ$79,"&gt;0")</f>
        <v>0.14</v>
      </c>
      <c r="X34" s="37"/>
      <c r="Y34" s="37"/>
      <c r="Z34" s="37">
        <f>IF(ISERROR(W34*24/K34),0,W34*24/K34)</f>
        <v>0.14</v>
      </c>
      <c r="AA34" s="37"/>
      <c r="AB34" s="37"/>
      <c r="AC34" s="37">
        <v>6</v>
      </c>
      <c r="AD34" s="37"/>
      <c r="AE34" s="37"/>
      <c r="AF34" s="37">
        <f>IF(ISERROR(N34/T34),0,N34/T34)</f>
        <v>0.14</v>
      </c>
      <c r="AG34" s="37"/>
      <c r="AH34" s="37"/>
      <c r="AI34" s="37">
        <f>IF(AF34=0, AC34*K34/24,AC34*AF34/24)</f>
        <v>0.14</v>
      </c>
      <c r="AJ34" s="37"/>
      <c r="AK34" s="37"/>
      <c r="AL34" s="37">
        <f>W34-AI34</f>
        <v>0.14</v>
      </c>
      <c r="AM34" s="37"/>
      <c r="AN34" s="37"/>
      <c r="AO34" s="38">
        <v>0</v>
      </c>
      <c r="AP34" s="38"/>
      <c r="AQ34" s="38"/>
      <c r="AV34" s="32" t="s">
        <v>19</v>
      </c>
      <c r="AW34" s="32"/>
      <c r="AX34" s="32"/>
      <c r="AY34" s="37">
        <f>SUMIFS($U$47:$U$79,$W$47:$W$79,AV34,$BT$47:$BT$79,"&gt;0")</f>
        <v>0.14</v>
      </c>
      <c r="AZ34" s="37"/>
      <c r="BA34" s="37"/>
      <c r="BB34" s="37">
        <f>SUMIFS($AJ$47:$AJ$79,$W$47:$W$79,AV34,$BT$47:$BT$79,"&gt;0")</f>
        <v>0.14</v>
      </c>
      <c r="BC34" s="37"/>
      <c r="BD34" s="37"/>
      <c r="BE34" s="37">
        <f>IF(ISERROR(BB34/AY34),0,BB34/AY34)</f>
        <v>0.14</v>
      </c>
      <c r="BF34" s="37"/>
      <c r="BG34" s="37"/>
      <c r="BH34" s="37">
        <v>0</v>
      </c>
      <c r="BI34" s="37"/>
      <c r="BJ34" s="37"/>
      <c r="BK34" s="37">
        <f>SUMIFS($BT$47:$BT$79,$W$47:$W$79,AV34,$BT$47:$BT$79,"&gt;0")</f>
        <v>0.14</v>
      </c>
      <c r="BL34" s="37"/>
      <c r="BM34" s="37"/>
      <c r="BN34" s="37">
        <f>IF(ISERROR(BK34*24/AY34),0,BK34*24/AY34)</f>
        <v>0.14</v>
      </c>
      <c r="BO34" s="37"/>
      <c r="BP34" s="37"/>
      <c r="BQ34" s="37">
        <v>6</v>
      </c>
      <c r="BR34" s="37"/>
      <c r="BS34" s="37"/>
      <c r="BT34" s="37">
        <f>IF(ISERROR(BB34/BH34),0,BB34/BH34)</f>
        <v>0.14</v>
      </c>
      <c r="BU34" s="37"/>
      <c r="BV34" s="37"/>
      <c r="BW34" s="37">
        <f>IF(BT34=0, BQ34*AY34/24,BQ34*BT34/24)</f>
        <v>0.14</v>
      </c>
      <c r="BX34" s="37"/>
      <c r="BY34" s="37"/>
      <c r="BZ34" s="37">
        <f>BK34-BW34</f>
        <v>0.14</v>
      </c>
      <c r="CA34" s="37"/>
      <c r="CB34" s="37"/>
      <c r="CC34" s="38">
        <v>0</v>
      </c>
      <c r="CD34" s="38"/>
      <c r="CE34" s="38"/>
    </row>
    <row r="35" spans="8:83" x14ac:dyDescent="0.25">
      <c r="H35" s="32" t="s">
        <v>22</v>
      </c>
      <c r="I35" s="32"/>
      <c r="J35" s="32"/>
      <c r="K35" s="37">
        <f>SUMIFS($U$47:$U$79,$W$47:$W$79,H35,$AZ$47:$AZ$79,"&gt;0")</f>
        <v>0.14</v>
      </c>
      <c r="L35" s="37"/>
      <c r="M35" s="37"/>
      <c r="N35" s="37">
        <f>SUMIFS($AJ$47:$AJ$79,$W$47:$W$79,H35,$AZ$47:$AZ$79,"&gt;0")</f>
        <v>0.14</v>
      </c>
      <c r="O35" s="37"/>
      <c r="P35" s="37"/>
      <c r="Q35" s="37">
        <f>IF(ISERROR(N35/K35),0,N35/K35)</f>
        <v>0.14</v>
      </c>
      <c r="R35" s="37"/>
      <c r="S35" s="37"/>
      <c r="T35" s="37">
        <v>0</v>
      </c>
      <c r="U35" s="37"/>
      <c r="V35" s="37"/>
      <c r="W35" s="37">
        <f>SUMIFS($AZ$47:$AZ$79,$W$47:$W$79,H35,$AZ$47:$AZ$79,"&gt;0")</f>
        <v>0.14</v>
      </c>
      <c r="X35" s="37"/>
      <c r="Y35" s="37"/>
      <c r="Z35" s="37">
        <f>IF(ISERROR(W35*24/K35),0,W35*24/K35)</f>
        <v>0.14</v>
      </c>
      <c r="AA35" s="37"/>
      <c r="AB35" s="37"/>
      <c r="AC35" s="37">
        <v>6</v>
      </c>
      <c r="AD35" s="37"/>
      <c r="AE35" s="37"/>
      <c r="AF35" s="37">
        <f>IF(ISERROR(N35/T35),0,N35/T35)</f>
        <v>0.14</v>
      </c>
      <c r="AG35" s="37"/>
      <c r="AH35" s="37"/>
      <c r="AI35" s="37">
        <f>IF(AF35=0, AC35*K35/24,AC35*AF35/24)</f>
        <v>0.14</v>
      </c>
      <c r="AJ35" s="37"/>
      <c r="AK35" s="37"/>
      <c r="AL35" s="37">
        <f>W35-AI35</f>
        <v>0.14</v>
      </c>
      <c r="AM35" s="37"/>
      <c r="AN35" s="37"/>
      <c r="AO35" s="38">
        <v>0</v>
      </c>
      <c r="AP35" s="38"/>
      <c r="AQ35" s="38"/>
      <c r="AV35" s="32" t="s">
        <v>22</v>
      </c>
      <c r="AW35" s="32"/>
      <c r="AX35" s="32"/>
      <c r="AY35" s="37">
        <f>SUMIFS($U$47:$U$79,$W$47:$W$79,AV35,$BT$47:$BT$79,"&gt;0")</f>
        <v>0.14</v>
      </c>
      <c r="AZ35" s="37"/>
      <c r="BA35" s="37"/>
      <c r="BB35" s="37">
        <f>SUMIFS($AJ$47:$AJ$79,$W$47:$W$79,AV35,$BT$47:$BT$79,"&gt;0")</f>
        <v>0.14</v>
      </c>
      <c r="BC35" s="37"/>
      <c r="BD35" s="37"/>
      <c r="BE35" s="37">
        <f>IF(ISERROR(BB35/AY35),0,BB35/AY35)</f>
        <v>0.14</v>
      </c>
      <c r="BF35" s="37"/>
      <c r="BG35" s="37"/>
      <c r="BH35" s="37">
        <v>0</v>
      </c>
      <c r="BI35" s="37"/>
      <c r="BJ35" s="37"/>
      <c r="BK35" s="37">
        <f>SUMIFS($BT$47:$BT$79,$W$47:$W$79,AV35,$BT$47:$BT$79,"&gt;0")</f>
        <v>0.14</v>
      </c>
      <c r="BL35" s="37"/>
      <c r="BM35" s="37"/>
      <c r="BN35" s="37">
        <f>IF(ISERROR(BK35*24/AY35),0,BK35*24/AY35)</f>
        <v>0.14</v>
      </c>
      <c r="BO35" s="37"/>
      <c r="BP35" s="37"/>
      <c r="BQ35" s="37">
        <v>6</v>
      </c>
      <c r="BR35" s="37"/>
      <c r="BS35" s="37"/>
      <c r="BT35" s="37">
        <f>IF(ISERROR(BB35/BH35),0,BB35/BH35)</f>
        <v>0.14</v>
      </c>
      <c r="BU35" s="37"/>
      <c r="BV35" s="37"/>
      <c r="BW35" s="37">
        <f>IF(BT35=0, BQ35*AY35/24,BQ35*BT35/24)</f>
        <v>0.14</v>
      </c>
      <c r="BX35" s="37"/>
      <c r="BY35" s="37"/>
      <c r="BZ35" s="37">
        <f>BK35-BW35</f>
        <v>0.14</v>
      </c>
      <c r="CA35" s="37"/>
      <c r="CB35" s="37"/>
      <c r="CC35" s="38">
        <v>0</v>
      </c>
      <c r="CD35" s="38"/>
      <c r="CE35" s="38"/>
    </row>
    <row r="36" spans="8:83" x14ac:dyDescent="0.25">
      <c r="H36" s="32" t="s">
        <v>23</v>
      </c>
      <c r="I36" s="32"/>
      <c r="J36" s="32"/>
      <c r="K36" s="37">
        <f>SUMIFS($U$47:$U$79,$W$47:$W$79,H36,$AZ$47:$AZ$79,"&gt;0")</f>
        <v>0.14</v>
      </c>
      <c r="L36" s="37"/>
      <c r="M36" s="37"/>
      <c r="N36" s="37">
        <f>SUMIFS($AJ$47:$AJ$79,$W$47:$W$79,H36,$AZ$47:$AZ$79,"&gt;0")</f>
        <v>0.14</v>
      </c>
      <c r="O36" s="37"/>
      <c r="P36" s="37"/>
      <c r="Q36" s="37">
        <f>IF(ISERROR(N36/K36),0,N36/K36)</f>
        <v>0.14</v>
      </c>
      <c r="R36" s="37"/>
      <c r="S36" s="37"/>
      <c r="T36" s="37">
        <v>12</v>
      </c>
      <c r="U36" s="37"/>
      <c r="V36" s="37"/>
      <c r="W36" s="56">
        <f>SUMIFS($AZ$47:$AZ$79,$W$47:$W$79,H36,$AZ$47:$AZ$79,"&gt;0")</f>
        <v>0.14</v>
      </c>
      <c r="X36" s="56"/>
      <c r="Y36" s="56"/>
      <c r="Z36" s="37">
        <f>IF(ISERROR(W36*24/K36),0,W36*24/K36)</f>
        <v>0.14</v>
      </c>
      <c r="AA36" s="37"/>
      <c r="AB36" s="37"/>
      <c r="AC36" s="37">
        <v>27</v>
      </c>
      <c r="AD36" s="37"/>
      <c r="AE36" s="37"/>
      <c r="AF36" s="37">
        <f>IF(ISERROR(N36/T36),0,N36/T36)</f>
        <v>0.14</v>
      </c>
      <c r="AG36" s="37"/>
      <c r="AH36" s="37"/>
      <c r="AI36" s="37">
        <f>IF(AF36=0, AC36*K36/24,AC36*AF36/24)</f>
        <v>0.14</v>
      </c>
      <c r="AJ36" s="37"/>
      <c r="AK36" s="37"/>
      <c r="AL36" s="37">
        <f>W36-AI36</f>
        <v>0.14</v>
      </c>
      <c r="AM36" s="37"/>
      <c r="AN36" s="37"/>
      <c r="AO36" s="38">
        <f>K36-AF36</f>
        <v>0.14</v>
      </c>
      <c r="AP36" s="38"/>
      <c r="AQ36" s="38"/>
      <c r="AV36" s="32" t="s">
        <v>23</v>
      </c>
      <c r="AW36" s="32"/>
      <c r="AX36" s="32"/>
      <c r="AY36" s="37">
        <f>SUMIFS($U$47:$U$79,$W$47:$W$79,AV36,$BT$47:$BT$79,"&gt;0")</f>
        <v>0.14</v>
      </c>
      <c r="AZ36" s="37"/>
      <c r="BA36" s="37"/>
      <c r="BB36" s="37">
        <f>SUMIFS($AJ$47:$AJ$79,$W$47:$W$79,AV36,$BT$47:$BT$79,"&gt;0")</f>
        <v>0.14</v>
      </c>
      <c r="BC36" s="37"/>
      <c r="BD36" s="37"/>
      <c r="BE36" s="37">
        <f>IF(ISERROR(BB36/AY36),0,BB36/AY36)</f>
        <v>0.14</v>
      </c>
      <c r="BF36" s="37"/>
      <c r="BG36" s="37"/>
      <c r="BH36" s="37">
        <v>12</v>
      </c>
      <c r="BI36" s="37"/>
      <c r="BJ36" s="37"/>
      <c r="BK36" s="56">
        <f>SUMIFS($BT$47:$BT$79,$W$47:$W$79,AV36,$BT$47:$BT$79,"&gt;0")</f>
        <v>0.14</v>
      </c>
      <c r="BL36" s="56"/>
      <c r="BM36" s="56"/>
      <c r="BN36" s="37">
        <f>IF(ISERROR(BK36*24/AY36),0,BK36*24/AY36)</f>
        <v>0.14</v>
      </c>
      <c r="BO36" s="37"/>
      <c r="BP36" s="37"/>
      <c r="BQ36" s="37">
        <v>27</v>
      </c>
      <c r="BR36" s="37"/>
      <c r="BS36" s="37"/>
      <c r="BT36" s="37">
        <f>IF(ISERROR(BB36/BH36),0,BB36/BH36)</f>
        <v>0.14</v>
      </c>
      <c r="BU36" s="37"/>
      <c r="BV36" s="37"/>
      <c r="BW36" s="37">
        <f>IF(BT36=0, BQ36*AY36/24,BQ36*BT36/24)</f>
        <v>0.14</v>
      </c>
      <c r="BX36" s="37"/>
      <c r="BY36" s="37"/>
      <c r="BZ36" s="37">
        <f>BK36-BW36</f>
        <v>0.14</v>
      </c>
      <c r="CA36" s="37"/>
      <c r="CB36" s="37"/>
      <c r="CC36" s="38">
        <f>AY36-BT36</f>
        <v>0.14</v>
      </c>
      <c r="CD36" s="38"/>
      <c r="CE36" s="38"/>
    </row>
    <row r="37" spans="8:83" x14ac:dyDescent="0.25">
      <c r="H37" s="32" t="s">
        <v>24</v>
      </c>
      <c r="I37" s="32"/>
      <c r="J37" s="32"/>
      <c r="K37" s="37">
        <f>SUMIFS($U$47:$U$79,$W$47:$W$79,H37,$AZ$47:$AZ$79,"&gt;0")</f>
        <v>0.14</v>
      </c>
      <c r="L37" s="37"/>
      <c r="M37" s="37"/>
      <c r="N37" s="37">
        <f>SUMIFS($AJ$47:$AJ$79,$W$47:$W$79,H37,$AZ$47:$AZ$79,"&gt;0")</f>
        <v>0.14</v>
      </c>
      <c r="O37" s="37"/>
      <c r="P37" s="37"/>
      <c r="Q37" s="37">
        <f>IF(ISERROR(N37/K37),0,N37/K37)</f>
        <v>0.14</v>
      </c>
      <c r="R37" s="37"/>
      <c r="S37" s="37"/>
      <c r="T37" s="37">
        <v>12</v>
      </c>
      <c r="U37" s="37"/>
      <c r="V37" s="37"/>
      <c r="W37" s="37">
        <f>SUMIFS($AZ$47:$AZ$79,$W$47:$W$79,H37,$AZ$47:$AZ$79,"&gt;0")</f>
        <v>0.14</v>
      </c>
      <c r="X37" s="37"/>
      <c r="Y37" s="37"/>
      <c r="Z37" s="37">
        <f>IF(ISERROR(W37*24/K37),0,W37*24/K37)</f>
        <v>0.14</v>
      </c>
      <c r="AA37" s="37"/>
      <c r="AB37" s="37"/>
      <c r="AC37" s="37">
        <v>27</v>
      </c>
      <c r="AD37" s="37"/>
      <c r="AE37" s="37"/>
      <c r="AF37" s="37">
        <f>IF(ISERROR(N37/T37),0,N37/T37)</f>
        <v>0.14</v>
      </c>
      <c r="AG37" s="37"/>
      <c r="AH37" s="37"/>
      <c r="AI37" s="37">
        <f>IF(AF37=0, AC37*K37/24,AC37*AF37/24)</f>
        <v>0.14</v>
      </c>
      <c r="AJ37" s="37"/>
      <c r="AK37" s="37"/>
      <c r="AL37" s="37">
        <f>W37-AI37</f>
        <v>0.14</v>
      </c>
      <c r="AM37" s="37"/>
      <c r="AN37" s="37"/>
      <c r="AO37" s="38">
        <f>K37-AF37</f>
        <v>0.14</v>
      </c>
      <c r="AP37" s="38"/>
      <c r="AQ37" s="38"/>
      <c r="AV37" s="32" t="s">
        <v>24</v>
      </c>
      <c r="AW37" s="32"/>
      <c r="AX37" s="32"/>
      <c r="AY37" s="37">
        <f>SUMIFS($U$47:$U$79,$W$47:$W$79,AV37,$BT$47:$BT$79,"&gt;0")</f>
        <v>0.14</v>
      </c>
      <c r="AZ37" s="37"/>
      <c r="BA37" s="37"/>
      <c r="BB37" s="37">
        <f>SUMIFS($AJ$47:$AJ$79,$W$47:$W$79,AV37,$BT$47:$BT$79,"&gt;0")</f>
        <v>0.14</v>
      </c>
      <c r="BC37" s="37"/>
      <c r="BD37" s="37"/>
      <c r="BE37" s="37">
        <f>IF(ISERROR(BB37/AY37),0,BB37/AY37)</f>
        <v>0.14</v>
      </c>
      <c r="BF37" s="37"/>
      <c r="BG37" s="37"/>
      <c r="BH37" s="37">
        <v>12</v>
      </c>
      <c r="BI37" s="37"/>
      <c r="BJ37" s="37"/>
      <c r="BK37" s="37">
        <f>SUMIFS($BT$47:$BT$79,$W$47:$W$79,AV37,$BT$47:$BT$79,"&gt;0")</f>
        <v>0.14</v>
      </c>
      <c r="BL37" s="37"/>
      <c r="BM37" s="37"/>
      <c r="BN37" s="37">
        <f>IF(ISERROR(BK37*24/AY37),0,BK37*24/AY37)</f>
        <v>0.14</v>
      </c>
      <c r="BO37" s="37"/>
      <c r="BP37" s="37"/>
      <c r="BQ37" s="37">
        <v>27</v>
      </c>
      <c r="BR37" s="37"/>
      <c r="BS37" s="37"/>
      <c r="BT37" s="37">
        <f>IF(ISERROR(BB37/BH37),0,BB37/BH37)</f>
        <v>0.14</v>
      </c>
      <c r="BU37" s="37"/>
      <c r="BV37" s="37"/>
      <c r="BW37" s="37">
        <f>IF(BT37=0, BQ37*AY37/24,BQ37*BT37/24)</f>
        <v>0.14</v>
      </c>
      <c r="BX37" s="37"/>
      <c r="BY37" s="37"/>
      <c r="BZ37" s="37">
        <f>BK37-BW37</f>
        <v>0.14</v>
      </c>
      <c r="CA37" s="37"/>
      <c r="CB37" s="37"/>
      <c r="CC37" s="38">
        <f>AY37-BT37</f>
        <v>0.14</v>
      </c>
      <c r="CD37" s="38"/>
      <c r="CE37" s="38"/>
    </row>
    <row r="38" spans="8:83" x14ac:dyDescent="0.25">
      <c r="H38" s="32" t="s">
        <v>27</v>
      </c>
      <c r="I38" s="32"/>
      <c r="J38" s="32"/>
      <c r="K38" s="37">
        <f>SUMIFS($U$47:$U$79,$W$47:$W$79,H38,$AZ$47:$AZ$79,"&gt;0")</f>
        <v>0.14</v>
      </c>
      <c r="L38" s="37"/>
      <c r="M38" s="37"/>
      <c r="N38" s="37">
        <f>SUMIFS($AJ$47:$AJ$79,$W$47:$W$79,H38,$AZ$47:$AZ$79,"&gt;0")</f>
        <v>0.14</v>
      </c>
      <c r="O38" s="37"/>
      <c r="P38" s="37"/>
      <c r="Q38" s="37">
        <f>IF(ISERROR(N38/K38),0,N38/K38)</f>
        <v>0.14</v>
      </c>
      <c r="R38" s="37"/>
      <c r="S38" s="37"/>
      <c r="T38" s="37">
        <v>12</v>
      </c>
      <c r="U38" s="37"/>
      <c r="V38" s="37"/>
      <c r="W38" s="37">
        <f>SUMIFS($AZ$47:$AZ$79,$W$47:$W$79,H38,$AZ$47:$AZ$79,"&gt;0")</f>
        <v>0.14</v>
      </c>
      <c r="X38" s="37"/>
      <c r="Y38" s="37"/>
      <c r="Z38" s="37">
        <f>IF(ISERROR(W38*24/K38),0,W38*24/K38)</f>
        <v>0.14</v>
      </c>
      <c r="AA38" s="37"/>
      <c r="AB38" s="37"/>
      <c r="AC38" s="37">
        <v>27</v>
      </c>
      <c r="AD38" s="37"/>
      <c r="AE38" s="37"/>
      <c r="AF38" s="37">
        <f>IF(ISERROR(N38/T38),0,N38/T38)</f>
        <v>0.14</v>
      </c>
      <c r="AG38" s="37"/>
      <c r="AH38" s="37"/>
      <c r="AI38" s="37">
        <f>IF(AF38=0, AC38*K38/24,AC38*AF38/24)</f>
        <v>0.14</v>
      </c>
      <c r="AJ38" s="37"/>
      <c r="AK38" s="37"/>
      <c r="AL38" s="37">
        <f>W38-AI38</f>
        <v>0.14</v>
      </c>
      <c r="AM38" s="37"/>
      <c r="AN38" s="37"/>
      <c r="AO38" s="38">
        <f>K38-AF38</f>
        <v>0.14</v>
      </c>
      <c r="AP38" s="38"/>
      <c r="AQ38" s="38"/>
      <c r="AV38" s="32" t="s">
        <v>27</v>
      </c>
      <c r="AW38" s="32"/>
      <c r="AX38" s="32"/>
      <c r="AY38" s="37">
        <f>SUMIFS($U$47:$U$79,$W$47:$W$79,AV38,$BT$47:$BT$79,"&gt;0")</f>
        <v>0.14</v>
      </c>
      <c r="AZ38" s="37"/>
      <c r="BA38" s="37"/>
      <c r="BB38" s="37">
        <f>SUMIFS($AJ$47:$AJ$79,$W$47:$W$79,AV38,$BT$47:$BT$79,"&gt;0")</f>
        <v>0.14</v>
      </c>
      <c r="BC38" s="37"/>
      <c r="BD38" s="37"/>
      <c r="BE38" s="37">
        <f>IF(ISERROR(BB38/AY38),0,BB38/AY38)</f>
        <v>0.14</v>
      </c>
      <c r="BF38" s="37"/>
      <c r="BG38" s="37"/>
      <c r="BH38" s="37">
        <v>12</v>
      </c>
      <c r="BI38" s="37"/>
      <c r="BJ38" s="37"/>
      <c r="BK38" s="37">
        <f>SUMIFS($BT$47:$BT$79,$W$47:$W$79,AV38,$BT$47:$BT$79,"&gt;0")</f>
        <v>0.14</v>
      </c>
      <c r="BL38" s="37"/>
      <c r="BM38" s="37"/>
      <c r="BN38" s="37">
        <f>IF(ISERROR(BK38*24/AY38),0,BK38*24/AY38)</f>
        <v>0.14</v>
      </c>
      <c r="BO38" s="37"/>
      <c r="BP38" s="37"/>
      <c r="BQ38" s="37">
        <v>27</v>
      </c>
      <c r="BR38" s="37"/>
      <c r="BS38" s="37"/>
      <c r="BT38" s="37">
        <f>IF(ISERROR(BB38/BH38),0,BB38/BH38)</f>
        <v>0.14</v>
      </c>
      <c r="BU38" s="37"/>
      <c r="BV38" s="37"/>
      <c r="BW38" s="37">
        <f>IF(BT38=0, BQ38*AY38/24,BQ38*BT38/24)</f>
        <v>0.14</v>
      </c>
      <c r="BX38" s="37"/>
      <c r="BY38" s="37"/>
      <c r="BZ38" s="37">
        <f>BK38-BW38</f>
        <v>0.14</v>
      </c>
      <c r="CA38" s="37"/>
      <c r="CB38" s="37"/>
      <c r="CC38" s="38">
        <f>AY38-BT38</f>
        <v>0.14</v>
      </c>
      <c r="CD38" s="38"/>
      <c r="CE38" s="38"/>
    </row>
    <row r="39" spans="8:83" x14ac:dyDescent="0.25">
      <c r="H39" s="32" t="s">
        <v>25</v>
      </c>
      <c r="I39" s="32"/>
      <c r="J39" s="32"/>
      <c r="K39" s="37">
        <f>SUMIFS($U$47:$U$79,$W$47:$W$79,H39,$AZ$47:$AZ$79,"&gt;0")</f>
        <v>0.14</v>
      </c>
      <c r="L39" s="37"/>
      <c r="M39" s="37"/>
      <c r="N39" s="37">
        <f>SUMIFS($AJ$47:$AJ$79,$W$47:$W$79,H39,$AZ$47:$AZ$79,"&gt;0")</f>
        <v>0.14</v>
      </c>
      <c r="O39" s="37"/>
      <c r="P39" s="37"/>
      <c r="Q39" s="37">
        <f>IF(ISERROR(N39/K39),0,N39/K39)</f>
        <v>0.14</v>
      </c>
      <c r="R39" s="37"/>
      <c r="S39" s="37"/>
      <c r="T39" s="37">
        <v>0</v>
      </c>
      <c r="U39" s="37"/>
      <c r="V39" s="37"/>
      <c r="W39" s="37">
        <f>SUMIFS($AZ$47:$AZ$79,$W$47:$W$79,H39,$AZ$47:$AZ$79,"&gt;0")</f>
        <v>0.14</v>
      </c>
      <c r="X39" s="37"/>
      <c r="Y39" s="37"/>
      <c r="Z39" s="37">
        <f>IF(ISERROR(W39*24/K39),0,W39*24/K39)</f>
        <v>0.14</v>
      </c>
      <c r="AA39" s="37"/>
      <c r="AB39" s="37"/>
      <c r="AC39" s="37">
        <v>6</v>
      </c>
      <c r="AD39" s="37"/>
      <c r="AE39" s="37"/>
      <c r="AF39" s="37">
        <f>IF(ISERROR(N39/T39),0,N39/T39)</f>
        <v>0.14</v>
      </c>
      <c r="AG39" s="37"/>
      <c r="AH39" s="37"/>
      <c r="AI39" s="37">
        <f>IF(AF39=0, AC39*K39/24,AC39*AF39/24)</f>
        <v>0.14</v>
      </c>
      <c r="AJ39" s="37"/>
      <c r="AK39" s="37"/>
      <c r="AL39" s="37">
        <f>W39-AI39</f>
        <v>0.14</v>
      </c>
      <c r="AM39" s="37"/>
      <c r="AN39" s="37"/>
      <c r="AO39" s="38">
        <v>0</v>
      </c>
      <c r="AP39" s="38"/>
      <c r="AQ39" s="38"/>
      <c r="AV39" s="32" t="s">
        <v>25</v>
      </c>
      <c r="AW39" s="32"/>
      <c r="AX39" s="32"/>
      <c r="AY39" s="37">
        <f>SUMIFS($U$47:$U$79,$W$47:$W$79,AV39,$BT$47:$BT$79,"&gt;0")</f>
        <v>0.14</v>
      </c>
      <c r="AZ39" s="37"/>
      <c r="BA39" s="37"/>
      <c r="BB39" s="37">
        <f>SUMIFS($AJ$47:$AJ$79,$W$47:$W$79,AV39,$BT$47:$BT$79,"&gt;0")</f>
        <v>0.14</v>
      </c>
      <c r="BC39" s="37"/>
      <c r="BD39" s="37"/>
      <c r="BE39" s="37">
        <f>IF(ISERROR(BB39/AY39),0,BB39/AY39)</f>
        <v>0.14</v>
      </c>
      <c r="BF39" s="37"/>
      <c r="BG39" s="37"/>
      <c r="BH39" s="37">
        <v>0</v>
      </c>
      <c r="BI39" s="37"/>
      <c r="BJ39" s="37"/>
      <c r="BK39" s="37">
        <f>SUMIFS($BT$47:$BT$79,$W$47:$W$79,AV39,$BT$47:$BT$79,"&gt;0")</f>
        <v>0.14</v>
      </c>
      <c r="BL39" s="37"/>
      <c r="BM39" s="37"/>
      <c r="BN39" s="37">
        <f>IF(ISERROR(BK39*24/AY39),0,BK39*24/AY39)</f>
        <v>0.14</v>
      </c>
      <c r="BO39" s="37"/>
      <c r="BP39" s="37"/>
      <c r="BQ39" s="37">
        <v>6</v>
      </c>
      <c r="BR39" s="37"/>
      <c r="BS39" s="37"/>
      <c r="BT39" s="37">
        <f>IF(ISERROR(BB39/BH39),0,BB39/BH39)</f>
        <v>0.14</v>
      </c>
      <c r="BU39" s="37"/>
      <c r="BV39" s="37"/>
      <c r="BW39" s="37">
        <f>IF(BT39=0, BQ39*AY39/24,BQ39*BT39/24)</f>
        <v>0.14</v>
      </c>
      <c r="BX39" s="37"/>
      <c r="BY39" s="37"/>
      <c r="BZ39" s="37">
        <f>BK39-BW39</f>
        <v>0.14</v>
      </c>
      <c r="CA39" s="37"/>
      <c r="CB39" s="37"/>
      <c r="CC39" s="38">
        <v>0</v>
      </c>
      <c r="CD39" s="38"/>
      <c r="CE39" s="38"/>
    </row>
    <row r="40" spans="8:83" x14ac:dyDescent="0.25">
      <c r="H40" s="32" t="s">
        <v>26</v>
      </c>
      <c r="I40" s="32"/>
      <c r="J40" s="32"/>
      <c r="K40" s="37">
        <f>SUMIFS($U$47:$U$79,$W$47:$W$79,H40,$AZ$47:$AZ$79,"&gt;0")</f>
        <v>0.14</v>
      </c>
      <c r="L40" s="37"/>
      <c r="M40" s="37"/>
      <c r="N40" s="37">
        <f>SUMIFS($AJ$47:$AJ$79,$W$47:$W$79,H40,$AZ$47:$AZ$79,"&gt;0")</f>
        <v>0.14</v>
      </c>
      <c r="O40" s="37"/>
      <c r="P40" s="37"/>
      <c r="Q40" s="37">
        <f>IF(ISERROR(N40/K40),0,N40/K40)</f>
        <v>0.14</v>
      </c>
      <c r="R40" s="37"/>
      <c r="S40" s="37"/>
      <c r="T40" s="37">
        <v>0</v>
      </c>
      <c r="U40" s="37"/>
      <c r="V40" s="37"/>
      <c r="W40" s="37">
        <f>SUMIFS($AZ$47:$AZ$79,$W$47:$W$79,H40,$AZ$47:$AZ$79,"&gt;0")</f>
        <v>0.14</v>
      </c>
      <c r="X40" s="37"/>
      <c r="Y40" s="37"/>
      <c r="Z40" s="37">
        <f>IF(ISERROR(W40*24/K40),0,W40*24/K40)</f>
        <v>0.14</v>
      </c>
      <c r="AA40" s="37"/>
      <c r="AB40" s="37"/>
      <c r="AC40" s="37">
        <v>6</v>
      </c>
      <c r="AD40" s="37"/>
      <c r="AE40" s="37"/>
      <c r="AF40" s="37">
        <f>IF(ISERROR(N40/T40),0,N40/T40)</f>
        <v>0.14</v>
      </c>
      <c r="AG40" s="37"/>
      <c r="AH40" s="37"/>
      <c r="AI40" s="37">
        <f>IF(AF40=0, AC40*K40/24,AC40*AF40/24)</f>
        <v>0.14</v>
      </c>
      <c r="AJ40" s="37"/>
      <c r="AK40" s="37"/>
      <c r="AL40" s="37">
        <f>W40-AI40</f>
        <v>0.14</v>
      </c>
      <c r="AM40" s="37"/>
      <c r="AN40" s="37"/>
      <c r="AO40" s="38">
        <v>0</v>
      </c>
      <c r="AP40" s="38"/>
      <c r="AQ40" s="38"/>
      <c r="AV40" s="32" t="s">
        <v>26</v>
      </c>
      <c r="AW40" s="32"/>
      <c r="AX40" s="32"/>
      <c r="AY40" s="37">
        <f>SUMIFS($U$47:$U$79,$W$47:$W$79,AV40,$BT$47:$BT$79,"&gt;0")</f>
        <v>0.14</v>
      </c>
      <c r="AZ40" s="37"/>
      <c r="BA40" s="37"/>
      <c r="BB40" s="37">
        <f>SUMIFS($AJ$47:$AJ$79,$W$47:$W$79,AV40,$BT$47:$BT$79,"&gt;0")</f>
        <v>0.14</v>
      </c>
      <c r="BC40" s="37"/>
      <c r="BD40" s="37"/>
      <c r="BE40" s="37">
        <f>IF(ISERROR(BB40/AY40),0,BB40/AY40)</f>
        <v>0.14</v>
      </c>
      <c r="BF40" s="37"/>
      <c r="BG40" s="37"/>
      <c r="BH40" s="37">
        <v>0</v>
      </c>
      <c r="BI40" s="37"/>
      <c r="BJ40" s="37"/>
      <c r="BK40" s="37">
        <f>SUMIFS($BT$47:$BT$79,$W$47:$W$79,AV40,$BT$47:$BT$79,"&gt;0")</f>
        <v>0.14</v>
      </c>
      <c r="BL40" s="37"/>
      <c r="BM40" s="37"/>
      <c r="BN40" s="37">
        <f>IF(ISERROR(BK40*24/AY40),0,BK40*24/AY40)</f>
        <v>0.14</v>
      </c>
      <c r="BO40" s="37"/>
      <c r="BP40" s="37"/>
      <c r="BQ40" s="37">
        <v>6</v>
      </c>
      <c r="BR40" s="37"/>
      <c r="BS40" s="37"/>
      <c r="BT40" s="37">
        <f>IF(ISERROR(BB40/BH40),0,BB40/BH40)</f>
        <v>0.14</v>
      </c>
      <c r="BU40" s="37"/>
      <c r="BV40" s="37"/>
      <c r="BW40" s="37">
        <f>IF(BT40=0, BQ40*AY40/24,BQ40*BT40/24)</f>
        <v>0.14</v>
      </c>
      <c r="BX40" s="37"/>
      <c r="BY40" s="37"/>
      <c r="BZ40" s="37">
        <f>BK40-BW40</f>
        <v>0.14</v>
      </c>
      <c r="CA40" s="37"/>
      <c r="CB40" s="37"/>
      <c r="CC40" s="38">
        <v>0</v>
      </c>
      <c r="CD40" s="38"/>
      <c r="CE40" s="38"/>
    </row>
    <row r="41" spans="8:83" x14ac:dyDescent="0.25">
      <c r="H41" s="39" t="s">
        <v>28</v>
      </c>
      <c r="I41" s="39"/>
      <c r="J41" s="39"/>
      <c r="K41" s="47">
        <f>SUMIFS($U$47:$U$79,$W$47:$W$79,H41,$AZ$47:$AZ$79,"&gt;0")</f>
        <v>0.14</v>
      </c>
      <c r="L41" s="47"/>
      <c r="M41" s="47"/>
      <c r="N41" s="47">
        <f>SUMIFS($AJ$47:$AJ$79,$W$47:$W$79,H41,$AZ$47:$AZ$79,"&gt;0")</f>
        <v>0.14</v>
      </c>
      <c r="O41" s="47"/>
      <c r="P41" s="47"/>
      <c r="Q41" s="47">
        <f>IF(ISERROR(N41/K41),0,N41/K41)</f>
        <v>0.14</v>
      </c>
      <c r="R41" s="47"/>
      <c r="S41" s="47"/>
      <c r="T41" s="47">
        <v>0</v>
      </c>
      <c r="U41" s="47"/>
      <c r="V41" s="47"/>
      <c r="W41" s="47">
        <f>SUMIFS($AZ$47:$AZ$79,$W$47:$W$79,H41,$AZ$47:$AZ$79,"&gt;0")</f>
        <v>0.14</v>
      </c>
      <c r="X41" s="47"/>
      <c r="Y41" s="47"/>
      <c r="Z41" s="47">
        <f>IF(ISERROR(W41*24/K41),0,W41*24/K41)</f>
        <v>0.14</v>
      </c>
      <c r="AA41" s="47"/>
      <c r="AB41" s="47"/>
      <c r="AC41" s="47">
        <v>8</v>
      </c>
      <c r="AD41" s="47"/>
      <c r="AE41" s="47"/>
      <c r="AF41" s="47">
        <f>IF(ISERROR(N41/T41),0,N41/T41)</f>
        <v>0.14</v>
      </c>
      <c r="AG41" s="47"/>
      <c r="AH41" s="47"/>
      <c r="AI41" s="47">
        <f>IF(AF41=0, AC41*K41/24,AC41*AF41/24)</f>
        <v>0.14</v>
      </c>
      <c r="AJ41" s="47"/>
      <c r="AK41" s="47"/>
      <c r="AL41" s="47">
        <f>W41-AI41</f>
        <v>0.14</v>
      </c>
      <c r="AM41" s="47"/>
      <c r="AN41" s="47"/>
      <c r="AO41" s="48">
        <v>0</v>
      </c>
      <c r="AP41" s="48"/>
      <c r="AQ41" s="48"/>
      <c r="AV41" s="39" t="s">
        <v>28</v>
      </c>
      <c r="AW41" s="39"/>
      <c r="AX41" s="39"/>
      <c r="AY41" s="47">
        <f>SUMIFS($U$47:$U$79,$W$47:$W$79,AV41,$BT$47:$BT$79,"&gt;0")</f>
        <v>0.14</v>
      </c>
      <c r="AZ41" s="47"/>
      <c r="BA41" s="47"/>
      <c r="BB41" s="47">
        <f>SUMIFS($AJ$47:$AJ$79,$W$47:$W$79,AV41,$BT$47:$BT$79,"&gt;0")</f>
        <v>0.14</v>
      </c>
      <c r="BC41" s="47"/>
      <c r="BD41" s="47"/>
      <c r="BE41" s="47">
        <f>IF(ISERROR(BB41/AY41),0,BB41/AY41)</f>
        <v>0.14</v>
      </c>
      <c r="BF41" s="47"/>
      <c r="BG41" s="47"/>
      <c r="BH41" s="47">
        <v>0</v>
      </c>
      <c r="BI41" s="47"/>
      <c r="BJ41" s="47"/>
      <c r="BK41" s="47">
        <f>SUMIFS($BT$47:$BT$79,$W$47:$W$79,AV41,$BT$47:$BT$79,"&gt;0")</f>
        <v>0.14</v>
      </c>
      <c r="BL41" s="47"/>
      <c r="BM41" s="47"/>
      <c r="BN41" s="47">
        <f>IF(ISERROR(BK41*24/AY41),0,BK41*24/AY41)</f>
        <v>0.14</v>
      </c>
      <c r="BO41" s="47"/>
      <c r="BP41" s="47"/>
      <c r="BQ41" s="47">
        <v>8</v>
      </c>
      <c r="BR41" s="47"/>
      <c r="BS41" s="47"/>
      <c r="BT41" s="47">
        <f>IF(ISERROR(BB41/BH41),0,BB41/BH41)</f>
        <v>0.14</v>
      </c>
      <c r="BU41" s="47"/>
      <c r="BV41" s="47"/>
      <c r="BW41" s="47">
        <f>IF(BT41=0, BQ41*AY41/24,BQ41*BT41/24)</f>
        <v>0.14</v>
      </c>
      <c r="BX41" s="47"/>
      <c r="BY41" s="47"/>
      <c r="BZ41" s="47">
        <f>BK41-BW41</f>
        <v>0.14</v>
      </c>
      <c r="CA41" s="47"/>
      <c r="CB41" s="47"/>
      <c r="CC41" s="48">
        <v>0</v>
      </c>
      <c r="CD41" s="48"/>
      <c r="CE41" s="48"/>
    </row>
    <row r="44" spans="44:79" x14ac:dyDescent="0.25">
      <c r="AR44" s="57" t="s">
        <v>48</v>
      </c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 t="s">
        <v>49</v>
      </c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</row>
    <row r="45" spans="36:79" x14ac:dyDescent="0.25">
      <c r="AJ45" s="58" t="s">
        <v>50</v>
      </c>
      <c r="AK45" s="58"/>
      <c r="AL45" s="58"/>
      <c r="AM45" s="58"/>
      <c r="AN45" s="58"/>
      <c r="AO45" s="58"/>
      <c r="AP45" s="58"/>
      <c r="AQ45" s="58"/>
      <c r="AR45" s="59" t="s">
        <v>51</v>
      </c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60">
        <f>S16</f>
      </c>
      <c r="BF45" s="60"/>
      <c r="BG45" s="60"/>
      <c r="BH45" s="59" t="s">
        <v>51</v>
      </c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60">
        <f>U16</f>
      </c>
      <c r="BZ45" s="60"/>
      <c r="CA45" s="60"/>
    </row>
    <row r="46" spans="1:79" x14ac:dyDescent="0.25">
      <c r="A46" t="s">
        <v>52</v>
      </c>
      <c r="B46" t="s">
        <v>53</v>
      </c>
      <c r="C46" t="s">
        <v>54</v>
      </c>
      <c r="D46" t="s">
        <v>1</v>
      </c>
      <c r="E46" t="s">
        <v>1</v>
      </c>
      <c r="F46" s="61" t="s">
        <v>55</v>
      </c>
      <c r="G46" s="61"/>
      <c r="H46" s="62" t="s">
        <v>56</v>
      </c>
      <c r="I46" s="62"/>
      <c r="J46" s="62"/>
      <c r="K46" s="62"/>
      <c r="L46" s="62" t="s">
        <v>57</v>
      </c>
      <c r="M46" s="62"/>
      <c r="N46" s="62"/>
      <c r="O46" s="62"/>
      <c r="P46" s="62" t="s">
        <v>58</v>
      </c>
      <c r="Q46" s="62"/>
      <c r="R46" s="62"/>
      <c r="S46" s="62" t="s">
        <v>59</v>
      </c>
      <c r="T46" s="62"/>
      <c r="U46" s="61" t="s">
        <v>13</v>
      </c>
      <c r="V46" s="61"/>
      <c r="W46" s="62" t="s">
        <v>60</v>
      </c>
      <c r="X46" s="62"/>
      <c r="Y46" s="62"/>
      <c r="Z46" s="62"/>
      <c r="AA46" s="62" t="s">
        <v>14</v>
      </c>
      <c r="AB46" s="62"/>
      <c r="AC46" s="62" t="s">
        <v>61</v>
      </c>
      <c r="AD46" s="62"/>
      <c r="AE46" s="62"/>
      <c r="AF46" s="62"/>
      <c r="AG46" s="62"/>
      <c r="AH46" s="62"/>
      <c r="AI46" s="62"/>
      <c r="AJ46" s="62" t="s">
        <v>62</v>
      </c>
      <c r="AK46" s="62"/>
      <c r="AL46" s="62" t="s">
        <v>13</v>
      </c>
      <c r="AM46" s="62"/>
      <c r="AN46" s="61" t="s">
        <v>14</v>
      </c>
      <c r="AO46" s="61"/>
      <c r="AP46" s="62" t="s">
        <v>63</v>
      </c>
      <c r="AQ46" s="62"/>
      <c r="AR46" s="62" t="s">
        <v>64</v>
      </c>
      <c r="AS46" s="62"/>
      <c r="AT46" s="62" t="s">
        <v>65</v>
      </c>
      <c r="AU46" s="62"/>
      <c r="AV46" s="62" t="s">
        <v>66</v>
      </c>
      <c r="AW46" s="62"/>
      <c r="AX46" s="62" t="s">
        <v>67</v>
      </c>
      <c r="AY46" s="62"/>
      <c r="AZ46" s="61" t="s">
        <v>68</v>
      </c>
      <c r="BA46" s="61"/>
      <c r="BB46" s="61" t="s">
        <v>69</v>
      </c>
      <c r="BC46" s="61"/>
      <c r="BD46" s="62" t="s">
        <v>70</v>
      </c>
      <c r="BE46" s="62"/>
      <c r="BF46" s="61" t="s">
        <v>71</v>
      </c>
      <c r="BG46" s="61"/>
      <c r="BH46" s="62" t="s">
        <v>64</v>
      </c>
      <c r="BI46" s="62"/>
      <c r="BJ46" s="62" t="s">
        <v>65</v>
      </c>
      <c r="BK46" s="62"/>
      <c r="BL46" s="62" t="s">
        <v>66</v>
      </c>
      <c r="BM46" s="62"/>
      <c r="BN46" s="62" t="s">
        <v>72</v>
      </c>
      <c r="BO46" s="62"/>
      <c r="BP46" s="62" t="s">
        <v>73</v>
      </c>
      <c r="BQ46" s="62"/>
      <c r="BR46" s="62" t="s">
        <v>67</v>
      </c>
      <c r="BS46" s="62"/>
      <c r="BT46" s="61" t="s">
        <v>68</v>
      </c>
      <c r="BU46" s="61"/>
      <c r="BV46" s="61" t="s">
        <v>69</v>
      </c>
      <c r="BW46" s="61"/>
      <c r="BX46" s="62" t="s">
        <v>70</v>
      </c>
      <c r="BY46" s="62"/>
      <c r="BZ46" s="61" t="s">
        <v>71</v>
      </c>
      <c r="CA46" s="61"/>
    </row>
    <row r="47" spans="1:79" x14ac:dyDescent="0.25">
      <c r="A47">
        <v>411</v>
      </c>
      <c r="B47">
        <v>928</v>
      </c>
      <c r="C47">
        <v>9397</v>
      </c>
      <c r="D47" t="s">
        <v>1</v>
      </c>
      <c r="E47">
        <f>AND( AI47 &lt;12, AI47 &gt; 0 )</f>
      </c>
      <c r="F47" s="63" t="s">
        <v>74</v>
      </c>
      <c r="G47"/>
      <c r="H47" s="63" t="s">
        <v>75</v>
      </c>
      <c r="I47"/>
      <c r="J47"/>
      <c r="K47"/>
      <c r="L47" s="63" t="s">
        <v>76</v>
      </c>
      <c r="M47"/>
      <c r="N47"/>
      <c r="O47"/>
      <c r="P47" s="64" t="s">
        <v>77</v>
      </c>
      <c r="Q47"/>
      <c r="R47"/>
      <c r="S47" s="63" t="s">
        <v>78</v>
      </c>
      <c r="T47"/>
      <c r="U47" s="65">
        <v>14.55</v>
      </c>
      <c r="V47"/>
      <c r="W47" s="63" t="s">
        <v>79</v>
      </c>
      <c r="X47"/>
      <c r="Y47"/>
      <c r="Z47"/>
      <c r="AA47" s="63" t="s">
        <v>1</v>
      </c>
      <c r="AB47"/>
      <c r="AC47" s="63" t="s">
        <v>80</v>
      </c>
      <c r="AD47"/>
      <c r="AE47"/>
      <c r="AF47"/>
      <c r="AG47"/>
      <c r="AH47"/>
      <c r="AI47"/>
      <c r="AJ47" s="65">
        <v>0</v>
      </c>
      <c r="AK47"/>
      <c r="AL47" s="65">
        <v>14.55</v>
      </c>
      <c r="AM47"/>
      <c r="AN47" s="65">
        <f>IF(ISERROR(AJ47/AL47),0,AJ47/AL47)</f>
      </c>
      <c r="AO47"/>
      <c r="AP47" s="63" t="s">
        <v>1</v>
      </c>
      <c r="AQ47"/>
      <c r="AR47" s="65">
        <v>0</v>
      </c>
      <c r="AS47"/>
      <c r="AT47" s="65">
        <v>0.97</v>
      </c>
      <c r="AU47"/>
      <c r="AV47" s="65">
        <v>6.67</v>
      </c>
      <c r="AW47"/>
      <c r="AX47" s="65">
        <v>0</v>
      </c>
      <c r="AY47"/>
      <c r="AZ47" s="65">
        <f>SUM(AR47:AX47)</f>
      </c>
      <c r="BA47"/>
      <c r="BB47" s="65">
        <f>IF(ISERROR(AZ47*24/AL47),0,AZ47*24/AL47)</f>
      </c>
      <c r="BC47"/>
      <c r="BD47" s="65">
        <v>0</v>
      </c>
      <c r="BE47"/>
      <c r="BF47" s="65">
        <f>BE45-AZ47+BD47</f>
      </c>
      <c r="BG47"/>
      <c r="BH47" s="65">
        <v>0</v>
      </c>
      <c r="BI47"/>
      <c r="BJ47" s="65">
        <v>0</v>
      </c>
      <c r="BK47"/>
      <c r="BL47" s="65">
        <v>0.01</v>
      </c>
      <c r="BM47"/>
      <c r="BN47" s="65">
        <v>0</v>
      </c>
      <c r="BO47"/>
      <c r="BP47" s="65">
        <v>0</v>
      </c>
      <c r="BQ47"/>
      <c r="BR47" s="65">
        <v>0</v>
      </c>
      <c r="BS47"/>
      <c r="BT47" s="65">
        <f>SUM(BH47:BS47)</f>
      </c>
      <c r="BU47"/>
      <c r="BV47" s="65">
        <f>IF(ISERROR(BT47*24/AL47),0,BT47*24/AL47)</f>
      </c>
      <c r="BW47"/>
      <c r="BX47" s="65">
        <v>0</v>
      </c>
      <c r="BY47"/>
      <c r="BZ47" s="65">
        <f>BY45-BT47+BX47</f>
      </c>
      <c r="CA47"/>
    </row>
    <row r="48" spans="1:79" x14ac:dyDescent="0.25">
      <c r="A48">
        <v>411</v>
      </c>
      <c r="B48">
        <v>928</v>
      </c>
      <c r="C48">
        <v>9398</v>
      </c>
      <c r="D48" t="s">
        <v>1</v>
      </c>
      <c r="E48">
        <f>AND( AI48 &lt;12, AI48 &gt; 0 )</f>
      </c>
      <c r="F48" s="63" t="s">
        <v>74</v>
      </c>
      <c r="G48"/>
      <c r="H48" s="63" t="s">
        <v>75</v>
      </c>
      <c r="I48"/>
      <c r="J48"/>
      <c r="K48"/>
      <c r="L48" s="63" t="s">
        <v>76</v>
      </c>
      <c r="M48"/>
      <c r="N48"/>
      <c r="O48"/>
      <c r="P48" s="64" t="s">
        <v>81</v>
      </c>
      <c r="Q48"/>
      <c r="R48"/>
      <c r="S48" s="63" t="s">
        <v>82</v>
      </c>
      <c r="T48"/>
      <c r="U48" s="65">
        <f>(P48 - P47)*24</f>
      </c>
      <c r="V48"/>
      <c r="W48" s="63" t="s">
        <v>83</v>
      </c>
      <c r="X48"/>
      <c r="Y48"/>
      <c r="Z48"/>
      <c r="AA48" s="63" t="s">
        <v>1</v>
      </c>
      <c r="AB48"/>
      <c r="AC48" s="63" t="s">
        <v>84</v>
      </c>
      <c r="AD48"/>
      <c r="AE48"/>
      <c r="AF48"/>
      <c r="AG48"/>
      <c r="AH48"/>
      <c r="AI48"/>
      <c r="AJ48" s="65">
        <v>0</v>
      </c>
      <c r="AK48"/>
      <c r="AL48" s="65">
        <f>(P48 - P47)*24</f>
      </c>
      <c r="AM48"/>
      <c r="AN48" s="65">
        <f>IF(ISERROR(AJ48/AL48),0,AJ48/AL48)</f>
      </c>
      <c r="AO48"/>
      <c r="AP48" s="63" t="s">
        <v>1</v>
      </c>
      <c r="AQ48"/>
      <c r="AR48" s="65">
        <v>0</v>
      </c>
      <c r="AS48"/>
      <c r="AT48" s="65">
        <v>0.21</v>
      </c>
      <c r="AU48"/>
      <c r="AV48" s="65">
        <v>1.47</v>
      </c>
      <c r="AW48"/>
      <c r="AX48" s="65">
        <v>0</v>
      </c>
      <c r="AY48"/>
      <c r="AZ48" s="65">
        <f>SUM(AR48:AX48)</f>
      </c>
      <c r="BA48"/>
      <c r="BB48" s="65">
        <f>IF(ISERROR(AZ48*24/AL48),0,AZ48*24/AL48)</f>
      </c>
      <c r="BC48"/>
      <c r="BD48" s="65">
        <v>0</v>
      </c>
      <c r="BE48"/>
      <c r="BF48" s="65">
        <f>BF47-AZ48+BD48</f>
      </c>
      <c r="BG48"/>
      <c r="BH48" s="65">
        <v>0</v>
      </c>
      <c r="BI48"/>
      <c r="BJ48" s="65">
        <v>0</v>
      </c>
      <c r="BK48"/>
      <c r="BL48" s="65">
        <v>0</v>
      </c>
      <c r="BM48"/>
      <c r="BN48" s="65">
        <v>0</v>
      </c>
      <c r="BO48"/>
      <c r="BP48" s="65">
        <v>0</v>
      </c>
      <c r="BQ48"/>
      <c r="BR48" s="65">
        <v>0</v>
      </c>
      <c r="BS48"/>
      <c r="BT48" s="65">
        <f>SUM(BH48:BS48)</f>
      </c>
      <c r="BU48"/>
      <c r="BV48" s="65">
        <f>IF(ISERROR(BT48*24/AL48),0,BT48*24/AL48)</f>
      </c>
      <c r="BW48"/>
      <c r="BX48" s="65">
        <v>0</v>
      </c>
      <c r="BY48"/>
      <c r="BZ48" s="65">
        <f>BZ47-BT48+BX48</f>
      </c>
      <c r="CA48"/>
    </row>
    <row r="49" spans="1:79" x14ac:dyDescent="0.25">
      <c r="A49">
        <v>411</v>
      </c>
      <c r="B49">
        <v>928</v>
      </c>
      <c r="C49">
        <v>9399</v>
      </c>
      <c r="D49" t="s">
        <v>1</v>
      </c>
      <c r="E49">
        <f>AND( AI49 &lt;12, AI49 &gt; 0 )</f>
      </c>
      <c r="F49" s="63" t="s">
        <v>74</v>
      </c>
      <c r="G49"/>
      <c r="H49" s="63" t="s">
        <v>75</v>
      </c>
      <c r="I49"/>
      <c r="J49"/>
      <c r="K49"/>
      <c r="L49" s="63" t="s">
        <v>76</v>
      </c>
      <c r="M49"/>
      <c r="N49"/>
      <c r="O49"/>
      <c r="P49" s="64" t="s">
        <v>85</v>
      </c>
      <c r="Q49"/>
      <c r="R49"/>
      <c r="S49" s="63" t="s">
        <v>86</v>
      </c>
      <c r="T49"/>
      <c r="U49" s="65">
        <f>(P49 - P48)*24</f>
      </c>
      <c r="V49"/>
      <c r="W49" s="63" t="s">
        <v>87</v>
      </c>
      <c r="X49"/>
      <c r="Y49"/>
      <c r="Z49"/>
      <c r="AA49" s="63" t="s">
        <v>1</v>
      </c>
      <c r="AB49"/>
      <c r="AC49" s="63" t="s">
        <v>88</v>
      </c>
      <c r="AD49"/>
      <c r="AE49"/>
      <c r="AF49"/>
      <c r="AG49"/>
      <c r="AH49"/>
      <c r="AI49"/>
      <c r="AJ49" s="65">
        <v>0</v>
      </c>
      <c r="AK49"/>
      <c r="AL49" s="65">
        <f>(P49 - P48)*24</f>
      </c>
      <c r="AM49"/>
      <c r="AN49" s="65">
        <f>IF(ISERROR(AJ49/AL49),0,AJ49/AL49)</f>
      </c>
      <c r="AO49"/>
      <c r="AP49" s="63" t="s">
        <v>1</v>
      </c>
      <c r="AQ49"/>
      <c r="AR49" s="65">
        <v>0.1</v>
      </c>
      <c r="AS49"/>
      <c r="AT49" s="65">
        <v>0.06</v>
      </c>
      <c r="AU49"/>
      <c r="AV49" s="65">
        <v>0.41</v>
      </c>
      <c r="AW49"/>
      <c r="AX49" s="65">
        <v>0</v>
      </c>
      <c r="AY49"/>
      <c r="AZ49" s="65">
        <f>SUM(AR49:AX49)</f>
      </c>
      <c r="BA49"/>
      <c r="BB49" s="65">
        <f>IF(ISERROR(AZ49*24/AL49),0,AZ49*24/AL49)</f>
      </c>
      <c r="BC49"/>
      <c r="BD49" s="65">
        <v>0</v>
      </c>
      <c r="BE49"/>
      <c r="BF49" s="65">
        <f>BF48-AZ49+BD49</f>
      </c>
      <c r="BG49"/>
      <c r="BH49" s="65">
        <v>0</v>
      </c>
      <c r="BI49"/>
      <c r="BJ49" s="65">
        <v>0</v>
      </c>
      <c r="BK49"/>
      <c r="BL49" s="65">
        <v>0</v>
      </c>
      <c r="BM49"/>
      <c r="BN49" s="65">
        <v>0</v>
      </c>
      <c r="BO49"/>
      <c r="BP49" s="65">
        <v>0</v>
      </c>
      <c r="BQ49"/>
      <c r="BR49" s="65">
        <v>0</v>
      </c>
      <c r="BS49"/>
      <c r="BT49" s="65">
        <f>SUM(BH49:BS49)</f>
      </c>
      <c r="BU49"/>
      <c r="BV49" s="65">
        <f>IF(ISERROR(BT49*24/AL49),0,BT49*24/AL49)</f>
      </c>
      <c r="BW49"/>
      <c r="BX49" s="65">
        <v>0</v>
      </c>
      <c r="BY49"/>
      <c r="BZ49" s="65">
        <f>BZ48-BT49+BX49</f>
      </c>
      <c r="CA49"/>
    </row>
    <row r="50" spans="1:79" x14ac:dyDescent="0.25">
      <c r="A50">
        <v>411</v>
      </c>
      <c r="B50">
        <v>928</v>
      </c>
      <c r="C50">
        <v>9400</v>
      </c>
      <c r="D50" t="s">
        <v>1</v>
      </c>
      <c r="E50">
        <f>AND( AI50 &lt;12, AI50 &gt; 0 )</f>
      </c>
      <c r="F50" s="63" t="s">
        <v>74</v>
      </c>
      <c r="G50"/>
      <c r="H50" s="63" t="s">
        <v>75</v>
      </c>
      <c r="I50"/>
      <c r="J50"/>
      <c r="K50"/>
      <c r="L50" s="63" t="s">
        <v>76</v>
      </c>
      <c r="M50"/>
      <c r="N50"/>
      <c r="O50"/>
      <c r="P50" s="64" t="s">
        <v>89</v>
      </c>
      <c r="Q50"/>
      <c r="R50"/>
      <c r="S50" s="63" t="s">
        <v>90</v>
      </c>
      <c r="T50"/>
      <c r="U50" s="65">
        <f>(P50 - P49)*24</f>
      </c>
      <c r="V50"/>
      <c r="W50" s="63" t="s">
        <v>91</v>
      </c>
      <c r="X50"/>
      <c r="Y50"/>
      <c r="Z50"/>
      <c r="AA50" s="63" t="s">
        <v>92</v>
      </c>
      <c r="AB50"/>
      <c r="AC50" s="63" t="s">
        <v>93</v>
      </c>
      <c r="AD50"/>
      <c r="AE50"/>
      <c r="AF50"/>
      <c r="AG50"/>
      <c r="AH50"/>
      <c r="AI50"/>
      <c r="AJ50" s="65">
        <v>72</v>
      </c>
      <c r="AK50"/>
      <c r="AL50" s="65">
        <f>(P50 - P49)*24</f>
      </c>
      <c r="AM50"/>
      <c r="AN50" s="65">
        <f>IF(ISERROR(AJ50/AL50),0,AJ50/AL50)</f>
      </c>
      <c r="AO50"/>
      <c r="AP50" s="63" t="s">
        <v>94</v>
      </c>
      <c r="AQ50"/>
      <c r="AR50" s="65">
        <v>4.88</v>
      </c>
      <c r="AS50"/>
      <c r="AT50" s="65">
        <v>0.33</v>
      </c>
      <c r="AU50"/>
      <c r="AV50" s="65">
        <v>2.29</v>
      </c>
      <c r="AW50"/>
      <c r="AX50" s="65">
        <v>0</v>
      </c>
      <c r="AY50"/>
      <c r="AZ50" s="65">
        <f>SUM(AR50:AX50)</f>
      </c>
      <c r="BA50"/>
      <c r="BB50" s="65">
        <f>IF(ISERROR(AZ50*24/AL50),0,AZ50*24/AL50)</f>
      </c>
      <c r="BC50"/>
      <c r="BD50" s="65">
        <v>0</v>
      </c>
      <c r="BE50"/>
      <c r="BF50" s="65">
        <f>BF49-AZ50+BD50</f>
      </c>
      <c r="BG50"/>
      <c r="BH50" s="65">
        <v>0</v>
      </c>
      <c r="BI50"/>
      <c r="BJ50" s="65">
        <v>0</v>
      </c>
      <c r="BK50"/>
      <c r="BL50" s="65">
        <v>0</v>
      </c>
      <c r="BM50"/>
      <c r="BN50" s="65">
        <v>0</v>
      </c>
      <c r="BO50"/>
      <c r="BP50" s="65">
        <v>0</v>
      </c>
      <c r="BQ50"/>
      <c r="BR50" s="65">
        <v>0</v>
      </c>
      <c r="BS50"/>
      <c r="BT50" s="65">
        <f>SUM(BH50:BS50)</f>
      </c>
      <c r="BU50"/>
      <c r="BV50" s="65">
        <f>IF(ISERROR(BT50*24/AL50),0,BT50*24/AL50)</f>
      </c>
      <c r="BW50"/>
      <c r="BX50" s="65">
        <v>0</v>
      </c>
      <c r="BY50"/>
      <c r="BZ50" s="65">
        <f>BZ49-BT50+BX50</f>
      </c>
      <c r="CA50"/>
    </row>
    <row r="51" spans="1:79" x14ac:dyDescent="0.25">
      <c r="A51">
        <v>411</v>
      </c>
      <c r="B51">
        <v>928</v>
      </c>
      <c r="C51">
        <v>9401</v>
      </c>
      <c r="D51" t="s">
        <v>1</v>
      </c>
      <c r="E51">
        <f>AND( AI51 &lt;12, AI51 &gt; 0 )</f>
      </c>
      <c r="F51" s="63" t="s">
        <v>74</v>
      </c>
      <c r="G51"/>
      <c r="H51" s="63" t="s">
        <v>75</v>
      </c>
      <c r="I51"/>
      <c r="J51"/>
      <c r="K51"/>
      <c r="L51" s="63" t="s">
        <v>76</v>
      </c>
      <c r="M51"/>
      <c r="N51"/>
      <c r="O51"/>
      <c r="P51" s="64" t="s">
        <v>95</v>
      </c>
      <c r="Q51"/>
      <c r="R51"/>
      <c r="S51" s="63" t="s">
        <v>96</v>
      </c>
      <c r="T51"/>
      <c r="U51" s="65">
        <f>(P51 - P50)*24</f>
      </c>
      <c r="V51"/>
      <c r="W51" s="63" t="s">
        <v>91</v>
      </c>
      <c r="X51"/>
      <c r="Y51"/>
      <c r="Z51"/>
      <c r="AA51" s="63" t="s">
        <v>92</v>
      </c>
      <c r="AB51"/>
      <c r="AC51" s="63" t="s">
        <v>97</v>
      </c>
      <c r="AD51"/>
      <c r="AE51"/>
      <c r="AF51"/>
      <c r="AG51"/>
      <c r="AH51"/>
      <c r="AI51"/>
      <c r="AJ51" s="65">
        <v>13</v>
      </c>
      <c r="AK51"/>
      <c r="AL51" s="65">
        <f>(P51 - P50)*24</f>
      </c>
      <c r="AM51"/>
      <c r="AN51" s="65">
        <f>IF(ISERROR(AJ51/AL51),0,AJ51/AL51)</f>
      </c>
      <c r="AO51"/>
      <c r="AP51" s="63" t="s">
        <v>94</v>
      </c>
      <c r="AQ51"/>
      <c r="AR51" s="65">
        <v>0.98</v>
      </c>
      <c r="AS51"/>
      <c r="AT51" s="65">
        <v>0.07</v>
      </c>
      <c r="AU51"/>
      <c r="AV51" s="65">
        <v>0.46</v>
      </c>
      <c r="AW51"/>
      <c r="AX51" s="65">
        <v>0</v>
      </c>
      <c r="AY51"/>
      <c r="AZ51" s="65">
        <f>SUM(AR51:AX51)</f>
      </c>
      <c r="BA51"/>
      <c r="BB51" s="65">
        <f>IF(ISERROR(AZ51*24/AL51),0,AZ51*24/AL51)</f>
      </c>
      <c r="BC51"/>
      <c r="BD51" s="65">
        <v>0</v>
      </c>
      <c r="BE51"/>
      <c r="BF51" s="65">
        <f>BF50-AZ51+BD51</f>
      </c>
      <c r="BG51"/>
      <c r="BH51" s="65">
        <v>0</v>
      </c>
      <c r="BI51"/>
      <c r="BJ51" s="65">
        <v>0</v>
      </c>
      <c r="BK51"/>
      <c r="BL51" s="65">
        <v>0</v>
      </c>
      <c r="BM51"/>
      <c r="BN51" s="65">
        <v>0</v>
      </c>
      <c r="BO51"/>
      <c r="BP51" s="65">
        <v>0</v>
      </c>
      <c r="BQ51"/>
      <c r="BR51" s="65">
        <v>0</v>
      </c>
      <c r="BS51"/>
      <c r="BT51" s="65">
        <f>SUM(BH51:BS51)</f>
      </c>
      <c r="BU51"/>
      <c r="BV51" s="65">
        <f>IF(ISERROR(BT51*24/AL51),0,BT51*24/AL51)</f>
      </c>
      <c r="BW51"/>
      <c r="BX51" s="65">
        <v>0</v>
      </c>
      <c r="BY51"/>
      <c r="BZ51" s="65">
        <f>BZ50-BT51+BX51</f>
      </c>
      <c r="CA51"/>
    </row>
    <row r="52" spans="1:79" x14ac:dyDescent="0.25">
      <c r="A52">
        <v>411</v>
      </c>
      <c r="B52">
        <v>928</v>
      </c>
      <c r="C52">
        <v>9402</v>
      </c>
      <c r="D52" t="s">
        <v>1</v>
      </c>
      <c r="E52">
        <f>AND( AI52 &lt;12, AI52 &gt; 0 )</f>
      </c>
      <c r="F52" s="63" t="s">
        <v>74</v>
      </c>
      <c r="G52"/>
      <c r="H52" s="63" t="s">
        <v>75</v>
      </c>
      <c r="I52"/>
      <c r="J52"/>
      <c r="K52"/>
      <c r="L52" s="63" t="s">
        <v>76</v>
      </c>
      <c r="M52"/>
      <c r="N52"/>
      <c r="O52"/>
      <c r="P52" s="64" t="s">
        <v>98</v>
      </c>
      <c r="Q52"/>
      <c r="R52"/>
      <c r="S52" s="63" t="s">
        <v>99</v>
      </c>
      <c r="T52"/>
      <c r="U52" s="65">
        <f>(P52 - P51)*24</f>
      </c>
      <c r="V52"/>
      <c r="W52" s="63" t="s">
        <v>87</v>
      </c>
      <c r="X52"/>
      <c r="Y52"/>
      <c r="Z52"/>
      <c r="AA52" s="63" t="s">
        <v>1</v>
      </c>
      <c r="AB52"/>
      <c r="AC52" s="63" t="s">
        <v>100</v>
      </c>
      <c r="AD52"/>
      <c r="AE52"/>
      <c r="AF52"/>
      <c r="AG52"/>
      <c r="AH52"/>
      <c r="AI52"/>
      <c r="AJ52" s="65">
        <v>0</v>
      </c>
      <c r="AK52"/>
      <c r="AL52" s="65">
        <f>(P52 - P51)*24</f>
      </c>
      <c r="AM52"/>
      <c r="AN52" s="65">
        <f>IF(ISERROR(AJ52/AL52),0,AJ52/AL52)</f>
      </c>
      <c r="AO52"/>
      <c r="AP52" s="63" t="s">
        <v>1</v>
      </c>
      <c r="AQ52"/>
      <c r="AR52" s="65">
        <v>0.09</v>
      </c>
      <c r="AS52"/>
      <c r="AT52" s="65">
        <v>0.05</v>
      </c>
      <c r="AU52"/>
      <c r="AV52" s="65">
        <v>0.37</v>
      </c>
      <c r="AW52"/>
      <c r="AX52" s="65">
        <v>0</v>
      </c>
      <c r="AY52"/>
      <c r="AZ52" s="65">
        <f>SUM(AR52:AX52)</f>
      </c>
      <c r="BA52"/>
      <c r="BB52" s="65">
        <f>IF(ISERROR(AZ52*24/AL52),0,AZ52*24/AL52)</f>
      </c>
      <c r="BC52"/>
      <c r="BD52" s="65">
        <v>0</v>
      </c>
      <c r="BE52"/>
      <c r="BF52" s="65">
        <f>BF51-AZ52+BD52</f>
      </c>
      <c r="BG52"/>
      <c r="BH52" s="65">
        <v>0</v>
      </c>
      <c r="BI52"/>
      <c r="BJ52" s="65">
        <v>0</v>
      </c>
      <c r="BK52"/>
      <c r="BL52" s="65">
        <v>0</v>
      </c>
      <c r="BM52"/>
      <c r="BN52" s="65">
        <v>0</v>
      </c>
      <c r="BO52"/>
      <c r="BP52" s="65">
        <v>0</v>
      </c>
      <c r="BQ52"/>
      <c r="BR52" s="65">
        <v>0</v>
      </c>
      <c r="BS52"/>
      <c r="BT52" s="65">
        <f>SUM(BH52:BS52)</f>
      </c>
      <c r="BU52"/>
      <c r="BV52" s="65">
        <f>IF(ISERROR(BT52*24/AL52),0,BT52*24/AL52)</f>
      </c>
      <c r="BW52"/>
      <c r="BX52" s="65">
        <v>0</v>
      </c>
      <c r="BY52"/>
      <c r="BZ52" s="65">
        <f>BZ51-BT52+BX52</f>
      </c>
      <c r="CA52"/>
    </row>
    <row r="53" spans="1:79" x14ac:dyDescent="0.25">
      <c r="A53">
        <v>411</v>
      </c>
      <c r="B53">
        <v>928</v>
      </c>
      <c r="C53">
        <v>9403</v>
      </c>
      <c r="D53" t="s">
        <v>1</v>
      </c>
      <c r="E53">
        <f>AND( AI53 &lt;12, AI53 &gt; 0 )</f>
      </c>
      <c r="F53" s="63" t="s">
        <v>74</v>
      </c>
      <c r="G53"/>
      <c r="H53" s="63" t="s">
        <v>75</v>
      </c>
      <c r="I53"/>
      <c r="J53"/>
      <c r="K53"/>
      <c r="L53" s="63" t="s">
        <v>76</v>
      </c>
      <c r="M53"/>
      <c r="N53"/>
      <c r="O53"/>
      <c r="P53" s="64" t="s">
        <v>101</v>
      </c>
      <c r="Q53"/>
      <c r="R53"/>
      <c r="S53" s="63" t="s">
        <v>90</v>
      </c>
      <c r="T53"/>
      <c r="U53" s="65">
        <f>(P53 - P52)*24</f>
      </c>
      <c r="V53"/>
      <c r="W53" s="63" t="s">
        <v>83</v>
      </c>
      <c r="X53"/>
      <c r="Y53"/>
      <c r="Z53"/>
      <c r="AA53" s="63" t="s">
        <v>1</v>
      </c>
      <c r="AB53"/>
      <c r="AC53" s="63" t="s">
        <v>102</v>
      </c>
      <c r="AD53"/>
      <c r="AE53"/>
      <c r="AF53"/>
      <c r="AG53"/>
      <c r="AH53"/>
      <c r="AI53"/>
      <c r="AJ53" s="65">
        <v>0</v>
      </c>
      <c r="AK53"/>
      <c r="AL53" s="65">
        <f>(P53 - P52)*24</f>
      </c>
      <c r="AM53"/>
      <c r="AN53" s="65">
        <f>IF(ISERROR(AJ53/AL53),0,AJ53/AL53)</f>
      </c>
      <c r="AO53"/>
      <c r="AP53" s="63" t="s">
        <v>1</v>
      </c>
      <c r="AQ53"/>
      <c r="AR53" s="65">
        <v>0</v>
      </c>
      <c r="AS53"/>
      <c r="AT53" s="65">
        <v>1.48</v>
      </c>
      <c r="AU53"/>
      <c r="AV53" s="65">
        <v>10.18</v>
      </c>
      <c r="AW53"/>
      <c r="AX53" s="65">
        <v>0</v>
      </c>
      <c r="AY53"/>
      <c r="AZ53" s="65">
        <f>SUM(AR53:AX53)</f>
      </c>
      <c r="BA53"/>
      <c r="BB53" s="65">
        <f>IF(ISERROR(AZ53*24/AL53),0,AZ53*24/AL53)</f>
      </c>
      <c r="BC53"/>
      <c r="BD53" s="65">
        <v>0</v>
      </c>
      <c r="BE53"/>
      <c r="BF53" s="65">
        <f>BF52-AZ53+BD53</f>
      </c>
      <c r="BG53"/>
      <c r="BH53" s="65">
        <v>0</v>
      </c>
      <c r="BI53"/>
      <c r="BJ53" s="65">
        <v>0</v>
      </c>
      <c r="BK53"/>
      <c r="BL53" s="65">
        <v>0.02</v>
      </c>
      <c r="BM53"/>
      <c r="BN53" s="65">
        <v>0</v>
      </c>
      <c r="BO53"/>
      <c r="BP53" s="65">
        <v>0</v>
      </c>
      <c r="BQ53"/>
      <c r="BR53" s="65">
        <v>0</v>
      </c>
      <c r="BS53"/>
      <c r="BT53" s="65">
        <f>SUM(BH53:BS53)</f>
      </c>
      <c r="BU53"/>
      <c r="BV53" s="65">
        <f>IF(ISERROR(BT53*24/AL53),0,BT53*24/AL53)</f>
      </c>
      <c r="BW53"/>
      <c r="BX53" s="65">
        <v>0</v>
      </c>
      <c r="BY53"/>
      <c r="BZ53" s="65">
        <f>BZ52-BT53+BX53</f>
      </c>
      <c r="CA53"/>
    </row>
    <row r="54" spans="1:79" x14ac:dyDescent="0.25">
      <c r="A54">
        <v>411</v>
      </c>
      <c r="B54">
        <v>928</v>
      </c>
      <c r="C54">
        <v>9416</v>
      </c>
      <c r="D54" t="s">
        <v>1</v>
      </c>
      <c r="E54">
        <f>AND( AI54 &lt;12, AI54 &gt; 0 )</f>
      </c>
      <c r="F54" s="63" t="s">
        <v>74</v>
      </c>
      <c r="G54"/>
      <c r="H54" s="63" t="s">
        <v>75</v>
      </c>
      <c r="I54"/>
      <c r="J54"/>
      <c r="K54"/>
      <c r="L54" s="63" t="s">
        <v>76</v>
      </c>
      <c r="M54"/>
      <c r="N54"/>
      <c r="O54"/>
      <c r="P54" s="64" t="s">
        <v>103</v>
      </c>
      <c r="Q54"/>
      <c r="R54"/>
      <c r="S54" s="63" t="s">
        <v>90</v>
      </c>
      <c r="T54"/>
      <c r="U54" s="65">
        <f>(P54 - P53)*24</f>
      </c>
      <c r="V54"/>
      <c r="W54" s="63" t="s">
        <v>83</v>
      </c>
      <c r="X54"/>
      <c r="Y54"/>
      <c r="Z54"/>
      <c r="AA54" s="63" t="s">
        <v>1</v>
      </c>
      <c r="AB54"/>
      <c r="AC54" s="63" t="s">
        <v>104</v>
      </c>
      <c r="AD54"/>
      <c r="AE54"/>
      <c r="AF54"/>
      <c r="AG54"/>
      <c r="AH54"/>
      <c r="AI54"/>
      <c r="AJ54" s="65">
        <v>0</v>
      </c>
      <c r="AK54"/>
      <c r="AL54" s="65">
        <f>(P54 - P53)*24</f>
      </c>
      <c r="AM54"/>
      <c r="AN54" s="65">
        <f>IF(ISERROR(AJ54/AL54),0,AJ54/AL54)</f>
      </c>
      <c r="AO54"/>
      <c r="AP54" s="63" t="s">
        <v>1</v>
      </c>
      <c r="AQ54"/>
      <c r="AR54" s="65">
        <v>0</v>
      </c>
      <c r="AS54"/>
      <c r="AT54" s="65">
        <v>1.6</v>
      </c>
      <c r="AU54"/>
      <c r="AV54" s="65">
        <v>11</v>
      </c>
      <c r="AW54"/>
      <c r="AX54" s="65">
        <v>0</v>
      </c>
      <c r="AY54"/>
      <c r="AZ54" s="65">
        <f>SUM(AR54:AX54)</f>
      </c>
      <c r="BA54"/>
      <c r="BB54" s="65">
        <f>IF(ISERROR(AZ54*24/AL54),0,AZ54*24/AL54)</f>
      </c>
      <c r="BC54"/>
      <c r="BD54" s="65">
        <v>0</v>
      </c>
      <c r="BE54"/>
      <c r="BF54" s="65">
        <f>BF53-AZ54+BD54</f>
      </c>
      <c r="BG54"/>
      <c r="BH54" s="65">
        <v>0</v>
      </c>
      <c r="BI54"/>
      <c r="BJ54" s="65">
        <v>0</v>
      </c>
      <c r="BK54"/>
      <c r="BL54" s="65">
        <v>0.02</v>
      </c>
      <c r="BM54"/>
      <c r="BN54" s="65">
        <v>0</v>
      </c>
      <c r="BO54"/>
      <c r="BP54" s="65">
        <v>0</v>
      </c>
      <c r="BQ54"/>
      <c r="BR54" s="65">
        <v>0</v>
      </c>
      <c r="BS54"/>
      <c r="BT54" s="65">
        <f>SUM(BH54:BS54)</f>
      </c>
      <c r="BU54"/>
      <c r="BV54" s="65">
        <f>IF(ISERROR(BT54*24/AL54),0,BT54*24/AL54)</f>
      </c>
      <c r="BW54"/>
      <c r="BX54" s="65">
        <v>0</v>
      </c>
      <c r="BY54"/>
      <c r="BZ54" s="65">
        <f>BZ53-BT54+BX54</f>
      </c>
      <c r="CA54"/>
    </row>
    <row r="55" spans="1:79" x14ac:dyDescent="0.25">
      <c r="A55">
        <v>411</v>
      </c>
      <c r="B55">
        <v>928</v>
      </c>
      <c r="C55">
        <v>9556</v>
      </c>
      <c r="D55" t="s">
        <v>1</v>
      </c>
      <c r="E55">
        <f>AND( AI55 &lt;12, AI55 &gt; 0 )</f>
      </c>
      <c r="F55" s="63" t="s">
        <v>74</v>
      </c>
      <c r="G55"/>
      <c r="H55" s="63" t="s">
        <v>75</v>
      </c>
      <c r="I55"/>
      <c r="J55"/>
      <c r="K55"/>
      <c r="L55" s="63" t="s">
        <v>76</v>
      </c>
      <c r="M55"/>
      <c r="N55"/>
      <c r="O55"/>
      <c r="P55" s="64" t="s">
        <v>105</v>
      </c>
      <c r="Q55"/>
      <c r="R55"/>
      <c r="S55" s="63" t="s">
        <v>90</v>
      </c>
      <c r="T55"/>
      <c r="U55" s="65">
        <f>(P55 - P54)*24</f>
      </c>
      <c r="V55"/>
      <c r="W55" s="63" t="s">
        <v>83</v>
      </c>
      <c r="X55"/>
      <c r="Y55"/>
      <c r="Z55"/>
      <c r="AA55" s="63" t="s">
        <v>1</v>
      </c>
      <c r="AB55"/>
      <c r="AC55" s="63" t="s">
        <v>106</v>
      </c>
      <c r="AD55"/>
      <c r="AE55"/>
      <c r="AF55"/>
      <c r="AG55"/>
      <c r="AH55"/>
      <c r="AI55"/>
      <c r="AJ55" s="65">
        <v>0</v>
      </c>
      <c r="AK55"/>
      <c r="AL55" s="65">
        <f>(P55 - P54)*24</f>
      </c>
      <c r="AM55"/>
      <c r="AN55" s="65">
        <f>IF(ISERROR(AJ55/AL55),0,AJ55/AL55)</f>
      </c>
      <c r="AO55"/>
      <c r="AP55" s="63" t="s">
        <v>1</v>
      </c>
      <c r="AQ55"/>
      <c r="AR55" s="65">
        <v>0</v>
      </c>
      <c r="AS55"/>
      <c r="AT55" s="65">
        <v>1.6</v>
      </c>
      <c r="AU55"/>
      <c r="AV55" s="65">
        <v>11</v>
      </c>
      <c r="AW55"/>
      <c r="AX55" s="65">
        <v>0</v>
      </c>
      <c r="AY55"/>
      <c r="AZ55" s="65">
        <f>SUM(AR55:AX55)</f>
      </c>
      <c r="BA55"/>
      <c r="BB55" s="65">
        <f>IF(ISERROR(AZ55*24/AL55),0,AZ55*24/AL55)</f>
      </c>
      <c r="BC55"/>
      <c r="BD55" s="65">
        <v>0</v>
      </c>
      <c r="BE55"/>
      <c r="BF55" s="65">
        <f>BF54-AZ55+BD55</f>
      </c>
      <c r="BG55"/>
      <c r="BH55" s="65">
        <v>0</v>
      </c>
      <c r="BI55"/>
      <c r="BJ55" s="65">
        <v>0</v>
      </c>
      <c r="BK55"/>
      <c r="BL55" s="65">
        <v>0.02</v>
      </c>
      <c r="BM55"/>
      <c r="BN55" s="65">
        <v>0</v>
      </c>
      <c r="BO55"/>
      <c r="BP55" s="65">
        <v>0</v>
      </c>
      <c r="BQ55"/>
      <c r="BR55" s="65">
        <v>0</v>
      </c>
      <c r="BS55"/>
      <c r="BT55" s="65">
        <f>SUM(BH55:BS55)</f>
      </c>
      <c r="BU55"/>
      <c r="BV55" s="65">
        <f>IF(ISERROR(BT55*24/AL55),0,BT55*24/AL55)</f>
      </c>
      <c r="BW55"/>
      <c r="BX55" s="65">
        <v>0</v>
      </c>
      <c r="BY55"/>
      <c r="BZ55" s="65">
        <f>BZ54-BT55+BX55</f>
      </c>
      <c r="CA55"/>
    </row>
    <row r="56" spans="1:79" x14ac:dyDescent="0.25">
      <c r="A56">
        <v>411</v>
      </c>
      <c r="B56">
        <v>928</v>
      </c>
      <c r="C56">
        <v>9557</v>
      </c>
      <c r="D56" t="s">
        <v>1</v>
      </c>
      <c r="E56">
        <f>AND( AI56 &lt;12, AI56 &gt; 0 )</f>
      </c>
      <c r="F56" s="63" t="s">
        <v>74</v>
      </c>
      <c r="G56"/>
      <c r="H56" s="63" t="s">
        <v>75</v>
      </c>
      <c r="I56"/>
      <c r="J56"/>
      <c r="K56"/>
      <c r="L56" s="63" t="s">
        <v>76</v>
      </c>
      <c r="M56"/>
      <c r="N56"/>
      <c r="O56"/>
      <c r="P56" s="64" t="s">
        <v>107</v>
      </c>
      <c r="Q56"/>
      <c r="R56"/>
      <c r="S56" s="63" t="s">
        <v>108</v>
      </c>
      <c r="T56"/>
      <c r="U56" s="65">
        <f>(P56 - P55)*24</f>
      </c>
      <c r="V56"/>
      <c r="W56" s="63" t="s">
        <v>83</v>
      </c>
      <c r="X56"/>
      <c r="Y56"/>
      <c r="Z56"/>
      <c r="AA56" s="63" t="s">
        <v>1</v>
      </c>
      <c r="AB56"/>
      <c r="AC56" s="63" t="s">
        <v>109</v>
      </c>
      <c r="AD56"/>
      <c r="AE56"/>
      <c r="AF56"/>
      <c r="AG56"/>
      <c r="AH56"/>
      <c r="AI56"/>
      <c r="AJ56" s="65">
        <v>0</v>
      </c>
      <c r="AK56"/>
      <c r="AL56" s="65">
        <f>(P56 - P55)*24</f>
      </c>
      <c r="AM56"/>
      <c r="AN56" s="65">
        <f>IF(ISERROR(AJ56/AL56),0,AJ56/AL56)</f>
      </c>
      <c r="AO56"/>
      <c r="AP56" s="63" t="s">
        <v>1</v>
      </c>
      <c r="AQ56"/>
      <c r="AR56" s="65">
        <v>0</v>
      </c>
      <c r="AS56"/>
      <c r="AT56" s="65">
        <v>1.47</v>
      </c>
      <c r="AU56"/>
      <c r="AV56" s="65">
        <v>10.08</v>
      </c>
      <c r="AW56"/>
      <c r="AX56" s="65">
        <v>0</v>
      </c>
      <c r="AY56"/>
      <c r="AZ56" s="65">
        <f>SUM(AR56:AX56)</f>
      </c>
      <c r="BA56"/>
      <c r="BB56" s="65">
        <f>IF(ISERROR(AZ56*24/AL56),0,AZ56*24/AL56)</f>
      </c>
      <c r="BC56"/>
      <c r="BD56" s="65">
        <v>0</v>
      </c>
      <c r="BE56"/>
      <c r="BF56" s="65">
        <f>BF55-AZ56+BD56</f>
      </c>
      <c r="BG56"/>
      <c r="BH56" s="65">
        <v>0</v>
      </c>
      <c r="BI56"/>
      <c r="BJ56" s="65">
        <v>0</v>
      </c>
      <c r="BK56"/>
      <c r="BL56" s="65">
        <v>0.01</v>
      </c>
      <c r="BM56"/>
      <c r="BN56" s="65">
        <v>0</v>
      </c>
      <c r="BO56"/>
      <c r="BP56" s="65">
        <v>0</v>
      </c>
      <c r="BQ56"/>
      <c r="BR56" s="65">
        <v>0</v>
      </c>
      <c r="BS56"/>
      <c r="BT56" s="65">
        <f>SUM(BH56:BS56)</f>
      </c>
      <c r="BU56"/>
      <c r="BV56" s="65">
        <f>IF(ISERROR(BT56*24/AL56),0,BT56*24/AL56)</f>
      </c>
      <c r="BW56"/>
      <c r="BX56" s="65">
        <v>0</v>
      </c>
      <c r="BY56"/>
      <c r="BZ56" s="65">
        <f>BZ55-BT56+BX56</f>
      </c>
      <c r="CA56"/>
    </row>
    <row r="57" spans="1:79" x14ac:dyDescent="0.25">
      <c r="A57">
        <v>411</v>
      </c>
      <c r="B57">
        <v>928</v>
      </c>
      <c r="C57">
        <v>9558</v>
      </c>
      <c r="D57" t="s">
        <v>1</v>
      </c>
      <c r="E57">
        <f>AND( AI57 &lt;12, AI57 &gt; 0 )</f>
      </c>
      <c r="F57" s="63" t="s">
        <v>74</v>
      </c>
      <c r="G57"/>
      <c r="H57" s="63" t="s">
        <v>75</v>
      </c>
      <c r="I57"/>
      <c r="J57"/>
      <c r="K57"/>
      <c r="L57" s="63" t="s">
        <v>76</v>
      </c>
      <c r="M57"/>
      <c r="N57"/>
      <c r="O57"/>
      <c r="P57" s="64" t="s">
        <v>110</v>
      </c>
      <c r="Q57"/>
      <c r="R57"/>
      <c r="S57" s="63" t="s">
        <v>90</v>
      </c>
      <c r="T57"/>
      <c r="U57" s="65">
        <f>(P57 - P56)*24</f>
      </c>
      <c r="V57"/>
      <c r="W57" s="63" t="s">
        <v>87</v>
      </c>
      <c r="X57"/>
      <c r="Y57"/>
      <c r="Z57"/>
      <c r="AA57" s="63" t="s">
        <v>1</v>
      </c>
      <c r="AB57"/>
      <c r="AC57" s="63" t="s">
        <v>111</v>
      </c>
      <c r="AD57"/>
      <c r="AE57"/>
      <c r="AF57"/>
      <c r="AG57"/>
      <c r="AH57"/>
      <c r="AI57"/>
      <c r="AJ57" s="65">
        <v>0</v>
      </c>
      <c r="AK57"/>
      <c r="AL57" s="65">
        <f>(P57 - P56)*24</f>
      </c>
      <c r="AM57"/>
      <c r="AN57" s="65">
        <f>IF(ISERROR(AJ57/AL57),0,AJ57/AL57)</f>
      </c>
      <c r="AO57"/>
      <c r="AP57" s="63" t="s">
        <v>1</v>
      </c>
      <c r="AQ57"/>
      <c r="AR57" s="65">
        <v>0.22</v>
      </c>
      <c r="AS57"/>
      <c r="AT57" s="65">
        <v>0.13</v>
      </c>
      <c r="AU57"/>
      <c r="AV57" s="65">
        <v>0.92</v>
      </c>
      <c r="AW57"/>
      <c r="AX57" s="65">
        <v>0</v>
      </c>
      <c r="AY57"/>
      <c r="AZ57" s="65">
        <f>SUM(AR57:AX57)</f>
      </c>
      <c r="BA57"/>
      <c r="BB57" s="65">
        <f>IF(ISERROR(AZ57*24/AL57),0,AZ57*24/AL57)</f>
      </c>
      <c r="BC57"/>
      <c r="BD57" s="65">
        <v>0</v>
      </c>
      <c r="BE57"/>
      <c r="BF57" s="65">
        <f>BF56-AZ57+BD57</f>
      </c>
      <c r="BG57"/>
      <c r="BH57" s="65">
        <v>0</v>
      </c>
      <c r="BI57"/>
      <c r="BJ57" s="65">
        <v>0</v>
      </c>
      <c r="BK57"/>
      <c r="BL57" s="65">
        <v>0.01</v>
      </c>
      <c r="BM57"/>
      <c r="BN57" s="65">
        <v>0</v>
      </c>
      <c r="BO57"/>
      <c r="BP57" s="65">
        <v>0</v>
      </c>
      <c r="BQ57"/>
      <c r="BR57" s="65">
        <v>0</v>
      </c>
      <c r="BS57"/>
      <c r="BT57" s="65">
        <f>SUM(BH57:BS57)</f>
      </c>
      <c r="BU57"/>
      <c r="BV57" s="65">
        <f>IF(ISERROR(BT57*24/AL57),0,BT57*24/AL57)</f>
      </c>
      <c r="BW57"/>
      <c r="BX57" s="65">
        <v>0</v>
      </c>
      <c r="BY57"/>
      <c r="BZ57" s="65">
        <f>BZ56-BT57+BX57</f>
      </c>
      <c r="CA57"/>
    </row>
    <row r="58" spans="1:79" x14ac:dyDescent="0.25">
      <c r="A58">
        <v>411</v>
      </c>
      <c r="B58">
        <v>928</v>
      </c>
      <c r="C58">
        <v>9559</v>
      </c>
      <c r="D58" t="s">
        <v>1</v>
      </c>
      <c r="E58">
        <f>AND( AI58 &lt;12, AI58 &gt; 0 )</f>
      </c>
      <c r="F58" s="63" t="s">
        <v>74</v>
      </c>
      <c r="G58"/>
      <c r="H58" s="63" t="s">
        <v>75</v>
      </c>
      <c r="I58"/>
      <c r="J58"/>
      <c r="K58"/>
      <c r="L58" s="63" t="s">
        <v>76</v>
      </c>
      <c r="M58"/>
      <c r="N58"/>
      <c r="O58"/>
      <c r="P58" s="64" t="s">
        <v>112</v>
      </c>
      <c r="Q58"/>
      <c r="R58"/>
      <c r="S58" s="63" t="s">
        <v>113</v>
      </c>
      <c r="T58"/>
      <c r="U58" s="65">
        <f>(P58 - P57)*24</f>
      </c>
      <c r="V58"/>
      <c r="W58" s="63" t="s">
        <v>87</v>
      </c>
      <c r="X58"/>
      <c r="Y58"/>
      <c r="Z58"/>
      <c r="AA58" s="63" t="s">
        <v>1</v>
      </c>
      <c r="AB58"/>
      <c r="AC58" s="63" t="s">
        <v>114</v>
      </c>
      <c r="AD58"/>
      <c r="AE58"/>
      <c r="AF58"/>
      <c r="AG58"/>
      <c r="AH58"/>
      <c r="AI58"/>
      <c r="AJ58" s="65">
        <v>0</v>
      </c>
      <c r="AK58"/>
      <c r="AL58" s="65">
        <f>(P58 - P57)*24</f>
      </c>
      <c r="AM58"/>
      <c r="AN58" s="65">
        <f>IF(ISERROR(AJ58/AL58),0,AJ58/AL58)</f>
      </c>
      <c r="AO58"/>
      <c r="AP58" s="63" t="s">
        <v>1</v>
      </c>
      <c r="AQ58"/>
      <c r="AR58" s="65">
        <v>0.13</v>
      </c>
      <c r="AS58"/>
      <c r="AT58" s="65">
        <v>0.08</v>
      </c>
      <c r="AU58"/>
      <c r="AV58" s="65">
        <v>0.55</v>
      </c>
      <c r="AW58"/>
      <c r="AX58" s="65">
        <v>0</v>
      </c>
      <c r="AY58"/>
      <c r="AZ58" s="65">
        <f>SUM(AR58:AX58)</f>
      </c>
      <c r="BA58"/>
      <c r="BB58" s="65">
        <f>IF(ISERROR(AZ58*24/AL58),0,AZ58*24/AL58)</f>
      </c>
      <c r="BC58"/>
      <c r="BD58" s="65">
        <v>0</v>
      </c>
      <c r="BE58"/>
      <c r="BF58" s="65">
        <f>BF57-AZ58+BD58</f>
      </c>
      <c r="BG58"/>
      <c r="BH58" s="65">
        <v>0</v>
      </c>
      <c r="BI58"/>
      <c r="BJ58" s="65">
        <v>0</v>
      </c>
      <c r="BK58"/>
      <c r="BL58" s="65">
        <v>0</v>
      </c>
      <c r="BM58"/>
      <c r="BN58" s="65">
        <v>0</v>
      </c>
      <c r="BO58"/>
      <c r="BP58" s="65">
        <v>0</v>
      </c>
      <c r="BQ58"/>
      <c r="BR58" s="65">
        <v>0</v>
      </c>
      <c r="BS58"/>
      <c r="BT58" s="65">
        <f>SUM(BH58:BS58)</f>
      </c>
      <c r="BU58"/>
      <c r="BV58" s="65">
        <f>IF(ISERROR(BT58*24/AL58),0,BT58*24/AL58)</f>
      </c>
      <c r="BW58"/>
      <c r="BX58" s="65">
        <v>0</v>
      </c>
      <c r="BY58"/>
      <c r="BZ58" s="65">
        <f>BZ57-BT58+BX58</f>
      </c>
      <c r="CA58"/>
    </row>
    <row r="59" spans="1:79" x14ac:dyDescent="0.25">
      <c r="A59">
        <v>411</v>
      </c>
      <c r="B59">
        <v>928</v>
      </c>
      <c r="C59">
        <v>9560</v>
      </c>
      <c r="D59" t="s">
        <v>1</v>
      </c>
      <c r="E59">
        <f>AND( AI59 &lt;12, AI59 &gt; 0 )</f>
      </c>
      <c r="F59" s="63" t="s">
        <v>74</v>
      </c>
      <c r="G59"/>
      <c r="H59" s="63" t="s">
        <v>75</v>
      </c>
      <c r="I59"/>
      <c r="J59"/>
      <c r="K59"/>
      <c r="L59" s="63" t="s">
        <v>76</v>
      </c>
      <c r="M59"/>
      <c r="N59"/>
      <c r="O59"/>
      <c r="P59" s="64" t="s">
        <v>115</v>
      </c>
      <c r="Q59"/>
      <c r="R59"/>
      <c r="S59" s="63" t="s">
        <v>116</v>
      </c>
      <c r="T59"/>
      <c r="U59" s="65">
        <f>(P59 - P58)*24</f>
      </c>
      <c r="V59"/>
      <c r="W59" s="63" t="s">
        <v>117</v>
      </c>
      <c r="X59"/>
      <c r="Y59"/>
      <c r="Z59"/>
      <c r="AA59" s="63" t="s">
        <v>1</v>
      </c>
      <c r="AB59"/>
      <c r="AC59" s="63" t="s">
        <v>118</v>
      </c>
      <c r="AD59"/>
      <c r="AE59"/>
      <c r="AF59"/>
      <c r="AG59"/>
      <c r="AH59"/>
      <c r="AI59"/>
      <c r="AJ59" s="65">
        <v>0</v>
      </c>
      <c r="AK59"/>
      <c r="AL59" s="65">
        <f>(P59 - P58)*24</f>
      </c>
      <c r="AM59"/>
      <c r="AN59" s="65">
        <f>IF(ISERROR(AJ59/AL59),0,AJ59/AL59)</f>
      </c>
      <c r="AO59"/>
      <c r="AP59" s="63" t="s">
        <v>1</v>
      </c>
      <c r="AQ59"/>
      <c r="AR59" s="65">
        <v>0</v>
      </c>
      <c r="AS59"/>
      <c r="AT59" s="65">
        <v>0.42</v>
      </c>
      <c r="AU59"/>
      <c r="AV59" s="65">
        <v>2.89</v>
      </c>
      <c r="AW59"/>
      <c r="AX59" s="65">
        <v>0</v>
      </c>
      <c r="AY59"/>
      <c r="AZ59" s="65">
        <f>SUM(AR59:AX59)</f>
      </c>
      <c r="BA59"/>
      <c r="BB59" s="65">
        <f>IF(ISERROR(AZ59*24/AL59),0,AZ59*24/AL59)</f>
      </c>
      <c r="BC59"/>
      <c r="BD59" s="65">
        <v>0</v>
      </c>
      <c r="BE59"/>
      <c r="BF59" s="65">
        <f>BF58-AZ59+BD59</f>
      </c>
      <c r="BG59"/>
      <c r="BH59" s="65">
        <v>0</v>
      </c>
      <c r="BI59"/>
      <c r="BJ59" s="65">
        <v>0</v>
      </c>
      <c r="BK59"/>
      <c r="BL59" s="65">
        <v>0.01</v>
      </c>
      <c r="BM59"/>
      <c r="BN59" s="65">
        <v>0</v>
      </c>
      <c r="BO59"/>
      <c r="BP59" s="65">
        <v>0</v>
      </c>
      <c r="BQ59"/>
      <c r="BR59" s="65">
        <v>0</v>
      </c>
      <c r="BS59"/>
      <c r="BT59" s="65">
        <f>SUM(BH59:BS59)</f>
      </c>
      <c r="BU59"/>
      <c r="BV59" s="65">
        <f>IF(ISERROR(BT59*24/AL59),0,BT59*24/AL59)</f>
      </c>
      <c r="BW59"/>
      <c r="BX59" s="65">
        <v>0</v>
      </c>
      <c r="BY59"/>
      <c r="BZ59" s="65">
        <f>BZ58-BT59+BX59</f>
      </c>
      <c r="CA59"/>
    </row>
    <row r="60" spans="1:79" x14ac:dyDescent="0.25">
      <c r="A60">
        <v>411</v>
      </c>
      <c r="B60">
        <v>928</v>
      </c>
      <c r="C60">
        <v>9561</v>
      </c>
      <c r="D60" t="s">
        <v>1</v>
      </c>
      <c r="E60">
        <f>AND( AI60 &lt;12, AI60 &gt; 0 )</f>
      </c>
      <c r="F60" s="63" t="s">
        <v>74</v>
      </c>
      <c r="G60"/>
      <c r="H60" s="63" t="s">
        <v>75</v>
      </c>
      <c r="I60"/>
      <c r="J60"/>
      <c r="K60"/>
      <c r="L60" s="63" t="s">
        <v>76</v>
      </c>
      <c r="M60"/>
      <c r="N60"/>
      <c r="O60"/>
      <c r="P60" s="64" t="s">
        <v>119</v>
      </c>
      <c r="Q60"/>
      <c r="R60"/>
      <c r="S60" s="63" t="s">
        <v>90</v>
      </c>
      <c r="T60"/>
      <c r="U60" s="65">
        <f>(P60 - P59)*24</f>
      </c>
      <c r="V60"/>
      <c r="W60" s="63" t="s">
        <v>117</v>
      </c>
      <c r="X60"/>
      <c r="Y60"/>
      <c r="Z60"/>
      <c r="AA60" s="63" t="s">
        <v>1</v>
      </c>
      <c r="AB60"/>
      <c r="AC60" s="63" t="s">
        <v>120</v>
      </c>
      <c r="AD60"/>
      <c r="AE60"/>
      <c r="AF60"/>
      <c r="AG60"/>
      <c r="AH60"/>
      <c r="AI60"/>
      <c r="AJ60" s="65">
        <v>0</v>
      </c>
      <c r="AK60"/>
      <c r="AL60" s="65">
        <f>(P60 - P59)*24</f>
      </c>
      <c r="AM60"/>
      <c r="AN60" s="65">
        <f>IF(ISERROR(AJ60/AL60),0,AJ60/AL60)</f>
      </c>
      <c r="AO60"/>
      <c r="AP60" s="63" t="s">
        <v>1</v>
      </c>
      <c r="AQ60"/>
      <c r="AR60" s="65">
        <v>0</v>
      </c>
      <c r="AS60"/>
      <c r="AT60" s="65">
        <v>1.1</v>
      </c>
      <c r="AU60"/>
      <c r="AV60" s="65">
        <v>7.56</v>
      </c>
      <c r="AW60"/>
      <c r="AX60" s="65">
        <v>0</v>
      </c>
      <c r="AY60"/>
      <c r="AZ60" s="65">
        <f>SUM(AR60:AX60)</f>
      </c>
      <c r="BA60"/>
      <c r="BB60" s="65">
        <f>IF(ISERROR(AZ60*24/AL60),0,AZ60*24/AL60)</f>
      </c>
      <c r="BC60"/>
      <c r="BD60" s="65">
        <v>0</v>
      </c>
      <c r="BE60"/>
      <c r="BF60" s="65">
        <f>BF59-AZ60+BD60</f>
      </c>
      <c r="BG60"/>
      <c r="BH60" s="65">
        <v>0</v>
      </c>
      <c r="BI60"/>
      <c r="BJ60" s="65">
        <v>0</v>
      </c>
      <c r="BK60"/>
      <c r="BL60" s="65">
        <v>0.01</v>
      </c>
      <c r="BM60"/>
      <c r="BN60" s="65">
        <v>0</v>
      </c>
      <c r="BO60"/>
      <c r="BP60" s="65">
        <v>4.19</v>
      </c>
      <c r="BQ60"/>
      <c r="BR60" s="65">
        <v>0</v>
      </c>
      <c r="BS60"/>
      <c r="BT60" s="65">
        <f>SUM(BH60:BS60)</f>
      </c>
      <c r="BU60"/>
      <c r="BV60" s="65">
        <f>IF(ISERROR(BT60*24/AL60),0,BT60*24/AL60)</f>
      </c>
      <c r="BW60"/>
      <c r="BX60" s="65">
        <v>0</v>
      </c>
      <c r="BY60"/>
      <c r="BZ60" s="65">
        <f>BZ59-BT60+BX60</f>
      </c>
      <c r="CA60"/>
    </row>
    <row r="61" spans="1:79" x14ac:dyDescent="0.25">
      <c r="A61">
        <v>411</v>
      </c>
      <c r="B61">
        <v>928</v>
      </c>
      <c r="C61">
        <v>9562</v>
      </c>
      <c r="D61" t="s">
        <v>1</v>
      </c>
      <c r="E61">
        <f>AND( AI61 &lt;12, AI61 &gt; 0 )</f>
      </c>
      <c r="F61" s="63" t="s">
        <v>74</v>
      </c>
      <c r="G61"/>
      <c r="H61" s="63" t="s">
        <v>75</v>
      </c>
      <c r="I61"/>
      <c r="J61"/>
      <c r="K61"/>
      <c r="L61" s="63" t="s">
        <v>76</v>
      </c>
      <c r="M61"/>
      <c r="N61"/>
      <c r="O61"/>
      <c r="P61" s="64" t="s">
        <v>121</v>
      </c>
      <c r="Q61"/>
      <c r="R61"/>
      <c r="S61" s="63" t="s">
        <v>90</v>
      </c>
      <c r="T61"/>
      <c r="U61" s="65">
        <f>(P61 - P60)*24</f>
      </c>
      <c r="V61"/>
      <c r="W61" s="63" t="s">
        <v>83</v>
      </c>
      <c r="X61"/>
      <c r="Y61"/>
      <c r="Z61"/>
      <c r="AA61" s="63" t="s">
        <v>1</v>
      </c>
      <c r="AB61"/>
      <c r="AC61" s="63" t="s">
        <v>122</v>
      </c>
      <c r="AD61"/>
      <c r="AE61"/>
      <c r="AF61"/>
      <c r="AG61"/>
      <c r="AH61"/>
      <c r="AI61"/>
      <c r="AJ61" s="65">
        <v>0</v>
      </c>
      <c r="AK61"/>
      <c r="AL61" s="65">
        <f>(P61 - P60)*24</f>
      </c>
      <c r="AM61"/>
      <c r="AN61" s="65">
        <f>IF(ISERROR(AJ61/AL61),0,AJ61/AL61)</f>
      </c>
      <c r="AO61"/>
      <c r="AP61" s="63" t="s">
        <v>1</v>
      </c>
      <c r="AQ61"/>
      <c r="AR61" s="65">
        <v>0</v>
      </c>
      <c r="AS61"/>
      <c r="AT61" s="65">
        <v>1.6</v>
      </c>
      <c r="AU61"/>
      <c r="AV61" s="65">
        <v>1</v>
      </c>
      <c r="AW61"/>
      <c r="AX61" s="65">
        <v>0</v>
      </c>
      <c r="AY61"/>
      <c r="AZ61" s="65">
        <f>SUM(AR61:AX61)</f>
      </c>
      <c r="BA61"/>
      <c r="BB61" s="65">
        <f>IF(ISERROR(AZ61*24/AL61),0,AZ61*24/AL61)</f>
      </c>
      <c r="BC61"/>
      <c r="BD61" s="65">
        <v>0</v>
      </c>
      <c r="BE61"/>
      <c r="BF61" s="65">
        <f>BF60-AZ61+BD61</f>
      </c>
      <c r="BG61"/>
      <c r="BH61" s="65">
        <v>0</v>
      </c>
      <c r="BI61"/>
      <c r="BJ61" s="65">
        <v>0</v>
      </c>
      <c r="BK61"/>
      <c r="BL61" s="65">
        <v>0.02</v>
      </c>
      <c r="BM61"/>
      <c r="BN61" s="65">
        <v>0</v>
      </c>
      <c r="BO61"/>
      <c r="BP61" s="65">
        <v>0</v>
      </c>
      <c r="BQ61"/>
      <c r="BR61" s="65">
        <v>0</v>
      </c>
      <c r="BS61"/>
      <c r="BT61" s="65">
        <f>SUM(BH61:BS61)</f>
      </c>
      <c r="BU61"/>
      <c r="BV61" s="65">
        <f>IF(ISERROR(BT61*24/AL61),0,BT61*24/AL61)</f>
      </c>
      <c r="BW61"/>
      <c r="BX61" s="65">
        <v>0</v>
      </c>
      <c r="BY61"/>
      <c r="BZ61" s="65">
        <f>BZ60-BT61+BX61</f>
      </c>
      <c r="CA61"/>
    </row>
    <row r="62" spans="1:79" x14ac:dyDescent="0.25">
      <c r="A62">
        <v>411</v>
      </c>
      <c r="B62">
        <v>928</v>
      </c>
      <c r="C62">
        <v>9563</v>
      </c>
      <c r="D62" t="s">
        <v>1</v>
      </c>
      <c r="E62">
        <f>AND( AI62 &lt;12, AI62 &gt; 0 )</f>
      </c>
      <c r="F62" s="63" t="s">
        <v>74</v>
      </c>
      <c r="G62"/>
      <c r="H62" s="63" t="s">
        <v>75</v>
      </c>
      <c r="I62"/>
      <c r="J62"/>
      <c r="K62"/>
      <c r="L62" s="63" t="s">
        <v>76</v>
      </c>
      <c r="M62"/>
      <c r="N62"/>
      <c r="O62"/>
      <c r="P62" s="64" t="s">
        <v>123</v>
      </c>
      <c r="Q62"/>
      <c r="R62"/>
      <c r="S62" s="63" t="s">
        <v>90</v>
      </c>
      <c r="T62"/>
      <c r="U62" s="65">
        <f>(P62 - P61)*24</f>
      </c>
      <c r="V62"/>
      <c r="W62" s="63" t="s">
        <v>83</v>
      </c>
      <c r="X62"/>
      <c r="Y62"/>
      <c r="Z62"/>
      <c r="AA62" s="63" t="s">
        <v>1</v>
      </c>
      <c r="AB62"/>
      <c r="AC62" s="63" t="s">
        <v>122</v>
      </c>
      <c r="AD62"/>
      <c r="AE62"/>
      <c r="AF62"/>
      <c r="AG62"/>
      <c r="AH62"/>
      <c r="AI62"/>
      <c r="AJ62" s="65">
        <v>0</v>
      </c>
      <c r="AK62"/>
      <c r="AL62" s="65">
        <f>(P62 - P61)*24</f>
      </c>
      <c r="AM62"/>
      <c r="AN62" s="65">
        <f>IF(ISERROR(AJ62/AL62),0,AJ62/AL62)</f>
      </c>
      <c r="AO62"/>
      <c r="AP62" s="63" t="s">
        <v>1</v>
      </c>
      <c r="AQ62"/>
      <c r="AR62" s="65">
        <v>0</v>
      </c>
      <c r="AS62"/>
      <c r="AT62" s="65">
        <v>1.6</v>
      </c>
      <c r="AU62"/>
      <c r="AV62" s="65">
        <v>1</v>
      </c>
      <c r="AW62"/>
      <c r="AX62" s="65">
        <v>0</v>
      </c>
      <c r="AY62"/>
      <c r="AZ62" s="65">
        <f>SUM(AR62:AX62)</f>
      </c>
      <c r="BA62"/>
      <c r="BB62" s="65">
        <f>IF(ISERROR(AZ62*24/AL62),0,AZ62*24/AL62)</f>
      </c>
      <c r="BC62"/>
      <c r="BD62" s="65">
        <v>0</v>
      </c>
      <c r="BE62"/>
      <c r="BF62" s="65">
        <f>BF61-AZ62+BD62</f>
      </c>
      <c r="BG62"/>
      <c r="BH62" s="65">
        <v>0</v>
      </c>
      <c r="BI62"/>
      <c r="BJ62" s="65">
        <v>0</v>
      </c>
      <c r="BK62"/>
      <c r="BL62" s="65">
        <v>0.02</v>
      </c>
      <c r="BM62"/>
      <c r="BN62" s="65">
        <v>0</v>
      </c>
      <c r="BO62"/>
      <c r="BP62" s="65">
        <v>0</v>
      </c>
      <c r="BQ62"/>
      <c r="BR62" s="65">
        <v>0</v>
      </c>
      <c r="BS62"/>
      <c r="BT62" s="65">
        <f>SUM(BH62:BS62)</f>
      </c>
      <c r="BU62"/>
      <c r="BV62" s="65">
        <f>IF(ISERROR(BT62*24/AL62),0,BT62*24/AL62)</f>
      </c>
      <c r="BW62"/>
      <c r="BX62" s="65">
        <v>0</v>
      </c>
      <c r="BY62"/>
      <c r="BZ62" s="65">
        <f>BZ61-BT62+BX62</f>
      </c>
      <c r="CA62"/>
    </row>
    <row r="63" spans="1:79" x14ac:dyDescent="0.25">
      <c r="A63">
        <v>411</v>
      </c>
      <c r="B63">
        <v>928</v>
      </c>
      <c r="C63">
        <v>9564</v>
      </c>
      <c r="D63" t="s">
        <v>1</v>
      </c>
      <c r="E63">
        <f>AND( AI63 &lt;12, AI63 &gt; 0 )</f>
      </c>
      <c r="F63" s="63" t="s">
        <v>74</v>
      </c>
      <c r="G63"/>
      <c r="H63" s="63" t="s">
        <v>75</v>
      </c>
      <c r="I63"/>
      <c r="J63"/>
      <c r="K63"/>
      <c r="L63" s="63" t="s">
        <v>76</v>
      </c>
      <c r="M63"/>
      <c r="N63"/>
      <c r="O63"/>
      <c r="P63" s="64" t="s">
        <v>124</v>
      </c>
      <c r="Q63"/>
      <c r="R63"/>
      <c r="S63" s="63" t="s">
        <v>125</v>
      </c>
      <c r="T63"/>
      <c r="U63" s="65">
        <f>(P63 - P62)*24</f>
      </c>
      <c r="V63"/>
      <c r="W63" s="63" t="s">
        <v>117</v>
      </c>
      <c r="X63"/>
      <c r="Y63"/>
      <c r="Z63"/>
      <c r="AA63" s="63" t="s">
        <v>1</v>
      </c>
      <c r="AB63"/>
      <c r="AC63" s="63" t="s">
        <v>126</v>
      </c>
      <c r="AD63"/>
      <c r="AE63"/>
      <c r="AF63"/>
      <c r="AG63"/>
      <c r="AH63"/>
      <c r="AI63"/>
      <c r="AJ63" s="65">
        <v>0</v>
      </c>
      <c r="AK63"/>
      <c r="AL63" s="65">
        <f>(P63 - P62)*24</f>
      </c>
      <c r="AM63"/>
      <c r="AN63" s="65">
        <f>IF(ISERROR(AJ63/AL63),0,AJ63/AL63)</f>
      </c>
      <c r="AO63"/>
      <c r="AP63" s="63" t="s">
        <v>1</v>
      </c>
      <c r="AQ63"/>
      <c r="AR63" s="65">
        <v>0</v>
      </c>
      <c r="AS63"/>
      <c r="AT63" s="65">
        <v>0.16</v>
      </c>
      <c r="AU63"/>
      <c r="AV63" s="65">
        <v>0.25</v>
      </c>
      <c r="AW63"/>
      <c r="AX63" s="65">
        <v>0</v>
      </c>
      <c r="AY63"/>
      <c r="AZ63" s="65">
        <f>SUM(AR63:AX63)</f>
      </c>
      <c r="BA63"/>
      <c r="BB63" s="65">
        <f>IF(ISERROR(AZ63*24/AL63),0,AZ63*24/AL63)</f>
      </c>
      <c r="BC63"/>
      <c r="BD63" s="65">
        <v>0</v>
      </c>
      <c r="BE63"/>
      <c r="BF63" s="65">
        <f>BF62-AZ63+BD63</f>
      </c>
      <c r="BG63"/>
      <c r="BH63" s="65">
        <v>0</v>
      </c>
      <c r="BI63"/>
      <c r="BJ63" s="65">
        <v>0</v>
      </c>
      <c r="BK63"/>
      <c r="BL63" s="65">
        <v>0</v>
      </c>
      <c r="BM63"/>
      <c r="BN63" s="65">
        <v>0</v>
      </c>
      <c r="BO63"/>
      <c r="BP63" s="65">
        <v>0.58</v>
      </c>
      <c r="BQ63"/>
      <c r="BR63" s="65">
        <v>0</v>
      </c>
      <c r="BS63"/>
      <c r="BT63" s="65">
        <f>SUM(BH63:BS63)</f>
      </c>
      <c r="BU63"/>
      <c r="BV63" s="65">
        <f>IF(ISERROR(BT63*24/AL63),0,BT63*24/AL63)</f>
      </c>
      <c r="BW63"/>
      <c r="BX63" s="65">
        <v>0</v>
      </c>
      <c r="BY63"/>
      <c r="BZ63" s="65">
        <f>BZ62-BT63+BX63</f>
      </c>
      <c r="CA63"/>
    </row>
    <row r="64" spans="1:79" x14ac:dyDescent="0.25">
      <c r="A64">
        <v>411</v>
      </c>
      <c r="B64">
        <v>928</v>
      </c>
      <c r="C64">
        <v>9565</v>
      </c>
      <c r="D64" t="s">
        <v>1</v>
      </c>
      <c r="E64">
        <f>AND( AI64 &lt;12, AI64 &gt; 0 )</f>
      </c>
      <c r="F64" s="63" t="s">
        <v>74</v>
      </c>
      <c r="G64"/>
      <c r="H64" s="63" t="s">
        <v>75</v>
      </c>
      <c r="I64"/>
      <c r="J64"/>
      <c r="K64"/>
      <c r="L64" s="63" t="s">
        <v>76</v>
      </c>
      <c r="M64"/>
      <c r="N64"/>
      <c r="O64"/>
      <c r="P64" s="64" t="s">
        <v>127</v>
      </c>
      <c r="Q64"/>
      <c r="R64"/>
      <c r="S64" s="63" t="s">
        <v>128</v>
      </c>
      <c r="T64"/>
      <c r="U64" s="65">
        <f>(P64 - P63)*24</f>
      </c>
      <c r="V64"/>
      <c r="W64" s="63" t="s">
        <v>83</v>
      </c>
      <c r="X64"/>
      <c r="Y64"/>
      <c r="Z64"/>
      <c r="AA64" s="63" t="s">
        <v>1</v>
      </c>
      <c r="AB64"/>
      <c r="AC64" s="63" t="s">
        <v>129</v>
      </c>
      <c r="AD64"/>
      <c r="AE64"/>
      <c r="AF64"/>
      <c r="AG64"/>
      <c r="AH64"/>
      <c r="AI64"/>
      <c r="AJ64" s="65">
        <v>0</v>
      </c>
      <c r="AK64"/>
      <c r="AL64" s="65">
        <f>(P64 - P63)*24</f>
      </c>
      <c r="AM64"/>
      <c r="AN64" s="65">
        <f>IF(ISERROR(AJ64/AL64),0,AJ64/AL64)</f>
      </c>
      <c r="AO64"/>
      <c r="AP64" s="63" t="s">
        <v>1</v>
      </c>
      <c r="AQ64"/>
      <c r="AR64" s="65">
        <v>0</v>
      </c>
      <c r="AS64"/>
      <c r="AT64" s="65">
        <v>0.5</v>
      </c>
      <c r="AU64"/>
      <c r="AV64" s="65">
        <v>0.31</v>
      </c>
      <c r="AW64"/>
      <c r="AX64" s="65">
        <v>0</v>
      </c>
      <c r="AY64"/>
      <c r="AZ64" s="65">
        <f>SUM(AR64:AX64)</f>
      </c>
      <c r="BA64"/>
      <c r="BB64" s="65">
        <f>IF(ISERROR(AZ64*24/AL64),0,AZ64*24/AL64)</f>
      </c>
      <c r="BC64"/>
      <c r="BD64" s="65">
        <v>0</v>
      </c>
      <c r="BE64"/>
      <c r="BF64" s="65">
        <f>BF63-AZ64+BD64</f>
      </c>
      <c r="BG64"/>
      <c r="BH64" s="65">
        <v>0</v>
      </c>
      <c r="BI64"/>
      <c r="BJ64" s="65">
        <v>0</v>
      </c>
      <c r="BK64"/>
      <c r="BL64" s="65">
        <v>0</v>
      </c>
      <c r="BM64"/>
      <c r="BN64" s="65">
        <v>0</v>
      </c>
      <c r="BO64"/>
      <c r="BP64" s="65">
        <v>0</v>
      </c>
      <c r="BQ64"/>
      <c r="BR64" s="65">
        <v>0</v>
      </c>
      <c r="BS64"/>
      <c r="BT64" s="65">
        <f>SUM(BH64:BS64)</f>
      </c>
      <c r="BU64"/>
      <c r="BV64" s="65">
        <f>IF(ISERROR(BT64*24/AL64),0,BT64*24/AL64)</f>
      </c>
      <c r="BW64"/>
      <c r="BX64" s="65">
        <v>0</v>
      </c>
      <c r="BY64"/>
      <c r="BZ64" s="65">
        <f>BZ63-BT64+BX64</f>
      </c>
      <c r="CA64"/>
    </row>
    <row r="65" spans="1:79" x14ac:dyDescent="0.25">
      <c r="A65">
        <v>411</v>
      </c>
      <c r="B65">
        <v>928</v>
      </c>
      <c r="C65">
        <v>9566</v>
      </c>
      <c r="D65" t="s">
        <v>1</v>
      </c>
      <c r="E65">
        <f>AND( AI65 &lt;12, AI65 &gt; 0 )</f>
      </c>
      <c r="F65" s="63" t="s">
        <v>74</v>
      </c>
      <c r="G65"/>
      <c r="H65" s="63" t="s">
        <v>75</v>
      </c>
      <c r="I65"/>
      <c r="J65"/>
      <c r="K65"/>
      <c r="L65" s="63" t="s">
        <v>76</v>
      </c>
      <c r="M65"/>
      <c r="N65"/>
      <c r="O65"/>
      <c r="P65" s="64" t="s">
        <v>130</v>
      </c>
      <c r="Q65"/>
      <c r="R65"/>
      <c r="S65" s="63" t="s">
        <v>131</v>
      </c>
      <c r="T65"/>
      <c r="U65" s="65">
        <f>(P65 - P64)*24</f>
      </c>
      <c r="V65"/>
      <c r="W65" s="63" t="s">
        <v>87</v>
      </c>
      <c r="X65"/>
      <c r="Y65"/>
      <c r="Z65"/>
      <c r="AA65" s="63" t="s">
        <v>1</v>
      </c>
      <c r="AB65"/>
      <c r="AC65" s="63" t="s">
        <v>132</v>
      </c>
      <c r="AD65"/>
      <c r="AE65"/>
      <c r="AF65"/>
      <c r="AG65"/>
      <c r="AH65"/>
      <c r="AI65"/>
      <c r="AJ65" s="65">
        <v>0</v>
      </c>
      <c r="AK65"/>
      <c r="AL65" s="65">
        <f>(P65 - P64)*24</f>
      </c>
      <c r="AM65"/>
      <c r="AN65" s="65">
        <f>IF(ISERROR(AJ65/AL65),0,AJ65/AL65)</f>
      </c>
      <c r="AO65"/>
      <c r="AP65" s="63" t="s">
        <v>1</v>
      </c>
      <c r="AQ65"/>
      <c r="AR65" s="65">
        <v>0.12</v>
      </c>
      <c r="AS65"/>
      <c r="AT65" s="65">
        <v>0.07</v>
      </c>
      <c r="AU65"/>
      <c r="AV65" s="65">
        <v>0.05</v>
      </c>
      <c r="AW65"/>
      <c r="AX65" s="65">
        <v>0</v>
      </c>
      <c r="AY65"/>
      <c r="AZ65" s="65">
        <f>SUM(AR65:AX65)</f>
      </c>
      <c r="BA65"/>
      <c r="BB65" s="65">
        <f>IF(ISERROR(AZ65*24/AL65),0,AZ65*24/AL65)</f>
      </c>
      <c r="BC65"/>
      <c r="BD65" s="65">
        <v>0</v>
      </c>
      <c r="BE65"/>
      <c r="BF65" s="65">
        <f>BF64-AZ65+BD65</f>
      </c>
      <c r="BG65"/>
      <c r="BH65" s="65">
        <v>0</v>
      </c>
      <c r="BI65"/>
      <c r="BJ65" s="65">
        <v>0</v>
      </c>
      <c r="BK65"/>
      <c r="BL65" s="65">
        <v>0</v>
      </c>
      <c r="BM65"/>
      <c r="BN65" s="65">
        <v>0</v>
      </c>
      <c r="BO65"/>
      <c r="BP65" s="65">
        <v>0</v>
      </c>
      <c r="BQ65"/>
      <c r="BR65" s="65">
        <v>0</v>
      </c>
      <c r="BS65"/>
      <c r="BT65" s="65">
        <f>SUM(BH65:BS65)</f>
      </c>
      <c r="BU65"/>
      <c r="BV65" s="65">
        <f>IF(ISERROR(BT65*24/AL65),0,BT65*24/AL65)</f>
      </c>
      <c r="BW65"/>
      <c r="BX65" s="65">
        <v>0</v>
      </c>
      <c r="BY65"/>
      <c r="BZ65" s="65">
        <f>BZ64-BT65+BX65</f>
      </c>
      <c r="CA65"/>
    </row>
    <row r="66" spans="1:79" x14ac:dyDescent="0.25">
      <c r="A66">
        <v>411</v>
      </c>
      <c r="B66">
        <v>928</v>
      </c>
      <c r="C66">
        <v>9567</v>
      </c>
      <c r="D66" t="s">
        <v>1</v>
      </c>
      <c r="E66">
        <f>AND( AI66 &lt;12, AI66 &gt; 0 )</f>
      </c>
      <c r="F66" s="63" t="s">
        <v>74</v>
      </c>
      <c r="G66"/>
      <c r="H66" s="63" t="s">
        <v>75</v>
      </c>
      <c r="I66"/>
      <c r="J66"/>
      <c r="K66"/>
      <c r="L66" s="63" t="s">
        <v>76</v>
      </c>
      <c r="M66"/>
      <c r="N66"/>
      <c r="O66"/>
      <c r="P66" s="64" t="s">
        <v>133</v>
      </c>
      <c r="Q66"/>
      <c r="R66"/>
      <c r="S66" s="63" t="s">
        <v>134</v>
      </c>
      <c r="T66"/>
      <c r="U66" s="65">
        <f>(P66 - P65)*24</f>
      </c>
      <c r="V66"/>
      <c r="W66" s="63" t="s">
        <v>83</v>
      </c>
      <c r="X66"/>
      <c r="Y66"/>
      <c r="Z66"/>
      <c r="AA66" s="63" t="s">
        <v>1</v>
      </c>
      <c r="AB66"/>
      <c r="AC66" s="63" t="s">
        <v>135</v>
      </c>
      <c r="AD66"/>
      <c r="AE66"/>
      <c r="AF66"/>
      <c r="AG66"/>
      <c r="AH66"/>
      <c r="AI66"/>
      <c r="AJ66" s="65">
        <v>0</v>
      </c>
      <c r="AK66"/>
      <c r="AL66" s="65">
        <f>(P66 - P65)*24</f>
      </c>
      <c r="AM66"/>
      <c r="AN66" s="65">
        <f>IF(ISERROR(AJ66/AL66),0,AJ66/AL66)</f>
      </c>
      <c r="AO66"/>
      <c r="AP66" s="63" t="s">
        <v>1</v>
      </c>
      <c r="AQ66"/>
      <c r="AR66" s="65">
        <v>0</v>
      </c>
      <c r="AS66"/>
      <c r="AT66" s="65">
        <v>0.09</v>
      </c>
      <c r="AU66"/>
      <c r="AV66" s="65">
        <v>0.06</v>
      </c>
      <c r="AW66"/>
      <c r="AX66" s="65">
        <v>0</v>
      </c>
      <c r="AY66"/>
      <c r="AZ66" s="65">
        <f>SUM(AR66:AX66)</f>
      </c>
      <c r="BA66"/>
      <c r="BB66" s="65">
        <f>IF(ISERROR(AZ66*24/AL66),0,AZ66*24/AL66)</f>
      </c>
      <c r="BC66"/>
      <c r="BD66" s="65">
        <v>0</v>
      </c>
      <c r="BE66"/>
      <c r="BF66" s="65">
        <f>BF65-AZ66+BD66</f>
      </c>
      <c r="BG66"/>
      <c r="BH66" s="65">
        <v>0</v>
      </c>
      <c r="BI66"/>
      <c r="BJ66" s="65">
        <v>0</v>
      </c>
      <c r="BK66"/>
      <c r="BL66" s="65">
        <v>0.01</v>
      </c>
      <c r="BM66"/>
      <c r="BN66" s="65">
        <v>0</v>
      </c>
      <c r="BO66"/>
      <c r="BP66" s="65">
        <v>0</v>
      </c>
      <c r="BQ66"/>
      <c r="BR66" s="65">
        <v>0</v>
      </c>
      <c r="BS66"/>
      <c r="BT66" s="65">
        <f>SUM(BH66:BS66)</f>
      </c>
      <c r="BU66"/>
      <c r="BV66" s="65">
        <f>IF(ISERROR(BT66*24/AL66),0,BT66*24/AL66)</f>
      </c>
      <c r="BW66"/>
      <c r="BX66" s="65">
        <v>0</v>
      </c>
      <c r="BY66"/>
      <c r="BZ66" s="65">
        <f>BZ65-BT66+BX66</f>
      </c>
      <c r="CA66"/>
    </row>
    <row r="67" spans="1:79" x14ac:dyDescent="0.25">
      <c r="A67">
        <v>411</v>
      </c>
      <c r="B67">
        <v>928</v>
      </c>
      <c r="C67">
        <v>9568</v>
      </c>
      <c r="D67" t="s">
        <v>1</v>
      </c>
      <c r="E67">
        <f>AND( AI67 &lt;12, AI67 &gt; 0 )</f>
      </c>
      <c r="F67" s="63" t="s">
        <v>74</v>
      </c>
      <c r="G67"/>
      <c r="H67" s="63" t="s">
        <v>75</v>
      </c>
      <c r="I67"/>
      <c r="J67"/>
      <c r="K67"/>
      <c r="L67" s="63" t="s">
        <v>76</v>
      </c>
      <c r="M67"/>
      <c r="N67"/>
      <c r="O67"/>
      <c r="P67" s="64" t="s">
        <v>136</v>
      </c>
      <c r="Q67"/>
      <c r="R67"/>
      <c r="S67" s="63" t="s">
        <v>137</v>
      </c>
      <c r="T67"/>
      <c r="U67" s="65">
        <f>(P67 - P66)*24</f>
      </c>
      <c r="V67"/>
      <c r="W67" s="63" t="s">
        <v>87</v>
      </c>
      <c r="X67"/>
      <c r="Y67"/>
      <c r="Z67"/>
      <c r="AA67" s="63" t="s">
        <v>1</v>
      </c>
      <c r="AB67"/>
      <c r="AC67" s="63" t="s">
        <v>138</v>
      </c>
      <c r="AD67"/>
      <c r="AE67"/>
      <c r="AF67"/>
      <c r="AG67"/>
      <c r="AH67"/>
      <c r="AI67"/>
      <c r="AJ67" s="65">
        <v>0</v>
      </c>
      <c r="AK67"/>
      <c r="AL67" s="65">
        <f>(P67 - P66)*24</f>
      </c>
      <c r="AM67"/>
      <c r="AN67" s="65">
        <f>IF(ISERROR(AJ67/AL67),0,AJ67/AL67)</f>
      </c>
      <c r="AO67"/>
      <c r="AP67" s="63" t="s">
        <v>1</v>
      </c>
      <c r="AQ67"/>
      <c r="AR67" s="65">
        <v>0.2</v>
      </c>
      <c r="AS67"/>
      <c r="AT67" s="65">
        <v>0.12</v>
      </c>
      <c r="AU67"/>
      <c r="AV67" s="65">
        <v>0.08</v>
      </c>
      <c r="AW67"/>
      <c r="AX67" s="65">
        <v>0</v>
      </c>
      <c r="AY67"/>
      <c r="AZ67" s="65">
        <f>SUM(AR67:AX67)</f>
      </c>
      <c r="BA67"/>
      <c r="BB67" s="65">
        <f>IF(ISERROR(AZ67*24/AL67),0,AZ67*24/AL67)</f>
      </c>
      <c r="BC67"/>
      <c r="BD67" s="65">
        <v>0</v>
      </c>
      <c r="BE67"/>
      <c r="BF67" s="65">
        <f>BF66-AZ67+BD67</f>
      </c>
      <c r="BG67"/>
      <c r="BH67" s="65">
        <v>0</v>
      </c>
      <c r="BI67"/>
      <c r="BJ67" s="65">
        <v>0</v>
      </c>
      <c r="BK67"/>
      <c r="BL67" s="65">
        <v>0</v>
      </c>
      <c r="BM67"/>
      <c r="BN67" s="65">
        <v>0</v>
      </c>
      <c r="BO67"/>
      <c r="BP67" s="65">
        <v>0</v>
      </c>
      <c r="BQ67"/>
      <c r="BR67" s="65">
        <v>0</v>
      </c>
      <c r="BS67"/>
      <c r="BT67" s="65">
        <f>SUM(BH67:BS67)</f>
      </c>
      <c r="BU67"/>
      <c r="BV67" s="65">
        <f>IF(ISERROR(BT67*24/AL67),0,BT67*24/AL67)</f>
      </c>
      <c r="BW67"/>
      <c r="BX67" s="65">
        <v>0</v>
      </c>
      <c r="BY67"/>
      <c r="BZ67" s="65">
        <f>BZ66-BT67+BX67</f>
      </c>
      <c r="CA67"/>
    </row>
    <row r="68" spans="1:79" x14ac:dyDescent="0.25">
      <c r="A68">
        <v>411</v>
      </c>
      <c r="B68">
        <v>928</v>
      </c>
      <c r="C68">
        <v>9569</v>
      </c>
      <c r="D68" t="s">
        <v>1</v>
      </c>
      <c r="E68">
        <f>AND( AI68 &lt;12, AI68 &gt; 0 )</f>
      </c>
      <c r="F68" s="63" t="s">
        <v>74</v>
      </c>
      <c r="G68"/>
      <c r="H68" s="63" t="s">
        <v>75</v>
      </c>
      <c r="I68"/>
      <c r="J68"/>
      <c r="K68"/>
      <c r="L68" s="63" t="s">
        <v>76</v>
      </c>
      <c r="M68"/>
      <c r="N68"/>
      <c r="O68"/>
      <c r="P68" s="64" t="s">
        <v>139</v>
      </c>
      <c r="Q68"/>
      <c r="R68"/>
      <c r="S68" s="63" t="s">
        <v>140</v>
      </c>
      <c r="T68"/>
      <c r="U68" s="65">
        <f>(P68 - P67)*24</f>
      </c>
      <c r="V68"/>
      <c r="W68" s="63" t="s">
        <v>117</v>
      </c>
      <c r="X68"/>
      <c r="Y68"/>
      <c r="Z68"/>
      <c r="AA68" s="63" t="s">
        <v>1</v>
      </c>
      <c r="AB68"/>
      <c r="AC68" s="63" t="s">
        <v>141</v>
      </c>
      <c r="AD68"/>
      <c r="AE68"/>
      <c r="AF68"/>
      <c r="AG68"/>
      <c r="AH68"/>
      <c r="AI68"/>
      <c r="AJ68" s="65">
        <v>0</v>
      </c>
      <c r="AK68"/>
      <c r="AL68" s="65">
        <f>(P68 - P67)*24</f>
      </c>
      <c r="AM68"/>
      <c r="AN68" s="65">
        <f>IF(ISERROR(AJ68/AL68),0,AJ68/AL68)</f>
      </c>
      <c r="AO68"/>
      <c r="AP68" s="63" t="s">
        <v>1</v>
      </c>
      <c r="AQ68"/>
      <c r="AR68" s="65">
        <v>0</v>
      </c>
      <c r="AS68"/>
      <c r="AT68" s="65">
        <v>0.23</v>
      </c>
      <c r="AU68"/>
      <c r="AV68" s="65">
        <v>0.14</v>
      </c>
      <c r="AW68"/>
      <c r="AX68" s="65">
        <v>0</v>
      </c>
      <c r="AY68"/>
      <c r="AZ68" s="65">
        <f>SUM(AR68:AX68)</f>
      </c>
      <c r="BA68"/>
      <c r="BB68" s="65">
        <f>IF(ISERROR(AZ68*24/AL68),0,AZ68*24/AL68)</f>
      </c>
      <c r="BC68"/>
      <c r="BD68" s="65">
        <v>0</v>
      </c>
      <c r="BE68"/>
      <c r="BF68" s="65">
        <f>BF67-AZ68+BD68</f>
      </c>
      <c r="BG68"/>
      <c r="BH68" s="65">
        <v>0</v>
      </c>
      <c r="BI68"/>
      <c r="BJ68" s="65">
        <v>0</v>
      </c>
      <c r="BK68"/>
      <c r="BL68" s="65">
        <v>0</v>
      </c>
      <c r="BM68"/>
      <c r="BN68" s="65">
        <v>0</v>
      </c>
      <c r="BO68"/>
      <c r="BP68" s="65">
        <v>0</v>
      </c>
      <c r="BQ68"/>
      <c r="BR68" s="65">
        <v>0</v>
      </c>
      <c r="BS68"/>
      <c r="BT68" s="65">
        <f>SUM(BH68:BS68)</f>
      </c>
      <c r="BU68"/>
      <c r="BV68" s="65">
        <f>IF(ISERROR(BT68*24/AL68),0,BT68*24/AL68)</f>
      </c>
      <c r="BW68"/>
      <c r="BX68" s="65">
        <v>0</v>
      </c>
      <c r="BY68"/>
      <c r="BZ68" s="65">
        <f>BZ67-BT68+BX68</f>
      </c>
      <c r="CA68"/>
    </row>
    <row r="69" spans="1:79" x14ac:dyDescent="0.25">
      <c r="A69">
        <v>411</v>
      </c>
      <c r="B69">
        <v>928</v>
      </c>
      <c r="C69">
        <v>9570</v>
      </c>
      <c r="D69" t="s">
        <v>1</v>
      </c>
      <c r="E69">
        <f>AND( AI69 &lt;12, AI69 &gt; 0 )</f>
      </c>
      <c r="F69" s="63" t="s">
        <v>74</v>
      </c>
      <c r="G69"/>
      <c r="H69" s="63" t="s">
        <v>75</v>
      </c>
      <c r="I69"/>
      <c r="J69"/>
      <c r="K69"/>
      <c r="L69" s="63" t="s">
        <v>76</v>
      </c>
      <c r="M69"/>
      <c r="N69"/>
      <c r="O69"/>
      <c r="P69" s="64" t="s">
        <v>142</v>
      </c>
      <c r="Q69"/>
      <c r="R69"/>
      <c r="S69" s="63" t="s">
        <v>90</v>
      </c>
      <c r="T69"/>
      <c r="U69" s="65">
        <f>(P69 - P68)*24</f>
      </c>
      <c r="V69"/>
      <c r="W69" s="63" t="s">
        <v>83</v>
      </c>
      <c r="X69"/>
      <c r="Y69"/>
      <c r="Z69"/>
      <c r="AA69" s="63" t="s">
        <v>1</v>
      </c>
      <c r="AB69"/>
      <c r="AC69" s="63" t="s">
        <v>143</v>
      </c>
      <c r="AD69"/>
      <c r="AE69"/>
      <c r="AF69"/>
      <c r="AG69"/>
      <c r="AH69"/>
      <c r="AI69"/>
      <c r="AJ69" s="65">
        <v>0</v>
      </c>
      <c r="AK69"/>
      <c r="AL69" s="65">
        <f>(P69 - P68)*24</f>
      </c>
      <c r="AM69"/>
      <c r="AN69" s="65">
        <f>IF(ISERROR(AJ69/AL69),0,AJ69/AL69)</f>
      </c>
      <c r="AO69"/>
      <c r="AP69" s="63" t="s">
        <v>1</v>
      </c>
      <c r="AQ69"/>
      <c r="AR69" s="65">
        <v>0</v>
      </c>
      <c r="AS69"/>
      <c r="AT69" s="65">
        <v>0.43</v>
      </c>
      <c r="AU69"/>
      <c r="AV69" s="65">
        <v>0.27</v>
      </c>
      <c r="AW69"/>
      <c r="AX69" s="65">
        <v>0</v>
      </c>
      <c r="AY69"/>
      <c r="AZ69" s="65">
        <f>SUM(AR69:AX69)</f>
      </c>
      <c r="BA69"/>
      <c r="BB69" s="65">
        <f>IF(ISERROR(AZ69*24/AL69),0,AZ69*24/AL69)</f>
      </c>
      <c r="BC69"/>
      <c r="BD69" s="65">
        <v>0</v>
      </c>
      <c r="BE69"/>
      <c r="BF69" s="65">
        <f>BF68-AZ69+BD69</f>
      </c>
      <c r="BG69"/>
      <c r="BH69" s="65">
        <v>0</v>
      </c>
      <c r="BI69"/>
      <c r="BJ69" s="65">
        <v>0</v>
      </c>
      <c r="BK69"/>
      <c r="BL69" s="65">
        <v>0.01</v>
      </c>
      <c r="BM69"/>
      <c r="BN69" s="65">
        <v>0</v>
      </c>
      <c r="BO69"/>
      <c r="BP69" s="65">
        <v>1.65</v>
      </c>
      <c r="BQ69"/>
      <c r="BR69" s="65">
        <v>0</v>
      </c>
      <c r="BS69"/>
      <c r="BT69" s="65">
        <f>SUM(BH69:BS69)</f>
      </c>
      <c r="BU69"/>
      <c r="BV69" s="65">
        <f>IF(ISERROR(BT69*24/AL69),0,BT69*24/AL69)</f>
      </c>
      <c r="BW69"/>
      <c r="BX69" s="65">
        <v>0</v>
      </c>
      <c r="BY69"/>
      <c r="BZ69" s="65">
        <f>BZ68-BT69+BX69</f>
      </c>
      <c r="CA69"/>
    </row>
    <row r="70" spans="1:79" x14ac:dyDescent="0.25">
      <c r="A70">
        <v>411</v>
      </c>
      <c r="B70">
        <v>928</v>
      </c>
      <c r="C70">
        <v>9571</v>
      </c>
      <c r="D70" t="s">
        <v>1</v>
      </c>
      <c r="E70">
        <f>AND( AI70 &lt;12, AI70 &gt; 0 )</f>
      </c>
      <c r="F70" s="63" t="s">
        <v>74</v>
      </c>
      <c r="G70"/>
      <c r="H70" s="63" t="s">
        <v>75</v>
      </c>
      <c r="I70"/>
      <c r="J70"/>
      <c r="K70"/>
      <c r="L70" s="63" t="s">
        <v>76</v>
      </c>
      <c r="M70"/>
      <c r="N70"/>
      <c r="O70"/>
      <c r="P70" s="64" t="s">
        <v>144</v>
      </c>
      <c r="Q70"/>
      <c r="R70"/>
      <c r="S70" s="63" t="s">
        <v>145</v>
      </c>
      <c r="T70"/>
      <c r="U70" s="65">
        <f>(P70 - P69)*24</f>
      </c>
      <c r="V70"/>
      <c r="W70" s="63" t="s">
        <v>117</v>
      </c>
      <c r="X70"/>
      <c r="Y70"/>
      <c r="Z70"/>
      <c r="AA70" s="63" t="s">
        <v>1</v>
      </c>
      <c r="AB70"/>
      <c r="AC70" s="63" t="s">
        <v>146</v>
      </c>
      <c r="AD70"/>
      <c r="AE70"/>
      <c r="AF70"/>
      <c r="AG70"/>
      <c r="AH70"/>
      <c r="AI70"/>
      <c r="AJ70" s="65">
        <v>0</v>
      </c>
      <c r="AK70"/>
      <c r="AL70" s="65">
        <f>(P70 - P69)*24</f>
      </c>
      <c r="AM70"/>
      <c r="AN70" s="65">
        <f>IF(ISERROR(AJ70/AL70),0,AJ70/AL70)</f>
      </c>
      <c r="AO70"/>
      <c r="AP70" s="63" t="s">
        <v>1</v>
      </c>
      <c r="AQ70"/>
      <c r="AR70" s="65">
        <v>0</v>
      </c>
      <c r="AS70"/>
      <c r="AT70" s="65">
        <v>0.67</v>
      </c>
      <c r="AU70"/>
      <c r="AV70" s="65">
        <v>0.42</v>
      </c>
      <c r="AW70"/>
      <c r="AX70" s="65">
        <v>0</v>
      </c>
      <c r="AY70"/>
      <c r="AZ70" s="65">
        <f>SUM(AR70:AX70)</f>
      </c>
      <c r="BA70"/>
      <c r="BB70" s="65">
        <f>IF(ISERROR(AZ70*24/AL70),0,AZ70*24/AL70)</f>
      </c>
      <c r="BC70"/>
      <c r="BD70" s="65">
        <v>0</v>
      </c>
      <c r="BE70"/>
      <c r="BF70" s="65">
        <f>BF69-AZ70+BD70</f>
      </c>
      <c r="BG70"/>
      <c r="BH70" s="65">
        <v>0</v>
      </c>
      <c r="BI70"/>
      <c r="BJ70" s="65">
        <v>0</v>
      </c>
      <c r="BK70"/>
      <c r="BL70" s="65">
        <v>0</v>
      </c>
      <c r="BM70"/>
      <c r="BN70" s="65">
        <v>0</v>
      </c>
      <c r="BO70"/>
      <c r="BP70" s="65">
        <v>2.54</v>
      </c>
      <c r="BQ70"/>
      <c r="BR70" s="65">
        <v>0</v>
      </c>
      <c r="BS70"/>
      <c r="BT70" s="65">
        <f>SUM(BH70:BS70)</f>
      </c>
      <c r="BU70"/>
      <c r="BV70" s="65">
        <f>IF(ISERROR(BT70*24/AL70),0,BT70*24/AL70)</f>
      </c>
      <c r="BW70"/>
      <c r="BX70" s="65">
        <v>0</v>
      </c>
      <c r="BY70"/>
      <c r="BZ70" s="65">
        <f>BZ69-BT70+BX70</f>
      </c>
      <c r="CA70"/>
    </row>
    <row r="71" spans="1:79" x14ac:dyDescent="0.25">
      <c r="A71">
        <v>411</v>
      </c>
      <c r="B71">
        <v>928</v>
      </c>
      <c r="C71">
        <v>9572</v>
      </c>
      <c r="D71" t="s">
        <v>1</v>
      </c>
      <c r="E71">
        <f>AND( AI71 &lt;12, AI71 &gt; 0 )</f>
      </c>
      <c r="F71" s="63" t="s">
        <v>74</v>
      </c>
      <c r="G71"/>
      <c r="H71" s="63" t="s">
        <v>75</v>
      </c>
      <c r="I71"/>
      <c r="J71"/>
      <c r="K71"/>
      <c r="L71" s="63" t="s">
        <v>76</v>
      </c>
      <c r="M71"/>
      <c r="N71"/>
      <c r="O71"/>
      <c r="P71" s="64" t="s">
        <v>147</v>
      </c>
      <c r="Q71"/>
      <c r="R71"/>
      <c r="S71" s="63" t="s">
        <v>148</v>
      </c>
      <c r="T71"/>
      <c r="U71" s="65">
        <f>(P71 - P70)*24</f>
      </c>
      <c r="V71"/>
      <c r="W71" s="63" t="s">
        <v>83</v>
      </c>
      <c r="X71"/>
      <c r="Y71"/>
      <c r="Z71"/>
      <c r="AA71" s="63" t="s">
        <v>1</v>
      </c>
      <c r="AB71"/>
      <c r="AC71" s="63" t="s">
        <v>149</v>
      </c>
      <c r="AD71"/>
      <c r="AE71"/>
      <c r="AF71"/>
      <c r="AG71"/>
      <c r="AH71"/>
      <c r="AI71"/>
      <c r="AJ71" s="65">
        <v>0</v>
      </c>
      <c r="AK71"/>
      <c r="AL71" s="65">
        <f>(P71 - P70)*24</f>
      </c>
      <c r="AM71"/>
      <c r="AN71" s="65">
        <f>IF(ISERROR(AJ71/AL71),0,AJ71/AL71)</f>
      </c>
      <c r="AO71"/>
      <c r="AP71" s="63" t="s">
        <v>1</v>
      </c>
      <c r="AQ71"/>
      <c r="AR71" s="65">
        <v>0</v>
      </c>
      <c r="AS71"/>
      <c r="AT71" s="65">
        <v>0.25</v>
      </c>
      <c r="AU71"/>
      <c r="AV71" s="65">
        <v>0.16</v>
      </c>
      <c r="AW71"/>
      <c r="AX71" s="65">
        <v>0</v>
      </c>
      <c r="AY71"/>
      <c r="AZ71" s="65">
        <f>SUM(AR71:AX71)</f>
      </c>
      <c r="BA71"/>
      <c r="BB71" s="65">
        <f>IF(ISERROR(AZ71*24/AL71),0,AZ71*24/AL71)</f>
      </c>
      <c r="BC71"/>
      <c r="BD71" s="65">
        <v>0</v>
      </c>
      <c r="BE71"/>
      <c r="BF71" s="65">
        <f>BF70-AZ71+BD71</f>
      </c>
      <c r="BG71"/>
      <c r="BH71" s="65">
        <v>0</v>
      </c>
      <c r="BI71"/>
      <c r="BJ71" s="65">
        <v>0</v>
      </c>
      <c r="BK71"/>
      <c r="BL71" s="65">
        <v>0.01</v>
      </c>
      <c r="BM71"/>
      <c r="BN71" s="65">
        <v>0</v>
      </c>
      <c r="BO71"/>
      <c r="BP71" s="65">
        <v>0</v>
      </c>
      <c r="BQ71"/>
      <c r="BR71" s="65">
        <v>0</v>
      </c>
      <c r="BS71"/>
      <c r="BT71" s="65">
        <f>SUM(BH71:BS71)</f>
      </c>
      <c r="BU71"/>
      <c r="BV71" s="65">
        <f>IF(ISERROR(BT71*24/AL71),0,BT71*24/AL71)</f>
      </c>
      <c r="BW71"/>
      <c r="BX71" s="65">
        <v>0</v>
      </c>
      <c r="BY71"/>
      <c r="BZ71" s="65">
        <f>BZ70-BT71+BX71</f>
      </c>
      <c r="CA71"/>
    </row>
    <row r="72" spans="1:79" x14ac:dyDescent="0.25">
      <c r="A72">
        <v>411</v>
      </c>
      <c r="B72">
        <v>928</v>
      </c>
      <c r="C72">
        <v>9573</v>
      </c>
      <c r="D72" t="s">
        <v>1</v>
      </c>
      <c r="E72">
        <f>AND( AI72 &lt;12, AI72 &gt; 0 )</f>
      </c>
      <c r="F72" s="63" t="s">
        <v>74</v>
      </c>
      <c r="G72"/>
      <c r="H72" s="63" t="s">
        <v>75</v>
      </c>
      <c r="I72"/>
      <c r="J72"/>
      <c r="K72"/>
      <c r="L72" s="63" t="s">
        <v>76</v>
      </c>
      <c r="M72"/>
      <c r="N72"/>
      <c r="O72"/>
      <c r="P72" s="64" t="s">
        <v>150</v>
      </c>
      <c r="Q72"/>
      <c r="R72"/>
      <c r="S72" s="63" t="s">
        <v>151</v>
      </c>
      <c r="T72"/>
      <c r="U72" s="65">
        <f>(P72 - P71)*24</f>
      </c>
      <c r="V72"/>
      <c r="W72" s="63" t="s">
        <v>87</v>
      </c>
      <c r="X72"/>
      <c r="Y72"/>
      <c r="Z72"/>
      <c r="AA72" s="63" t="s">
        <v>1</v>
      </c>
      <c r="AB72"/>
      <c r="AC72" s="63" t="s">
        <v>152</v>
      </c>
      <c r="AD72"/>
      <c r="AE72"/>
      <c r="AF72"/>
      <c r="AG72"/>
      <c r="AH72"/>
      <c r="AI72"/>
      <c r="AJ72" s="65">
        <v>0</v>
      </c>
      <c r="AK72"/>
      <c r="AL72" s="65">
        <f>(P72 - P71)*24</f>
      </c>
      <c r="AM72"/>
      <c r="AN72" s="65">
        <f>IF(ISERROR(AJ72/AL72),0,AJ72/AL72)</f>
      </c>
      <c r="AO72"/>
      <c r="AP72" s="63" t="s">
        <v>1</v>
      </c>
      <c r="AQ72"/>
      <c r="AR72" s="65">
        <v>0.06</v>
      </c>
      <c r="AS72"/>
      <c r="AT72" s="65">
        <v>0.04</v>
      </c>
      <c r="AU72"/>
      <c r="AV72" s="65">
        <v>0.02</v>
      </c>
      <c r="AW72"/>
      <c r="AX72" s="65">
        <v>0</v>
      </c>
      <c r="AY72"/>
      <c r="AZ72" s="65">
        <f>SUM(AR72:AX72)</f>
      </c>
      <c r="BA72"/>
      <c r="BB72" s="65">
        <f>IF(ISERROR(AZ72*24/AL72),0,AZ72*24/AL72)</f>
      </c>
      <c r="BC72"/>
      <c r="BD72" s="65">
        <v>0</v>
      </c>
      <c r="BE72"/>
      <c r="BF72" s="65">
        <f>BF71-AZ72+BD72</f>
      </c>
      <c r="BG72"/>
      <c r="BH72" s="65">
        <v>0</v>
      </c>
      <c r="BI72"/>
      <c r="BJ72" s="65">
        <v>0</v>
      </c>
      <c r="BK72"/>
      <c r="BL72" s="65">
        <v>0</v>
      </c>
      <c r="BM72"/>
      <c r="BN72" s="65">
        <v>0</v>
      </c>
      <c r="BO72"/>
      <c r="BP72" s="65">
        <v>0</v>
      </c>
      <c r="BQ72"/>
      <c r="BR72" s="65">
        <v>0</v>
      </c>
      <c r="BS72"/>
      <c r="BT72" s="65">
        <f>SUM(BH72:BS72)</f>
      </c>
      <c r="BU72"/>
      <c r="BV72" s="65">
        <f>IF(ISERROR(BT72*24/AL72),0,BT72*24/AL72)</f>
      </c>
      <c r="BW72"/>
      <c r="BX72" s="65">
        <v>0</v>
      </c>
      <c r="BY72"/>
      <c r="BZ72" s="65">
        <f>BZ71-BT72+BX72</f>
      </c>
      <c r="CA72"/>
    </row>
    <row r="73" spans="1:79" x14ac:dyDescent="0.25">
      <c r="A73">
        <v>411</v>
      </c>
      <c r="B73">
        <v>928</v>
      </c>
      <c r="C73">
        <v>9574</v>
      </c>
      <c r="D73" t="s">
        <v>1</v>
      </c>
      <c r="E73">
        <f>AND( AI73 &lt;12, AI73 &gt; 0 )</f>
      </c>
      <c r="F73" s="63" t="s">
        <v>74</v>
      </c>
      <c r="G73"/>
      <c r="H73" s="63" t="s">
        <v>75</v>
      </c>
      <c r="I73"/>
      <c r="J73"/>
      <c r="K73"/>
      <c r="L73" s="63" t="s">
        <v>76</v>
      </c>
      <c r="M73"/>
      <c r="N73"/>
      <c r="O73"/>
      <c r="P73" s="64" t="s">
        <v>153</v>
      </c>
      <c r="Q73"/>
      <c r="R73"/>
      <c r="S73" s="63" t="s">
        <v>90</v>
      </c>
      <c r="T73"/>
      <c r="U73" s="65">
        <f>(P73 - P72)*24</f>
      </c>
      <c r="V73"/>
      <c r="W73" s="63" t="s">
        <v>83</v>
      </c>
      <c r="X73"/>
      <c r="Y73"/>
      <c r="Z73"/>
      <c r="AA73" s="63" t="s">
        <v>1</v>
      </c>
      <c r="AB73"/>
      <c r="AC73" s="63" t="s">
        <v>154</v>
      </c>
      <c r="AD73"/>
      <c r="AE73"/>
      <c r="AF73"/>
      <c r="AG73"/>
      <c r="AH73"/>
      <c r="AI73"/>
      <c r="AJ73" s="65">
        <v>0</v>
      </c>
      <c r="AK73"/>
      <c r="AL73" s="65">
        <f>(P73 - P72)*24</f>
      </c>
      <c r="AM73"/>
      <c r="AN73" s="65">
        <f>IF(ISERROR(AJ73/AL73),0,AJ73/AL73)</f>
      </c>
      <c r="AO73"/>
      <c r="AP73" s="63" t="s">
        <v>1</v>
      </c>
      <c r="AQ73"/>
      <c r="AR73" s="65">
        <v>0</v>
      </c>
      <c r="AS73"/>
      <c r="AT73" s="65">
        <v>0.64</v>
      </c>
      <c r="AU73"/>
      <c r="AV73" s="65">
        <v>0.4</v>
      </c>
      <c r="AW73"/>
      <c r="AX73" s="65">
        <v>0</v>
      </c>
      <c r="AY73"/>
      <c r="AZ73" s="65">
        <f>SUM(AR73:AX73)</f>
      </c>
      <c r="BA73"/>
      <c r="BB73" s="65">
        <f>IF(ISERROR(AZ73*24/AL73),0,AZ73*24/AL73)</f>
      </c>
      <c r="BC73"/>
      <c r="BD73" s="65">
        <v>0</v>
      </c>
      <c r="BE73"/>
      <c r="BF73" s="65">
        <f>BF72-AZ73+BD73</f>
      </c>
      <c r="BG73"/>
      <c r="BH73" s="65">
        <v>0</v>
      </c>
      <c r="BI73"/>
      <c r="BJ73" s="65">
        <v>0</v>
      </c>
      <c r="BK73"/>
      <c r="BL73" s="65">
        <v>0.01</v>
      </c>
      <c r="BM73"/>
      <c r="BN73" s="65">
        <v>0</v>
      </c>
      <c r="BO73"/>
      <c r="BP73" s="65">
        <v>0</v>
      </c>
      <c r="BQ73"/>
      <c r="BR73" s="65">
        <v>0</v>
      </c>
      <c r="BS73"/>
      <c r="BT73" s="65">
        <f>SUM(BH73:BS73)</f>
      </c>
      <c r="BU73"/>
      <c r="BV73" s="65">
        <f>IF(ISERROR(BT73*24/AL73),0,BT73*24/AL73)</f>
      </c>
      <c r="BW73"/>
      <c r="BX73" s="65">
        <v>0</v>
      </c>
      <c r="BY73"/>
      <c r="BZ73" s="65">
        <f>BZ72-BT73+BX73</f>
      </c>
      <c r="CA73"/>
    </row>
    <row r="74" spans="1:79" x14ac:dyDescent="0.25">
      <c r="A74">
        <v>411</v>
      </c>
      <c r="B74">
        <v>928</v>
      </c>
      <c r="C74">
        <v>9637</v>
      </c>
      <c r="D74" t="s">
        <v>1</v>
      </c>
      <c r="E74">
        <f>AND( AI74 &lt;12, AI74 &gt; 0 )</f>
      </c>
      <c r="F74" s="63" t="s">
        <v>74</v>
      </c>
      <c r="G74"/>
      <c r="H74" s="63" t="s">
        <v>75</v>
      </c>
      <c r="I74"/>
      <c r="J74"/>
      <c r="K74"/>
      <c r="L74" s="63" t="s">
        <v>76</v>
      </c>
      <c r="M74"/>
      <c r="N74"/>
      <c r="O74"/>
      <c r="P74" s="64" t="s">
        <v>155</v>
      </c>
      <c r="Q74"/>
      <c r="R74"/>
      <c r="S74" s="63" t="s">
        <v>156</v>
      </c>
      <c r="T74"/>
      <c r="U74" s="65">
        <f>(P74 - P73)*24</f>
      </c>
      <c r="V74"/>
      <c r="W74" s="63" t="s">
        <v>83</v>
      </c>
      <c r="X74"/>
      <c r="Y74"/>
      <c r="Z74"/>
      <c r="AA74" s="63" t="s">
        <v>1</v>
      </c>
      <c r="AB74"/>
      <c r="AC74" s="63" t="s">
        <v>157</v>
      </c>
      <c r="AD74"/>
      <c r="AE74"/>
      <c r="AF74"/>
      <c r="AG74"/>
      <c r="AH74"/>
      <c r="AI74"/>
      <c r="AJ74" s="65">
        <v>0</v>
      </c>
      <c r="AK74"/>
      <c r="AL74" s="65">
        <f>(P74 - P73)*24</f>
      </c>
      <c r="AM74"/>
      <c r="AN74" s="65">
        <f>IF(ISERROR(AJ74/AL74),0,AJ74/AL74)</f>
      </c>
      <c r="AO74"/>
      <c r="AP74" s="63" t="s">
        <v>1</v>
      </c>
      <c r="AQ74"/>
      <c r="AR74" s="65">
        <v>0</v>
      </c>
      <c r="AS74"/>
      <c r="AT74" s="65">
        <v>0.86</v>
      </c>
      <c r="AU74"/>
      <c r="AV74" s="65">
        <v>0.54</v>
      </c>
      <c r="AW74"/>
      <c r="AX74" s="65">
        <v>0</v>
      </c>
      <c r="AY74"/>
      <c r="AZ74" s="65">
        <f>SUM(AR74:AX74)</f>
      </c>
      <c r="BA74"/>
      <c r="BB74" s="65">
        <f>IF(ISERROR(AZ74*24/AL74),0,AZ74*24/AL74)</f>
      </c>
      <c r="BC74"/>
      <c r="BD74" s="65">
        <v>0</v>
      </c>
      <c r="BE74"/>
      <c r="BF74" s="65">
        <f>BF73-AZ74+BD74</f>
      </c>
      <c r="BG74"/>
      <c r="BH74" s="65">
        <v>0</v>
      </c>
      <c r="BI74"/>
      <c r="BJ74" s="65">
        <v>0</v>
      </c>
      <c r="BK74"/>
      <c r="BL74" s="65">
        <v>0.01</v>
      </c>
      <c r="BM74"/>
      <c r="BN74" s="65">
        <v>0</v>
      </c>
      <c r="BO74"/>
      <c r="BP74" s="65">
        <v>0</v>
      </c>
      <c r="BQ74"/>
      <c r="BR74" s="65">
        <v>0</v>
      </c>
      <c r="BS74"/>
      <c r="BT74" s="65">
        <f>SUM(BH74:BS74)</f>
      </c>
      <c r="BU74"/>
      <c r="BV74" s="65">
        <f>IF(ISERROR(BT74*24/AL74),0,BT74*24/AL74)</f>
      </c>
      <c r="BW74"/>
      <c r="BX74" s="65">
        <v>0</v>
      </c>
      <c r="BY74"/>
      <c r="BZ74" s="65">
        <f>BZ73-BT74+BX74</f>
      </c>
      <c r="CA74"/>
    </row>
    <row r="75" spans="1:79" x14ac:dyDescent="0.25">
      <c r="A75">
        <v>411</v>
      </c>
      <c r="B75">
        <v>928</v>
      </c>
      <c r="C75">
        <v>9638</v>
      </c>
      <c r="D75" t="s">
        <v>1</v>
      </c>
      <c r="E75">
        <f>AND( AI75 &lt;12, AI75 &gt; 0 )</f>
      </c>
      <c r="F75" s="63" t="s">
        <v>74</v>
      </c>
      <c r="G75"/>
      <c r="H75" s="63" t="s">
        <v>75</v>
      </c>
      <c r="I75"/>
      <c r="J75"/>
      <c r="K75"/>
      <c r="L75" s="63" t="s">
        <v>76</v>
      </c>
      <c r="M75"/>
      <c r="N75"/>
      <c r="O75"/>
      <c r="P75" s="64" t="s">
        <v>158</v>
      </c>
      <c r="Q75"/>
      <c r="R75"/>
      <c r="S75" s="63" t="s">
        <v>159</v>
      </c>
      <c r="T75"/>
      <c r="U75" s="65">
        <f>(P75 - P74)*24</f>
      </c>
      <c r="V75"/>
      <c r="W75" s="63" t="s">
        <v>87</v>
      </c>
      <c r="X75"/>
      <c r="Y75"/>
      <c r="Z75"/>
      <c r="AA75" s="63" t="s">
        <v>1</v>
      </c>
      <c r="AB75"/>
      <c r="AC75" s="63" t="s">
        <v>160</v>
      </c>
      <c r="AD75"/>
      <c r="AE75"/>
      <c r="AF75"/>
      <c r="AG75"/>
      <c r="AH75"/>
      <c r="AI75"/>
      <c r="AJ75" s="65">
        <v>0</v>
      </c>
      <c r="AK75"/>
      <c r="AL75" s="65">
        <f>(P75 - P74)*24</f>
      </c>
      <c r="AM75"/>
      <c r="AN75" s="65">
        <f>IF(ISERROR(AJ75/AL75),0,AJ75/AL75)</f>
      </c>
      <c r="AO75"/>
      <c r="AP75" s="63" t="s">
        <v>1</v>
      </c>
      <c r="AQ75"/>
      <c r="AR75" s="65">
        <v>0.01</v>
      </c>
      <c r="AS75"/>
      <c r="AT75" s="65">
        <v>0.01</v>
      </c>
      <c r="AU75"/>
      <c r="AV75" s="65">
        <v>0</v>
      </c>
      <c r="AW75"/>
      <c r="AX75" s="65">
        <v>0</v>
      </c>
      <c r="AY75"/>
      <c r="AZ75" s="65">
        <f>SUM(AR75:AX75)</f>
      </c>
      <c r="BA75"/>
      <c r="BB75" s="65">
        <f>IF(ISERROR(AZ75*24/AL75),0,AZ75*24/AL75)</f>
      </c>
      <c r="BC75"/>
      <c r="BD75" s="65">
        <v>0</v>
      </c>
      <c r="BE75"/>
      <c r="BF75" s="65">
        <f>BF74-AZ75+BD75</f>
      </c>
      <c r="BG75"/>
      <c r="BH75" s="65">
        <v>0</v>
      </c>
      <c r="BI75"/>
      <c r="BJ75" s="65">
        <v>0</v>
      </c>
      <c r="BK75"/>
      <c r="BL75" s="65">
        <v>0</v>
      </c>
      <c r="BM75"/>
      <c r="BN75" s="65">
        <v>0</v>
      </c>
      <c r="BO75"/>
      <c r="BP75" s="65">
        <v>0</v>
      </c>
      <c r="BQ75"/>
      <c r="BR75" s="65">
        <v>0</v>
      </c>
      <c r="BS75"/>
      <c r="BT75" s="65">
        <f>SUM(BH75:BS75)</f>
      </c>
      <c r="BU75"/>
      <c r="BV75" s="65">
        <f>IF(ISERROR(BT75*24/AL75),0,BT75*24/AL75)</f>
      </c>
      <c r="BW75"/>
      <c r="BX75" s="65">
        <v>0</v>
      </c>
      <c r="BY75"/>
      <c r="BZ75" s="65">
        <f>BZ74-BT75+BX75</f>
      </c>
      <c r="CA75"/>
    </row>
    <row r="76" spans="1:79" x14ac:dyDescent="0.25">
      <c r="A76">
        <v>411</v>
      </c>
      <c r="B76">
        <v>949</v>
      </c>
      <c r="C76">
        <v>9640</v>
      </c>
      <c r="D76" t="s">
        <v>1</v>
      </c>
      <c r="E76">
        <f>AND( AI76 &lt;12, AI76 &gt; 0 )</f>
      </c>
      <c r="F76" s="63" t="s">
        <v>74</v>
      </c>
      <c r="G76"/>
      <c r="H76" s="63" t="s">
        <v>76</v>
      </c>
      <c r="I76"/>
      <c r="J76"/>
      <c r="K76"/>
      <c r="L76" s="63" t="s">
        <v>75</v>
      </c>
      <c r="M76"/>
      <c r="N76"/>
      <c r="O76"/>
      <c r="P76" s="64" t="s">
        <v>161</v>
      </c>
      <c r="Q76"/>
      <c r="R76"/>
      <c r="S76" s="63" t="s">
        <v>162</v>
      </c>
      <c r="T76"/>
      <c r="U76" s="65">
        <f>(P76 - P75)*24</f>
      </c>
      <c r="V76"/>
      <c r="W76" s="63" t="s">
        <v>83</v>
      </c>
      <c r="X76"/>
      <c r="Y76"/>
      <c r="Z76"/>
      <c r="AA76" s="63" t="s">
        <v>1</v>
      </c>
      <c r="AB76"/>
      <c r="AC76" s="63" t="s">
        <v>163</v>
      </c>
      <c r="AD76"/>
      <c r="AE76"/>
      <c r="AF76"/>
      <c r="AG76"/>
      <c r="AH76"/>
      <c r="AI76"/>
      <c r="AJ76" s="65">
        <v>0</v>
      </c>
      <c r="AK76"/>
      <c r="AL76" s="65">
        <f>(P76 - P75)*24</f>
      </c>
      <c r="AM76"/>
      <c r="AN76" s="65">
        <f>IF(ISERROR(AJ76/AL76),0,AJ76/AL76)</f>
      </c>
      <c r="AO76"/>
      <c r="AP76" s="63" t="s">
        <v>1</v>
      </c>
      <c r="AQ76"/>
      <c r="AR76" s="65">
        <v>0.19</v>
      </c>
      <c r="AS76"/>
      <c r="AT76" s="65">
        <v>0.01</v>
      </c>
      <c r="AU76"/>
      <c r="AV76" s="65">
        <v>0</v>
      </c>
      <c r="AW76"/>
      <c r="AX76" s="65">
        <v>0</v>
      </c>
      <c r="AY76"/>
      <c r="AZ76" s="65">
        <f>SUM(AR76:AX76)</f>
      </c>
      <c r="BA76"/>
      <c r="BB76" s="65">
        <f>IF(ISERROR(AZ76*24/AL76),0,AZ76*24/AL76)</f>
      </c>
      <c r="BC76"/>
      <c r="BD76" s="65">
        <v>0</v>
      </c>
      <c r="BE76"/>
      <c r="BF76" s="65">
        <f>BF75-AZ76+BD76</f>
      </c>
      <c r="BG76"/>
      <c r="BH76" s="65">
        <v>0</v>
      </c>
      <c r="BI76"/>
      <c r="BJ76" s="65">
        <v>0</v>
      </c>
      <c r="BK76"/>
      <c r="BL76" s="65">
        <v>0</v>
      </c>
      <c r="BM76"/>
      <c r="BN76" s="65">
        <v>0</v>
      </c>
      <c r="BO76"/>
      <c r="BP76" s="65">
        <v>0</v>
      </c>
      <c r="BQ76"/>
      <c r="BR76" s="65">
        <v>0</v>
      </c>
      <c r="BS76"/>
      <c r="BT76" s="65">
        <f>SUM(BH76:BS76)</f>
      </c>
      <c r="BU76"/>
      <c r="BV76" s="65">
        <f>IF(ISERROR(BT76*24/AL76),0,BT76*24/AL76)</f>
      </c>
      <c r="BW76"/>
      <c r="BX76" s="65">
        <v>0</v>
      </c>
      <c r="BY76"/>
      <c r="BZ76" s="65">
        <f>BZ75-BT76+BX76</f>
      </c>
      <c r="CA76"/>
    </row>
    <row r="77" spans="1:79" x14ac:dyDescent="0.25">
      <c r="A77">
        <v>411</v>
      </c>
      <c r="B77">
        <v>949</v>
      </c>
      <c r="C77">
        <v>9641</v>
      </c>
      <c r="D77" t="s">
        <v>1</v>
      </c>
      <c r="E77">
        <f>AND( AI77 &lt;12, AI77 &gt; 0 )</f>
      </c>
      <c r="F77" s="63" t="s">
        <v>74</v>
      </c>
      <c r="G77"/>
      <c r="H77" s="63" t="s">
        <v>76</v>
      </c>
      <c r="I77"/>
      <c r="J77"/>
      <c r="K77"/>
      <c r="L77" s="63" t="s">
        <v>75</v>
      </c>
      <c r="M77"/>
      <c r="N77"/>
      <c r="O77"/>
      <c r="P77" s="64" t="s">
        <v>164</v>
      </c>
      <c r="Q77"/>
      <c r="R77"/>
      <c r="S77" s="63" t="s">
        <v>165</v>
      </c>
      <c r="T77"/>
      <c r="U77" s="65">
        <f>(P77 - P76)*24</f>
      </c>
      <c r="V77"/>
      <c r="W77" s="63" t="s">
        <v>83</v>
      </c>
      <c r="X77"/>
      <c r="Y77"/>
      <c r="Z77"/>
      <c r="AA77" s="63" t="s">
        <v>1</v>
      </c>
      <c r="AB77"/>
      <c r="AC77" s="63" t="s">
        <v>166</v>
      </c>
      <c r="AD77"/>
      <c r="AE77"/>
      <c r="AF77"/>
      <c r="AG77"/>
      <c r="AH77"/>
      <c r="AI77"/>
      <c r="AJ77" s="65">
        <v>0</v>
      </c>
      <c r="AK77"/>
      <c r="AL77" s="65">
        <f>(P77 - P76)*24</f>
      </c>
      <c r="AM77"/>
      <c r="AN77" s="65">
        <f>IF(ISERROR(AJ77/AL77),0,AJ77/AL77)</f>
      </c>
      <c r="AO77"/>
      <c r="AP77" s="63" t="s">
        <v>1</v>
      </c>
      <c r="AQ77"/>
      <c r="AR77" s="65">
        <v>0</v>
      </c>
      <c r="AS77"/>
      <c r="AT77" s="65">
        <v>0.65</v>
      </c>
      <c r="AU77"/>
      <c r="AV77" s="65">
        <v>0.41</v>
      </c>
      <c r="AW77"/>
      <c r="AX77" s="65">
        <v>0</v>
      </c>
      <c r="AY77"/>
      <c r="AZ77" s="65">
        <f>SUM(AR77:AX77)</f>
      </c>
      <c r="BA77"/>
      <c r="BB77" s="65">
        <f>IF(ISERROR(AZ77*24/AL77),0,AZ77*24/AL77)</f>
      </c>
      <c r="BC77"/>
      <c r="BD77" s="65">
        <v>0</v>
      </c>
      <c r="BE77"/>
      <c r="BF77" s="65">
        <f>BF76-AZ77+BD77</f>
      </c>
      <c r="BG77"/>
      <c r="BH77" s="65">
        <v>0</v>
      </c>
      <c r="BI77"/>
      <c r="BJ77" s="65">
        <v>0</v>
      </c>
      <c r="BK77"/>
      <c r="BL77" s="65">
        <v>0.01</v>
      </c>
      <c r="BM77"/>
      <c r="BN77" s="65">
        <v>0</v>
      </c>
      <c r="BO77"/>
      <c r="BP77" s="65">
        <v>0</v>
      </c>
      <c r="BQ77"/>
      <c r="BR77" s="65">
        <v>0</v>
      </c>
      <c r="BS77"/>
      <c r="BT77" s="65">
        <f>SUM(BH77:BS77)</f>
      </c>
      <c r="BU77"/>
      <c r="BV77" s="65">
        <f>IF(ISERROR(BT77*24/AL77),0,BT77*24/AL77)</f>
      </c>
      <c r="BW77"/>
      <c r="BX77" s="65">
        <v>0</v>
      </c>
      <c r="BY77"/>
      <c r="BZ77" s="65">
        <f>BZ76-BT77+BX77</f>
      </c>
      <c r="CA77"/>
    </row>
    <row r="78" spans="1:79" x14ac:dyDescent="0.25">
      <c r="A78">
        <v>411</v>
      </c>
      <c r="B78">
        <v>949</v>
      </c>
      <c r="C78">
        <v>9642</v>
      </c>
      <c r="D78" t="s">
        <v>1</v>
      </c>
      <c r="E78">
        <f>AND( AI78 &lt;12, AI78 &gt; 0 )</f>
      </c>
      <c r="F78" s="63" t="s">
        <v>74</v>
      </c>
      <c r="G78"/>
      <c r="H78" s="63" t="s">
        <v>76</v>
      </c>
      <c r="I78"/>
      <c r="J78"/>
      <c r="K78"/>
      <c r="L78" s="63" t="s">
        <v>75</v>
      </c>
      <c r="M78"/>
      <c r="N78"/>
      <c r="O78"/>
      <c r="P78" s="64" t="s">
        <v>167</v>
      </c>
      <c r="Q78"/>
      <c r="R78"/>
      <c r="S78" s="63" t="s">
        <v>90</v>
      </c>
      <c r="T78"/>
      <c r="U78" s="65">
        <f>(P78 - P77)*24</f>
      </c>
      <c r="V78"/>
      <c r="W78" s="63" t="s">
        <v>91</v>
      </c>
      <c r="X78"/>
      <c r="Y78"/>
      <c r="Z78"/>
      <c r="AA78" s="63" t="s">
        <v>92</v>
      </c>
      <c r="AB78"/>
      <c r="AC78" s="63" t="s">
        <v>168</v>
      </c>
      <c r="AD78"/>
      <c r="AE78"/>
      <c r="AF78"/>
      <c r="AG78"/>
      <c r="AH78"/>
      <c r="AI78"/>
      <c r="AJ78" s="65">
        <v>12</v>
      </c>
      <c r="AK78"/>
      <c r="AL78" s="65">
        <f>(P78 - P77)*24</f>
      </c>
      <c r="AM78"/>
      <c r="AN78" s="65">
        <f>IF(ISERROR(AJ78/AL78),0,AJ78/AL78)</f>
      </c>
      <c r="AO78"/>
      <c r="AP78" s="63" t="s">
        <v>169</v>
      </c>
      <c r="AQ78"/>
      <c r="AR78" s="65">
        <v>0.97</v>
      </c>
      <c r="AS78"/>
      <c r="AT78" s="65">
        <v>0.07</v>
      </c>
      <c r="AU78"/>
      <c r="AV78" s="65">
        <v>0.04</v>
      </c>
      <c r="AW78"/>
      <c r="AX78" s="65">
        <v>0</v>
      </c>
      <c r="AY78"/>
      <c r="AZ78" s="65">
        <f>SUM(AR78:AX78)</f>
      </c>
      <c r="BA78"/>
      <c r="BB78" s="65">
        <f>IF(ISERROR(AZ78*24/AL78),0,AZ78*24/AL78)</f>
      </c>
      <c r="BC78"/>
      <c r="BD78" s="65">
        <v>0</v>
      </c>
      <c r="BE78"/>
      <c r="BF78" s="65">
        <f>BF77-AZ78+BD78</f>
      </c>
      <c r="BG78"/>
      <c r="BH78" s="65">
        <v>0</v>
      </c>
      <c r="BI78"/>
      <c r="BJ78" s="65">
        <v>0</v>
      </c>
      <c r="BK78"/>
      <c r="BL78" s="65">
        <v>0</v>
      </c>
      <c r="BM78"/>
      <c r="BN78" s="65">
        <v>0</v>
      </c>
      <c r="BO78"/>
      <c r="BP78" s="65">
        <v>0</v>
      </c>
      <c r="BQ78"/>
      <c r="BR78" s="65">
        <v>0</v>
      </c>
      <c r="BS78"/>
      <c r="BT78" s="65">
        <f>SUM(BH78:BS78)</f>
      </c>
      <c r="BU78"/>
      <c r="BV78" s="65">
        <f>IF(ISERROR(BT78*24/AL78),0,BT78*24/AL78)</f>
      </c>
      <c r="BW78"/>
      <c r="BX78" s="65">
        <v>0</v>
      </c>
      <c r="BY78"/>
      <c r="BZ78" s="65">
        <f>BZ77-BT78+BX78</f>
      </c>
      <c r="CA78"/>
    </row>
    <row r="79" spans="1:79" x14ac:dyDescent="0.25">
      <c r="A79">
        <v>411</v>
      </c>
      <c r="B79">
        <v>949</v>
      </c>
      <c r="C79">
        <v>9643</v>
      </c>
      <c r="D79" t="s">
        <v>1</v>
      </c>
      <c r="E79">
        <f>AND( AI79 &lt;12, AI79 &gt; 0 )</f>
      </c>
      <c r="F79" s="63" t="s">
        <v>74</v>
      </c>
      <c r="G79"/>
      <c r="H79" s="63" t="s">
        <v>76</v>
      </c>
      <c r="I79"/>
      <c r="J79"/>
      <c r="K79"/>
      <c r="L79" s="63" t="s">
        <v>75</v>
      </c>
      <c r="M79"/>
      <c r="N79"/>
      <c r="O79"/>
      <c r="P79" s="64" t="s">
        <v>170</v>
      </c>
      <c r="Q79"/>
      <c r="R79"/>
      <c r="S79" s="63" t="s">
        <v>171</v>
      </c>
      <c r="T79"/>
      <c r="U79" s="65">
        <f>(P79 - P78)*24</f>
      </c>
      <c r="V79"/>
      <c r="W79" s="63" t="s">
        <v>91</v>
      </c>
      <c r="X79"/>
      <c r="Y79"/>
      <c r="Z79"/>
      <c r="AA79" s="63" t="s">
        <v>92</v>
      </c>
      <c r="AB79"/>
      <c r="AC79" s="63" t="s">
        <v>172</v>
      </c>
      <c r="AD79"/>
      <c r="AE79"/>
      <c r="AF79"/>
      <c r="AG79"/>
      <c r="AH79"/>
      <c r="AI79"/>
      <c r="AJ79" s="65">
        <v>73</v>
      </c>
      <c r="AK79"/>
      <c r="AL79" s="65">
        <f>(P79 - P78)*24</f>
      </c>
      <c r="AM79"/>
      <c r="AN79" s="65">
        <f>IF(ISERROR(AJ79/AL79),0,AJ79/AL79)</f>
      </c>
      <c r="AO79"/>
      <c r="AP79" s="63" t="s">
        <v>169</v>
      </c>
      <c r="AQ79"/>
      <c r="AR79" s="65">
        <v>5.66</v>
      </c>
      <c r="AS79"/>
      <c r="AT79" s="65">
        <v>0.39</v>
      </c>
      <c r="AU79"/>
      <c r="AV79" s="65">
        <v>0</v>
      </c>
      <c r="AW79"/>
      <c r="AX79" s="65">
        <v>0</v>
      </c>
      <c r="AY79"/>
      <c r="AZ79" s="65">
        <f>SUM(AR79:AX79)</f>
      </c>
      <c r="BA79"/>
      <c r="BB79" s="65">
        <f>IF(ISERROR(AZ79*24/AL79),0,AZ79*24/AL79)</f>
      </c>
      <c r="BC79"/>
      <c r="BD79" s="65">
        <v>0</v>
      </c>
      <c r="BE79"/>
      <c r="BF79" s="65">
        <f>BF78-AZ79+BD79</f>
      </c>
      <c r="BG79"/>
      <c r="BH79" s="65">
        <v>0</v>
      </c>
      <c r="BI79"/>
      <c r="BJ79" s="65">
        <v>0</v>
      </c>
      <c r="BK79"/>
      <c r="BL79" s="65">
        <v>0</v>
      </c>
      <c r="BM79"/>
      <c r="BN79" s="65">
        <v>0</v>
      </c>
      <c r="BO79"/>
      <c r="BP79" s="65">
        <v>0</v>
      </c>
      <c r="BQ79"/>
      <c r="BR79" s="65">
        <v>0</v>
      </c>
      <c r="BS79"/>
      <c r="BT79" s="65">
        <f>SUM(BH79:BS79)</f>
      </c>
      <c r="BU79"/>
      <c r="BV79" s="65">
        <f>IF(ISERROR(BT79*24/AL79),0,BT79*24/AL79)</f>
      </c>
      <c r="BW79"/>
      <c r="BX79" s="65">
        <v>0</v>
      </c>
      <c r="BY79"/>
      <c r="BZ79" s="65">
        <f>BZ78-BT79+BX79</f>
      </c>
      <c r="CA79"/>
    </row>
  </sheetData>
  <mergeCells count="1411">
    <mergeCell ref="H2:S2"/>
    <mergeCell ref="K4:R4"/>
    <mergeCell ref="K5:R5"/>
    <mergeCell ref="K6:R6"/>
    <mergeCell ref="K7:R7"/>
    <mergeCell ref="K8:R8"/>
    <mergeCell ref="H12:BL12"/>
    <mergeCell ref="I15:M15"/>
    <mergeCell ref="S15:T15"/>
    <mergeCell ref="U15:V15"/>
    <mergeCell ref="AA15:AG15"/>
    <mergeCell ref="AI15:AP15"/>
    <mergeCell ref="AV15:BB15"/>
    <mergeCell ref="BD15:BK15"/>
    <mergeCell ref="I16:M16"/>
    <mergeCell ref="N16:R16"/>
    <mergeCell ref="S16:T16"/>
    <mergeCell ref="U16:V16"/>
    <mergeCell ref="W16:X16"/>
    <mergeCell ref="AA16:AB17"/>
    <mergeCell ref="AC16:AD16"/>
    <mergeCell ref="AE16:AG16"/>
    <mergeCell ref="AI16:AP16"/>
    <mergeCell ref="AV16:AW17"/>
    <mergeCell ref="AX16:AY16"/>
    <mergeCell ref="AZ16:BB16"/>
    <mergeCell ref="BD16:BK16"/>
    <mergeCell ref="I17:O23"/>
    <mergeCell ref="P17:R17"/>
    <mergeCell ref="S17:T17"/>
    <mergeCell ref="U17:V17"/>
    <mergeCell ref="W17:X17"/>
    <mergeCell ref="AF17:AG17"/>
    <mergeCell ref="AI17:AK17"/>
    <mergeCell ref="AL17:AM17"/>
    <mergeCell ref="AN17:AP17"/>
    <mergeCell ref="BA17:BB17"/>
    <mergeCell ref="BD17:BF17"/>
    <mergeCell ref="BG17:BH17"/>
    <mergeCell ref="BI17:BK17"/>
    <mergeCell ref="P18:R18"/>
    <mergeCell ref="S18:T18"/>
    <mergeCell ref="U18:V18"/>
    <mergeCell ref="W18:X18"/>
    <mergeCell ref="AA18:AB18"/>
    <mergeCell ref="AF18:AG18"/>
    <mergeCell ref="AI18:AK18"/>
    <mergeCell ref="AL18:AM18"/>
    <mergeCell ref="AN18:AP18"/>
    <mergeCell ref="AV18:AW18"/>
    <mergeCell ref="BA18:BB18"/>
    <mergeCell ref="BD18:BF18"/>
    <mergeCell ref="BG18:BH18"/>
    <mergeCell ref="BI18:BK18"/>
    <mergeCell ref="P19:R19"/>
    <mergeCell ref="S19:T19"/>
    <mergeCell ref="U19:V19"/>
    <mergeCell ref="W19:X19"/>
    <mergeCell ref="AA19:AB19"/>
    <mergeCell ref="AF19:AG19"/>
    <mergeCell ref="AI19:AK19"/>
    <mergeCell ref="AL19:AM19"/>
    <mergeCell ref="AN19:AP19"/>
    <mergeCell ref="AV19:AW19"/>
    <mergeCell ref="BA19:BB19"/>
    <mergeCell ref="BD19:BF19"/>
    <mergeCell ref="BG19:BH19"/>
    <mergeCell ref="BI19:BK19"/>
    <mergeCell ref="P20:R20"/>
    <mergeCell ref="S20:T20"/>
    <mergeCell ref="U20:V20"/>
    <mergeCell ref="W20:X20"/>
    <mergeCell ref="AI20:AK20"/>
    <mergeCell ref="AL20:AM20"/>
    <mergeCell ref="AN20:AP20"/>
    <mergeCell ref="BD20:BF20"/>
    <mergeCell ref="BG20:BH20"/>
    <mergeCell ref="BI20:BK20"/>
    <mergeCell ref="P21:R21"/>
    <mergeCell ref="S21:T21"/>
    <mergeCell ref="U21:V21"/>
    <mergeCell ref="W21:X21"/>
    <mergeCell ref="AI21:AK21"/>
    <mergeCell ref="AL21:AM21"/>
    <mergeCell ref="AN21:AP21"/>
    <mergeCell ref="BD21:BF21"/>
    <mergeCell ref="BG21:BH21"/>
    <mergeCell ref="BI21:BK21"/>
    <mergeCell ref="P22:R22"/>
    <mergeCell ref="S22:T22"/>
    <mergeCell ref="U22:V22"/>
    <mergeCell ref="W22:X22"/>
    <mergeCell ref="AI22:AK22"/>
    <mergeCell ref="AL22:AM22"/>
    <mergeCell ref="AN22:AP22"/>
    <mergeCell ref="BD22:BF22"/>
    <mergeCell ref="BG22:BH22"/>
    <mergeCell ref="BI22:BK22"/>
    <mergeCell ref="P23:R23"/>
    <mergeCell ref="S23:T23"/>
    <mergeCell ref="U23:V23"/>
    <mergeCell ref="W23:X23"/>
    <mergeCell ref="AI23:AK23"/>
    <mergeCell ref="AL23:AM23"/>
    <mergeCell ref="AN23:AP23"/>
    <mergeCell ref="BD23:BF23"/>
    <mergeCell ref="BG23:BH23"/>
    <mergeCell ref="BI23:BK23"/>
    <mergeCell ref="I24:R24"/>
    <mergeCell ref="S24:T24"/>
    <mergeCell ref="U24:V24"/>
    <mergeCell ref="AI24:AK24"/>
    <mergeCell ref="AL24:AM24"/>
    <mergeCell ref="AN24:AP24"/>
    <mergeCell ref="BD24:BF24"/>
    <mergeCell ref="BG24:BH24"/>
    <mergeCell ref="BI24:BK24"/>
    <mergeCell ref="I25:R25"/>
    <mergeCell ref="S25:T25"/>
    <mergeCell ref="U25:V25"/>
    <mergeCell ref="AI25:AK25"/>
    <mergeCell ref="AL25:AM25"/>
    <mergeCell ref="AN25:AP25"/>
    <mergeCell ref="BD25:BF25"/>
    <mergeCell ref="BG25:BH25"/>
    <mergeCell ref="BI25:BK25"/>
    <mergeCell ref="I26:R26"/>
    <mergeCell ref="S26:V26"/>
    <mergeCell ref="I27:M27"/>
    <mergeCell ref="N27:R27"/>
    <mergeCell ref="S27:T27"/>
    <mergeCell ref="U27:V27"/>
    <mergeCell ref="H31:AQ31"/>
    <mergeCell ref="AV31:CE31"/>
    <mergeCell ref="H32:J33"/>
    <mergeCell ref="K32:M33"/>
    <mergeCell ref="N32:P33"/>
    <mergeCell ref="Q32:S33"/>
    <mergeCell ref="T32:V33"/>
    <mergeCell ref="W32:Y33"/>
    <mergeCell ref="Z32:AB33"/>
    <mergeCell ref="AC32:AE33"/>
    <mergeCell ref="AF32:AH33"/>
    <mergeCell ref="AI32:AK33"/>
    <mergeCell ref="AL32:AN33"/>
    <mergeCell ref="AO32:AQ33"/>
    <mergeCell ref="AV32:AX33"/>
    <mergeCell ref="AY32:BA33"/>
    <mergeCell ref="BB32:BD33"/>
    <mergeCell ref="BE32:BG33"/>
    <mergeCell ref="BH32:BJ33"/>
    <mergeCell ref="BK32:BM33"/>
    <mergeCell ref="BN32:BP33"/>
    <mergeCell ref="BQ32:BS33"/>
    <mergeCell ref="BT32:BV33"/>
    <mergeCell ref="BW32:BY33"/>
    <mergeCell ref="BZ32:CB33"/>
    <mergeCell ref="CC32:CE33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L34:AN34"/>
    <mergeCell ref="AO34:AQ34"/>
    <mergeCell ref="AV34:AX34"/>
    <mergeCell ref="AY34:BA34"/>
    <mergeCell ref="BB34:BD34"/>
    <mergeCell ref="BE34:BG34"/>
    <mergeCell ref="BH34:BJ34"/>
    <mergeCell ref="BK34:BM34"/>
    <mergeCell ref="BN34:BP34"/>
    <mergeCell ref="BQ34:BS34"/>
    <mergeCell ref="BT34:BV34"/>
    <mergeCell ref="BW34:BY34"/>
    <mergeCell ref="BZ34:CB34"/>
    <mergeCell ref="CC34:CE34"/>
    <mergeCell ref="H35:J35"/>
    <mergeCell ref="K35:M35"/>
    <mergeCell ref="N35:P35"/>
    <mergeCell ref="Q35:S35"/>
    <mergeCell ref="T35:V35"/>
    <mergeCell ref="W35:Y35"/>
    <mergeCell ref="Z35:AB35"/>
    <mergeCell ref="AC35:AE35"/>
    <mergeCell ref="AF35:AH35"/>
    <mergeCell ref="AI35:AK35"/>
    <mergeCell ref="AL35:AN35"/>
    <mergeCell ref="AO35:AQ35"/>
    <mergeCell ref="AV35:AX35"/>
    <mergeCell ref="AY35:BA35"/>
    <mergeCell ref="BB35:BD35"/>
    <mergeCell ref="BE35:BG35"/>
    <mergeCell ref="BH35:BJ35"/>
    <mergeCell ref="BK35:BM35"/>
    <mergeCell ref="BN35:BP35"/>
    <mergeCell ref="BQ35:BS35"/>
    <mergeCell ref="BT35:BV35"/>
    <mergeCell ref="BW35:BY35"/>
    <mergeCell ref="BZ35:CB35"/>
    <mergeCell ref="CC35:CE35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AL36:AN36"/>
    <mergeCell ref="AO36:AQ36"/>
    <mergeCell ref="AV36:AX36"/>
    <mergeCell ref="AY36:BA36"/>
    <mergeCell ref="BB36:BD36"/>
    <mergeCell ref="BE36:BG36"/>
    <mergeCell ref="BH36:BJ36"/>
    <mergeCell ref="BK36:BM36"/>
    <mergeCell ref="BN36:BP36"/>
    <mergeCell ref="BQ36:BS36"/>
    <mergeCell ref="BT36:BV36"/>
    <mergeCell ref="BW36:BY36"/>
    <mergeCell ref="BZ36:CB36"/>
    <mergeCell ref="CC36:CE36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N37"/>
    <mergeCell ref="AO37:AQ37"/>
    <mergeCell ref="AV37:AX37"/>
    <mergeCell ref="AY37:BA37"/>
    <mergeCell ref="BB37:BD37"/>
    <mergeCell ref="BE37:BG37"/>
    <mergeCell ref="BH37:BJ37"/>
    <mergeCell ref="BK37:BM37"/>
    <mergeCell ref="BN37:BP37"/>
    <mergeCell ref="BQ37:BS37"/>
    <mergeCell ref="BT37:BV37"/>
    <mergeCell ref="BW37:BY37"/>
    <mergeCell ref="BZ37:CB37"/>
    <mergeCell ref="CC37:CE37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N38"/>
    <mergeCell ref="AO38:AQ38"/>
    <mergeCell ref="AV38:AX38"/>
    <mergeCell ref="AY38:BA38"/>
    <mergeCell ref="BB38:BD38"/>
    <mergeCell ref="BE38:BG38"/>
    <mergeCell ref="BH38:BJ38"/>
    <mergeCell ref="BK38:BM38"/>
    <mergeCell ref="BN38:BP38"/>
    <mergeCell ref="BQ38:BS38"/>
    <mergeCell ref="BT38:BV38"/>
    <mergeCell ref="BW38:BY38"/>
    <mergeCell ref="BZ38:CB38"/>
    <mergeCell ref="CC38:CE38"/>
    <mergeCell ref="H39:J39"/>
    <mergeCell ref="K39:M39"/>
    <mergeCell ref="N39:P39"/>
    <mergeCell ref="Q39:S39"/>
    <mergeCell ref="T39:V39"/>
    <mergeCell ref="W39:Y39"/>
    <mergeCell ref="Z39:AB39"/>
    <mergeCell ref="AC39:AE39"/>
    <mergeCell ref="AF39:AH39"/>
    <mergeCell ref="AI39:AK39"/>
    <mergeCell ref="AL39:AN39"/>
    <mergeCell ref="AO39:AQ39"/>
    <mergeCell ref="AV39:AX39"/>
    <mergeCell ref="AY39:BA39"/>
    <mergeCell ref="BB39:BD39"/>
    <mergeCell ref="BE39:BG39"/>
    <mergeCell ref="BH39:BJ39"/>
    <mergeCell ref="BK39:BM39"/>
    <mergeCell ref="BN39:BP39"/>
    <mergeCell ref="BQ39:BS39"/>
    <mergeCell ref="BT39:BV39"/>
    <mergeCell ref="BW39:BY39"/>
    <mergeCell ref="BZ39:CB39"/>
    <mergeCell ref="CC39:CE39"/>
    <mergeCell ref="H40:J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L40:AN40"/>
    <mergeCell ref="AO40:AQ40"/>
    <mergeCell ref="AV40:AX40"/>
    <mergeCell ref="AY40:BA40"/>
    <mergeCell ref="BB40:BD40"/>
    <mergeCell ref="BE40:BG40"/>
    <mergeCell ref="BH40:BJ40"/>
    <mergeCell ref="BK40:BM40"/>
    <mergeCell ref="BN40:BP40"/>
    <mergeCell ref="BQ40:BS40"/>
    <mergeCell ref="BT40:BV40"/>
    <mergeCell ref="BW40:BY40"/>
    <mergeCell ref="BZ40:CB40"/>
    <mergeCell ref="CC40:CE40"/>
    <mergeCell ref="H41:J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AL41:AN41"/>
    <mergeCell ref="AO41:AQ41"/>
    <mergeCell ref="AV41:AX41"/>
    <mergeCell ref="AY41:BA41"/>
    <mergeCell ref="BB41:BD41"/>
    <mergeCell ref="BE41:BG41"/>
    <mergeCell ref="BH41:BJ41"/>
    <mergeCell ref="BK41:BM41"/>
    <mergeCell ref="BN41:BP41"/>
    <mergeCell ref="BQ41:BS41"/>
    <mergeCell ref="BT41:BV41"/>
    <mergeCell ref="BW41:BY41"/>
    <mergeCell ref="BZ41:CB41"/>
    <mergeCell ref="CC41:CE41"/>
    <mergeCell ref="AR44:BG44"/>
    <mergeCell ref="BH44:CA44"/>
    <mergeCell ref="AJ45:AQ45"/>
    <mergeCell ref="AR45:BD45"/>
    <mergeCell ref="BE45:BG45"/>
    <mergeCell ref="BH45:BX45"/>
    <mergeCell ref="BY45:CA45"/>
    <mergeCell ref="F46:G46"/>
    <mergeCell ref="H46:K46"/>
    <mergeCell ref="L46:O46"/>
    <mergeCell ref="P46:R46"/>
    <mergeCell ref="S46:T46"/>
    <mergeCell ref="U46:V46"/>
    <mergeCell ref="W46:Z46"/>
    <mergeCell ref="AA46:AB46"/>
    <mergeCell ref="AC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F47:G47"/>
    <mergeCell ref="H47:K47"/>
    <mergeCell ref="L47:O47"/>
    <mergeCell ref="P47:R47"/>
    <mergeCell ref="S47:T47"/>
    <mergeCell ref="U47:V47"/>
    <mergeCell ref="W47:Z47"/>
    <mergeCell ref="AA47:AB47"/>
    <mergeCell ref="AC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F48:G48"/>
    <mergeCell ref="H48:K48"/>
    <mergeCell ref="L48:O48"/>
    <mergeCell ref="P48:R48"/>
    <mergeCell ref="S48:T48"/>
    <mergeCell ref="U48:V48"/>
    <mergeCell ref="W48:Z48"/>
    <mergeCell ref="AA48:AB48"/>
    <mergeCell ref="AC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F49:G49"/>
    <mergeCell ref="H49:K49"/>
    <mergeCell ref="L49:O49"/>
    <mergeCell ref="P49:R49"/>
    <mergeCell ref="S49:T49"/>
    <mergeCell ref="U49:V49"/>
    <mergeCell ref="W49:Z49"/>
    <mergeCell ref="AA49:AB49"/>
    <mergeCell ref="AC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F50:G50"/>
    <mergeCell ref="H50:K50"/>
    <mergeCell ref="L50:O50"/>
    <mergeCell ref="P50:R50"/>
    <mergeCell ref="S50:T50"/>
    <mergeCell ref="U50:V50"/>
    <mergeCell ref="W50:Z50"/>
    <mergeCell ref="AA50:AB50"/>
    <mergeCell ref="AC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F51:G51"/>
    <mergeCell ref="H51:K51"/>
    <mergeCell ref="L51:O51"/>
    <mergeCell ref="P51:R51"/>
    <mergeCell ref="S51:T51"/>
    <mergeCell ref="U51:V51"/>
    <mergeCell ref="W51:Z51"/>
    <mergeCell ref="AA51:AB51"/>
    <mergeCell ref="AC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F52:G52"/>
    <mergeCell ref="H52:K52"/>
    <mergeCell ref="L52:O52"/>
    <mergeCell ref="P52:R52"/>
    <mergeCell ref="S52:T52"/>
    <mergeCell ref="U52:V52"/>
    <mergeCell ref="W52:Z52"/>
    <mergeCell ref="AA52:AB52"/>
    <mergeCell ref="AC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F53:G53"/>
    <mergeCell ref="H53:K53"/>
    <mergeCell ref="L53:O53"/>
    <mergeCell ref="P53:R53"/>
    <mergeCell ref="S53:T53"/>
    <mergeCell ref="U53:V53"/>
    <mergeCell ref="W53:Z53"/>
    <mergeCell ref="AA53:AB53"/>
    <mergeCell ref="AC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F54:G54"/>
    <mergeCell ref="H54:K54"/>
    <mergeCell ref="L54:O54"/>
    <mergeCell ref="P54:R54"/>
    <mergeCell ref="S54:T54"/>
    <mergeCell ref="U54:V54"/>
    <mergeCell ref="W54:Z54"/>
    <mergeCell ref="AA54:AB54"/>
    <mergeCell ref="AC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F55:G55"/>
    <mergeCell ref="H55:K55"/>
    <mergeCell ref="L55:O55"/>
    <mergeCell ref="P55:R55"/>
    <mergeCell ref="S55:T55"/>
    <mergeCell ref="U55:V55"/>
    <mergeCell ref="W55:Z55"/>
    <mergeCell ref="AA55:AB55"/>
    <mergeCell ref="AC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F56:G56"/>
    <mergeCell ref="H56:K56"/>
    <mergeCell ref="L56:O56"/>
    <mergeCell ref="P56:R56"/>
    <mergeCell ref="S56:T56"/>
    <mergeCell ref="U56:V56"/>
    <mergeCell ref="W56:Z56"/>
    <mergeCell ref="AA56:AB56"/>
    <mergeCell ref="AC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F57:G57"/>
    <mergeCell ref="H57:K57"/>
    <mergeCell ref="L57:O57"/>
    <mergeCell ref="P57:R57"/>
    <mergeCell ref="S57:T57"/>
    <mergeCell ref="U57:V57"/>
    <mergeCell ref="W57:Z57"/>
    <mergeCell ref="AA57:AB57"/>
    <mergeCell ref="AC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F58:G58"/>
    <mergeCell ref="H58:K58"/>
    <mergeCell ref="L58:O58"/>
    <mergeCell ref="P58:R58"/>
    <mergeCell ref="S58:T58"/>
    <mergeCell ref="U58:V58"/>
    <mergeCell ref="W58:Z58"/>
    <mergeCell ref="AA58:AB58"/>
    <mergeCell ref="AC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F59:G59"/>
    <mergeCell ref="H59:K59"/>
    <mergeCell ref="L59:O59"/>
    <mergeCell ref="P59:R59"/>
    <mergeCell ref="S59:T59"/>
    <mergeCell ref="U59:V59"/>
    <mergeCell ref="W59:Z59"/>
    <mergeCell ref="AA59:AB59"/>
    <mergeCell ref="AC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F60:G60"/>
    <mergeCell ref="H60:K60"/>
    <mergeCell ref="L60:O60"/>
    <mergeCell ref="P60:R60"/>
    <mergeCell ref="S60:T60"/>
    <mergeCell ref="U60:V60"/>
    <mergeCell ref="W60:Z60"/>
    <mergeCell ref="AA60:AB60"/>
    <mergeCell ref="AC60:AI60"/>
    <mergeCell ref="AJ60:AK60"/>
    <mergeCell ref="AL60:AM60"/>
    <mergeCell ref="AN60:AO60"/>
    <mergeCell ref="AP60:AQ60"/>
    <mergeCell ref="AR60:AS60"/>
    <mergeCell ref="AT60:AU60"/>
    <mergeCell ref="AV60:AW60"/>
    <mergeCell ref="AX60:AY60"/>
    <mergeCell ref="AZ60:BA60"/>
    <mergeCell ref="BB60:BC60"/>
    <mergeCell ref="BD60:BE60"/>
    <mergeCell ref="BF60:BG60"/>
    <mergeCell ref="BH60:BI60"/>
    <mergeCell ref="BJ60:BK60"/>
    <mergeCell ref="BL60:BM60"/>
    <mergeCell ref="BN60:BO60"/>
    <mergeCell ref="BP60:BQ60"/>
    <mergeCell ref="BR60:BS60"/>
    <mergeCell ref="BT60:BU60"/>
    <mergeCell ref="BV60:BW60"/>
    <mergeCell ref="BX60:BY60"/>
    <mergeCell ref="BZ60:CA60"/>
    <mergeCell ref="F61:G61"/>
    <mergeCell ref="H61:K61"/>
    <mergeCell ref="L61:O61"/>
    <mergeCell ref="P61:R61"/>
    <mergeCell ref="S61:T61"/>
    <mergeCell ref="U61:V61"/>
    <mergeCell ref="W61:Z61"/>
    <mergeCell ref="AA61:AB61"/>
    <mergeCell ref="AC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F62:G62"/>
    <mergeCell ref="H62:K62"/>
    <mergeCell ref="L62:O62"/>
    <mergeCell ref="P62:R62"/>
    <mergeCell ref="S62:T62"/>
    <mergeCell ref="U62:V62"/>
    <mergeCell ref="W62:Z62"/>
    <mergeCell ref="AA62:AB62"/>
    <mergeCell ref="AC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F63:G63"/>
    <mergeCell ref="H63:K63"/>
    <mergeCell ref="L63:O63"/>
    <mergeCell ref="P63:R63"/>
    <mergeCell ref="S63:T63"/>
    <mergeCell ref="U63:V63"/>
    <mergeCell ref="W63:Z63"/>
    <mergeCell ref="AA63:AB63"/>
    <mergeCell ref="AC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F64:G64"/>
    <mergeCell ref="H64:K64"/>
    <mergeCell ref="L64:O64"/>
    <mergeCell ref="P64:R64"/>
    <mergeCell ref="S64:T64"/>
    <mergeCell ref="U64:V64"/>
    <mergeCell ref="W64:Z64"/>
    <mergeCell ref="AA64:AB64"/>
    <mergeCell ref="AC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E64"/>
    <mergeCell ref="BF64:BG64"/>
    <mergeCell ref="BH64:BI64"/>
    <mergeCell ref="BJ64:BK64"/>
    <mergeCell ref="BL64:BM64"/>
    <mergeCell ref="BN64:BO64"/>
    <mergeCell ref="BP64:BQ64"/>
    <mergeCell ref="BR64:BS64"/>
    <mergeCell ref="BT64:BU64"/>
    <mergeCell ref="BV64:BW64"/>
    <mergeCell ref="BX64:BY64"/>
    <mergeCell ref="BZ64:CA64"/>
    <mergeCell ref="F65:G65"/>
    <mergeCell ref="H65:K65"/>
    <mergeCell ref="L65:O65"/>
    <mergeCell ref="P65:R65"/>
    <mergeCell ref="S65:T65"/>
    <mergeCell ref="U65:V65"/>
    <mergeCell ref="W65:Z65"/>
    <mergeCell ref="AA65:AB65"/>
    <mergeCell ref="AC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E65"/>
    <mergeCell ref="BF65:BG65"/>
    <mergeCell ref="BH65:BI65"/>
    <mergeCell ref="BJ65:BK65"/>
    <mergeCell ref="BL65:BM65"/>
    <mergeCell ref="BN65:BO65"/>
    <mergeCell ref="BP65:BQ65"/>
    <mergeCell ref="BR65:BS65"/>
    <mergeCell ref="BT65:BU65"/>
    <mergeCell ref="BV65:BW65"/>
    <mergeCell ref="BX65:BY65"/>
    <mergeCell ref="BZ65:CA65"/>
    <mergeCell ref="F66:G66"/>
    <mergeCell ref="H66:K66"/>
    <mergeCell ref="L66:O66"/>
    <mergeCell ref="P66:R66"/>
    <mergeCell ref="S66:T66"/>
    <mergeCell ref="U66:V66"/>
    <mergeCell ref="W66:Z66"/>
    <mergeCell ref="AA66:AB66"/>
    <mergeCell ref="AC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D66:BE66"/>
    <mergeCell ref="BF66:BG66"/>
    <mergeCell ref="BH66:BI66"/>
    <mergeCell ref="BJ66:BK66"/>
    <mergeCell ref="BL66:BM66"/>
    <mergeCell ref="BN66:BO66"/>
    <mergeCell ref="BP66:BQ66"/>
    <mergeCell ref="BR66:BS66"/>
    <mergeCell ref="BT66:BU66"/>
    <mergeCell ref="BV66:BW66"/>
    <mergeCell ref="BX66:BY66"/>
    <mergeCell ref="BZ66:CA66"/>
    <mergeCell ref="F67:G67"/>
    <mergeCell ref="H67:K67"/>
    <mergeCell ref="L67:O67"/>
    <mergeCell ref="P67:R67"/>
    <mergeCell ref="S67:T67"/>
    <mergeCell ref="U67:V67"/>
    <mergeCell ref="W67:Z67"/>
    <mergeCell ref="AA67:AB67"/>
    <mergeCell ref="AC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D67:BE67"/>
    <mergeCell ref="BF67:BG67"/>
    <mergeCell ref="BH67:BI67"/>
    <mergeCell ref="BJ67:BK67"/>
    <mergeCell ref="BL67:BM67"/>
    <mergeCell ref="BN67:BO67"/>
    <mergeCell ref="BP67:BQ67"/>
    <mergeCell ref="BR67:BS67"/>
    <mergeCell ref="BT67:BU67"/>
    <mergeCell ref="BV67:BW67"/>
    <mergeCell ref="BX67:BY67"/>
    <mergeCell ref="BZ67:CA67"/>
    <mergeCell ref="F68:G68"/>
    <mergeCell ref="H68:K68"/>
    <mergeCell ref="L68:O68"/>
    <mergeCell ref="P68:R68"/>
    <mergeCell ref="S68:T68"/>
    <mergeCell ref="U68:V68"/>
    <mergeCell ref="W68:Z68"/>
    <mergeCell ref="AA68:AB68"/>
    <mergeCell ref="AC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D68:BE68"/>
    <mergeCell ref="BF68:BG68"/>
    <mergeCell ref="BH68:BI68"/>
    <mergeCell ref="BJ68:BK68"/>
    <mergeCell ref="BL68:BM68"/>
    <mergeCell ref="BN68:BO68"/>
    <mergeCell ref="BP68:BQ68"/>
    <mergeCell ref="BR68:BS68"/>
    <mergeCell ref="BT68:BU68"/>
    <mergeCell ref="BV68:BW68"/>
    <mergeCell ref="BX68:BY68"/>
    <mergeCell ref="BZ68:CA68"/>
    <mergeCell ref="F69:G69"/>
    <mergeCell ref="H69:K69"/>
    <mergeCell ref="L69:O69"/>
    <mergeCell ref="P69:R69"/>
    <mergeCell ref="S69:T69"/>
    <mergeCell ref="U69:V69"/>
    <mergeCell ref="W69:Z69"/>
    <mergeCell ref="AA69:AB69"/>
    <mergeCell ref="AC69:AI69"/>
    <mergeCell ref="AJ69:AK69"/>
    <mergeCell ref="AL69:AM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D69:BE69"/>
    <mergeCell ref="BF69:BG69"/>
    <mergeCell ref="BH69:BI69"/>
    <mergeCell ref="BJ69:BK69"/>
    <mergeCell ref="BL69:BM69"/>
    <mergeCell ref="BN69:BO69"/>
    <mergeCell ref="BP69:BQ69"/>
    <mergeCell ref="BR69:BS69"/>
    <mergeCell ref="BT69:BU69"/>
    <mergeCell ref="BV69:BW69"/>
    <mergeCell ref="BX69:BY69"/>
    <mergeCell ref="BZ69:CA69"/>
    <mergeCell ref="F70:G70"/>
    <mergeCell ref="H70:K70"/>
    <mergeCell ref="L70:O70"/>
    <mergeCell ref="P70:R70"/>
    <mergeCell ref="S70:T70"/>
    <mergeCell ref="U70:V70"/>
    <mergeCell ref="W70:Z70"/>
    <mergeCell ref="AA70:AB70"/>
    <mergeCell ref="AC70:AI70"/>
    <mergeCell ref="AJ70:AK70"/>
    <mergeCell ref="AL70:AM70"/>
    <mergeCell ref="AN70:AO70"/>
    <mergeCell ref="AP70:AQ70"/>
    <mergeCell ref="AR70:AS70"/>
    <mergeCell ref="AT70:AU70"/>
    <mergeCell ref="AV70:AW70"/>
    <mergeCell ref="AX70:AY70"/>
    <mergeCell ref="AZ70:BA70"/>
    <mergeCell ref="BB70:BC70"/>
    <mergeCell ref="BD70:BE70"/>
    <mergeCell ref="BF70:BG70"/>
    <mergeCell ref="BH70:BI70"/>
    <mergeCell ref="BJ70:BK70"/>
    <mergeCell ref="BL70:BM70"/>
    <mergeCell ref="BN70:BO70"/>
    <mergeCell ref="BP70:BQ70"/>
    <mergeCell ref="BR70:BS70"/>
    <mergeCell ref="BT70:BU70"/>
    <mergeCell ref="BV70:BW70"/>
    <mergeCell ref="BX70:BY70"/>
    <mergeCell ref="BZ70:CA70"/>
    <mergeCell ref="F71:G71"/>
    <mergeCell ref="H71:K71"/>
    <mergeCell ref="L71:O71"/>
    <mergeCell ref="P71:R71"/>
    <mergeCell ref="S71:T71"/>
    <mergeCell ref="U71:V71"/>
    <mergeCell ref="W71:Z71"/>
    <mergeCell ref="AA71:AB71"/>
    <mergeCell ref="AC71:AI71"/>
    <mergeCell ref="AJ71:AK71"/>
    <mergeCell ref="AL71:AM71"/>
    <mergeCell ref="AN71:AO71"/>
    <mergeCell ref="AP71:AQ71"/>
    <mergeCell ref="AR71:AS71"/>
    <mergeCell ref="AT71:AU71"/>
    <mergeCell ref="AV71:AW71"/>
    <mergeCell ref="AX71:AY71"/>
    <mergeCell ref="AZ71:BA71"/>
    <mergeCell ref="BB71:BC71"/>
    <mergeCell ref="BD71:BE71"/>
    <mergeCell ref="BF71:BG71"/>
    <mergeCell ref="BH71:BI71"/>
    <mergeCell ref="BJ71:BK71"/>
    <mergeCell ref="BL71:BM71"/>
    <mergeCell ref="BN71:BO71"/>
    <mergeCell ref="BP71:BQ71"/>
    <mergeCell ref="BR71:BS71"/>
    <mergeCell ref="BT71:BU71"/>
    <mergeCell ref="BV71:BW71"/>
    <mergeCell ref="BX71:BY71"/>
    <mergeCell ref="BZ71:CA71"/>
    <mergeCell ref="F72:G72"/>
    <mergeCell ref="H72:K72"/>
    <mergeCell ref="L72:O72"/>
    <mergeCell ref="P72:R72"/>
    <mergeCell ref="S72:T72"/>
    <mergeCell ref="U72:V72"/>
    <mergeCell ref="W72:Z72"/>
    <mergeCell ref="AA72:AB72"/>
    <mergeCell ref="AC72:AI72"/>
    <mergeCell ref="AJ72:AK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BB72:BC72"/>
    <mergeCell ref="BD72:BE72"/>
    <mergeCell ref="BF72:BG72"/>
    <mergeCell ref="BH72:BI72"/>
    <mergeCell ref="BJ72:BK72"/>
    <mergeCell ref="BL72:BM72"/>
    <mergeCell ref="BN72:BO72"/>
    <mergeCell ref="BP72:BQ72"/>
    <mergeCell ref="BR72:BS72"/>
    <mergeCell ref="BT72:BU72"/>
    <mergeCell ref="BV72:BW72"/>
    <mergeCell ref="BX72:BY72"/>
    <mergeCell ref="BZ72:CA72"/>
    <mergeCell ref="F73:G73"/>
    <mergeCell ref="H73:K73"/>
    <mergeCell ref="L73:O73"/>
    <mergeCell ref="P73:R73"/>
    <mergeCell ref="S73:T73"/>
    <mergeCell ref="U73:V73"/>
    <mergeCell ref="W73:Z73"/>
    <mergeCell ref="AA73:AB73"/>
    <mergeCell ref="AC73:AI73"/>
    <mergeCell ref="AJ73:AK73"/>
    <mergeCell ref="AL73:AM73"/>
    <mergeCell ref="AN73:AO73"/>
    <mergeCell ref="AP73:AQ73"/>
    <mergeCell ref="AR73:AS73"/>
    <mergeCell ref="AT73:AU73"/>
    <mergeCell ref="AV73:AW73"/>
    <mergeCell ref="AX73:AY73"/>
    <mergeCell ref="AZ73:BA73"/>
    <mergeCell ref="BB73:BC73"/>
    <mergeCell ref="BD73:BE73"/>
    <mergeCell ref="BF73:BG73"/>
    <mergeCell ref="BH73:BI73"/>
    <mergeCell ref="BJ73:BK73"/>
    <mergeCell ref="BL73:BM73"/>
    <mergeCell ref="BN73:BO73"/>
    <mergeCell ref="BP73:BQ73"/>
    <mergeCell ref="BR73:BS73"/>
    <mergeCell ref="BT73:BU73"/>
    <mergeCell ref="BV73:BW73"/>
    <mergeCell ref="BX73:BY73"/>
    <mergeCell ref="BZ73:CA73"/>
    <mergeCell ref="F74:G74"/>
    <mergeCell ref="H74:K74"/>
    <mergeCell ref="L74:O74"/>
    <mergeCell ref="P74:R74"/>
    <mergeCell ref="S74:T74"/>
    <mergeCell ref="U74:V74"/>
    <mergeCell ref="W74:Z74"/>
    <mergeCell ref="AA74:AB74"/>
    <mergeCell ref="AC74:AI74"/>
    <mergeCell ref="AJ74:AK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BB74:BC74"/>
    <mergeCell ref="BD74:BE74"/>
    <mergeCell ref="BF74:BG74"/>
    <mergeCell ref="BH74:BI74"/>
    <mergeCell ref="BJ74:BK74"/>
    <mergeCell ref="BL74:BM74"/>
    <mergeCell ref="BN74:BO74"/>
    <mergeCell ref="BP74:BQ74"/>
    <mergeCell ref="BR74:BS74"/>
    <mergeCell ref="BT74:BU74"/>
    <mergeCell ref="BV74:BW74"/>
    <mergeCell ref="BX74:BY74"/>
    <mergeCell ref="BZ74:CA74"/>
    <mergeCell ref="F75:G75"/>
    <mergeCell ref="H75:K75"/>
    <mergeCell ref="L75:O75"/>
    <mergeCell ref="P75:R75"/>
    <mergeCell ref="S75:T75"/>
    <mergeCell ref="U75:V75"/>
    <mergeCell ref="W75:Z75"/>
    <mergeCell ref="AA75:AB75"/>
    <mergeCell ref="AC75:AI75"/>
    <mergeCell ref="AJ75:AK75"/>
    <mergeCell ref="AL75:AM75"/>
    <mergeCell ref="AN75:AO75"/>
    <mergeCell ref="AP75:AQ75"/>
    <mergeCell ref="AR75:AS75"/>
    <mergeCell ref="AT75:AU75"/>
    <mergeCell ref="AV75:AW75"/>
    <mergeCell ref="AX75:AY75"/>
    <mergeCell ref="AZ75:BA75"/>
    <mergeCell ref="BB75:BC75"/>
    <mergeCell ref="BD75:BE75"/>
    <mergeCell ref="BF75:BG75"/>
    <mergeCell ref="BH75:BI75"/>
    <mergeCell ref="BJ75:BK75"/>
    <mergeCell ref="BL75:BM75"/>
    <mergeCell ref="BN75:BO75"/>
    <mergeCell ref="BP75:BQ75"/>
    <mergeCell ref="BR75:BS75"/>
    <mergeCell ref="BT75:BU75"/>
    <mergeCell ref="BV75:BW75"/>
    <mergeCell ref="BX75:BY75"/>
    <mergeCell ref="BZ75:CA75"/>
    <mergeCell ref="F76:G76"/>
    <mergeCell ref="H76:K76"/>
    <mergeCell ref="L76:O76"/>
    <mergeCell ref="P76:R76"/>
    <mergeCell ref="S76:T76"/>
    <mergeCell ref="U76:V76"/>
    <mergeCell ref="W76:Z76"/>
    <mergeCell ref="AA76:AB76"/>
    <mergeCell ref="AC76:AI76"/>
    <mergeCell ref="AJ76:AK76"/>
    <mergeCell ref="AL76:AM76"/>
    <mergeCell ref="AN76:AO76"/>
    <mergeCell ref="AP76:AQ76"/>
    <mergeCell ref="AR76:AS76"/>
    <mergeCell ref="AT76:AU76"/>
    <mergeCell ref="AV76:AW76"/>
    <mergeCell ref="AX76:AY76"/>
    <mergeCell ref="AZ76:BA76"/>
    <mergeCell ref="BB76:BC76"/>
    <mergeCell ref="BD76:BE76"/>
    <mergeCell ref="BF76:BG76"/>
    <mergeCell ref="BH76:BI76"/>
    <mergeCell ref="BJ76:BK76"/>
    <mergeCell ref="BL76:BM76"/>
    <mergeCell ref="BN76:BO76"/>
    <mergeCell ref="BP76:BQ76"/>
    <mergeCell ref="BR76:BS76"/>
    <mergeCell ref="BT76:BU76"/>
    <mergeCell ref="BV76:BW76"/>
    <mergeCell ref="BX76:BY76"/>
    <mergeCell ref="BZ76:CA76"/>
    <mergeCell ref="F77:G77"/>
    <mergeCell ref="H77:K77"/>
    <mergeCell ref="L77:O77"/>
    <mergeCell ref="P77:R77"/>
    <mergeCell ref="S77:T77"/>
    <mergeCell ref="U77:V77"/>
    <mergeCell ref="W77:Z77"/>
    <mergeCell ref="AA77:AB77"/>
    <mergeCell ref="AC77:AI77"/>
    <mergeCell ref="AJ77:AK77"/>
    <mergeCell ref="AL77:AM77"/>
    <mergeCell ref="AN77:AO77"/>
    <mergeCell ref="AP77:AQ77"/>
    <mergeCell ref="AR77:AS77"/>
    <mergeCell ref="AT77:AU77"/>
    <mergeCell ref="AV77:AW77"/>
    <mergeCell ref="AX77:AY77"/>
    <mergeCell ref="AZ77:BA77"/>
    <mergeCell ref="BB77:BC77"/>
    <mergeCell ref="BD77:BE77"/>
    <mergeCell ref="BF77:BG77"/>
    <mergeCell ref="BH77:BI77"/>
    <mergeCell ref="BJ77:BK77"/>
    <mergeCell ref="BL77:BM77"/>
    <mergeCell ref="BN77:BO77"/>
    <mergeCell ref="BP77:BQ77"/>
    <mergeCell ref="BR77:BS77"/>
    <mergeCell ref="BT77:BU77"/>
    <mergeCell ref="BV77:BW77"/>
    <mergeCell ref="BX77:BY77"/>
    <mergeCell ref="BZ77:CA77"/>
    <mergeCell ref="F78:G78"/>
    <mergeCell ref="H78:K78"/>
    <mergeCell ref="L78:O78"/>
    <mergeCell ref="P78:R78"/>
    <mergeCell ref="S78:T78"/>
    <mergeCell ref="U78:V78"/>
    <mergeCell ref="W78:Z78"/>
    <mergeCell ref="AA78:AB78"/>
    <mergeCell ref="AC78:AI78"/>
    <mergeCell ref="AJ78:AK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BB78:BC78"/>
    <mergeCell ref="BD78:BE78"/>
    <mergeCell ref="BF78:BG78"/>
    <mergeCell ref="BH78:BI78"/>
    <mergeCell ref="BJ78:BK78"/>
    <mergeCell ref="BL78:BM78"/>
    <mergeCell ref="BN78:BO78"/>
    <mergeCell ref="BP78:BQ78"/>
    <mergeCell ref="BR78:BS78"/>
    <mergeCell ref="BT78:BU78"/>
    <mergeCell ref="BV78:BW78"/>
    <mergeCell ref="BX78:BY78"/>
    <mergeCell ref="BZ78:CA78"/>
    <mergeCell ref="F79:G79"/>
    <mergeCell ref="H79:K79"/>
    <mergeCell ref="L79:O79"/>
    <mergeCell ref="P79:R79"/>
    <mergeCell ref="S79:T79"/>
    <mergeCell ref="U79:V79"/>
    <mergeCell ref="W79:Z79"/>
    <mergeCell ref="AA79:AB79"/>
    <mergeCell ref="AC79:AI79"/>
    <mergeCell ref="AJ79:AK79"/>
    <mergeCell ref="AL79:AM79"/>
    <mergeCell ref="AN79:AO79"/>
    <mergeCell ref="AP79:AQ79"/>
    <mergeCell ref="AR79:AS79"/>
    <mergeCell ref="AT79:AU79"/>
    <mergeCell ref="AV79:AW79"/>
    <mergeCell ref="AX79:AY79"/>
    <mergeCell ref="AZ79:BA79"/>
    <mergeCell ref="BB79:BC79"/>
    <mergeCell ref="BD79:BE79"/>
    <mergeCell ref="BF79:BG79"/>
    <mergeCell ref="BH79:BI79"/>
    <mergeCell ref="BJ79:BK79"/>
    <mergeCell ref="BL79:BM79"/>
    <mergeCell ref="BN79:BO79"/>
    <mergeCell ref="BP79:BQ79"/>
    <mergeCell ref="BR79:BS79"/>
    <mergeCell ref="BT79:BU79"/>
    <mergeCell ref="BV79:BW79"/>
    <mergeCell ref="BX79:BY79"/>
    <mergeCell ref="BZ79:CA79"/>
  </mergeCells>
  <conditionalFormatting sqref="S16">
    <cfRule type="cellIs" dxfId="0" priority="1" operator="equal">
      <formula>0</formula>
    </cfRule>
  </conditionalFormatting>
  <conditionalFormatting sqref="U16">
    <cfRule type="cellIs" dxfId="1" priority="1" operator="equal">
      <formula>0</formula>
    </cfRule>
  </conditionalFormatting>
  <conditionalFormatting sqref="S17">
    <cfRule type="cellIs" dxfId="2" priority="1" operator="equal">
      <formula>0</formula>
    </cfRule>
  </conditionalFormatting>
  <conditionalFormatting sqref="U17">
    <cfRule type="cellIs" dxfId="3" priority="1" operator="equal">
      <formula>0</formula>
    </cfRule>
  </conditionalFormatting>
  <conditionalFormatting sqref="W17">
    <cfRule type="cellIs" dxfId="4" priority="1" operator="equal">
      <formula>0</formula>
    </cfRule>
  </conditionalFormatting>
  <conditionalFormatting sqref="S18">
    <cfRule type="cellIs" dxfId="5" priority="1" operator="equal">
      <formula>0</formula>
    </cfRule>
  </conditionalFormatting>
  <conditionalFormatting sqref="U18">
    <cfRule type="cellIs" dxfId="6" priority="1" operator="equal">
      <formula>0</formula>
    </cfRule>
  </conditionalFormatting>
  <conditionalFormatting sqref="W18">
    <cfRule type="cellIs" dxfId="7" priority="1" operator="equal">
      <formula>0</formula>
    </cfRule>
  </conditionalFormatting>
  <conditionalFormatting sqref="S19">
    <cfRule type="cellIs" dxfId="8" priority="1" operator="equal">
      <formula>0</formula>
    </cfRule>
  </conditionalFormatting>
  <conditionalFormatting sqref="U19">
    <cfRule type="cellIs" dxfId="9" priority="1" operator="equal">
      <formula>0</formula>
    </cfRule>
  </conditionalFormatting>
  <conditionalFormatting sqref="W19">
    <cfRule type="cellIs" dxfId="10" priority="1" operator="equal">
      <formula>0</formula>
    </cfRule>
  </conditionalFormatting>
  <conditionalFormatting sqref="S20">
    <cfRule type="cellIs" dxfId="11" priority="1" operator="equal">
      <formula>0</formula>
    </cfRule>
  </conditionalFormatting>
  <conditionalFormatting sqref="U20">
    <cfRule type="cellIs" dxfId="12" priority="1" operator="equal">
      <formula>0</formula>
    </cfRule>
  </conditionalFormatting>
  <conditionalFormatting sqref="W20">
    <cfRule type="cellIs" dxfId="13" priority="1" operator="equal">
      <formula>0</formula>
    </cfRule>
  </conditionalFormatting>
  <conditionalFormatting sqref="S21">
    <cfRule type="cellIs" dxfId="14" priority="1" operator="equal">
      <formula>0</formula>
    </cfRule>
  </conditionalFormatting>
  <conditionalFormatting sqref="U21">
    <cfRule type="cellIs" dxfId="15" priority="1" operator="equal">
      <formula>0</formula>
    </cfRule>
  </conditionalFormatting>
  <conditionalFormatting sqref="W21">
    <cfRule type="cellIs" dxfId="16" priority="1" operator="equal">
      <formula>0</formula>
    </cfRule>
  </conditionalFormatting>
  <conditionalFormatting sqref="S22">
    <cfRule type="cellIs" dxfId="17" priority="1" operator="equal">
      <formula>0</formula>
    </cfRule>
  </conditionalFormatting>
  <conditionalFormatting sqref="U22">
    <cfRule type="cellIs" dxfId="18" priority="1" operator="equal">
      <formula>0</formula>
    </cfRule>
  </conditionalFormatting>
  <conditionalFormatting sqref="W22">
    <cfRule type="cellIs" dxfId="19" priority="1" operator="equal">
      <formula>0</formula>
    </cfRule>
  </conditionalFormatting>
  <conditionalFormatting sqref="S23">
    <cfRule type="cellIs" dxfId="20" priority="1" operator="equal">
      <formula>0</formula>
    </cfRule>
  </conditionalFormatting>
  <conditionalFormatting sqref="U23">
    <cfRule type="cellIs" dxfId="21" priority="1" operator="equal">
      <formula>0</formula>
    </cfRule>
  </conditionalFormatting>
  <conditionalFormatting sqref="W23">
    <cfRule type="cellIs" dxfId="22" priority="1" operator="equal">
      <formula>0</formula>
    </cfRule>
  </conditionalFormatting>
  <conditionalFormatting sqref="S24">
    <cfRule type="cellIs" dxfId="23" priority="1" operator="equal">
      <formula>0</formula>
    </cfRule>
  </conditionalFormatting>
  <conditionalFormatting sqref="U24">
    <cfRule type="cellIs" dxfId="24" priority="1" operator="equal">
      <formula>0</formula>
    </cfRule>
  </conditionalFormatting>
  <conditionalFormatting sqref="S25">
    <cfRule type="cellIs" dxfId="25" priority="1" operator="equal">
      <formula>0</formula>
    </cfRule>
  </conditionalFormatting>
  <conditionalFormatting sqref="U25">
    <cfRule type="cellIs" dxfId="26" priority="1" operator="equal">
      <formula>0</formula>
    </cfRule>
  </conditionalFormatting>
  <conditionalFormatting sqref="S26">
    <cfRule type="cellIs" dxfId="27" priority="1" operator="equal">
      <formula>0</formula>
    </cfRule>
  </conditionalFormatting>
  <conditionalFormatting sqref="S27">
    <cfRule type="cellIs" dxfId="28" priority="1" operator="equal">
      <formula>0</formula>
    </cfRule>
  </conditionalFormatting>
  <conditionalFormatting sqref="U27">
    <cfRule type="cellIs" dxfId="29" priority="1" operator="equal">
      <formula>0</formula>
    </cfRule>
  </conditionalFormatting>
  <conditionalFormatting sqref="AC18">
    <cfRule type="cellIs" dxfId="30" priority="1" operator="equal">
      <formula>0</formula>
    </cfRule>
  </conditionalFormatting>
  <conditionalFormatting sqref="AD18">
    <cfRule type="cellIs" dxfId="31" priority="1" operator="equal">
      <formula>0</formula>
    </cfRule>
  </conditionalFormatting>
  <conditionalFormatting sqref="AE18">
    <cfRule type="cellIs" dxfId="32" priority="1" operator="equal">
      <formula>0</formula>
    </cfRule>
  </conditionalFormatting>
  <conditionalFormatting sqref="AE18">
    <cfRule type="cellIs" dxfId="33" priority="1" operator="equal">
      <formula>0</formula>
    </cfRule>
  </conditionalFormatting>
  <conditionalFormatting sqref="AF18">
    <cfRule type="cellIs" dxfId="34" priority="1" operator="equal">
      <formula>0</formula>
    </cfRule>
  </conditionalFormatting>
  <conditionalFormatting sqref="AF18">
    <cfRule type="cellIs" dxfId="35" priority="1" operator="equal">
      <formula>0</formula>
    </cfRule>
  </conditionalFormatting>
  <conditionalFormatting sqref="AC19">
    <cfRule type="cellIs" dxfId="36" priority="1" operator="equal">
      <formula>0</formula>
    </cfRule>
  </conditionalFormatting>
  <conditionalFormatting sqref="AD19">
    <cfRule type="cellIs" dxfId="37" priority="1" operator="equal">
      <formula>0</formula>
    </cfRule>
  </conditionalFormatting>
  <conditionalFormatting sqref="AE19">
    <cfRule type="cellIs" dxfId="38" priority="1" operator="equal">
      <formula>0</formula>
    </cfRule>
  </conditionalFormatting>
  <conditionalFormatting sqref="AE19">
    <cfRule type="cellIs" dxfId="39" priority="1" operator="equal">
      <formula>0</formula>
    </cfRule>
  </conditionalFormatting>
  <conditionalFormatting sqref="AF19">
    <cfRule type="cellIs" dxfId="40" priority="1" operator="equal">
      <formula>0</formula>
    </cfRule>
  </conditionalFormatting>
  <conditionalFormatting sqref="AF19">
    <cfRule type="cellIs" dxfId="41" priority="1" operator="equal">
      <formula>0</formula>
    </cfRule>
  </conditionalFormatting>
  <conditionalFormatting sqref="AL18">
    <cfRule type="cellIs" dxfId="42" priority="1" operator="equal">
      <formula>0</formula>
    </cfRule>
  </conditionalFormatting>
  <conditionalFormatting sqref="AN18">
    <cfRule type="cellIs" dxfId="43" priority="1" operator="equal">
      <formula>0</formula>
    </cfRule>
  </conditionalFormatting>
  <conditionalFormatting sqref="AN18">
    <cfRule type="cellIs" dxfId="44" priority="1" operator="equal">
      <formula>0</formula>
    </cfRule>
  </conditionalFormatting>
  <conditionalFormatting sqref="AL19">
    <cfRule type="cellIs" dxfId="45" priority="1" operator="equal">
      <formula>0</formula>
    </cfRule>
  </conditionalFormatting>
  <conditionalFormatting sqref="AN19">
    <cfRule type="cellIs" dxfId="46" priority="1" operator="equal">
      <formula>0</formula>
    </cfRule>
  </conditionalFormatting>
  <conditionalFormatting sqref="AN19">
    <cfRule type="cellIs" dxfId="47" priority="1" operator="equal">
      <formula>0</formula>
    </cfRule>
  </conditionalFormatting>
  <conditionalFormatting sqref="AL20">
    <cfRule type="cellIs" dxfId="48" priority="1" operator="equal">
      <formula>0</formula>
    </cfRule>
  </conditionalFormatting>
  <conditionalFormatting sqref="AN20">
    <cfRule type="cellIs" dxfId="49" priority="1" operator="equal">
      <formula>0</formula>
    </cfRule>
  </conditionalFormatting>
  <conditionalFormatting sqref="AN20">
    <cfRule type="cellIs" dxfId="50" priority="1" operator="equal">
      <formula>0</formula>
    </cfRule>
  </conditionalFormatting>
  <conditionalFormatting sqref="AL21">
    <cfRule type="cellIs" dxfId="51" priority="1" operator="equal">
      <formula>0</formula>
    </cfRule>
  </conditionalFormatting>
  <conditionalFormatting sqref="AN21">
    <cfRule type="cellIs" dxfId="52" priority="1" operator="equal">
      <formula>0</formula>
    </cfRule>
  </conditionalFormatting>
  <conditionalFormatting sqref="AN21">
    <cfRule type="cellIs" dxfId="53" priority="1" operator="equal">
      <formula>0</formula>
    </cfRule>
  </conditionalFormatting>
  <conditionalFormatting sqref="AL22">
    <cfRule type="cellIs" dxfId="54" priority="1" operator="equal">
      <formula>0</formula>
    </cfRule>
  </conditionalFormatting>
  <conditionalFormatting sqref="AN22">
    <cfRule type="cellIs" dxfId="55" priority="1" operator="equal">
      <formula>0</formula>
    </cfRule>
  </conditionalFormatting>
  <conditionalFormatting sqref="AN22">
    <cfRule type="cellIs" dxfId="56" priority="1" operator="equal">
      <formula>0</formula>
    </cfRule>
  </conditionalFormatting>
  <conditionalFormatting sqref="AI23">
    <cfRule type="cellIs" dxfId="57" priority="1" operator="equal">
      <formula>0</formula>
    </cfRule>
  </conditionalFormatting>
  <conditionalFormatting sqref="AL23">
    <cfRule type="cellIs" dxfId="58" priority="1" operator="equal">
      <formula>0</formula>
    </cfRule>
  </conditionalFormatting>
  <conditionalFormatting sqref="AN23">
    <cfRule type="cellIs" dxfId="59" priority="1" operator="equal">
      <formula>0</formula>
    </cfRule>
  </conditionalFormatting>
  <conditionalFormatting sqref="AN23">
    <cfRule type="cellIs" dxfId="60" priority="1" operator="equal">
      <formula>0</formula>
    </cfRule>
  </conditionalFormatting>
  <conditionalFormatting sqref="AL24">
    <cfRule type="cellIs" dxfId="61" priority="1" operator="equal">
      <formula>0</formula>
    </cfRule>
  </conditionalFormatting>
  <conditionalFormatting sqref="AN24">
    <cfRule type="cellIs" dxfId="62" priority="1" operator="equal">
      <formula>0</formula>
    </cfRule>
  </conditionalFormatting>
  <conditionalFormatting sqref="AN24">
    <cfRule type="cellIs" dxfId="63" priority="1" operator="equal">
      <formula>0</formula>
    </cfRule>
  </conditionalFormatting>
  <conditionalFormatting sqref="AL25">
    <cfRule type="cellIs" dxfId="64" priority="1" operator="equal">
      <formula>0</formula>
    </cfRule>
  </conditionalFormatting>
  <conditionalFormatting sqref="AN25">
    <cfRule type="cellIs" dxfId="65" priority="1" operator="equal">
      <formula>0</formula>
    </cfRule>
  </conditionalFormatting>
  <conditionalFormatting sqref="AN25">
    <cfRule type="cellIs" dxfId="66" priority="1" operator="equal">
      <formula>0</formula>
    </cfRule>
  </conditionalFormatting>
  <conditionalFormatting sqref="AX18">
    <cfRule type="cellIs" dxfId="67" priority="1" operator="equal">
      <formula>0</formula>
    </cfRule>
  </conditionalFormatting>
  <conditionalFormatting sqref="AY18">
    <cfRule type="cellIs" dxfId="68" priority="1" operator="equal">
      <formula>0</formula>
    </cfRule>
  </conditionalFormatting>
  <conditionalFormatting sqref="AZ18">
    <cfRule type="cellIs" dxfId="69" priority="1" operator="equal">
      <formula>0</formula>
    </cfRule>
  </conditionalFormatting>
  <conditionalFormatting sqref="AZ18">
    <cfRule type="cellIs" dxfId="70" priority="1" operator="equal">
      <formula>0</formula>
    </cfRule>
  </conditionalFormatting>
  <conditionalFormatting sqref="BA18">
    <cfRule type="cellIs" dxfId="71" priority="1" operator="equal">
      <formula>0</formula>
    </cfRule>
  </conditionalFormatting>
  <conditionalFormatting sqref="BA18">
    <cfRule type="cellIs" dxfId="72" priority="1" operator="equal">
      <formula>0</formula>
    </cfRule>
  </conditionalFormatting>
  <conditionalFormatting sqref="AX19">
    <cfRule type="cellIs" dxfId="73" priority="1" operator="equal">
      <formula>0</formula>
    </cfRule>
  </conditionalFormatting>
  <conditionalFormatting sqref="AY19">
    <cfRule type="cellIs" dxfId="74" priority="1" operator="equal">
      <formula>0</formula>
    </cfRule>
  </conditionalFormatting>
  <conditionalFormatting sqref="AZ19">
    <cfRule type="cellIs" dxfId="75" priority="1" operator="equal">
      <formula>0</formula>
    </cfRule>
  </conditionalFormatting>
  <conditionalFormatting sqref="AZ19">
    <cfRule type="cellIs" dxfId="76" priority="1" operator="equal">
      <formula>0</formula>
    </cfRule>
  </conditionalFormatting>
  <conditionalFormatting sqref="BA19">
    <cfRule type="cellIs" dxfId="77" priority="1" operator="equal">
      <formula>0</formula>
    </cfRule>
  </conditionalFormatting>
  <conditionalFormatting sqref="BA19">
    <cfRule type="cellIs" dxfId="78" priority="1" operator="equal">
      <formula>0</formula>
    </cfRule>
  </conditionalFormatting>
  <conditionalFormatting sqref="BG18">
    <cfRule type="cellIs" dxfId="79" priority="1" operator="equal">
      <formula>0</formula>
    </cfRule>
  </conditionalFormatting>
  <conditionalFormatting sqref="BI18">
    <cfRule type="cellIs" dxfId="80" priority="1" operator="equal">
      <formula>0</formula>
    </cfRule>
  </conditionalFormatting>
  <conditionalFormatting sqref="BI18">
    <cfRule type="cellIs" dxfId="81" priority="1" operator="equal">
      <formula>0</formula>
    </cfRule>
  </conditionalFormatting>
  <conditionalFormatting sqref="BG19">
    <cfRule type="cellIs" dxfId="82" priority="1" operator="equal">
      <formula>0</formula>
    </cfRule>
  </conditionalFormatting>
  <conditionalFormatting sqref="BI19">
    <cfRule type="cellIs" dxfId="83" priority="1" operator="equal">
      <formula>0</formula>
    </cfRule>
  </conditionalFormatting>
  <conditionalFormatting sqref="BI19">
    <cfRule type="cellIs" dxfId="84" priority="1" operator="equal">
      <formula>0</formula>
    </cfRule>
  </conditionalFormatting>
  <conditionalFormatting sqref="BG20">
    <cfRule type="cellIs" dxfId="85" priority="1" operator="equal">
      <formula>0</formula>
    </cfRule>
  </conditionalFormatting>
  <conditionalFormatting sqref="BI20">
    <cfRule type="cellIs" dxfId="86" priority="1" operator="equal">
      <formula>0</formula>
    </cfRule>
  </conditionalFormatting>
  <conditionalFormatting sqref="BI20">
    <cfRule type="cellIs" dxfId="87" priority="1" operator="equal">
      <formula>0</formula>
    </cfRule>
  </conditionalFormatting>
  <conditionalFormatting sqref="BG21">
    <cfRule type="cellIs" dxfId="88" priority="1" operator="equal">
      <formula>0</formula>
    </cfRule>
  </conditionalFormatting>
  <conditionalFormatting sqref="BI21">
    <cfRule type="cellIs" dxfId="89" priority="1" operator="equal">
      <formula>0</formula>
    </cfRule>
  </conditionalFormatting>
  <conditionalFormatting sqref="BI21">
    <cfRule type="cellIs" dxfId="90" priority="1" operator="equal">
      <formula>0</formula>
    </cfRule>
  </conditionalFormatting>
  <conditionalFormatting sqref="BG22">
    <cfRule type="cellIs" dxfId="91" priority="1" operator="equal">
      <formula>0</formula>
    </cfRule>
  </conditionalFormatting>
  <conditionalFormatting sqref="BI22">
    <cfRule type="cellIs" dxfId="92" priority="1" operator="equal">
      <formula>0</formula>
    </cfRule>
  </conditionalFormatting>
  <conditionalFormatting sqref="BI22">
    <cfRule type="cellIs" dxfId="93" priority="1" operator="equal">
      <formula>0</formula>
    </cfRule>
  </conditionalFormatting>
  <conditionalFormatting sqref="BD23">
    <cfRule type="cellIs" dxfId="94" priority="1" operator="equal">
      <formula>0</formula>
    </cfRule>
  </conditionalFormatting>
  <conditionalFormatting sqref="BG23">
    <cfRule type="cellIs" dxfId="95" priority="1" operator="equal">
      <formula>0</formula>
    </cfRule>
  </conditionalFormatting>
  <conditionalFormatting sqref="BI23">
    <cfRule type="cellIs" dxfId="96" priority="1" operator="equal">
      <formula>0</formula>
    </cfRule>
  </conditionalFormatting>
  <conditionalFormatting sqref="BI23">
    <cfRule type="cellIs" dxfId="97" priority="1" operator="equal">
      <formula>0</formula>
    </cfRule>
  </conditionalFormatting>
  <conditionalFormatting sqref="BG24">
    <cfRule type="cellIs" dxfId="98" priority="1" operator="equal">
      <formula>0</formula>
    </cfRule>
  </conditionalFormatting>
  <conditionalFormatting sqref="BI24">
    <cfRule type="cellIs" dxfId="99" priority="1" operator="equal">
      <formula>0</formula>
    </cfRule>
  </conditionalFormatting>
  <conditionalFormatting sqref="BI24">
    <cfRule type="cellIs" dxfId="100" priority="1" operator="equal">
      <formula>0</formula>
    </cfRule>
  </conditionalFormatting>
  <conditionalFormatting sqref="BG25">
    <cfRule type="cellIs" dxfId="101" priority="1" operator="equal">
      <formula>0</formula>
    </cfRule>
  </conditionalFormatting>
  <conditionalFormatting sqref="BI25">
    <cfRule type="cellIs" dxfId="102" priority="1" operator="equal">
      <formula>0</formula>
    </cfRule>
  </conditionalFormatting>
  <conditionalFormatting sqref="BI25">
    <cfRule type="cellIs" dxfId="103" priority="1" operator="equal">
      <formula>0</formula>
    </cfRule>
  </conditionalFormatting>
  <conditionalFormatting sqref="K34">
    <cfRule type="cellIs" dxfId="104" priority="1" operator="equal">
      <formula>0</formula>
    </cfRule>
  </conditionalFormatting>
  <conditionalFormatting sqref="N34">
    <cfRule type="cellIs" dxfId="105" priority="1" operator="equal">
      <formula>0</formula>
    </cfRule>
  </conditionalFormatting>
  <conditionalFormatting sqref="Q34">
    <cfRule type="cellIs" dxfId="106" priority="1" operator="equal">
      <formula>0</formula>
    </cfRule>
  </conditionalFormatting>
  <conditionalFormatting sqref="T34">
    <cfRule type="cellIs" dxfId="107" priority="1" operator="equal">
      <formula>0</formula>
    </cfRule>
  </conditionalFormatting>
  <conditionalFormatting sqref="W34">
    <cfRule type="cellIs" dxfId="108" priority="1" operator="equal">
      <formula>0</formula>
    </cfRule>
  </conditionalFormatting>
  <conditionalFormatting sqref="Z34">
    <cfRule type="cellIs" dxfId="109" priority="1" operator="equal">
      <formula>0</formula>
    </cfRule>
  </conditionalFormatting>
  <conditionalFormatting sqref="AC34">
    <cfRule type="cellIs" dxfId="110" priority="1" operator="equal">
      <formula>0</formula>
    </cfRule>
  </conditionalFormatting>
  <conditionalFormatting sqref="AF34">
    <cfRule type="cellIs" dxfId="111" priority="1" operator="equal">
      <formula>0</formula>
    </cfRule>
  </conditionalFormatting>
  <conditionalFormatting sqref="AI34">
    <cfRule type="cellIs" dxfId="112" priority="1" operator="equal">
      <formula>0</formula>
    </cfRule>
  </conditionalFormatting>
  <conditionalFormatting sqref="AL34">
    <cfRule type="cellIs" dxfId="113" priority="1" operator="equal">
      <formula>0</formula>
    </cfRule>
  </conditionalFormatting>
  <conditionalFormatting sqref="AO34">
    <cfRule type="cellIs" dxfId="114" priority="1" operator="equal">
      <formula>0</formula>
    </cfRule>
  </conditionalFormatting>
  <conditionalFormatting sqref="K35">
    <cfRule type="cellIs" dxfId="115" priority="1" operator="equal">
      <formula>0</formula>
    </cfRule>
  </conditionalFormatting>
  <conditionalFormatting sqref="N35">
    <cfRule type="cellIs" dxfId="116" priority="1" operator="equal">
      <formula>0</formula>
    </cfRule>
  </conditionalFormatting>
  <conditionalFormatting sqref="Q35">
    <cfRule type="cellIs" dxfId="117" priority="1" operator="equal">
      <formula>0</formula>
    </cfRule>
  </conditionalFormatting>
  <conditionalFormatting sqref="T35">
    <cfRule type="cellIs" dxfId="118" priority="1" operator="equal">
      <formula>0</formula>
    </cfRule>
  </conditionalFormatting>
  <conditionalFormatting sqref="W35">
    <cfRule type="cellIs" dxfId="119" priority="1" operator="equal">
      <formula>0</formula>
    </cfRule>
  </conditionalFormatting>
  <conditionalFormatting sqref="Z35">
    <cfRule type="cellIs" dxfId="120" priority="1" operator="equal">
      <formula>0</formula>
    </cfRule>
  </conditionalFormatting>
  <conditionalFormatting sqref="AC35">
    <cfRule type="cellIs" dxfId="121" priority="1" operator="equal">
      <formula>0</formula>
    </cfRule>
  </conditionalFormatting>
  <conditionalFormatting sqref="AF35">
    <cfRule type="cellIs" dxfId="122" priority="1" operator="equal">
      <formula>0</formula>
    </cfRule>
  </conditionalFormatting>
  <conditionalFormatting sqref="AI35">
    <cfRule type="cellIs" dxfId="123" priority="1" operator="equal">
      <formula>0</formula>
    </cfRule>
  </conditionalFormatting>
  <conditionalFormatting sqref="AL35">
    <cfRule type="cellIs" dxfId="124" priority="1" operator="equal">
      <formula>0</formula>
    </cfRule>
  </conditionalFormatting>
  <conditionalFormatting sqref="AO35">
    <cfRule type="cellIs" dxfId="125" priority="1" operator="equal">
      <formula>0</formula>
    </cfRule>
  </conditionalFormatting>
  <conditionalFormatting sqref="K36">
    <cfRule type="cellIs" dxfId="126" priority="1" operator="equal">
      <formula>0</formula>
    </cfRule>
  </conditionalFormatting>
  <conditionalFormatting sqref="N36">
    <cfRule type="cellIs" dxfId="127" priority="1" operator="equal">
      <formula>0</formula>
    </cfRule>
  </conditionalFormatting>
  <conditionalFormatting sqref="Q36">
    <cfRule type="cellIs" dxfId="128" priority="1" operator="equal">
      <formula>0</formula>
    </cfRule>
  </conditionalFormatting>
  <conditionalFormatting sqref="T36">
    <cfRule type="cellIs" dxfId="129" priority="1" operator="equal">
      <formula>0</formula>
    </cfRule>
  </conditionalFormatting>
  <conditionalFormatting sqref="W36">
    <cfRule type="cellIs" dxfId="130" priority="1" operator="equal">
      <formula>0</formula>
    </cfRule>
  </conditionalFormatting>
  <conditionalFormatting sqref="Z36">
    <cfRule type="cellIs" dxfId="131" priority="1" operator="equal">
      <formula>0</formula>
    </cfRule>
  </conditionalFormatting>
  <conditionalFormatting sqref="AC36">
    <cfRule type="cellIs" dxfId="132" priority="1" operator="equal">
      <formula>0</formula>
    </cfRule>
  </conditionalFormatting>
  <conditionalFormatting sqref="AF36">
    <cfRule type="cellIs" dxfId="133" priority="1" operator="equal">
      <formula>0</formula>
    </cfRule>
  </conditionalFormatting>
  <conditionalFormatting sqref="AI36">
    <cfRule type="cellIs" dxfId="134" priority="1" operator="equal">
      <formula>0</formula>
    </cfRule>
  </conditionalFormatting>
  <conditionalFormatting sqref="AL36">
    <cfRule type="cellIs" dxfId="135" priority="1" operator="equal">
      <formula>0</formula>
    </cfRule>
  </conditionalFormatting>
  <conditionalFormatting sqref="AO36">
    <cfRule type="cellIs" dxfId="136" priority="1" operator="equal">
      <formula>0</formula>
    </cfRule>
  </conditionalFormatting>
  <conditionalFormatting sqref="K37">
    <cfRule type="cellIs" dxfId="137" priority="1" operator="equal">
      <formula>0</formula>
    </cfRule>
  </conditionalFormatting>
  <conditionalFormatting sqref="N37">
    <cfRule type="cellIs" dxfId="138" priority="1" operator="equal">
      <formula>0</formula>
    </cfRule>
  </conditionalFormatting>
  <conditionalFormatting sqref="Q37">
    <cfRule type="cellIs" dxfId="139" priority="1" operator="equal">
      <formula>0</formula>
    </cfRule>
  </conditionalFormatting>
  <conditionalFormatting sqref="T37">
    <cfRule type="cellIs" dxfId="140" priority="1" operator="equal">
      <formula>0</formula>
    </cfRule>
  </conditionalFormatting>
  <conditionalFormatting sqref="W37">
    <cfRule type="cellIs" dxfId="141" priority="1" operator="equal">
      <formula>0</formula>
    </cfRule>
  </conditionalFormatting>
  <conditionalFormatting sqref="Z37">
    <cfRule type="cellIs" dxfId="142" priority="1" operator="equal">
      <formula>0</formula>
    </cfRule>
  </conditionalFormatting>
  <conditionalFormatting sqref="AC37">
    <cfRule type="cellIs" dxfId="143" priority="1" operator="equal">
      <formula>0</formula>
    </cfRule>
  </conditionalFormatting>
  <conditionalFormatting sqref="AF37">
    <cfRule type="cellIs" dxfId="144" priority="1" operator="equal">
      <formula>0</formula>
    </cfRule>
  </conditionalFormatting>
  <conditionalFormatting sqref="AI37">
    <cfRule type="cellIs" dxfId="145" priority="1" operator="equal">
      <formula>0</formula>
    </cfRule>
  </conditionalFormatting>
  <conditionalFormatting sqref="AL37">
    <cfRule type="cellIs" dxfId="146" priority="1" operator="equal">
      <formula>0</formula>
    </cfRule>
  </conditionalFormatting>
  <conditionalFormatting sqref="AO37">
    <cfRule type="cellIs" dxfId="147" priority="1" operator="equal">
      <formula>0</formula>
    </cfRule>
  </conditionalFormatting>
  <conditionalFormatting sqref="K38">
    <cfRule type="cellIs" dxfId="148" priority="1" operator="equal">
      <formula>0</formula>
    </cfRule>
  </conditionalFormatting>
  <conditionalFormatting sqref="N38">
    <cfRule type="cellIs" dxfId="149" priority="1" operator="equal">
      <formula>0</formula>
    </cfRule>
  </conditionalFormatting>
  <conditionalFormatting sqref="Q38">
    <cfRule type="cellIs" dxfId="150" priority="1" operator="equal">
      <formula>0</formula>
    </cfRule>
  </conditionalFormatting>
  <conditionalFormatting sqref="T38">
    <cfRule type="cellIs" dxfId="151" priority="1" operator="equal">
      <formula>0</formula>
    </cfRule>
  </conditionalFormatting>
  <conditionalFormatting sqref="W38">
    <cfRule type="cellIs" dxfId="152" priority="1" operator="equal">
      <formula>0</formula>
    </cfRule>
  </conditionalFormatting>
  <conditionalFormatting sqref="Z38">
    <cfRule type="cellIs" dxfId="153" priority="1" operator="equal">
      <formula>0</formula>
    </cfRule>
  </conditionalFormatting>
  <conditionalFormatting sqref="AC38">
    <cfRule type="cellIs" dxfId="154" priority="1" operator="equal">
      <formula>0</formula>
    </cfRule>
  </conditionalFormatting>
  <conditionalFormatting sqref="AF38">
    <cfRule type="cellIs" dxfId="155" priority="1" operator="equal">
      <formula>0</formula>
    </cfRule>
  </conditionalFormatting>
  <conditionalFormatting sqref="AI38">
    <cfRule type="cellIs" dxfId="156" priority="1" operator="equal">
      <formula>0</formula>
    </cfRule>
  </conditionalFormatting>
  <conditionalFormatting sqref="AL38">
    <cfRule type="cellIs" dxfId="157" priority="1" operator="equal">
      <formula>0</formula>
    </cfRule>
  </conditionalFormatting>
  <conditionalFormatting sqref="AO38">
    <cfRule type="cellIs" dxfId="158" priority="1" operator="equal">
      <formula>0</formula>
    </cfRule>
  </conditionalFormatting>
  <conditionalFormatting sqref="K39">
    <cfRule type="cellIs" dxfId="159" priority="1" operator="equal">
      <formula>0</formula>
    </cfRule>
  </conditionalFormatting>
  <conditionalFormatting sqref="N39">
    <cfRule type="cellIs" dxfId="160" priority="1" operator="equal">
      <formula>0</formula>
    </cfRule>
  </conditionalFormatting>
  <conditionalFormatting sqref="Q39">
    <cfRule type="cellIs" dxfId="161" priority="1" operator="equal">
      <formula>0</formula>
    </cfRule>
  </conditionalFormatting>
  <conditionalFormatting sqref="T39">
    <cfRule type="cellIs" dxfId="162" priority="1" operator="equal">
      <formula>0</formula>
    </cfRule>
  </conditionalFormatting>
  <conditionalFormatting sqref="W39">
    <cfRule type="cellIs" dxfId="163" priority="1" operator="equal">
      <formula>0</formula>
    </cfRule>
  </conditionalFormatting>
  <conditionalFormatting sqref="Z39">
    <cfRule type="cellIs" dxfId="164" priority="1" operator="equal">
      <formula>0</formula>
    </cfRule>
  </conditionalFormatting>
  <conditionalFormatting sqref="AC39">
    <cfRule type="cellIs" dxfId="165" priority="1" operator="equal">
      <formula>0</formula>
    </cfRule>
  </conditionalFormatting>
  <conditionalFormatting sqref="AF39">
    <cfRule type="cellIs" dxfId="166" priority="1" operator="equal">
      <formula>0</formula>
    </cfRule>
  </conditionalFormatting>
  <conditionalFormatting sqref="AI39">
    <cfRule type="cellIs" dxfId="167" priority="1" operator="equal">
      <formula>0</formula>
    </cfRule>
  </conditionalFormatting>
  <conditionalFormatting sqref="AL39">
    <cfRule type="cellIs" dxfId="168" priority="1" operator="equal">
      <formula>0</formula>
    </cfRule>
  </conditionalFormatting>
  <conditionalFormatting sqref="AO39">
    <cfRule type="cellIs" dxfId="169" priority="1" operator="equal">
      <formula>0</formula>
    </cfRule>
  </conditionalFormatting>
  <conditionalFormatting sqref="K40">
    <cfRule type="cellIs" dxfId="170" priority="1" operator="equal">
      <formula>0</formula>
    </cfRule>
  </conditionalFormatting>
  <conditionalFormatting sqref="N40">
    <cfRule type="cellIs" dxfId="171" priority="1" operator="equal">
      <formula>0</formula>
    </cfRule>
  </conditionalFormatting>
  <conditionalFormatting sqref="Q40">
    <cfRule type="cellIs" dxfId="172" priority="1" operator="equal">
      <formula>0</formula>
    </cfRule>
  </conditionalFormatting>
  <conditionalFormatting sqref="T40">
    <cfRule type="cellIs" dxfId="173" priority="1" operator="equal">
      <formula>0</formula>
    </cfRule>
  </conditionalFormatting>
  <conditionalFormatting sqref="W40">
    <cfRule type="cellIs" dxfId="174" priority="1" operator="equal">
      <formula>0</formula>
    </cfRule>
  </conditionalFormatting>
  <conditionalFormatting sqref="Z40">
    <cfRule type="cellIs" dxfId="175" priority="1" operator="equal">
      <formula>0</formula>
    </cfRule>
  </conditionalFormatting>
  <conditionalFormatting sqref="AC40">
    <cfRule type="cellIs" dxfId="176" priority="1" operator="equal">
      <formula>0</formula>
    </cfRule>
  </conditionalFormatting>
  <conditionalFormatting sqref="AF40">
    <cfRule type="cellIs" dxfId="177" priority="1" operator="equal">
      <formula>0</formula>
    </cfRule>
  </conditionalFormatting>
  <conditionalFormatting sqref="AI40">
    <cfRule type="cellIs" dxfId="178" priority="1" operator="equal">
      <formula>0</formula>
    </cfRule>
  </conditionalFormatting>
  <conditionalFormatting sqref="AL40">
    <cfRule type="cellIs" dxfId="179" priority="1" operator="equal">
      <formula>0</formula>
    </cfRule>
  </conditionalFormatting>
  <conditionalFormatting sqref="AO40">
    <cfRule type="cellIs" dxfId="180" priority="1" operator="equal">
      <formula>0</formula>
    </cfRule>
  </conditionalFormatting>
  <conditionalFormatting sqref="K41">
    <cfRule type="cellIs" dxfId="181" priority="1" operator="equal">
      <formula>0</formula>
    </cfRule>
  </conditionalFormatting>
  <conditionalFormatting sqref="N41">
    <cfRule type="cellIs" dxfId="182" priority="1" operator="equal">
      <formula>0</formula>
    </cfRule>
  </conditionalFormatting>
  <conditionalFormatting sqref="Q41">
    <cfRule type="cellIs" dxfId="183" priority="1" operator="equal">
      <formula>0</formula>
    </cfRule>
  </conditionalFormatting>
  <conditionalFormatting sqref="T41">
    <cfRule type="cellIs" dxfId="184" priority="1" operator="equal">
      <formula>0</formula>
    </cfRule>
  </conditionalFormatting>
  <conditionalFormatting sqref="W41">
    <cfRule type="cellIs" dxfId="185" priority="1" operator="equal">
      <formula>0</formula>
    </cfRule>
  </conditionalFormatting>
  <conditionalFormatting sqref="Z41">
    <cfRule type="cellIs" dxfId="186" priority="1" operator="equal">
      <formula>0</formula>
    </cfRule>
  </conditionalFormatting>
  <conditionalFormatting sqref="AC41">
    <cfRule type="cellIs" dxfId="187" priority="1" operator="equal">
      <formula>0</formula>
    </cfRule>
  </conditionalFormatting>
  <conditionalFormatting sqref="AF41">
    <cfRule type="cellIs" dxfId="188" priority="1" operator="equal">
      <formula>0</formula>
    </cfRule>
  </conditionalFormatting>
  <conditionalFormatting sqref="AI41">
    <cfRule type="cellIs" dxfId="189" priority="1" operator="equal">
      <formula>0</formula>
    </cfRule>
  </conditionalFormatting>
  <conditionalFormatting sqref="AL41">
    <cfRule type="cellIs" dxfId="190" priority="1" operator="equal">
      <formula>0</formula>
    </cfRule>
  </conditionalFormatting>
  <conditionalFormatting sqref="AO41">
    <cfRule type="cellIs" dxfId="191" priority="1" operator="equal">
      <formula>0</formula>
    </cfRule>
  </conditionalFormatting>
  <conditionalFormatting sqref="AY34">
    <cfRule type="cellIs" dxfId="192" priority="1" operator="equal">
      <formula>0</formula>
    </cfRule>
  </conditionalFormatting>
  <conditionalFormatting sqref="BB34">
    <cfRule type="cellIs" dxfId="193" priority="1" operator="equal">
      <formula>0</formula>
    </cfRule>
  </conditionalFormatting>
  <conditionalFormatting sqref="BE34">
    <cfRule type="cellIs" dxfId="194" priority="1" operator="equal">
      <formula>0</formula>
    </cfRule>
  </conditionalFormatting>
  <conditionalFormatting sqref="BH34">
    <cfRule type="cellIs" dxfId="195" priority="1" operator="equal">
      <formula>0</formula>
    </cfRule>
  </conditionalFormatting>
  <conditionalFormatting sqref="BK34">
    <cfRule type="cellIs" dxfId="196" priority="1" operator="equal">
      <formula>0</formula>
    </cfRule>
  </conditionalFormatting>
  <conditionalFormatting sqref="BN34">
    <cfRule type="cellIs" dxfId="197" priority="1" operator="equal">
      <formula>0</formula>
    </cfRule>
  </conditionalFormatting>
  <conditionalFormatting sqref="BQ34">
    <cfRule type="cellIs" dxfId="198" priority="1" operator="equal">
      <formula>0</formula>
    </cfRule>
  </conditionalFormatting>
  <conditionalFormatting sqref="BT34">
    <cfRule type="cellIs" dxfId="199" priority="1" operator="equal">
      <formula>0</formula>
    </cfRule>
  </conditionalFormatting>
  <conditionalFormatting sqref="BW34">
    <cfRule type="cellIs" dxfId="200" priority="1" operator="equal">
      <formula>0</formula>
    </cfRule>
  </conditionalFormatting>
  <conditionalFormatting sqref="BZ34">
    <cfRule type="cellIs" dxfId="201" priority="1" operator="equal">
      <formula>0</formula>
    </cfRule>
  </conditionalFormatting>
  <conditionalFormatting sqref="CC34">
    <cfRule type="cellIs" dxfId="202" priority="1" operator="equal">
      <formula>0</formula>
    </cfRule>
  </conditionalFormatting>
  <conditionalFormatting sqref="AY35">
    <cfRule type="cellIs" dxfId="203" priority="1" operator="equal">
      <formula>0</formula>
    </cfRule>
  </conditionalFormatting>
  <conditionalFormatting sqref="BB35">
    <cfRule type="cellIs" dxfId="204" priority="1" operator="equal">
      <formula>0</formula>
    </cfRule>
  </conditionalFormatting>
  <conditionalFormatting sqref="BE35">
    <cfRule type="cellIs" dxfId="205" priority="1" operator="equal">
      <formula>0</formula>
    </cfRule>
  </conditionalFormatting>
  <conditionalFormatting sqref="BH35">
    <cfRule type="cellIs" dxfId="206" priority="1" operator="equal">
      <formula>0</formula>
    </cfRule>
  </conditionalFormatting>
  <conditionalFormatting sqref="BK35">
    <cfRule type="cellIs" dxfId="207" priority="1" operator="equal">
      <formula>0</formula>
    </cfRule>
  </conditionalFormatting>
  <conditionalFormatting sqref="BN35">
    <cfRule type="cellIs" dxfId="208" priority="1" operator="equal">
      <formula>0</formula>
    </cfRule>
  </conditionalFormatting>
  <conditionalFormatting sqref="BQ35">
    <cfRule type="cellIs" dxfId="209" priority="1" operator="equal">
      <formula>0</formula>
    </cfRule>
  </conditionalFormatting>
  <conditionalFormatting sqref="BT35">
    <cfRule type="cellIs" dxfId="210" priority="1" operator="equal">
      <formula>0</formula>
    </cfRule>
  </conditionalFormatting>
  <conditionalFormatting sqref="BW35">
    <cfRule type="cellIs" dxfId="211" priority="1" operator="equal">
      <formula>0</formula>
    </cfRule>
  </conditionalFormatting>
  <conditionalFormatting sqref="BZ35">
    <cfRule type="cellIs" dxfId="212" priority="1" operator="equal">
      <formula>0</formula>
    </cfRule>
  </conditionalFormatting>
  <conditionalFormatting sqref="CC35">
    <cfRule type="cellIs" dxfId="213" priority="1" operator="equal">
      <formula>0</formula>
    </cfRule>
  </conditionalFormatting>
  <conditionalFormatting sqref="AY36">
    <cfRule type="cellIs" dxfId="214" priority="1" operator="equal">
      <formula>0</formula>
    </cfRule>
  </conditionalFormatting>
  <conditionalFormatting sqref="BB36">
    <cfRule type="cellIs" dxfId="215" priority="1" operator="equal">
      <formula>0</formula>
    </cfRule>
  </conditionalFormatting>
  <conditionalFormatting sqref="BE36">
    <cfRule type="cellIs" dxfId="216" priority="1" operator="equal">
      <formula>0</formula>
    </cfRule>
  </conditionalFormatting>
  <conditionalFormatting sqref="BH36">
    <cfRule type="cellIs" dxfId="217" priority="1" operator="equal">
      <formula>0</formula>
    </cfRule>
  </conditionalFormatting>
  <conditionalFormatting sqref="BK36">
    <cfRule type="cellIs" dxfId="218" priority="1" operator="equal">
      <formula>0</formula>
    </cfRule>
  </conditionalFormatting>
  <conditionalFormatting sqref="BN36">
    <cfRule type="cellIs" dxfId="219" priority="1" operator="equal">
      <formula>0</formula>
    </cfRule>
  </conditionalFormatting>
  <conditionalFormatting sqref="BQ36">
    <cfRule type="cellIs" dxfId="220" priority="1" operator="equal">
      <formula>0</formula>
    </cfRule>
  </conditionalFormatting>
  <conditionalFormatting sqref="BT36">
    <cfRule type="cellIs" dxfId="221" priority="1" operator="equal">
      <formula>0</formula>
    </cfRule>
  </conditionalFormatting>
  <conditionalFormatting sqref="BW36">
    <cfRule type="cellIs" dxfId="222" priority="1" operator="equal">
      <formula>0</formula>
    </cfRule>
  </conditionalFormatting>
  <conditionalFormatting sqref="BZ36">
    <cfRule type="cellIs" dxfId="223" priority="1" operator="equal">
      <formula>0</formula>
    </cfRule>
  </conditionalFormatting>
  <conditionalFormatting sqref="CC36">
    <cfRule type="cellIs" dxfId="224" priority="1" operator="equal">
      <formula>0</formula>
    </cfRule>
  </conditionalFormatting>
  <conditionalFormatting sqref="AY37">
    <cfRule type="cellIs" dxfId="225" priority="1" operator="equal">
      <formula>0</formula>
    </cfRule>
  </conditionalFormatting>
  <conditionalFormatting sqref="BB37">
    <cfRule type="cellIs" dxfId="226" priority="1" operator="equal">
      <formula>0</formula>
    </cfRule>
  </conditionalFormatting>
  <conditionalFormatting sqref="BE37">
    <cfRule type="cellIs" dxfId="227" priority="1" operator="equal">
      <formula>0</formula>
    </cfRule>
  </conditionalFormatting>
  <conditionalFormatting sqref="BH37">
    <cfRule type="cellIs" dxfId="228" priority="1" operator="equal">
      <formula>0</formula>
    </cfRule>
  </conditionalFormatting>
  <conditionalFormatting sqref="BK37">
    <cfRule type="cellIs" dxfId="229" priority="1" operator="equal">
      <formula>0</formula>
    </cfRule>
  </conditionalFormatting>
  <conditionalFormatting sqref="BN37">
    <cfRule type="cellIs" dxfId="230" priority="1" operator="equal">
      <formula>0</formula>
    </cfRule>
  </conditionalFormatting>
  <conditionalFormatting sqref="BQ37">
    <cfRule type="cellIs" dxfId="231" priority="1" operator="equal">
      <formula>0</formula>
    </cfRule>
  </conditionalFormatting>
  <conditionalFormatting sqref="BT37">
    <cfRule type="cellIs" dxfId="232" priority="1" operator="equal">
      <formula>0</formula>
    </cfRule>
  </conditionalFormatting>
  <conditionalFormatting sqref="BW37">
    <cfRule type="cellIs" dxfId="233" priority="1" operator="equal">
      <formula>0</formula>
    </cfRule>
  </conditionalFormatting>
  <conditionalFormatting sqref="BZ37">
    <cfRule type="cellIs" dxfId="234" priority="1" operator="equal">
      <formula>0</formula>
    </cfRule>
  </conditionalFormatting>
  <conditionalFormatting sqref="CC37">
    <cfRule type="cellIs" dxfId="235" priority="1" operator="equal">
      <formula>0</formula>
    </cfRule>
  </conditionalFormatting>
  <conditionalFormatting sqref="AY38">
    <cfRule type="cellIs" dxfId="236" priority="1" operator="equal">
      <formula>0</formula>
    </cfRule>
  </conditionalFormatting>
  <conditionalFormatting sqref="BB38">
    <cfRule type="cellIs" dxfId="237" priority="1" operator="equal">
      <formula>0</formula>
    </cfRule>
  </conditionalFormatting>
  <conditionalFormatting sqref="BE38">
    <cfRule type="cellIs" dxfId="238" priority="1" operator="equal">
      <formula>0</formula>
    </cfRule>
  </conditionalFormatting>
  <conditionalFormatting sqref="BH38">
    <cfRule type="cellIs" dxfId="239" priority="1" operator="equal">
      <formula>0</formula>
    </cfRule>
  </conditionalFormatting>
  <conditionalFormatting sqref="BK38">
    <cfRule type="cellIs" dxfId="240" priority="1" operator="equal">
      <formula>0</formula>
    </cfRule>
  </conditionalFormatting>
  <conditionalFormatting sqref="BN38">
    <cfRule type="cellIs" dxfId="241" priority="1" operator="equal">
      <formula>0</formula>
    </cfRule>
  </conditionalFormatting>
  <conditionalFormatting sqref="BQ38">
    <cfRule type="cellIs" dxfId="242" priority="1" operator="equal">
      <formula>0</formula>
    </cfRule>
  </conditionalFormatting>
  <conditionalFormatting sqref="BT38">
    <cfRule type="cellIs" dxfId="243" priority="1" operator="equal">
      <formula>0</formula>
    </cfRule>
  </conditionalFormatting>
  <conditionalFormatting sqref="BW38">
    <cfRule type="cellIs" dxfId="244" priority="1" operator="equal">
      <formula>0</formula>
    </cfRule>
  </conditionalFormatting>
  <conditionalFormatting sqref="BZ38">
    <cfRule type="cellIs" dxfId="245" priority="1" operator="equal">
      <formula>0</formula>
    </cfRule>
  </conditionalFormatting>
  <conditionalFormatting sqref="CC38">
    <cfRule type="cellIs" dxfId="246" priority="1" operator="equal">
      <formula>0</formula>
    </cfRule>
  </conditionalFormatting>
  <conditionalFormatting sqref="AY39">
    <cfRule type="cellIs" dxfId="247" priority="1" operator="equal">
      <formula>0</formula>
    </cfRule>
  </conditionalFormatting>
  <conditionalFormatting sqref="BB39">
    <cfRule type="cellIs" dxfId="248" priority="1" operator="equal">
      <formula>0</formula>
    </cfRule>
  </conditionalFormatting>
  <conditionalFormatting sqref="BE39">
    <cfRule type="cellIs" dxfId="249" priority="1" operator="equal">
      <formula>0</formula>
    </cfRule>
  </conditionalFormatting>
  <conditionalFormatting sqref="BH39">
    <cfRule type="cellIs" dxfId="250" priority="1" operator="equal">
      <formula>0</formula>
    </cfRule>
  </conditionalFormatting>
  <conditionalFormatting sqref="BK39">
    <cfRule type="cellIs" dxfId="251" priority="1" operator="equal">
      <formula>0</formula>
    </cfRule>
  </conditionalFormatting>
  <conditionalFormatting sqref="BN39">
    <cfRule type="cellIs" dxfId="252" priority="1" operator="equal">
      <formula>0</formula>
    </cfRule>
  </conditionalFormatting>
  <conditionalFormatting sqref="BQ39">
    <cfRule type="cellIs" dxfId="253" priority="1" operator="equal">
      <formula>0</formula>
    </cfRule>
  </conditionalFormatting>
  <conditionalFormatting sqref="BT39">
    <cfRule type="cellIs" dxfId="254" priority="1" operator="equal">
      <formula>0</formula>
    </cfRule>
  </conditionalFormatting>
  <conditionalFormatting sqref="BW39">
    <cfRule type="cellIs" dxfId="255" priority="1" operator="equal">
      <formula>0</formula>
    </cfRule>
  </conditionalFormatting>
  <conditionalFormatting sqref="BZ39">
    <cfRule type="cellIs" dxfId="256" priority="1" operator="equal">
      <formula>0</formula>
    </cfRule>
  </conditionalFormatting>
  <conditionalFormatting sqref="CC39">
    <cfRule type="cellIs" dxfId="257" priority="1" operator="equal">
      <formula>0</formula>
    </cfRule>
  </conditionalFormatting>
  <conditionalFormatting sqref="AY40">
    <cfRule type="cellIs" dxfId="258" priority="1" operator="equal">
      <formula>0</formula>
    </cfRule>
  </conditionalFormatting>
  <conditionalFormatting sqref="BB40">
    <cfRule type="cellIs" dxfId="259" priority="1" operator="equal">
      <formula>0</formula>
    </cfRule>
  </conditionalFormatting>
  <conditionalFormatting sqref="BE40">
    <cfRule type="cellIs" dxfId="260" priority="1" operator="equal">
      <formula>0</formula>
    </cfRule>
  </conditionalFormatting>
  <conditionalFormatting sqref="BH40">
    <cfRule type="cellIs" dxfId="261" priority="1" operator="equal">
      <formula>0</formula>
    </cfRule>
  </conditionalFormatting>
  <conditionalFormatting sqref="BK40">
    <cfRule type="cellIs" dxfId="262" priority="1" operator="equal">
      <formula>0</formula>
    </cfRule>
  </conditionalFormatting>
  <conditionalFormatting sqref="BN40">
    <cfRule type="cellIs" dxfId="263" priority="1" operator="equal">
      <formula>0</formula>
    </cfRule>
  </conditionalFormatting>
  <conditionalFormatting sqref="BQ40">
    <cfRule type="cellIs" dxfId="264" priority="1" operator="equal">
      <formula>0</formula>
    </cfRule>
  </conditionalFormatting>
  <conditionalFormatting sqref="BT40">
    <cfRule type="cellIs" dxfId="265" priority="1" operator="equal">
      <formula>0</formula>
    </cfRule>
  </conditionalFormatting>
  <conditionalFormatting sqref="BW40">
    <cfRule type="cellIs" dxfId="266" priority="1" operator="equal">
      <formula>0</formula>
    </cfRule>
  </conditionalFormatting>
  <conditionalFormatting sqref="BZ40">
    <cfRule type="cellIs" dxfId="267" priority="1" operator="equal">
      <formula>0</formula>
    </cfRule>
  </conditionalFormatting>
  <conditionalFormatting sqref="CC40">
    <cfRule type="cellIs" dxfId="268" priority="1" operator="equal">
      <formula>0</formula>
    </cfRule>
  </conditionalFormatting>
  <conditionalFormatting sqref="AY41">
    <cfRule type="cellIs" dxfId="269" priority="1" operator="equal">
      <formula>0</formula>
    </cfRule>
  </conditionalFormatting>
  <conditionalFormatting sqref="BB41">
    <cfRule type="cellIs" dxfId="270" priority="1" operator="equal">
      <formula>0</formula>
    </cfRule>
  </conditionalFormatting>
  <conditionalFormatting sqref="BE41">
    <cfRule type="cellIs" dxfId="271" priority="1" operator="equal">
      <formula>0</formula>
    </cfRule>
  </conditionalFormatting>
  <conditionalFormatting sqref="BH41">
    <cfRule type="cellIs" dxfId="272" priority="1" operator="equal">
      <formula>0</formula>
    </cfRule>
  </conditionalFormatting>
  <conditionalFormatting sqref="BK41">
    <cfRule type="cellIs" dxfId="273" priority="1" operator="equal">
      <formula>0</formula>
    </cfRule>
  </conditionalFormatting>
  <conditionalFormatting sqref="BN41">
    <cfRule type="cellIs" dxfId="274" priority="1" operator="equal">
      <formula>0</formula>
    </cfRule>
  </conditionalFormatting>
  <conditionalFormatting sqref="BQ41">
    <cfRule type="cellIs" dxfId="275" priority="1" operator="equal">
      <formula>0</formula>
    </cfRule>
  </conditionalFormatting>
  <conditionalFormatting sqref="BT41">
    <cfRule type="cellIs" dxfId="276" priority="1" operator="equal">
      <formula>0</formula>
    </cfRule>
  </conditionalFormatting>
  <conditionalFormatting sqref="BW41">
    <cfRule type="cellIs" dxfId="277" priority="1" operator="equal">
      <formula>0</formula>
    </cfRule>
  </conditionalFormatting>
  <conditionalFormatting sqref="BZ41">
    <cfRule type="cellIs" dxfId="278" priority="1" operator="equal">
      <formula>0</formula>
    </cfRule>
  </conditionalFormatting>
  <conditionalFormatting sqref="CC41">
    <cfRule type="cellIs" dxfId="279" priority="1" operator="equal">
      <formula>0</formula>
    </cfRule>
  </conditionalFormatting>
  <conditionalFormatting sqref="W47:Z47">
    <cfRule type="expression" dxfId="280" priority="2">
      <formula>AND( OR(EXACT(W47,"SAILING_WITH_LADEN"), EXACT(W47,"SAILING_IN_BALLAST"), EXACT(W47,"ECONOMICAL_NAVIGATION") ), (0&lt;=AJ47) )</formula>
    </cfRule>
  </conditionalFormatting>
  <conditionalFormatting sqref="AJ47:AK47">
    <cfRule type="expression" dxfId="281" priority="2">
      <formula>AND( OR(EXACT(W47,"SAILING_WITH_LADEN"), EXACT(W47,"SAILING_IN_BALLAST"), EXACT(W47,"ECONOMICAL_NAVIGATION") ), (0&lt;=AJ47) )</formula>
    </cfRule>
  </conditionalFormatting>
  <conditionalFormatting sqref="U47">
    <cfRule type="cellIs" dxfId="282" priority="1" operator="equal">
      <formula>0</formula>
    </cfRule>
  </conditionalFormatting>
  <conditionalFormatting sqref="AJ47">
    <cfRule type="cellIs" dxfId="283" priority="1" operator="equal">
      <formula>0</formula>
    </cfRule>
  </conditionalFormatting>
  <conditionalFormatting sqref="AN47">
    <cfRule type="cellIs" dxfId="284" priority="1" operator="equal">
      <formula>0</formula>
    </cfRule>
  </conditionalFormatting>
  <conditionalFormatting sqref="AL47">
    <cfRule type="cellIs" dxfId="285" priority="1" operator="equal">
      <formula>0</formula>
    </cfRule>
  </conditionalFormatting>
  <conditionalFormatting sqref="AR47">
    <cfRule type="cellIs" dxfId="286" priority="1" operator="equal">
      <formula>0</formula>
    </cfRule>
  </conditionalFormatting>
  <conditionalFormatting sqref="AT47">
    <cfRule type="cellIs" dxfId="287" priority="1" operator="equal">
      <formula>0</formula>
    </cfRule>
  </conditionalFormatting>
  <conditionalFormatting sqref="AV47">
    <cfRule type="cellIs" dxfId="288" priority="1" operator="equal">
      <formula>0</formula>
    </cfRule>
  </conditionalFormatting>
  <conditionalFormatting sqref="AX47">
    <cfRule type="cellIs" dxfId="289" priority="1" operator="equal">
      <formula>0</formula>
    </cfRule>
  </conditionalFormatting>
  <conditionalFormatting sqref="AZ47">
    <cfRule type="cellIs" dxfId="290" priority="1" operator="equal">
      <formula>0</formula>
    </cfRule>
  </conditionalFormatting>
  <conditionalFormatting sqref="BB47">
    <cfRule type="cellIs" dxfId="291" priority="1" operator="equal">
      <formula>0</formula>
    </cfRule>
  </conditionalFormatting>
  <conditionalFormatting sqref="BD47">
    <cfRule type="cellIs" dxfId="292" priority="1" operator="equal">
      <formula>0</formula>
    </cfRule>
  </conditionalFormatting>
  <conditionalFormatting sqref="BF47">
    <cfRule type="cellIs" dxfId="293" priority="1" operator="equal">
      <formula>0</formula>
    </cfRule>
  </conditionalFormatting>
  <conditionalFormatting sqref="BH47">
    <cfRule type="cellIs" dxfId="294" priority="1" operator="equal">
      <formula>0</formula>
    </cfRule>
  </conditionalFormatting>
  <conditionalFormatting sqref="BJ47">
    <cfRule type="cellIs" dxfId="295" priority="1" operator="equal">
      <formula>0</formula>
    </cfRule>
  </conditionalFormatting>
  <conditionalFormatting sqref="BL47">
    <cfRule type="cellIs" dxfId="296" priority="1" operator="equal">
      <formula>0</formula>
    </cfRule>
  </conditionalFormatting>
  <conditionalFormatting sqref="BN47">
    <cfRule type="cellIs" dxfId="297" priority="1" operator="equal">
      <formula>0</formula>
    </cfRule>
  </conditionalFormatting>
  <conditionalFormatting sqref="BP47">
    <cfRule type="cellIs" dxfId="298" priority="1" operator="equal">
      <formula>0</formula>
    </cfRule>
  </conditionalFormatting>
  <conditionalFormatting sqref="BR47">
    <cfRule type="cellIs" dxfId="299" priority="1" operator="equal">
      <formula>0</formula>
    </cfRule>
  </conditionalFormatting>
  <conditionalFormatting sqref="BT47">
    <cfRule type="cellIs" dxfId="300" priority="1" operator="equal">
      <formula>0</formula>
    </cfRule>
  </conditionalFormatting>
  <conditionalFormatting sqref="BV47">
    <cfRule type="cellIs" dxfId="301" priority="1" operator="equal">
      <formula>0</formula>
    </cfRule>
  </conditionalFormatting>
  <conditionalFormatting sqref="BX47">
    <cfRule type="cellIs" dxfId="302" priority="1" operator="equal">
      <formula>0</formula>
    </cfRule>
  </conditionalFormatting>
  <conditionalFormatting sqref="BZ47">
    <cfRule type="cellIs" dxfId="303" priority="1" operator="equal">
      <formula>0</formula>
    </cfRule>
  </conditionalFormatting>
  <conditionalFormatting sqref="W48:Z48">
    <cfRule type="expression" dxfId="304" priority="2">
      <formula>AND( OR(EXACT(W48,"SAILING_WITH_LADEN"), EXACT(W48,"SAILING_IN_BALLAST"), EXACT(W48,"ECONOMICAL_NAVIGATION") ), (0&lt;=AJ48) )</formula>
    </cfRule>
  </conditionalFormatting>
  <conditionalFormatting sqref="AJ48:AK48">
    <cfRule type="expression" dxfId="305" priority="2">
      <formula>AND( OR(EXACT(W48,"SAILING_WITH_LADEN"), EXACT(W48,"SAILING_IN_BALLAST"), EXACT(W48,"ECONOMICAL_NAVIGATION") ), (0&lt;=AJ48) )</formula>
    </cfRule>
  </conditionalFormatting>
  <conditionalFormatting sqref="F48:CA48">
    <cfRule type="expression" dxfId="306" priority="20">
      <formula>true</formula>
    </cfRule>
  </conditionalFormatting>
  <conditionalFormatting sqref="U48">
    <cfRule type="cellIs" dxfId="307" priority="1" operator="equal">
      <formula>0</formula>
    </cfRule>
  </conditionalFormatting>
  <conditionalFormatting sqref="AJ48">
    <cfRule type="cellIs" dxfId="308" priority="1" operator="equal">
      <formula>0</formula>
    </cfRule>
  </conditionalFormatting>
  <conditionalFormatting sqref="AN48">
    <cfRule type="cellIs" dxfId="309" priority="1" operator="equal">
      <formula>0</formula>
    </cfRule>
  </conditionalFormatting>
  <conditionalFormatting sqref="AL48">
    <cfRule type="cellIs" dxfId="310" priority="1" operator="equal">
      <formula>0</formula>
    </cfRule>
  </conditionalFormatting>
  <conditionalFormatting sqref="AR48">
    <cfRule type="cellIs" dxfId="311" priority="1" operator="equal">
      <formula>0</formula>
    </cfRule>
  </conditionalFormatting>
  <conditionalFormatting sqref="AT48">
    <cfRule type="cellIs" dxfId="312" priority="1" operator="equal">
      <formula>0</formula>
    </cfRule>
  </conditionalFormatting>
  <conditionalFormatting sqref="AV48">
    <cfRule type="cellIs" dxfId="313" priority="1" operator="equal">
      <formula>0</formula>
    </cfRule>
  </conditionalFormatting>
  <conditionalFormatting sqref="AX48">
    <cfRule type="cellIs" dxfId="314" priority="1" operator="equal">
      <formula>0</formula>
    </cfRule>
  </conditionalFormatting>
  <conditionalFormatting sqref="AZ48">
    <cfRule type="cellIs" dxfId="315" priority="1" operator="equal">
      <formula>0</formula>
    </cfRule>
  </conditionalFormatting>
  <conditionalFormatting sqref="BB48">
    <cfRule type="cellIs" dxfId="316" priority="1" operator="equal">
      <formula>0</formula>
    </cfRule>
  </conditionalFormatting>
  <conditionalFormatting sqref="BD48">
    <cfRule type="cellIs" dxfId="317" priority="1" operator="equal">
      <formula>0</formula>
    </cfRule>
  </conditionalFormatting>
  <conditionalFormatting sqref="BF48">
    <cfRule type="cellIs" dxfId="318" priority="1" operator="equal">
      <formula>0</formula>
    </cfRule>
  </conditionalFormatting>
  <conditionalFormatting sqref="BH48">
    <cfRule type="cellIs" dxfId="319" priority="1" operator="equal">
      <formula>0</formula>
    </cfRule>
  </conditionalFormatting>
  <conditionalFormatting sqref="BJ48">
    <cfRule type="cellIs" dxfId="320" priority="1" operator="equal">
      <formula>0</formula>
    </cfRule>
  </conditionalFormatting>
  <conditionalFormatting sqref="BL48">
    <cfRule type="cellIs" dxfId="321" priority="1" operator="equal">
      <formula>0</formula>
    </cfRule>
  </conditionalFormatting>
  <conditionalFormatting sqref="BN48">
    <cfRule type="cellIs" dxfId="322" priority="1" operator="equal">
      <formula>0</formula>
    </cfRule>
  </conditionalFormatting>
  <conditionalFormatting sqref="BP48">
    <cfRule type="cellIs" dxfId="323" priority="1" operator="equal">
      <formula>0</formula>
    </cfRule>
  </conditionalFormatting>
  <conditionalFormatting sqref="BR48">
    <cfRule type="cellIs" dxfId="324" priority="1" operator="equal">
      <formula>0</formula>
    </cfRule>
  </conditionalFormatting>
  <conditionalFormatting sqref="BT48">
    <cfRule type="cellIs" dxfId="325" priority="1" operator="equal">
      <formula>0</formula>
    </cfRule>
  </conditionalFormatting>
  <conditionalFormatting sqref="BV48">
    <cfRule type="cellIs" dxfId="326" priority="1" operator="equal">
      <formula>0</formula>
    </cfRule>
  </conditionalFormatting>
  <conditionalFormatting sqref="BX48">
    <cfRule type="cellIs" dxfId="327" priority="1" operator="equal">
      <formula>0</formula>
    </cfRule>
  </conditionalFormatting>
  <conditionalFormatting sqref="BZ48">
    <cfRule type="cellIs" dxfId="328" priority="1" operator="equal">
      <formula>0</formula>
    </cfRule>
  </conditionalFormatting>
  <conditionalFormatting sqref="W49:Z49">
    <cfRule type="expression" dxfId="329" priority="2">
      <formula>AND( OR(EXACT(W49,"SAILING_WITH_LADEN"), EXACT(W49,"SAILING_IN_BALLAST"), EXACT(W49,"ECONOMICAL_NAVIGATION") ), (0&lt;=AJ49) )</formula>
    </cfRule>
  </conditionalFormatting>
  <conditionalFormatting sqref="AJ49:AK49">
    <cfRule type="expression" dxfId="330" priority="2">
      <formula>AND( OR(EXACT(W49,"SAILING_WITH_LADEN"), EXACT(W49,"SAILING_IN_BALLAST"), EXACT(W49,"ECONOMICAL_NAVIGATION") ), (0&lt;=AJ49) )</formula>
    </cfRule>
  </conditionalFormatting>
  <conditionalFormatting sqref="U49">
    <cfRule type="cellIs" dxfId="331" priority="1" operator="equal">
      <formula>0</formula>
    </cfRule>
  </conditionalFormatting>
  <conditionalFormatting sqref="AJ49">
    <cfRule type="cellIs" dxfId="332" priority="1" operator="equal">
      <formula>0</formula>
    </cfRule>
  </conditionalFormatting>
  <conditionalFormatting sqref="AN49">
    <cfRule type="cellIs" dxfId="333" priority="1" operator="equal">
      <formula>0</formula>
    </cfRule>
  </conditionalFormatting>
  <conditionalFormatting sqref="AL49">
    <cfRule type="cellIs" dxfId="334" priority="1" operator="equal">
      <formula>0</formula>
    </cfRule>
  </conditionalFormatting>
  <conditionalFormatting sqref="AR49">
    <cfRule type="cellIs" dxfId="335" priority="1" operator="equal">
      <formula>0</formula>
    </cfRule>
  </conditionalFormatting>
  <conditionalFormatting sqref="AT49">
    <cfRule type="cellIs" dxfId="336" priority="1" operator="equal">
      <formula>0</formula>
    </cfRule>
  </conditionalFormatting>
  <conditionalFormatting sqref="AV49">
    <cfRule type="cellIs" dxfId="337" priority="1" operator="equal">
      <formula>0</formula>
    </cfRule>
  </conditionalFormatting>
  <conditionalFormatting sqref="AX49">
    <cfRule type="cellIs" dxfId="338" priority="1" operator="equal">
      <formula>0</formula>
    </cfRule>
  </conditionalFormatting>
  <conditionalFormatting sqref="AZ49">
    <cfRule type="cellIs" dxfId="339" priority="1" operator="equal">
      <formula>0</formula>
    </cfRule>
  </conditionalFormatting>
  <conditionalFormatting sqref="BB49">
    <cfRule type="cellIs" dxfId="340" priority="1" operator="equal">
      <formula>0</formula>
    </cfRule>
  </conditionalFormatting>
  <conditionalFormatting sqref="BD49">
    <cfRule type="cellIs" dxfId="341" priority="1" operator="equal">
      <formula>0</formula>
    </cfRule>
  </conditionalFormatting>
  <conditionalFormatting sqref="BF49">
    <cfRule type="cellIs" dxfId="342" priority="1" operator="equal">
      <formula>0</formula>
    </cfRule>
  </conditionalFormatting>
  <conditionalFormatting sqref="BH49">
    <cfRule type="cellIs" dxfId="343" priority="1" operator="equal">
      <formula>0</formula>
    </cfRule>
  </conditionalFormatting>
  <conditionalFormatting sqref="BJ49">
    <cfRule type="cellIs" dxfId="344" priority="1" operator="equal">
      <formula>0</formula>
    </cfRule>
  </conditionalFormatting>
  <conditionalFormatting sqref="BL49">
    <cfRule type="cellIs" dxfId="345" priority="1" operator="equal">
      <formula>0</formula>
    </cfRule>
  </conditionalFormatting>
  <conditionalFormatting sqref="BN49">
    <cfRule type="cellIs" dxfId="346" priority="1" operator="equal">
      <formula>0</formula>
    </cfRule>
  </conditionalFormatting>
  <conditionalFormatting sqref="BP49">
    <cfRule type="cellIs" dxfId="347" priority="1" operator="equal">
      <formula>0</formula>
    </cfRule>
  </conditionalFormatting>
  <conditionalFormatting sqref="BR49">
    <cfRule type="cellIs" dxfId="348" priority="1" operator="equal">
      <formula>0</formula>
    </cfRule>
  </conditionalFormatting>
  <conditionalFormatting sqref="BT49">
    <cfRule type="cellIs" dxfId="349" priority="1" operator="equal">
      <formula>0</formula>
    </cfRule>
  </conditionalFormatting>
  <conditionalFormatting sqref="BV49">
    <cfRule type="cellIs" dxfId="350" priority="1" operator="equal">
      <formula>0</formula>
    </cfRule>
  </conditionalFormatting>
  <conditionalFormatting sqref="BX49">
    <cfRule type="cellIs" dxfId="351" priority="1" operator="equal">
      <formula>0</formula>
    </cfRule>
  </conditionalFormatting>
  <conditionalFormatting sqref="BZ49">
    <cfRule type="cellIs" dxfId="352" priority="1" operator="equal">
      <formula>0</formula>
    </cfRule>
  </conditionalFormatting>
  <conditionalFormatting sqref="W50:Z50">
    <cfRule type="expression" dxfId="353" priority="2">
      <formula>AND( OR(EXACT(W50,"SAILING_WITH_LADEN"), EXACT(W50,"SAILING_IN_BALLAST"), EXACT(W50,"ECONOMICAL_NAVIGATION") ), (0&lt;=AJ50) )</formula>
    </cfRule>
  </conditionalFormatting>
  <conditionalFormatting sqref="AJ50:AK50">
    <cfRule type="expression" dxfId="354" priority="2">
      <formula>AND( OR(EXACT(W50,"SAILING_WITH_LADEN"), EXACT(W50,"SAILING_IN_BALLAST"), EXACT(W50,"ECONOMICAL_NAVIGATION") ), (0&lt;=AJ50) )</formula>
    </cfRule>
  </conditionalFormatting>
  <conditionalFormatting sqref="F50:CA50">
    <cfRule type="expression" dxfId="355" priority="20">
      <formula>true</formula>
    </cfRule>
  </conditionalFormatting>
  <conditionalFormatting sqref="U50">
    <cfRule type="cellIs" dxfId="356" priority="1" operator="equal">
      <formula>0</formula>
    </cfRule>
  </conditionalFormatting>
  <conditionalFormatting sqref="AJ50">
    <cfRule type="cellIs" dxfId="357" priority="1" operator="equal">
      <formula>0</formula>
    </cfRule>
  </conditionalFormatting>
  <conditionalFormatting sqref="AN50">
    <cfRule type="cellIs" dxfId="358" priority="1" operator="equal">
      <formula>0</formula>
    </cfRule>
  </conditionalFormatting>
  <conditionalFormatting sqref="AL50">
    <cfRule type="cellIs" dxfId="359" priority="1" operator="equal">
      <formula>0</formula>
    </cfRule>
  </conditionalFormatting>
  <conditionalFormatting sqref="AR50">
    <cfRule type="cellIs" dxfId="360" priority="1" operator="equal">
      <formula>0</formula>
    </cfRule>
  </conditionalFormatting>
  <conditionalFormatting sqref="AT50">
    <cfRule type="cellIs" dxfId="361" priority="1" operator="equal">
      <formula>0</formula>
    </cfRule>
  </conditionalFormatting>
  <conditionalFormatting sqref="AV50">
    <cfRule type="cellIs" dxfId="362" priority="1" operator="equal">
      <formula>0</formula>
    </cfRule>
  </conditionalFormatting>
  <conditionalFormatting sqref="AX50">
    <cfRule type="cellIs" dxfId="363" priority="1" operator="equal">
      <formula>0</formula>
    </cfRule>
  </conditionalFormatting>
  <conditionalFormatting sqref="AZ50">
    <cfRule type="cellIs" dxfId="364" priority="1" operator="equal">
      <formula>0</formula>
    </cfRule>
  </conditionalFormatting>
  <conditionalFormatting sqref="BB50">
    <cfRule type="cellIs" dxfId="365" priority="1" operator="equal">
      <formula>0</formula>
    </cfRule>
  </conditionalFormatting>
  <conditionalFormatting sqref="BD50">
    <cfRule type="cellIs" dxfId="366" priority="1" operator="equal">
      <formula>0</formula>
    </cfRule>
  </conditionalFormatting>
  <conditionalFormatting sqref="BF50">
    <cfRule type="cellIs" dxfId="367" priority="1" operator="equal">
      <formula>0</formula>
    </cfRule>
  </conditionalFormatting>
  <conditionalFormatting sqref="BH50">
    <cfRule type="cellIs" dxfId="368" priority="1" operator="equal">
      <formula>0</formula>
    </cfRule>
  </conditionalFormatting>
  <conditionalFormatting sqref="BJ50">
    <cfRule type="cellIs" dxfId="369" priority="1" operator="equal">
      <formula>0</formula>
    </cfRule>
  </conditionalFormatting>
  <conditionalFormatting sqref="BL50">
    <cfRule type="cellIs" dxfId="370" priority="1" operator="equal">
      <formula>0</formula>
    </cfRule>
  </conditionalFormatting>
  <conditionalFormatting sqref="BN50">
    <cfRule type="cellIs" dxfId="371" priority="1" operator="equal">
      <formula>0</formula>
    </cfRule>
  </conditionalFormatting>
  <conditionalFormatting sqref="BP50">
    <cfRule type="cellIs" dxfId="372" priority="1" operator="equal">
      <formula>0</formula>
    </cfRule>
  </conditionalFormatting>
  <conditionalFormatting sqref="BR50">
    <cfRule type="cellIs" dxfId="373" priority="1" operator="equal">
      <formula>0</formula>
    </cfRule>
  </conditionalFormatting>
  <conditionalFormatting sqref="BT50">
    <cfRule type="cellIs" dxfId="374" priority="1" operator="equal">
      <formula>0</formula>
    </cfRule>
  </conditionalFormatting>
  <conditionalFormatting sqref="BV50">
    <cfRule type="cellIs" dxfId="375" priority="1" operator="equal">
      <formula>0</formula>
    </cfRule>
  </conditionalFormatting>
  <conditionalFormatting sqref="BX50">
    <cfRule type="cellIs" dxfId="376" priority="1" operator="equal">
      <formula>0</formula>
    </cfRule>
  </conditionalFormatting>
  <conditionalFormatting sqref="BZ50">
    <cfRule type="cellIs" dxfId="377" priority="1" operator="equal">
      <formula>0</formula>
    </cfRule>
  </conditionalFormatting>
  <conditionalFormatting sqref="W51:Z51">
    <cfRule type="expression" dxfId="378" priority="2">
      <formula>AND( OR(EXACT(W51,"SAILING_WITH_LADEN"), EXACT(W51,"SAILING_IN_BALLAST"), EXACT(W51,"ECONOMICAL_NAVIGATION") ), (0&lt;=AJ51) )</formula>
    </cfRule>
  </conditionalFormatting>
  <conditionalFormatting sqref="AJ51:AK51">
    <cfRule type="expression" dxfId="379" priority="2">
      <formula>AND( OR(EXACT(W51,"SAILING_WITH_LADEN"), EXACT(W51,"SAILING_IN_BALLAST"), EXACT(W51,"ECONOMICAL_NAVIGATION") ), (0&lt;=AJ51) )</formula>
    </cfRule>
  </conditionalFormatting>
  <conditionalFormatting sqref="U51">
    <cfRule type="cellIs" dxfId="380" priority="1" operator="equal">
      <formula>0</formula>
    </cfRule>
  </conditionalFormatting>
  <conditionalFormatting sqref="AJ51">
    <cfRule type="cellIs" dxfId="381" priority="1" operator="equal">
      <formula>0</formula>
    </cfRule>
  </conditionalFormatting>
  <conditionalFormatting sqref="AN51">
    <cfRule type="cellIs" dxfId="382" priority="1" operator="equal">
      <formula>0</formula>
    </cfRule>
  </conditionalFormatting>
  <conditionalFormatting sqref="AL51">
    <cfRule type="cellIs" dxfId="383" priority="1" operator="equal">
      <formula>0</formula>
    </cfRule>
  </conditionalFormatting>
  <conditionalFormatting sqref="AR51">
    <cfRule type="cellIs" dxfId="384" priority="1" operator="equal">
      <formula>0</formula>
    </cfRule>
  </conditionalFormatting>
  <conditionalFormatting sqref="AT51">
    <cfRule type="cellIs" dxfId="385" priority="1" operator="equal">
      <formula>0</formula>
    </cfRule>
  </conditionalFormatting>
  <conditionalFormatting sqref="AV51">
    <cfRule type="cellIs" dxfId="386" priority="1" operator="equal">
      <formula>0</formula>
    </cfRule>
  </conditionalFormatting>
  <conditionalFormatting sqref="AX51">
    <cfRule type="cellIs" dxfId="387" priority="1" operator="equal">
      <formula>0</formula>
    </cfRule>
  </conditionalFormatting>
  <conditionalFormatting sqref="AZ51">
    <cfRule type="cellIs" dxfId="388" priority="1" operator="equal">
      <formula>0</formula>
    </cfRule>
  </conditionalFormatting>
  <conditionalFormatting sqref="BB51">
    <cfRule type="cellIs" dxfId="389" priority="1" operator="equal">
      <formula>0</formula>
    </cfRule>
  </conditionalFormatting>
  <conditionalFormatting sqref="BD51">
    <cfRule type="cellIs" dxfId="390" priority="1" operator="equal">
      <formula>0</formula>
    </cfRule>
  </conditionalFormatting>
  <conditionalFormatting sqref="BF51">
    <cfRule type="cellIs" dxfId="391" priority="1" operator="equal">
      <formula>0</formula>
    </cfRule>
  </conditionalFormatting>
  <conditionalFormatting sqref="BH51">
    <cfRule type="cellIs" dxfId="392" priority="1" operator="equal">
      <formula>0</formula>
    </cfRule>
  </conditionalFormatting>
  <conditionalFormatting sqref="BJ51">
    <cfRule type="cellIs" dxfId="393" priority="1" operator="equal">
      <formula>0</formula>
    </cfRule>
  </conditionalFormatting>
  <conditionalFormatting sqref="BL51">
    <cfRule type="cellIs" dxfId="394" priority="1" operator="equal">
      <formula>0</formula>
    </cfRule>
  </conditionalFormatting>
  <conditionalFormatting sqref="BN51">
    <cfRule type="cellIs" dxfId="395" priority="1" operator="equal">
      <formula>0</formula>
    </cfRule>
  </conditionalFormatting>
  <conditionalFormatting sqref="BP51">
    <cfRule type="cellIs" dxfId="396" priority="1" operator="equal">
      <formula>0</formula>
    </cfRule>
  </conditionalFormatting>
  <conditionalFormatting sqref="BR51">
    <cfRule type="cellIs" dxfId="397" priority="1" operator="equal">
      <formula>0</formula>
    </cfRule>
  </conditionalFormatting>
  <conditionalFormatting sqref="BT51">
    <cfRule type="cellIs" dxfId="398" priority="1" operator="equal">
      <formula>0</formula>
    </cfRule>
  </conditionalFormatting>
  <conditionalFormatting sqref="BV51">
    <cfRule type="cellIs" dxfId="399" priority="1" operator="equal">
      <formula>0</formula>
    </cfRule>
  </conditionalFormatting>
  <conditionalFormatting sqref="BX51">
    <cfRule type="cellIs" dxfId="400" priority="1" operator="equal">
      <formula>0</formula>
    </cfRule>
  </conditionalFormatting>
  <conditionalFormatting sqref="BZ51">
    <cfRule type="cellIs" dxfId="401" priority="1" operator="equal">
      <formula>0</formula>
    </cfRule>
  </conditionalFormatting>
  <conditionalFormatting sqref="W52:Z52">
    <cfRule type="expression" dxfId="402" priority="2">
      <formula>AND( OR(EXACT(W52,"SAILING_WITH_LADEN"), EXACT(W52,"SAILING_IN_BALLAST"), EXACT(W52,"ECONOMICAL_NAVIGATION") ), (0&lt;=AJ52) )</formula>
    </cfRule>
  </conditionalFormatting>
  <conditionalFormatting sqref="AJ52:AK52">
    <cfRule type="expression" dxfId="403" priority="2">
      <formula>AND( OR(EXACT(W52,"SAILING_WITH_LADEN"), EXACT(W52,"SAILING_IN_BALLAST"), EXACT(W52,"ECONOMICAL_NAVIGATION") ), (0&lt;=AJ52) )</formula>
    </cfRule>
  </conditionalFormatting>
  <conditionalFormatting sqref="F52:CA52">
    <cfRule type="expression" dxfId="404" priority="20">
      <formula>true</formula>
    </cfRule>
  </conditionalFormatting>
  <conditionalFormatting sqref="U52">
    <cfRule type="cellIs" dxfId="405" priority="1" operator="equal">
      <formula>0</formula>
    </cfRule>
  </conditionalFormatting>
  <conditionalFormatting sqref="AJ52">
    <cfRule type="cellIs" dxfId="406" priority="1" operator="equal">
      <formula>0</formula>
    </cfRule>
  </conditionalFormatting>
  <conditionalFormatting sqref="AN52">
    <cfRule type="cellIs" dxfId="407" priority="1" operator="equal">
      <formula>0</formula>
    </cfRule>
  </conditionalFormatting>
  <conditionalFormatting sqref="AL52">
    <cfRule type="cellIs" dxfId="408" priority="1" operator="equal">
      <formula>0</formula>
    </cfRule>
  </conditionalFormatting>
  <conditionalFormatting sqref="AR52">
    <cfRule type="cellIs" dxfId="409" priority="1" operator="equal">
      <formula>0</formula>
    </cfRule>
  </conditionalFormatting>
  <conditionalFormatting sqref="AT52">
    <cfRule type="cellIs" dxfId="410" priority="1" operator="equal">
      <formula>0</formula>
    </cfRule>
  </conditionalFormatting>
  <conditionalFormatting sqref="AV52">
    <cfRule type="cellIs" dxfId="411" priority="1" operator="equal">
      <formula>0</formula>
    </cfRule>
  </conditionalFormatting>
  <conditionalFormatting sqref="AX52">
    <cfRule type="cellIs" dxfId="412" priority="1" operator="equal">
      <formula>0</formula>
    </cfRule>
  </conditionalFormatting>
  <conditionalFormatting sqref="AZ52">
    <cfRule type="cellIs" dxfId="413" priority="1" operator="equal">
      <formula>0</formula>
    </cfRule>
  </conditionalFormatting>
  <conditionalFormatting sqref="BB52">
    <cfRule type="cellIs" dxfId="414" priority="1" operator="equal">
      <formula>0</formula>
    </cfRule>
  </conditionalFormatting>
  <conditionalFormatting sqref="BD52">
    <cfRule type="cellIs" dxfId="415" priority="1" operator="equal">
      <formula>0</formula>
    </cfRule>
  </conditionalFormatting>
  <conditionalFormatting sqref="BF52">
    <cfRule type="cellIs" dxfId="416" priority="1" operator="equal">
      <formula>0</formula>
    </cfRule>
  </conditionalFormatting>
  <conditionalFormatting sqref="BH52">
    <cfRule type="cellIs" dxfId="417" priority="1" operator="equal">
      <formula>0</formula>
    </cfRule>
  </conditionalFormatting>
  <conditionalFormatting sqref="BJ52">
    <cfRule type="cellIs" dxfId="418" priority="1" operator="equal">
      <formula>0</formula>
    </cfRule>
  </conditionalFormatting>
  <conditionalFormatting sqref="BL52">
    <cfRule type="cellIs" dxfId="419" priority="1" operator="equal">
      <formula>0</formula>
    </cfRule>
  </conditionalFormatting>
  <conditionalFormatting sqref="BN52">
    <cfRule type="cellIs" dxfId="420" priority="1" operator="equal">
      <formula>0</formula>
    </cfRule>
  </conditionalFormatting>
  <conditionalFormatting sqref="BP52">
    <cfRule type="cellIs" dxfId="421" priority="1" operator="equal">
      <formula>0</formula>
    </cfRule>
  </conditionalFormatting>
  <conditionalFormatting sqref="BR52">
    <cfRule type="cellIs" dxfId="422" priority="1" operator="equal">
      <formula>0</formula>
    </cfRule>
  </conditionalFormatting>
  <conditionalFormatting sqref="BT52">
    <cfRule type="cellIs" dxfId="423" priority="1" operator="equal">
      <formula>0</formula>
    </cfRule>
  </conditionalFormatting>
  <conditionalFormatting sqref="BV52">
    <cfRule type="cellIs" dxfId="424" priority="1" operator="equal">
      <formula>0</formula>
    </cfRule>
  </conditionalFormatting>
  <conditionalFormatting sqref="BX52">
    <cfRule type="cellIs" dxfId="425" priority="1" operator="equal">
      <formula>0</formula>
    </cfRule>
  </conditionalFormatting>
  <conditionalFormatting sqref="BZ52">
    <cfRule type="cellIs" dxfId="426" priority="1" operator="equal">
      <formula>0</formula>
    </cfRule>
  </conditionalFormatting>
  <conditionalFormatting sqref="W53:Z53">
    <cfRule type="expression" dxfId="427" priority="2">
      <formula>AND( OR(EXACT(W53,"SAILING_WITH_LADEN"), EXACT(W53,"SAILING_IN_BALLAST"), EXACT(W53,"ECONOMICAL_NAVIGATION") ), (0&lt;=AJ53) )</formula>
    </cfRule>
  </conditionalFormatting>
  <conditionalFormatting sqref="AJ53:AK53">
    <cfRule type="expression" dxfId="428" priority="2">
      <formula>AND( OR(EXACT(W53,"SAILING_WITH_LADEN"), EXACT(W53,"SAILING_IN_BALLAST"), EXACT(W53,"ECONOMICAL_NAVIGATION") ), (0&lt;=AJ53) )</formula>
    </cfRule>
  </conditionalFormatting>
  <conditionalFormatting sqref="U53">
    <cfRule type="cellIs" dxfId="429" priority="1" operator="equal">
      <formula>0</formula>
    </cfRule>
  </conditionalFormatting>
  <conditionalFormatting sqref="AJ53">
    <cfRule type="cellIs" dxfId="430" priority="1" operator="equal">
      <formula>0</formula>
    </cfRule>
  </conditionalFormatting>
  <conditionalFormatting sqref="AN53">
    <cfRule type="cellIs" dxfId="431" priority="1" operator="equal">
      <formula>0</formula>
    </cfRule>
  </conditionalFormatting>
  <conditionalFormatting sqref="AL53">
    <cfRule type="cellIs" dxfId="432" priority="1" operator="equal">
      <formula>0</formula>
    </cfRule>
  </conditionalFormatting>
  <conditionalFormatting sqref="AR53">
    <cfRule type="cellIs" dxfId="433" priority="1" operator="equal">
      <formula>0</formula>
    </cfRule>
  </conditionalFormatting>
  <conditionalFormatting sqref="AT53">
    <cfRule type="cellIs" dxfId="434" priority="1" operator="equal">
      <formula>0</formula>
    </cfRule>
  </conditionalFormatting>
  <conditionalFormatting sqref="AV53">
    <cfRule type="cellIs" dxfId="435" priority="1" operator="equal">
      <formula>0</formula>
    </cfRule>
  </conditionalFormatting>
  <conditionalFormatting sqref="AX53">
    <cfRule type="cellIs" dxfId="436" priority="1" operator="equal">
      <formula>0</formula>
    </cfRule>
  </conditionalFormatting>
  <conditionalFormatting sqref="AZ53">
    <cfRule type="cellIs" dxfId="437" priority="1" operator="equal">
      <formula>0</formula>
    </cfRule>
  </conditionalFormatting>
  <conditionalFormatting sqref="BB53">
    <cfRule type="cellIs" dxfId="438" priority="1" operator="equal">
      <formula>0</formula>
    </cfRule>
  </conditionalFormatting>
  <conditionalFormatting sqref="BD53">
    <cfRule type="cellIs" dxfId="439" priority="1" operator="equal">
      <formula>0</formula>
    </cfRule>
  </conditionalFormatting>
  <conditionalFormatting sqref="BF53">
    <cfRule type="cellIs" dxfId="440" priority="1" operator="equal">
      <formula>0</formula>
    </cfRule>
  </conditionalFormatting>
  <conditionalFormatting sqref="BH53">
    <cfRule type="cellIs" dxfId="441" priority="1" operator="equal">
      <formula>0</formula>
    </cfRule>
  </conditionalFormatting>
  <conditionalFormatting sqref="BJ53">
    <cfRule type="cellIs" dxfId="442" priority="1" operator="equal">
      <formula>0</formula>
    </cfRule>
  </conditionalFormatting>
  <conditionalFormatting sqref="BL53">
    <cfRule type="cellIs" dxfId="443" priority="1" operator="equal">
      <formula>0</formula>
    </cfRule>
  </conditionalFormatting>
  <conditionalFormatting sqref="BN53">
    <cfRule type="cellIs" dxfId="444" priority="1" operator="equal">
      <formula>0</formula>
    </cfRule>
  </conditionalFormatting>
  <conditionalFormatting sqref="BP53">
    <cfRule type="cellIs" dxfId="445" priority="1" operator="equal">
      <formula>0</formula>
    </cfRule>
  </conditionalFormatting>
  <conditionalFormatting sqref="BR53">
    <cfRule type="cellIs" dxfId="446" priority="1" operator="equal">
      <formula>0</formula>
    </cfRule>
  </conditionalFormatting>
  <conditionalFormatting sqref="BT53">
    <cfRule type="cellIs" dxfId="447" priority="1" operator="equal">
      <formula>0</formula>
    </cfRule>
  </conditionalFormatting>
  <conditionalFormatting sqref="BV53">
    <cfRule type="cellIs" dxfId="448" priority="1" operator="equal">
      <formula>0</formula>
    </cfRule>
  </conditionalFormatting>
  <conditionalFormatting sqref="BX53">
    <cfRule type="cellIs" dxfId="449" priority="1" operator="equal">
      <formula>0</formula>
    </cfRule>
  </conditionalFormatting>
  <conditionalFormatting sqref="BZ53">
    <cfRule type="cellIs" dxfId="450" priority="1" operator="equal">
      <formula>0</formula>
    </cfRule>
  </conditionalFormatting>
  <conditionalFormatting sqref="W54:Z54">
    <cfRule type="expression" dxfId="451" priority="2">
      <formula>AND( OR(EXACT(W54,"SAILING_WITH_LADEN"), EXACT(W54,"SAILING_IN_BALLAST"), EXACT(W54,"ECONOMICAL_NAVIGATION") ), (0&lt;=AJ54) )</formula>
    </cfRule>
  </conditionalFormatting>
  <conditionalFormatting sqref="AJ54:AK54">
    <cfRule type="expression" dxfId="452" priority="2">
      <formula>AND( OR(EXACT(W54,"SAILING_WITH_LADEN"), EXACT(W54,"SAILING_IN_BALLAST"), EXACT(W54,"ECONOMICAL_NAVIGATION") ), (0&lt;=AJ54) )</formula>
    </cfRule>
  </conditionalFormatting>
  <conditionalFormatting sqref="F54:CA54">
    <cfRule type="expression" dxfId="453" priority="20">
      <formula>true</formula>
    </cfRule>
  </conditionalFormatting>
  <conditionalFormatting sqref="U54">
    <cfRule type="cellIs" dxfId="454" priority="1" operator="equal">
      <formula>0</formula>
    </cfRule>
  </conditionalFormatting>
  <conditionalFormatting sqref="AJ54">
    <cfRule type="cellIs" dxfId="455" priority="1" operator="equal">
      <formula>0</formula>
    </cfRule>
  </conditionalFormatting>
  <conditionalFormatting sqref="AN54">
    <cfRule type="cellIs" dxfId="456" priority="1" operator="equal">
      <formula>0</formula>
    </cfRule>
  </conditionalFormatting>
  <conditionalFormatting sqref="AL54">
    <cfRule type="cellIs" dxfId="457" priority="1" operator="equal">
      <formula>0</formula>
    </cfRule>
  </conditionalFormatting>
  <conditionalFormatting sqref="AR54">
    <cfRule type="cellIs" dxfId="458" priority="1" operator="equal">
      <formula>0</formula>
    </cfRule>
  </conditionalFormatting>
  <conditionalFormatting sqref="AT54">
    <cfRule type="cellIs" dxfId="459" priority="1" operator="equal">
      <formula>0</formula>
    </cfRule>
  </conditionalFormatting>
  <conditionalFormatting sqref="AV54">
    <cfRule type="cellIs" dxfId="460" priority="1" operator="equal">
      <formula>0</formula>
    </cfRule>
  </conditionalFormatting>
  <conditionalFormatting sqref="AX54">
    <cfRule type="cellIs" dxfId="461" priority="1" operator="equal">
      <formula>0</formula>
    </cfRule>
  </conditionalFormatting>
  <conditionalFormatting sqref="AZ54">
    <cfRule type="cellIs" dxfId="462" priority="1" operator="equal">
      <formula>0</formula>
    </cfRule>
  </conditionalFormatting>
  <conditionalFormatting sqref="BB54">
    <cfRule type="cellIs" dxfId="463" priority="1" operator="equal">
      <formula>0</formula>
    </cfRule>
  </conditionalFormatting>
  <conditionalFormatting sqref="BD54">
    <cfRule type="cellIs" dxfId="464" priority="1" operator="equal">
      <formula>0</formula>
    </cfRule>
  </conditionalFormatting>
  <conditionalFormatting sqref="BF54">
    <cfRule type="cellIs" dxfId="465" priority="1" operator="equal">
      <formula>0</formula>
    </cfRule>
  </conditionalFormatting>
  <conditionalFormatting sqref="BH54">
    <cfRule type="cellIs" dxfId="466" priority="1" operator="equal">
      <formula>0</formula>
    </cfRule>
  </conditionalFormatting>
  <conditionalFormatting sqref="BJ54">
    <cfRule type="cellIs" dxfId="467" priority="1" operator="equal">
      <formula>0</formula>
    </cfRule>
  </conditionalFormatting>
  <conditionalFormatting sqref="BL54">
    <cfRule type="cellIs" dxfId="468" priority="1" operator="equal">
      <formula>0</formula>
    </cfRule>
  </conditionalFormatting>
  <conditionalFormatting sqref="BN54">
    <cfRule type="cellIs" dxfId="469" priority="1" operator="equal">
      <formula>0</formula>
    </cfRule>
  </conditionalFormatting>
  <conditionalFormatting sqref="BP54">
    <cfRule type="cellIs" dxfId="470" priority="1" operator="equal">
      <formula>0</formula>
    </cfRule>
  </conditionalFormatting>
  <conditionalFormatting sqref="BR54">
    <cfRule type="cellIs" dxfId="471" priority="1" operator="equal">
      <formula>0</formula>
    </cfRule>
  </conditionalFormatting>
  <conditionalFormatting sqref="BT54">
    <cfRule type="cellIs" dxfId="472" priority="1" operator="equal">
      <formula>0</formula>
    </cfRule>
  </conditionalFormatting>
  <conditionalFormatting sqref="BV54">
    <cfRule type="cellIs" dxfId="473" priority="1" operator="equal">
      <formula>0</formula>
    </cfRule>
  </conditionalFormatting>
  <conditionalFormatting sqref="BX54">
    <cfRule type="cellIs" dxfId="474" priority="1" operator="equal">
      <formula>0</formula>
    </cfRule>
  </conditionalFormatting>
  <conditionalFormatting sqref="BZ54">
    <cfRule type="cellIs" dxfId="475" priority="1" operator="equal">
      <formula>0</formula>
    </cfRule>
  </conditionalFormatting>
  <conditionalFormatting sqref="W55:Z55">
    <cfRule type="expression" dxfId="476" priority="2">
      <formula>AND( OR(EXACT(W55,"SAILING_WITH_LADEN"), EXACT(W55,"SAILING_IN_BALLAST"), EXACT(W55,"ECONOMICAL_NAVIGATION") ), (0&lt;=AJ55) )</formula>
    </cfRule>
  </conditionalFormatting>
  <conditionalFormatting sqref="AJ55:AK55">
    <cfRule type="expression" dxfId="477" priority="2">
      <formula>AND( OR(EXACT(W55,"SAILING_WITH_LADEN"), EXACT(W55,"SAILING_IN_BALLAST"), EXACT(W55,"ECONOMICAL_NAVIGATION") ), (0&lt;=AJ55) )</formula>
    </cfRule>
  </conditionalFormatting>
  <conditionalFormatting sqref="U55">
    <cfRule type="cellIs" dxfId="478" priority="1" operator="equal">
      <formula>0</formula>
    </cfRule>
  </conditionalFormatting>
  <conditionalFormatting sqref="AJ55">
    <cfRule type="cellIs" dxfId="479" priority="1" operator="equal">
      <formula>0</formula>
    </cfRule>
  </conditionalFormatting>
  <conditionalFormatting sqref="AN55">
    <cfRule type="cellIs" dxfId="480" priority="1" operator="equal">
      <formula>0</formula>
    </cfRule>
  </conditionalFormatting>
  <conditionalFormatting sqref="AL55">
    <cfRule type="cellIs" dxfId="481" priority="1" operator="equal">
      <formula>0</formula>
    </cfRule>
  </conditionalFormatting>
  <conditionalFormatting sqref="AR55">
    <cfRule type="cellIs" dxfId="482" priority="1" operator="equal">
      <formula>0</formula>
    </cfRule>
  </conditionalFormatting>
  <conditionalFormatting sqref="AT55">
    <cfRule type="cellIs" dxfId="483" priority="1" operator="equal">
      <formula>0</formula>
    </cfRule>
  </conditionalFormatting>
  <conditionalFormatting sqref="AV55">
    <cfRule type="cellIs" dxfId="484" priority="1" operator="equal">
      <formula>0</formula>
    </cfRule>
  </conditionalFormatting>
  <conditionalFormatting sqref="AX55">
    <cfRule type="cellIs" dxfId="485" priority="1" operator="equal">
      <formula>0</formula>
    </cfRule>
  </conditionalFormatting>
  <conditionalFormatting sqref="AZ55">
    <cfRule type="cellIs" dxfId="486" priority="1" operator="equal">
      <formula>0</formula>
    </cfRule>
  </conditionalFormatting>
  <conditionalFormatting sqref="BB55">
    <cfRule type="cellIs" dxfId="487" priority="1" operator="equal">
      <formula>0</formula>
    </cfRule>
  </conditionalFormatting>
  <conditionalFormatting sqref="BD55">
    <cfRule type="cellIs" dxfId="488" priority="1" operator="equal">
      <formula>0</formula>
    </cfRule>
  </conditionalFormatting>
  <conditionalFormatting sqref="BF55">
    <cfRule type="cellIs" dxfId="489" priority="1" operator="equal">
      <formula>0</formula>
    </cfRule>
  </conditionalFormatting>
  <conditionalFormatting sqref="BH55">
    <cfRule type="cellIs" dxfId="490" priority="1" operator="equal">
      <formula>0</formula>
    </cfRule>
  </conditionalFormatting>
  <conditionalFormatting sqref="BJ55">
    <cfRule type="cellIs" dxfId="491" priority="1" operator="equal">
      <formula>0</formula>
    </cfRule>
  </conditionalFormatting>
  <conditionalFormatting sqref="BL55">
    <cfRule type="cellIs" dxfId="492" priority="1" operator="equal">
      <formula>0</formula>
    </cfRule>
  </conditionalFormatting>
  <conditionalFormatting sqref="BN55">
    <cfRule type="cellIs" dxfId="493" priority="1" operator="equal">
      <formula>0</formula>
    </cfRule>
  </conditionalFormatting>
  <conditionalFormatting sqref="BP55">
    <cfRule type="cellIs" dxfId="494" priority="1" operator="equal">
      <formula>0</formula>
    </cfRule>
  </conditionalFormatting>
  <conditionalFormatting sqref="BR55">
    <cfRule type="cellIs" dxfId="495" priority="1" operator="equal">
      <formula>0</formula>
    </cfRule>
  </conditionalFormatting>
  <conditionalFormatting sqref="BT55">
    <cfRule type="cellIs" dxfId="496" priority="1" operator="equal">
      <formula>0</formula>
    </cfRule>
  </conditionalFormatting>
  <conditionalFormatting sqref="BV55">
    <cfRule type="cellIs" dxfId="497" priority="1" operator="equal">
      <formula>0</formula>
    </cfRule>
  </conditionalFormatting>
  <conditionalFormatting sqref="BX55">
    <cfRule type="cellIs" dxfId="498" priority="1" operator="equal">
      <formula>0</formula>
    </cfRule>
  </conditionalFormatting>
  <conditionalFormatting sqref="BZ55">
    <cfRule type="cellIs" dxfId="499" priority="1" operator="equal">
      <formula>0</formula>
    </cfRule>
  </conditionalFormatting>
  <conditionalFormatting sqref="W56:Z56">
    <cfRule type="expression" dxfId="500" priority="2">
      <formula>AND( OR(EXACT(W56,"SAILING_WITH_LADEN"), EXACT(W56,"SAILING_IN_BALLAST"), EXACT(W56,"ECONOMICAL_NAVIGATION") ), (0&lt;=AJ56) )</formula>
    </cfRule>
  </conditionalFormatting>
  <conditionalFormatting sqref="AJ56:AK56">
    <cfRule type="expression" dxfId="501" priority="2">
      <formula>AND( OR(EXACT(W56,"SAILING_WITH_LADEN"), EXACT(W56,"SAILING_IN_BALLAST"), EXACT(W56,"ECONOMICAL_NAVIGATION") ), (0&lt;=AJ56) )</formula>
    </cfRule>
  </conditionalFormatting>
  <conditionalFormatting sqref="F56:CA56">
    <cfRule type="expression" dxfId="502" priority="20">
      <formula>true</formula>
    </cfRule>
  </conditionalFormatting>
  <conditionalFormatting sqref="U56">
    <cfRule type="cellIs" dxfId="503" priority="1" operator="equal">
      <formula>0</formula>
    </cfRule>
  </conditionalFormatting>
  <conditionalFormatting sqref="AJ56">
    <cfRule type="cellIs" dxfId="504" priority="1" operator="equal">
      <formula>0</formula>
    </cfRule>
  </conditionalFormatting>
  <conditionalFormatting sqref="AN56">
    <cfRule type="cellIs" dxfId="505" priority="1" operator="equal">
      <formula>0</formula>
    </cfRule>
  </conditionalFormatting>
  <conditionalFormatting sqref="AL56">
    <cfRule type="cellIs" dxfId="506" priority="1" operator="equal">
      <formula>0</formula>
    </cfRule>
  </conditionalFormatting>
  <conditionalFormatting sqref="AR56">
    <cfRule type="cellIs" dxfId="507" priority="1" operator="equal">
      <formula>0</formula>
    </cfRule>
  </conditionalFormatting>
  <conditionalFormatting sqref="AT56">
    <cfRule type="cellIs" dxfId="508" priority="1" operator="equal">
      <formula>0</formula>
    </cfRule>
  </conditionalFormatting>
  <conditionalFormatting sqref="AV56">
    <cfRule type="cellIs" dxfId="509" priority="1" operator="equal">
      <formula>0</formula>
    </cfRule>
  </conditionalFormatting>
  <conditionalFormatting sqref="AX56">
    <cfRule type="cellIs" dxfId="510" priority="1" operator="equal">
      <formula>0</formula>
    </cfRule>
  </conditionalFormatting>
  <conditionalFormatting sqref="AZ56">
    <cfRule type="cellIs" dxfId="511" priority="1" operator="equal">
      <formula>0</formula>
    </cfRule>
  </conditionalFormatting>
  <conditionalFormatting sqref="BB56">
    <cfRule type="cellIs" dxfId="512" priority="1" operator="equal">
      <formula>0</formula>
    </cfRule>
  </conditionalFormatting>
  <conditionalFormatting sqref="BD56">
    <cfRule type="cellIs" dxfId="513" priority="1" operator="equal">
      <formula>0</formula>
    </cfRule>
  </conditionalFormatting>
  <conditionalFormatting sqref="BF56">
    <cfRule type="cellIs" dxfId="514" priority="1" operator="equal">
      <formula>0</formula>
    </cfRule>
  </conditionalFormatting>
  <conditionalFormatting sqref="BH56">
    <cfRule type="cellIs" dxfId="515" priority="1" operator="equal">
      <formula>0</formula>
    </cfRule>
  </conditionalFormatting>
  <conditionalFormatting sqref="BJ56">
    <cfRule type="cellIs" dxfId="516" priority="1" operator="equal">
      <formula>0</formula>
    </cfRule>
  </conditionalFormatting>
  <conditionalFormatting sqref="BL56">
    <cfRule type="cellIs" dxfId="517" priority="1" operator="equal">
      <formula>0</formula>
    </cfRule>
  </conditionalFormatting>
  <conditionalFormatting sqref="BN56">
    <cfRule type="cellIs" dxfId="518" priority="1" operator="equal">
      <formula>0</formula>
    </cfRule>
  </conditionalFormatting>
  <conditionalFormatting sqref="BP56">
    <cfRule type="cellIs" dxfId="519" priority="1" operator="equal">
      <formula>0</formula>
    </cfRule>
  </conditionalFormatting>
  <conditionalFormatting sqref="BR56">
    <cfRule type="cellIs" dxfId="520" priority="1" operator="equal">
      <formula>0</formula>
    </cfRule>
  </conditionalFormatting>
  <conditionalFormatting sqref="BT56">
    <cfRule type="cellIs" dxfId="521" priority="1" operator="equal">
      <formula>0</formula>
    </cfRule>
  </conditionalFormatting>
  <conditionalFormatting sqref="BV56">
    <cfRule type="cellIs" dxfId="522" priority="1" operator="equal">
      <formula>0</formula>
    </cfRule>
  </conditionalFormatting>
  <conditionalFormatting sqref="BX56">
    <cfRule type="cellIs" dxfId="523" priority="1" operator="equal">
      <formula>0</formula>
    </cfRule>
  </conditionalFormatting>
  <conditionalFormatting sqref="BZ56">
    <cfRule type="cellIs" dxfId="524" priority="1" operator="equal">
      <formula>0</formula>
    </cfRule>
  </conditionalFormatting>
  <conditionalFormatting sqref="W57:Z57">
    <cfRule type="expression" dxfId="525" priority="2">
      <formula>AND( OR(EXACT(W57,"SAILING_WITH_LADEN"), EXACT(W57,"SAILING_IN_BALLAST"), EXACT(W57,"ECONOMICAL_NAVIGATION") ), (0&lt;=AJ57) )</formula>
    </cfRule>
  </conditionalFormatting>
  <conditionalFormatting sqref="AJ57:AK57">
    <cfRule type="expression" dxfId="526" priority="2">
      <formula>AND( OR(EXACT(W57,"SAILING_WITH_LADEN"), EXACT(W57,"SAILING_IN_BALLAST"), EXACT(W57,"ECONOMICAL_NAVIGATION") ), (0&lt;=AJ57) )</formula>
    </cfRule>
  </conditionalFormatting>
  <conditionalFormatting sqref="U57">
    <cfRule type="cellIs" dxfId="527" priority="1" operator="equal">
      <formula>0</formula>
    </cfRule>
  </conditionalFormatting>
  <conditionalFormatting sqref="AJ57">
    <cfRule type="cellIs" dxfId="528" priority="1" operator="equal">
      <formula>0</formula>
    </cfRule>
  </conditionalFormatting>
  <conditionalFormatting sqref="AN57">
    <cfRule type="cellIs" dxfId="529" priority="1" operator="equal">
      <formula>0</formula>
    </cfRule>
  </conditionalFormatting>
  <conditionalFormatting sqref="AL57">
    <cfRule type="cellIs" dxfId="530" priority="1" operator="equal">
      <formula>0</formula>
    </cfRule>
  </conditionalFormatting>
  <conditionalFormatting sqref="AR57">
    <cfRule type="cellIs" dxfId="531" priority="1" operator="equal">
      <formula>0</formula>
    </cfRule>
  </conditionalFormatting>
  <conditionalFormatting sqref="AT57">
    <cfRule type="cellIs" dxfId="532" priority="1" operator="equal">
      <formula>0</formula>
    </cfRule>
  </conditionalFormatting>
  <conditionalFormatting sqref="AV57">
    <cfRule type="cellIs" dxfId="533" priority="1" operator="equal">
      <formula>0</formula>
    </cfRule>
  </conditionalFormatting>
  <conditionalFormatting sqref="AX57">
    <cfRule type="cellIs" dxfId="534" priority="1" operator="equal">
      <formula>0</formula>
    </cfRule>
  </conditionalFormatting>
  <conditionalFormatting sqref="AZ57">
    <cfRule type="cellIs" dxfId="535" priority="1" operator="equal">
      <formula>0</formula>
    </cfRule>
  </conditionalFormatting>
  <conditionalFormatting sqref="BB57">
    <cfRule type="cellIs" dxfId="536" priority="1" operator="equal">
      <formula>0</formula>
    </cfRule>
  </conditionalFormatting>
  <conditionalFormatting sqref="BD57">
    <cfRule type="cellIs" dxfId="537" priority="1" operator="equal">
      <formula>0</formula>
    </cfRule>
  </conditionalFormatting>
  <conditionalFormatting sqref="BF57">
    <cfRule type="cellIs" dxfId="538" priority="1" operator="equal">
      <formula>0</formula>
    </cfRule>
  </conditionalFormatting>
  <conditionalFormatting sqref="BH57">
    <cfRule type="cellIs" dxfId="539" priority="1" operator="equal">
      <formula>0</formula>
    </cfRule>
  </conditionalFormatting>
  <conditionalFormatting sqref="BJ57">
    <cfRule type="cellIs" dxfId="540" priority="1" operator="equal">
      <formula>0</formula>
    </cfRule>
  </conditionalFormatting>
  <conditionalFormatting sqref="BL57">
    <cfRule type="cellIs" dxfId="541" priority="1" operator="equal">
      <formula>0</formula>
    </cfRule>
  </conditionalFormatting>
  <conditionalFormatting sqref="BN57">
    <cfRule type="cellIs" dxfId="542" priority="1" operator="equal">
      <formula>0</formula>
    </cfRule>
  </conditionalFormatting>
  <conditionalFormatting sqref="BP57">
    <cfRule type="cellIs" dxfId="543" priority="1" operator="equal">
      <formula>0</formula>
    </cfRule>
  </conditionalFormatting>
  <conditionalFormatting sqref="BR57">
    <cfRule type="cellIs" dxfId="544" priority="1" operator="equal">
      <formula>0</formula>
    </cfRule>
  </conditionalFormatting>
  <conditionalFormatting sqref="BT57">
    <cfRule type="cellIs" dxfId="545" priority="1" operator="equal">
      <formula>0</formula>
    </cfRule>
  </conditionalFormatting>
  <conditionalFormatting sqref="BV57">
    <cfRule type="cellIs" dxfId="546" priority="1" operator="equal">
      <formula>0</formula>
    </cfRule>
  </conditionalFormatting>
  <conditionalFormatting sqref="BX57">
    <cfRule type="cellIs" dxfId="547" priority="1" operator="equal">
      <formula>0</formula>
    </cfRule>
  </conditionalFormatting>
  <conditionalFormatting sqref="BZ57">
    <cfRule type="cellIs" dxfId="548" priority="1" operator="equal">
      <formula>0</formula>
    </cfRule>
  </conditionalFormatting>
  <conditionalFormatting sqref="W58:Z58">
    <cfRule type="expression" dxfId="549" priority="2">
      <formula>AND( OR(EXACT(W58,"SAILING_WITH_LADEN"), EXACT(W58,"SAILING_IN_BALLAST"), EXACT(W58,"ECONOMICAL_NAVIGATION") ), (0&lt;=AJ58) )</formula>
    </cfRule>
  </conditionalFormatting>
  <conditionalFormatting sqref="AJ58:AK58">
    <cfRule type="expression" dxfId="550" priority="2">
      <formula>AND( OR(EXACT(W58,"SAILING_WITH_LADEN"), EXACT(W58,"SAILING_IN_BALLAST"), EXACT(W58,"ECONOMICAL_NAVIGATION") ), (0&lt;=AJ58) )</formula>
    </cfRule>
  </conditionalFormatting>
  <conditionalFormatting sqref="F58:CA58">
    <cfRule type="expression" dxfId="551" priority="20">
      <formula>true</formula>
    </cfRule>
  </conditionalFormatting>
  <conditionalFormatting sqref="U58">
    <cfRule type="cellIs" dxfId="552" priority="1" operator="equal">
      <formula>0</formula>
    </cfRule>
  </conditionalFormatting>
  <conditionalFormatting sqref="AJ58">
    <cfRule type="cellIs" dxfId="553" priority="1" operator="equal">
      <formula>0</formula>
    </cfRule>
  </conditionalFormatting>
  <conditionalFormatting sqref="AN58">
    <cfRule type="cellIs" dxfId="554" priority="1" operator="equal">
      <formula>0</formula>
    </cfRule>
  </conditionalFormatting>
  <conditionalFormatting sqref="AL58">
    <cfRule type="cellIs" dxfId="555" priority="1" operator="equal">
      <formula>0</formula>
    </cfRule>
  </conditionalFormatting>
  <conditionalFormatting sqref="AR58">
    <cfRule type="cellIs" dxfId="556" priority="1" operator="equal">
      <formula>0</formula>
    </cfRule>
  </conditionalFormatting>
  <conditionalFormatting sqref="AT58">
    <cfRule type="cellIs" dxfId="557" priority="1" operator="equal">
      <formula>0</formula>
    </cfRule>
  </conditionalFormatting>
  <conditionalFormatting sqref="AV58">
    <cfRule type="cellIs" dxfId="558" priority="1" operator="equal">
      <formula>0</formula>
    </cfRule>
  </conditionalFormatting>
  <conditionalFormatting sqref="AX58">
    <cfRule type="cellIs" dxfId="559" priority="1" operator="equal">
      <formula>0</formula>
    </cfRule>
  </conditionalFormatting>
  <conditionalFormatting sqref="AZ58">
    <cfRule type="cellIs" dxfId="560" priority="1" operator="equal">
      <formula>0</formula>
    </cfRule>
  </conditionalFormatting>
  <conditionalFormatting sqref="BB58">
    <cfRule type="cellIs" dxfId="561" priority="1" operator="equal">
      <formula>0</formula>
    </cfRule>
  </conditionalFormatting>
  <conditionalFormatting sqref="BD58">
    <cfRule type="cellIs" dxfId="562" priority="1" operator="equal">
      <formula>0</formula>
    </cfRule>
  </conditionalFormatting>
  <conditionalFormatting sqref="BF58">
    <cfRule type="cellIs" dxfId="563" priority="1" operator="equal">
      <formula>0</formula>
    </cfRule>
  </conditionalFormatting>
  <conditionalFormatting sqref="BH58">
    <cfRule type="cellIs" dxfId="564" priority="1" operator="equal">
      <formula>0</formula>
    </cfRule>
  </conditionalFormatting>
  <conditionalFormatting sqref="BJ58">
    <cfRule type="cellIs" dxfId="565" priority="1" operator="equal">
      <formula>0</formula>
    </cfRule>
  </conditionalFormatting>
  <conditionalFormatting sqref="BL58">
    <cfRule type="cellIs" dxfId="566" priority="1" operator="equal">
      <formula>0</formula>
    </cfRule>
  </conditionalFormatting>
  <conditionalFormatting sqref="BN58">
    <cfRule type="cellIs" dxfId="567" priority="1" operator="equal">
      <formula>0</formula>
    </cfRule>
  </conditionalFormatting>
  <conditionalFormatting sqref="BP58">
    <cfRule type="cellIs" dxfId="568" priority="1" operator="equal">
      <formula>0</formula>
    </cfRule>
  </conditionalFormatting>
  <conditionalFormatting sqref="BR58">
    <cfRule type="cellIs" dxfId="569" priority="1" operator="equal">
      <formula>0</formula>
    </cfRule>
  </conditionalFormatting>
  <conditionalFormatting sqref="BT58">
    <cfRule type="cellIs" dxfId="570" priority="1" operator="equal">
      <formula>0</formula>
    </cfRule>
  </conditionalFormatting>
  <conditionalFormatting sqref="BV58">
    <cfRule type="cellIs" dxfId="571" priority="1" operator="equal">
      <formula>0</formula>
    </cfRule>
  </conditionalFormatting>
  <conditionalFormatting sqref="BX58">
    <cfRule type="cellIs" dxfId="572" priority="1" operator="equal">
      <formula>0</formula>
    </cfRule>
  </conditionalFormatting>
  <conditionalFormatting sqref="BZ58">
    <cfRule type="cellIs" dxfId="573" priority="1" operator="equal">
      <formula>0</formula>
    </cfRule>
  </conditionalFormatting>
  <conditionalFormatting sqref="W59:Z59">
    <cfRule type="expression" dxfId="574" priority="2">
      <formula>AND( OR(EXACT(W59,"SAILING_WITH_LADEN"), EXACT(W59,"SAILING_IN_BALLAST"), EXACT(W59,"ECONOMICAL_NAVIGATION") ), (0&lt;=AJ59) )</formula>
    </cfRule>
  </conditionalFormatting>
  <conditionalFormatting sqref="AJ59:AK59">
    <cfRule type="expression" dxfId="575" priority="2">
      <formula>AND( OR(EXACT(W59,"SAILING_WITH_LADEN"), EXACT(W59,"SAILING_IN_BALLAST"), EXACT(W59,"ECONOMICAL_NAVIGATION") ), (0&lt;=AJ59) )</formula>
    </cfRule>
  </conditionalFormatting>
  <conditionalFormatting sqref="U59">
    <cfRule type="cellIs" dxfId="576" priority="1" operator="equal">
      <formula>0</formula>
    </cfRule>
  </conditionalFormatting>
  <conditionalFormatting sqref="AJ59">
    <cfRule type="cellIs" dxfId="577" priority="1" operator="equal">
      <formula>0</formula>
    </cfRule>
  </conditionalFormatting>
  <conditionalFormatting sqref="AN59">
    <cfRule type="cellIs" dxfId="578" priority="1" operator="equal">
      <formula>0</formula>
    </cfRule>
  </conditionalFormatting>
  <conditionalFormatting sqref="AL59">
    <cfRule type="cellIs" dxfId="579" priority="1" operator="equal">
      <formula>0</formula>
    </cfRule>
  </conditionalFormatting>
  <conditionalFormatting sqref="AR59">
    <cfRule type="cellIs" dxfId="580" priority="1" operator="equal">
      <formula>0</formula>
    </cfRule>
  </conditionalFormatting>
  <conditionalFormatting sqref="AT59">
    <cfRule type="cellIs" dxfId="581" priority="1" operator="equal">
      <formula>0</formula>
    </cfRule>
  </conditionalFormatting>
  <conditionalFormatting sqref="AV59">
    <cfRule type="cellIs" dxfId="582" priority="1" operator="equal">
      <formula>0</formula>
    </cfRule>
  </conditionalFormatting>
  <conditionalFormatting sqref="AX59">
    <cfRule type="cellIs" dxfId="583" priority="1" operator="equal">
      <formula>0</formula>
    </cfRule>
  </conditionalFormatting>
  <conditionalFormatting sqref="AZ59">
    <cfRule type="cellIs" dxfId="584" priority="1" operator="equal">
      <formula>0</formula>
    </cfRule>
  </conditionalFormatting>
  <conditionalFormatting sqref="BB59">
    <cfRule type="cellIs" dxfId="585" priority="1" operator="equal">
      <formula>0</formula>
    </cfRule>
  </conditionalFormatting>
  <conditionalFormatting sqref="BD59">
    <cfRule type="cellIs" dxfId="586" priority="1" operator="equal">
      <formula>0</formula>
    </cfRule>
  </conditionalFormatting>
  <conditionalFormatting sqref="BF59">
    <cfRule type="cellIs" dxfId="587" priority="1" operator="equal">
      <formula>0</formula>
    </cfRule>
  </conditionalFormatting>
  <conditionalFormatting sqref="BH59">
    <cfRule type="cellIs" dxfId="588" priority="1" operator="equal">
      <formula>0</formula>
    </cfRule>
  </conditionalFormatting>
  <conditionalFormatting sqref="BJ59">
    <cfRule type="cellIs" dxfId="589" priority="1" operator="equal">
      <formula>0</formula>
    </cfRule>
  </conditionalFormatting>
  <conditionalFormatting sqref="BL59">
    <cfRule type="cellIs" dxfId="590" priority="1" operator="equal">
      <formula>0</formula>
    </cfRule>
  </conditionalFormatting>
  <conditionalFormatting sqref="BN59">
    <cfRule type="cellIs" dxfId="591" priority="1" operator="equal">
      <formula>0</formula>
    </cfRule>
  </conditionalFormatting>
  <conditionalFormatting sqref="BP59">
    <cfRule type="cellIs" dxfId="592" priority="1" operator="equal">
      <formula>0</formula>
    </cfRule>
  </conditionalFormatting>
  <conditionalFormatting sqref="BR59">
    <cfRule type="cellIs" dxfId="593" priority="1" operator="equal">
      <formula>0</formula>
    </cfRule>
  </conditionalFormatting>
  <conditionalFormatting sqref="BT59">
    <cfRule type="cellIs" dxfId="594" priority="1" operator="equal">
      <formula>0</formula>
    </cfRule>
  </conditionalFormatting>
  <conditionalFormatting sqref="BV59">
    <cfRule type="cellIs" dxfId="595" priority="1" operator="equal">
      <formula>0</formula>
    </cfRule>
  </conditionalFormatting>
  <conditionalFormatting sqref="BX59">
    <cfRule type="cellIs" dxfId="596" priority="1" operator="equal">
      <formula>0</formula>
    </cfRule>
  </conditionalFormatting>
  <conditionalFormatting sqref="BZ59">
    <cfRule type="cellIs" dxfId="597" priority="1" operator="equal">
      <formula>0</formula>
    </cfRule>
  </conditionalFormatting>
  <conditionalFormatting sqref="W60:Z60">
    <cfRule type="expression" dxfId="598" priority="2">
      <formula>AND( OR(EXACT(W60,"SAILING_WITH_LADEN"), EXACT(W60,"SAILING_IN_BALLAST"), EXACT(W60,"ECONOMICAL_NAVIGATION") ), (0&lt;=AJ60) )</formula>
    </cfRule>
  </conditionalFormatting>
  <conditionalFormatting sqref="AJ60:AK60">
    <cfRule type="expression" dxfId="599" priority="2">
      <formula>AND( OR(EXACT(W60,"SAILING_WITH_LADEN"), EXACT(W60,"SAILING_IN_BALLAST"), EXACT(W60,"ECONOMICAL_NAVIGATION") ), (0&lt;=AJ60) )</formula>
    </cfRule>
  </conditionalFormatting>
  <conditionalFormatting sqref="F60:CA60">
    <cfRule type="expression" dxfId="600" priority="20">
      <formula>true</formula>
    </cfRule>
  </conditionalFormatting>
  <conditionalFormatting sqref="U60">
    <cfRule type="cellIs" dxfId="601" priority="1" operator="equal">
      <formula>0</formula>
    </cfRule>
  </conditionalFormatting>
  <conditionalFormatting sqref="AJ60">
    <cfRule type="cellIs" dxfId="602" priority="1" operator="equal">
      <formula>0</formula>
    </cfRule>
  </conditionalFormatting>
  <conditionalFormatting sqref="AN60">
    <cfRule type="cellIs" dxfId="603" priority="1" operator="equal">
      <formula>0</formula>
    </cfRule>
  </conditionalFormatting>
  <conditionalFormatting sqref="AL60">
    <cfRule type="cellIs" dxfId="604" priority="1" operator="equal">
      <formula>0</formula>
    </cfRule>
  </conditionalFormatting>
  <conditionalFormatting sqref="AR60">
    <cfRule type="cellIs" dxfId="605" priority="1" operator="equal">
      <formula>0</formula>
    </cfRule>
  </conditionalFormatting>
  <conditionalFormatting sqref="AT60">
    <cfRule type="cellIs" dxfId="606" priority="1" operator="equal">
      <formula>0</formula>
    </cfRule>
  </conditionalFormatting>
  <conditionalFormatting sqref="AV60">
    <cfRule type="cellIs" dxfId="607" priority="1" operator="equal">
      <formula>0</formula>
    </cfRule>
  </conditionalFormatting>
  <conditionalFormatting sqref="AX60">
    <cfRule type="cellIs" dxfId="608" priority="1" operator="equal">
      <formula>0</formula>
    </cfRule>
  </conditionalFormatting>
  <conditionalFormatting sqref="AZ60">
    <cfRule type="cellIs" dxfId="609" priority="1" operator="equal">
      <formula>0</formula>
    </cfRule>
  </conditionalFormatting>
  <conditionalFormatting sqref="BB60">
    <cfRule type="cellIs" dxfId="610" priority="1" operator="equal">
      <formula>0</formula>
    </cfRule>
  </conditionalFormatting>
  <conditionalFormatting sqref="BD60">
    <cfRule type="cellIs" dxfId="611" priority="1" operator="equal">
      <formula>0</formula>
    </cfRule>
  </conditionalFormatting>
  <conditionalFormatting sqref="BF60">
    <cfRule type="cellIs" dxfId="612" priority="1" operator="equal">
      <formula>0</formula>
    </cfRule>
  </conditionalFormatting>
  <conditionalFormatting sqref="BH60">
    <cfRule type="cellIs" dxfId="613" priority="1" operator="equal">
      <formula>0</formula>
    </cfRule>
  </conditionalFormatting>
  <conditionalFormatting sqref="BJ60">
    <cfRule type="cellIs" dxfId="614" priority="1" operator="equal">
      <formula>0</formula>
    </cfRule>
  </conditionalFormatting>
  <conditionalFormatting sqref="BL60">
    <cfRule type="cellIs" dxfId="615" priority="1" operator="equal">
      <formula>0</formula>
    </cfRule>
  </conditionalFormatting>
  <conditionalFormatting sqref="BN60">
    <cfRule type="cellIs" dxfId="616" priority="1" operator="equal">
      <formula>0</formula>
    </cfRule>
  </conditionalFormatting>
  <conditionalFormatting sqref="BP60">
    <cfRule type="cellIs" dxfId="617" priority="1" operator="equal">
      <formula>0</formula>
    </cfRule>
  </conditionalFormatting>
  <conditionalFormatting sqref="BR60">
    <cfRule type="cellIs" dxfId="618" priority="1" operator="equal">
      <formula>0</formula>
    </cfRule>
  </conditionalFormatting>
  <conditionalFormatting sqref="BT60">
    <cfRule type="cellIs" dxfId="619" priority="1" operator="equal">
      <formula>0</formula>
    </cfRule>
  </conditionalFormatting>
  <conditionalFormatting sqref="BV60">
    <cfRule type="cellIs" dxfId="620" priority="1" operator="equal">
      <formula>0</formula>
    </cfRule>
  </conditionalFormatting>
  <conditionalFormatting sqref="BX60">
    <cfRule type="cellIs" dxfId="621" priority="1" operator="equal">
      <formula>0</formula>
    </cfRule>
  </conditionalFormatting>
  <conditionalFormatting sqref="BZ60">
    <cfRule type="cellIs" dxfId="622" priority="1" operator="equal">
      <formula>0</formula>
    </cfRule>
  </conditionalFormatting>
  <conditionalFormatting sqref="W61:Z61">
    <cfRule type="expression" dxfId="623" priority="2">
      <formula>AND( OR(EXACT(W61,"SAILING_WITH_LADEN"), EXACT(W61,"SAILING_IN_BALLAST"), EXACT(W61,"ECONOMICAL_NAVIGATION") ), (0&lt;=AJ61) )</formula>
    </cfRule>
  </conditionalFormatting>
  <conditionalFormatting sqref="AJ61:AK61">
    <cfRule type="expression" dxfId="624" priority="2">
      <formula>AND( OR(EXACT(W61,"SAILING_WITH_LADEN"), EXACT(W61,"SAILING_IN_BALLAST"), EXACT(W61,"ECONOMICAL_NAVIGATION") ), (0&lt;=AJ61) )</formula>
    </cfRule>
  </conditionalFormatting>
  <conditionalFormatting sqref="U61">
    <cfRule type="cellIs" dxfId="625" priority="1" operator="equal">
      <formula>0</formula>
    </cfRule>
  </conditionalFormatting>
  <conditionalFormatting sqref="AJ61">
    <cfRule type="cellIs" dxfId="626" priority="1" operator="equal">
      <formula>0</formula>
    </cfRule>
  </conditionalFormatting>
  <conditionalFormatting sqref="AN61">
    <cfRule type="cellIs" dxfId="627" priority="1" operator="equal">
      <formula>0</formula>
    </cfRule>
  </conditionalFormatting>
  <conditionalFormatting sqref="AL61">
    <cfRule type="cellIs" dxfId="628" priority="1" operator="equal">
      <formula>0</formula>
    </cfRule>
  </conditionalFormatting>
  <conditionalFormatting sqref="AR61">
    <cfRule type="cellIs" dxfId="629" priority="1" operator="equal">
      <formula>0</formula>
    </cfRule>
  </conditionalFormatting>
  <conditionalFormatting sqref="AT61">
    <cfRule type="cellIs" dxfId="630" priority="1" operator="equal">
      <formula>0</formula>
    </cfRule>
  </conditionalFormatting>
  <conditionalFormatting sqref="AV61">
    <cfRule type="cellIs" dxfId="631" priority="1" operator="equal">
      <formula>0</formula>
    </cfRule>
  </conditionalFormatting>
  <conditionalFormatting sqref="AX61">
    <cfRule type="cellIs" dxfId="632" priority="1" operator="equal">
      <formula>0</formula>
    </cfRule>
  </conditionalFormatting>
  <conditionalFormatting sqref="AZ61">
    <cfRule type="cellIs" dxfId="633" priority="1" operator="equal">
      <formula>0</formula>
    </cfRule>
  </conditionalFormatting>
  <conditionalFormatting sqref="BB61">
    <cfRule type="cellIs" dxfId="634" priority="1" operator="equal">
      <formula>0</formula>
    </cfRule>
  </conditionalFormatting>
  <conditionalFormatting sqref="BD61">
    <cfRule type="cellIs" dxfId="635" priority="1" operator="equal">
      <formula>0</formula>
    </cfRule>
  </conditionalFormatting>
  <conditionalFormatting sqref="BF61">
    <cfRule type="cellIs" dxfId="636" priority="1" operator="equal">
      <formula>0</formula>
    </cfRule>
  </conditionalFormatting>
  <conditionalFormatting sqref="BH61">
    <cfRule type="cellIs" dxfId="637" priority="1" operator="equal">
      <formula>0</formula>
    </cfRule>
  </conditionalFormatting>
  <conditionalFormatting sqref="BJ61">
    <cfRule type="cellIs" dxfId="638" priority="1" operator="equal">
      <formula>0</formula>
    </cfRule>
  </conditionalFormatting>
  <conditionalFormatting sqref="BL61">
    <cfRule type="cellIs" dxfId="639" priority="1" operator="equal">
      <formula>0</formula>
    </cfRule>
  </conditionalFormatting>
  <conditionalFormatting sqref="BN61">
    <cfRule type="cellIs" dxfId="640" priority="1" operator="equal">
      <formula>0</formula>
    </cfRule>
  </conditionalFormatting>
  <conditionalFormatting sqref="BP61">
    <cfRule type="cellIs" dxfId="641" priority="1" operator="equal">
      <formula>0</formula>
    </cfRule>
  </conditionalFormatting>
  <conditionalFormatting sqref="BR61">
    <cfRule type="cellIs" dxfId="642" priority="1" operator="equal">
      <formula>0</formula>
    </cfRule>
  </conditionalFormatting>
  <conditionalFormatting sqref="BT61">
    <cfRule type="cellIs" dxfId="643" priority="1" operator="equal">
      <formula>0</formula>
    </cfRule>
  </conditionalFormatting>
  <conditionalFormatting sqref="BV61">
    <cfRule type="cellIs" dxfId="644" priority="1" operator="equal">
      <formula>0</formula>
    </cfRule>
  </conditionalFormatting>
  <conditionalFormatting sqref="BX61">
    <cfRule type="cellIs" dxfId="645" priority="1" operator="equal">
      <formula>0</formula>
    </cfRule>
  </conditionalFormatting>
  <conditionalFormatting sqref="BZ61">
    <cfRule type="cellIs" dxfId="646" priority="1" operator="equal">
      <formula>0</formula>
    </cfRule>
  </conditionalFormatting>
  <conditionalFormatting sqref="W62:Z62">
    <cfRule type="expression" dxfId="647" priority="2">
      <formula>AND( OR(EXACT(W62,"SAILING_WITH_LADEN"), EXACT(W62,"SAILING_IN_BALLAST"), EXACT(W62,"ECONOMICAL_NAVIGATION") ), (0&lt;=AJ62) )</formula>
    </cfRule>
  </conditionalFormatting>
  <conditionalFormatting sqref="AJ62:AK62">
    <cfRule type="expression" dxfId="648" priority="2">
      <formula>AND( OR(EXACT(W62,"SAILING_WITH_LADEN"), EXACT(W62,"SAILING_IN_BALLAST"), EXACT(W62,"ECONOMICAL_NAVIGATION") ), (0&lt;=AJ62) )</formula>
    </cfRule>
  </conditionalFormatting>
  <conditionalFormatting sqref="F62:CA62">
    <cfRule type="expression" dxfId="649" priority="20">
      <formula>true</formula>
    </cfRule>
  </conditionalFormatting>
  <conditionalFormatting sqref="U62">
    <cfRule type="cellIs" dxfId="650" priority="1" operator="equal">
      <formula>0</formula>
    </cfRule>
  </conditionalFormatting>
  <conditionalFormatting sqref="AJ62">
    <cfRule type="cellIs" dxfId="651" priority="1" operator="equal">
      <formula>0</formula>
    </cfRule>
  </conditionalFormatting>
  <conditionalFormatting sqref="AN62">
    <cfRule type="cellIs" dxfId="652" priority="1" operator="equal">
      <formula>0</formula>
    </cfRule>
  </conditionalFormatting>
  <conditionalFormatting sqref="AL62">
    <cfRule type="cellIs" dxfId="653" priority="1" operator="equal">
      <formula>0</formula>
    </cfRule>
  </conditionalFormatting>
  <conditionalFormatting sqref="AR62">
    <cfRule type="cellIs" dxfId="654" priority="1" operator="equal">
      <formula>0</formula>
    </cfRule>
  </conditionalFormatting>
  <conditionalFormatting sqref="AT62">
    <cfRule type="cellIs" dxfId="655" priority="1" operator="equal">
      <formula>0</formula>
    </cfRule>
  </conditionalFormatting>
  <conditionalFormatting sqref="AV62">
    <cfRule type="cellIs" dxfId="656" priority="1" operator="equal">
      <formula>0</formula>
    </cfRule>
  </conditionalFormatting>
  <conditionalFormatting sqref="AX62">
    <cfRule type="cellIs" dxfId="657" priority="1" operator="equal">
      <formula>0</formula>
    </cfRule>
  </conditionalFormatting>
  <conditionalFormatting sqref="AZ62">
    <cfRule type="cellIs" dxfId="658" priority="1" operator="equal">
      <formula>0</formula>
    </cfRule>
  </conditionalFormatting>
  <conditionalFormatting sqref="BB62">
    <cfRule type="cellIs" dxfId="659" priority="1" operator="equal">
      <formula>0</formula>
    </cfRule>
  </conditionalFormatting>
  <conditionalFormatting sqref="BD62">
    <cfRule type="cellIs" dxfId="660" priority="1" operator="equal">
      <formula>0</formula>
    </cfRule>
  </conditionalFormatting>
  <conditionalFormatting sqref="BF62">
    <cfRule type="cellIs" dxfId="661" priority="1" operator="equal">
      <formula>0</formula>
    </cfRule>
  </conditionalFormatting>
  <conditionalFormatting sqref="BH62">
    <cfRule type="cellIs" dxfId="662" priority="1" operator="equal">
      <formula>0</formula>
    </cfRule>
  </conditionalFormatting>
  <conditionalFormatting sqref="BJ62">
    <cfRule type="cellIs" dxfId="663" priority="1" operator="equal">
      <formula>0</formula>
    </cfRule>
  </conditionalFormatting>
  <conditionalFormatting sqref="BL62">
    <cfRule type="cellIs" dxfId="664" priority="1" operator="equal">
      <formula>0</formula>
    </cfRule>
  </conditionalFormatting>
  <conditionalFormatting sqref="BN62">
    <cfRule type="cellIs" dxfId="665" priority="1" operator="equal">
      <formula>0</formula>
    </cfRule>
  </conditionalFormatting>
  <conditionalFormatting sqref="BP62">
    <cfRule type="cellIs" dxfId="666" priority="1" operator="equal">
      <formula>0</formula>
    </cfRule>
  </conditionalFormatting>
  <conditionalFormatting sqref="BR62">
    <cfRule type="cellIs" dxfId="667" priority="1" operator="equal">
      <formula>0</formula>
    </cfRule>
  </conditionalFormatting>
  <conditionalFormatting sqref="BT62">
    <cfRule type="cellIs" dxfId="668" priority="1" operator="equal">
      <formula>0</formula>
    </cfRule>
  </conditionalFormatting>
  <conditionalFormatting sqref="BV62">
    <cfRule type="cellIs" dxfId="669" priority="1" operator="equal">
      <formula>0</formula>
    </cfRule>
  </conditionalFormatting>
  <conditionalFormatting sqref="BX62">
    <cfRule type="cellIs" dxfId="670" priority="1" operator="equal">
      <formula>0</formula>
    </cfRule>
  </conditionalFormatting>
  <conditionalFormatting sqref="BZ62">
    <cfRule type="cellIs" dxfId="671" priority="1" operator="equal">
      <formula>0</formula>
    </cfRule>
  </conditionalFormatting>
  <conditionalFormatting sqref="W63:Z63">
    <cfRule type="expression" dxfId="672" priority="2">
      <formula>AND( OR(EXACT(W63,"SAILING_WITH_LADEN"), EXACT(W63,"SAILING_IN_BALLAST"), EXACT(W63,"ECONOMICAL_NAVIGATION") ), (0&lt;=AJ63) )</formula>
    </cfRule>
  </conditionalFormatting>
  <conditionalFormatting sqref="AJ63:AK63">
    <cfRule type="expression" dxfId="673" priority="2">
      <formula>AND( OR(EXACT(W63,"SAILING_WITH_LADEN"), EXACT(W63,"SAILING_IN_BALLAST"), EXACT(W63,"ECONOMICAL_NAVIGATION") ), (0&lt;=AJ63) )</formula>
    </cfRule>
  </conditionalFormatting>
  <conditionalFormatting sqref="U63">
    <cfRule type="cellIs" dxfId="674" priority="1" operator="equal">
      <formula>0</formula>
    </cfRule>
  </conditionalFormatting>
  <conditionalFormatting sqref="AJ63">
    <cfRule type="cellIs" dxfId="675" priority="1" operator="equal">
      <formula>0</formula>
    </cfRule>
  </conditionalFormatting>
  <conditionalFormatting sqref="AN63">
    <cfRule type="cellIs" dxfId="676" priority="1" operator="equal">
      <formula>0</formula>
    </cfRule>
  </conditionalFormatting>
  <conditionalFormatting sqref="AL63">
    <cfRule type="cellIs" dxfId="677" priority="1" operator="equal">
      <formula>0</formula>
    </cfRule>
  </conditionalFormatting>
  <conditionalFormatting sqref="AR63">
    <cfRule type="cellIs" dxfId="678" priority="1" operator="equal">
      <formula>0</formula>
    </cfRule>
  </conditionalFormatting>
  <conditionalFormatting sqref="AT63">
    <cfRule type="cellIs" dxfId="679" priority="1" operator="equal">
      <formula>0</formula>
    </cfRule>
  </conditionalFormatting>
  <conditionalFormatting sqref="AV63">
    <cfRule type="cellIs" dxfId="680" priority="1" operator="equal">
      <formula>0</formula>
    </cfRule>
  </conditionalFormatting>
  <conditionalFormatting sqref="AX63">
    <cfRule type="cellIs" dxfId="681" priority="1" operator="equal">
      <formula>0</formula>
    </cfRule>
  </conditionalFormatting>
  <conditionalFormatting sqref="AZ63">
    <cfRule type="cellIs" dxfId="682" priority="1" operator="equal">
      <formula>0</formula>
    </cfRule>
  </conditionalFormatting>
  <conditionalFormatting sqref="BB63">
    <cfRule type="cellIs" dxfId="683" priority="1" operator="equal">
      <formula>0</formula>
    </cfRule>
  </conditionalFormatting>
  <conditionalFormatting sqref="BD63">
    <cfRule type="cellIs" dxfId="684" priority="1" operator="equal">
      <formula>0</formula>
    </cfRule>
  </conditionalFormatting>
  <conditionalFormatting sqref="BF63">
    <cfRule type="cellIs" dxfId="685" priority="1" operator="equal">
      <formula>0</formula>
    </cfRule>
  </conditionalFormatting>
  <conditionalFormatting sqref="BH63">
    <cfRule type="cellIs" dxfId="686" priority="1" operator="equal">
      <formula>0</formula>
    </cfRule>
  </conditionalFormatting>
  <conditionalFormatting sqref="BJ63">
    <cfRule type="cellIs" dxfId="687" priority="1" operator="equal">
      <formula>0</formula>
    </cfRule>
  </conditionalFormatting>
  <conditionalFormatting sqref="BL63">
    <cfRule type="cellIs" dxfId="688" priority="1" operator="equal">
      <formula>0</formula>
    </cfRule>
  </conditionalFormatting>
  <conditionalFormatting sqref="BN63">
    <cfRule type="cellIs" dxfId="689" priority="1" operator="equal">
      <formula>0</formula>
    </cfRule>
  </conditionalFormatting>
  <conditionalFormatting sqref="BP63">
    <cfRule type="cellIs" dxfId="690" priority="1" operator="equal">
      <formula>0</formula>
    </cfRule>
  </conditionalFormatting>
  <conditionalFormatting sqref="BR63">
    <cfRule type="cellIs" dxfId="691" priority="1" operator="equal">
      <formula>0</formula>
    </cfRule>
  </conditionalFormatting>
  <conditionalFormatting sqref="BT63">
    <cfRule type="cellIs" dxfId="692" priority="1" operator="equal">
      <formula>0</formula>
    </cfRule>
  </conditionalFormatting>
  <conditionalFormatting sqref="BV63">
    <cfRule type="cellIs" dxfId="693" priority="1" operator="equal">
      <formula>0</formula>
    </cfRule>
  </conditionalFormatting>
  <conditionalFormatting sqref="BX63">
    <cfRule type="cellIs" dxfId="694" priority="1" operator="equal">
      <formula>0</formula>
    </cfRule>
  </conditionalFormatting>
  <conditionalFormatting sqref="BZ63">
    <cfRule type="cellIs" dxfId="695" priority="1" operator="equal">
      <formula>0</formula>
    </cfRule>
  </conditionalFormatting>
  <conditionalFormatting sqref="W64:Z64">
    <cfRule type="expression" dxfId="696" priority="2">
      <formula>AND( OR(EXACT(W64,"SAILING_WITH_LADEN"), EXACT(W64,"SAILING_IN_BALLAST"), EXACT(W64,"ECONOMICAL_NAVIGATION") ), (0&lt;=AJ64) )</formula>
    </cfRule>
  </conditionalFormatting>
  <conditionalFormatting sqref="AJ64:AK64">
    <cfRule type="expression" dxfId="697" priority="2">
      <formula>AND( OR(EXACT(W64,"SAILING_WITH_LADEN"), EXACT(W64,"SAILING_IN_BALLAST"), EXACT(W64,"ECONOMICAL_NAVIGATION") ), (0&lt;=AJ64) )</formula>
    </cfRule>
  </conditionalFormatting>
  <conditionalFormatting sqref="F64:CA64">
    <cfRule type="expression" dxfId="698" priority="20">
      <formula>true</formula>
    </cfRule>
  </conditionalFormatting>
  <conditionalFormatting sqref="U64">
    <cfRule type="cellIs" dxfId="699" priority="1" operator="equal">
      <formula>0</formula>
    </cfRule>
  </conditionalFormatting>
  <conditionalFormatting sqref="AJ64">
    <cfRule type="cellIs" dxfId="700" priority="1" operator="equal">
      <formula>0</formula>
    </cfRule>
  </conditionalFormatting>
  <conditionalFormatting sqref="AN64">
    <cfRule type="cellIs" dxfId="701" priority="1" operator="equal">
      <formula>0</formula>
    </cfRule>
  </conditionalFormatting>
  <conditionalFormatting sqref="AL64">
    <cfRule type="cellIs" dxfId="702" priority="1" operator="equal">
      <formula>0</formula>
    </cfRule>
  </conditionalFormatting>
  <conditionalFormatting sqref="AR64">
    <cfRule type="cellIs" dxfId="703" priority="1" operator="equal">
      <formula>0</formula>
    </cfRule>
  </conditionalFormatting>
  <conditionalFormatting sqref="AT64">
    <cfRule type="cellIs" dxfId="704" priority="1" operator="equal">
      <formula>0</formula>
    </cfRule>
  </conditionalFormatting>
  <conditionalFormatting sqref="AV64">
    <cfRule type="cellIs" dxfId="705" priority="1" operator="equal">
      <formula>0</formula>
    </cfRule>
  </conditionalFormatting>
  <conditionalFormatting sqref="AX64">
    <cfRule type="cellIs" dxfId="706" priority="1" operator="equal">
      <formula>0</formula>
    </cfRule>
  </conditionalFormatting>
  <conditionalFormatting sqref="AZ64">
    <cfRule type="cellIs" dxfId="707" priority="1" operator="equal">
      <formula>0</formula>
    </cfRule>
  </conditionalFormatting>
  <conditionalFormatting sqref="BB64">
    <cfRule type="cellIs" dxfId="708" priority="1" operator="equal">
      <formula>0</formula>
    </cfRule>
  </conditionalFormatting>
  <conditionalFormatting sqref="BD64">
    <cfRule type="cellIs" dxfId="709" priority="1" operator="equal">
      <formula>0</formula>
    </cfRule>
  </conditionalFormatting>
  <conditionalFormatting sqref="BF64">
    <cfRule type="cellIs" dxfId="710" priority="1" operator="equal">
      <formula>0</formula>
    </cfRule>
  </conditionalFormatting>
  <conditionalFormatting sqref="BH64">
    <cfRule type="cellIs" dxfId="711" priority="1" operator="equal">
      <formula>0</formula>
    </cfRule>
  </conditionalFormatting>
  <conditionalFormatting sqref="BJ64">
    <cfRule type="cellIs" dxfId="712" priority="1" operator="equal">
      <formula>0</formula>
    </cfRule>
  </conditionalFormatting>
  <conditionalFormatting sqref="BL64">
    <cfRule type="cellIs" dxfId="713" priority="1" operator="equal">
      <formula>0</formula>
    </cfRule>
  </conditionalFormatting>
  <conditionalFormatting sqref="BN64">
    <cfRule type="cellIs" dxfId="714" priority="1" operator="equal">
      <formula>0</formula>
    </cfRule>
  </conditionalFormatting>
  <conditionalFormatting sqref="BP64">
    <cfRule type="cellIs" dxfId="715" priority="1" operator="equal">
      <formula>0</formula>
    </cfRule>
  </conditionalFormatting>
  <conditionalFormatting sqref="BR64">
    <cfRule type="cellIs" dxfId="716" priority="1" operator="equal">
      <formula>0</formula>
    </cfRule>
  </conditionalFormatting>
  <conditionalFormatting sqref="BT64">
    <cfRule type="cellIs" dxfId="717" priority="1" operator="equal">
      <formula>0</formula>
    </cfRule>
  </conditionalFormatting>
  <conditionalFormatting sqref="BV64">
    <cfRule type="cellIs" dxfId="718" priority="1" operator="equal">
      <formula>0</formula>
    </cfRule>
  </conditionalFormatting>
  <conditionalFormatting sqref="BX64">
    <cfRule type="cellIs" dxfId="719" priority="1" operator="equal">
      <formula>0</formula>
    </cfRule>
  </conditionalFormatting>
  <conditionalFormatting sqref="BZ64">
    <cfRule type="cellIs" dxfId="720" priority="1" operator="equal">
      <formula>0</formula>
    </cfRule>
  </conditionalFormatting>
  <conditionalFormatting sqref="W65:Z65">
    <cfRule type="expression" dxfId="721" priority="2">
      <formula>AND( OR(EXACT(W65,"SAILING_WITH_LADEN"), EXACT(W65,"SAILING_IN_BALLAST"), EXACT(W65,"ECONOMICAL_NAVIGATION") ), (0&lt;=AJ65) )</formula>
    </cfRule>
  </conditionalFormatting>
  <conditionalFormatting sqref="AJ65:AK65">
    <cfRule type="expression" dxfId="722" priority="2">
      <formula>AND( OR(EXACT(W65,"SAILING_WITH_LADEN"), EXACT(W65,"SAILING_IN_BALLAST"), EXACT(W65,"ECONOMICAL_NAVIGATION") ), (0&lt;=AJ65) )</formula>
    </cfRule>
  </conditionalFormatting>
  <conditionalFormatting sqref="U65">
    <cfRule type="cellIs" dxfId="723" priority="1" operator="equal">
      <formula>0</formula>
    </cfRule>
  </conditionalFormatting>
  <conditionalFormatting sqref="AJ65">
    <cfRule type="cellIs" dxfId="724" priority="1" operator="equal">
      <formula>0</formula>
    </cfRule>
  </conditionalFormatting>
  <conditionalFormatting sqref="AN65">
    <cfRule type="cellIs" dxfId="725" priority="1" operator="equal">
      <formula>0</formula>
    </cfRule>
  </conditionalFormatting>
  <conditionalFormatting sqref="AL65">
    <cfRule type="cellIs" dxfId="726" priority="1" operator="equal">
      <formula>0</formula>
    </cfRule>
  </conditionalFormatting>
  <conditionalFormatting sqref="AR65">
    <cfRule type="cellIs" dxfId="727" priority="1" operator="equal">
      <formula>0</formula>
    </cfRule>
  </conditionalFormatting>
  <conditionalFormatting sqref="AT65">
    <cfRule type="cellIs" dxfId="728" priority="1" operator="equal">
      <formula>0</formula>
    </cfRule>
  </conditionalFormatting>
  <conditionalFormatting sqref="AV65">
    <cfRule type="cellIs" dxfId="729" priority="1" operator="equal">
      <formula>0</formula>
    </cfRule>
  </conditionalFormatting>
  <conditionalFormatting sqref="AX65">
    <cfRule type="cellIs" dxfId="730" priority="1" operator="equal">
      <formula>0</formula>
    </cfRule>
  </conditionalFormatting>
  <conditionalFormatting sqref="AZ65">
    <cfRule type="cellIs" dxfId="731" priority="1" operator="equal">
      <formula>0</formula>
    </cfRule>
  </conditionalFormatting>
  <conditionalFormatting sqref="BB65">
    <cfRule type="cellIs" dxfId="732" priority="1" operator="equal">
      <formula>0</formula>
    </cfRule>
  </conditionalFormatting>
  <conditionalFormatting sqref="BD65">
    <cfRule type="cellIs" dxfId="733" priority="1" operator="equal">
      <formula>0</formula>
    </cfRule>
  </conditionalFormatting>
  <conditionalFormatting sqref="BF65">
    <cfRule type="cellIs" dxfId="734" priority="1" operator="equal">
      <formula>0</formula>
    </cfRule>
  </conditionalFormatting>
  <conditionalFormatting sqref="BH65">
    <cfRule type="cellIs" dxfId="735" priority="1" operator="equal">
      <formula>0</formula>
    </cfRule>
  </conditionalFormatting>
  <conditionalFormatting sqref="BJ65">
    <cfRule type="cellIs" dxfId="736" priority="1" operator="equal">
      <formula>0</formula>
    </cfRule>
  </conditionalFormatting>
  <conditionalFormatting sqref="BL65">
    <cfRule type="cellIs" dxfId="737" priority="1" operator="equal">
      <formula>0</formula>
    </cfRule>
  </conditionalFormatting>
  <conditionalFormatting sqref="BN65">
    <cfRule type="cellIs" dxfId="738" priority="1" operator="equal">
      <formula>0</formula>
    </cfRule>
  </conditionalFormatting>
  <conditionalFormatting sqref="BP65">
    <cfRule type="cellIs" dxfId="739" priority="1" operator="equal">
      <formula>0</formula>
    </cfRule>
  </conditionalFormatting>
  <conditionalFormatting sqref="BR65">
    <cfRule type="cellIs" dxfId="740" priority="1" operator="equal">
      <formula>0</formula>
    </cfRule>
  </conditionalFormatting>
  <conditionalFormatting sqref="BT65">
    <cfRule type="cellIs" dxfId="741" priority="1" operator="equal">
      <formula>0</formula>
    </cfRule>
  </conditionalFormatting>
  <conditionalFormatting sqref="BV65">
    <cfRule type="cellIs" dxfId="742" priority="1" operator="equal">
      <formula>0</formula>
    </cfRule>
  </conditionalFormatting>
  <conditionalFormatting sqref="BX65">
    <cfRule type="cellIs" dxfId="743" priority="1" operator="equal">
      <formula>0</formula>
    </cfRule>
  </conditionalFormatting>
  <conditionalFormatting sqref="BZ65">
    <cfRule type="cellIs" dxfId="744" priority="1" operator="equal">
      <formula>0</formula>
    </cfRule>
  </conditionalFormatting>
  <conditionalFormatting sqref="W66:Z66">
    <cfRule type="expression" dxfId="745" priority="2">
      <formula>AND( OR(EXACT(W66,"SAILING_WITH_LADEN"), EXACT(W66,"SAILING_IN_BALLAST"), EXACT(W66,"ECONOMICAL_NAVIGATION") ), (0&lt;=AJ66) )</formula>
    </cfRule>
  </conditionalFormatting>
  <conditionalFormatting sqref="AJ66:AK66">
    <cfRule type="expression" dxfId="746" priority="2">
      <formula>AND( OR(EXACT(W66,"SAILING_WITH_LADEN"), EXACT(W66,"SAILING_IN_BALLAST"), EXACT(W66,"ECONOMICAL_NAVIGATION") ), (0&lt;=AJ66) )</formula>
    </cfRule>
  </conditionalFormatting>
  <conditionalFormatting sqref="F66:CA66">
    <cfRule type="expression" dxfId="747" priority="20">
      <formula>true</formula>
    </cfRule>
  </conditionalFormatting>
  <conditionalFormatting sqref="U66">
    <cfRule type="cellIs" dxfId="748" priority="1" operator="equal">
      <formula>0</formula>
    </cfRule>
  </conditionalFormatting>
  <conditionalFormatting sqref="AJ66">
    <cfRule type="cellIs" dxfId="749" priority="1" operator="equal">
      <formula>0</formula>
    </cfRule>
  </conditionalFormatting>
  <conditionalFormatting sqref="AN66">
    <cfRule type="cellIs" dxfId="750" priority="1" operator="equal">
      <formula>0</formula>
    </cfRule>
  </conditionalFormatting>
  <conditionalFormatting sqref="AL66">
    <cfRule type="cellIs" dxfId="751" priority="1" operator="equal">
      <formula>0</formula>
    </cfRule>
  </conditionalFormatting>
  <conditionalFormatting sqref="AR66">
    <cfRule type="cellIs" dxfId="752" priority="1" operator="equal">
      <formula>0</formula>
    </cfRule>
  </conditionalFormatting>
  <conditionalFormatting sqref="AT66">
    <cfRule type="cellIs" dxfId="753" priority="1" operator="equal">
      <formula>0</formula>
    </cfRule>
  </conditionalFormatting>
  <conditionalFormatting sqref="AV66">
    <cfRule type="cellIs" dxfId="754" priority="1" operator="equal">
      <formula>0</formula>
    </cfRule>
  </conditionalFormatting>
  <conditionalFormatting sqref="AX66">
    <cfRule type="cellIs" dxfId="755" priority="1" operator="equal">
      <formula>0</formula>
    </cfRule>
  </conditionalFormatting>
  <conditionalFormatting sqref="AZ66">
    <cfRule type="cellIs" dxfId="756" priority="1" operator="equal">
      <formula>0</formula>
    </cfRule>
  </conditionalFormatting>
  <conditionalFormatting sqref="BB66">
    <cfRule type="cellIs" dxfId="757" priority="1" operator="equal">
      <formula>0</formula>
    </cfRule>
  </conditionalFormatting>
  <conditionalFormatting sqref="BD66">
    <cfRule type="cellIs" dxfId="758" priority="1" operator="equal">
      <formula>0</formula>
    </cfRule>
  </conditionalFormatting>
  <conditionalFormatting sqref="BF66">
    <cfRule type="cellIs" dxfId="759" priority="1" operator="equal">
      <formula>0</formula>
    </cfRule>
  </conditionalFormatting>
  <conditionalFormatting sqref="BH66">
    <cfRule type="cellIs" dxfId="760" priority="1" operator="equal">
      <formula>0</formula>
    </cfRule>
  </conditionalFormatting>
  <conditionalFormatting sqref="BJ66">
    <cfRule type="cellIs" dxfId="761" priority="1" operator="equal">
      <formula>0</formula>
    </cfRule>
  </conditionalFormatting>
  <conditionalFormatting sqref="BL66">
    <cfRule type="cellIs" dxfId="762" priority="1" operator="equal">
      <formula>0</formula>
    </cfRule>
  </conditionalFormatting>
  <conditionalFormatting sqref="BN66">
    <cfRule type="cellIs" dxfId="763" priority="1" operator="equal">
      <formula>0</formula>
    </cfRule>
  </conditionalFormatting>
  <conditionalFormatting sqref="BP66">
    <cfRule type="cellIs" dxfId="764" priority="1" operator="equal">
      <formula>0</formula>
    </cfRule>
  </conditionalFormatting>
  <conditionalFormatting sqref="BR66">
    <cfRule type="cellIs" dxfId="765" priority="1" operator="equal">
      <formula>0</formula>
    </cfRule>
  </conditionalFormatting>
  <conditionalFormatting sqref="BT66">
    <cfRule type="cellIs" dxfId="766" priority="1" operator="equal">
      <formula>0</formula>
    </cfRule>
  </conditionalFormatting>
  <conditionalFormatting sqref="BV66">
    <cfRule type="cellIs" dxfId="767" priority="1" operator="equal">
      <formula>0</formula>
    </cfRule>
  </conditionalFormatting>
  <conditionalFormatting sqref="BX66">
    <cfRule type="cellIs" dxfId="768" priority="1" operator="equal">
      <formula>0</formula>
    </cfRule>
  </conditionalFormatting>
  <conditionalFormatting sqref="BZ66">
    <cfRule type="cellIs" dxfId="769" priority="1" operator="equal">
      <formula>0</formula>
    </cfRule>
  </conditionalFormatting>
  <conditionalFormatting sqref="W67:Z67">
    <cfRule type="expression" dxfId="770" priority="2">
      <formula>AND( OR(EXACT(W67,"SAILING_WITH_LADEN"), EXACT(W67,"SAILING_IN_BALLAST"), EXACT(W67,"ECONOMICAL_NAVIGATION") ), (0&lt;=AJ67) )</formula>
    </cfRule>
  </conditionalFormatting>
  <conditionalFormatting sqref="AJ67:AK67">
    <cfRule type="expression" dxfId="771" priority="2">
      <formula>AND( OR(EXACT(W67,"SAILING_WITH_LADEN"), EXACT(W67,"SAILING_IN_BALLAST"), EXACT(W67,"ECONOMICAL_NAVIGATION") ), (0&lt;=AJ67) )</formula>
    </cfRule>
  </conditionalFormatting>
  <conditionalFormatting sqref="U67">
    <cfRule type="cellIs" dxfId="772" priority="1" operator="equal">
      <formula>0</formula>
    </cfRule>
  </conditionalFormatting>
  <conditionalFormatting sqref="AJ67">
    <cfRule type="cellIs" dxfId="773" priority="1" operator="equal">
      <formula>0</formula>
    </cfRule>
  </conditionalFormatting>
  <conditionalFormatting sqref="AN67">
    <cfRule type="cellIs" dxfId="774" priority="1" operator="equal">
      <formula>0</formula>
    </cfRule>
  </conditionalFormatting>
  <conditionalFormatting sqref="AL67">
    <cfRule type="cellIs" dxfId="775" priority="1" operator="equal">
      <formula>0</formula>
    </cfRule>
  </conditionalFormatting>
  <conditionalFormatting sqref="AR67">
    <cfRule type="cellIs" dxfId="776" priority="1" operator="equal">
      <formula>0</formula>
    </cfRule>
  </conditionalFormatting>
  <conditionalFormatting sqref="AT67">
    <cfRule type="cellIs" dxfId="777" priority="1" operator="equal">
      <formula>0</formula>
    </cfRule>
  </conditionalFormatting>
  <conditionalFormatting sqref="AV67">
    <cfRule type="cellIs" dxfId="778" priority="1" operator="equal">
      <formula>0</formula>
    </cfRule>
  </conditionalFormatting>
  <conditionalFormatting sqref="AX67">
    <cfRule type="cellIs" dxfId="779" priority="1" operator="equal">
      <formula>0</formula>
    </cfRule>
  </conditionalFormatting>
  <conditionalFormatting sqref="AZ67">
    <cfRule type="cellIs" dxfId="780" priority="1" operator="equal">
      <formula>0</formula>
    </cfRule>
  </conditionalFormatting>
  <conditionalFormatting sqref="BB67">
    <cfRule type="cellIs" dxfId="781" priority="1" operator="equal">
      <formula>0</formula>
    </cfRule>
  </conditionalFormatting>
  <conditionalFormatting sqref="BD67">
    <cfRule type="cellIs" dxfId="782" priority="1" operator="equal">
      <formula>0</formula>
    </cfRule>
  </conditionalFormatting>
  <conditionalFormatting sqref="BF67">
    <cfRule type="cellIs" dxfId="783" priority="1" operator="equal">
      <formula>0</formula>
    </cfRule>
  </conditionalFormatting>
  <conditionalFormatting sqref="BH67">
    <cfRule type="cellIs" dxfId="784" priority="1" operator="equal">
      <formula>0</formula>
    </cfRule>
  </conditionalFormatting>
  <conditionalFormatting sqref="BJ67">
    <cfRule type="cellIs" dxfId="785" priority="1" operator="equal">
      <formula>0</formula>
    </cfRule>
  </conditionalFormatting>
  <conditionalFormatting sqref="BL67">
    <cfRule type="cellIs" dxfId="786" priority="1" operator="equal">
      <formula>0</formula>
    </cfRule>
  </conditionalFormatting>
  <conditionalFormatting sqref="BN67">
    <cfRule type="cellIs" dxfId="787" priority="1" operator="equal">
      <formula>0</formula>
    </cfRule>
  </conditionalFormatting>
  <conditionalFormatting sqref="BP67">
    <cfRule type="cellIs" dxfId="788" priority="1" operator="equal">
      <formula>0</formula>
    </cfRule>
  </conditionalFormatting>
  <conditionalFormatting sqref="BR67">
    <cfRule type="cellIs" dxfId="789" priority="1" operator="equal">
      <formula>0</formula>
    </cfRule>
  </conditionalFormatting>
  <conditionalFormatting sqref="BT67">
    <cfRule type="cellIs" dxfId="790" priority="1" operator="equal">
      <formula>0</formula>
    </cfRule>
  </conditionalFormatting>
  <conditionalFormatting sqref="BV67">
    <cfRule type="cellIs" dxfId="791" priority="1" operator="equal">
      <formula>0</formula>
    </cfRule>
  </conditionalFormatting>
  <conditionalFormatting sqref="BX67">
    <cfRule type="cellIs" dxfId="792" priority="1" operator="equal">
      <formula>0</formula>
    </cfRule>
  </conditionalFormatting>
  <conditionalFormatting sqref="BZ67">
    <cfRule type="cellIs" dxfId="793" priority="1" operator="equal">
      <formula>0</formula>
    </cfRule>
  </conditionalFormatting>
  <conditionalFormatting sqref="W68:Z68">
    <cfRule type="expression" dxfId="794" priority="2">
      <formula>AND( OR(EXACT(W68,"SAILING_WITH_LADEN"), EXACT(W68,"SAILING_IN_BALLAST"), EXACT(W68,"ECONOMICAL_NAVIGATION") ), (0&lt;=AJ68) )</formula>
    </cfRule>
  </conditionalFormatting>
  <conditionalFormatting sqref="AJ68:AK68">
    <cfRule type="expression" dxfId="795" priority="2">
      <formula>AND( OR(EXACT(W68,"SAILING_WITH_LADEN"), EXACT(W68,"SAILING_IN_BALLAST"), EXACT(W68,"ECONOMICAL_NAVIGATION") ), (0&lt;=AJ68) )</formula>
    </cfRule>
  </conditionalFormatting>
  <conditionalFormatting sqref="F68:CA68">
    <cfRule type="expression" dxfId="796" priority="20">
      <formula>true</formula>
    </cfRule>
  </conditionalFormatting>
  <conditionalFormatting sqref="U68">
    <cfRule type="cellIs" dxfId="797" priority="1" operator="equal">
      <formula>0</formula>
    </cfRule>
  </conditionalFormatting>
  <conditionalFormatting sqref="AJ68">
    <cfRule type="cellIs" dxfId="798" priority="1" operator="equal">
      <formula>0</formula>
    </cfRule>
  </conditionalFormatting>
  <conditionalFormatting sqref="AN68">
    <cfRule type="cellIs" dxfId="799" priority="1" operator="equal">
      <formula>0</formula>
    </cfRule>
  </conditionalFormatting>
  <conditionalFormatting sqref="AL68">
    <cfRule type="cellIs" dxfId="800" priority="1" operator="equal">
      <formula>0</formula>
    </cfRule>
  </conditionalFormatting>
  <conditionalFormatting sqref="AR68">
    <cfRule type="cellIs" dxfId="801" priority="1" operator="equal">
      <formula>0</formula>
    </cfRule>
  </conditionalFormatting>
  <conditionalFormatting sqref="AT68">
    <cfRule type="cellIs" dxfId="802" priority="1" operator="equal">
      <formula>0</formula>
    </cfRule>
  </conditionalFormatting>
  <conditionalFormatting sqref="AV68">
    <cfRule type="cellIs" dxfId="803" priority="1" operator="equal">
      <formula>0</formula>
    </cfRule>
  </conditionalFormatting>
  <conditionalFormatting sqref="AX68">
    <cfRule type="cellIs" dxfId="804" priority="1" operator="equal">
      <formula>0</formula>
    </cfRule>
  </conditionalFormatting>
  <conditionalFormatting sqref="AZ68">
    <cfRule type="cellIs" dxfId="805" priority="1" operator="equal">
      <formula>0</formula>
    </cfRule>
  </conditionalFormatting>
  <conditionalFormatting sqref="BB68">
    <cfRule type="cellIs" dxfId="806" priority="1" operator="equal">
      <formula>0</formula>
    </cfRule>
  </conditionalFormatting>
  <conditionalFormatting sqref="BD68">
    <cfRule type="cellIs" dxfId="807" priority="1" operator="equal">
      <formula>0</formula>
    </cfRule>
  </conditionalFormatting>
  <conditionalFormatting sqref="BF68">
    <cfRule type="cellIs" dxfId="808" priority="1" operator="equal">
      <formula>0</formula>
    </cfRule>
  </conditionalFormatting>
  <conditionalFormatting sqref="BH68">
    <cfRule type="cellIs" dxfId="809" priority="1" operator="equal">
      <formula>0</formula>
    </cfRule>
  </conditionalFormatting>
  <conditionalFormatting sqref="BJ68">
    <cfRule type="cellIs" dxfId="810" priority="1" operator="equal">
      <formula>0</formula>
    </cfRule>
  </conditionalFormatting>
  <conditionalFormatting sqref="BL68">
    <cfRule type="cellIs" dxfId="811" priority="1" operator="equal">
      <formula>0</formula>
    </cfRule>
  </conditionalFormatting>
  <conditionalFormatting sqref="BN68">
    <cfRule type="cellIs" dxfId="812" priority="1" operator="equal">
      <formula>0</formula>
    </cfRule>
  </conditionalFormatting>
  <conditionalFormatting sqref="BP68">
    <cfRule type="cellIs" dxfId="813" priority="1" operator="equal">
      <formula>0</formula>
    </cfRule>
  </conditionalFormatting>
  <conditionalFormatting sqref="BR68">
    <cfRule type="cellIs" dxfId="814" priority="1" operator="equal">
      <formula>0</formula>
    </cfRule>
  </conditionalFormatting>
  <conditionalFormatting sqref="BT68">
    <cfRule type="cellIs" dxfId="815" priority="1" operator="equal">
      <formula>0</formula>
    </cfRule>
  </conditionalFormatting>
  <conditionalFormatting sqref="BV68">
    <cfRule type="cellIs" dxfId="816" priority="1" operator="equal">
      <formula>0</formula>
    </cfRule>
  </conditionalFormatting>
  <conditionalFormatting sqref="BX68">
    <cfRule type="cellIs" dxfId="817" priority="1" operator="equal">
      <formula>0</formula>
    </cfRule>
  </conditionalFormatting>
  <conditionalFormatting sqref="BZ68">
    <cfRule type="cellIs" dxfId="818" priority="1" operator="equal">
      <formula>0</formula>
    </cfRule>
  </conditionalFormatting>
  <conditionalFormatting sqref="W69:Z69">
    <cfRule type="expression" dxfId="819" priority="2">
      <formula>AND( OR(EXACT(W69,"SAILING_WITH_LADEN"), EXACT(W69,"SAILING_IN_BALLAST"), EXACT(W69,"ECONOMICAL_NAVIGATION") ), (0&lt;=AJ69) )</formula>
    </cfRule>
  </conditionalFormatting>
  <conditionalFormatting sqref="AJ69:AK69">
    <cfRule type="expression" dxfId="820" priority="2">
      <formula>AND( OR(EXACT(W69,"SAILING_WITH_LADEN"), EXACT(W69,"SAILING_IN_BALLAST"), EXACT(W69,"ECONOMICAL_NAVIGATION") ), (0&lt;=AJ69) )</formula>
    </cfRule>
  </conditionalFormatting>
  <conditionalFormatting sqref="U69">
    <cfRule type="cellIs" dxfId="821" priority="1" operator="equal">
      <formula>0</formula>
    </cfRule>
  </conditionalFormatting>
  <conditionalFormatting sqref="AJ69">
    <cfRule type="cellIs" dxfId="822" priority="1" operator="equal">
      <formula>0</formula>
    </cfRule>
  </conditionalFormatting>
  <conditionalFormatting sqref="AN69">
    <cfRule type="cellIs" dxfId="823" priority="1" operator="equal">
      <formula>0</formula>
    </cfRule>
  </conditionalFormatting>
  <conditionalFormatting sqref="AL69">
    <cfRule type="cellIs" dxfId="824" priority="1" operator="equal">
      <formula>0</formula>
    </cfRule>
  </conditionalFormatting>
  <conditionalFormatting sqref="AR69">
    <cfRule type="cellIs" dxfId="825" priority="1" operator="equal">
      <formula>0</formula>
    </cfRule>
  </conditionalFormatting>
  <conditionalFormatting sqref="AT69">
    <cfRule type="cellIs" dxfId="826" priority="1" operator="equal">
      <formula>0</formula>
    </cfRule>
  </conditionalFormatting>
  <conditionalFormatting sqref="AV69">
    <cfRule type="cellIs" dxfId="827" priority="1" operator="equal">
      <formula>0</formula>
    </cfRule>
  </conditionalFormatting>
  <conditionalFormatting sqref="AX69">
    <cfRule type="cellIs" dxfId="828" priority="1" operator="equal">
      <formula>0</formula>
    </cfRule>
  </conditionalFormatting>
  <conditionalFormatting sqref="AZ69">
    <cfRule type="cellIs" dxfId="829" priority="1" operator="equal">
      <formula>0</formula>
    </cfRule>
  </conditionalFormatting>
  <conditionalFormatting sqref="BB69">
    <cfRule type="cellIs" dxfId="830" priority="1" operator="equal">
      <formula>0</formula>
    </cfRule>
  </conditionalFormatting>
  <conditionalFormatting sqref="BD69">
    <cfRule type="cellIs" dxfId="831" priority="1" operator="equal">
      <formula>0</formula>
    </cfRule>
  </conditionalFormatting>
  <conditionalFormatting sqref="BF69">
    <cfRule type="cellIs" dxfId="832" priority="1" operator="equal">
      <formula>0</formula>
    </cfRule>
  </conditionalFormatting>
  <conditionalFormatting sqref="BH69">
    <cfRule type="cellIs" dxfId="833" priority="1" operator="equal">
      <formula>0</formula>
    </cfRule>
  </conditionalFormatting>
  <conditionalFormatting sqref="BJ69">
    <cfRule type="cellIs" dxfId="834" priority="1" operator="equal">
      <formula>0</formula>
    </cfRule>
  </conditionalFormatting>
  <conditionalFormatting sqref="BL69">
    <cfRule type="cellIs" dxfId="835" priority="1" operator="equal">
      <formula>0</formula>
    </cfRule>
  </conditionalFormatting>
  <conditionalFormatting sqref="BN69">
    <cfRule type="cellIs" dxfId="836" priority="1" operator="equal">
      <formula>0</formula>
    </cfRule>
  </conditionalFormatting>
  <conditionalFormatting sqref="BP69">
    <cfRule type="cellIs" dxfId="837" priority="1" operator="equal">
      <formula>0</formula>
    </cfRule>
  </conditionalFormatting>
  <conditionalFormatting sqref="BR69">
    <cfRule type="cellIs" dxfId="838" priority="1" operator="equal">
      <formula>0</formula>
    </cfRule>
  </conditionalFormatting>
  <conditionalFormatting sqref="BT69">
    <cfRule type="cellIs" dxfId="839" priority="1" operator="equal">
      <formula>0</formula>
    </cfRule>
  </conditionalFormatting>
  <conditionalFormatting sqref="BV69">
    <cfRule type="cellIs" dxfId="840" priority="1" operator="equal">
      <formula>0</formula>
    </cfRule>
  </conditionalFormatting>
  <conditionalFormatting sqref="BX69">
    <cfRule type="cellIs" dxfId="841" priority="1" operator="equal">
      <formula>0</formula>
    </cfRule>
  </conditionalFormatting>
  <conditionalFormatting sqref="BZ69">
    <cfRule type="cellIs" dxfId="842" priority="1" operator="equal">
      <formula>0</formula>
    </cfRule>
  </conditionalFormatting>
  <conditionalFormatting sqref="W70:Z70">
    <cfRule type="expression" dxfId="843" priority="2">
      <formula>AND( OR(EXACT(W70,"SAILING_WITH_LADEN"), EXACT(W70,"SAILING_IN_BALLAST"), EXACT(W70,"ECONOMICAL_NAVIGATION") ), (0&lt;=AJ70) )</formula>
    </cfRule>
  </conditionalFormatting>
  <conditionalFormatting sqref="AJ70:AK70">
    <cfRule type="expression" dxfId="844" priority="2">
      <formula>AND( OR(EXACT(W70,"SAILING_WITH_LADEN"), EXACT(W70,"SAILING_IN_BALLAST"), EXACT(W70,"ECONOMICAL_NAVIGATION") ), (0&lt;=AJ70) )</formula>
    </cfRule>
  </conditionalFormatting>
  <conditionalFormatting sqref="F70:CA70">
    <cfRule type="expression" dxfId="845" priority="20">
      <formula>true</formula>
    </cfRule>
  </conditionalFormatting>
  <conditionalFormatting sqref="U70">
    <cfRule type="cellIs" dxfId="846" priority="1" operator="equal">
      <formula>0</formula>
    </cfRule>
  </conditionalFormatting>
  <conditionalFormatting sqref="AJ70">
    <cfRule type="cellIs" dxfId="847" priority="1" operator="equal">
      <formula>0</formula>
    </cfRule>
  </conditionalFormatting>
  <conditionalFormatting sqref="AN70">
    <cfRule type="cellIs" dxfId="848" priority="1" operator="equal">
      <formula>0</formula>
    </cfRule>
  </conditionalFormatting>
  <conditionalFormatting sqref="AL70">
    <cfRule type="cellIs" dxfId="849" priority="1" operator="equal">
      <formula>0</formula>
    </cfRule>
  </conditionalFormatting>
  <conditionalFormatting sqref="AR70">
    <cfRule type="cellIs" dxfId="850" priority="1" operator="equal">
      <formula>0</formula>
    </cfRule>
  </conditionalFormatting>
  <conditionalFormatting sqref="AT70">
    <cfRule type="cellIs" dxfId="851" priority="1" operator="equal">
      <formula>0</formula>
    </cfRule>
  </conditionalFormatting>
  <conditionalFormatting sqref="AV70">
    <cfRule type="cellIs" dxfId="852" priority="1" operator="equal">
      <formula>0</formula>
    </cfRule>
  </conditionalFormatting>
  <conditionalFormatting sqref="AX70">
    <cfRule type="cellIs" dxfId="853" priority="1" operator="equal">
      <formula>0</formula>
    </cfRule>
  </conditionalFormatting>
  <conditionalFormatting sqref="AZ70">
    <cfRule type="cellIs" dxfId="854" priority="1" operator="equal">
      <formula>0</formula>
    </cfRule>
  </conditionalFormatting>
  <conditionalFormatting sqref="BB70">
    <cfRule type="cellIs" dxfId="855" priority="1" operator="equal">
      <formula>0</formula>
    </cfRule>
  </conditionalFormatting>
  <conditionalFormatting sqref="BD70">
    <cfRule type="cellIs" dxfId="856" priority="1" operator="equal">
      <formula>0</formula>
    </cfRule>
  </conditionalFormatting>
  <conditionalFormatting sqref="BF70">
    <cfRule type="cellIs" dxfId="857" priority="1" operator="equal">
      <formula>0</formula>
    </cfRule>
  </conditionalFormatting>
  <conditionalFormatting sqref="BH70">
    <cfRule type="cellIs" dxfId="858" priority="1" operator="equal">
      <formula>0</formula>
    </cfRule>
  </conditionalFormatting>
  <conditionalFormatting sqref="BJ70">
    <cfRule type="cellIs" dxfId="859" priority="1" operator="equal">
      <formula>0</formula>
    </cfRule>
  </conditionalFormatting>
  <conditionalFormatting sqref="BL70">
    <cfRule type="cellIs" dxfId="860" priority="1" operator="equal">
      <formula>0</formula>
    </cfRule>
  </conditionalFormatting>
  <conditionalFormatting sqref="BN70">
    <cfRule type="cellIs" dxfId="861" priority="1" operator="equal">
      <formula>0</formula>
    </cfRule>
  </conditionalFormatting>
  <conditionalFormatting sqref="BP70">
    <cfRule type="cellIs" dxfId="862" priority="1" operator="equal">
      <formula>0</formula>
    </cfRule>
  </conditionalFormatting>
  <conditionalFormatting sqref="BR70">
    <cfRule type="cellIs" dxfId="863" priority="1" operator="equal">
      <formula>0</formula>
    </cfRule>
  </conditionalFormatting>
  <conditionalFormatting sqref="BT70">
    <cfRule type="cellIs" dxfId="864" priority="1" operator="equal">
      <formula>0</formula>
    </cfRule>
  </conditionalFormatting>
  <conditionalFormatting sqref="BV70">
    <cfRule type="cellIs" dxfId="865" priority="1" operator="equal">
      <formula>0</formula>
    </cfRule>
  </conditionalFormatting>
  <conditionalFormatting sqref="BX70">
    <cfRule type="cellIs" dxfId="866" priority="1" operator="equal">
      <formula>0</formula>
    </cfRule>
  </conditionalFormatting>
  <conditionalFormatting sqref="BZ70">
    <cfRule type="cellIs" dxfId="867" priority="1" operator="equal">
      <formula>0</formula>
    </cfRule>
  </conditionalFormatting>
  <conditionalFormatting sqref="W71:Z71">
    <cfRule type="expression" dxfId="868" priority="2">
      <formula>AND( OR(EXACT(W71,"SAILING_WITH_LADEN"), EXACT(W71,"SAILING_IN_BALLAST"), EXACT(W71,"ECONOMICAL_NAVIGATION") ), (0&lt;=AJ71) )</formula>
    </cfRule>
  </conditionalFormatting>
  <conditionalFormatting sqref="AJ71:AK71">
    <cfRule type="expression" dxfId="869" priority="2">
      <formula>AND( OR(EXACT(W71,"SAILING_WITH_LADEN"), EXACT(W71,"SAILING_IN_BALLAST"), EXACT(W71,"ECONOMICAL_NAVIGATION") ), (0&lt;=AJ71) )</formula>
    </cfRule>
  </conditionalFormatting>
  <conditionalFormatting sqref="U71">
    <cfRule type="cellIs" dxfId="870" priority="1" operator="equal">
      <formula>0</formula>
    </cfRule>
  </conditionalFormatting>
  <conditionalFormatting sqref="AJ71">
    <cfRule type="cellIs" dxfId="871" priority="1" operator="equal">
      <formula>0</formula>
    </cfRule>
  </conditionalFormatting>
  <conditionalFormatting sqref="AN71">
    <cfRule type="cellIs" dxfId="872" priority="1" operator="equal">
      <formula>0</formula>
    </cfRule>
  </conditionalFormatting>
  <conditionalFormatting sqref="AL71">
    <cfRule type="cellIs" dxfId="873" priority="1" operator="equal">
      <formula>0</formula>
    </cfRule>
  </conditionalFormatting>
  <conditionalFormatting sqref="AR71">
    <cfRule type="cellIs" dxfId="874" priority="1" operator="equal">
      <formula>0</formula>
    </cfRule>
  </conditionalFormatting>
  <conditionalFormatting sqref="AT71">
    <cfRule type="cellIs" dxfId="875" priority="1" operator="equal">
      <formula>0</formula>
    </cfRule>
  </conditionalFormatting>
  <conditionalFormatting sqref="AV71">
    <cfRule type="cellIs" dxfId="876" priority="1" operator="equal">
      <formula>0</formula>
    </cfRule>
  </conditionalFormatting>
  <conditionalFormatting sqref="AX71">
    <cfRule type="cellIs" dxfId="877" priority="1" operator="equal">
      <formula>0</formula>
    </cfRule>
  </conditionalFormatting>
  <conditionalFormatting sqref="AZ71">
    <cfRule type="cellIs" dxfId="878" priority="1" operator="equal">
      <formula>0</formula>
    </cfRule>
  </conditionalFormatting>
  <conditionalFormatting sqref="BB71">
    <cfRule type="cellIs" dxfId="879" priority="1" operator="equal">
      <formula>0</formula>
    </cfRule>
  </conditionalFormatting>
  <conditionalFormatting sqref="BD71">
    <cfRule type="cellIs" dxfId="880" priority="1" operator="equal">
      <formula>0</formula>
    </cfRule>
  </conditionalFormatting>
  <conditionalFormatting sqref="BF71">
    <cfRule type="cellIs" dxfId="881" priority="1" operator="equal">
      <formula>0</formula>
    </cfRule>
  </conditionalFormatting>
  <conditionalFormatting sqref="BH71">
    <cfRule type="cellIs" dxfId="882" priority="1" operator="equal">
      <formula>0</formula>
    </cfRule>
  </conditionalFormatting>
  <conditionalFormatting sqref="BJ71">
    <cfRule type="cellIs" dxfId="883" priority="1" operator="equal">
      <formula>0</formula>
    </cfRule>
  </conditionalFormatting>
  <conditionalFormatting sqref="BL71">
    <cfRule type="cellIs" dxfId="884" priority="1" operator="equal">
      <formula>0</formula>
    </cfRule>
  </conditionalFormatting>
  <conditionalFormatting sqref="BN71">
    <cfRule type="cellIs" dxfId="885" priority="1" operator="equal">
      <formula>0</formula>
    </cfRule>
  </conditionalFormatting>
  <conditionalFormatting sqref="BP71">
    <cfRule type="cellIs" dxfId="886" priority="1" operator="equal">
      <formula>0</formula>
    </cfRule>
  </conditionalFormatting>
  <conditionalFormatting sqref="BR71">
    <cfRule type="cellIs" dxfId="887" priority="1" operator="equal">
      <formula>0</formula>
    </cfRule>
  </conditionalFormatting>
  <conditionalFormatting sqref="BT71">
    <cfRule type="cellIs" dxfId="888" priority="1" operator="equal">
      <formula>0</formula>
    </cfRule>
  </conditionalFormatting>
  <conditionalFormatting sqref="BV71">
    <cfRule type="cellIs" dxfId="889" priority="1" operator="equal">
      <formula>0</formula>
    </cfRule>
  </conditionalFormatting>
  <conditionalFormatting sqref="BX71">
    <cfRule type="cellIs" dxfId="890" priority="1" operator="equal">
      <formula>0</formula>
    </cfRule>
  </conditionalFormatting>
  <conditionalFormatting sqref="BZ71">
    <cfRule type="cellIs" dxfId="891" priority="1" operator="equal">
      <formula>0</formula>
    </cfRule>
  </conditionalFormatting>
  <conditionalFormatting sqref="W72:Z72">
    <cfRule type="expression" dxfId="892" priority="2">
      <formula>AND( OR(EXACT(W72,"SAILING_WITH_LADEN"), EXACT(W72,"SAILING_IN_BALLAST"), EXACT(W72,"ECONOMICAL_NAVIGATION") ), (0&lt;=AJ72) )</formula>
    </cfRule>
  </conditionalFormatting>
  <conditionalFormatting sqref="AJ72:AK72">
    <cfRule type="expression" dxfId="893" priority="2">
      <formula>AND( OR(EXACT(W72,"SAILING_WITH_LADEN"), EXACT(W72,"SAILING_IN_BALLAST"), EXACT(W72,"ECONOMICAL_NAVIGATION") ), (0&lt;=AJ72) )</formula>
    </cfRule>
  </conditionalFormatting>
  <conditionalFormatting sqref="F72:CA72">
    <cfRule type="expression" dxfId="894" priority="20">
      <formula>true</formula>
    </cfRule>
  </conditionalFormatting>
  <conditionalFormatting sqref="U72">
    <cfRule type="cellIs" dxfId="895" priority="1" operator="equal">
      <formula>0</formula>
    </cfRule>
  </conditionalFormatting>
  <conditionalFormatting sqref="AJ72">
    <cfRule type="cellIs" dxfId="896" priority="1" operator="equal">
      <formula>0</formula>
    </cfRule>
  </conditionalFormatting>
  <conditionalFormatting sqref="AN72">
    <cfRule type="cellIs" dxfId="897" priority="1" operator="equal">
      <formula>0</formula>
    </cfRule>
  </conditionalFormatting>
  <conditionalFormatting sqref="AL72">
    <cfRule type="cellIs" dxfId="898" priority="1" operator="equal">
      <formula>0</formula>
    </cfRule>
  </conditionalFormatting>
  <conditionalFormatting sqref="AR72">
    <cfRule type="cellIs" dxfId="899" priority="1" operator="equal">
      <formula>0</formula>
    </cfRule>
  </conditionalFormatting>
  <conditionalFormatting sqref="AT72">
    <cfRule type="cellIs" dxfId="900" priority="1" operator="equal">
      <formula>0</formula>
    </cfRule>
  </conditionalFormatting>
  <conditionalFormatting sqref="AV72">
    <cfRule type="cellIs" dxfId="901" priority="1" operator="equal">
      <formula>0</formula>
    </cfRule>
  </conditionalFormatting>
  <conditionalFormatting sqref="AX72">
    <cfRule type="cellIs" dxfId="902" priority="1" operator="equal">
      <formula>0</formula>
    </cfRule>
  </conditionalFormatting>
  <conditionalFormatting sqref="AZ72">
    <cfRule type="cellIs" dxfId="903" priority="1" operator="equal">
      <formula>0</formula>
    </cfRule>
  </conditionalFormatting>
  <conditionalFormatting sqref="BB72">
    <cfRule type="cellIs" dxfId="904" priority="1" operator="equal">
      <formula>0</formula>
    </cfRule>
  </conditionalFormatting>
  <conditionalFormatting sqref="BD72">
    <cfRule type="cellIs" dxfId="905" priority="1" operator="equal">
      <formula>0</formula>
    </cfRule>
  </conditionalFormatting>
  <conditionalFormatting sqref="BF72">
    <cfRule type="cellIs" dxfId="906" priority="1" operator="equal">
      <formula>0</formula>
    </cfRule>
  </conditionalFormatting>
  <conditionalFormatting sqref="BH72">
    <cfRule type="cellIs" dxfId="907" priority="1" operator="equal">
      <formula>0</formula>
    </cfRule>
  </conditionalFormatting>
  <conditionalFormatting sqref="BJ72">
    <cfRule type="cellIs" dxfId="908" priority="1" operator="equal">
      <formula>0</formula>
    </cfRule>
  </conditionalFormatting>
  <conditionalFormatting sqref="BL72">
    <cfRule type="cellIs" dxfId="909" priority="1" operator="equal">
      <formula>0</formula>
    </cfRule>
  </conditionalFormatting>
  <conditionalFormatting sqref="BN72">
    <cfRule type="cellIs" dxfId="910" priority="1" operator="equal">
      <formula>0</formula>
    </cfRule>
  </conditionalFormatting>
  <conditionalFormatting sqref="BP72">
    <cfRule type="cellIs" dxfId="911" priority="1" operator="equal">
      <formula>0</formula>
    </cfRule>
  </conditionalFormatting>
  <conditionalFormatting sqref="BR72">
    <cfRule type="cellIs" dxfId="912" priority="1" operator="equal">
      <formula>0</formula>
    </cfRule>
  </conditionalFormatting>
  <conditionalFormatting sqref="BT72">
    <cfRule type="cellIs" dxfId="913" priority="1" operator="equal">
      <formula>0</formula>
    </cfRule>
  </conditionalFormatting>
  <conditionalFormatting sqref="BV72">
    <cfRule type="cellIs" dxfId="914" priority="1" operator="equal">
      <formula>0</formula>
    </cfRule>
  </conditionalFormatting>
  <conditionalFormatting sqref="BX72">
    <cfRule type="cellIs" dxfId="915" priority="1" operator="equal">
      <formula>0</formula>
    </cfRule>
  </conditionalFormatting>
  <conditionalFormatting sqref="BZ72">
    <cfRule type="cellIs" dxfId="916" priority="1" operator="equal">
      <formula>0</formula>
    </cfRule>
  </conditionalFormatting>
  <conditionalFormatting sqref="W73:Z73">
    <cfRule type="expression" dxfId="917" priority="2">
      <formula>AND( OR(EXACT(W73,"SAILING_WITH_LADEN"), EXACT(W73,"SAILING_IN_BALLAST"), EXACT(W73,"ECONOMICAL_NAVIGATION") ), (0&lt;=AJ73) )</formula>
    </cfRule>
  </conditionalFormatting>
  <conditionalFormatting sqref="AJ73:AK73">
    <cfRule type="expression" dxfId="918" priority="2">
      <formula>AND( OR(EXACT(W73,"SAILING_WITH_LADEN"), EXACT(W73,"SAILING_IN_BALLAST"), EXACT(W73,"ECONOMICAL_NAVIGATION") ), (0&lt;=AJ73) )</formula>
    </cfRule>
  </conditionalFormatting>
  <conditionalFormatting sqref="U73">
    <cfRule type="cellIs" dxfId="919" priority="1" operator="equal">
      <formula>0</formula>
    </cfRule>
  </conditionalFormatting>
  <conditionalFormatting sqref="AJ73">
    <cfRule type="cellIs" dxfId="920" priority="1" operator="equal">
      <formula>0</formula>
    </cfRule>
  </conditionalFormatting>
  <conditionalFormatting sqref="AN73">
    <cfRule type="cellIs" dxfId="921" priority="1" operator="equal">
      <formula>0</formula>
    </cfRule>
  </conditionalFormatting>
  <conditionalFormatting sqref="AL73">
    <cfRule type="cellIs" dxfId="922" priority="1" operator="equal">
      <formula>0</formula>
    </cfRule>
  </conditionalFormatting>
  <conditionalFormatting sqref="AR73">
    <cfRule type="cellIs" dxfId="923" priority="1" operator="equal">
      <formula>0</formula>
    </cfRule>
  </conditionalFormatting>
  <conditionalFormatting sqref="AT73">
    <cfRule type="cellIs" dxfId="924" priority="1" operator="equal">
      <formula>0</formula>
    </cfRule>
  </conditionalFormatting>
  <conditionalFormatting sqref="AV73">
    <cfRule type="cellIs" dxfId="925" priority="1" operator="equal">
      <formula>0</formula>
    </cfRule>
  </conditionalFormatting>
  <conditionalFormatting sqref="AX73">
    <cfRule type="cellIs" dxfId="926" priority="1" operator="equal">
      <formula>0</formula>
    </cfRule>
  </conditionalFormatting>
  <conditionalFormatting sqref="AZ73">
    <cfRule type="cellIs" dxfId="927" priority="1" operator="equal">
      <formula>0</formula>
    </cfRule>
  </conditionalFormatting>
  <conditionalFormatting sqref="BB73">
    <cfRule type="cellIs" dxfId="928" priority="1" operator="equal">
      <formula>0</formula>
    </cfRule>
  </conditionalFormatting>
  <conditionalFormatting sqref="BD73">
    <cfRule type="cellIs" dxfId="929" priority="1" operator="equal">
      <formula>0</formula>
    </cfRule>
  </conditionalFormatting>
  <conditionalFormatting sqref="BF73">
    <cfRule type="cellIs" dxfId="930" priority="1" operator="equal">
      <formula>0</formula>
    </cfRule>
  </conditionalFormatting>
  <conditionalFormatting sqref="BH73">
    <cfRule type="cellIs" dxfId="931" priority="1" operator="equal">
      <formula>0</formula>
    </cfRule>
  </conditionalFormatting>
  <conditionalFormatting sqref="BJ73">
    <cfRule type="cellIs" dxfId="932" priority="1" operator="equal">
      <formula>0</formula>
    </cfRule>
  </conditionalFormatting>
  <conditionalFormatting sqref="BL73">
    <cfRule type="cellIs" dxfId="933" priority="1" operator="equal">
      <formula>0</formula>
    </cfRule>
  </conditionalFormatting>
  <conditionalFormatting sqref="BN73">
    <cfRule type="cellIs" dxfId="934" priority="1" operator="equal">
      <formula>0</formula>
    </cfRule>
  </conditionalFormatting>
  <conditionalFormatting sqref="BP73">
    <cfRule type="cellIs" dxfId="935" priority="1" operator="equal">
      <formula>0</formula>
    </cfRule>
  </conditionalFormatting>
  <conditionalFormatting sqref="BR73">
    <cfRule type="cellIs" dxfId="936" priority="1" operator="equal">
      <formula>0</formula>
    </cfRule>
  </conditionalFormatting>
  <conditionalFormatting sqref="BT73">
    <cfRule type="cellIs" dxfId="937" priority="1" operator="equal">
      <formula>0</formula>
    </cfRule>
  </conditionalFormatting>
  <conditionalFormatting sqref="BV73">
    <cfRule type="cellIs" dxfId="938" priority="1" operator="equal">
      <formula>0</formula>
    </cfRule>
  </conditionalFormatting>
  <conditionalFormatting sqref="BX73">
    <cfRule type="cellIs" dxfId="939" priority="1" operator="equal">
      <formula>0</formula>
    </cfRule>
  </conditionalFormatting>
  <conditionalFormatting sqref="BZ73">
    <cfRule type="cellIs" dxfId="940" priority="1" operator="equal">
      <formula>0</formula>
    </cfRule>
  </conditionalFormatting>
  <conditionalFormatting sqref="W74:Z74">
    <cfRule type="expression" dxfId="941" priority="2">
      <formula>AND( OR(EXACT(W74,"SAILING_WITH_LADEN"), EXACT(W74,"SAILING_IN_BALLAST"), EXACT(W74,"ECONOMICAL_NAVIGATION") ), (0&lt;=AJ74) )</formula>
    </cfRule>
  </conditionalFormatting>
  <conditionalFormatting sqref="AJ74:AK74">
    <cfRule type="expression" dxfId="942" priority="2">
      <formula>AND( OR(EXACT(W74,"SAILING_WITH_LADEN"), EXACT(W74,"SAILING_IN_BALLAST"), EXACT(W74,"ECONOMICAL_NAVIGATION") ), (0&lt;=AJ74) )</formula>
    </cfRule>
  </conditionalFormatting>
  <conditionalFormatting sqref="F74:CA74">
    <cfRule type="expression" dxfId="943" priority="20">
      <formula>true</formula>
    </cfRule>
  </conditionalFormatting>
  <conditionalFormatting sqref="U74">
    <cfRule type="cellIs" dxfId="944" priority="1" operator="equal">
      <formula>0</formula>
    </cfRule>
  </conditionalFormatting>
  <conditionalFormatting sqref="AJ74">
    <cfRule type="cellIs" dxfId="945" priority="1" operator="equal">
      <formula>0</formula>
    </cfRule>
  </conditionalFormatting>
  <conditionalFormatting sqref="AN74">
    <cfRule type="cellIs" dxfId="946" priority="1" operator="equal">
      <formula>0</formula>
    </cfRule>
  </conditionalFormatting>
  <conditionalFormatting sqref="AL74">
    <cfRule type="cellIs" dxfId="947" priority="1" operator="equal">
      <formula>0</formula>
    </cfRule>
  </conditionalFormatting>
  <conditionalFormatting sqref="AR74">
    <cfRule type="cellIs" dxfId="948" priority="1" operator="equal">
      <formula>0</formula>
    </cfRule>
  </conditionalFormatting>
  <conditionalFormatting sqref="AT74">
    <cfRule type="cellIs" dxfId="949" priority="1" operator="equal">
      <formula>0</formula>
    </cfRule>
  </conditionalFormatting>
  <conditionalFormatting sqref="AV74">
    <cfRule type="cellIs" dxfId="950" priority="1" operator="equal">
      <formula>0</formula>
    </cfRule>
  </conditionalFormatting>
  <conditionalFormatting sqref="AX74">
    <cfRule type="cellIs" dxfId="951" priority="1" operator="equal">
      <formula>0</formula>
    </cfRule>
  </conditionalFormatting>
  <conditionalFormatting sqref="AZ74">
    <cfRule type="cellIs" dxfId="952" priority="1" operator="equal">
      <formula>0</formula>
    </cfRule>
  </conditionalFormatting>
  <conditionalFormatting sqref="BB74">
    <cfRule type="cellIs" dxfId="953" priority="1" operator="equal">
      <formula>0</formula>
    </cfRule>
  </conditionalFormatting>
  <conditionalFormatting sqref="BD74">
    <cfRule type="cellIs" dxfId="954" priority="1" operator="equal">
      <formula>0</formula>
    </cfRule>
  </conditionalFormatting>
  <conditionalFormatting sqref="BF74">
    <cfRule type="cellIs" dxfId="955" priority="1" operator="equal">
      <formula>0</formula>
    </cfRule>
  </conditionalFormatting>
  <conditionalFormatting sqref="BH74">
    <cfRule type="cellIs" dxfId="956" priority="1" operator="equal">
      <formula>0</formula>
    </cfRule>
  </conditionalFormatting>
  <conditionalFormatting sqref="BJ74">
    <cfRule type="cellIs" dxfId="957" priority="1" operator="equal">
      <formula>0</formula>
    </cfRule>
  </conditionalFormatting>
  <conditionalFormatting sqref="BL74">
    <cfRule type="cellIs" dxfId="958" priority="1" operator="equal">
      <formula>0</formula>
    </cfRule>
  </conditionalFormatting>
  <conditionalFormatting sqref="BN74">
    <cfRule type="cellIs" dxfId="959" priority="1" operator="equal">
      <formula>0</formula>
    </cfRule>
  </conditionalFormatting>
  <conditionalFormatting sqref="BP74">
    <cfRule type="cellIs" dxfId="960" priority="1" operator="equal">
      <formula>0</formula>
    </cfRule>
  </conditionalFormatting>
  <conditionalFormatting sqref="BR74">
    <cfRule type="cellIs" dxfId="961" priority="1" operator="equal">
      <formula>0</formula>
    </cfRule>
  </conditionalFormatting>
  <conditionalFormatting sqref="BT74">
    <cfRule type="cellIs" dxfId="962" priority="1" operator="equal">
      <formula>0</formula>
    </cfRule>
  </conditionalFormatting>
  <conditionalFormatting sqref="BV74">
    <cfRule type="cellIs" dxfId="963" priority="1" operator="equal">
      <formula>0</formula>
    </cfRule>
  </conditionalFormatting>
  <conditionalFormatting sqref="BX74">
    <cfRule type="cellIs" dxfId="964" priority="1" operator="equal">
      <formula>0</formula>
    </cfRule>
  </conditionalFormatting>
  <conditionalFormatting sqref="BZ74">
    <cfRule type="cellIs" dxfId="965" priority="1" operator="equal">
      <formula>0</formula>
    </cfRule>
  </conditionalFormatting>
  <conditionalFormatting sqref="W75:Z75">
    <cfRule type="expression" dxfId="966" priority="2">
      <formula>AND( OR(EXACT(W75,"SAILING_WITH_LADEN"), EXACT(W75,"SAILING_IN_BALLAST"), EXACT(W75,"ECONOMICAL_NAVIGATION") ), (0&lt;=AJ75) )</formula>
    </cfRule>
  </conditionalFormatting>
  <conditionalFormatting sqref="AJ75:AK75">
    <cfRule type="expression" dxfId="967" priority="2">
      <formula>AND( OR(EXACT(W75,"SAILING_WITH_LADEN"), EXACT(W75,"SAILING_IN_BALLAST"), EXACT(W75,"ECONOMICAL_NAVIGATION") ), (0&lt;=AJ75) )</formula>
    </cfRule>
  </conditionalFormatting>
  <conditionalFormatting sqref="U75">
    <cfRule type="cellIs" dxfId="968" priority="1" operator="equal">
      <formula>0</formula>
    </cfRule>
  </conditionalFormatting>
  <conditionalFormatting sqref="AJ75">
    <cfRule type="cellIs" dxfId="969" priority="1" operator="equal">
      <formula>0</formula>
    </cfRule>
  </conditionalFormatting>
  <conditionalFormatting sqref="AN75">
    <cfRule type="cellIs" dxfId="970" priority="1" operator="equal">
      <formula>0</formula>
    </cfRule>
  </conditionalFormatting>
  <conditionalFormatting sqref="AL75">
    <cfRule type="cellIs" dxfId="971" priority="1" operator="equal">
      <formula>0</formula>
    </cfRule>
  </conditionalFormatting>
  <conditionalFormatting sqref="AR75">
    <cfRule type="cellIs" dxfId="972" priority="1" operator="equal">
      <formula>0</formula>
    </cfRule>
  </conditionalFormatting>
  <conditionalFormatting sqref="AT75">
    <cfRule type="cellIs" dxfId="973" priority="1" operator="equal">
      <formula>0</formula>
    </cfRule>
  </conditionalFormatting>
  <conditionalFormatting sqref="AV75">
    <cfRule type="cellIs" dxfId="974" priority="1" operator="equal">
      <formula>0</formula>
    </cfRule>
  </conditionalFormatting>
  <conditionalFormatting sqref="AX75">
    <cfRule type="cellIs" dxfId="975" priority="1" operator="equal">
      <formula>0</formula>
    </cfRule>
  </conditionalFormatting>
  <conditionalFormatting sqref="AZ75">
    <cfRule type="cellIs" dxfId="976" priority="1" operator="equal">
      <formula>0</formula>
    </cfRule>
  </conditionalFormatting>
  <conditionalFormatting sqref="BB75">
    <cfRule type="cellIs" dxfId="977" priority="1" operator="equal">
      <formula>0</formula>
    </cfRule>
  </conditionalFormatting>
  <conditionalFormatting sqref="BD75">
    <cfRule type="cellIs" dxfId="978" priority="1" operator="equal">
      <formula>0</formula>
    </cfRule>
  </conditionalFormatting>
  <conditionalFormatting sqref="BF75">
    <cfRule type="cellIs" dxfId="979" priority="1" operator="equal">
      <formula>0</formula>
    </cfRule>
  </conditionalFormatting>
  <conditionalFormatting sqref="BH75">
    <cfRule type="cellIs" dxfId="980" priority="1" operator="equal">
      <formula>0</formula>
    </cfRule>
  </conditionalFormatting>
  <conditionalFormatting sqref="BJ75">
    <cfRule type="cellIs" dxfId="981" priority="1" operator="equal">
      <formula>0</formula>
    </cfRule>
  </conditionalFormatting>
  <conditionalFormatting sqref="BL75">
    <cfRule type="cellIs" dxfId="982" priority="1" operator="equal">
      <formula>0</formula>
    </cfRule>
  </conditionalFormatting>
  <conditionalFormatting sqref="BN75">
    <cfRule type="cellIs" dxfId="983" priority="1" operator="equal">
      <formula>0</formula>
    </cfRule>
  </conditionalFormatting>
  <conditionalFormatting sqref="BP75">
    <cfRule type="cellIs" dxfId="984" priority="1" operator="equal">
      <formula>0</formula>
    </cfRule>
  </conditionalFormatting>
  <conditionalFormatting sqref="BR75">
    <cfRule type="cellIs" dxfId="985" priority="1" operator="equal">
      <formula>0</formula>
    </cfRule>
  </conditionalFormatting>
  <conditionalFormatting sqref="BT75">
    <cfRule type="cellIs" dxfId="986" priority="1" operator="equal">
      <formula>0</formula>
    </cfRule>
  </conditionalFormatting>
  <conditionalFormatting sqref="BV75">
    <cfRule type="cellIs" dxfId="987" priority="1" operator="equal">
      <formula>0</formula>
    </cfRule>
  </conditionalFormatting>
  <conditionalFormatting sqref="BX75">
    <cfRule type="cellIs" dxfId="988" priority="1" operator="equal">
      <formula>0</formula>
    </cfRule>
  </conditionalFormatting>
  <conditionalFormatting sqref="BZ75">
    <cfRule type="cellIs" dxfId="989" priority="1" operator="equal">
      <formula>0</formula>
    </cfRule>
  </conditionalFormatting>
  <conditionalFormatting sqref="W76:Z76">
    <cfRule type="expression" dxfId="990" priority="2">
      <formula>AND( OR(EXACT(W76,"SAILING_WITH_LADEN"), EXACT(W76,"SAILING_IN_BALLAST"), EXACT(W76,"ECONOMICAL_NAVIGATION") ), (0&lt;=AJ76) )</formula>
    </cfRule>
  </conditionalFormatting>
  <conditionalFormatting sqref="AJ76:AK76">
    <cfRule type="expression" dxfId="991" priority="2">
      <formula>AND( OR(EXACT(W76,"SAILING_WITH_LADEN"), EXACT(W76,"SAILING_IN_BALLAST"), EXACT(W76,"ECONOMICAL_NAVIGATION") ), (0&lt;=AJ76) )</formula>
    </cfRule>
  </conditionalFormatting>
  <conditionalFormatting sqref="F76:CA76">
    <cfRule type="expression" dxfId="992" priority="20">
      <formula>true</formula>
    </cfRule>
  </conditionalFormatting>
  <conditionalFormatting sqref="U76">
    <cfRule type="cellIs" dxfId="993" priority="1" operator="equal">
      <formula>0</formula>
    </cfRule>
  </conditionalFormatting>
  <conditionalFormatting sqref="AJ76">
    <cfRule type="cellIs" dxfId="994" priority="1" operator="equal">
      <formula>0</formula>
    </cfRule>
  </conditionalFormatting>
  <conditionalFormatting sqref="AN76">
    <cfRule type="cellIs" dxfId="995" priority="1" operator="equal">
      <formula>0</formula>
    </cfRule>
  </conditionalFormatting>
  <conditionalFormatting sqref="AL76">
    <cfRule type="cellIs" dxfId="996" priority="1" operator="equal">
      <formula>0</formula>
    </cfRule>
  </conditionalFormatting>
  <conditionalFormatting sqref="AR76">
    <cfRule type="cellIs" dxfId="997" priority="1" operator="equal">
      <formula>0</formula>
    </cfRule>
  </conditionalFormatting>
  <conditionalFormatting sqref="AT76">
    <cfRule type="cellIs" dxfId="998" priority="1" operator="equal">
      <formula>0</formula>
    </cfRule>
  </conditionalFormatting>
  <conditionalFormatting sqref="AV76">
    <cfRule type="cellIs" dxfId="999" priority="1" operator="equal">
      <formula>0</formula>
    </cfRule>
  </conditionalFormatting>
  <conditionalFormatting sqref="AX76">
    <cfRule type="cellIs" dxfId="1000" priority="1" operator="equal">
      <formula>0</formula>
    </cfRule>
  </conditionalFormatting>
  <conditionalFormatting sqref="AZ76">
    <cfRule type="cellIs" dxfId="1001" priority="1" operator="equal">
      <formula>0</formula>
    </cfRule>
  </conditionalFormatting>
  <conditionalFormatting sqref="BB76">
    <cfRule type="cellIs" dxfId="1002" priority="1" operator="equal">
      <formula>0</formula>
    </cfRule>
  </conditionalFormatting>
  <conditionalFormatting sqref="BD76">
    <cfRule type="cellIs" dxfId="1003" priority="1" operator="equal">
      <formula>0</formula>
    </cfRule>
  </conditionalFormatting>
  <conditionalFormatting sqref="BF76">
    <cfRule type="cellIs" dxfId="1004" priority="1" operator="equal">
      <formula>0</formula>
    </cfRule>
  </conditionalFormatting>
  <conditionalFormatting sqref="BH76">
    <cfRule type="cellIs" dxfId="1005" priority="1" operator="equal">
      <formula>0</formula>
    </cfRule>
  </conditionalFormatting>
  <conditionalFormatting sqref="BJ76">
    <cfRule type="cellIs" dxfId="1006" priority="1" operator="equal">
      <formula>0</formula>
    </cfRule>
  </conditionalFormatting>
  <conditionalFormatting sqref="BL76">
    <cfRule type="cellIs" dxfId="1007" priority="1" operator="equal">
      <formula>0</formula>
    </cfRule>
  </conditionalFormatting>
  <conditionalFormatting sqref="BN76">
    <cfRule type="cellIs" dxfId="1008" priority="1" operator="equal">
      <formula>0</formula>
    </cfRule>
  </conditionalFormatting>
  <conditionalFormatting sqref="BP76">
    <cfRule type="cellIs" dxfId="1009" priority="1" operator="equal">
      <formula>0</formula>
    </cfRule>
  </conditionalFormatting>
  <conditionalFormatting sqref="BR76">
    <cfRule type="cellIs" dxfId="1010" priority="1" operator="equal">
      <formula>0</formula>
    </cfRule>
  </conditionalFormatting>
  <conditionalFormatting sqref="BT76">
    <cfRule type="cellIs" dxfId="1011" priority="1" operator="equal">
      <formula>0</formula>
    </cfRule>
  </conditionalFormatting>
  <conditionalFormatting sqref="BV76">
    <cfRule type="cellIs" dxfId="1012" priority="1" operator="equal">
      <formula>0</formula>
    </cfRule>
  </conditionalFormatting>
  <conditionalFormatting sqref="BX76">
    <cfRule type="cellIs" dxfId="1013" priority="1" operator="equal">
      <formula>0</formula>
    </cfRule>
  </conditionalFormatting>
  <conditionalFormatting sqref="BZ76">
    <cfRule type="cellIs" dxfId="1014" priority="1" operator="equal">
      <formula>0</formula>
    </cfRule>
  </conditionalFormatting>
  <conditionalFormatting sqref="W77:Z77">
    <cfRule type="expression" dxfId="1015" priority="2">
      <formula>AND( OR(EXACT(W77,"SAILING_WITH_LADEN"), EXACT(W77,"SAILING_IN_BALLAST"), EXACT(W77,"ECONOMICAL_NAVIGATION") ), (0&lt;=AJ77) )</formula>
    </cfRule>
  </conditionalFormatting>
  <conditionalFormatting sqref="AJ77:AK77">
    <cfRule type="expression" dxfId="1016" priority="2">
      <formula>AND( OR(EXACT(W77,"SAILING_WITH_LADEN"), EXACT(W77,"SAILING_IN_BALLAST"), EXACT(W77,"ECONOMICAL_NAVIGATION") ), (0&lt;=AJ77) )</formula>
    </cfRule>
  </conditionalFormatting>
  <conditionalFormatting sqref="U77">
    <cfRule type="cellIs" dxfId="1017" priority="1" operator="equal">
      <formula>0</formula>
    </cfRule>
  </conditionalFormatting>
  <conditionalFormatting sqref="AJ77">
    <cfRule type="cellIs" dxfId="1018" priority="1" operator="equal">
      <formula>0</formula>
    </cfRule>
  </conditionalFormatting>
  <conditionalFormatting sqref="AN77">
    <cfRule type="cellIs" dxfId="1019" priority="1" operator="equal">
      <formula>0</formula>
    </cfRule>
  </conditionalFormatting>
  <conditionalFormatting sqref="AL77">
    <cfRule type="cellIs" dxfId="1020" priority="1" operator="equal">
      <formula>0</formula>
    </cfRule>
  </conditionalFormatting>
  <conditionalFormatting sqref="AR77">
    <cfRule type="cellIs" dxfId="1021" priority="1" operator="equal">
      <formula>0</formula>
    </cfRule>
  </conditionalFormatting>
  <conditionalFormatting sqref="AT77">
    <cfRule type="cellIs" dxfId="1022" priority="1" operator="equal">
      <formula>0</formula>
    </cfRule>
  </conditionalFormatting>
  <conditionalFormatting sqref="AV77">
    <cfRule type="cellIs" dxfId="1023" priority="1" operator="equal">
      <formula>0</formula>
    </cfRule>
  </conditionalFormatting>
  <conditionalFormatting sqref="AX77">
    <cfRule type="cellIs" dxfId="1024" priority="1" operator="equal">
      <formula>0</formula>
    </cfRule>
  </conditionalFormatting>
  <conditionalFormatting sqref="AZ77">
    <cfRule type="cellIs" dxfId="1025" priority="1" operator="equal">
      <formula>0</formula>
    </cfRule>
  </conditionalFormatting>
  <conditionalFormatting sqref="BB77">
    <cfRule type="cellIs" dxfId="1026" priority="1" operator="equal">
      <formula>0</formula>
    </cfRule>
  </conditionalFormatting>
  <conditionalFormatting sqref="BD77">
    <cfRule type="cellIs" dxfId="1027" priority="1" operator="equal">
      <formula>0</formula>
    </cfRule>
  </conditionalFormatting>
  <conditionalFormatting sqref="BF77">
    <cfRule type="cellIs" dxfId="1028" priority="1" operator="equal">
      <formula>0</formula>
    </cfRule>
  </conditionalFormatting>
  <conditionalFormatting sqref="BH77">
    <cfRule type="cellIs" dxfId="1029" priority="1" operator="equal">
      <formula>0</formula>
    </cfRule>
  </conditionalFormatting>
  <conditionalFormatting sqref="BJ77">
    <cfRule type="cellIs" dxfId="1030" priority="1" operator="equal">
      <formula>0</formula>
    </cfRule>
  </conditionalFormatting>
  <conditionalFormatting sqref="BL77">
    <cfRule type="cellIs" dxfId="1031" priority="1" operator="equal">
      <formula>0</formula>
    </cfRule>
  </conditionalFormatting>
  <conditionalFormatting sqref="BN77">
    <cfRule type="cellIs" dxfId="1032" priority="1" operator="equal">
      <formula>0</formula>
    </cfRule>
  </conditionalFormatting>
  <conditionalFormatting sqref="BP77">
    <cfRule type="cellIs" dxfId="1033" priority="1" operator="equal">
      <formula>0</formula>
    </cfRule>
  </conditionalFormatting>
  <conditionalFormatting sqref="BR77">
    <cfRule type="cellIs" dxfId="1034" priority="1" operator="equal">
      <formula>0</formula>
    </cfRule>
  </conditionalFormatting>
  <conditionalFormatting sqref="BT77">
    <cfRule type="cellIs" dxfId="1035" priority="1" operator="equal">
      <formula>0</formula>
    </cfRule>
  </conditionalFormatting>
  <conditionalFormatting sqref="BV77">
    <cfRule type="cellIs" dxfId="1036" priority="1" operator="equal">
      <formula>0</formula>
    </cfRule>
  </conditionalFormatting>
  <conditionalFormatting sqref="BX77">
    <cfRule type="cellIs" dxfId="1037" priority="1" operator="equal">
      <formula>0</formula>
    </cfRule>
  </conditionalFormatting>
  <conditionalFormatting sqref="BZ77">
    <cfRule type="cellIs" dxfId="1038" priority="1" operator="equal">
      <formula>0</formula>
    </cfRule>
  </conditionalFormatting>
  <conditionalFormatting sqref="W78:Z78">
    <cfRule type="expression" dxfId="1039" priority="2">
      <formula>AND( OR(EXACT(W78,"SAILING_WITH_LADEN"), EXACT(W78,"SAILING_IN_BALLAST"), EXACT(W78,"ECONOMICAL_NAVIGATION") ), (0&lt;=AJ78) )</formula>
    </cfRule>
  </conditionalFormatting>
  <conditionalFormatting sqref="AJ78:AK78">
    <cfRule type="expression" dxfId="1040" priority="2">
      <formula>AND( OR(EXACT(W78,"SAILING_WITH_LADEN"), EXACT(W78,"SAILING_IN_BALLAST"), EXACT(W78,"ECONOMICAL_NAVIGATION") ), (0&lt;=AJ78) )</formula>
    </cfRule>
  </conditionalFormatting>
  <conditionalFormatting sqref="F78:CA78">
    <cfRule type="expression" dxfId="1041" priority="20">
      <formula>true</formula>
    </cfRule>
  </conditionalFormatting>
  <conditionalFormatting sqref="U78">
    <cfRule type="cellIs" dxfId="1042" priority="1" operator="equal">
      <formula>0</formula>
    </cfRule>
  </conditionalFormatting>
  <conditionalFormatting sqref="AJ78">
    <cfRule type="cellIs" dxfId="1043" priority="1" operator="equal">
      <formula>0</formula>
    </cfRule>
  </conditionalFormatting>
  <conditionalFormatting sqref="AN78">
    <cfRule type="cellIs" dxfId="1044" priority="1" operator="equal">
      <formula>0</formula>
    </cfRule>
  </conditionalFormatting>
  <conditionalFormatting sqref="AL78">
    <cfRule type="cellIs" dxfId="1045" priority="1" operator="equal">
      <formula>0</formula>
    </cfRule>
  </conditionalFormatting>
  <conditionalFormatting sqref="AR78">
    <cfRule type="cellIs" dxfId="1046" priority="1" operator="equal">
      <formula>0</formula>
    </cfRule>
  </conditionalFormatting>
  <conditionalFormatting sqref="AT78">
    <cfRule type="cellIs" dxfId="1047" priority="1" operator="equal">
      <formula>0</formula>
    </cfRule>
  </conditionalFormatting>
  <conditionalFormatting sqref="AV78">
    <cfRule type="cellIs" dxfId="1048" priority="1" operator="equal">
      <formula>0</formula>
    </cfRule>
  </conditionalFormatting>
  <conditionalFormatting sqref="AX78">
    <cfRule type="cellIs" dxfId="1049" priority="1" operator="equal">
      <formula>0</formula>
    </cfRule>
  </conditionalFormatting>
  <conditionalFormatting sqref="AZ78">
    <cfRule type="cellIs" dxfId="1050" priority="1" operator="equal">
      <formula>0</formula>
    </cfRule>
  </conditionalFormatting>
  <conditionalFormatting sqref="BB78">
    <cfRule type="cellIs" dxfId="1051" priority="1" operator="equal">
      <formula>0</formula>
    </cfRule>
  </conditionalFormatting>
  <conditionalFormatting sqref="BD78">
    <cfRule type="cellIs" dxfId="1052" priority="1" operator="equal">
      <formula>0</formula>
    </cfRule>
  </conditionalFormatting>
  <conditionalFormatting sqref="BF78">
    <cfRule type="cellIs" dxfId="1053" priority="1" operator="equal">
      <formula>0</formula>
    </cfRule>
  </conditionalFormatting>
  <conditionalFormatting sqref="BH78">
    <cfRule type="cellIs" dxfId="1054" priority="1" operator="equal">
      <formula>0</formula>
    </cfRule>
  </conditionalFormatting>
  <conditionalFormatting sqref="BJ78">
    <cfRule type="cellIs" dxfId="1055" priority="1" operator="equal">
      <formula>0</formula>
    </cfRule>
  </conditionalFormatting>
  <conditionalFormatting sqref="BL78">
    <cfRule type="cellIs" dxfId="1056" priority="1" operator="equal">
      <formula>0</formula>
    </cfRule>
  </conditionalFormatting>
  <conditionalFormatting sqref="BN78">
    <cfRule type="cellIs" dxfId="1057" priority="1" operator="equal">
      <formula>0</formula>
    </cfRule>
  </conditionalFormatting>
  <conditionalFormatting sqref="BP78">
    <cfRule type="cellIs" dxfId="1058" priority="1" operator="equal">
      <formula>0</formula>
    </cfRule>
  </conditionalFormatting>
  <conditionalFormatting sqref="BR78">
    <cfRule type="cellIs" dxfId="1059" priority="1" operator="equal">
      <formula>0</formula>
    </cfRule>
  </conditionalFormatting>
  <conditionalFormatting sqref="BT78">
    <cfRule type="cellIs" dxfId="1060" priority="1" operator="equal">
      <formula>0</formula>
    </cfRule>
  </conditionalFormatting>
  <conditionalFormatting sqref="BV78">
    <cfRule type="cellIs" dxfId="1061" priority="1" operator="equal">
      <formula>0</formula>
    </cfRule>
  </conditionalFormatting>
  <conditionalFormatting sqref="BX78">
    <cfRule type="cellIs" dxfId="1062" priority="1" operator="equal">
      <formula>0</formula>
    </cfRule>
  </conditionalFormatting>
  <conditionalFormatting sqref="BZ78">
    <cfRule type="cellIs" dxfId="1063" priority="1" operator="equal">
      <formula>0</formula>
    </cfRule>
  </conditionalFormatting>
  <conditionalFormatting sqref="W79:Z79">
    <cfRule type="expression" dxfId="1064" priority="2">
      <formula>AND( OR(EXACT(W79,"SAILING_WITH_LADEN"), EXACT(W79,"SAILING_IN_BALLAST"), EXACT(W79,"ECONOMICAL_NAVIGATION") ), (0&lt;=AJ79) )</formula>
    </cfRule>
  </conditionalFormatting>
  <conditionalFormatting sqref="AJ79:AK79">
    <cfRule type="expression" dxfId="1065" priority="2">
      <formula>AND( OR(EXACT(W79,"SAILING_WITH_LADEN"), EXACT(W79,"SAILING_IN_BALLAST"), EXACT(W79,"ECONOMICAL_NAVIGATION") ), (0&lt;=AJ79) )</formula>
    </cfRule>
  </conditionalFormatting>
  <conditionalFormatting sqref="U79">
    <cfRule type="cellIs" dxfId="1066" priority="1" operator="equal">
      <formula>0</formula>
    </cfRule>
  </conditionalFormatting>
  <conditionalFormatting sqref="AJ79">
    <cfRule type="cellIs" dxfId="1067" priority="1" operator="equal">
      <formula>0</formula>
    </cfRule>
  </conditionalFormatting>
  <conditionalFormatting sqref="AN79">
    <cfRule type="cellIs" dxfId="1068" priority="1" operator="equal">
      <formula>0</formula>
    </cfRule>
  </conditionalFormatting>
  <conditionalFormatting sqref="AL79">
    <cfRule type="cellIs" dxfId="1069" priority="1" operator="equal">
      <formula>0</formula>
    </cfRule>
  </conditionalFormatting>
  <conditionalFormatting sqref="AR79">
    <cfRule type="cellIs" dxfId="1070" priority="1" operator="equal">
      <formula>0</formula>
    </cfRule>
  </conditionalFormatting>
  <conditionalFormatting sqref="AT79">
    <cfRule type="cellIs" dxfId="1071" priority="1" operator="equal">
      <formula>0</formula>
    </cfRule>
  </conditionalFormatting>
  <conditionalFormatting sqref="AV79">
    <cfRule type="cellIs" dxfId="1072" priority="1" operator="equal">
      <formula>0</formula>
    </cfRule>
  </conditionalFormatting>
  <conditionalFormatting sqref="AX79">
    <cfRule type="cellIs" dxfId="1073" priority="1" operator="equal">
      <formula>0</formula>
    </cfRule>
  </conditionalFormatting>
  <conditionalFormatting sqref="AZ79">
    <cfRule type="cellIs" dxfId="1074" priority="1" operator="equal">
      <formula>0</formula>
    </cfRule>
  </conditionalFormatting>
  <conditionalFormatting sqref="BB79">
    <cfRule type="cellIs" dxfId="1075" priority="1" operator="equal">
      <formula>0</formula>
    </cfRule>
  </conditionalFormatting>
  <conditionalFormatting sqref="BD79">
    <cfRule type="cellIs" dxfId="1076" priority="1" operator="equal">
      <formula>0</formula>
    </cfRule>
  </conditionalFormatting>
  <conditionalFormatting sqref="BF79">
    <cfRule type="cellIs" dxfId="1077" priority="1" operator="equal">
      <formula>0</formula>
    </cfRule>
  </conditionalFormatting>
  <conditionalFormatting sqref="BH79">
    <cfRule type="cellIs" dxfId="1078" priority="1" operator="equal">
      <formula>0</formula>
    </cfRule>
  </conditionalFormatting>
  <conditionalFormatting sqref="BJ79">
    <cfRule type="cellIs" dxfId="1079" priority="1" operator="equal">
      <formula>0</formula>
    </cfRule>
  </conditionalFormatting>
  <conditionalFormatting sqref="BL79">
    <cfRule type="cellIs" dxfId="1080" priority="1" operator="equal">
      <formula>0</formula>
    </cfRule>
  </conditionalFormatting>
  <conditionalFormatting sqref="BN79">
    <cfRule type="cellIs" dxfId="1081" priority="1" operator="equal">
      <formula>0</formula>
    </cfRule>
  </conditionalFormatting>
  <conditionalFormatting sqref="BP79">
    <cfRule type="cellIs" dxfId="1082" priority="1" operator="equal">
      <formula>0</formula>
    </cfRule>
  </conditionalFormatting>
  <conditionalFormatting sqref="BR79">
    <cfRule type="cellIs" dxfId="1083" priority="1" operator="equal">
      <formula>0</formula>
    </cfRule>
  </conditionalFormatting>
  <conditionalFormatting sqref="BT79">
    <cfRule type="cellIs" dxfId="1084" priority="1" operator="equal">
      <formula>0</formula>
    </cfRule>
  </conditionalFormatting>
  <conditionalFormatting sqref="BV79">
    <cfRule type="cellIs" dxfId="1085" priority="1" operator="equal">
      <formula>0</formula>
    </cfRule>
  </conditionalFormatting>
  <conditionalFormatting sqref="BX79">
    <cfRule type="cellIs" dxfId="1086" priority="1" operator="equal">
      <formula>0</formula>
    </cfRule>
  </conditionalFormatting>
  <conditionalFormatting sqref="BZ79">
    <cfRule type="cellIs" dxfId="1087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AF17"/>
  <sheetFormatPr defaultRowHeight="15" outlineLevelRow="0" outlineLevelCol="0" x14ac:dyDescent="55"/>
  <cols>
    <col min="1" max="5" customWidth="1"/>
    <col min="6" max="15" width="4" customWidth="1"/>
    <col min="16" max="18" width="6" customWidth="1"/>
    <col min="19" max="118" width="4" customWidth="1"/>
  </cols>
  <sheetData>
    <row r="3" spans="11:32" x14ac:dyDescent="0.25">
      <c r="K3" s="66" t="s">
        <v>50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1:32" x14ac:dyDescent="0.25">
      <c r="K4" s="2"/>
      <c r="AF4" s="3"/>
    </row>
    <row r="5" spans="11:32" x14ac:dyDescent="0.25">
      <c r="K5" s="2"/>
      <c r="L5" s="67" t="s">
        <v>173</v>
      </c>
      <c r="M5" s="67"/>
      <c r="N5" s="67"/>
      <c r="O5" s="67"/>
      <c r="P5" s="67" t="s">
        <v>75</v>
      </c>
      <c r="Q5" s="67"/>
      <c r="R5" s="67"/>
      <c r="S5" s="67"/>
      <c r="T5" s="67"/>
      <c r="U5" s="67"/>
      <c r="V5" s="67"/>
      <c r="W5" s="67" t="s">
        <v>174</v>
      </c>
      <c r="X5" s="67"/>
      <c r="Y5" s="67"/>
      <c r="Z5" s="67" t="s">
        <v>12</v>
      </c>
      <c r="AA5" s="67"/>
      <c r="AB5" s="67"/>
      <c r="AC5" s="67"/>
      <c r="AD5" s="67"/>
      <c r="AE5" s="67"/>
      <c r="AF5" s="3"/>
    </row>
    <row r="6" spans="11:32" x14ac:dyDescent="0.25">
      <c r="K6" s="2"/>
      <c r="L6" s="67" t="s">
        <v>175</v>
      </c>
      <c r="M6" s="67"/>
      <c r="N6" s="67"/>
      <c r="O6" s="67"/>
      <c r="P6" s="67" t="s">
        <v>76</v>
      </c>
      <c r="Q6" s="67"/>
      <c r="R6" s="67"/>
      <c r="S6" s="67"/>
      <c r="T6" s="67"/>
      <c r="U6" s="67"/>
      <c r="V6" s="67"/>
      <c r="W6" s="67" t="s">
        <v>174</v>
      </c>
      <c r="X6" s="67"/>
      <c r="Y6" s="67"/>
      <c r="Z6" s="67" t="s">
        <v>176</v>
      </c>
      <c r="AA6" s="67"/>
      <c r="AB6" s="67"/>
      <c r="AC6" s="67"/>
      <c r="AD6" s="67"/>
      <c r="AE6" s="67"/>
      <c r="AF6" s="3"/>
    </row>
    <row r="7" spans="11:32" x14ac:dyDescent="0.25">
      <c r="K7" s="2"/>
      <c r="AF7" s="3"/>
    </row>
    <row r="8" spans="11:32" x14ac:dyDescent="0.25">
      <c r="K8" s="2"/>
      <c r="L8" s="62" t="s">
        <v>177</v>
      </c>
      <c r="M8" s="67"/>
      <c r="N8" s="67"/>
      <c r="O8" s="67"/>
      <c r="P8" s="67"/>
      <c r="Q8" s="62" t="s">
        <v>178</v>
      </c>
      <c r="R8" s="67"/>
      <c r="S8" s="67"/>
      <c r="T8" s="67"/>
      <c r="U8" s="67"/>
      <c r="V8" s="67"/>
      <c r="W8" s="61" t="s">
        <v>179</v>
      </c>
      <c r="X8" s="67"/>
      <c r="Y8" s="67"/>
      <c r="Z8" s="62" t="s">
        <v>62</v>
      </c>
      <c r="AA8" s="67"/>
      <c r="AB8" s="62" t="s">
        <v>14</v>
      </c>
      <c r="AC8" s="67"/>
      <c r="AD8" s="62" t="s">
        <v>63</v>
      </c>
      <c r="AE8" s="67"/>
      <c r="AF8" s="3"/>
    </row>
    <row r="9" spans="11:32" x14ac:dyDescent="0.25">
      <c r="K9" s="2"/>
      <c r="L9" s="18" t="s">
        <v>89</v>
      </c>
      <c r="M9" s="18"/>
      <c r="N9" s="18"/>
      <c r="O9" s="18"/>
      <c r="P9" s="18"/>
      <c r="Q9" s="18" t="s">
        <v>180</v>
      </c>
      <c r="R9" s="18"/>
      <c r="S9" s="18"/>
      <c r="T9" s="18"/>
      <c r="U9" s="18"/>
      <c r="V9" s="18"/>
      <c r="W9" s="18">
        <v>5</v>
      </c>
      <c r="X9" s="18"/>
      <c r="Y9" s="18"/>
      <c r="Z9" s="18">
        <v>72</v>
      </c>
      <c r="AA9" s="18"/>
      <c r="AB9" s="68">
        <f>Z9/W9</f>
      </c>
      <c r="AC9" s="68"/>
      <c r="AD9" s="68" t="s">
        <v>94</v>
      </c>
      <c r="AE9" s="68"/>
      <c r="AF9" s="3"/>
    </row>
    <row r="10" spans="11:32" x14ac:dyDescent="0.25">
      <c r="K10" s="2"/>
      <c r="L10" s="18" t="s">
        <v>95</v>
      </c>
      <c r="M10" s="18"/>
      <c r="N10" s="18"/>
      <c r="O10" s="18"/>
      <c r="P10" s="18"/>
      <c r="Q10" s="18" t="s">
        <v>91</v>
      </c>
      <c r="R10" s="18"/>
      <c r="S10" s="18"/>
      <c r="T10" s="18"/>
      <c r="U10" s="18"/>
      <c r="V10" s="18"/>
      <c r="W10" s="18">
        <v>1</v>
      </c>
      <c r="X10" s="18"/>
      <c r="Y10" s="18"/>
      <c r="Z10" s="18">
        <v>13</v>
      </c>
      <c r="AA10" s="18"/>
      <c r="AB10" s="68">
        <f>Z10/W10</f>
      </c>
      <c r="AC10" s="68"/>
      <c r="AD10" s="68" t="s">
        <v>94</v>
      </c>
      <c r="AE10" s="68"/>
      <c r="AF10" s="3"/>
    </row>
    <row r="11" spans="11:32" x14ac:dyDescent="0.25">
      <c r="K11" s="2"/>
      <c r="L11" s="61" t="s">
        <v>68</v>
      </c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8">
        <f>SUM(W9:W10)</f>
      </c>
      <c r="X11" s="68"/>
      <c r="Y11" s="68"/>
      <c r="Z11" s="68">
        <f>SUM(Z9:Z10)</f>
      </c>
      <c r="AA11" s="68"/>
      <c r="AB11" s="68">
        <f>Z11/W11</f>
      </c>
      <c r="AC11" s="68"/>
      <c r="AF11" s="3"/>
    </row>
    <row r="12" spans="11:32" x14ac:dyDescent="0.25">
      <c r="K12" s="2"/>
      <c r="L12" s="62" t="s">
        <v>181</v>
      </c>
      <c r="M12" s="67"/>
      <c r="N12" s="67"/>
      <c r="O12" s="67"/>
      <c r="P12" s="67"/>
      <c r="Q12" s="67"/>
      <c r="R12" s="67"/>
      <c r="S12" s="67"/>
      <c r="T12" s="18">
        <f>(W11)/24</f>
      </c>
      <c r="U12" s="18"/>
      <c r="V12" s="18"/>
      <c r="W12" s="62" t="s">
        <v>182</v>
      </c>
      <c r="X12" s="67"/>
      <c r="Y12" s="67"/>
      <c r="Z12" s="62" t="s">
        <v>10</v>
      </c>
      <c r="AA12" s="67"/>
      <c r="AB12" s="67"/>
      <c r="AC12" s="62" t="s">
        <v>183</v>
      </c>
      <c r="AD12" s="67"/>
      <c r="AE12" s="67"/>
      <c r="AF12" s="3"/>
    </row>
    <row r="13" spans="11:32" x14ac:dyDescent="0.25">
      <c r="K13" s="2"/>
      <c r="L13" s="68" t="s">
        <v>184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>
        <v>617.1200000000017</v>
      </c>
      <c r="X13" s="68"/>
      <c r="Y13" s="68"/>
      <c r="Z13" s="68">
        <v>61.3179999999999</v>
      </c>
      <c r="AA13" s="68"/>
      <c r="AB13" s="68"/>
      <c r="AC13" s="68" t="s">
        <v>1</v>
      </c>
      <c r="AD13" s="68"/>
      <c r="AE13" s="68"/>
      <c r="AF13" s="3"/>
    </row>
    <row r="14" spans="11:32" x14ac:dyDescent="0.25">
      <c r="K14" s="2"/>
      <c r="L14" s="68" t="s">
        <v>185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>
        <v>522.940000000002</v>
      </c>
      <c r="X14" s="68"/>
      <c r="Y14" s="68"/>
      <c r="Z14" s="68">
        <v>52.1579999999999</v>
      </c>
      <c r="AA14" s="68"/>
      <c r="AB14" s="68"/>
      <c r="AC14" s="68" t="s">
        <v>1</v>
      </c>
      <c r="AD14" s="68"/>
      <c r="AE14" s="68"/>
      <c r="AF14" s="3"/>
    </row>
    <row r="15" spans="11:32" x14ac:dyDescent="0.25">
      <c r="K15" s="2"/>
      <c r="L15" s="68" t="s">
        <v>186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>
        <f>W13-W14</f>
      </c>
      <c r="X15" s="68"/>
      <c r="Y15" s="68"/>
      <c r="Z15" s="68">
        <f>Z13-Z14</f>
      </c>
      <c r="AA15" s="68"/>
      <c r="AB15" s="68"/>
      <c r="AC15" s="68" t="s">
        <v>1</v>
      </c>
      <c r="AD15" s="68"/>
      <c r="AE15" s="68"/>
      <c r="AF15" s="3"/>
    </row>
    <row r="16" spans="11:32" x14ac:dyDescent="0.25">
      <c r="K16" s="2"/>
      <c r="L16" s="68" t="s">
        <v>187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>
        <f>W15*T12</f>
      </c>
      <c r="X16" s="68"/>
      <c r="Y16" s="68"/>
      <c r="Z16" s="68">
        <f>Z15*T12</f>
      </c>
      <c r="AA16" s="68"/>
      <c r="AB16" s="68"/>
      <c r="AC16" s="68" t="s">
        <v>1</v>
      </c>
      <c r="AD16" s="68"/>
      <c r="AE16" s="68"/>
      <c r="AF16" s="3"/>
    </row>
    <row r="17" spans="11:32" x14ac:dyDescent="0.25"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2"/>
    </row>
  </sheetData>
  <mergeCells count="52">
    <mergeCell ref="K3:AF3"/>
    <mergeCell ref="L5:O5"/>
    <mergeCell ref="P5:V5"/>
    <mergeCell ref="W5:Y5"/>
    <mergeCell ref="Z5:AE5"/>
    <mergeCell ref="L6:O6"/>
    <mergeCell ref="P6:V6"/>
    <mergeCell ref="W6:Y6"/>
    <mergeCell ref="Z6:AE6"/>
    <mergeCell ref="L8:P8"/>
    <mergeCell ref="Q8:V8"/>
    <mergeCell ref="W8:Y8"/>
    <mergeCell ref="Z8:AA8"/>
    <mergeCell ref="AB8:AC8"/>
    <mergeCell ref="AD8:AE8"/>
    <mergeCell ref="L9:P9"/>
    <mergeCell ref="Q9:V9"/>
    <mergeCell ref="W9:Y9"/>
    <mergeCell ref="Z9:AA9"/>
    <mergeCell ref="AB9:AC9"/>
    <mergeCell ref="AD9:AE9"/>
    <mergeCell ref="L10:P10"/>
    <mergeCell ref="Q10:V10"/>
    <mergeCell ref="W10:Y10"/>
    <mergeCell ref="Z10:AA10"/>
    <mergeCell ref="AB10:AC10"/>
    <mergeCell ref="AD10:AE10"/>
    <mergeCell ref="L11:V11"/>
    <mergeCell ref="W11:Y11"/>
    <mergeCell ref="Z11:AA11"/>
    <mergeCell ref="AB11:AC11"/>
    <mergeCell ref="L12:S12"/>
    <mergeCell ref="T12:V12"/>
    <mergeCell ref="W12:Y12"/>
    <mergeCell ref="Z12:AB12"/>
    <mergeCell ref="AC12:AE12"/>
    <mergeCell ref="L13:V13"/>
    <mergeCell ref="W13:Y13"/>
    <mergeCell ref="Z13:AB13"/>
    <mergeCell ref="AC13:AE13"/>
    <mergeCell ref="L14:V14"/>
    <mergeCell ref="W14:Y14"/>
    <mergeCell ref="Z14:AB14"/>
    <mergeCell ref="AC14:AE14"/>
    <mergeCell ref="L15:V15"/>
    <mergeCell ref="W15:Y15"/>
    <mergeCell ref="Z15:AB15"/>
    <mergeCell ref="AC15:AE15"/>
    <mergeCell ref="L16:V16"/>
    <mergeCell ref="W16:Y16"/>
    <mergeCell ref="Z16:AB16"/>
    <mergeCell ref="AC16:A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AF17"/>
  <sheetFormatPr defaultRowHeight="15" outlineLevelRow="0" outlineLevelCol="0" x14ac:dyDescent="55"/>
  <cols>
    <col min="1" max="5" customWidth="1"/>
    <col min="6" max="15" width="4" customWidth="1"/>
    <col min="16" max="18" width="6" customWidth="1"/>
    <col min="19" max="118" width="4" customWidth="1"/>
  </cols>
  <sheetData>
    <row r="3" spans="11:32" x14ac:dyDescent="0.25">
      <c r="K3" s="66" t="s">
        <v>50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1:32" x14ac:dyDescent="0.25">
      <c r="K4" s="2"/>
      <c r="AF4" s="3"/>
    </row>
    <row r="5" spans="11:32" x14ac:dyDescent="0.25">
      <c r="K5" s="2"/>
      <c r="L5" s="67" t="s">
        <v>173</v>
      </c>
      <c r="M5" s="67"/>
      <c r="N5" s="67"/>
      <c r="O5" s="67"/>
      <c r="P5" s="67" t="s">
        <v>76</v>
      </c>
      <c r="Q5" s="67"/>
      <c r="R5" s="67"/>
      <c r="S5" s="67"/>
      <c r="T5" s="67"/>
      <c r="U5" s="67"/>
      <c r="V5" s="67"/>
      <c r="W5" s="67" t="s">
        <v>174</v>
      </c>
      <c r="X5" s="67"/>
      <c r="Y5" s="67"/>
      <c r="Z5" s="67" t="s">
        <v>188</v>
      </c>
      <c r="AA5" s="67"/>
      <c r="AB5" s="67"/>
      <c r="AC5" s="67"/>
      <c r="AD5" s="67"/>
      <c r="AE5" s="67"/>
      <c r="AF5" s="3"/>
    </row>
    <row r="6" spans="11:32" x14ac:dyDescent="0.25">
      <c r="K6" s="2"/>
      <c r="L6" s="67" t="s">
        <v>175</v>
      </c>
      <c r="M6" s="67"/>
      <c r="N6" s="67"/>
      <c r="O6" s="67"/>
      <c r="P6" s="67" t="s">
        <v>75</v>
      </c>
      <c r="Q6" s="67"/>
      <c r="R6" s="67"/>
      <c r="S6" s="67"/>
      <c r="T6" s="67"/>
      <c r="U6" s="67"/>
      <c r="V6" s="67"/>
      <c r="W6" s="67" t="s">
        <v>174</v>
      </c>
      <c r="X6" s="67"/>
      <c r="Y6" s="67"/>
      <c r="Z6" s="67" t="s">
        <v>33</v>
      </c>
      <c r="AA6" s="67"/>
      <c r="AB6" s="67"/>
      <c r="AC6" s="67"/>
      <c r="AD6" s="67"/>
      <c r="AE6" s="67"/>
      <c r="AF6" s="3"/>
    </row>
    <row r="7" spans="11:32" x14ac:dyDescent="0.25">
      <c r="K7" s="2"/>
      <c r="AF7" s="3"/>
    </row>
    <row r="8" spans="11:32" x14ac:dyDescent="0.25">
      <c r="K8" s="2"/>
      <c r="L8" s="62" t="s">
        <v>177</v>
      </c>
      <c r="M8" s="67"/>
      <c r="N8" s="67"/>
      <c r="O8" s="67"/>
      <c r="P8" s="67"/>
      <c r="Q8" s="62" t="s">
        <v>178</v>
      </c>
      <c r="R8" s="67"/>
      <c r="S8" s="67"/>
      <c r="T8" s="67"/>
      <c r="U8" s="67"/>
      <c r="V8" s="67"/>
      <c r="W8" s="61" t="s">
        <v>179</v>
      </c>
      <c r="X8" s="67"/>
      <c r="Y8" s="67"/>
      <c r="Z8" s="62" t="s">
        <v>62</v>
      </c>
      <c r="AA8" s="67"/>
      <c r="AB8" s="62" t="s">
        <v>14</v>
      </c>
      <c r="AC8" s="67"/>
      <c r="AD8" s="62" t="s">
        <v>63</v>
      </c>
      <c r="AE8" s="67"/>
      <c r="AF8" s="3"/>
    </row>
    <row r="9" spans="11:32" x14ac:dyDescent="0.25">
      <c r="K9" s="2"/>
      <c r="L9" s="18" t="s">
        <v>167</v>
      </c>
      <c r="M9" s="18"/>
      <c r="N9" s="18"/>
      <c r="O9" s="18"/>
      <c r="P9" s="18"/>
      <c r="Q9" s="18" t="s">
        <v>189</v>
      </c>
      <c r="R9" s="18"/>
      <c r="S9" s="18"/>
      <c r="T9" s="18"/>
      <c r="U9" s="18"/>
      <c r="V9" s="18"/>
      <c r="W9" s="18">
        <v>1</v>
      </c>
      <c r="X9" s="18"/>
      <c r="Y9" s="18"/>
      <c r="Z9" s="18">
        <v>12</v>
      </c>
      <c r="AA9" s="18"/>
      <c r="AB9" s="68">
        <f>Z9/W9</f>
      </c>
      <c r="AC9" s="68"/>
      <c r="AD9" s="68" t="s">
        <v>169</v>
      </c>
      <c r="AE9" s="68"/>
      <c r="AF9" s="3"/>
    </row>
    <row r="10" spans="11:32" x14ac:dyDescent="0.25">
      <c r="K10" s="2"/>
      <c r="L10" s="18" t="s">
        <v>170</v>
      </c>
      <c r="M10" s="18"/>
      <c r="N10" s="18"/>
      <c r="O10" s="18"/>
      <c r="P10" s="18"/>
      <c r="Q10" s="18" t="s">
        <v>91</v>
      </c>
      <c r="R10" s="18"/>
      <c r="S10" s="18"/>
      <c r="T10" s="18"/>
      <c r="U10" s="18"/>
      <c r="V10" s="18"/>
      <c r="W10" s="18">
        <v>5.8</v>
      </c>
      <c r="X10" s="18"/>
      <c r="Y10" s="18"/>
      <c r="Z10" s="18">
        <v>73</v>
      </c>
      <c r="AA10" s="18"/>
      <c r="AB10" s="68">
        <f>Z10/W10</f>
      </c>
      <c r="AC10" s="68"/>
      <c r="AD10" s="68" t="s">
        <v>169</v>
      </c>
      <c r="AE10" s="68"/>
      <c r="AF10" s="3"/>
    </row>
    <row r="11" spans="11:32" x14ac:dyDescent="0.25">
      <c r="K11" s="2"/>
      <c r="L11" s="61" t="s">
        <v>68</v>
      </c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8">
        <f>SUM(W9:W10)</f>
      </c>
      <c r="X11" s="68"/>
      <c r="Y11" s="68"/>
      <c r="Z11" s="68">
        <f>SUM(Z9:Z10)</f>
      </c>
      <c r="AA11" s="68"/>
      <c r="AB11" s="68">
        <f>Z11/W11</f>
      </c>
      <c r="AC11" s="68"/>
      <c r="AF11" s="3"/>
    </row>
    <row r="12" spans="11:32" x14ac:dyDescent="0.25">
      <c r="K12" s="2"/>
      <c r="L12" s="62" t="s">
        <v>181</v>
      </c>
      <c r="M12" s="67"/>
      <c r="N12" s="67"/>
      <c r="O12" s="67"/>
      <c r="P12" s="67"/>
      <c r="Q12" s="67"/>
      <c r="R12" s="67"/>
      <c r="S12" s="67"/>
      <c r="T12" s="18">
        <f>(W11)/24</f>
      </c>
      <c r="U12" s="18"/>
      <c r="V12" s="18"/>
      <c r="W12" s="62" t="s">
        <v>182</v>
      </c>
      <c r="X12" s="67"/>
      <c r="Y12" s="67"/>
      <c r="Z12" s="62" t="s">
        <v>10</v>
      </c>
      <c r="AA12" s="67"/>
      <c r="AB12" s="67"/>
      <c r="AC12" s="62" t="s">
        <v>183</v>
      </c>
      <c r="AD12" s="67"/>
      <c r="AE12" s="67"/>
      <c r="AF12" s="3"/>
    </row>
    <row r="13" spans="11:32" x14ac:dyDescent="0.25">
      <c r="K13" s="2"/>
      <c r="L13" s="68" t="s">
        <v>184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>
        <v>522.940000000002</v>
      </c>
      <c r="X13" s="68"/>
      <c r="Y13" s="68"/>
      <c r="Z13" s="68">
        <v>52.1579999999999</v>
      </c>
      <c r="AA13" s="68"/>
      <c r="AB13" s="68"/>
      <c r="AC13" s="68" t="s">
        <v>1</v>
      </c>
      <c r="AD13" s="68"/>
      <c r="AE13" s="68"/>
      <c r="AF13" s="3"/>
    </row>
    <row r="14" spans="11:32" x14ac:dyDescent="0.25">
      <c r="K14" s="2"/>
      <c r="L14" s="68" t="s">
        <v>185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>
        <v>514.550000000002</v>
      </c>
      <c r="X14" s="68"/>
      <c r="Y14" s="68"/>
      <c r="Z14" s="68">
        <v>52.147999999999904</v>
      </c>
      <c r="AA14" s="68"/>
      <c r="AB14" s="68"/>
      <c r="AC14" s="68" t="s">
        <v>1</v>
      </c>
      <c r="AD14" s="68"/>
      <c r="AE14" s="68"/>
      <c r="AF14" s="3"/>
    </row>
    <row r="15" spans="11:32" x14ac:dyDescent="0.25">
      <c r="K15" s="2"/>
      <c r="L15" s="68" t="s">
        <v>186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>
        <f>W13-W14</f>
      </c>
      <c r="X15" s="68"/>
      <c r="Y15" s="68"/>
      <c r="Z15" s="68">
        <f>Z13-Z14</f>
      </c>
      <c r="AA15" s="68"/>
      <c r="AB15" s="68"/>
      <c r="AC15" s="68" t="s">
        <v>1</v>
      </c>
      <c r="AD15" s="68"/>
      <c r="AE15" s="68"/>
      <c r="AF15" s="3"/>
    </row>
    <row r="16" spans="11:32" x14ac:dyDescent="0.25">
      <c r="K16" s="2"/>
      <c r="L16" s="68" t="s">
        <v>187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>
        <f>W15*T12</f>
      </c>
      <c r="X16" s="68"/>
      <c r="Y16" s="68"/>
      <c r="Z16" s="68">
        <f>Z15*T12</f>
      </c>
      <c r="AA16" s="68"/>
      <c r="AB16" s="68"/>
      <c r="AC16" s="68" t="s">
        <v>1</v>
      </c>
      <c r="AD16" s="68"/>
      <c r="AE16" s="68"/>
      <c r="AF16" s="3"/>
    </row>
    <row r="17" spans="11:32" x14ac:dyDescent="0.25"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2"/>
    </row>
  </sheetData>
  <mergeCells count="52">
    <mergeCell ref="K3:AF3"/>
    <mergeCell ref="L5:O5"/>
    <mergeCell ref="P5:V5"/>
    <mergeCell ref="W5:Y5"/>
    <mergeCell ref="Z5:AE5"/>
    <mergeCell ref="L6:O6"/>
    <mergeCell ref="P6:V6"/>
    <mergeCell ref="W6:Y6"/>
    <mergeCell ref="Z6:AE6"/>
    <mergeCell ref="L8:P8"/>
    <mergeCell ref="Q8:V8"/>
    <mergeCell ref="W8:Y8"/>
    <mergeCell ref="Z8:AA8"/>
    <mergeCell ref="AB8:AC8"/>
    <mergeCell ref="AD8:AE8"/>
    <mergeCell ref="L9:P9"/>
    <mergeCell ref="Q9:V9"/>
    <mergeCell ref="W9:Y9"/>
    <mergeCell ref="Z9:AA9"/>
    <mergeCell ref="AB9:AC9"/>
    <mergeCell ref="AD9:AE9"/>
    <mergeCell ref="L10:P10"/>
    <mergeCell ref="Q10:V10"/>
    <mergeCell ref="W10:Y10"/>
    <mergeCell ref="Z10:AA10"/>
    <mergeCell ref="AB10:AC10"/>
    <mergeCell ref="AD10:AE10"/>
    <mergeCell ref="L11:V11"/>
    <mergeCell ref="W11:Y11"/>
    <mergeCell ref="Z11:AA11"/>
    <mergeCell ref="AB11:AC11"/>
    <mergeCell ref="L12:S12"/>
    <mergeCell ref="T12:V12"/>
    <mergeCell ref="W12:Y12"/>
    <mergeCell ref="Z12:AB12"/>
    <mergeCell ref="AC12:AE12"/>
    <mergeCell ref="L13:V13"/>
    <mergeCell ref="W13:Y13"/>
    <mergeCell ref="Z13:AB13"/>
    <mergeCell ref="AC13:AE13"/>
    <mergeCell ref="L14:V14"/>
    <mergeCell ref="W14:Y14"/>
    <mergeCell ref="Z14:AB14"/>
    <mergeCell ref="AC14:AE14"/>
    <mergeCell ref="L15:V15"/>
    <mergeCell ref="W15:Y15"/>
    <mergeCell ref="Z15:AB15"/>
    <mergeCell ref="AC15:AE15"/>
    <mergeCell ref="L16:V16"/>
    <mergeCell ref="W16:Y16"/>
    <mergeCell ref="Z16:AB16"/>
    <mergeCell ref="AC16:A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Report</vt:lpstr>
      <vt:lpstr>Port N°1 - Talara</vt:lpstr>
      <vt:lpstr>Port N°2 - Bayovar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transgas.web.app</dc:creator>
  <dc:title/>
  <dc:subject/>
  <dc:description/>
  <cp:keywords/>
  <cp:category/>
  <cp:lastModifiedBy>Unknown</cp:lastModifiedBy>
  <dcterms:created xsi:type="dcterms:W3CDTF">2023-01-05T03:59:12Z</dcterms:created>
  <dcterms:modified xsi:type="dcterms:W3CDTF">2023-01-05T03:59:12Z</dcterms:modified>
</cp:coreProperties>
</file>