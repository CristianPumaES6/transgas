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585" yWindow="0" windowWidth="19440" windowHeight="5445" activeTab="1"/>
  </bookViews>
  <sheets>
    <sheet name="FORT-RIO 001-22" sheetId="5" r:id="rId1"/>
    <sheet name="RIO - BARRA 001-22" sheetId="6" r:id="rId2"/>
  </sheets>
  <calcPr calcId="145621"/>
</workbook>
</file>

<file path=xl/calcChain.xml><?xml version="1.0" encoding="utf-8"?>
<calcChain xmlns="http://schemas.openxmlformats.org/spreadsheetml/2006/main">
  <c r="C20" i="6" l="1"/>
  <c r="D20" i="6"/>
  <c r="E20" i="6"/>
  <c r="E9" i="6"/>
  <c r="F16" i="6"/>
  <c r="D16" i="6"/>
  <c r="C16" i="6"/>
  <c r="B17" i="6" s="1"/>
  <c r="E8" i="6"/>
  <c r="E16" i="6" l="1"/>
  <c r="E21" i="6"/>
  <c r="D21" i="6"/>
  <c r="C21" i="6"/>
  <c r="E21" i="5" l="1"/>
  <c r="D21" i="5"/>
  <c r="C21" i="5"/>
  <c r="D17" i="5" l="1"/>
  <c r="E8" i="5" l="1"/>
  <c r="E9" i="5"/>
  <c r="E10" i="5"/>
  <c r="E11" i="5" l="1"/>
  <c r="E12" i="5"/>
  <c r="F17" i="5" l="1"/>
  <c r="C17" i="5"/>
  <c r="B18" i="5" s="1"/>
  <c r="C22" i="5" s="1"/>
  <c r="E17" i="5" l="1"/>
  <c r="E22" i="5"/>
  <c r="D22" i="5"/>
</calcChain>
</file>

<file path=xl/sharedStrings.xml><?xml version="1.0" encoding="utf-8"?>
<sst xmlns="http://schemas.openxmlformats.org/spreadsheetml/2006/main" count="87" uniqueCount="52">
  <si>
    <t>FECHA</t>
  </si>
  <si>
    <t>POSICION MEDIO DIA</t>
  </si>
  <si>
    <t>HORAS NAVEGADAS</t>
  </si>
  <si>
    <t>DISTANCIA OBERVADA</t>
  </si>
  <si>
    <t>VELOCIDAD</t>
  </si>
  <si>
    <t>FUERZA                       VIENTO Y MAR</t>
  </si>
  <si>
    <r>
      <t>REPORTE DE VIAJE</t>
    </r>
    <r>
      <rPr>
        <sz val="22"/>
        <color theme="1"/>
        <rFont val="Calibri"/>
        <family val="2"/>
        <scheme val="minor"/>
      </rPr>
      <t xml:space="preserve"> </t>
    </r>
  </si>
  <si>
    <t>LPG/E : “LEONARDO B”</t>
  </si>
  <si>
    <t>TOTAL</t>
  </si>
  <si>
    <t>MDO/MGO</t>
  </si>
  <si>
    <t>LUBRICANTES / OIL</t>
  </si>
  <si>
    <t>BUNKERS AL INICIO DEL VIAJE</t>
  </si>
  <si>
    <t>BUNKERS AL TERMINO DEL VIAJE</t>
  </si>
  <si>
    <t>BUNKERS CONSUMIDOS EN EL VIAJE</t>
  </si>
  <si>
    <t>CONSUMO PROMEDIO / DIA</t>
  </si>
  <si>
    <t>ARRIBO A :</t>
  </si>
  <si>
    <t>NAVEGANDO DE :</t>
  </si>
  <si>
    <t>FECHA :</t>
  </si>
  <si>
    <t>HORA :</t>
  </si>
  <si>
    <t>DIAS NAV:</t>
  </si>
  <si>
    <t>INICIO EN :</t>
  </si>
  <si>
    <t>FIN EN :</t>
  </si>
  <si>
    <t>ARRIBO</t>
  </si>
  <si>
    <t>VLSFO</t>
  </si>
  <si>
    <t>1200 LT</t>
  </si>
  <si>
    <t>2330 LT</t>
  </si>
  <si>
    <t>OFICIAL DE PUENTE 1</t>
  </si>
  <si>
    <t>SUPERINTENDENTE</t>
  </si>
  <si>
    <t>CAPITAN</t>
  </si>
  <si>
    <t>FORM GR.07/REV 02</t>
  </si>
  <si>
    <t>CEARAMARINE PILOT</t>
  </si>
  <si>
    <t>FORTALEZA</t>
  </si>
  <si>
    <t>RIO DE JANEIRO</t>
  </si>
  <si>
    <t>RIO PILOT</t>
  </si>
  <si>
    <t>15° 46.16' S / 037° 24.99' W</t>
  </si>
  <si>
    <t>SE4-NW4</t>
  </si>
  <si>
    <t>03° 42.68' S / 038° 11.82' W</t>
  </si>
  <si>
    <t>06° 05.93' S / 034° 53.96' W</t>
  </si>
  <si>
    <t>11° 38.72' S / 035° 52.39' W</t>
  </si>
  <si>
    <t>20° 23.08' S / 039° 53.87' W</t>
  </si>
  <si>
    <t>SE4-SW3</t>
  </si>
  <si>
    <t>SE7-SW4</t>
  </si>
  <si>
    <t>SE7-SW2</t>
  </si>
  <si>
    <t>SE7-SW5</t>
  </si>
  <si>
    <t>VOY 001-22</t>
  </si>
  <si>
    <t>VITORIA PILOT</t>
  </si>
  <si>
    <t>BARRA DO RIACHO</t>
  </si>
  <si>
    <t>NE5-SW3</t>
  </si>
  <si>
    <t>NE4-SW3</t>
  </si>
  <si>
    <t>21° 03.32' S / 040° 12.22' W</t>
  </si>
  <si>
    <t>1430 LT</t>
  </si>
  <si>
    <t>1730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</si>
</sst>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77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2" fontId="0" fillId="0" borderId="5" xfId="0" applyNumberFormat="1" applyBorder="1" applyAlignment="1">
      <alignment horizontal="center" vertical="center"/>
    </xf>
    <xf numFmtId="0" fontId="0" fillId="0" borderId="14" xfId="0" applyBorder="1"/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0" fillId="3" borderId="0" xfId="0" applyFill="1"/>
    <xf numFmtId="14" fontId="0" fillId="0" borderId="18" xfId="0" applyNumberForma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49" fontId="9" fillId="0" borderId="8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19" xfId="0" applyNumberFormat="1" applyFont="1" applyBorder="1" applyAlignment="1">
      <alignment horizontal="center" vertical="center"/>
    </xf>
    <xf numFmtId="2" fontId="0" fillId="0" borderId="18" xfId="0" applyNumberFormat="1" applyFont="1" applyBorder="1" applyAlignment="1">
      <alignment horizontal="center" vertical="center"/>
    </xf>
    <xf numFmtId="2" fontId="0" fillId="0" borderId="9" xfId="0" applyNumberFormat="1" applyFont="1" applyBorder="1" applyAlignment="1">
      <alignment horizontal="center" vertical="center"/>
    </xf>
    <xf numFmtId="2" fontId="0" fillId="0" borderId="7" xfId="0" applyNumberFormat="1" applyFont="1" applyFill="1" applyBorder="1" applyAlignment="1">
      <alignment horizontal="center" vertical="center"/>
    </xf>
    <xf numFmtId="2" fontId="0" fillId="0" borderId="5" xfId="0" applyNumberFormat="1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2" fontId="0" fillId="0" borderId="5" xfId="0" applyNumberFormat="1" applyFill="1" applyBorder="1" applyAlignment="1">
      <alignment horizontal="center" vertical="center"/>
    </xf>
    <xf numFmtId="14" fontId="9" fillId="0" borderId="8" xfId="0" applyNumberFormat="1" applyFont="1" applyFill="1" applyBorder="1" applyAlignment="1">
      <alignment horizontal="center" vertical="center"/>
    </xf>
    <xf numFmtId="2" fontId="0" fillId="0" borderId="13" xfId="0" applyNumberFormat="1" applyFont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7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2" fontId="0" fillId="0" borderId="13" xfId="0" applyNumberFormat="1" applyFont="1" applyBorder="1" applyAlignment="1">
      <alignment horizontal="center" vertical="center"/>
    </xf>
    <xf numFmtId="2" fontId="0" fillId="0" borderId="10" xfId="0" applyNumberFormat="1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0</xdr:row>
      <xdr:rowOff>28577</xdr:rowOff>
    </xdr:from>
    <xdr:to>
      <xdr:col>5</xdr:col>
      <xdr:colOff>638175</xdr:colOff>
      <xdr:row>0</xdr:row>
      <xdr:rowOff>301939</xdr:rowOff>
    </xdr:to>
    <xdr:pic>
      <xdr:nvPicPr>
        <xdr:cNvPr id="3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325" b="-1"/>
        <a:stretch/>
      </xdr:blipFill>
      <xdr:spPr bwMode="auto">
        <a:xfrm>
          <a:off x="4524375" y="28577"/>
          <a:ext cx="2276475" cy="273362"/>
        </a:xfrm>
        <a:prstGeom prst="rect">
          <a:avLst/>
        </a:prstGeom>
        <a:solidFill>
          <a:srgbClr val="FFFFFF"/>
        </a:solidFill>
      </xdr:spPr>
    </xdr:pic>
    <xdr:clientData/>
  </xdr:twoCellAnchor>
  <xdr:twoCellAnchor>
    <xdr:from>
      <xdr:col>1</xdr:col>
      <xdr:colOff>381000</xdr:colOff>
      <xdr:row>27</xdr:row>
      <xdr:rowOff>19050</xdr:rowOff>
    </xdr:from>
    <xdr:to>
      <xdr:col>2</xdr:col>
      <xdr:colOff>352425</xdr:colOff>
      <xdr:row>27</xdr:row>
      <xdr:rowOff>19050</xdr:rowOff>
    </xdr:to>
    <xdr:cxnSp macro="">
      <xdr:nvCxnSpPr>
        <xdr:cNvPr id="4" name="Straight Connector 3"/>
        <xdr:cNvCxnSpPr/>
      </xdr:nvCxnSpPr>
      <xdr:spPr>
        <a:xfrm>
          <a:off x="1838325" y="6486525"/>
          <a:ext cx="199072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0</xdr:row>
      <xdr:rowOff>28577</xdr:rowOff>
    </xdr:from>
    <xdr:to>
      <xdr:col>5</xdr:col>
      <xdr:colOff>638175</xdr:colOff>
      <xdr:row>0</xdr:row>
      <xdr:rowOff>301939</xdr:rowOff>
    </xdr:to>
    <xdr:pic>
      <xdr:nvPicPr>
        <xdr:cNvPr id="2" name="Picture 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325" b="-1"/>
        <a:stretch/>
      </xdr:blipFill>
      <xdr:spPr bwMode="auto">
        <a:xfrm>
          <a:off x="4524375" y="28577"/>
          <a:ext cx="2276475" cy="273362"/>
        </a:xfrm>
        <a:prstGeom prst="rect">
          <a:avLst/>
        </a:prstGeom>
        <a:solidFill>
          <a:srgbClr val="FFFFFF"/>
        </a:solidFill>
      </xdr:spPr>
    </xdr:pic>
    <xdr:clientData/>
  </xdr:twoCellAnchor>
  <xdr:twoCellAnchor>
    <xdr:from>
      <xdr:col>1</xdr:col>
      <xdr:colOff>381000</xdr:colOff>
      <xdr:row>26</xdr:row>
      <xdr:rowOff>19050</xdr:rowOff>
    </xdr:from>
    <xdr:to>
      <xdr:col>2</xdr:col>
      <xdr:colOff>352425</xdr:colOff>
      <xdr:row>26</xdr:row>
      <xdr:rowOff>19050</xdr:rowOff>
    </xdr:to>
    <xdr:cxnSp macro="">
      <xdr:nvCxnSpPr>
        <xdr:cNvPr id="3" name="Straight Connector 2"/>
        <xdr:cNvCxnSpPr/>
      </xdr:nvCxnSpPr>
      <xdr:spPr>
        <a:xfrm>
          <a:off x="1933575" y="5867400"/>
          <a:ext cx="180022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workbookViewId="0">
      <selection activeCell="B29" sqref="B29"/>
    </sheetView>
  </sheetViews>
  <sheetFormatPr defaultRowHeight="15" x14ac:dyDescent="0.25"/>
  <cols>
    <col min="1" max="1" width="23.28515625" customWidth="1"/>
    <col min="2" max="2" width="27.42578125" customWidth="1"/>
    <col min="3" max="3" width="12.140625" customWidth="1"/>
    <col min="4" max="4" width="15.7109375" customWidth="1"/>
    <col min="5" max="5" width="13.85546875" customWidth="1"/>
    <col min="6" max="6" width="14.140625" customWidth="1"/>
  </cols>
  <sheetData>
    <row r="1" spans="1:7" ht="27" thickBot="1" x14ac:dyDescent="0.3">
      <c r="A1" s="59" t="s">
        <v>7</v>
      </c>
      <c r="B1" s="60"/>
      <c r="C1" s="61"/>
      <c r="D1" s="62"/>
      <c r="E1" s="63"/>
      <c r="F1" s="64"/>
    </row>
    <row r="2" spans="1:7" ht="29.25" thickBot="1" x14ac:dyDescent="0.3">
      <c r="A2" s="65" t="s">
        <v>6</v>
      </c>
      <c r="B2" s="66"/>
      <c r="C2" s="66"/>
      <c r="D2" s="67"/>
      <c r="E2" s="68" t="s">
        <v>44</v>
      </c>
      <c r="F2" s="69"/>
    </row>
    <row r="3" spans="1:7" ht="15.75" thickBot="1" x14ac:dyDescent="0.3">
      <c r="A3" s="20" t="s">
        <v>16</v>
      </c>
      <c r="B3" s="23" t="s">
        <v>31</v>
      </c>
      <c r="C3" s="17"/>
      <c r="D3" s="17"/>
      <c r="E3" s="2" t="s">
        <v>17</v>
      </c>
      <c r="F3" s="37">
        <v>44568</v>
      </c>
    </row>
    <row r="4" spans="1:7" x14ac:dyDescent="0.25">
      <c r="A4" s="21" t="s">
        <v>15</v>
      </c>
      <c r="B4" s="23" t="s">
        <v>32</v>
      </c>
      <c r="C4" s="17"/>
      <c r="D4" s="17"/>
      <c r="E4" s="3" t="s">
        <v>17</v>
      </c>
      <c r="F4" s="37">
        <v>44573</v>
      </c>
    </row>
    <row r="5" spans="1:7" x14ac:dyDescent="0.25">
      <c r="A5" s="21" t="s">
        <v>20</v>
      </c>
      <c r="B5" s="24" t="s">
        <v>30</v>
      </c>
      <c r="C5" s="17"/>
      <c r="D5" s="17"/>
      <c r="E5" s="3" t="s">
        <v>18</v>
      </c>
      <c r="F5" s="25" t="s">
        <v>24</v>
      </c>
    </row>
    <row r="6" spans="1:7" ht="15.75" thickBot="1" x14ac:dyDescent="0.3">
      <c r="A6" s="22" t="s">
        <v>21</v>
      </c>
      <c r="B6" s="24" t="s">
        <v>33</v>
      </c>
      <c r="C6" s="17"/>
      <c r="D6" s="17"/>
      <c r="E6" s="5" t="s">
        <v>18</v>
      </c>
      <c r="F6" s="39" t="s">
        <v>25</v>
      </c>
    </row>
    <row r="7" spans="1:7" ht="30.75" thickBot="1" x14ac:dyDescent="0.3">
      <c r="A7" s="9" t="s">
        <v>0</v>
      </c>
      <c r="B7" s="9" t="s">
        <v>1</v>
      </c>
      <c r="C7" s="9" t="s">
        <v>2</v>
      </c>
      <c r="D7" s="9" t="s">
        <v>3</v>
      </c>
      <c r="E7" s="9" t="s">
        <v>4</v>
      </c>
      <c r="F7" s="10" t="s">
        <v>5</v>
      </c>
    </row>
    <row r="8" spans="1:7" x14ac:dyDescent="0.25">
      <c r="A8" s="37">
        <v>44568</v>
      </c>
      <c r="B8" s="28" t="s">
        <v>36</v>
      </c>
      <c r="C8" s="28">
        <v>1</v>
      </c>
      <c r="D8" s="28">
        <v>14</v>
      </c>
      <c r="E8" s="7">
        <f>D8/C8</f>
        <v>14</v>
      </c>
      <c r="F8" s="40" t="s">
        <v>35</v>
      </c>
    </row>
    <row r="9" spans="1:7" x14ac:dyDescent="0.25">
      <c r="A9" s="37">
        <v>44569</v>
      </c>
      <c r="B9" s="34" t="s">
        <v>37</v>
      </c>
      <c r="C9" s="35">
        <v>24</v>
      </c>
      <c r="D9" s="35">
        <v>323.2</v>
      </c>
      <c r="E9" s="36">
        <f>D9/C9</f>
        <v>13.466666666666667</v>
      </c>
      <c r="F9" s="40" t="s">
        <v>43</v>
      </c>
      <c r="G9" s="41"/>
    </row>
    <row r="10" spans="1:7" x14ac:dyDescent="0.25">
      <c r="A10" s="37">
        <v>44570</v>
      </c>
      <c r="B10" s="34" t="s">
        <v>38</v>
      </c>
      <c r="C10" s="35">
        <v>24</v>
      </c>
      <c r="D10" s="35">
        <v>344</v>
      </c>
      <c r="E10" s="36">
        <f>D10/C10</f>
        <v>14.333333333333334</v>
      </c>
      <c r="F10" s="40" t="s">
        <v>42</v>
      </c>
    </row>
    <row r="11" spans="1:7" x14ac:dyDescent="0.25">
      <c r="A11" s="37">
        <v>44571</v>
      </c>
      <c r="B11" s="34" t="s">
        <v>34</v>
      </c>
      <c r="C11" s="35">
        <v>24</v>
      </c>
      <c r="D11" s="35">
        <v>264</v>
      </c>
      <c r="E11" s="36">
        <f t="shared" ref="E11:E12" si="0">D11/C11</f>
        <v>11</v>
      </c>
      <c r="F11" s="40" t="s">
        <v>41</v>
      </c>
    </row>
    <row r="12" spans="1:7" x14ac:dyDescent="0.25">
      <c r="A12" s="37">
        <v>44572</v>
      </c>
      <c r="B12" s="34" t="s">
        <v>39</v>
      </c>
      <c r="C12" s="35">
        <v>24</v>
      </c>
      <c r="D12" s="35">
        <v>312</v>
      </c>
      <c r="E12" s="36">
        <f t="shared" si="0"/>
        <v>13</v>
      </c>
      <c r="F12" s="40" t="s">
        <v>40</v>
      </c>
    </row>
    <row r="13" spans="1:7" x14ac:dyDescent="0.25">
      <c r="A13" s="18"/>
      <c r="B13" s="34" t="s">
        <v>22</v>
      </c>
      <c r="C13" s="27">
        <v>18</v>
      </c>
      <c r="D13" s="27"/>
      <c r="E13" s="19"/>
      <c r="F13" s="26"/>
    </row>
    <row r="14" spans="1:7" x14ac:dyDescent="0.25">
      <c r="A14" s="18"/>
      <c r="B14" s="28"/>
      <c r="C14" s="27"/>
      <c r="D14" s="27"/>
      <c r="E14" s="19"/>
      <c r="F14" s="26"/>
    </row>
    <row r="15" spans="1:7" x14ac:dyDescent="0.25">
      <c r="A15" s="18"/>
      <c r="B15" s="28"/>
      <c r="C15" s="1"/>
      <c r="D15" s="1"/>
      <c r="E15" s="19"/>
      <c r="F15" s="4"/>
    </row>
    <row r="16" spans="1:7" ht="15.75" thickBot="1" x14ac:dyDescent="0.3">
      <c r="A16" s="5"/>
      <c r="B16" s="8"/>
      <c r="C16" s="8"/>
      <c r="D16" s="8"/>
      <c r="E16" s="8"/>
      <c r="F16" s="6"/>
    </row>
    <row r="17" spans="1:6" ht="21.75" thickBot="1" x14ac:dyDescent="0.4">
      <c r="A17" s="70" t="s">
        <v>8</v>
      </c>
      <c r="B17" s="71"/>
      <c r="C17" s="11">
        <f>SUM(C8:C16)</f>
        <v>115</v>
      </c>
      <c r="D17" s="11">
        <f>SUM(D8:D16)</f>
        <v>1257.2</v>
      </c>
      <c r="E17" s="12">
        <f>D17/C17</f>
        <v>10.932173913043478</v>
      </c>
      <c r="F17" s="13" t="str">
        <f>F8</f>
        <v>SE4-NW4</v>
      </c>
    </row>
    <row r="18" spans="1:6" ht="15.75" thickBot="1" x14ac:dyDescent="0.3">
      <c r="A18" s="15" t="s">
        <v>19</v>
      </c>
      <c r="B18" s="16">
        <f>C17/24</f>
        <v>4.791666666666667</v>
      </c>
      <c r="C18" s="14" t="s">
        <v>23</v>
      </c>
      <c r="D18" s="14" t="s">
        <v>9</v>
      </c>
      <c r="E18" s="57" t="s">
        <v>10</v>
      </c>
      <c r="F18" s="58"/>
    </row>
    <row r="19" spans="1:6" ht="15.75" thickBot="1" x14ac:dyDescent="0.3">
      <c r="A19" s="47" t="s">
        <v>11</v>
      </c>
      <c r="B19" s="48"/>
      <c r="C19" s="30">
        <v>951.7</v>
      </c>
      <c r="D19" s="29">
        <v>210.4</v>
      </c>
      <c r="E19" s="51">
        <v>3800</v>
      </c>
      <c r="F19" s="52"/>
    </row>
    <row r="20" spans="1:6" ht="15.75" thickBot="1" x14ac:dyDescent="0.3">
      <c r="A20" s="47" t="s">
        <v>12</v>
      </c>
      <c r="B20" s="48"/>
      <c r="C20" s="32">
        <v>837.5</v>
      </c>
      <c r="D20" s="33">
        <v>199.9</v>
      </c>
      <c r="E20" s="53">
        <v>3160</v>
      </c>
      <c r="F20" s="54"/>
    </row>
    <row r="21" spans="1:6" ht="15.75" thickBot="1" x14ac:dyDescent="0.3">
      <c r="A21" s="47" t="s">
        <v>13</v>
      </c>
      <c r="B21" s="48"/>
      <c r="C21" s="42">
        <f>C19-C20</f>
        <v>114.20000000000005</v>
      </c>
      <c r="D21" s="42">
        <f>D19-D20</f>
        <v>10.5</v>
      </c>
      <c r="E21" s="55">
        <f>E19-E20</f>
        <v>640</v>
      </c>
      <c r="F21" s="56"/>
    </row>
    <row r="22" spans="1:6" ht="15.75" thickBot="1" x14ac:dyDescent="0.3">
      <c r="A22" s="47" t="s">
        <v>14</v>
      </c>
      <c r="B22" s="48"/>
      <c r="C22" s="31">
        <f>C21/B18</f>
        <v>23.833043478260876</v>
      </c>
      <c r="D22" s="38">
        <f>D21/B18</f>
        <v>2.1913043478260867</v>
      </c>
      <c r="E22" s="49">
        <f>E21/B18</f>
        <v>133.56521739130434</v>
      </c>
      <c r="F22" s="50"/>
    </row>
    <row r="27" spans="1:6" ht="15.75" thickBot="1" x14ac:dyDescent="0.3">
      <c r="A27" s="43"/>
      <c r="B27" s="72"/>
      <c r="C27" s="72"/>
      <c r="D27" s="73"/>
      <c r="E27" s="73"/>
    </row>
    <row r="28" spans="1:6" x14ac:dyDescent="0.25">
      <c r="A28" s="44" t="s">
        <v>26</v>
      </c>
      <c r="B28" s="74" t="s">
        <v>27</v>
      </c>
      <c r="C28" s="74"/>
      <c r="D28" s="75" t="s">
        <v>28</v>
      </c>
      <c r="E28" s="75"/>
    </row>
    <row r="30" spans="1:6" x14ac:dyDescent="0.25">
      <c r="E30" s="76" t="s">
        <v>29</v>
      </c>
      <c r="F30" s="76"/>
    </row>
  </sheetData>
  <mergeCells count="19">
    <mergeCell ref="B27:C27"/>
    <mergeCell ref="D27:E27"/>
    <mergeCell ref="B28:C28"/>
    <mergeCell ref="D28:E28"/>
    <mergeCell ref="E30:F30"/>
    <mergeCell ref="E18:F18"/>
    <mergeCell ref="A1:C1"/>
    <mergeCell ref="D1:F1"/>
    <mergeCell ref="A2:D2"/>
    <mergeCell ref="E2:F2"/>
    <mergeCell ref="A17:B17"/>
    <mergeCell ref="A22:B22"/>
    <mergeCell ref="E22:F22"/>
    <mergeCell ref="A19:B19"/>
    <mergeCell ref="E19:F19"/>
    <mergeCell ref="A20:B20"/>
    <mergeCell ref="E20:F20"/>
    <mergeCell ref="A21:B21"/>
    <mergeCell ref="E21:F21"/>
  </mergeCells>
  <pageMargins left="0.7" right="0.7" top="0.75" bottom="0.75" header="0.3" footer="0.3"/>
  <pageSetup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tabSelected="1" workbookViewId="0">
      <selection activeCell="G19" sqref="G19"/>
    </sheetView>
  </sheetViews>
  <sheetFormatPr defaultRowHeight="15" x14ac:dyDescent="0.25"/>
  <cols>
    <col min="1" max="1" width="23.28515625" customWidth="1"/>
    <col min="2" max="2" width="27.42578125" customWidth="1"/>
    <col min="3" max="3" width="12.140625" customWidth="1"/>
    <col min="4" max="4" width="15.7109375" customWidth="1"/>
    <col min="5" max="5" width="13.85546875" customWidth="1"/>
    <col min="6" max="6" width="14.140625" customWidth="1"/>
  </cols>
  <sheetData>
    <row r="1" spans="1:7" ht="27" thickBot="1" x14ac:dyDescent="0.3">
      <c r="A1" s="59" t="s">
        <v>7</v>
      </c>
      <c r="B1" s="60"/>
      <c r="C1" s="61"/>
      <c r="D1" s="62"/>
      <c r="E1" s="63"/>
      <c r="F1" s="64"/>
    </row>
    <row r="2" spans="1:7" ht="29.25" thickBot="1" x14ac:dyDescent="0.3">
      <c r="A2" s="65" t="s">
        <v>6</v>
      </c>
      <c r="B2" s="66"/>
      <c r="C2" s="66"/>
      <c r="D2" s="67"/>
      <c r="E2" s="68" t="s">
        <v>44</v>
      </c>
      <c r="F2" s="69"/>
    </row>
    <row r="3" spans="1:7" ht="15.75" thickBot="1" x14ac:dyDescent="0.3">
      <c r="A3" s="20" t="s">
        <v>16</v>
      </c>
      <c r="B3" s="23" t="s">
        <v>32</v>
      </c>
      <c r="C3" s="17"/>
      <c r="D3" s="17"/>
      <c r="E3" s="2" t="s">
        <v>17</v>
      </c>
      <c r="F3" s="37">
        <v>44576</v>
      </c>
    </row>
    <row r="4" spans="1:7" x14ac:dyDescent="0.25">
      <c r="A4" s="21" t="s">
        <v>15</v>
      </c>
      <c r="B4" s="23" t="s">
        <v>46</v>
      </c>
      <c r="C4" s="17"/>
      <c r="D4" s="17"/>
      <c r="E4" s="3" t="s">
        <v>17</v>
      </c>
      <c r="F4" s="37">
        <v>44577</v>
      </c>
    </row>
    <row r="5" spans="1:7" x14ac:dyDescent="0.25">
      <c r="A5" s="21" t="s">
        <v>20</v>
      </c>
      <c r="B5" s="24" t="s">
        <v>33</v>
      </c>
      <c r="C5" s="17"/>
      <c r="D5" s="17"/>
      <c r="E5" s="3" t="s">
        <v>18</v>
      </c>
      <c r="F5" s="25" t="s">
        <v>50</v>
      </c>
    </row>
    <row r="6" spans="1:7" ht="15.75" thickBot="1" x14ac:dyDescent="0.3">
      <c r="A6" s="22" t="s">
        <v>21</v>
      </c>
      <c r="B6" s="24" t="s">
        <v>45</v>
      </c>
      <c r="C6" s="17"/>
      <c r="D6" s="17"/>
      <c r="E6" s="5" t="s">
        <v>18</v>
      </c>
      <c r="F6" s="39" t="s">
        <v>51</v>
      </c>
    </row>
    <row r="7" spans="1:7" ht="30.75" thickBot="1" x14ac:dyDescent="0.3">
      <c r="A7" s="9" t="s">
        <v>0</v>
      </c>
      <c r="B7" s="9" t="s">
        <v>1</v>
      </c>
      <c r="C7" s="9" t="s">
        <v>2</v>
      </c>
      <c r="D7" s="9" t="s">
        <v>3</v>
      </c>
      <c r="E7" s="9" t="s">
        <v>4</v>
      </c>
      <c r="F7" s="10" t="s">
        <v>5</v>
      </c>
    </row>
    <row r="8" spans="1:7" x14ac:dyDescent="0.25">
      <c r="A8" s="37">
        <v>44577</v>
      </c>
      <c r="B8" s="28" t="s">
        <v>49</v>
      </c>
      <c r="C8" s="28">
        <v>21.5</v>
      </c>
      <c r="D8" s="28">
        <v>218.4</v>
      </c>
      <c r="E8" s="7">
        <f>D8/C8</f>
        <v>10.158139534883722</v>
      </c>
      <c r="F8" s="40" t="s">
        <v>47</v>
      </c>
    </row>
    <row r="9" spans="1:7" x14ac:dyDescent="0.25">
      <c r="A9" s="37"/>
      <c r="B9" s="34" t="s">
        <v>22</v>
      </c>
      <c r="C9" s="35">
        <v>5.5</v>
      </c>
      <c r="D9" s="35">
        <v>86</v>
      </c>
      <c r="E9" s="36">
        <f t="shared" ref="E9" si="0">D9/C9</f>
        <v>15.636363636363637</v>
      </c>
      <c r="F9" s="40" t="s">
        <v>48</v>
      </c>
      <c r="G9" s="41"/>
    </row>
    <row r="10" spans="1:7" x14ac:dyDescent="0.25">
      <c r="A10" s="37"/>
      <c r="B10" s="34"/>
      <c r="C10" s="35"/>
      <c r="D10" s="35"/>
      <c r="E10" s="36"/>
      <c r="F10" s="40"/>
    </row>
    <row r="11" spans="1:7" x14ac:dyDescent="0.25">
      <c r="A11" s="37"/>
      <c r="B11" s="34"/>
      <c r="C11" s="35"/>
      <c r="D11" s="35"/>
      <c r="E11" s="36"/>
      <c r="F11" s="40"/>
    </row>
    <row r="12" spans="1:7" x14ac:dyDescent="0.25">
      <c r="A12" s="18"/>
      <c r="B12" s="34"/>
      <c r="C12" s="27"/>
      <c r="D12" s="27"/>
      <c r="E12" s="19"/>
      <c r="F12" s="26"/>
    </row>
    <row r="13" spans="1:7" x14ac:dyDescent="0.25">
      <c r="A13" s="18"/>
      <c r="B13" s="28"/>
      <c r="C13" s="27"/>
      <c r="D13" s="27"/>
      <c r="E13" s="19"/>
      <c r="F13" s="26"/>
    </row>
    <row r="14" spans="1:7" x14ac:dyDescent="0.25">
      <c r="A14" s="18"/>
      <c r="B14" s="28"/>
      <c r="C14" s="1"/>
      <c r="D14" s="1"/>
      <c r="E14" s="19"/>
      <c r="F14" s="4"/>
    </row>
    <row r="15" spans="1:7" ht="15.75" thickBot="1" x14ac:dyDescent="0.3">
      <c r="A15" s="5"/>
      <c r="B15" s="8"/>
      <c r="C15" s="8"/>
      <c r="D15" s="8"/>
      <c r="E15" s="8"/>
      <c r="F15" s="6"/>
    </row>
    <row r="16" spans="1:7" ht="21.75" thickBot="1" x14ac:dyDescent="0.4">
      <c r="A16" s="70" t="s">
        <v>8</v>
      </c>
      <c r="B16" s="71"/>
      <c r="C16" s="11">
        <f>SUM(C8:C15)</f>
        <v>27</v>
      </c>
      <c r="D16" s="11">
        <f>SUM(D8:D15)</f>
        <v>304.39999999999998</v>
      </c>
      <c r="E16" s="12">
        <f>D16/C16</f>
        <v>11.274074074074074</v>
      </c>
      <c r="F16" s="13" t="str">
        <f>F8</f>
        <v>NE5-SW3</v>
      </c>
    </row>
    <row r="17" spans="1:6" ht="15.75" thickBot="1" x14ac:dyDescent="0.3">
      <c r="A17" s="15" t="s">
        <v>19</v>
      </c>
      <c r="B17" s="16">
        <f>C16/24</f>
        <v>1.125</v>
      </c>
      <c r="C17" s="14" t="s">
        <v>23</v>
      </c>
      <c r="D17" s="14" t="s">
        <v>9</v>
      </c>
      <c r="E17" s="57" t="s">
        <v>10</v>
      </c>
      <c r="F17" s="58"/>
    </row>
    <row r="18" spans="1:6" ht="15.75" thickBot="1" x14ac:dyDescent="0.3">
      <c r="A18" s="47" t="s">
        <v>11</v>
      </c>
      <c r="B18" s="48"/>
      <c r="C18" s="30">
        <v>834</v>
      </c>
      <c r="D18" s="29">
        <v>184.3</v>
      </c>
      <c r="E18" s="51">
        <v>3160</v>
      </c>
      <c r="F18" s="52"/>
    </row>
    <row r="19" spans="1:6" ht="15.75" thickBot="1" x14ac:dyDescent="0.3">
      <c r="A19" s="47" t="s">
        <v>12</v>
      </c>
      <c r="B19" s="48"/>
      <c r="C19" s="32">
        <v>809.3</v>
      </c>
      <c r="D19" s="33">
        <v>181.8</v>
      </c>
      <c r="E19" s="53">
        <v>3020</v>
      </c>
      <c r="F19" s="54"/>
    </row>
    <row r="20" spans="1:6" ht="15.75" thickBot="1" x14ac:dyDescent="0.3">
      <c r="A20" s="47" t="s">
        <v>13</v>
      </c>
      <c r="B20" s="48"/>
      <c r="C20" s="42">
        <f>C18-C19</f>
        <v>24.700000000000045</v>
      </c>
      <c r="D20" s="42">
        <f>D18-D19</f>
        <v>2.5</v>
      </c>
      <c r="E20" s="55">
        <f>E18-E19</f>
        <v>140</v>
      </c>
      <c r="F20" s="56"/>
    </row>
    <row r="21" spans="1:6" ht="15.75" thickBot="1" x14ac:dyDescent="0.3">
      <c r="A21" s="47" t="s">
        <v>14</v>
      </c>
      <c r="B21" s="48"/>
      <c r="C21" s="31">
        <f>C20/B17</f>
        <v>21.955555555555595</v>
      </c>
      <c r="D21" s="46">
        <f>D20/B17</f>
        <v>2.2222222222222223</v>
      </c>
      <c r="E21" s="49">
        <f>E20/B17</f>
        <v>124.44444444444444</v>
      </c>
      <c r="F21" s="50"/>
    </row>
    <row r="26" spans="1:6" ht="15.75" thickBot="1" x14ac:dyDescent="0.3">
      <c r="A26" s="43"/>
      <c r="B26" s="72"/>
      <c r="C26" s="72"/>
      <c r="D26" s="73"/>
      <c r="E26" s="73"/>
    </row>
    <row r="27" spans="1:6" x14ac:dyDescent="0.25">
      <c r="A27" s="45" t="s">
        <v>26</v>
      </c>
      <c r="B27" s="74" t="s">
        <v>27</v>
      </c>
      <c r="C27" s="74"/>
      <c r="D27" s="75" t="s">
        <v>28</v>
      </c>
      <c r="E27" s="75"/>
    </row>
    <row r="29" spans="1:6" x14ac:dyDescent="0.25">
      <c r="E29" s="76" t="s">
        <v>29</v>
      </c>
      <c r="F29" s="76"/>
    </row>
  </sheetData>
  <mergeCells count="19">
    <mergeCell ref="E29:F29"/>
    <mergeCell ref="A21:B21"/>
    <mergeCell ref="E21:F21"/>
    <mergeCell ref="B26:C26"/>
    <mergeCell ref="D26:E26"/>
    <mergeCell ref="B27:C27"/>
    <mergeCell ref="D27:E27"/>
    <mergeCell ref="A18:B18"/>
    <mergeCell ref="E18:F18"/>
    <mergeCell ref="A19:B19"/>
    <mergeCell ref="E19:F19"/>
    <mergeCell ref="A20:B20"/>
    <mergeCell ref="E20:F20"/>
    <mergeCell ref="E17:F17"/>
    <mergeCell ref="A1:C1"/>
    <mergeCell ref="D1:F1"/>
    <mergeCell ref="A2:D2"/>
    <mergeCell ref="E2:F2"/>
    <mergeCell ref="A16:B16"/>
  </mergeCells>
  <pageMargins left="0.7" right="0.7" top="0.75" bottom="0.75" header="0.3" footer="0.3"/>
  <pageSetup scale="8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FORT-RIO 001-22</vt:lpstr>
      <vt:lpstr>RIO - BARRA 001-22</vt:lpstr>
    </vt:vector>
  </TitlesOfParts>
  <Company>OSM Maritime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Deck Officers</dc:creator>
  <cp:lastModifiedBy>Deck Officers</cp:lastModifiedBy>
  <cp:lastPrinted>2022-01-03T23:19:47Z</cp:lastPrinted>
  <dcterms:created xsi:type="dcterms:W3CDTF">2019-03-27T20:58:07Z</dcterms:created>
  <dcterms:modified xsi:type="dcterms:W3CDTF">2022-01-17T01:07:16Z</dcterms:modified>
</cp:coreProperties>
</file>