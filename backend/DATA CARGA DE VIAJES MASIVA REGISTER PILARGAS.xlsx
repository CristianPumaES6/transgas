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8_{2236411D-48E6-4931-AD32-4FE1FEF34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register" sheetId="1" r:id="rId1"/>
  </sheets>
  <calcPr calcId="181029"/>
</workbook>
</file>

<file path=xl/calcChain.xml><?xml version="1.0" encoding="utf-8"?>
<calcChain xmlns="http://schemas.openxmlformats.org/spreadsheetml/2006/main">
  <c r="AI175" i="1" l="1"/>
  <c r="Y175" i="1"/>
  <c r="R175" i="1"/>
  <c r="S175" i="1" s="1"/>
  <c r="AI174" i="1"/>
  <c r="Y174" i="1"/>
  <c r="R174" i="1"/>
  <c r="S174" i="1" s="1"/>
  <c r="AI173" i="1"/>
  <c r="Y173" i="1"/>
  <c r="R173" i="1"/>
  <c r="S173" i="1" s="1"/>
  <c r="AI172" i="1"/>
  <c r="Y172" i="1"/>
  <c r="R172" i="1"/>
  <c r="S172" i="1" s="1"/>
  <c r="AI171" i="1"/>
  <c r="Y171" i="1"/>
  <c r="R171" i="1"/>
  <c r="S171" i="1" s="1"/>
  <c r="AI170" i="1"/>
  <c r="Y170" i="1"/>
  <c r="R170" i="1"/>
  <c r="S170" i="1" s="1"/>
  <c r="AI169" i="1"/>
  <c r="Y169" i="1"/>
  <c r="R169" i="1"/>
  <c r="S169" i="1" s="1"/>
  <c r="AI168" i="1"/>
  <c r="Y168" i="1"/>
  <c r="R168" i="1"/>
  <c r="S168" i="1" s="1"/>
  <c r="AI167" i="1"/>
  <c r="Y167" i="1"/>
  <c r="R167" i="1"/>
  <c r="S167" i="1" s="1"/>
  <c r="AI166" i="1"/>
  <c r="Y166" i="1"/>
  <c r="R166" i="1"/>
  <c r="S166" i="1" s="1"/>
  <c r="AI165" i="1"/>
  <c r="Y165" i="1"/>
  <c r="R165" i="1"/>
  <c r="S165" i="1" s="1"/>
  <c r="AI164" i="1"/>
  <c r="Y164" i="1"/>
  <c r="R164" i="1"/>
  <c r="S164" i="1" s="1"/>
  <c r="AI163" i="1"/>
  <c r="Y163" i="1"/>
  <c r="R163" i="1"/>
  <c r="S163" i="1" s="1"/>
  <c r="AI162" i="1"/>
  <c r="Y162" i="1"/>
  <c r="R162" i="1"/>
  <c r="S162" i="1" s="1"/>
  <c r="AI161" i="1"/>
  <c r="Y161" i="1"/>
  <c r="R161" i="1"/>
  <c r="S161" i="1" s="1"/>
  <c r="AI160" i="1"/>
  <c r="Y160" i="1"/>
  <c r="R160" i="1"/>
  <c r="S160" i="1" s="1"/>
  <c r="AI159" i="1"/>
  <c r="Y159" i="1"/>
  <c r="R159" i="1"/>
  <c r="S159" i="1" s="1"/>
  <c r="AI158" i="1"/>
  <c r="Y158" i="1"/>
  <c r="R158" i="1"/>
  <c r="S158" i="1" s="1"/>
  <c r="AI157" i="1"/>
  <c r="Y157" i="1"/>
  <c r="R157" i="1"/>
  <c r="S157" i="1" s="1"/>
  <c r="AI156" i="1"/>
  <c r="Y156" i="1"/>
  <c r="R156" i="1"/>
  <c r="S156" i="1" s="1"/>
  <c r="AI155" i="1"/>
  <c r="Y155" i="1"/>
  <c r="R155" i="1"/>
  <c r="S155" i="1" s="1"/>
  <c r="AI154" i="1"/>
  <c r="Y154" i="1"/>
  <c r="R154" i="1"/>
  <c r="S154" i="1" s="1"/>
  <c r="AI153" i="1"/>
  <c r="Y153" i="1"/>
  <c r="R153" i="1"/>
  <c r="S153" i="1" s="1"/>
  <c r="AI152" i="1"/>
  <c r="Y152" i="1"/>
  <c r="R152" i="1"/>
  <c r="S152" i="1" s="1"/>
  <c r="AI151" i="1"/>
  <c r="Y151" i="1"/>
  <c r="R151" i="1"/>
  <c r="S151" i="1" s="1"/>
  <c r="AI150" i="1"/>
  <c r="Y150" i="1"/>
  <c r="R150" i="1"/>
  <c r="S150" i="1" s="1"/>
  <c r="AI149" i="1"/>
  <c r="Y149" i="1"/>
  <c r="R149" i="1"/>
  <c r="S149" i="1" s="1"/>
  <c r="AI148" i="1"/>
  <c r="Y148" i="1"/>
  <c r="R148" i="1"/>
  <c r="AI147" i="1"/>
  <c r="Y147" i="1"/>
  <c r="R147" i="1"/>
  <c r="S147" i="1" s="1"/>
  <c r="AI146" i="1"/>
  <c r="Y146" i="1"/>
  <c r="R146" i="1"/>
  <c r="AJ146" i="1" s="1"/>
  <c r="AI145" i="1"/>
  <c r="Y145" i="1"/>
  <c r="R145" i="1"/>
  <c r="S145" i="1" s="1"/>
  <c r="AI144" i="1"/>
  <c r="Y144" i="1"/>
  <c r="R144" i="1"/>
  <c r="AI143" i="1"/>
  <c r="Y143" i="1"/>
  <c r="R143" i="1"/>
  <c r="S143" i="1" s="1"/>
  <c r="AI142" i="1"/>
  <c r="Y142" i="1"/>
  <c r="R142" i="1"/>
  <c r="AI141" i="1"/>
  <c r="Y141" i="1"/>
  <c r="R141" i="1"/>
  <c r="S141" i="1" s="1"/>
  <c r="AI140" i="1"/>
  <c r="Y140" i="1"/>
  <c r="R140" i="1"/>
  <c r="AI139" i="1"/>
  <c r="Y139" i="1"/>
  <c r="R139" i="1"/>
  <c r="S139" i="1" s="1"/>
  <c r="AI138" i="1"/>
  <c r="Y138" i="1"/>
  <c r="R138" i="1"/>
  <c r="AJ138" i="1" s="1"/>
  <c r="AI137" i="1"/>
  <c r="Y137" i="1"/>
  <c r="R137" i="1"/>
  <c r="S137" i="1" s="1"/>
  <c r="AI136" i="1"/>
  <c r="Y136" i="1"/>
  <c r="R136" i="1"/>
  <c r="AI135" i="1"/>
  <c r="Y135" i="1"/>
  <c r="R135" i="1"/>
  <c r="S135" i="1" s="1"/>
  <c r="AI134" i="1"/>
  <c r="Y134" i="1"/>
  <c r="R134" i="1"/>
  <c r="AI133" i="1"/>
  <c r="Y133" i="1"/>
  <c r="R133" i="1"/>
  <c r="S133" i="1" s="1"/>
  <c r="AI132" i="1"/>
  <c r="Y132" i="1"/>
  <c r="R132" i="1"/>
  <c r="AI131" i="1"/>
  <c r="Y131" i="1"/>
  <c r="R131" i="1"/>
  <c r="S131" i="1" s="1"/>
  <c r="AI130" i="1"/>
  <c r="Y130" i="1"/>
  <c r="R130" i="1"/>
  <c r="AI129" i="1"/>
  <c r="Y129" i="1"/>
  <c r="R129" i="1"/>
  <c r="AI128" i="1"/>
  <c r="Y128" i="1"/>
  <c r="R128" i="1"/>
  <c r="AI127" i="1"/>
  <c r="Y127" i="1"/>
  <c r="R127" i="1"/>
  <c r="S127" i="1" s="1"/>
  <c r="AI126" i="1"/>
  <c r="Y126" i="1"/>
  <c r="R126" i="1"/>
  <c r="AI125" i="1"/>
  <c r="Y125" i="1"/>
  <c r="R125" i="1"/>
  <c r="S125" i="1" s="1"/>
  <c r="AI124" i="1"/>
  <c r="Y124" i="1"/>
  <c r="R124" i="1"/>
  <c r="AI123" i="1"/>
  <c r="Y123" i="1"/>
  <c r="R123" i="1"/>
  <c r="AJ123" i="1" s="1"/>
  <c r="AI122" i="1"/>
  <c r="Y122" i="1"/>
  <c r="R122" i="1"/>
  <c r="AI121" i="1"/>
  <c r="Y121" i="1"/>
  <c r="R121" i="1"/>
  <c r="S121" i="1" s="1"/>
  <c r="AI120" i="1"/>
  <c r="Y120" i="1"/>
  <c r="R120" i="1"/>
  <c r="AI119" i="1"/>
  <c r="Y119" i="1"/>
  <c r="R119" i="1"/>
  <c r="S119" i="1" s="1"/>
  <c r="AI118" i="1"/>
  <c r="Y118" i="1"/>
  <c r="R118" i="1"/>
  <c r="AI117" i="1"/>
  <c r="Y117" i="1"/>
  <c r="R117" i="1"/>
  <c r="AI116" i="1"/>
  <c r="Y116" i="1"/>
  <c r="R116" i="1"/>
  <c r="AI115" i="1"/>
  <c r="Y115" i="1"/>
  <c r="R115" i="1"/>
  <c r="S115" i="1" s="1"/>
  <c r="AI114" i="1"/>
  <c r="Y114" i="1"/>
  <c r="R114" i="1"/>
  <c r="AI113" i="1"/>
  <c r="Y113" i="1"/>
  <c r="R113" i="1"/>
  <c r="S113" i="1" s="1"/>
  <c r="AI112" i="1"/>
  <c r="Y112" i="1"/>
  <c r="R112" i="1"/>
  <c r="AI111" i="1"/>
  <c r="Y111" i="1"/>
  <c r="R111" i="1"/>
  <c r="AI110" i="1"/>
  <c r="Y110" i="1"/>
  <c r="R110" i="1"/>
  <c r="AI109" i="1"/>
  <c r="Y109" i="1"/>
  <c r="R109" i="1"/>
  <c r="S109" i="1" s="1"/>
  <c r="AI108" i="1"/>
  <c r="Y108" i="1"/>
  <c r="R108" i="1"/>
  <c r="AI107" i="1"/>
  <c r="Y107" i="1"/>
  <c r="R107" i="1"/>
  <c r="AJ107" i="1" s="1"/>
  <c r="AI106" i="1"/>
  <c r="Y106" i="1"/>
  <c r="R106" i="1"/>
  <c r="AI105" i="1"/>
  <c r="Y105" i="1"/>
  <c r="R105" i="1"/>
  <c r="AJ105" i="1" s="1"/>
  <c r="AI104" i="1"/>
  <c r="Y104" i="1"/>
  <c r="R104" i="1"/>
  <c r="AI103" i="1"/>
  <c r="Y103" i="1"/>
  <c r="R103" i="1"/>
  <c r="S103" i="1" s="1"/>
  <c r="AI102" i="1"/>
  <c r="Y102" i="1"/>
  <c r="R102" i="1"/>
  <c r="AI101" i="1"/>
  <c r="Y101" i="1"/>
  <c r="R101" i="1"/>
  <c r="S101" i="1" s="1"/>
  <c r="AI100" i="1"/>
  <c r="Y100" i="1"/>
  <c r="R100" i="1"/>
  <c r="AI99" i="1"/>
  <c r="Y99" i="1"/>
  <c r="R99" i="1"/>
  <c r="S99" i="1" s="1"/>
  <c r="AI98" i="1"/>
  <c r="Y98" i="1"/>
  <c r="R98" i="1"/>
  <c r="AI97" i="1"/>
  <c r="Y97" i="1"/>
  <c r="R97" i="1"/>
  <c r="S97" i="1" s="1"/>
  <c r="AI96" i="1"/>
  <c r="Y96" i="1"/>
  <c r="R96" i="1"/>
  <c r="S96" i="1" s="1"/>
  <c r="AI95" i="1"/>
  <c r="Y95" i="1"/>
  <c r="R95" i="1"/>
  <c r="S95" i="1" s="1"/>
  <c r="AI94" i="1"/>
  <c r="Y94" i="1"/>
  <c r="R94" i="1"/>
  <c r="S94" i="1" s="1"/>
  <c r="AI93" i="1"/>
  <c r="Y93" i="1"/>
  <c r="R93" i="1"/>
  <c r="S93" i="1" s="1"/>
  <c r="AI92" i="1"/>
  <c r="Y92" i="1"/>
  <c r="R92" i="1"/>
  <c r="S92" i="1" s="1"/>
  <c r="AI91" i="1"/>
  <c r="Y91" i="1"/>
  <c r="R91" i="1"/>
  <c r="AI90" i="1"/>
  <c r="Y90" i="1"/>
  <c r="R90" i="1"/>
  <c r="S90" i="1" s="1"/>
  <c r="AI89" i="1"/>
  <c r="Y89" i="1"/>
  <c r="R89" i="1"/>
  <c r="AI88" i="1"/>
  <c r="Y88" i="1"/>
  <c r="R88" i="1"/>
  <c r="S88" i="1" s="1"/>
  <c r="AI87" i="1"/>
  <c r="Y87" i="1"/>
  <c r="R87" i="1"/>
  <c r="S87" i="1" s="1"/>
  <c r="AI86" i="1"/>
  <c r="Y86" i="1"/>
  <c r="R86" i="1"/>
  <c r="S86" i="1" s="1"/>
  <c r="AI85" i="1"/>
  <c r="Y85" i="1"/>
  <c r="R85" i="1"/>
  <c r="S85" i="1" s="1"/>
  <c r="AI84" i="1"/>
  <c r="Y84" i="1"/>
  <c r="R84" i="1"/>
  <c r="S84" i="1" s="1"/>
  <c r="AI83" i="1"/>
  <c r="Y83" i="1"/>
  <c r="R83" i="1"/>
  <c r="S83" i="1" s="1"/>
  <c r="AI82" i="1"/>
  <c r="Y82" i="1"/>
  <c r="R82" i="1"/>
  <c r="AI81" i="1"/>
  <c r="Y81" i="1"/>
  <c r="R81" i="1"/>
  <c r="AI80" i="1"/>
  <c r="Y80" i="1"/>
  <c r="R80" i="1"/>
  <c r="AI79" i="1"/>
  <c r="Y79" i="1"/>
  <c r="R79" i="1"/>
  <c r="S79" i="1" s="1"/>
  <c r="AI78" i="1"/>
  <c r="Y78" i="1"/>
  <c r="R78" i="1"/>
  <c r="S78" i="1" s="1"/>
  <c r="AI77" i="1"/>
  <c r="Y77" i="1"/>
  <c r="R77" i="1"/>
  <c r="S77" i="1" s="1"/>
  <c r="AI76" i="1"/>
  <c r="Y76" i="1"/>
  <c r="R76" i="1"/>
  <c r="S76" i="1" s="1"/>
  <c r="AI75" i="1"/>
  <c r="Y75" i="1"/>
  <c r="R75" i="1"/>
  <c r="S75" i="1" s="1"/>
  <c r="AI74" i="1"/>
  <c r="Y74" i="1"/>
  <c r="R74" i="1"/>
  <c r="S74" i="1" s="1"/>
  <c r="AI73" i="1"/>
  <c r="Y73" i="1"/>
  <c r="R73" i="1"/>
  <c r="S73" i="1" s="1"/>
  <c r="AI72" i="1"/>
  <c r="Y72" i="1"/>
  <c r="R72" i="1"/>
  <c r="AJ72" i="1" s="1"/>
  <c r="AI71" i="1"/>
  <c r="Y71" i="1"/>
  <c r="R71" i="1"/>
  <c r="AI70" i="1"/>
  <c r="Y70" i="1"/>
  <c r="R70" i="1"/>
  <c r="S70" i="1" s="1"/>
  <c r="AI69" i="1"/>
  <c r="Y69" i="1"/>
  <c r="R69" i="1"/>
  <c r="S69" i="1" s="1"/>
  <c r="AI68" i="1"/>
  <c r="Y68" i="1"/>
  <c r="R68" i="1"/>
  <c r="S68" i="1" s="1"/>
  <c r="AI67" i="1"/>
  <c r="Y67" i="1"/>
  <c r="R67" i="1"/>
  <c r="S67" i="1" s="1"/>
  <c r="AI66" i="1"/>
  <c r="Y66" i="1"/>
  <c r="R66" i="1"/>
  <c r="S66" i="1" s="1"/>
  <c r="AI65" i="1"/>
  <c r="Y65" i="1"/>
  <c r="R65" i="1"/>
  <c r="S65" i="1" s="1"/>
  <c r="AI64" i="1"/>
  <c r="Y64" i="1"/>
  <c r="R64" i="1"/>
  <c r="S64" i="1" s="1"/>
  <c r="AI63" i="1"/>
  <c r="Y63" i="1"/>
  <c r="R63" i="1"/>
  <c r="S63" i="1" s="1"/>
  <c r="AI62" i="1"/>
  <c r="Y62" i="1"/>
  <c r="R62" i="1"/>
  <c r="AI61" i="1"/>
  <c r="Y61" i="1"/>
  <c r="R61" i="1"/>
  <c r="S61" i="1" s="1"/>
  <c r="AI60" i="1"/>
  <c r="Y60" i="1"/>
  <c r="R60" i="1"/>
  <c r="S60" i="1" s="1"/>
  <c r="AI59" i="1"/>
  <c r="Y59" i="1"/>
  <c r="R59" i="1"/>
  <c r="S59" i="1" s="1"/>
  <c r="AI58" i="1"/>
  <c r="Y58" i="1"/>
  <c r="R58" i="1"/>
  <c r="S58" i="1" s="1"/>
  <c r="AI57" i="1"/>
  <c r="Y57" i="1"/>
  <c r="R57" i="1"/>
  <c r="S57" i="1" s="1"/>
  <c r="AI56" i="1"/>
  <c r="Y56" i="1"/>
  <c r="R56" i="1"/>
  <c r="S56" i="1" s="1"/>
  <c r="AI55" i="1"/>
  <c r="Y55" i="1"/>
  <c r="R55" i="1"/>
  <c r="S55" i="1" s="1"/>
  <c r="AI54" i="1"/>
  <c r="Y54" i="1"/>
  <c r="R54" i="1"/>
  <c r="AI53" i="1"/>
  <c r="Y53" i="1"/>
  <c r="R53" i="1"/>
  <c r="AI52" i="1"/>
  <c r="Y52" i="1"/>
  <c r="R52" i="1"/>
  <c r="S52" i="1" s="1"/>
  <c r="AI51" i="1"/>
  <c r="Y51" i="1"/>
  <c r="R51" i="1"/>
  <c r="AI50" i="1"/>
  <c r="Y50" i="1"/>
  <c r="R50" i="1"/>
  <c r="S50" i="1" s="1"/>
  <c r="AI49" i="1"/>
  <c r="Y49" i="1"/>
  <c r="R49" i="1"/>
  <c r="S49" i="1" s="1"/>
  <c r="AI48" i="1"/>
  <c r="Y48" i="1"/>
  <c r="R48" i="1"/>
  <c r="S48" i="1" s="1"/>
  <c r="AI47" i="1"/>
  <c r="Y47" i="1"/>
  <c r="R47" i="1"/>
  <c r="AI46" i="1"/>
  <c r="Y46" i="1"/>
  <c r="R46" i="1"/>
  <c r="AJ46" i="1" s="1"/>
  <c r="AI45" i="1"/>
  <c r="Y45" i="1"/>
  <c r="R45" i="1"/>
  <c r="S45" i="1" s="1"/>
  <c r="AI44" i="1"/>
  <c r="Y44" i="1"/>
  <c r="R44" i="1"/>
  <c r="AI43" i="1"/>
  <c r="Y43" i="1"/>
  <c r="R43" i="1"/>
  <c r="AI42" i="1"/>
  <c r="Y42" i="1"/>
  <c r="R42" i="1"/>
  <c r="S42" i="1" s="1"/>
  <c r="AI41" i="1"/>
  <c r="Y41" i="1"/>
  <c r="R41" i="1"/>
  <c r="S41" i="1" s="1"/>
  <c r="AI40" i="1"/>
  <c r="Y40" i="1"/>
  <c r="R40" i="1"/>
  <c r="AI39" i="1"/>
  <c r="Y39" i="1"/>
  <c r="R39" i="1"/>
  <c r="S39" i="1" s="1"/>
  <c r="AI38" i="1"/>
  <c r="Y38" i="1"/>
  <c r="R38" i="1"/>
  <c r="AJ38" i="1" s="1"/>
  <c r="AI37" i="1"/>
  <c r="Y37" i="1"/>
  <c r="R37" i="1"/>
  <c r="AI36" i="1"/>
  <c r="Y36" i="1"/>
  <c r="R36" i="1"/>
  <c r="S36" i="1" s="1"/>
  <c r="AI35" i="1"/>
  <c r="Y35" i="1"/>
  <c r="R35" i="1"/>
  <c r="S35" i="1" s="1"/>
  <c r="AI34" i="1"/>
  <c r="Y34" i="1"/>
  <c r="R34" i="1"/>
  <c r="AJ34" i="1" s="1"/>
  <c r="AI33" i="1"/>
  <c r="Y33" i="1"/>
  <c r="R33" i="1"/>
  <c r="S33" i="1" s="1"/>
  <c r="AI32" i="1"/>
  <c r="Y32" i="1"/>
  <c r="R32" i="1"/>
  <c r="S32" i="1" s="1"/>
  <c r="AI31" i="1"/>
  <c r="Y31" i="1"/>
  <c r="R31" i="1"/>
  <c r="AI30" i="1"/>
  <c r="Y30" i="1"/>
  <c r="R30" i="1"/>
  <c r="S30" i="1" s="1"/>
  <c r="AI29" i="1"/>
  <c r="Y29" i="1"/>
  <c r="R29" i="1"/>
  <c r="AI28" i="1"/>
  <c r="Y28" i="1"/>
  <c r="R28" i="1"/>
  <c r="AI27" i="1"/>
  <c r="Y27" i="1"/>
  <c r="R27" i="1"/>
  <c r="S27" i="1" s="1"/>
  <c r="AI26" i="1"/>
  <c r="Y26" i="1"/>
  <c r="R26" i="1"/>
  <c r="S26" i="1" s="1"/>
  <c r="AI25" i="1"/>
  <c r="Y25" i="1"/>
  <c r="R25" i="1"/>
  <c r="AI24" i="1"/>
  <c r="Y24" i="1"/>
  <c r="R24" i="1"/>
  <c r="S24" i="1" s="1"/>
  <c r="AI23" i="1"/>
  <c r="Y23" i="1"/>
  <c r="R23" i="1"/>
  <c r="AI22" i="1"/>
  <c r="Y22" i="1"/>
  <c r="R22" i="1"/>
  <c r="AI21" i="1"/>
  <c r="Y21" i="1"/>
  <c r="R21" i="1"/>
  <c r="S21" i="1" s="1"/>
  <c r="AI20" i="1"/>
  <c r="Y20" i="1"/>
  <c r="R20" i="1"/>
  <c r="S20" i="1" s="1"/>
  <c r="AI19" i="1"/>
  <c r="Y19" i="1"/>
  <c r="R19" i="1"/>
  <c r="AJ19" i="1" s="1"/>
  <c r="AI18" i="1"/>
  <c r="Y18" i="1"/>
  <c r="R18" i="1"/>
  <c r="S18" i="1" s="1"/>
  <c r="AI17" i="1"/>
  <c r="Y17" i="1"/>
  <c r="R17" i="1"/>
  <c r="AI16" i="1"/>
  <c r="Y16" i="1"/>
  <c r="R16" i="1"/>
  <c r="S16" i="1" s="1"/>
  <c r="AI15" i="1"/>
  <c r="Y15" i="1"/>
  <c r="R15" i="1"/>
  <c r="S15" i="1" s="1"/>
  <c r="AI14" i="1"/>
  <c r="Y14" i="1"/>
  <c r="R14" i="1"/>
  <c r="S14" i="1" s="1"/>
  <c r="AI13" i="1"/>
  <c r="Y13" i="1"/>
  <c r="R13" i="1"/>
  <c r="S13" i="1" s="1"/>
  <c r="AI12" i="1"/>
  <c r="Y12" i="1"/>
  <c r="R12" i="1"/>
  <c r="S12" i="1" s="1"/>
  <c r="AI11" i="1"/>
  <c r="Y11" i="1"/>
  <c r="R11" i="1"/>
  <c r="AJ11" i="1" s="1"/>
  <c r="AI10" i="1"/>
  <c r="Y10" i="1"/>
  <c r="R10" i="1"/>
  <c r="S10" i="1" s="1"/>
  <c r="AI9" i="1"/>
  <c r="Y9" i="1"/>
  <c r="R9" i="1"/>
  <c r="S9" i="1" s="1"/>
  <c r="AI8" i="1"/>
  <c r="Y8" i="1"/>
  <c r="R8" i="1"/>
  <c r="S8" i="1" s="1"/>
  <c r="AI7" i="1"/>
  <c r="Y7" i="1"/>
  <c r="R7" i="1"/>
  <c r="S7" i="1" s="1"/>
  <c r="AI6" i="1"/>
  <c r="Y6" i="1"/>
  <c r="AB6" i="1" s="1"/>
  <c r="R6" i="1"/>
  <c r="S6" i="1" s="1"/>
  <c r="AJ156" i="1" l="1"/>
  <c r="AJ21" i="1"/>
  <c r="Z27" i="1"/>
  <c r="AJ27" i="1"/>
  <c r="Z77" i="1"/>
  <c r="AJ77" i="1"/>
  <c r="AJ85" i="1"/>
  <c r="AJ137" i="1"/>
  <c r="AJ141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Z66" i="1"/>
  <c r="Z149" i="1"/>
  <c r="AJ149" i="1"/>
  <c r="AJ23" i="1"/>
  <c r="AJ90" i="1"/>
  <c r="Z75" i="1"/>
  <c r="AJ28" i="1"/>
  <c r="AJ75" i="1"/>
  <c r="AJ147" i="1"/>
  <c r="AJ159" i="1"/>
  <c r="Z12" i="1"/>
  <c r="AJ17" i="1"/>
  <c r="AJ32" i="1"/>
  <c r="AJ36" i="1"/>
  <c r="AJ52" i="1"/>
  <c r="AJ56" i="1"/>
  <c r="AJ60" i="1"/>
  <c r="AJ68" i="1"/>
  <c r="AJ37" i="1"/>
  <c r="AJ53" i="1"/>
  <c r="AJ161" i="1"/>
  <c r="Z165" i="1"/>
  <c r="Z24" i="1"/>
  <c r="Z157" i="1"/>
  <c r="AJ172" i="1"/>
  <c r="AJ96" i="1"/>
  <c r="AJ132" i="1"/>
  <c r="AJ135" i="1"/>
  <c r="AJ154" i="1"/>
  <c r="Z8" i="1"/>
  <c r="Z16" i="1"/>
  <c r="Z68" i="1"/>
  <c r="Z93" i="1"/>
  <c r="AJ140" i="1"/>
  <c r="AJ144" i="1"/>
  <c r="AJ16" i="1"/>
  <c r="AJ18" i="1"/>
  <c r="AJ170" i="1"/>
  <c r="AJ20" i="1"/>
  <c r="Z18" i="1"/>
  <c r="Z90" i="1"/>
  <c r="AJ14" i="1"/>
  <c r="Z42" i="1"/>
  <c r="AJ43" i="1"/>
  <c r="AJ70" i="1"/>
  <c r="AJ74" i="1"/>
  <c r="AJ163" i="1"/>
  <c r="Z20" i="1"/>
  <c r="Z36" i="1"/>
  <c r="Z14" i="1"/>
  <c r="AJ66" i="1"/>
  <c r="Z70" i="1"/>
  <c r="AJ94" i="1"/>
  <c r="AJ134" i="1"/>
  <c r="AJ167" i="1"/>
  <c r="AJ41" i="1"/>
  <c r="AJ45" i="1"/>
  <c r="Z57" i="1"/>
  <c r="Z61" i="1"/>
  <c r="Z95" i="1"/>
  <c r="Z155" i="1"/>
  <c r="AJ165" i="1"/>
  <c r="Z33" i="1"/>
  <c r="Z15" i="1"/>
  <c r="AJ26" i="1"/>
  <c r="AJ61" i="1"/>
  <c r="Z69" i="1"/>
  <c r="AJ76" i="1"/>
  <c r="Z84" i="1"/>
  <c r="AJ95" i="1"/>
  <c r="AJ151" i="1"/>
  <c r="AJ155" i="1"/>
  <c r="AJ162" i="1"/>
  <c r="AJ169" i="1"/>
  <c r="S53" i="1"/>
  <c r="Z151" i="1"/>
  <c r="Z23" i="1"/>
  <c r="AJ69" i="1"/>
  <c r="AJ99" i="1"/>
  <c r="AJ103" i="1"/>
  <c r="AJ115" i="1"/>
  <c r="AJ127" i="1"/>
  <c r="Z159" i="1"/>
  <c r="Z173" i="1"/>
  <c r="Z45" i="1"/>
  <c r="Z26" i="1"/>
  <c r="Z7" i="1"/>
  <c r="Z30" i="1"/>
  <c r="AJ7" i="1"/>
  <c r="AJ15" i="1"/>
  <c r="AJ31" i="1"/>
  <c r="AJ42" i="1"/>
  <c r="Z54" i="1"/>
  <c r="AJ81" i="1"/>
  <c r="Z96" i="1"/>
  <c r="AJ104" i="1"/>
  <c r="AJ108" i="1"/>
  <c r="AJ116" i="1"/>
  <c r="AJ120" i="1"/>
  <c r="AJ124" i="1"/>
  <c r="AJ131" i="1"/>
  <c r="AJ145" i="1"/>
  <c r="Z163" i="1"/>
  <c r="AJ173" i="1"/>
  <c r="AJ51" i="1"/>
  <c r="AJ89" i="1"/>
  <c r="Z167" i="1"/>
  <c r="AJ129" i="1"/>
  <c r="AJ139" i="1"/>
  <c r="Z171" i="1"/>
  <c r="Z21" i="1"/>
  <c r="AJ24" i="1"/>
  <c r="Z32" i="1"/>
  <c r="AJ44" i="1"/>
  <c r="AJ59" i="1"/>
  <c r="AJ71" i="1"/>
  <c r="AJ93" i="1"/>
  <c r="Z97" i="1"/>
  <c r="AJ153" i="1"/>
  <c r="AJ171" i="1"/>
  <c r="AJ13" i="1"/>
  <c r="AJ63" i="1"/>
  <c r="AJ67" i="1"/>
  <c r="Z86" i="1"/>
  <c r="AJ97" i="1"/>
  <c r="AJ121" i="1"/>
  <c r="AJ164" i="1"/>
  <c r="AJ9" i="1"/>
  <c r="Z25" i="1"/>
  <c r="AJ29" i="1"/>
  <c r="Z60" i="1"/>
  <c r="AJ98" i="1"/>
  <c r="AJ106" i="1"/>
  <c r="AJ110" i="1"/>
  <c r="AJ114" i="1"/>
  <c r="AJ122" i="1"/>
  <c r="AJ126" i="1"/>
  <c r="AJ133" i="1"/>
  <c r="AJ143" i="1"/>
  <c r="Z147" i="1"/>
  <c r="AJ157" i="1"/>
  <c r="Z29" i="1"/>
  <c r="Z87" i="1"/>
  <c r="AJ112" i="1"/>
  <c r="S81" i="1"/>
  <c r="Z11" i="1"/>
  <c r="AJ40" i="1"/>
  <c r="Z43" i="1"/>
  <c r="Z50" i="1"/>
  <c r="S71" i="1"/>
  <c r="Z78" i="1"/>
  <c r="Z81" i="1"/>
  <c r="AJ84" i="1"/>
  <c r="AJ128" i="1"/>
  <c r="Z40" i="1"/>
  <c r="AJ47" i="1"/>
  <c r="AJ50" i="1"/>
  <c r="AJ54" i="1"/>
  <c r="AJ57" i="1"/>
  <c r="AJ78" i="1"/>
  <c r="Z88" i="1"/>
  <c r="AJ102" i="1"/>
  <c r="AJ117" i="1"/>
  <c r="Z10" i="1"/>
  <c r="AJ39" i="1"/>
  <c r="AJ109" i="1"/>
  <c r="AJ152" i="1"/>
  <c r="AJ160" i="1"/>
  <c r="AJ168" i="1"/>
  <c r="Z17" i="1"/>
  <c r="AJ88" i="1"/>
  <c r="Z39" i="1"/>
  <c r="Z6" i="1"/>
  <c r="AJ25" i="1"/>
  <c r="Z31" i="1"/>
  <c r="Z34" i="1"/>
  <c r="AJ58" i="1"/>
  <c r="AJ62" i="1"/>
  <c r="AJ65" i="1"/>
  <c r="Z72" i="1"/>
  <c r="Z79" i="1"/>
  <c r="AJ92" i="1"/>
  <c r="Z99" i="1"/>
  <c r="AJ118" i="1"/>
  <c r="AJ10" i="1"/>
  <c r="AJ87" i="1"/>
  <c r="AJ30" i="1"/>
  <c r="AJ33" i="1"/>
  <c r="Z51" i="1"/>
  <c r="AJ79" i="1"/>
  <c r="AJ150" i="1"/>
  <c r="Z153" i="1"/>
  <c r="AJ158" i="1"/>
  <c r="Z161" i="1"/>
  <c r="AJ166" i="1"/>
  <c r="Z169" i="1"/>
  <c r="Z46" i="1"/>
  <c r="Z37" i="1"/>
  <c r="AJ12" i="1"/>
  <c r="AJ6" i="1"/>
  <c r="AJ22" i="1"/>
  <c r="Z28" i="1"/>
  <c r="AJ80" i="1"/>
  <c r="AJ111" i="1"/>
  <c r="AJ130" i="1"/>
  <c r="AJ136" i="1"/>
  <c r="AJ142" i="1"/>
  <c r="AJ148" i="1"/>
  <c r="Z175" i="1"/>
  <c r="AJ8" i="1"/>
  <c r="Z9" i="1"/>
  <c r="Z19" i="1"/>
  <c r="Z13" i="1"/>
  <c r="Z22" i="1"/>
  <c r="Z52" i="1"/>
  <c r="Z59" i="1"/>
  <c r="S80" i="1"/>
  <c r="AJ86" i="1"/>
  <c r="Z145" i="1"/>
  <c r="AJ175" i="1"/>
  <c r="Z48" i="1"/>
  <c r="AJ48" i="1"/>
  <c r="AJ49" i="1"/>
  <c r="AJ82" i="1"/>
  <c r="S82" i="1"/>
  <c r="Z35" i="1"/>
  <c r="Z44" i="1"/>
  <c r="AL6" i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S11" i="1"/>
  <c r="S17" i="1"/>
  <c r="S23" i="1"/>
  <c r="S29" i="1"/>
  <c r="S54" i="1"/>
  <c r="S72" i="1"/>
  <c r="S107" i="1"/>
  <c r="AJ35" i="1"/>
  <c r="AJ64" i="1"/>
  <c r="AJ101" i="1"/>
  <c r="AJ113" i="1"/>
  <c r="AJ119" i="1"/>
  <c r="AJ125" i="1"/>
  <c r="AJ91" i="1"/>
  <c r="S91" i="1"/>
  <c r="S105" i="1"/>
  <c r="S111" i="1"/>
  <c r="S117" i="1"/>
  <c r="S123" i="1"/>
  <c r="S129" i="1"/>
  <c r="Z38" i="1"/>
  <c r="Z47" i="1"/>
  <c r="S44" i="1"/>
  <c r="S38" i="1"/>
  <c r="S47" i="1"/>
  <c r="S62" i="1"/>
  <c r="AJ83" i="1"/>
  <c r="S98" i="1"/>
  <c r="S89" i="1"/>
  <c r="AJ100" i="1"/>
  <c r="S100" i="1"/>
  <c r="Z41" i="1"/>
  <c r="AJ55" i="1"/>
  <c r="Z63" i="1"/>
  <c r="AJ73" i="1"/>
  <c r="Z103" i="1"/>
  <c r="Z109" i="1"/>
  <c r="Z113" i="1"/>
  <c r="Z117" i="1"/>
  <c r="Z121" i="1"/>
  <c r="Z125" i="1"/>
  <c r="Z129" i="1"/>
  <c r="Z133" i="1"/>
  <c r="Z139" i="1"/>
  <c r="Z65" i="1"/>
  <c r="Z74" i="1"/>
  <c r="Z83" i="1"/>
  <c r="Z92" i="1"/>
  <c r="Z101" i="1"/>
  <c r="Z105" i="1"/>
  <c r="Z107" i="1"/>
  <c r="Z111" i="1"/>
  <c r="Z115" i="1"/>
  <c r="Z119" i="1"/>
  <c r="Z123" i="1"/>
  <c r="Z127" i="1"/>
  <c r="Z131" i="1"/>
  <c r="Z135" i="1"/>
  <c r="Z137" i="1"/>
  <c r="Z141" i="1"/>
  <c r="Z143" i="1"/>
  <c r="Z56" i="1"/>
  <c r="S19" i="1"/>
  <c r="S22" i="1"/>
  <c r="S25" i="1"/>
  <c r="S28" i="1"/>
  <c r="S31" i="1"/>
  <c r="S34" i="1"/>
  <c r="S37" i="1"/>
  <c r="S40" i="1"/>
  <c r="S43" i="1"/>
  <c r="S46" i="1"/>
  <c r="Z49" i="1"/>
  <c r="S51" i="1"/>
  <c r="Z58" i="1"/>
  <c r="Z67" i="1"/>
  <c r="Z76" i="1"/>
  <c r="Z85" i="1"/>
  <c r="Z94" i="1"/>
  <c r="Z62" i="1"/>
  <c r="Z71" i="1"/>
  <c r="Z80" i="1"/>
  <c r="Z89" i="1"/>
  <c r="Z98" i="1"/>
  <c r="S102" i="1"/>
  <c r="S104" i="1"/>
  <c r="S106" i="1"/>
  <c r="S108" i="1"/>
  <c r="S110" i="1"/>
  <c r="S112" i="1"/>
  <c r="S114" i="1"/>
  <c r="S116" i="1"/>
  <c r="S118" i="1"/>
  <c r="S120" i="1"/>
  <c r="S122" i="1"/>
  <c r="S124" i="1"/>
  <c r="S126" i="1"/>
  <c r="S128" i="1"/>
  <c r="S130" i="1"/>
  <c r="S132" i="1"/>
  <c r="S134" i="1"/>
  <c r="S136" i="1"/>
  <c r="S138" i="1"/>
  <c r="S140" i="1"/>
  <c r="S142" i="1"/>
  <c r="S144" i="1"/>
  <c r="S146" i="1"/>
  <c r="S148" i="1"/>
  <c r="Z55" i="1"/>
  <c r="Z64" i="1"/>
  <c r="Z73" i="1"/>
  <c r="Z82" i="1"/>
  <c r="Z91" i="1"/>
  <c r="Z100" i="1"/>
  <c r="Z102" i="1"/>
  <c r="Z104" i="1"/>
  <c r="Z106" i="1"/>
  <c r="Z108" i="1"/>
  <c r="Z110" i="1"/>
  <c r="Z112" i="1"/>
  <c r="Z114" i="1"/>
  <c r="Z116" i="1"/>
  <c r="Z118" i="1"/>
  <c r="Z120" i="1"/>
  <c r="Z122" i="1"/>
  <c r="Z124" i="1"/>
  <c r="Z126" i="1"/>
  <c r="Z128" i="1"/>
  <c r="Z130" i="1"/>
  <c r="Z132" i="1"/>
  <c r="Z134" i="1"/>
  <c r="Z136" i="1"/>
  <c r="Z138" i="1"/>
  <c r="Z140" i="1"/>
  <c r="Z142" i="1"/>
  <c r="Z144" i="1"/>
  <c r="Z146" i="1"/>
  <c r="Z148" i="1"/>
  <c r="Z150" i="1"/>
  <c r="Z152" i="1"/>
  <c r="Z154" i="1"/>
  <c r="Z156" i="1"/>
  <c r="Z158" i="1"/>
  <c r="Z160" i="1"/>
  <c r="Z162" i="1"/>
  <c r="Z164" i="1"/>
  <c r="Z166" i="1"/>
  <c r="Z168" i="1"/>
  <c r="Z170" i="1"/>
  <c r="Z172" i="1"/>
  <c r="Z174" i="1"/>
  <c r="Z53" i="1"/>
  <c r="AJ174" i="1"/>
</calcChain>
</file>

<file path=xl/sharedStrings.xml><?xml version="1.0" encoding="utf-8"?>
<sst xmlns="http://schemas.openxmlformats.org/spreadsheetml/2006/main" count="2261" uniqueCount="347">
  <si>
    <t>VLSFO CONSUMPTION IN MT</t>
  </si>
  <si>
    <t>MGO CONSUMPTION IN MT</t>
  </si>
  <si>
    <t>NAVIGATION DATA</t>
  </si>
  <si>
    <t>PREVIOUS VOYAGE</t>
  </si>
  <si>
    <t>voyageId</t>
  </si>
  <si>
    <t>portId</t>
  </si>
  <si>
    <t>dailyReportId</t>
  </si>
  <si>
    <t>year</t>
  </si>
  <si>
    <t>voyageNumber</t>
  </si>
  <si>
    <t>portNumber</t>
  </si>
  <si>
    <t>departurePort</t>
  </si>
  <si>
    <t>arrivalPort</t>
  </si>
  <si>
    <t>date</t>
  </si>
  <si>
    <t>hour</t>
  </si>
  <si>
    <t>steamingTime</t>
  </si>
  <si>
    <t>activityPerformed</t>
  </si>
  <si>
    <t>speedStraction</t>
  </si>
  <si>
    <t>observation</t>
  </si>
  <si>
    <t>distance</t>
  </si>
  <si>
    <t>steamingTime2</t>
  </si>
  <si>
    <t>SPEED22</t>
  </si>
  <si>
    <t>beaufour</t>
  </si>
  <si>
    <t>mplaIfo</t>
  </si>
  <si>
    <t>auxIfo</t>
  </si>
  <si>
    <t>boilerIfo</t>
  </si>
  <si>
    <t>otherIfo</t>
  </si>
  <si>
    <t>TOTAL</t>
  </si>
  <si>
    <t>DAILY COSUMTION</t>
  </si>
  <si>
    <t>bunkeringIfo</t>
  </si>
  <si>
    <t>ROB</t>
  </si>
  <si>
    <t>mplaMgo</t>
  </si>
  <si>
    <t>auxMgo</t>
  </si>
  <si>
    <t>boilerMgo</t>
  </si>
  <si>
    <t>ppMgo</t>
  </si>
  <si>
    <t>giMgo</t>
  </si>
  <si>
    <t>otherMgo</t>
  </si>
  <si>
    <t>bunkeringMgo</t>
  </si>
  <si>
    <t>north_degree</t>
  </si>
  <si>
    <t>north_minutes</t>
  </si>
  <si>
    <t>north_north_south</t>
  </si>
  <si>
    <t>east_degree</t>
  </si>
  <si>
    <t>east_minutes</t>
  </si>
  <si>
    <t>east_east_west</t>
  </si>
  <si>
    <t>typeActivityPerformed</t>
  </si>
  <si>
    <t>userId</t>
  </si>
  <si>
    <t>updatePort</t>
  </si>
  <si>
    <t>delete_report</t>
  </si>
  <si>
    <t xml:space="preserve">ALTAMIRA - MEXICO </t>
  </si>
  <si>
    <t>CARTAGENA - COLOMBIA</t>
  </si>
  <si>
    <t>2024-11-01 08:00:00.000</t>
  </si>
  <si>
    <t>08:00</t>
  </si>
  <si>
    <t>OTHER_ACT</t>
  </si>
  <si>
    <t/>
  </si>
  <si>
    <t>ADRIFT - OPL CARTAGENA</t>
  </si>
  <si>
    <t>4</t>
  </si>
  <si>
    <t>2024-11-01 08:48:00.000</t>
  </si>
  <si>
    <t>08:48</t>
  </si>
  <si>
    <t xml:space="preserve">ADRIFT - OPL CARTAGENA - </t>
  </si>
  <si>
    <t>2024-11-01 12:00:00.000</t>
  </si>
  <si>
    <t>12:00</t>
  </si>
  <si>
    <t>MANEUVER</t>
  </si>
  <si>
    <t>DRIFT POSITION AMENDED DUE BAD WEATHER - OPL CARTAGENA</t>
  </si>
  <si>
    <t>2024-11-01 13:48:00.000</t>
  </si>
  <si>
    <t>13:48</t>
  </si>
  <si>
    <t>2024-11-02 08:00:00.000</t>
  </si>
  <si>
    <t>2024-11-02 09:00:00.000</t>
  </si>
  <si>
    <t>09:00</t>
  </si>
  <si>
    <t>2024-11-02 12:00:00.000</t>
  </si>
  <si>
    <t>2024-11-02 15:48:00.000</t>
  </si>
  <si>
    <t>15:48</t>
  </si>
  <si>
    <t>5</t>
  </si>
  <si>
    <t>2024-11-02 21:00:00.000</t>
  </si>
  <si>
    <t>21:00</t>
  </si>
  <si>
    <t>SW5</t>
  </si>
  <si>
    <t>2024-11-02 23:30:00.000</t>
  </si>
  <si>
    <t>23:30</t>
  </si>
  <si>
    <t>2024-11-03 08:00:00.000</t>
  </si>
  <si>
    <t>SW4</t>
  </si>
  <si>
    <t>2024-11-03 12:00:00.000</t>
  </si>
  <si>
    <t>2024-11-03 18:00:00.000</t>
  </si>
  <si>
    <t>18:00</t>
  </si>
  <si>
    <t>ADRIFT - OPL CARTAGENA, COMMENCE AMEND DRIFT POSITION</t>
  </si>
  <si>
    <t>2024-11-03 23:00:00.000</t>
  </si>
  <si>
    <t>23:00</t>
  </si>
  <si>
    <t>FINISH AMEND DRIFT POSITION - OPL CARTAGENA</t>
  </si>
  <si>
    <t>2024-11-04 08:00:00.000</t>
  </si>
  <si>
    <t>2024-11-04 12:00:00.000</t>
  </si>
  <si>
    <t>2024-11-04 19:12:00.000</t>
  </si>
  <si>
    <t>19:12</t>
  </si>
  <si>
    <t>ADRIFT  OPL CARTAGENA - COMMENCE AMEND DRIFT POSITION</t>
  </si>
  <si>
    <t>3</t>
  </si>
  <si>
    <t>2024-11-04 23:30:00.000</t>
  </si>
  <si>
    <t>FINISH AMEND DRIFT POSITION OPL CARTAGENA</t>
  </si>
  <si>
    <t>2024-11-05 08:00:00.000</t>
  </si>
  <si>
    <t>NE4</t>
  </si>
  <si>
    <t>2024-11-05 09:48:00.000</t>
  </si>
  <si>
    <t>09:48</t>
  </si>
  <si>
    <t>FINISH ADRIFT OPL CARTAGENA - SAILING TO CARTAGENA</t>
  </si>
  <si>
    <t>2024-11-05 12:00:00.000</t>
  </si>
  <si>
    <t>SAILING TO CARTAGENA</t>
  </si>
  <si>
    <t>2024-11-05 16:48:00.000</t>
  </si>
  <si>
    <t>16:48</t>
  </si>
  <si>
    <t>BERTHED MEXICHEM TERMINAL CARTAGENA</t>
  </si>
  <si>
    <t>2024-11-06 08:00:00.000</t>
  </si>
  <si>
    <t>DOWNLOADING</t>
  </si>
  <si>
    <t>2024-11-06 09:30:00.000</t>
  </si>
  <si>
    <t>09:30</t>
  </si>
  <si>
    <t>UNBERTHING MEXICHEM TERMINAL - MANOUVER W/PILOT</t>
  </si>
  <si>
    <t>2024-11-06 11:18:00.000</t>
  </si>
  <si>
    <t>11:18</t>
  </si>
  <si>
    <t>ANCHORED</t>
  </si>
  <si>
    <t xml:space="preserve">ANCHORAGE CARTAGENA </t>
  </si>
  <si>
    <t>2024-11-06 12:00:00.000</t>
  </si>
  <si>
    <t>AT ANCHOR CARTAGENA</t>
  </si>
  <si>
    <t>2024-11-06 22:00:00.000</t>
  </si>
  <si>
    <t>22:00</t>
  </si>
  <si>
    <t>ANCHOR UP</t>
  </si>
  <si>
    <t>NE3</t>
  </si>
  <si>
    <t>2024-11-06 23:00:00.000</t>
  </si>
  <si>
    <t>COSP - DEPARTURE CARTAGENA</t>
  </si>
  <si>
    <t>CORPUS CHRISTI - USA</t>
  </si>
  <si>
    <t>2024-11-07 08:00:00.000</t>
  </si>
  <si>
    <t>SAILING_IN_BALLAST</t>
  </si>
  <si>
    <t>FULL</t>
  </si>
  <si>
    <t>SAILING TO CORPUS CHRISTI</t>
  </si>
  <si>
    <t>NW3</t>
  </si>
  <si>
    <t>2024-11-07 12:00:00.000</t>
  </si>
  <si>
    <t>2024-11-08 08:00:00.000</t>
  </si>
  <si>
    <t>E3</t>
  </si>
  <si>
    <t>2024-11-08 12:00:00.000</t>
  </si>
  <si>
    <t>2024-11-09 08:00:00.000</t>
  </si>
  <si>
    <t>2024-11-09 12:00:00.000</t>
  </si>
  <si>
    <t>2024-11-10 08:00:00.000</t>
  </si>
  <si>
    <t>2024-11-10 12:00:00.000</t>
  </si>
  <si>
    <t>SAIING TO CORPUS CHRISTI</t>
  </si>
  <si>
    <t>NW4</t>
  </si>
  <si>
    <t>2024-11-11 08:00:00.000</t>
  </si>
  <si>
    <t>SE4</t>
  </si>
  <si>
    <t>2024-11-11 12:00:00.000</t>
  </si>
  <si>
    <t>N4</t>
  </si>
  <si>
    <t>2024-11-11 19:00:00.000</t>
  </si>
  <si>
    <t>19:00</t>
  </si>
  <si>
    <t xml:space="preserve">EOSP ARRIVAL CORPUS CHRISTI
</t>
  </si>
  <si>
    <t>2024-11-11 21:48:00.000</t>
  </si>
  <si>
    <t>21:48</t>
  </si>
  <si>
    <t>BERTHED OXICHEM TERMINAL - CORPUS CHRISTI</t>
  </si>
  <si>
    <t>S3</t>
  </si>
  <si>
    <t>2024-11-12 08:00:00.000</t>
  </si>
  <si>
    <t>LOADING</t>
  </si>
  <si>
    <t>BERTHED OXYCHEM TERMINAL - CORPUS CHRISTI</t>
  </si>
  <si>
    <t>2024-11-12 12:00:00.000</t>
  </si>
  <si>
    <t>STANDBY FOR MANEOUVER</t>
  </si>
  <si>
    <t>2024-11-13 05:00:00.000</t>
  </si>
  <si>
    <t>05:00</t>
  </si>
  <si>
    <t>SAILING_WITH_LADEN</t>
  </si>
  <si>
    <t>COSP TO CARTAGENA</t>
  </si>
  <si>
    <t>CORPUS CHISTI - USA</t>
  </si>
  <si>
    <t>2024-11-13 08:00:00.000</t>
  </si>
  <si>
    <t>2024-11-13 12:00:00.000</t>
  </si>
  <si>
    <t>2024-11-14 08:00:00.000</t>
  </si>
  <si>
    <t>2024-11-14 12:00:00.000</t>
  </si>
  <si>
    <t>2024-11-15 08:00:00.000</t>
  </si>
  <si>
    <t>2024-11-15 12:00:00.000</t>
  </si>
  <si>
    <t>2024-11-16 08:00:00.000</t>
  </si>
  <si>
    <t>E5</t>
  </si>
  <si>
    <t>2024-11-16 12:00:00.000</t>
  </si>
  <si>
    <t>2024-11-17 08:00:00.000</t>
  </si>
  <si>
    <t>E4</t>
  </si>
  <si>
    <t>2024-11-17 12:00:00.000</t>
  </si>
  <si>
    <t>2024-11-18 08:00:00.000</t>
  </si>
  <si>
    <t>2024-11-18 12:00:00.000</t>
  </si>
  <si>
    <t>2024-11-18 20:30:00.000</t>
  </si>
  <si>
    <t>20:30</t>
  </si>
  <si>
    <t>EOSP - ARRIVAL TO CARTAGENA - START DRIFT 15 nm OPL CARTAGENA</t>
  </si>
  <si>
    <t>N3</t>
  </si>
  <si>
    <t>2024-11-19 08:00:00.000</t>
  </si>
  <si>
    <t>SHIP ADRIFT</t>
  </si>
  <si>
    <t>2024-11-19 12:00:00.000</t>
  </si>
  <si>
    <t>2024-11-20 08:00:00.000</t>
  </si>
  <si>
    <t>2024-11-20 12:00:00.000</t>
  </si>
  <si>
    <t>W3</t>
  </si>
  <si>
    <t>2024-11-20 19:40:00.000</t>
  </si>
  <si>
    <t>19:40</t>
  </si>
  <si>
    <t>ADRIFT TO STANDBY ENG.</t>
  </si>
  <si>
    <t>2024-11-21 02:18:00.000</t>
  </si>
  <si>
    <t>02:18</t>
  </si>
  <si>
    <t>MOORED AT CARTAGENA</t>
  </si>
  <si>
    <t>2</t>
  </si>
  <si>
    <t>2024-11-21 08:00:00.000</t>
  </si>
  <si>
    <t>2024-11-21 12:00:00.000</t>
  </si>
  <si>
    <t>2024-11-22 04:30:00.000</t>
  </si>
  <si>
    <t>04:30</t>
  </si>
  <si>
    <t>UNMOORED AT CARTAGENA</t>
  </si>
  <si>
    <t>2024-11-22 06:42:00.000</t>
  </si>
  <si>
    <t>06:42</t>
  </si>
  <si>
    <t>ANCHORD AT CARTAGENA</t>
  </si>
  <si>
    <t>2024-11-22 08:00:00.000</t>
  </si>
  <si>
    <t>ANCHORED AT CARTAGENA</t>
  </si>
  <si>
    <t>2024-11-22 09:00:00.000</t>
  </si>
  <si>
    <t>COSP TO CORPUS CHRISTI</t>
  </si>
  <si>
    <t>2024-11-22 12:00:00.000</t>
  </si>
  <si>
    <t>2024-11-23 08:00:00.000</t>
  </si>
  <si>
    <t>2024-11-23 12:00:00.000</t>
  </si>
  <si>
    <t>2024-11-24 08:00:00.000</t>
  </si>
  <si>
    <t xml:space="preserve">SAILING TO CORPUS CHRISTI </t>
  </si>
  <si>
    <t>2024-11-24 12:00:00.000</t>
  </si>
  <si>
    <t>2024-11-25 08:00:00.000</t>
  </si>
  <si>
    <t>2024-11-25 12:00:00.000</t>
  </si>
  <si>
    <t>2024-11-26 08:00:00.000</t>
  </si>
  <si>
    <t>2024-11-26 12:00:00.000</t>
  </si>
  <si>
    <t>2024-11-27 04:00:00.000</t>
  </si>
  <si>
    <t>04:00</t>
  </si>
  <si>
    <t>ARRIVED TO CORPUS CHRISTI</t>
  </si>
  <si>
    <t>2024-11-27 04:12:00.000</t>
  </si>
  <si>
    <t>04:12</t>
  </si>
  <si>
    <t>ANCHORED AT CORPUS CHRISTI</t>
  </si>
  <si>
    <t>2024-11-27 08:00:00.000</t>
  </si>
  <si>
    <t>2024-11-27 12:00:00.000</t>
  </si>
  <si>
    <t>2024-11-28 08:00:00.000</t>
  </si>
  <si>
    <t>2024-11-28 12:00:00.000</t>
  </si>
  <si>
    <t>2024-11-29 08:00:00.000</t>
  </si>
  <si>
    <t>2024-11-29 12:00:00.000</t>
  </si>
  <si>
    <t>2024-11-29 16:24:00.000</t>
  </si>
  <si>
    <t>16:24</t>
  </si>
  <si>
    <t>2024-11-29 19:36:00.000</t>
  </si>
  <si>
    <t>19:36</t>
  </si>
  <si>
    <t>MOORED AT CORPUS CHRISTI</t>
  </si>
  <si>
    <t>2024-11-30 08:00:00.000</t>
  </si>
  <si>
    <t>2024-11-30 12:00:00.000</t>
  </si>
  <si>
    <t>2024-12-01 00:00:00.000</t>
  </si>
  <si>
    <t>00:00</t>
  </si>
  <si>
    <t>2024-12-01 02:42:00.000</t>
  </si>
  <si>
    <t>02:42</t>
  </si>
  <si>
    <t>C.O.S.P. TO CARTAGENA (CO)</t>
  </si>
  <si>
    <t>2024-12-01 08:00:00.000</t>
  </si>
  <si>
    <t>2024-12-01 12:00:00.000</t>
  </si>
  <si>
    <t>2024-12-02 08:00:00.000</t>
  </si>
  <si>
    <t>SE5</t>
  </si>
  <si>
    <t>2024-12-02 12:00:00.000</t>
  </si>
  <si>
    <t>2024-12-03 08:00:00.000</t>
  </si>
  <si>
    <t>NE5</t>
  </si>
  <si>
    <t>2024-12-03 12:00:00.000</t>
  </si>
  <si>
    <t>2024-12-04 08:00:00.000</t>
  </si>
  <si>
    <t>2024-12-04 12:00:00.000</t>
  </si>
  <si>
    <t>2024-12-05 08:00:00.000</t>
  </si>
  <si>
    <t>2024-12-05 12:00:00.000</t>
  </si>
  <si>
    <t>2024-12-06 08:00:00.000</t>
  </si>
  <si>
    <t>2024-12-06 12:00:00.000</t>
  </si>
  <si>
    <t>2024-12-07 08:00:00.000</t>
  </si>
  <si>
    <t>2024-12-07 12:00:00.000</t>
  </si>
  <si>
    <t>2024-12-07 16:12:00.000</t>
  </si>
  <si>
    <t>16:12</t>
  </si>
  <si>
    <t>ARRIBO A CARTAGENA</t>
  </si>
  <si>
    <t>2024-12-07 18:24:00.000</t>
  </si>
  <si>
    <t>18:24</t>
  </si>
  <si>
    <t>2024-12-08 12:00:00.000</t>
  </si>
  <si>
    <t>2024-12-09 00:00:00.000</t>
  </si>
  <si>
    <t>2024-12-09 02:42:00.000</t>
  </si>
  <si>
    <t>MANEOUVER SHIFING BERTH</t>
  </si>
  <si>
    <t>2024-12-09 12:00:00.000</t>
  </si>
  <si>
    <t>MOORED</t>
  </si>
  <si>
    <t>2024-12-09 12:42:00.000</t>
  </si>
  <si>
    <t>12:42</t>
  </si>
  <si>
    <t>2024-12-09 14:12:00.000</t>
  </si>
  <si>
    <t>14:12</t>
  </si>
  <si>
    <t>C.O.S.P. TO CORPUS CHRISTI/USA</t>
  </si>
  <si>
    <t>CARTAGENA-COLOMBIA</t>
  </si>
  <si>
    <t>CORPUS CHRISTI-USA</t>
  </si>
  <si>
    <t>2024-12-10 08:00:00.000</t>
  </si>
  <si>
    <t>2024-12-10 12:00:00.000</t>
  </si>
  <si>
    <t>2024-12-11 08:00:00.000</t>
  </si>
  <si>
    <t>2024-12-11 12:00:00.000</t>
  </si>
  <si>
    <t>2024-12-12 08:00:00.000</t>
  </si>
  <si>
    <t>2024-12-12 12:00:00.000</t>
  </si>
  <si>
    <t>2024-12-13 08:00:00.000</t>
  </si>
  <si>
    <t>2024-12-13 12:00:00.000</t>
  </si>
  <si>
    <t>2024-12-14 08:00:00.000</t>
  </si>
  <si>
    <t>2024-12-14 10:12:00.000</t>
  </si>
  <si>
    <t>10:12</t>
  </si>
  <si>
    <t>ARRIVAL TO CORPUS CHISRI</t>
  </si>
  <si>
    <t>2024-12-14 12:00:00.000</t>
  </si>
  <si>
    <t>2024-12-14 12:42:00.000</t>
  </si>
  <si>
    <t>NE2</t>
  </si>
  <si>
    <t>2024-12-15 08:00:00.000</t>
  </si>
  <si>
    <t>2024-12-15 12:00:00.000</t>
  </si>
  <si>
    <t>2024-12-15 16:48:00.000</t>
  </si>
  <si>
    <t>2024-12-15 20:12:00.000</t>
  </si>
  <si>
    <t>20:12</t>
  </si>
  <si>
    <t>2024-12-15 23:00:00.000</t>
  </si>
  <si>
    <t>DEPARTURE FROM CORPUS CHRISTI</t>
  </si>
  <si>
    <t>2024-12-16 08:00:00.000</t>
  </si>
  <si>
    <t>S4</t>
  </si>
  <si>
    <t>2024-12-16 12:00:00.000</t>
  </si>
  <si>
    <t>2024-12-17 08:00:00.000</t>
  </si>
  <si>
    <t>2024-12-17 12:00:00.000</t>
  </si>
  <si>
    <t xml:space="preserve">SAILING TO CARTAGENA
</t>
  </si>
  <si>
    <t>2024-12-18 08:00:00.000</t>
  </si>
  <si>
    <t>2024-12-18 12:00:00.000</t>
  </si>
  <si>
    <t>2024-12-19 08:00:00.000</t>
  </si>
  <si>
    <t>2024-12-19 12:00:00.000</t>
  </si>
  <si>
    <t>2024-12-20 08:00:00.000</t>
  </si>
  <si>
    <t>2024-12-20 12:00:00.000</t>
  </si>
  <si>
    <t>2024-12-21 08:00:00.000</t>
  </si>
  <si>
    <t>2024-12-21 12:00:00.000</t>
  </si>
  <si>
    <t>2024-12-21 16:00:00.000</t>
  </si>
  <si>
    <t>16:00</t>
  </si>
  <si>
    <t>ARRIVAL TO CARTAGENA</t>
  </si>
  <si>
    <t>2024-12-22 08:00:00.000</t>
  </si>
  <si>
    <t>VESSEL ADRIFT</t>
  </si>
  <si>
    <t>2024-12-22 12:00:00.000</t>
  </si>
  <si>
    <t>2024-12-22 15:00:00.000</t>
  </si>
  <si>
    <t>15:00</t>
  </si>
  <si>
    <t>2024-12-22 20:36:00.000</t>
  </si>
  <si>
    <t>20:36</t>
  </si>
  <si>
    <t>2024-12-23 08:00:00.000</t>
  </si>
  <si>
    <t>2024-12-23 12:00:00.000</t>
  </si>
  <si>
    <t>2024-12-24 03:42:00.000</t>
  </si>
  <si>
    <t>03:42</t>
  </si>
  <si>
    <t>2024-12-24 05:30:00.000</t>
  </si>
  <si>
    <t>05:30</t>
  </si>
  <si>
    <t xml:space="preserve">AT ANCHOR
</t>
  </si>
  <si>
    <t>2024-12-24 08:00:00.000</t>
  </si>
  <si>
    <t>AT ANCHOR</t>
  </si>
  <si>
    <t>2024-12-24 12:00:00.000</t>
  </si>
  <si>
    <t>2024-12-24 13:42:00.000</t>
  </si>
  <si>
    <t>13:42</t>
  </si>
  <si>
    <t>DEPARTURE FROM CARTAGENA</t>
  </si>
  <si>
    <t>2024-12-25 08:00:00.000</t>
  </si>
  <si>
    <t>2024-12-25 12:00:00.000</t>
  </si>
  <si>
    <t>2024-12-26 08:00:00.000</t>
  </si>
  <si>
    <t>2024-12-26 12:00:00.000</t>
  </si>
  <si>
    <t>2024-12-27 08:00:00.000</t>
  </si>
  <si>
    <t>SE3</t>
  </si>
  <si>
    <t>2024-12-27 12:00:00.000</t>
  </si>
  <si>
    <t>2024-12-28 08:00:00.000</t>
  </si>
  <si>
    <t>2024-12-28 12:00:00.000</t>
  </si>
  <si>
    <t>2024-12-29 08:00:00.000</t>
  </si>
  <si>
    <t>2024-12-29 08:48:00.000</t>
  </si>
  <si>
    <t>2024-12-29 12:00:00.000</t>
  </si>
  <si>
    <t>2024-12-30 08:00:00.000</t>
  </si>
  <si>
    <t>2024-12-30 12:00:00.000</t>
  </si>
  <si>
    <t>2024-12-31 08:00:00.000</t>
  </si>
  <si>
    <t>2024-12-31 12:00:00.000</t>
  </si>
  <si>
    <t>2024-11-12 12:30:00.000</t>
  </si>
  <si>
    <t>12:30</t>
  </si>
  <si>
    <t>nextActivityPerformend</t>
  </si>
  <si>
    <t>dateETA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</si>
</sst>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FFCD06"/>
      <name val="Calibri"/>
    </font>
    <font>
      <b/>
      <sz val="15"/>
      <color rgb="FFFFCD06"/>
      <name val="Calibri"/>
    </font>
    <font>
      <b/>
      <sz val="10"/>
      <color rgb="FFFFFFFF"/>
      <name val="Calibri"/>
    </font>
    <font>
      <b/>
      <sz val="18"/>
      <color rgb="FFFFFFFF"/>
      <name val="Calibri"/>
    </font>
    <font>
      <b/>
      <sz val="8"/>
      <color rgb="FFFFFFFF"/>
      <name val="Calibri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1556"/>
      </patternFill>
    </fill>
    <fill>
      <patternFill patternType="solid">
        <fgColor rgb="FF0040D8"/>
      </patternFill>
    </fill>
    <fill>
      <patternFill patternType="solid">
        <fgColor rgb="FF375F9A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double">
        <color rgb="FFF3F3F3"/>
      </left>
      <right style="double">
        <color rgb="FFF3F3F3"/>
      </right>
      <top style="double">
        <color rgb="FFF3F3F3"/>
      </top>
      <bottom style="double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3F3F3"/>
      </left>
      <right style="double">
        <color rgb="FFF3F3F3"/>
      </right>
      <top style="double">
        <color rgb="FFF3F3F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5" borderId="0" xfId="0" applyFill="1"/>
    <xf numFmtId="49" fontId="0" fillId="0" borderId="0" xfId="0" applyNumberFormat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0" fontId="6" fillId="0" borderId="0" xfId="0" applyFont="1"/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0" fillId="0" borderId="3" xfId="0" applyBorder="1"/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/>
    <xf numFmtId="49" fontId="0" fillId="0" borderId="3" xfId="0" applyNumberFormat="1" applyBorder="1"/>
    <xf numFmtId="0" fontId="0" fillId="5" borderId="3" xfId="0" applyFill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B175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13.21875" customWidth="1"/>
    <col min="2" max="2" width="12.21875" customWidth="1"/>
    <col min="3" max="3" width="12.109375" customWidth="1"/>
    <col min="4" max="4" width="15.44140625" customWidth="1"/>
    <col min="5" max="5" width="13.33203125" bestFit="1" customWidth="1"/>
    <col min="6" max="6" width="8.5546875" bestFit="1" customWidth="1"/>
    <col min="7" max="8" width="22" bestFit="1" customWidth="1"/>
    <col min="9" max="9" width="22" customWidth="1"/>
    <col min="10" max="10" width="21.6640625" style="5" bestFit="1" customWidth="1"/>
    <col min="11" max="11" width="5.5546875" style="5" bestFit="1" customWidth="1"/>
    <col min="12" max="12" width="9.33203125" style="4" bestFit="1" customWidth="1"/>
    <col min="13" max="13" width="19.77734375" bestFit="1" customWidth="1"/>
    <col min="14" max="14" width="19.77734375" customWidth="1"/>
    <col min="15" max="15" width="13.109375" bestFit="1" customWidth="1"/>
    <col min="16" max="16" width="59.6640625" bestFit="1" customWidth="1"/>
    <col min="17" max="17" width="7.77734375" bestFit="1" customWidth="1"/>
    <col min="18" max="18" width="13.33203125" bestFit="1" customWidth="1"/>
    <col min="19" max="44" width="8" customWidth="1"/>
    <col min="45" max="45" width="26.6640625" customWidth="1"/>
    <col min="46" max="63" width="8" customWidth="1"/>
    <col min="64" max="94" width="4" customWidth="1"/>
  </cols>
  <sheetData>
    <row r="3" spans="1:80" ht="27" thickTop="1" thickBot="1" x14ac:dyDescent="0.35">
      <c r="U3" s="3" t="s">
        <v>0</v>
      </c>
      <c r="V3" s="3"/>
      <c r="W3" s="3"/>
      <c r="X3" s="3"/>
      <c r="Y3" s="3"/>
      <c r="Z3" s="3"/>
      <c r="AA3" s="3"/>
      <c r="AB3" s="3"/>
      <c r="AC3" s="3" t="s">
        <v>1</v>
      </c>
      <c r="AD3" s="3"/>
      <c r="AE3" s="3"/>
      <c r="AF3" s="3"/>
      <c r="AG3" s="3"/>
      <c r="AH3" s="3"/>
      <c r="AI3" s="3"/>
      <c r="AJ3" s="3"/>
      <c r="AK3" s="3"/>
      <c r="AL3" s="3"/>
    </row>
    <row r="4" spans="1:80" ht="24" thickTop="1" x14ac:dyDescent="0.3">
      <c r="O4" s="9"/>
      <c r="Q4" s="10" t="s">
        <v>2</v>
      </c>
      <c r="R4" s="10"/>
      <c r="S4" s="10"/>
      <c r="T4" s="10"/>
      <c r="U4" s="11" t="s">
        <v>3</v>
      </c>
      <c r="V4" s="11"/>
      <c r="W4" s="11"/>
      <c r="X4" s="11"/>
      <c r="Y4" s="11"/>
      <c r="Z4" s="12"/>
      <c r="AA4" s="12"/>
      <c r="AB4" s="12"/>
      <c r="AC4" s="11" t="s">
        <v>3</v>
      </c>
      <c r="AD4" s="11"/>
      <c r="AE4" s="11"/>
      <c r="AF4" s="11"/>
      <c r="AG4" s="11"/>
      <c r="AH4" s="11"/>
      <c r="AI4" s="11"/>
      <c r="AJ4" s="12"/>
      <c r="AK4" s="12"/>
      <c r="AL4" s="12"/>
    </row>
    <row r="5" spans="1:80" x14ac:dyDescent="0.3">
      <c r="A5" s="13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5" t="s">
        <v>10</v>
      </c>
      <c r="H5" s="15" t="s">
        <v>11</v>
      </c>
      <c r="I5" s="15" t="s">
        <v>346</v>
      </c>
      <c r="J5" s="16" t="s">
        <v>12</v>
      </c>
      <c r="K5" s="16" t="s">
        <v>13</v>
      </c>
      <c r="L5" s="17" t="s">
        <v>14</v>
      </c>
      <c r="M5" s="15" t="s">
        <v>15</v>
      </c>
      <c r="N5" s="15" t="s">
        <v>345</v>
      </c>
      <c r="O5" s="18" t="s">
        <v>16</v>
      </c>
      <c r="P5" s="15" t="s">
        <v>17</v>
      </c>
      <c r="Q5" s="13" t="s">
        <v>18</v>
      </c>
      <c r="R5" s="13" t="s">
        <v>19</v>
      </c>
      <c r="S5" s="13" t="s">
        <v>20</v>
      </c>
      <c r="T5" s="13" t="s">
        <v>21</v>
      </c>
      <c r="U5" s="15" t="s">
        <v>22</v>
      </c>
      <c r="V5" s="13" t="s">
        <v>23</v>
      </c>
      <c r="W5" s="13" t="s">
        <v>24</v>
      </c>
      <c r="X5" s="13" t="s">
        <v>25</v>
      </c>
      <c r="Y5" s="13" t="s">
        <v>26</v>
      </c>
      <c r="Z5" s="13" t="s">
        <v>27</v>
      </c>
      <c r="AA5" s="13" t="s">
        <v>28</v>
      </c>
      <c r="AB5" s="13" t="s">
        <v>29</v>
      </c>
      <c r="AC5" s="13" t="s">
        <v>30</v>
      </c>
      <c r="AD5" s="13" t="s">
        <v>31</v>
      </c>
      <c r="AE5" s="15" t="s">
        <v>32</v>
      </c>
      <c r="AF5" s="13" t="s">
        <v>33</v>
      </c>
      <c r="AG5" s="13" t="s">
        <v>34</v>
      </c>
      <c r="AH5" s="13" t="s">
        <v>35</v>
      </c>
      <c r="AI5" s="13" t="s">
        <v>26</v>
      </c>
      <c r="AJ5" s="13" t="s">
        <v>27</v>
      </c>
      <c r="AK5" s="13" t="s">
        <v>36</v>
      </c>
      <c r="AL5" s="13" t="s">
        <v>29</v>
      </c>
      <c r="AM5" s="13" t="s">
        <v>37</v>
      </c>
      <c r="AN5" s="13" t="s">
        <v>38</v>
      </c>
      <c r="AO5" s="13" t="s">
        <v>39</v>
      </c>
      <c r="AP5" s="14" t="s">
        <v>40</v>
      </c>
      <c r="AQ5" s="13" t="s">
        <v>41</v>
      </c>
      <c r="AR5" s="15" t="s">
        <v>42</v>
      </c>
      <c r="AS5" s="13" t="s">
        <v>43</v>
      </c>
      <c r="AT5" s="13" t="s">
        <v>44</v>
      </c>
      <c r="AU5" s="13" t="s">
        <v>45</v>
      </c>
      <c r="AV5" s="15" t="s">
        <v>46</v>
      </c>
      <c r="AX5" s="2"/>
      <c r="AZ5" s="2"/>
      <c r="BB5" s="1"/>
      <c r="BD5" s="1"/>
      <c r="BF5" s="2"/>
      <c r="BH5" s="1"/>
      <c r="BJ5" s="2"/>
      <c r="BL5" s="2"/>
      <c r="BN5" s="2"/>
      <c r="BP5" s="2"/>
      <c r="BR5" s="2"/>
      <c r="BT5" s="2"/>
      <c r="BV5" s="1"/>
      <c r="BX5" s="1"/>
      <c r="BZ5" s="2"/>
      <c r="CB5" s="1"/>
    </row>
    <row r="6" spans="1:80" x14ac:dyDescent="0.3">
      <c r="A6" s="13"/>
      <c r="B6" s="13"/>
      <c r="C6" s="13"/>
      <c r="D6" s="13">
        <v>2025</v>
      </c>
      <c r="E6" s="13">
        <v>17</v>
      </c>
      <c r="F6" s="13">
        <v>3</v>
      </c>
      <c r="G6" s="13" t="s">
        <v>47</v>
      </c>
      <c r="H6" s="13" t="s">
        <v>48</v>
      </c>
      <c r="I6" s="19" t="s">
        <v>118</v>
      </c>
      <c r="J6" s="19" t="s">
        <v>49</v>
      </c>
      <c r="K6" s="19" t="s">
        <v>50</v>
      </c>
      <c r="L6" s="20">
        <v>20</v>
      </c>
      <c r="M6" s="13" t="s">
        <v>51</v>
      </c>
      <c r="N6" s="13" t="s">
        <v>51</v>
      </c>
      <c r="O6" s="21" t="s">
        <v>52</v>
      </c>
      <c r="P6" s="13" t="s">
        <v>53</v>
      </c>
      <c r="Q6" s="13">
        <v>0</v>
      </c>
      <c r="R6" s="13">
        <f>IFERROR((J6 - J5)*24,0)</f>
        <v>0</v>
      </c>
      <c r="S6" s="13">
        <f t="shared" ref="S6:S37" si="0">IF(ISERROR(Q6/R6),0,Q6/R6)</f>
        <v>0</v>
      </c>
      <c r="T6" s="13" t="s">
        <v>54</v>
      </c>
      <c r="U6" s="13">
        <v>0</v>
      </c>
      <c r="V6" s="13">
        <v>0</v>
      </c>
      <c r="W6" s="13">
        <v>0</v>
      </c>
      <c r="X6" s="13">
        <v>0</v>
      </c>
      <c r="Y6" s="13">
        <f t="shared" ref="Y6:Y37" si="1">SUM(U6:X6)</f>
        <v>0</v>
      </c>
      <c r="Z6" s="13">
        <f t="shared" ref="Z6:Z37" si="2">IF(ISERROR(Y6*24/R6),0,Y6*24/R6)</f>
        <v>0</v>
      </c>
      <c r="AA6" s="13">
        <v>0</v>
      </c>
      <c r="AB6" s="13">
        <f>AB4-Y6+AA6</f>
        <v>0</v>
      </c>
      <c r="AC6" s="13">
        <v>0</v>
      </c>
      <c r="AD6" s="13">
        <v>0.78</v>
      </c>
      <c r="AE6" s="13">
        <v>0.12</v>
      </c>
      <c r="AF6" s="13">
        <v>0</v>
      </c>
      <c r="AG6" s="13">
        <v>0</v>
      </c>
      <c r="AH6" s="13">
        <v>0</v>
      </c>
      <c r="AI6" s="13">
        <f t="shared" ref="AI6:AI37" si="3">SUM(AC6:AH6)</f>
        <v>0.9</v>
      </c>
      <c r="AJ6" s="13">
        <f t="shared" ref="AJ6:AJ37" si="4">IF(ISERROR(AI6*24/R6),0,AI6*24/R6)</f>
        <v>0</v>
      </c>
      <c r="AK6" s="13">
        <v>0</v>
      </c>
      <c r="AL6" s="13">
        <f>AL4-AI6+AK6</f>
        <v>-0.9</v>
      </c>
      <c r="AM6" s="13">
        <v>0</v>
      </c>
      <c r="AN6" s="13">
        <v>0</v>
      </c>
      <c r="AO6" s="13" t="s">
        <v>52</v>
      </c>
      <c r="AP6" s="13">
        <v>0</v>
      </c>
      <c r="AQ6" s="13">
        <v>0</v>
      </c>
      <c r="AR6" s="13" t="s">
        <v>52</v>
      </c>
      <c r="AS6" s="13" t="s">
        <v>51</v>
      </c>
      <c r="AT6" s="13">
        <v>7</v>
      </c>
      <c r="AU6" s="13"/>
      <c r="AV6" s="13"/>
    </row>
    <row r="7" spans="1:80" x14ac:dyDescent="0.3">
      <c r="A7" s="13"/>
      <c r="B7" s="13"/>
      <c r="C7" s="13"/>
      <c r="D7" s="13">
        <v>2025</v>
      </c>
      <c r="E7" s="13">
        <v>17</v>
      </c>
      <c r="F7" s="13">
        <v>3</v>
      </c>
      <c r="G7" s="13" t="s">
        <v>47</v>
      </c>
      <c r="H7" s="13" t="s">
        <v>48</v>
      </c>
      <c r="I7" s="19" t="s">
        <v>118</v>
      </c>
      <c r="J7" s="19" t="s">
        <v>55</v>
      </c>
      <c r="K7" s="19" t="s">
        <v>56</v>
      </c>
      <c r="L7" s="20">
        <v>0.8</v>
      </c>
      <c r="M7" s="13" t="s">
        <v>51</v>
      </c>
      <c r="N7" s="13" t="s">
        <v>60</v>
      </c>
      <c r="O7" s="21" t="s">
        <v>52</v>
      </c>
      <c r="P7" s="13" t="s">
        <v>57</v>
      </c>
      <c r="Q7" s="13">
        <v>0</v>
      </c>
      <c r="R7" s="13">
        <f>IFERROR((J7 - J6)*24,0)</f>
        <v>0.79999999998835847</v>
      </c>
      <c r="S7" s="13">
        <f t="shared" si="0"/>
        <v>0</v>
      </c>
      <c r="T7" s="13" t="s">
        <v>54</v>
      </c>
      <c r="U7" s="13">
        <v>0</v>
      </c>
      <c r="V7" s="13">
        <v>0</v>
      </c>
      <c r="W7" s="13">
        <v>0</v>
      </c>
      <c r="X7" s="13">
        <v>0</v>
      </c>
      <c r="Y7" s="13">
        <f t="shared" si="1"/>
        <v>0</v>
      </c>
      <c r="Z7" s="13">
        <f t="shared" si="2"/>
        <v>0</v>
      </c>
      <c r="AA7" s="13">
        <v>0</v>
      </c>
      <c r="AB7" s="13">
        <f t="shared" ref="AB7:AB38" si="5">AB6-Y7+AA7</f>
        <v>0</v>
      </c>
      <c r="AC7" s="13">
        <v>0</v>
      </c>
      <c r="AD7" s="13">
        <v>0.37</v>
      </c>
      <c r="AE7" s="13">
        <v>0.05</v>
      </c>
      <c r="AF7" s="13">
        <v>0</v>
      </c>
      <c r="AG7" s="13">
        <v>0</v>
      </c>
      <c r="AH7" s="13">
        <v>0</v>
      </c>
      <c r="AI7" s="13">
        <f t="shared" si="3"/>
        <v>0.42</v>
      </c>
      <c r="AJ7" s="13">
        <f t="shared" si="4"/>
        <v>12.600000000183353</v>
      </c>
      <c r="AK7" s="13">
        <v>0</v>
      </c>
      <c r="AL7" s="13">
        <f t="shared" ref="AL7:AL38" si="6">AL6-AI7+AK7</f>
        <v>-1.32</v>
      </c>
      <c r="AM7" s="13">
        <v>0</v>
      </c>
      <c r="AN7" s="13">
        <v>0</v>
      </c>
      <c r="AO7" s="13" t="s">
        <v>52</v>
      </c>
      <c r="AP7" s="13">
        <v>0</v>
      </c>
      <c r="AQ7" s="13">
        <v>0</v>
      </c>
      <c r="AR7" s="13" t="s">
        <v>52</v>
      </c>
      <c r="AS7" s="13" t="s">
        <v>51</v>
      </c>
      <c r="AT7" s="13">
        <v>7</v>
      </c>
      <c r="AU7" s="13"/>
      <c r="AV7" s="13"/>
    </row>
    <row r="8" spans="1:80" x14ac:dyDescent="0.3">
      <c r="A8" s="13"/>
      <c r="B8" s="13"/>
      <c r="C8" s="13"/>
      <c r="D8" s="13">
        <v>2025</v>
      </c>
      <c r="E8" s="13">
        <v>17</v>
      </c>
      <c r="F8" s="13">
        <v>3</v>
      </c>
      <c r="G8" s="13" t="s">
        <v>47</v>
      </c>
      <c r="H8" s="13" t="s">
        <v>48</v>
      </c>
      <c r="I8" s="19" t="s">
        <v>118</v>
      </c>
      <c r="J8" s="19" t="s">
        <v>58</v>
      </c>
      <c r="K8" s="19" t="s">
        <v>59</v>
      </c>
      <c r="L8" s="20">
        <v>3.2</v>
      </c>
      <c r="M8" s="13" t="s">
        <v>60</v>
      </c>
      <c r="N8" s="13" t="s">
        <v>60</v>
      </c>
      <c r="O8" s="21" t="s">
        <v>52</v>
      </c>
      <c r="P8" s="13" t="s">
        <v>61</v>
      </c>
      <c r="Q8" s="13">
        <v>30</v>
      </c>
      <c r="R8" s="13">
        <f>IFERROR((J8 - J7)*24,0)</f>
        <v>3.1999999999534339</v>
      </c>
      <c r="S8" s="13">
        <f t="shared" si="0"/>
        <v>9.3750000001364242</v>
      </c>
      <c r="T8" s="13" t="s">
        <v>54</v>
      </c>
      <c r="U8" s="13">
        <v>0</v>
      </c>
      <c r="V8" s="13">
        <v>0</v>
      </c>
      <c r="W8" s="13">
        <v>0</v>
      </c>
      <c r="X8" s="13">
        <v>0</v>
      </c>
      <c r="Y8" s="13">
        <f t="shared" si="1"/>
        <v>0</v>
      </c>
      <c r="Z8" s="13">
        <f t="shared" si="2"/>
        <v>0</v>
      </c>
      <c r="AA8" s="13">
        <v>0</v>
      </c>
      <c r="AB8" s="13">
        <f t="shared" si="5"/>
        <v>0</v>
      </c>
      <c r="AC8" s="13">
        <v>1.2</v>
      </c>
      <c r="AD8" s="13">
        <v>0.13</v>
      </c>
      <c r="AE8" s="13">
        <v>0.01</v>
      </c>
      <c r="AF8" s="13">
        <v>0</v>
      </c>
      <c r="AG8" s="13">
        <v>0</v>
      </c>
      <c r="AH8" s="13">
        <v>0</v>
      </c>
      <c r="AI8" s="13">
        <f t="shared" si="3"/>
        <v>1.34</v>
      </c>
      <c r="AJ8" s="13">
        <f t="shared" si="4"/>
        <v>10.050000000146248</v>
      </c>
      <c r="AK8" s="13">
        <v>0</v>
      </c>
      <c r="AL8" s="13">
        <f t="shared" si="6"/>
        <v>-2.66</v>
      </c>
      <c r="AM8" s="13">
        <v>0</v>
      </c>
      <c r="AN8" s="13">
        <v>0</v>
      </c>
      <c r="AO8" s="13" t="s">
        <v>52</v>
      </c>
      <c r="AP8" s="13">
        <v>0</v>
      </c>
      <c r="AQ8" s="13">
        <v>0</v>
      </c>
      <c r="AR8" s="13" t="s">
        <v>52</v>
      </c>
      <c r="AS8" s="13" t="s">
        <v>60</v>
      </c>
      <c r="AT8" s="13">
        <v>7</v>
      </c>
      <c r="AU8" s="13"/>
      <c r="AV8" s="13"/>
    </row>
    <row r="9" spans="1:80" x14ac:dyDescent="0.3">
      <c r="A9" s="13"/>
      <c r="B9" s="13"/>
      <c r="C9" s="13"/>
      <c r="D9" s="13">
        <v>2025</v>
      </c>
      <c r="E9" s="13">
        <v>17</v>
      </c>
      <c r="F9" s="13">
        <v>3</v>
      </c>
      <c r="G9" s="13" t="s">
        <v>47</v>
      </c>
      <c r="H9" s="13" t="s">
        <v>48</v>
      </c>
      <c r="I9" s="19" t="s">
        <v>118</v>
      </c>
      <c r="J9" s="19" t="s">
        <v>62</v>
      </c>
      <c r="K9" s="19" t="s">
        <v>63</v>
      </c>
      <c r="L9" s="20">
        <v>1.8</v>
      </c>
      <c r="M9" s="13" t="s">
        <v>60</v>
      </c>
      <c r="N9" s="13" t="s">
        <v>51</v>
      </c>
      <c r="O9" s="21" t="s">
        <v>52</v>
      </c>
      <c r="P9" s="13" t="s">
        <v>61</v>
      </c>
      <c r="Q9" s="13">
        <v>15</v>
      </c>
      <c r="R9" s="13">
        <f>IFERROR((J9 - J8)*24,0)</f>
        <v>1.7999999999301508</v>
      </c>
      <c r="S9" s="13">
        <f t="shared" si="0"/>
        <v>8.333333333656709</v>
      </c>
      <c r="T9" s="13" t="s">
        <v>54</v>
      </c>
      <c r="U9" s="13">
        <v>0</v>
      </c>
      <c r="V9" s="13">
        <v>0</v>
      </c>
      <c r="W9" s="13">
        <v>0</v>
      </c>
      <c r="X9" s="13">
        <v>0</v>
      </c>
      <c r="Y9" s="13">
        <f t="shared" si="1"/>
        <v>0</v>
      </c>
      <c r="Z9" s="13">
        <f t="shared" si="2"/>
        <v>0</v>
      </c>
      <c r="AA9" s="13">
        <v>0</v>
      </c>
      <c r="AB9" s="13">
        <f t="shared" si="5"/>
        <v>0</v>
      </c>
      <c r="AC9" s="13">
        <v>0.36</v>
      </c>
      <c r="AD9" s="13">
        <v>0.15</v>
      </c>
      <c r="AE9" s="13">
        <v>0.01</v>
      </c>
      <c r="AF9" s="13">
        <v>0</v>
      </c>
      <c r="AG9" s="13">
        <v>0</v>
      </c>
      <c r="AH9" s="13">
        <v>0</v>
      </c>
      <c r="AI9" s="13">
        <f t="shared" si="3"/>
        <v>0.52</v>
      </c>
      <c r="AJ9" s="13">
        <f t="shared" si="4"/>
        <v>6.9333333336023824</v>
      </c>
      <c r="AK9" s="13">
        <v>0</v>
      </c>
      <c r="AL9" s="13">
        <f t="shared" si="6"/>
        <v>-3.18</v>
      </c>
      <c r="AM9" s="13">
        <v>0</v>
      </c>
      <c r="AN9" s="13">
        <v>0</v>
      </c>
      <c r="AO9" s="13" t="s">
        <v>52</v>
      </c>
      <c r="AP9" s="13">
        <v>0</v>
      </c>
      <c r="AQ9" s="13">
        <v>0</v>
      </c>
      <c r="AR9" s="13" t="s">
        <v>52</v>
      </c>
      <c r="AS9" s="13" t="s">
        <v>60</v>
      </c>
      <c r="AT9" s="13">
        <v>7</v>
      </c>
      <c r="AU9" s="13"/>
      <c r="AV9" s="13"/>
    </row>
    <row r="10" spans="1:80" x14ac:dyDescent="0.3">
      <c r="A10" s="13"/>
      <c r="B10" s="13"/>
      <c r="C10" s="13"/>
      <c r="D10" s="13">
        <v>2025</v>
      </c>
      <c r="E10" s="13">
        <v>17</v>
      </c>
      <c r="F10" s="13">
        <v>3</v>
      </c>
      <c r="G10" s="13" t="s">
        <v>47</v>
      </c>
      <c r="H10" s="13" t="s">
        <v>48</v>
      </c>
      <c r="I10" s="19" t="s">
        <v>118</v>
      </c>
      <c r="J10" s="19" t="s">
        <v>64</v>
      </c>
      <c r="K10" s="19" t="s">
        <v>50</v>
      </c>
      <c r="L10" s="20">
        <v>18.2</v>
      </c>
      <c r="M10" s="13" t="s">
        <v>51</v>
      </c>
      <c r="N10" s="13" t="s">
        <v>51</v>
      </c>
      <c r="O10" s="21" t="s">
        <v>52</v>
      </c>
      <c r="P10" s="13" t="s">
        <v>53</v>
      </c>
      <c r="Q10" s="13">
        <v>0</v>
      </c>
      <c r="R10" s="13">
        <f>IFERROR((J10 - J9)*24,0)</f>
        <v>18.200000000128057</v>
      </c>
      <c r="S10" s="13">
        <f t="shared" si="0"/>
        <v>0</v>
      </c>
      <c r="T10" s="13" t="s">
        <v>54</v>
      </c>
      <c r="U10" s="13">
        <v>0</v>
      </c>
      <c r="V10" s="13">
        <v>0</v>
      </c>
      <c r="W10" s="13">
        <v>0</v>
      </c>
      <c r="X10" s="13">
        <v>0</v>
      </c>
      <c r="Y10" s="13">
        <f t="shared" si="1"/>
        <v>0</v>
      </c>
      <c r="Z10" s="13">
        <f t="shared" si="2"/>
        <v>0</v>
      </c>
      <c r="AA10" s="13">
        <v>0</v>
      </c>
      <c r="AB10" s="13">
        <f t="shared" si="5"/>
        <v>0</v>
      </c>
      <c r="AC10" s="13">
        <v>0</v>
      </c>
      <c r="AD10" s="13">
        <v>0.75</v>
      </c>
      <c r="AE10" s="13">
        <v>0.1</v>
      </c>
      <c r="AF10" s="13">
        <v>0</v>
      </c>
      <c r="AG10" s="13">
        <v>0</v>
      </c>
      <c r="AH10" s="13">
        <v>0</v>
      </c>
      <c r="AI10" s="13">
        <f t="shared" si="3"/>
        <v>0.85</v>
      </c>
      <c r="AJ10" s="13">
        <f t="shared" si="4"/>
        <v>1.1208791208712341</v>
      </c>
      <c r="AK10" s="13">
        <v>0</v>
      </c>
      <c r="AL10" s="13">
        <f t="shared" si="6"/>
        <v>-4.03</v>
      </c>
      <c r="AM10" s="13">
        <v>0</v>
      </c>
      <c r="AN10" s="13">
        <v>0</v>
      </c>
      <c r="AO10" s="13" t="s">
        <v>52</v>
      </c>
      <c r="AP10" s="13">
        <v>0</v>
      </c>
      <c r="AQ10" s="13">
        <v>0</v>
      </c>
      <c r="AR10" s="13" t="s">
        <v>52</v>
      </c>
      <c r="AS10" s="13" t="s">
        <v>51</v>
      </c>
      <c r="AT10" s="13">
        <v>7</v>
      </c>
      <c r="AU10" s="13"/>
      <c r="AV10" s="13"/>
    </row>
    <row r="11" spans="1:80" x14ac:dyDescent="0.3">
      <c r="A11" s="13"/>
      <c r="B11" s="13"/>
      <c r="C11" s="13"/>
      <c r="D11" s="13">
        <v>2025</v>
      </c>
      <c r="E11" s="13">
        <v>17</v>
      </c>
      <c r="F11" s="13">
        <v>3</v>
      </c>
      <c r="G11" s="13" t="s">
        <v>47</v>
      </c>
      <c r="H11" s="13" t="s">
        <v>48</v>
      </c>
      <c r="I11" s="19" t="s">
        <v>118</v>
      </c>
      <c r="J11" s="19" t="s">
        <v>65</v>
      </c>
      <c r="K11" s="19" t="s">
        <v>66</v>
      </c>
      <c r="L11" s="20">
        <v>1</v>
      </c>
      <c r="M11" s="13" t="s">
        <v>51</v>
      </c>
      <c r="N11" s="13" t="s">
        <v>51</v>
      </c>
      <c r="O11" s="13" t="s">
        <v>52</v>
      </c>
      <c r="P11" s="13" t="s">
        <v>53</v>
      </c>
      <c r="Q11" s="13">
        <v>0</v>
      </c>
      <c r="R11" s="13">
        <f>IFERROR((J11 - J10)*24,0)</f>
        <v>0.99999999994179234</v>
      </c>
      <c r="S11" s="13">
        <f t="shared" si="0"/>
        <v>0</v>
      </c>
      <c r="T11" s="13" t="s">
        <v>54</v>
      </c>
      <c r="U11" s="13">
        <v>0</v>
      </c>
      <c r="V11" s="13">
        <v>0</v>
      </c>
      <c r="W11" s="13">
        <v>0</v>
      </c>
      <c r="X11" s="13">
        <v>0</v>
      </c>
      <c r="Y11" s="13">
        <f t="shared" si="1"/>
        <v>0</v>
      </c>
      <c r="Z11" s="13">
        <f t="shared" si="2"/>
        <v>0</v>
      </c>
      <c r="AA11" s="13">
        <v>0</v>
      </c>
      <c r="AB11" s="13">
        <f t="shared" si="5"/>
        <v>0</v>
      </c>
      <c r="AC11" s="13">
        <v>0</v>
      </c>
      <c r="AD11" s="13">
        <v>0.08</v>
      </c>
      <c r="AE11" s="13">
        <v>0.01</v>
      </c>
      <c r="AF11" s="13">
        <v>0</v>
      </c>
      <c r="AG11" s="13">
        <v>0</v>
      </c>
      <c r="AH11" s="13">
        <v>0</v>
      </c>
      <c r="AI11" s="13">
        <f t="shared" si="3"/>
        <v>0.09</v>
      </c>
      <c r="AJ11" s="13">
        <f t="shared" si="4"/>
        <v>2.1600000001257289</v>
      </c>
      <c r="AK11" s="13">
        <v>0</v>
      </c>
      <c r="AL11" s="13">
        <f t="shared" si="6"/>
        <v>-4.12</v>
      </c>
      <c r="AM11" s="13">
        <v>0</v>
      </c>
      <c r="AN11" s="13">
        <v>0</v>
      </c>
      <c r="AO11" s="13" t="s">
        <v>52</v>
      </c>
      <c r="AP11" s="13">
        <v>0</v>
      </c>
      <c r="AQ11" s="13">
        <v>0</v>
      </c>
      <c r="AR11" s="13" t="s">
        <v>52</v>
      </c>
      <c r="AS11" s="13" t="s">
        <v>51</v>
      </c>
      <c r="AT11" s="13">
        <v>7</v>
      </c>
      <c r="AU11" s="13"/>
      <c r="AV11" s="13"/>
    </row>
    <row r="12" spans="1:80" x14ac:dyDescent="0.3">
      <c r="A12" s="13"/>
      <c r="B12" s="13"/>
      <c r="C12" s="13"/>
      <c r="D12" s="13">
        <v>2025</v>
      </c>
      <c r="E12" s="13">
        <v>17</v>
      </c>
      <c r="F12" s="13">
        <v>3</v>
      </c>
      <c r="G12" s="13" t="s">
        <v>47</v>
      </c>
      <c r="H12" s="13" t="s">
        <v>48</v>
      </c>
      <c r="I12" s="19" t="s">
        <v>118</v>
      </c>
      <c r="J12" s="19" t="s">
        <v>67</v>
      </c>
      <c r="K12" s="19" t="s">
        <v>59</v>
      </c>
      <c r="L12" s="20">
        <v>3</v>
      </c>
      <c r="M12" s="13" t="s">
        <v>51</v>
      </c>
      <c r="N12" s="13" t="s">
        <v>51</v>
      </c>
      <c r="O12" s="13" t="s">
        <v>52</v>
      </c>
      <c r="P12" s="13" t="s">
        <v>61</v>
      </c>
      <c r="Q12" s="13">
        <v>30</v>
      </c>
      <c r="R12" s="13">
        <f>IFERROR((J12 - J11)*24,0)</f>
        <v>3</v>
      </c>
      <c r="S12" s="13">
        <f t="shared" si="0"/>
        <v>10</v>
      </c>
      <c r="T12" s="13" t="s">
        <v>54</v>
      </c>
      <c r="U12" s="13">
        <v>0</v>
      </c>
      <c r="V12" s="13">
        <v>0</v>
      </c>
      <c r="W12" s="13">
        <v>0</v>
      </c>
      <c r="X12" s="13">
        <v>0</v>
      </c>
      <c r="Y12" s="13">
        <f t="shared" si="1"/>
        <v>0</v>
      </c>
      <c r="Z12" s="13">
        <f t="shared" si="2"/>
        <v>0</v>
      </c>
      <c r="AA12" s="13">
        <v>0</v>
      </c>
      <c r="AB12" s="13">
        <f t="shared" si="5"/>
        <v>0</v>
      </c>
      <c r="AC12" s="13">
        <v>1.1000000000000001</v>
      </c>
      <c r="AD12" s="13">
        <v>0.12</v>
      </c>
      <c r="AE12" s="13">
        <v>0.01</v>
      </c>
      <c r="AF12" s="13">
        <v>0</v>
      </c>
      <c r="AG12" s="13">
        <v>0</v>
      </c>
      <c r="AH12" s="13">
        <v>0</v>
      </c>
      <c r="AI12" s="13">
        <f t="shared" si="3"/>
        <v>1.2300000000000002</v>
      </c>
      <c r="AJ12" s="13">
        <f t="shared" si="4"/>
        <v>9.8400000000000016</v>
      </c>
      <c r="AK12" s="13">
        <v>0</v>
      </c>
      <c r="AL12" s="13">
        <f t="shared" si="6"/>
        <v>-5.3500000000000005</v>
      </c>
      <c r="AM12" s="13">
        <v>0</v>
      </c>
      <c r="AN12" s="13">
        <v>0</v>
      </c>
      <c r="AO12" s="13" t="s">
        <v>52</v>
      </c>
      <c r="AP12" s="13">
        <v>0</v>
      </c>
      <c r="AQ12" s="13">
        <v>0</v>
      </c>
      <c r="AR12" s="13" t="s">
        <v>52</v>
      </c>
      <c r="AS12" s="13" t="s">
        <v>51</v>
      </c>
      <c r="AT12" s="13">
        <v>7</v>
      </c>
      <c r="AU12" s="13"/>
      <c r="AV12" s="13"/>
    </row>
    <row r="13" spans="1:80" x14ac:dyDescent="0.3">
      <c r="A13" s="13"/>
      <c r="B13" s="13"/>
      <c r="C13" s="13"/>
      <c r="D13" s="13">
        <v>2025</v>
      </c>
      <c r="E13" s="13">
        <v>17</v>
      </c>
      <c r="F13" s="13">
        <v>3</v>
      </c>
      <c r="G13" s="13" t="s">
        <v>47</v>
      </c>
      <c r="H13" s="13" t="s">
        <v>48</v>
      </c>
      <c r="I13" s="19" t="s">
        <v>118</v>
      </c>
      <c r="J13" s="19" t="s">
        <v>68</v>
      </c>
      <c r="K13" s="19" t="s">
        <v>69</v>
      </c>
      <c r="L13" s="20">
        <v>3.8</v>
      </c>
      <c r="M13" s="13" t="s">
        <v>51</v>
      </c>
      <c r="N13" s="13" t="s">
        <v>51</v>
      </c>
      <c r="O13" s="13" t="s">
        <v>52</v>
      </c>
      <c r="P13" s="13" t="s">
        <v>61</v>
      </c>
      <c r="Q13" s="13">
        <v>38</v>
      </c>
      <c r="R13" s="13">
        <f>IFERROR((J13 - J12)*24,0)</f>
        <v>3.7999999999883585</v>
      </c>
      <c r="S13" s="13">
        <f t="shared" si="0"/>
        <v>10.000000000030635</v>
      </c>
      <c r="T13" s="13" t="s">
        <v>70</v>
      </c>
      <c r="U13" s="13">
        <v>0</v>
      </c>
      <c r="V13" s="13">
        <v>0</v>
      </c>
      <c r="W13" s="13">
        <v>0</v>
      </c>
      <c r="X13" s="13">
        <v>0</v>
      </c>
      <c r="Y13" s="13">
        <f t="shared" si="1"/>
        <v>0</v>
      </c>
      <c r="Z13" s="13">
        <f t="shared" si="2"/>
        <v>0</v>
      </c>
      <c r="AA13" s="13">
        <v>0</v>
      </c>
      <c r="AB13" s="13">
        <f t="shared" si="5"/>
        <v>0</v>
      </c>
      <c r="AC13" s="13">
        <v>1.81</v>
      </c>
      <c r="AD13" s="13">
        <v>0.21</v>
      </c>
      <c r="AE13" s="13">
        <v>0.01</v>
      </c>
      <c r="AF13" s="13">
        <v>0</v>
      </c>
      <c r="AG13" s="13">
        <v>0</v>
      </c>
      <c r="AH13" s="13">
        <v>0</v>
      </c>
      <c r="AI13" s="13">
        <f t="shared" si="3"/>
        <v>2.0299999999999998</v>
      </c>
      <c r="AJ13" s="13">
        <f t="shared" si="4"/>
        <v>12.821052631618224</v>
      </c>
      <c r="AK13" s="13">
        <v>0</v>
      </c>
      <c r="AL13" s="13">
        <f t="shared" si="6"/>
        <v>-7.3800000000000008</v>
      </c>
      <c r="AM13" s="13">
        <v>0</v>
      </c>
      <c r="AN13" s="13">
        <v>0</v>
      </c>
      <c r="AO13" s="13" t="s">
        <v>52</v>
      </c>
      <c r="AP13" s="13">
        <v>0</v>
      </c>
      <c r="AQ13" s="13">
        <v>0</v>
      </c>
      <c r="AR13" s="13" t="s">
        <v>52</v>
      </c>
      <c r="AS13" s="13" t="s">
        <v>51</v>
      </c>
      <c r="AT13" s="13">
        <v>7</v>
      </c>
      <c r="AU13" s="13"/>
      <c r="AV13" s="13"/>
    </row>
    <row r="14" spans="1:80" x14ac:dyDescent="0.3">
      <c r="A14" s="13"/>
      <c r="B14" s="13"/>
      <c r="C14" s="13"/>
      <c r="D14" s="13">
        <v>2025</v>
      </c>
      <c r="E14" s="13">
        <v>17</v>
      </c>
      <c r="F14" s="13">
        <v>3</v>
      </c>
      <c r="G14" s="13" t="s">
        <v>47</v>
      </c>
      <c r="H14" s="13" t="s">
        <v>48</v>
      </c>
      <c r="I14" s="19" t="s">
        <v>118</v>
      </c>
      <c r="J14" s="19" t="s">
        <v>71</v>
      </c>
      <c r="K14" s="19" t="s">
        <v>72</v>
      </c>
      <c r="L14" s="20">
        <v>5.2</v>
      </c>
      <c r="M14" s="13" t="s">
        <v>51</v>
      </c>
      <c r="N14" s="13" t="s">
        <v>60</v>
      </c>
      <c r="O14" s="13" t="s">
        <v>52</v>
      </c>
      <c r="P14" s="13" t="s">
        <v>53</v>
      </c>
      <c r="Q14" s="13">
        <v>0</v>
      </c>
      <c r="R14" s="13">
        <f>IFERROR((J14 - J13)*24,0)</f>
        <v>5.2000000000116415</v>
      </c>
      <c r="S14" s="13">
        <f t="shared" si="0"/>
        <v>0</v>
      </c>
      <c r="T14" s="13" t="s">
        <v>73</v>
      </c>
      <c r="U14" s="13">
        <v>0</v>
      </c>
      <c r="V14" s="13">
        <v>0</v>
      </c>
      <c r="W14" s="13">
        <v>0</v>
      </c>
      <c r="X14" s="13">
        <v>0</v>
      </c>
      <c r="Y14" s="13">
        <f t="shared" si="1"/>
        <v>0</v>
      </c>
      <c r="Z14" s="13">
        <f t="shared" si="2"/>
        <v>0</v>
      </c>
      <c r="AA14" s="13">
        <v>0</v>
      </c>
      <c r="AB14" s="13">
        <f t="shared" si="5"/>
        <v>0</v>
      </c>
      <c r="AC14" s="13">
        <v>0</v>
      </c>
      <c r="AD14" s="13">
        <v>0.26</v>
      </c>
      <c r="AE14" s="13">
        <v>0.03</v>
      </c>
      <c r="AF14" s="13">
        <v>0</v>
      </c>
      <c r="AG14" s="13">
        <v>0</v>
      </c>
      <c r="AH14" s="13">
        <v>0</v>
      </c>
      <c r="AI14" s="13">
        <f t="shared" si="3"/>
        <v>0.29000000000000004</v>
      </c>
      <c r="AJ14" s="13">
        <f t="shared" si="4"/>
        <v>1.3384615384585421</v>
      </c>
      <c r="AK14" s="13">
        <v>0</v>
      </c>
      <c r="AL14" s="13">
        <f t="shared" si="6"/>
        <v>-7.6700000000000008</v>
      </c>
      <c r="AM14" s="13">
        <v>0</v>
      </c>
      <c r="AN14" s="13">
        <v>0</v>
      </c>
      <c r="AO14" s="13" t="s">
        <v>52</v>
      </c>
      <c r="AP14" s="13">
        <v>0</v>
      </c>
      <c r="AQ14" s="13">
        <v>0</v>
      </c>
      <c r="AR14" s="13" t="s">
        <v>52</v>
      </c>
      <c r="AS14" s="13" t="s">
        <v>51</v>
      </c>
      <c r="AT14" s="13">
        <v>7</v>
      </c>
      <c r="AU14" s="13"/>
      <c r="AV14" s="13"/>
    </row>
    <row r="15" spans="1:80" x14ac:dyDescent="0.3">
      <c r="A15" s="13"/>
      <c r="B15" s="13"/>
      <c r="C15" s="13"/>
      <c r="D15" s="13">
        <v>2025</v>
      </c>
      <c r="E15" s="13">
        <v>17</v>
      </c>
      <c r="F15" s="13">
        <v>3</v>
      </c>
      <c r="G15" s="13" t="s">
        <v>47</v>
      </c>
      <c r="H15" s="13" t="s">
        <v>48</v>
      </c>
      <c r="I15" s="19" t="s">
        <v>118</v>
      </c>
      <c r="J15" s="19" t="s">
        <v>74</v>
      </c>
      <c r="K15" s="19" t="s">
        <v>75</v>
      </c>
      <c r="L15" s="20">
        <v>2.5</v>
      </c>
      <c r="M15" s="13" t="s">
        <v>60</v>
      </c>
      <c r="N15" s="13" t="s">
        <v>51</v>
      </c>
      <c r="O15" s="13" t="s">
        <v>52</v>
      </c>
      <c r="P15" s="13" t="s">
        <v>61</v>
      </c>
      <c r="Q15" s="13">
        <v>25</v>
      </c>
      <c r="R15" s="13">
        <f>IFERROR((J15 - J14)*24,0)</f>
        <v>2.4999999999417923</v>
      </c>
      <c r="S15" s="13">
        <f t="shared" si="0"/>
        <v>10.000000000232831</v>
      </c>
      <c r="T15" s="13" t="s">
        <v>73</v>
      </c>
      <c r="U15" s="13">
        <v>0</v>
      </c>
      <c r="V15" s="13">
        <v>0</v>
      </c>
      <c r="W15" s="13">
        <v>0</v>
      </c>
      <c r="X15" s="13">
        <v>0</v>
      </c>
      <c r="Y15" s="13">
        <f t="shared" si="1"/>
        <v>0</v>
      </c>
      <c r="Z15" s="13">
        <f t="shared" si="2"/>
        <v>0</v>
      </c>
      <c r="AA15" s="13">
        <v>0</v>
      </c>
      <c r="AB15" s="13">
        <f t="shared" si="5"/>
        <v>0</v>
      </c>
      <c r="AC15" s="13">
        <v>0.95</v>
      </c>
      <c r="AD15" s="13">
        <v>0.1</v>
      </c>
      <c r="AE15" s="13">
        <v>0.01</v>
      </c>
      <c r="AF15" s="13">
        <v>0</v>
      </c>
      <c r="AG15" s="13">
        <v>0</v>
      </c>
      <c r="AH15" s="13">
        <v>0</v>
      </c>
      <c r="AI15" s="13">
        <f t="shared" si="3"/>
        <v>1.06</v>
      </c>
      <c r="AJ15" s="13">
        <f t="shared" si="4"/>
        <v>10.176000000236929</v>
      </c>
      <c r="AK15" s="13">
        <v>0</v>
      </c>
      <c r="AL15" s="13">
        <f t="shared" si="6"/>
        <v>-8.73</v>
      </c>
      <c r="AM15" s="13">
        <v>0</v>
      </c>
      <c r="AN15" s="13">
        <v>0</v>
      </c>
      <c r="AO15" s="13" t="s">
        <v>52</v>
      </c>
      <c r="AP15" s="13">
        <v>0</v>
      </c>
      <c r="AQ15" s="13">
        <v>0</v>
      </c>
      <c r="AR15" s="13" t="s">
        <v>52</v>
      </c>
      <c r="AS15" s="13" t="s">
        <v>60</v>
      </c>
      <c r="AT15" s="13">
        <v>7</v>
      </c>
      <c r="AU15" s="13"/>
      <c r="AV15" s="13"/>
    </row>
    <row r="16" spans="1:80" x14ac:dyDescent="0.3">
      <c r="A16" s="13"/>
      <c r="B16" s="13"/>
      <c r="C16" s="13"/>
      <c r="D16" s="13">
        <v>2025</v>
      </c>
      <c r="E16" s="13">
        <v>17</v>
      </c>
      <c r="F16" s="13">
        <v>3</v>
      </c>
      <c r="G16" s="13" t="s">
        <v>47</v>
      </c>
      <c r="H16" s="13" t="s">
        <v>48</v>
      </c>
      <c r="I16" s="19" t="s">
        <v>118</v>
      </c>
      <c r="J16" s="19" t="s">
        <v>76</v>
      </c>
      <c r="K16" s="19" t="s">
        <v>50</v>
      </c>
      <c r="L16" s="20">
        <v>8.5</v>
      </c>
      <c r="M16" s="13" t="s">
        <v>51</v>
      </c>
      <c r="N16" s="13" t="s">
        <v>51</v>
      </c>
      <c r="O16" s="13" t="s">
        <v>52</v>
      </c>
      <c r="P16" s="13" t="s">
        <v>53</v>
      </c>
      <c r="Q16" s="13">
        <v>0</v>
      </c>
      <c r="R16" s="13">
        <f>IFERROR((J16 - J15)*24,0)</f>
        <v>8.5000000001164153</v>
      </c>
      <c r="S16" s="13">
        <f t="shared" si="0"/>
        <v>0</v>
      </c>
      <c r="T16" s="13" t="s">
        <v>77</v>
      </c>
      <c r="U16" s="13">
        <v>0</v>
      </c>
      <c r="V16" s="13">
        <v>0</v>
      </c>
      <c r="W16" s="13">
        <v>0</v>
      </c>
      <c r="X16" s="13">
        <v>0</v>
      </c>
      <c r="Y16" s="13">
        <f t="shared" si="1"/>
        <v>0</v>
      </c>
      <c r="Z16" s="13">
        <f t="shared" si="2"/>
        <v>0</v>
      </c>
      <c r="AA16" s="13">
        <v>0</v>
      </c>
      <c r="AB16" s="13">
        <f t="shared" si="5"/>
        <v>0</v>
      </c>
      <c r="AC16" s="13">
        <v>0</v>
      </c>
      <c r="AD16" s="13">
        <v>0.36</v>
      </c>
      <c r="AE16" s="13">
        <v>0.05</v>
      </c>
      <c r="AF16" s="13">
        <v>0</v>
      </c>
      <c r="AG16" s="13">
        <v>0</v>
      </c>
      <c r="AH16" s="13">
        <v>0</v>
      </c>
      <c r="AI16" s="13">
        <f t="shared" si="3"/>
        <v>0.41</v>
      </c>
      <c r="AJ16" s="13">
        <f t="shared" si="4"/>
        <v>1.1576470588076744</v>
      </c>
      <c r="AK16" s="13">
        <v>0</v>
      </c>
      <c r="AL16" s="13">
        <f t="shared" si="6"/>
        <v>-9.14</v>
      </c>
      <c r="AM16" s="13">
        <v>0</v>
      </c>
      <c r="AN16" s="13">
        <v>0</v>
      </c>
      <c r="AO16" s="13" t="s">
        <v>52</v>
      </c>
      <c r="AP16" s="13">
        <v>0</v>
      </c>
      <c r="AQ16" s="13">
        <v>0</v>
      </c>
      <c r="AR16" s="13" t="s">
        <v>52</v>
      </c>
      <c r="AS16" s="13" t="s">
        <v>51</v>
      </c>
      <c r="AT16" s="13">
        <v>7</v>
      </c>
      <c r="AU16" s="13"/>
      <c r="AV16" s="13"/>
    </row>
    <row r="17" spans="1:48" x14ac:dyDescent="0.3">
      <c r="A17" s="13"/>
      <c r="B17" s="13"/>
      <c r="C17" s="13"/>
      <c r="D17" s="13">
        <v>2025</v>
      </c>
      <c r="E17" s="13">
        <v>17</v>
      </c>
      <c r="F17" s="13">
        <v>3</v>
      </c>
      <c r="G17" s="13" t="s">
        <v>47</v>
      </c>
      <c r="H17" s="13" t="s">
        <v>48</v>
      </c>
      <c r="I17" s="19" t="s">
        <v>118</v>
      </c>
      <c r="J17" s="19" t="s">
        <v>78</v>
      </c>
      <c r="K17" s="19" t="s">
        <v>59</v>
      </c>
      <c r="L17" s="20">
        <v>4</v>
      </c>
      <c r="M17" s="13" t="s">
        <v>51</v>
      </c>
      <c r="N17" s="13" t="s">
        <v>51</v>
      </c>
      <c r="O17" s="13" t="s">
        <v>52</v>
      </c>
      <c r="P17" s="13" t="s">
        <v>53</v>
      </c>
      <c r="Q17" s="13">
        <v>0</v>
      </c>
      <c r="R17" s="13">
        <f>IFERROR((J17 - J16)*24,0)</f>
        <v>3.9999999999417923</v>
      </c>
      <c r="S17" s="13">
        <f t="shared" si="0"/>
        <v>0</v>
      </c>
      <c r="T17" s="13" t="s">
        <v>77</v>
      </c>
      <c r="U17" s="13">
        <v>0</v>
      </c>
      <c r="V17" s="13">
        <v>0</v>
      </c>
      <c r="W17" s="13">
        <v>0</v>
      </c>
      <c r="X17" s="13">
        <v>0</v>
      </c>
      <c r="Y17" s="13">
        <f t="shared" si="1"/>
        <v>0</v>
      </c>
      <c r="Z17" s="13">
        <f t="shared" si="2"/>
        <v>0</v>
      </c>
      <c r="AA17" s="13">
        <v>0</v>
      </c>
      <c r="AB17" s="13">
        <f t="shared" si="5"/>
        <v>0</v>
      </c>
      <c r="AC17" s="13">
        <v>0</v>
      </c>
      <c r="AD17" s="13">
        <v>0.14000000000000001</v>
      </c>
      <c r="AE17" s="13">
        <v>0.02</v>
      </c>
      <c r="AF17" s="13">
        <v>0</v>
      </c>
      <c r="AG17" s="13">
        <v>0</v>
      </c>
      <c r="AH17" s="13">
        <v>0</v>
      </c>
      <c r="AI17" s="13">
        <f t="shared" si="3"/>
        <v>0.16</v>
      </c>
      <c r="AJ17" s="13">
        <f t="shared" si="4"/>
        <v>0.96000000001396979</v>
      </c>
      <c r="AK17" s="13">
        <v>0</v>
      </c>
      <c r="AL17" s="13">
        <f t="shared" si="6"/>
        <v>-9.3000000000000007</v>
      </c>
      <c r="AM17" s="13">
        <v>0</v>
      </c>
      <c r="AN17" s="13">
        <v>0</v>
      </c>
      <c r="AO17" s="13" t="s">
        <v>52</v>
      </c>
      <c r="AP17" s="13">
        <v>0</v>
      </c>
      <c r="AQ17" s="13">
        <v>0</v>
      </c>
      <c r="AR17" s="13" t="s">
        <v>52</v>
      </c>
      <c r="AS17" s="13" t="s">
        <v>51</v>
      </c>
      <c r="AT17" s="13">
        <v>7</v>
      </c>
      <c r="AU17" s="13"/>
      <c r="AV17" s="13"/>
    </row>
    <row r="18" spans="1:48" x14ac:dyDescent="0.3">
      <c r="A18" s="13"/>
      <c r="B18" s="13"/>
      <c r="C18" s="13"/>
      <c r="D18" s="13">
        <v>2025</v>
      </c>
      <c r="E18" s="13">
        <v>17</v>
      </c>
      <c r="F18" s="13">
        <v>3</v>
      </c>
      <c r="G18" s="13" t="s">
        <v>47</v>
      </c>
      <c r="H18" s="13" t="s">
        <v>48</v>
      </c>
      <c r="I18" s="19" t="s">
        <v>118</v>
      </c>
      <c r="J18" s="19" t="s">
        <v>79</v>
      </c>
      <c r="K18" s="19" t="s">
        <v>80</v>
      </c>
      <c r="L18" s="20">
        <v>6</v>
      </c>
      <c r="M18" s="13" t="s">
        <v>51</v>
      </c>
      <c r="N18" s="13" t="s">
        <v>60</v>
      </c>
      <c r="O18" s="13" t="s">
        <v>52</v>
      </c>
      <c r="P18" s="13" t="s">
        <v>81</v>
      </c>
      <c r="Q18" s="13">
        <v>0</v>
      </c>
      <c r="R18" s="13">
        <f>IFERROR((J18 - J17)*24,0)</f>
        <v>6</v>
      </c>
      <c r="S18" s="13">
        <f t="shared" si="0"/>
        <v>0</v>
      </c>
      <c r="T18" s="13" t="s">
        <v>52</v>
      </c>
      <c r="U18" s="13">
        <v>0</v>
      </c>
      <c r="V18" s="13">
        <v>0</v>
      </c>
      <c r="W18" s="13">
        <v>0</v>
      </c>
      <c r="X18" s="13">
        <v>0</v>
      </c>
      <c r="Y18" s="13">
        <f t="shared" si="1"/>
        <v>0</v>
      </c>
      <c r="Z18" s="13">
        <f t="shared" si="2"/>
        <v>0</v>
      </c>
      <c r="AA18" s="13">
        <v>0</v>
      </c>
      <c r="AB18" s="13">
        <f t="shared" si="5"/>
        <v>0</v>
      </c>
      <c r="AC18" s="13">
        <v>0</v>
      </c>
      <c r="AD18" s="13">
        <v>0.3</v>
      </c>
      <c r="AE18" s="13">
        <v>0.04</v>
      </c>
      <c r="AF18" s="13">
        <v>0</v>
      </c>
      <c r="AG18" s="13">
        <v>0</v>
      </c>
      <c r="AH18" s="13">
        <v>0</v>
      </c>
      <c r="AI18" s="13">
        <f t="shared" si="3"/>
        <v>0.33999999999999997</v>
      </c>
      <c r="AJ18" s="13">
        <f t="shared" si="4"/>
        <v>1.36</v>
      </c>
      <c r="AK18" s="13">
        <v>0</v>
      </c>
      <c r="AL18" s="13">
        <f t="shared" si="6"/>
        <v>-9.64</v>
      </c>
      <c r="AM18" s="13">
        <v>0</v>
      </c>
      <c r="AN18" s="13">
        <v>0</v>
      </c>
      <c r="AO18" s="13" t="s">
        <v>52</v>
      </c>
      <c r="AP18" s="13">
        <v>0</v>
      </c>
      <c r="AQ18" s="13">
        <v>0</v>
      </c>
      <c r="AR18" s="13" t="s">
        <v>52</v>
      </c>
      <c r="AS18" s="13" t="s">
        <v>51</v>
      </c>
      <c r="AT18" s="13">
        <v>7</v>
      </c>
      <c r="AU18" s="13"/>
      <c r="AV18" s="13"/>
    </row>
    <row r="19" spans="1:48" x14ac:dyDescent="0.3">
      <c r="A19" s="13"/>
      <c r="B19" s="13"/>
      <c r="C19" s="13"/>
      <c r="D19" s="13">
        <v>2025</v>
      </c>
      <c r="E19" s="13">
        <v>17</v>
      </c>
      <c r="F19" s="13">
        <v>3</v>
      </c>
      <c r="G19" s="13" t="s">
        <v>47</v>
      </c>
      <c r="H19" s="13" t="s">
        <v>48</v>
      </c>
      <c r="I19" s="19" t="s">
        <v>118</v>
      </c>
      <c r="J19" s="19" t="s">
        <v>82</v>
      </c>
      <c r="K19" s="19" t="s">
        <v>83</v>
      </c>
      <c r="L19" s="20">
        <v>5</v>
      </c>
      <c r="M19" s="13" t="s">
        <v>60</v>
      </c>
      <c r="N19" s="13" t="s">
        <v>51</v>
      </c>
      <c r="O19" s="13" t="s">
        <v>52</v>
      </c>
      <c r="P19" s="13" t="s">
        <v>84</v>
      </c>
      <c r="Q19" s="13">
        <v>45</v>
      </c>
      <c r="R19" s="13">
        <f>IFERROR((J19 - J18)*24,0)</f>
        <v>5.0000000000582077</v>
      </c>
      <c r="S19" s="13">
        <f t="shared" si="0"/>
        <v>8.9999999998952269</v>
      </c>
      <c r="T19" s="13" t="s">
        <v>54</v>
      </c>
      <c r="U19" s="13">
        <v>0</v>
      </c>
      <c r="V19" s="13">
        <v>0</v>
      </c>
      <c r="W19" s="13">
        <v>0</v>
      </c>
      <c r="X19" s="13">
        <v>0</v>
      </c>
      <c r="Y19" s="13">
        <f t="shared" si="1"/>
        <v>0</v>
      </c>
      <c r="Z19" s="13">
        <f t="shared" si="2"/>
        <v>0</v>
      </c>
      <c r="AA19" s="13">
        <v>0</v>
      </c>
      <c r="AB19" s="13">
        <f t="shared" si="5"/>
        <v>0</v>
      </c>
      <c r="AC19" s="13">
        <v>2.3199999999999998</v>
      </c>
      <c r="AD19" s="13">
        <v>0.28000000000000003</v>
      </c>
      <c r="AE19" s="13">
        <v>0.01</v>
      </c>
      <c r="AF19" s="13">
        <v>0</v>
      </c>
      <c r="AG19" s="13">
        <v>0</v>
      </c>
      <c r="AH19" s="13">
        <v>0</v>
      </c>
      <c r="AI19" s="13">
        <f t="shared" si="3"/>
        <v>2.6099999999999994</v>
      </c>
      <c r="AJ19" s="13">
        <f t="shared" si="4"/>
        <v>12.527999999854153</v>
      </c>
      <c r="AK19" s="13">
        <v>0</v>
      </c>
      <c r="AL19" s="13">
        <f t="shared" si="6"/>
        <v>-12.25</v>
      </c>
      <c r="AM19" s="13">
        <v>0</v>
      </c>
      <c r="AN19" s="13">
        <v>0</v>
      </c>
      <c r="AO19" s="13" t="s">
        <v>52</v>
      </c>
      <c r="AP19" s="13">
        <v>0</v>
      </c>
      <c r="AQ19" s="13">
        <v>0</v>
      </c>
      <c r="AR19" s="13" t="s">
        <v>52</v>
      </c>
      <c r="AS19" s="13" t="s">
        <v>60</v>
      </c>
      <c r="AT19" s="13">
        <v>7</v>
      </c>
      <c r="AU19" s="13"/>
      <c r="AV19" s="13"/>
    </row>
    <row r="20" spans="1:48" x14ac:dyDescent="0.3">
      <c r="A20" s="13"/>
      <c r="B20" s="13"/>
      <c r="C20" s="13"/>
      <c r="D20" s="13">
        <v>2025</v>
      </c>
      <c r="E20" s="13">
        <v>17</v>
      </c>
      <c r="F20" s="13">
        <v>3</v>
      </c>
      <c r="G20" s="13" t="s">
        <v>47</v>
      </c>
      <c r="H20" s="13" t="s">
        <v>48</v>
      </c>
      <c r="I20" s="19" t="s">
        <v>118</v>
      </c>
      <c r="J20" s="19" t="s">
        <v>85</v>
      </c>
      <c r="K20" s="19" t="s">
        <v>50</v>
      </c>
      <c r="L20" s="20">
        <v>9</v>
      </c>
      <c r="M20" s="13" t="s">
        <v>51</v>
      </c>
      <c r="N20" s="13" t="s">
        <v>51</v>
      </c>
      <c r="O20" s="13" t="s">
        <v>52</v>
      </c>
      <c r="P20" s="13" t="s">
        <v>53</v>
      </c>
      <c r="Q20" s="13">
        <v>0</v>
      </c>
      <c r="R20" s="13">
        <f>IFERROR((J20 - J19)*24,0)</f>
        <v>9</v>
      </c>
      <c r="S20" s="13">
        <f t="shared" si="0"/>
        <v>0</v>
      </c>
      <c r="T20" s="13" t="s">
        <v>77</v>
      </c>
      <c r="U20" s="13">
        <v>0</v>
      </c>
      <c r="V20" s="13">
        <v>0</v>
      </c>
      <c r="W20" s="13">
        <v>0</v>
      </c>
      <c r="X20" s="13">
        <v>0</v>
      </c>
      <c r="Y20" s="13">
        <f t="shared" si="1"/>
        <v>0</v>
      </c>
      <c r="Z20" s="13">
        <f t="shared" si="2"/>
        <v>0</v>
      </c>
      <c r="AA20" s="13">
        <v>0</v>
      </c>
      <c r="AB20" s="13">
        <f t="shared" si="5"/>
        <v>0</v>
      </c>
      <c r="AC20" s="13">
        <v>0</v>
      </c>
      <c r="AD20" s="13">
        <v>0.36</v>
      </c>
      <c r="AE20" s="13">
        <v>0.04</v>
      </c>
      <c r="AF20" s="13">
        <v>0</v>
      </c>
      <c r="AG20" s="13">
        <v>0</v>
      </c>
      <c r="AH20" s="13">
        <v>0</v>
      </c>
      <c r="AI20" s="13">
        <f t="shared" si="3"/>
        <v>0.39999999999999997</v>
      </c>
      <c r="AJ20" s="13">
        <f t="shared" si="4"/>
        <v>1.0666666666666667</v>
      </c>
      <c r="AK20" s="13">
        <v>0</v>
      </c>
      <c r="AL20" s="13">
        <f t="shared" si="6"/>
        <v>-12.65</v>
      </c>
      <c r="AM20" s="13">
        <v>0</v>
      </c>
      <c r="AN20" s="13">
        <v>0</v>
      </c>
      <c r="AO20" s="13" t="s">
        <v>52</v>
      </c>
      <c r="AP20" s="13">
        <v>0</v>
      </c>
      <c r="AQ20" s="13">
        <v>0</v>
      </c>
      <c r="AR20" s="13" t="s">
        <v>52</v>
      </c>
      <c r="AS20" s="13" t="s">
        <v>51</v>
      </c>
      <c r="AT20" s="13">
        <v>7</v>
      </c>
      <c r="AU20" s="13"/>
      <c r="AV20" s="13"/>
    </row>
    <row r="21" spans="1:48" x14ac:dyDescent="0.3">
      <c r="A21" s="13"/>
      <c r="B21" s="13"/>
      <c r="C21" s="13"/>
      <c r="D21" s="13">
        <v>2025</v>
      </c>
      <c r="E21" s="13">
        <v>17</v>
      </c>
      <c r="F21" s="13">
        <v>3</v>
      </c>
      <c r="G21" s="13" t="s">
        <v>47</v>
      </c>
      <c r="H21" s="13" t="s">
        <v>48</v>
      </c>
      <c r="I21" s="19" t="s">
        <v>118</v>
      </c>
      <c r="J21" s="19" t="s">
        <v>86</v>
      </c>
      <c r="K21" s="19" t="s">
        <v>59</v>
      </c>
      <c r="L21" s="20">
        <v>4</v>
      </c>
      <c r="M21" s="13" t="s">
        <v>51</v>
      </c>
      <c r="N21" s="13" t="s">
        <v>51</v>
      </c>
      <c r="O21" s="13" t="s">
        <v>52</v>
      </c>
      <c r="P21" s="13" t="s">
        <v>53</v>
      </c>
      <c r="Q21" s="13">
        <v>0</v>
      </c>
      <c r="R21" s="13">
        <f>IFERROR((J21 - J20)*24,0)</f>
        <v>3.9999999999417923</v>
      </c>
      <c r="S21" s="13">
        <f t="shared" si="0"/>
        <v>0</v>
      </c>
      <c r="T21" s="13" t="s">
        <v>77</v>
      </c>
      <c r="U21" s="13">
        <v>0</v>
      </c>
      <c r="V21" s="13">
        <v>0</v>
      </c>
      <c r="W21" s="13">
        <v>0</v>
      </c>
      <c r="X21" s="13">
        <v>0</v>
      </c>
      <c r="Y21" s="13">
        <f t="shared" si="1"/>
        <v>0</v>
      </c>
      <c r="Z21" s="13">
        <f t="shared" si="2"/>
        <v>0</v>
      </c>
      <c r="AA21" s="13">
        <v>0</v>
      </c>
      <c r="AB21" s="13">
        <f t="shared" si="5"/>
        <v>0</v>
      </c>
      <c r="AC21" s="13">
        <v>0</v>
      </c>
      <c r="AD21" s="13">
        <v>0.12</v>
      </c>
      <c r="AE21" s="13">
        <v>0.02</v>
      </c>
      <c r="AF21" s="13">
        <v>0</v>
      </c>
      <c r="AG21" s="13">
        <v>0</v>
      </c>
      <c r="AH21" s="13">
        <v>0</v>
      </c>
      <c r="AI21" s="13">
        <f t="shared" si="3"/>
        <v>0.13999999999999999</v>
      </c>
      <c r="AJ21" s="13">
        <f t="shared" si="4"/>
        <v>0.84000000001222341</v>
      </c>
      <c r="AK21" s="13">
        <v>0</v>
      </c>
      <c r="AL21" s="13">
        <f t="shared" si="6"/>
        <v>-12.790000000000001</v>
      </c>
      <c r="AM21" s="13">
        <v>0</v>
      </c>
      <c r="AN21" s="13">
        <v>0</v>
      </c>
      <c r="AO21" s="13" t="s">
        <v>52</v>
      </c>
      <c r="AP21" s="13">
        <v>0</v>
      </c>
      <c r="AQ21" s="13">
        <v>0</v>
      </c>
      <c r="AR21" s="13" t="s">
        <v>52</v>
      </c>
      <c r="AS21" s="13" t="s">
        <v>51</v>
      </c>
      <c r="AT21" s="13">
        <v>7</v>
      </c>
      <c r="AU21" s="13"/>
      <c r="AV21" s="13"/>
    </row>
    <row r="22" spans="1:48" x14ac:dyDescent="0.3">
      <c r="D22">
        <v>2024</v>
      </c>
      <c r="E22">
        <v>17</v>
      </c>
      <c r="F22">
        <v>3</v>
      </c>
      <c r="G22" t="s">
        <v>47</v>
      </c>
      <c r="H22" t="s">
        <v>48</v>
      </c>
      <c r="I22" s="5" t="s">
        <v>118</v>
      </c>
      <c r="J22" s="5" t="s">
        <v>87</v>
      </c>
      <c r="K22" s="5" t="s">
        <v>88</v>
      </c>
      <c r="L22" s="4">
        <v>7.2</v>
      </c>
      <c r="M22" t="s">
        <v>51</v>
      </c>
      <c r="N22" t="s">
        <v>51</v>
      </c>
      <c r="O22" t="s">
        <v>52</v>
      </c>
      <c r="P22" t="s">
        <v>89</v>
      </c>
      <c r="Q22">
        <v>0</v>
      </c>
      <c r="R22">
        <f>IFERROR((J22 - J21)*24,0)</f>
        <v>7.2000000000698492</v>
      </c>
      <c r="S22">
        <f t="shared" si="0"/>
        <v>0</v>
      </c>
      <c r="T22" t="s">
        <v>90</v>
      </c>
      <c r="U22">
        <v>0</v>
      </c>
      <c r="V22">
        <v>0</v>
      </c>
      <c r="W22">
        <v>0</v>
      </c>
      <c r="X22">
        <v>0</v>
      </c>
      <c r="Y22">
        <f t="shared" si="1"/>
        <v>0</v>
      </c>
      <c r="Z22">
        <f t="shared" si="2"/>
        <v>0</v>
      </c>
      <c r="AA22">
        <v>0</v>
      </c>
      <c r="AB22">
        <f t="shared" si="5"/>
        <v>0</v>
      </c>
      <c r="AC22">
        <v>0</v>
      </c>
      <c r="AD22">
        <v>0.28999999999999998</v>
      </c>
      <c r="AE22">
        <v>0.05</v>
      </c>
      <c r="AF22">
        <v>0</v>
      </c>
      <c r="AG22">
        <v>0</v>
      </c>
      <c r="AH22">
        <v>0</v>
      </c>
      <c r="AI22">
        <f t="shared" si="3"/>
        <v>0.33999999999999997</v>
      </c>
      <c r="AJ22">
        <f t="shared" si="4"/>
        <v>1.1333333333223385</v>
      </c>
      <c r="AK22">
        <v>0</v>
      </c>
      <c r="AL22">
        <f t="shared" si="6"/>
        <v>-13.13</v>
      </c>
      <c r="AM22">
        <v>0</v>
      </c>
      <c r="AN22">
        <v>0</v>
      </c>
      <c r="AO22" t="s">
        <v>52</v>
      </c>
      <c r="AP22">
        <v>0</v>
      </c>
      <c r="AQ22">
        <v>0</v>
      </c>
      <c r="AR22" t="s">
        <v>52</v>
      </c>
      <c r="AS22" t="s">
        <v>51</v>
      </c>
      <c r="AT22">
        <v>7</v>
      </c>
    </row>
    <row r="23" spans="1:48" x14ac:dyDescent="0.3">
      <c r="D23">
        <v>2024</v>
      </c>
      <c r="E23">
        <v>17</v>
      </c>
      <c r="F23">
        <v>3</v>
      </c>
      <c r="G23" t="s">
        <v>47</v>
      </c>
      <c r="H23" t="s">
        <v>48</v>
      </c>
      <c r="I23" s="5" t="s">
        <v>118</v>
      </c>
      <c r="J23" s="5" t="s">
        <v>91</v>
      </c>
      <c r="K23" s="5" t="s">
        <v>75</v>
      </c>
      <c r="L23" s="4">
        <v>4.3</v>
      </c>
      <c r="M23" t="s">
        <v>51</v>
      </c>
      <c r="N23" t="s">
        <v>51</v>
      </c>
      <c r="O23" t="s">
        <v>52</v>
      </c>
      <c r="P23" t="s">
        <v>92</v>
      </c>
      <c r="Q23">
        <v>40</v>
      </c>
      <c r="R23">
        <f>IFERROR((J23 - J22)*24,0)</f>
        <v>4.2999999998719431</v>
      </c>
      <c r="S23">
        <f t="shared" si="0"/>
        <v>9.3023255816723776</v>
      </c>
      <c r="T23" t="s">
        <v>90</v>
      </c>
      <c r="U23">
        <v>0</v>
      </c>
      <c r="V23">
        <v>0</v>
      </c>
      <c r="W23">
        <v>0</v>
      </c>
      <c r="X23">
        <v>0</v>
      </c>
      <c r="Y23">
        <f t="shared" si="1"/>
        <v>0</v>
      </c>
      <c r="Z23">
        <f t="shared" si="2"/>
        <v>0</v>
      </c>
      <c r="AA23">
        <v>0</v>
      </c>
      <c r="AB23">
        <f t="shared" si="5"/>
        <v>0</v>
      </c>
      <c r="AC23">
        <v>2.09</v>
      </c>
      <c r="AD23">
        <v>0.2</v>
      </c>
      <c r="AE23">
        <v>0.01</v>
      </c>
      <c r="AF23">
        <v>0</v>
      </c>
      <c r="AG23">
        <v>0</v>
      </c>
      <c r="AH23">
        <v>0</v>
      </c>
      <c r="AI23">
        <f t="shared" si="3"/>
        <v>2.2999999999999998</v>
      </c>
      <c r="AJ23">
        <f t="shared" si="4"/>
        <v>12.837209302707882</v>
      </c>
      <c r="AK23">
        <v>0</v>
      </c>
      <c r="AL23">
        <f t="shared" si="6"/>
        <v>-15.43</v>
      </c>
      <c r="AM23">
        <v>0</v>
      </c>
      <c r="AN23">
        <v>0</v>
      </c>
      <c r="AO23" t="s">
        <v>52</v>
      </c>
      <c r="AP23">
        <v>0</v>
      </c>
      <c r="AQ23">
        <v>0</v>
      </c>
      <c r="AR23" t="s">
        <v>52</v>
      </c>
      <c r="AS23" t="s">
        <v>51</v>
      </c>
      <c r="AT23">
        <v>7</v>
      </c>
    </row>
    <row r="24" spans="1:48" x14ac:dyDescent="0.3">
      <c r="D24">
        <v>2024</v>
      </c>
      <c r="E24">
        <v>17</v>
      </c>
      <c r="F24">
        <v>3</v>
      </c>
      <c r="G24" t="s">
        <v>47</v>
      </c>
      <c r="H24" t="s">
        <v>48</v>
      </c>
      <c r="I24" s="5" t="s">
        <v>118</v>
      </c>
      <c r="J24" s="5" t="s">
        <v>93</v>
      </c>
      <c r="K24" s="5" t="s">
        <v>50</v>
      </c>
      <c r="L24" s="4">
        <v>8.5</v>
      </c>
      <c r="M24" t="s">
        <v>51</v>
      </c>
      <c r="N24" t="s">
        <v>60</v>
      </c>
      <c r="O24" t="s">
        <v>52</v>
      </c>
      <c r="P24" t="s">
        <v>53</v>
      </c>
      <c r="Q24">
        <v>0</v>
      </c>
      <c r="R24">
        <f>IFERROR((J24 - J23)*24,0)</f>
        <v>8.5000000001164153</v>
      </c>
      <c r="S24">
        <f t="shared" si="0"/>
        <v>0</v>
      </c>
      <c r="T24" t="s">
        <v>94</v>
      </c>
      <c r="U24">
        <v>0</v>
      </c>
      <c r="V24">
        <v>0</v>
      </c>
      <c r="W24">
        <v>0</v>
      </c>
      <c r="X24">
        <v>0</v>
      </c>
      <c r="Y24">
        <f t="shared" si="1"/>
        <v>0</v>
      </c>
      <c r="Z24">
        <f t="shared" si="2"/>
        <v>0</v>
      </c>
      <c r="AA24">
        <v>0</v>
      </c>
      <c r="AB24">
        <f t="shared" si="5"/>
        <v>0</v>
      </c>
      <c r="AC24">
        <v>0</v>
      </c>
      <c r="AD24">
        <v>0.23</v>
      </c>
      <c r="AE24">
        <v>0.03</v>
      </c>
      <c r="AF24">
        <v>0</v>
      </c>
      <c r="AG24">
        <v>0</v>
      </c>
      <c r="AH24">
        <v>0</v>
      </c>
      <c r="AI24">
        <f t="shared" si="3"/>
        <v>0.26</v>
      </c>
      <c r="AJ24">
        <f t="shared" si="4"/>
        <v>0.73411764704876914</v>
      </c>
      <c r="AK24">
        <v>0</v>
      </c>
      <c r="AL24">
        <f t="shared" si="6"/>
        <v>-15.69</v>
      </c>
      <c r="AM24">
        <v>0</v>
      </c>
      <c r="AN24">
        <v>0</v>
      </c>
      <c r="AO24" t="s">
        <v>52</v>
      </c>
      <c r="AP24">
        <v>0</v>
      </c>
      <c r="AQ24">
        <v>0</v>
      </c>
      <c r="AR24" t="s">
        <v>52</v>
      </c>
      <c r="AS24" t="s">
        <v>51</v>
      </c>
      <c r="AT24">
        <v>7</v>
      </c>
    </row>
    <row r="25" spans="1:48" x14ac:dyDescent="0.3">
      <c r="A25">
        <v>916</v>
      </c>
      <c r="B25">
        <v>2229</v>
      </c>
      <c r="C25">
        <v>27270</v>
      </c>
      <c r="D25">
        <v>2024</v>
      </c>
      <c r="E25">
        <v>17</v>
      </c>
      <c r="F25">
        <v>3</v>
      </c>
      <c r="G25" t="s">
        <v>47</v>
      </c>
      <c r="H25" t="s">
        <v>48</v>
      </c>
      <c r="I25" s="5" t="s">
        <v>118</v>
      </c>
      <c r="J25" s="5" t="s">
        <v>95</v>
      </c>
      <c r="K25" s="5" t="s">
        <v>96</v>
      </c>
      <c r="L25" s="4">
        <v>1.8</v>
      </c>
      <c r="M25" t="s">
        <v>60</v>
      </c>
      <c r="N25" t="s">
        <v>60</v>
      </c>
      <c r="O25" t="s">
        <v>52</v>
      </c>
      <c r="P25" t="s">
        <v>97</v>
      </c>
      <c r="Q25">
        <v>0</v>
      </c>
      <c r="R25">
        <f>IFERROR((J25 - J24)*24,0)</f>
        <v>1.7999999999301508</v>
      </c>
      <c r="S25">
        <f t="shared" si="0"/>
        <v>0</v>
      </c>
      <c r="T25" t="s">
        <v>94</v>
      </c>
      <c r="U25">
        <v>0</v>
      </c>
      <c r="V25">
        <v>0</v>
      </c>
      <c r="W25">
        <v>0</v>
      </c>
      <c r="X25">
        <v>0</v>
      </c>
      <c r="Y25">
        <f t="shared" si="1"/>
        <v>0</v>
      </c>
      <c r="Z25">
        <f t="shared" si="2"/>
        <v>0</v>
      </c>
      <c r="AA25">
        <v>0</v>
      </c>
      <c r="AB25">
        <f t="shared" si="5"/>
        <v>0</v>
      </c>
      <c r="AC25">
        <v>0</v>
      </c>
      <c r="AD25">
        <v>0.12</v>
      </c>
      <c r="AE25">
        <v>0.02</v>
      </c>
      <c r="AF25">
        <v>0</v>
      </c>
      <c r="AG25">
        <v>0</v>
      </c>
      <c r="AH25">
        <v>0</v>
      </c>
      <c r="AI25">
        <f t="shared" si="3"/>
        <v>0.13999999999999999</v>
      </c>
      <c r="AJ25">
        <f t="shared" si="4"/>
        <v>1.8666666667391025</v>
      </c>
      <c r="AK25">
        <v>0</v>
      </c>
      <c r="AL25">
        <f t="shared" si="6"/>
        <v>-15.83</v>
      </c>
      <c r="AM25">
        <v>0</v>
      </c>
      <c r="AN25">
        <v>0</v>
      </c>
      <c r="AO25" t="s">
        <v>52</v>
      </c>
      <c r="AP25">
        <v>0</v>
      </c>
      <c r="AQ25">
        <v>0</v>
      </c>
      <c r="AR25" t="s">
        <v>52</v>
      </c>
      <c r="AS25" t="s">
        <v>60</v>
      </c>
      <c r="AT25">
        <v>7</v>
      </c>
    </row>
    <row r="26" spans="1:48" x14ac:dyDescent="0.3">
      <c r="A26">
        <v>916</v>
      </c>
      <c r="B26">
        <v>2229</v>
      </c>
      <c r="C26">
        <v>27271</v>
      </c>
      <c r="D26">
        <v>2024</v>
      </c>
      <c r="E26">
        <v>17</v>
      </c>
      <c r="F26">
        <v>3</v>
      </c>
      <c r="G26" t="s">
        <v>47</v>
      </c>
      <c r="H26" t="s">
        <v>48</v>
      </c>
      <c r="I26" s="5" t="s">
        <v>118</v>
      </c>
      <c r="J26" s="5" t="s">
        <v>98</v>
      </c>
      <c r="K26" s="5" t="s">
        <v>59</v>
      </c>
      <c r="L26" s="4">
        <v>2.2000000000000002</v>
      </c>
      <c r="M26" t="s">
        <v>60</v>
      </c>
      <c r="N26" t="s">
        <v>60</v>
      </c>
      <c r="O26" t="s">
        <v>52</v>
      </c>
      <c r="P26" t="s">
        <v>99</v>
      </c>
      <c r="Q26">
        <v>22</v>
      </c>
      <c r="R26">
        <f>IFERROR((J26 - J25)*24,0)</f>
        <v>2.2000000000116415</v>
      </c>
      <c r="S26">
        <f t="shared" si="0"/>
        <v>9.9999999999470841</v>
      </c>
      <c r="T26" t="s">
        <v>77</v>
      </c>
      <c r="U26">
        <v>0</v>
      </c>
      <c r="V26">
        <v>0</v>
      </c>
      <c r="W26">
        <v>0</v>
      </c>
      <c r="X26">
        <v>0</v>
      </c>
      <c r="Y26">
        <f t="shared" si="1"/>
        <v>0</v>
      </c>
      <c r="Z26">
        <f t="shared" si="2"/>
        <v>0</v>
      </c>
      <c r="AA26">
        <v>0</v>
      </c>
      <c r="AB26">
        <f t="shared" si="5"/>
        <v>0</v>
      </c>
      <c r="AC26">
        <v>0.53</v>
      </c>
      <c r="AD26">
        <v>0.1</v>
      </c>
      <c r="AE26">
        <v>0</v>
      </c>
      <c r="AF26">
        <v>0</v>
      </c>
      <c r="AG26">
        <v>0</v>
      </c>
      <c r="AH26">
        <v>0</v>
      </c>
      <c r="AI26">
        <f t="shared" si="3"/>
        <v>0.63</v>
      </c>
      <c r="AJ26">
        <f t="shared" si="4"/>
        <v>6.8727272726909057</v>
      </c>
      <c r="AK26">
        <v>0</v>
      </c>
      <c r="AL26">
        <f t="shared" si="6"/>
        <v>-16.46</v>
      </c>
      <c r="AM26">
        <v>0</v>
      </c>
      <c r="AN26">
        <v>0</v>
      </c>
      <c r="AO26" t="s">
        <v>52</v>
      </c>
      <c r="AP26">
        <v>0</v>
      </c>
      <c r="AQ26">
        <v>0</v>
      </c>
      <c r="AR26" t="s">
        <v>52</v>
      </c>
      <c r="AS26" t="s">
        <v>60</v>
      </c>
      <c r="AT26">
        <v>7</v>
      </c>
    </row>
    <row r="27" spans="1:48" x14ac:dyDescent="0.3">
      <c r="A27">
        <v>916</v>
      </c>
      <c r="B27">
        <v>2229</v>
      </c>
      <c r="C27">
        <v>27272</v>
      </c>
      <c r="D27">
        <v>2024</v>
      </c>
      <c r="E27">
        <v>17</v>
      </c>
      <c r="F27">
        <v>3</v>
      </c>
      <c r="G27" t="s">
        <v>47</v>
      </c>
      <c r="H27" t="s">
        <v>48</v>
      </c>
      <c r="I27" s="5" t="s">
        <v>118</v>
      </c>
      <c r="J27" s="5" t="s">
        <v>100</v>
      </c>
      <c r="K27" s="5" t="s">
        <v>101</v>
      </c>
      <c r="L27" s="4">
        <v>4.8</v>
      </c>
      <c r="M27" t="s">
        <v>60</v>
      </c>
      <c r="N27" t="s">
        <v>104</v>
      </c>
      <c r="O27" t="s">
        <v>52</v>
      </c>
      <c r="P27" t="s">
        <v>102</v>
      </c>
      <c r="Q27">
        <v>22</v>
      </c>
      <c r="R27">
        <f>IFERROR((J27 - J26)*24,0)</f>
        <v>4.7999999999301508</v>
      </c>
      <c r="S27">
        <f t="shared" si="0"/>
        <v>4.5833333334000299</v>
      </c>
      <c r="T27" t="s">
        <v>77</v>
      </c>
      <c r="U27">
        <v>0</v>
      </c>
      <c r="V27">
        <v>0</v>
      </c>
      <c r="W27">
        <v>0</v>
      </c>
      <c r="X27">
        <v>0</v>
      </c>
      <c r="Y27">
        <f t="shared" si="1"/>
        <v>0</v>
      </c>
      <c r="Z27">
        <f t="shared" si="2"/>
        <v>0</v>
      </c>
      <c r="AA27">
        <v>0</v>
      </c>
      <c r="AB27">
        <f t="shared" si="5"/>
        <v>0</v>
      </c>
      <c r="AC27">
        <v>0.44</v>
      </c>
      <c r="AD27">
        <v>0.3</v>
      </c>
      <c r="AE27">
        <v>1.1000000000000001</v>
      </c>
      <c r="AF27">
        <v>0</v>
      </c>
      <c r="AG27">
        <v>0</v>
      </c>
      <c r="AH27">
        <v>0</v>
      </c>
      <c r="AI27">
        <f t="shared" si="3"/>
        <v>1.84</v>
      </c>
      <c r="AJ27">
        <f t="shared" si="4"/>
        <v>9.200000000133878</v>
      </c>
      <c r="AK27">
        <v>0</v>
      </c>
      <c r="AL27">
        <f t="shared" si="6"/>
        <v>-18.3</v>
      </c>
      <c r="AM27">
        <v>0</v>
      </c>
      <c r="AN27">
        <v>0</v>
      </c>
      <c r="AO27" t="s">
        <v>52</v>
      </c>
      <c r="AP27">
        <v>0</v>
      </c>
      <c r="AQ27">
        <v>0</v>
      </c>
      <c r="AR27" t="s">
        <v>52</v>
      </c>
      <c r="AS27" t="s">
        <v>60</v>
      </c>
      <c r="AT27">
        <v>7</v>
      </c>
    </row>
    <row r="28" spans="1:48" x14ac:dyDescent="0.3">
      <c r="A28">
        <v>916</v>
      </c>
      <c r="B28">
        <v>2229</v>
      </c>
      <c r="C28">
        <v>27273</v>
      </c>
      <c r="D28">
        <v>2024</v>
      </c>
      <c r="E28">
        <v>17</v>
      </c>
      <c r="F28">
        <v>3</v>
      </c>
      <c r="G28" t="s">
        <v>47</v>
      </c>
      <c r="H28" t="s">
        <v>48</v>
      </c>
      <c r="I28" s="5" t="s">
        <v>118</v>
      </c>
      <c r="J28" s="5" t="s">
        <v>103</v>
      </c>
      <c r="K28" s="5" t="s">
        <v>50</v>
      </c>
      <c r="L28" s="4">
        <v>15.2</v>
      </c>
      <c r="M28" t="s">
        <v>104</v>
      </c>
      <c r="N28" t="s">
        <v>60</v>
      </c>
      <c r="O28" t="s">
        <v>52</v>
      </c>
      <c r="P28" t="s">
        <v>102</v>
      </c>
      <c r="Q28">
        <v>0</v>
      </c>
      <c r="R28">
        <f>IFERROR((J28 - J27)*24,0)</f>
        <v>15.200000000128057</v>
      </c>
      <c r="S28">
        <f t="shared" si="0"/>
        <v>0</v>
      </c>
      <c r="T28" t="s">
        <v>52</v>
      </c>
      <c r="U28">
        <v>0</v>
      </c>
      <c r="V28">
        <v>0</v>
      </c>
      <c r="W28">
        <v>0</v>
      </c>
      <c r="X28">
        <v>0</v>
      </c>
      <c r="Y28">
        <f t="shared" si="1"/>
        <v>0</v>
      </c>
      <c r="Z28">
        <f t="shared" si="2"/>
        <v>0</v>
      </c>
      <c r="AA28">
        <v>0</v>
      </c>
      <c r="AB28">
        <f t="shared" si="5"/>
        <v>0</v>
      </c>
      <c r="AC28">
        <v>0</v>
      </c>
      <c r="AD28">
        <v>1.22</v>
      </c>
      <c r="AE28">
        <v>0.09</v>
      </c>
      <c r="AF28">
        <v>0</v>
      </c>
      <c r="AG28">
        <v>0</v>
      </c>
      <c r="AH28">
        <v>0</v>
      </c>
      <c r="AI28">
        <f t="shared" si="3"/>
        <v>1.31</v>
      </c>
      <c r="AJ28">
        <f t="shared" si="4"/>
        <v>2.0684210526141529</v>
      </c>
      <c r="AK28">
        <v>0</v>
      </c>
      <c r="AL28">
        <f t="shared" si="6"/>
        <v>-19.61</v>
      </c>
      <c r="AM28">
        <v>0</v>
      </c>
      <c r="AN28">
        <v>0</v>
      </c>
      <c r="AO28" t="s">
        <v>52</v>
      </c>
      <c r="AP28">
        <v>0</v>
      </c>
      <c r="AQ28">
        <v>0</v>
      </c>
      <c r="AR28" t="s">
        <v>52</v>
      </c>
      <c r="AS28" t="s">
        <v>104</v>
      </c>
      <c r="AT28">
        <v>7</v>
      </c>
    </row>
    <row r="29" spans="1:48" x14ac:dyDescent="0.3">
      <c r="A29">
        <v>916</v>
      </c>
      <c r="B29">
        <v>2229</v>
      </c>
      <c r="C29">
        <v>27274</v>
      </c>
      <c r="D29">
        <v>2024</v>
      </c>
      <c r="E29">
        <v>17</v>
      </c>
      <c r="F29">
        <v>3</v>
      </c>
      <c r="G29" t="s">
        <v>47</v>
      </c>
      <c r="H29" t="s">
        <v>48</v>
      </c>
      <c r="I29" s="5" t="s">
        <v>118</v>
      </c>
      <c r="J29" s="5" t="s">
        <v>105</v>
      </c>
      <c r="K29" s="5" t="s">
        <v>106</v>
      </c>
      <c r="L29" s="4">
        <v>1.5</v>
      </c>
      <c r="M29" t="s">
        <v>60</v>
      </c>
      <c r="N29" t="s">
        <v>110</v>
      </c>
      <c r="O29" t="s">
        <v>52</v>
      </c>
      <c r="P29" t="s">
        <v>107</v>
      </c>
      <c r="Q29">
        <v>0</v>
      </c>
      <c r="R29">
        <f>IFERROR((J29 - J28)*24,0)</f>
        <v>1.5</v>
      </c>
      <c r="S29">
        <f t="shared" si="0"/>
        <v>0</v>
      </c>
      <c r="T29" t="s">
        <v>90</v>
      </c>
      <c r="U29">
        <v>0</v>
      </c>
      <c r="V29">
        <v>0</v>
      </c>
      <c r="W29">
        <v>0</v>
      </c>
      <c r="X29">
        <v>0</v>
      </c>
      <c r="Y29">
        <f t="shared" si="1"/>
        <v>0</v>
      </c>
      <c r="Z29">
        <f t="shared" si="2"/>
        <v>0</v>
      </c>
      <c r="AA29">
        <v>0</v>
      </c>
      <c r="AB29">
        <f t="shared" si="5"/>
        <v>0</v>
      </c>
      <c r="AC29">
        <v>0</v>
      </c>
      <c r="AD29">
        <v>0.16</v>
      </c>
      <c r="AE29">
        <v>0.01</v>
      </c>
      <c r="AF29">
        <v>0</v>
      </c>
      <c r="AG29">
        <v>0</v>
      </c>
      <c r="AH29">
        <v>0</v>
      </c>
      <c r="AI29">
        <f t="shared" si="3"/>
        <v>0.17</v>
      </c>
      <c r="AJ29">
        <f t="shared" si="4"/>
        <v>2.72</v>
      </c>
      <c r="AK29">
        <v>0</v>
      </c>
      <c r="AL29">
        <f t="shared" si="6"/>
        <v>-19.78</v>
      </c>
      <c r="AM29">
        <v>0</v>
      </c>
      <c r="AN29">
        <v>0</v>
      </c>
      <c r="AO29" t="s">
        <v>52</v>
      </c>
      <c r="AP29">
        <v>0</v>
      </c>
      <c r="AQ29">
        <v>0</v>
      </c>
      <c r="AR29" t="s">
        <v>52</v>
      </c>
      <c r="AS29" t="s">
        <v>60</v>
      </c>
      <c r="AT29">
        <v>7</v>
      </c>
    </row>
    <row r="30" spans="1:48" x14ac:dyDescent="0.3">
      <c r="A30">
        <v>916</v>
      </c>
      <c r="B30">
        <v>2229</v>
      </c>
      <c r="C30">
        <v>27275</v>
      </c>
      <c r="D30">
        <v>2024</v>
      </c>
      <c r="E30">
        <v>17</v>
      </c>
      <c r="F30">
        <v>3</v>
      </c>
      <c r="G30" t="s">
        <v>47</v>
      </c>
      <c r="H30" t="s">
        <v>48</v>
      </c>
      <c r="I30" s="5" t="s">
        <v>118</v>
      </c>
      <c r="J30" s="5" t="s">
        <v>108</v>
      </c>
      <c r="K30" s="5" t="s">
        <v>109</v>
      </c>
      <c r="L30" s="4">
        <v>1.8</v>
      </c>
      <c r="M30" t="s">
        <v>110</v>
      </c>
      <c r="N30" t="s">
        <v>110</v>
      </c>
      <c r="O30" t="s">
        <v>52</v>
      </c>
      <c r="P30" t="s">
        <v>111</v>
      </c>
      <c r="Q30">
        <v>0</v>
      </c>
      <c r="R30">
        <f>IFERROR((J30 - J29)*24,0)</f>
        <v>1.7999999999301508</v>
      </c>
      <c r="S30">
        <f t="shared" si="0"/>
        <v>0</v>
      </c>
      <c r="T30" t="s">
        <v>52</v>
      </c>
      <c r="U30">
        <v>0</v>
      </c>
      <c r="V30">
        <v>0</v>
      </c>
      <c r="W30">
        <v>0</v>
      </c>
      <c r="X30">
        <v>0</v>
      </c>
      <c r="Y30">
        <f t="shared" si="1"/>
        <v>0</v>
      </c>
      <c r="Z30">
        <f t="shared" si="2"/>
        <v>0</v>
      </c>
      <c r="AA30">
        <v>0</v>
      </c>
      <c r="AB30">
        <f t="shared" si="5"/>
        <v>0</v>
      </c>
      <c r="AC30">
        <v>0.04</v>
      </c>
      <c r="AD30">
        <v>0.1</v>
      </c>
      <c r="AE30">
        <v>0.01</v>
      </c>
      <c r="AF30">
        <v>0</v>
      </c>
      <c r="AG30">
        <v>0</v>
      </c>
      <c r="AH30">
        <v>0</v>
      </c>
      <c r="AI30">
        <f t="shared" si="3"/>
        <v>0.15000000000000002</v>
      </c>
      <c r="AJ30">
        <f t="shared" si="4"/>
        <v>2.0000000000776104</v>
      </c>
      <c r="AK30">
        <v>0</v>
      </c>
      <c r="AL30">
        <f t="shared" si="6"/>
        <v>-19.93</v>
      </c>
      <c r="AM30">
        <v>0</v>
      </c>
      <c r="AN30">
        <v>0</v>
      </c>
      <c r="AO30" t="s">
        <v>52</v>
      </c>
      <c r="AP30">
        <v>0</v>
      </c>
      <c r="AQ30">
        <v>0</v>
      </c>
      <c r="AR30" t="s">
        <v>52</v>
      </c>
      <c r="AS30" t="s">
        <v>110</v>
      </c>
      <c r="AT30">
        <v>7</v>
      </c>
    </row>
    <row r="31" spans="1:48" x14ac:dyDescent="0.3">
      <c r="A31">
        <v>916</v>
      </c>
      <c r="B31">
        <v>2229</v>
      </c>
      <c r="C31">
        <v>27276</v>
      </c>
      <c r="D31">
        <v>2024</v>
      </c>
      <c r="E31">
        <v>17</v>
      </c>
      <c r="F31">
        <v>3</v>
      </c>
      <c r="G31" t="s">
        <v>47</v>
      </c>
      <c r="H31" t="s">
        <v>48</v>
      </c>
      <c r="I31" s="5" t="s">
        <v>118</v>
      </c>
      <c r="J31" s="5" t="s">
        <v>112</v>
      </c>
      <c r="K31" s="5" t="s">
        <v>59</v>
      </c>
      <c r="L31" s="4">
        <v>0.7</v>
      </c>
      <c r="M31" t="s">
        <v>110</v>
      </c>
      <c r="N31" t="s">
        <v>60</v>
      </c>
      <c r="O31" t="s">
        <v>52</v>
      </c>
      <c r="P31" t="s">
        <v>113</v>
      </c>
      <c r="Q31">
        <v>0</v>
      </c>
      <c r="R31">
        <f>IFERROR((J31 - J30)*24,0)</f>
        <v>0.70000000001164153</v>
      </c>
      <c r="S31">
        <f t="shared" si="0"/>
        <v>0</v>
      </c>
      <c r="T31" t="s">
        <v>52</v>
      </c>
      <c r="U31">
        <v>0</v>
      </c>
      <c r="V31">
        <v>0</v>
      </c>
      <c r="W31">
        <v>0</v>
      </c>
      <c r="X31">
        <v>0</v>
      </c>
      <c r="Y31">
        <f t="shared" si="1"/>
        <v>0</v>
      </c>
      <c r="Z31">
        <f t="shared" si="2"/>
        <v>0</v>
      </c>
      <c r="AA31">
        <v>0</v>
      </c>
      <c r="AB31">
        <f t="shared" si="5"/>
        <v>0</v>
      </c>
      <c r="AC31">
        <v>0</v>
      </c>
      <c r="AD31">
        <v>0.02</v>
      </c>
      <c r="AE31">
        <v>0.01</v>
      </c>
      <c r="AF31">
        <v>0</v>
      </c>
      <c r="AG31">
        <v>0</v>
      </c>
      <c r="AH31">
        <v>0</v>
      </c>
      <c r="AI31">
        <f t="shared" si="3"/>
        <v>0.03</v>
      </c>
      <c r="AJ31">
        <f t="shared" si="4"/>
        <v>1.0285714285543226</v>
      </c>
      <c r="AK31">
        <v>0</v>
      </c>
      <c r="AL31">
        <f t="shared" si="6"/>
        <v>-19.96</v>
      </c>
      <c r="AM31">
        <v>0</v>
      </c>
      <c r="AN31">
        <v>0</v>
      </c>
      <c r="AO31" t="s">
        <v>52</v>
      </c>
      <c r="AP31">
        <v>0</v>
      </c>
      <c r="AQ31">
        <v>0</v>
      </c>
      <c r="AR31" t="s">
        <v>52</v>
      </c>
      <c r="AS31" t="s">
        <v>110</v>
      </c>
      <c r="AT31">
        <v>7</v>
      </c>
    </row>
    <row r="32" spans="1:48" x14ac:dyDescent="0.3">
      <c r="A32">
        <v>916</v>
      </c>
      <c r="B32">
        <v>2229</v>
      </c>
      <c r="C32">
        <v>27277</v>
      </c>
      <c r="D32">
        <v>2024</v>
      </c>
      <c r="E32">
        <v>17</v>
      </c>
      <c r="F32">
        <v>3</v>
      </c>
      <c r="G32" t="s">
        <v>47</v>
      </c>
      <c r="H32" t="s">
        <v>48</v>
      </c>
      <c r="I32" s="5" t="s">
        <v>118</v>
      </c>
      <c r="J32" s="5" t="s">
        <v>114</v>
      </c>
      <c r="K32" s="5" t="s">
        <v>115</v>
      </c>
      <c r="L32" s="4">
        <v>10</v>
      </c>
      <c r="M32" t="s">
        <v>60</v>
      </c>
      <c r="N32" t="s">
        <v>60</v>
      </c>
      <c r="O32" t="s">
        <v>52</v>
      </c>
      <c r="P32" t="s">
        <v>116</v>
      </c>
      <c r="Q32">
        <v>0</v>
      </c>
      <c r="R32">
        <f>IFERROR((J32 - J31)*24,0)</f>
        <v>9.9999999999417923</v>
      </c>
      <c r="S32">
        <f t="shared" si="0"/>
        <v>0</v>
      </c>
      <c r="T32" t="s">
        <v>117</v>
      </c>
      <c r="U32">
        <v>0</v>
      </c>
      <c r="V32">
        <v>0</v>
      </c>
      <c r="W32">
        <v>0</v>
      </c>
      <c r="X32">
        <v>0</v>
      </c>
      <c r="Y32">
        <f t="shared" si="1"/>
        <v>0</v>
      </c>
      <c r="Z32">
        <f t="shared" si="2"/>
        <v>0</v>
      </c>
      <c r="AA32">
        <v>0</v>
      </c>
      <c r="AB32">
        <f t="shared" si="5"/>
        <v>0</v>
      </c>
      <c r="AC32">
        <v>0</v>
      </c>
      <c r="AD32">
        <v>0.3</v>
      </c>
      <c r="AE32">
        <v>0.06</v>
      </c>
      <c r="AF32">
        <v>0</v>
      </c>
      <c r="AG32">
        <v>0</v>
      </c>
      <c r="AH32">
        <v>0</v>
      </c>
      <c r="AI32">
        <f t="shared" si="3"/>
        <v>0.36</v>
      </c>
      <c r="AJ32">
        <f t="shared" si="4"/>
        <v>0.86400000000502919</v>
      </c>
      <c r="AK32">
        <v>321.12</v>
      </c>
      <c r="AL32">
        <f t="shared" si="6"/>
        <v>300.8</v>
      </c>
      <c r="AM32">
        <v>0</v>
      </c>
      <c r="AN32">
        <v>0</v>
      </c>
      <c r="AO32" t="s">
        <v>52</v>
      </c>
      <c r="AP32">
        <v>0</v>
      </c>
      <c r="AQ32">
        <v>0</v>
      </c>
      <c r="AR32" t="s">
        <v>52</v>
      </c>
      <c r="AS32" t="s">
        <v>60</v>
      </c>
      <c r="AT32">
        <v>7</v>
      </c>
    </row>
    <row r="33" spans="1:46" x14ac:dyDescent="0.3">
      <c r="A33">
        <v>916</v>
      </c>
      <c r="B33">
        <v>2229</v>
      </c>
      <c r="C33">
        <v>27278</v>
      </c>
      <c r="D33">
        <v>2024</v>
      </c>
      <c r="E33">
        <v>17</v>
      </c>
      <c r="F33">
        <v>3</v>
      </c>
      <c r="G33" t="s">
        <v>47</v>
      </c>
      <c r="H33" t="s">
        <v>48</v>
      </c>
      <c r="I33" s="5" t="s">
        <v>118</v>
      </c>
      <c r="J33" s="5" t="s">
        <v>118</v>
      </c>
      <c r="K33" s="5" t="s">
        <v>83</v>
      </c>
      <c r="L33" s="4">
        <v>1</v>
      </c>
      <c r="M33" t="s">
        <v>60</v>
      </c>
      <c r="N33" t="s">
        <v>122</v>
      </c>
      <c r="O33" t="s">
        <v>123</v>
      </c>
      <c r="P33" t="s">
        <v>119</v>
      </c>
      <c r="Q33">
        <v>1.7</v>
      </c>
      <c r="R33">
        <f>IFERROR((J33 - J32)*24,0)</f>
        <v>1.0000000001164153</v>
      </c>
      <c r="S33">
        <f t="shared" si="0"/>
        <v>1.6999999998020938</v>
      </c>
      <c r="T33" t="s">
        <v>90</v>
      </c>
      <c r="U33">
        <v>0</v>
      </c>
      <c r="V33">
        <v>0</v>
      </c>
      <c r="W33">
        <v>0</v>
      </c>
      <c r="X33">
        <v>0</v>
      </c>
      <c r="Y33">
        <f t="shared" si="1"/>
        <v>0</v>
      </c>
      <c r="Z33">
        <f t="shared" si="2"/>
        <v>0</v>
      </c>
      <c r="AA33">
        <v>0</v>
      </c>
      <c r="AB33">
        <f t="shared" si="5"/>
        <v>0</v>
      </c>
      <c r="AC33">
        <v>0.11</v>
      </c>
      <c r="AD33">
        <v>0.02</v>
      </c>
      <c r="AE33">
        <v>0</v>
      </c>
      <c r="AF33">
        <v>0</v>
      </c>
      <c r="AG33">
        <v>0</v>
      </c>
      <c r="AH33">
        <v>0</v>
      </c>
      <c r="AI33">
        <f t="shared" si="3"/>
        <v>0.13</v>
      </c>
      <c r="AJ33">
        <f t="shared" si="4"/>
        <v>3.1199999996367844</v>
      </c>
      <c r="AK33">
        <v>0</v>
      </c>
      <c r="AL33">
        <f t="shared" si="6"/>
        <v>300.67</v>
      </c>
      <c r="AM33">
        <v>0</v>
      </c>
      <c r="AN33">
        <v>0</v>
      </c>
      <c r="AO33" t="s">
        <v>52</v>
      </c>
      <c r="AP33">
        <v>0</v>
      </c>
      <c r="AQ33">
        <v>0</v>
      </c>
      <c r="AR33" t="s">
        <v>52</v>
      </c>
      <c r="AS33" t="s">
        <v>60</v>
      </c>
      <c r="AT33">
        <v>7</v>
      </c>
    </row>
    <row r="34" spans="1:46" x14ac:dyDescent="0.3">
      <c r="A34">
        <v>918</v>
      </c>
      <c r="B34">
        <v>2234</v>
      </c>
      <c r="C34">
        <v>27279</v>
      </c>
      <c r="D34">
        <v>2024</v>
      </c>
      <c r="E34">
        <v>18</v>
      </c>
      <c r="F34">
        <v>1</v>
      </c>
      <c r="G34" t="s">
        <v>48</v>
      </c>
      <c r="H34" t="s">
        <v>120</v>
      </c>
      <c r="I34" s="5" t="s">
        <v>152</v>
      </c>
      <c r="J34" s="5" t="s">
        <v>121</v>
      </c>
      <c r="K34" s="5" t="s">
        <v>50</v>
      </c>
      <c r="L34" s="4">
        <v>9</v>
      </c>
      <c r="M34" t="s">
        <v>122</v>
      </c>
      <c r="N34" t="s">
        <v>122</v>
      </c>
      <c r="O34" t="s">
        <v>123</v>
      </c>
      <c r="P34" t="s">
        <v>124</v>
      </c>
      <c r="Q34">
        <v>125</v>
      </c>
      <c r="R34">
        <f>IFERROR((J34 - J33)*24,0)</f>
        <v>9</v>
      </c>
      <c r="S34">
        <f t="shared" si="0"/>
        <v>13.888888888888889</v>
      </c>
      <c r="T34" t="s">
        <v>125</v>
      </c>
      <c r="U34">
        <v>0</v>
      </c>
      <c r="V34">
        <v>0</v>
      </c>
      <c r="W34">
        <v>0</v>
      </c>
      <c r="X34">
        <v>0</v>
      </c>
      <c r="Y34">
        <f t="shared" si="1"/>
        <v>0</v>
      </c>
      <c r="Z34">
        <f t="shared" si="2"/>
        <v>0</v>
      </c>
      <c r="AA34">
        <v>0</v>
      </c>
      <c r="AB34">
        <f t="shared" si="5"/>
        <v>0</v>
      </c>
      <c r="AC34">
        <v>4.63</v>
      </c>
      <c r="AD34">
        <v>0.49</v>
      </c>
      <c r="AE34">
        <v>0.01</v>
      </c>
      <c r="AF34">
        <v>0</v>
      </c>
      <c r="AG34">
        <v>0</v>
      </c>
      <c r="AH34">
        <v>0</v>
      </c>
      <c r="AI34">
        <f t="shared" si="3"/>
        <v>5.13</v>
      </c>
      <c r="AJ34">
        <f t="shared" si="4"/>
        <v>13.68</v>
      </c>
      <c r="AK34">
        <v>0</v>
      </c>
      <c r="AL34">
        <f t="shared" si="6"/>
        <v>295.54000000000002</v>
      </c>
      <c r="AM34">
        <v>0</v>
      </c>
      <c r="AN34">
        <v>0</v>
      </c>
      <c r="AO34" t="s">
        <v>52</v>
      </c>
      <c r="AP34">
        <v>0</v>
      </c>
      <c r="AQ34">
        <v>0</v>
      </c>
      <c r="AR34" t="s">
        <v>52</v>
      </c>
      <c r="AS34" t="s">
        <v>122</v>
      </c>
      <c r="AT34">
        <v>7</v>
      </c>
    </row>
    <row r="35" spans="1:46" x14ac:dyDescent="0.3">
      <c r="A35">
        <v>918</v>
      </c>
      <c r="B35">
        <v>2234</v>
      </c>
      <c r="C35">
        <v>27280</v>
      </c>
      <c r="D35">
        <v>2024</v>
      </c>
      <c r="E35">
        <v>18</v>
      </c>
      <c r="F35">
        <v>1</v>
      </c>
      <c r="G35" t="s">
        <v>48</v>
      </c>
      <c r="H35" t="s">
        <v>120</v>
      </c>
      <c r="I35" s="5" t="s">
        <v>152</v>
      </c>
      <c r="J35" s="5" t="s">
        <v>126</v>
      </c>
      <c r="K35" s="5" t="s">
        <v>59</v>
      </c>
      <c r="L35" s="4">
        <v>4</v>
      </c>
      <c r="M35" t="s">
        <v>122</v>
      </c>
      <c r="N35" t="s">
        <v>122</v>
      </c>
      <c r="O35" t="s">
        <v>123</v>
      </c>
      <c r="P35" t="s">
        <v>124</v>
      </c>
      <c r="Q35">
        <v>55</v>
      </c>
      <c r="R35">
        <f>IFERROR((J35 - J34)*24,0)</f>
        <v>3.9999999999417923</v>
      </c>
      <c r="S35">
        <f t="shared" si="0"/>
        <v>13.750000000200089</v>
      </c>
      <c r="T35" t="s">
        <v>117</v>
      </c>
      <c r="U35">
        <v>0</v>
      </c>
      <c r="V35">
        <v>0</v>
      </c>
      <c r="W35">
        <v>0</v>
      </c>
      <c r="X35">
        <v>0</v>
      </c>
      <c r="Y35">
        <f t="shared" si="1"/>
        <v>0</v>
      </c>
      <c r="Z35">
        <f t="shared" si="2"/>
        <v>0</v>
      </c>
      <c r="AA35">
        <v>0</v>
      </c>
      <c r="AB35">
        <f t="shared" si="5"/>
        <v>0</v>
      </c>
      <c r="AC35">
        <v>1.8</v>
      </c>
      <c r="AD35">
        <v>0.19</v>
      </c>
      <c r="AE35">
        <v>0.01</v>
      </c>
      <c r="AF35">
        <v>0</v>
      </c>
      <c r="AG35">
        <v>0</v>
      </c>
      <c r="AH35">
        <v>0</v>
      </c>
      <c r="AI35">
        <f t="shared" si="3"/>
        <v>2</v>
      </c>
      <c r="AJ35">
        <f t="shared" si="4"/>
        <v>12.000000000174623</v>
      </c>
      <c r="AK35">
        <v>0</v>
      </c>
      <c r="AL35">
        <f t="shared" si="6"/>
        <v>293.54000000000002</v>
      </c>
      <c r="AM35">
        <v>0</v>
      </c>
      <c r="AN35">
        <v>0</v>
      </c>
      <c r="AO35" t="s">
        <v>52</v>
      </c>
      <c r="AP35">
        <v>0</v>
      </c>
      <c r="AQ35">
        <v>0</v>
      </c>
      <c r="AR35" t="s">
        <v>52</v>
      </c>
      <c r="AS35" t="s">
        <v>122</v>
      </c>
      <c r="AT35">
        <v>7</v>
      </c>
    </row>
    <row r="36" spans="1:46" x14ac:dyDescent="0.3">
      <c r="A36">
        <v>918</v>
      </c>
      <c r="B36">
        <v>2234</v>
      </c>
      <c r="C36">
        <v>27281</v>
      </c>
      <c r="D36">
        <v>2024</v>
      </c>
      <c r="E36">
        <v>18</v>
      </c>
      <c r="F36">
        <v>1</v>
      </c>
      <c r="G36" t="s">
        <v>48</v>
      </c>
      <c r="H36" t="s">
        <v>120</v>
      </c>
      <c r="I36" s="5" t="s">
        <v>152</v>
      </c>
      <c r="J36" s="5" t="s">
        <v>127</v>
      </c>
      <c r="K36" s="5" t="s">
        <v>50</v>
      </c>
      <c r="L36" s="4">
        <v>20</v>
      </c>
      <c r="M36" t="s">
        <v>122</v>
      </c>
      <c r="N36" t="s">
        <v>122</v>
      </c>
      <c r="O36" t="s">
        <v>123</v>
      </c>
      <c r="P36" t="s">
        <v>124</v>
      </c>
      <c r="Q36">
        <v>329</v>
      </c>
      <c r="R36">
        <f>IFERROR((J36 - J35)*24,0)</f>
        <v>20.000000000058208</v>
      </c>
      <c r="S36">
        <f t="shared" si="0"/>
        <v>16.449999999952123</v>
      </c>
      <c r="T36" t="s">
        <v>128</v>
      </c>
      <c r="U36">
        <v>0</v>
      </c>
      <c r="V36">
        <v>0</v>
      </c>
      <c r="W36">
        <v>0</v>
      </c>
      <c r="X36">
        <v>0</v>
      </c>
      <c r="Y36">
        <f t="shared" si="1"/>
        <v>0</v>
      </c>
      <c r="Z36">
        <f t="shared" si="2"/>
        <v>0</v>
      </c>
      <c r="AA36">
        <v>0</v>
      </c>
      <c r="AB36">
        <f t="shared" si="5"/>
        <v>0</v>
      </c>
      <c r="AC36">
        <v>10.53</v>
      </c>
      <c r="AD36">
        <v>1.1599999999999999</v>
      </c>
      <c r="AE36">
        <v>0.05</v>
      </c>
      <c r="AF36">
        <v>0</v>
      </c>
      <c r="AG36">
        <v>0</v>
      </c>
      <c r="AH36">
        <v>0</v>
      </c>
      <c r="AI36">
        <f t="shared" si="3"/>
        <v>11.74</v>
      </c>
      <c r="AJ36">
        <f t="shared" si="4"/>
        <v>14.087999999958997</v>
      </c>
      <c r="AK36">
        <v>0</v>
      </c>
      <c r="AL36">
        <f t="shared" si="6"/>
        <v>281.8</v>
      </c>
      <c r="AM36">
        <v>0</v>
      </c>
      <c r="AN36">
        <v>0</v>
      </c>
      <c r="AO36" t="s">
        <v>52</v>
      </c>
      <c r="AP36">
        <v>0</v>
      </c>
      <c r="AQ36">
        <v>0</v>
      </c>
      <c r="AR36" t="s">
        <v>52</v>
      </c>
      <c r="AS36" t="s">
        <v>122</v>
      </c>
      <c r="AT36">
        <v>7</v>
      </c>
    </row>
    <row r="37" spans="1:46" x14ac:dyDescent="0.3">
      <c r="A37">
        <v>918</v>
      </c>
      <c r="B37">
        <v>2234</v>
      </c>
      <c r="C37">
        <v>27282</v>
      </c>
      <c r="D37">
        <v>2024</v>
      </c>
      <c r="E37">
        <v>18</v>
      </c>
      <c r="F37">
        <v>1</v>
      </c>
      <c r="G37" t="s">
        <v>48</v>
      </c>
      <c r="H37" t="s">
        <v>120</v>
      </c>
      <c r="I37" s="5" t="s">
        <v>152</v>
      </c>
      <c r="J37" s="5" t="s">
        <v>129</v>
      </c>
      <c r="K37" s="5" t="s">
        <v>59</v>
      </c>
      <c r="L37" s="4">
        <v>4</v>
      </c>
      <c r="M37" t="s">
        <v>122</v>
      </c>
      <c r="N37" t="s">
        <v>122</v>
      </c>
      <c r="O37" t="s">
        <v>123</v>
      </c>
      <c r="P37" t="s">
        <v>124</v>
      </c>
      <c r="Q37">
        <v>57</v>
      </c>
      <c r="R37">
        <f>IFERROR((J37 - J36)*24,0)</f>
        <v>3.9999999999417923</v>
      </c>
      <c r="S37">
        <f t="shared" si="0"/>
        <v>14.250000000207365</v>
      </c>
      <c r="T37" t="s">
        <v>128</v>
      </c>
      <c r="U37">
        <v>0</v>
      </c>
      <c r="V37">
        <v>0</v>
      </c>
      <c r="W37">
        <v>0</v>
      </c>
      <c r="X37">
        <v>0</v>
      </c>
      <c r="Y37">
        <f t="shared" si="1"/>
        <v>0</v>
      </c>
      <c r="Z37">
        <f t="shared" si="2"/>
        <v>0</v>
      </c>
      <c r="AA37">
        <v>0</v>
      </c>
      <c r="AB37">
        <f t="shared" si="5"/>
        <v>0</v>
      </c>
      <c r="AC37">
        <v>2.31</v>
      </c>
      <c r="AD37">
        <v>0.21</v>
      </c>
      <c r="AE37">
        <v>0</v>
      </c>
      <c r="AF37">
        <v>0</v>
      </c>
      <c r="AG37">
        <v>0</v>
      </c>
      <c r="AH37">
        <v>0</v>
      </c>
      <c r="AI37">
        <f t="shared" si="3"/>
        <v>2.52</v>
      </c>
      <c r="AJ37">
        <f t="shared" si="4"/>
        <v>15.120000000220026</v>
      </c>
      <c r="AK37">
        <v>0</v>
      </c>
      <c r="AL37">
        <f t="shared" si="6"/>
        <v>279.28000000000003</v>
      </c>
      <c r="AM37">
        <v>0</v>
      </c>
      <c r="AN37">
        <v>0</v>
      </c>
      <c r="AO37" t="s">
        <v>52</v>
      </c>
      <c r="AP37">
        <v>0</v>
      </c>
      <c r="AQ37">
        <v>0</v>
      </c>
      <c r="AR37" t="s">
        <v>52</v>
      </c>
      <c r="AS37" t="s">
        <v>122</v>
      </c>
      <c r="AT37">
        <v>7</v>
      </c>
    </row>
    <row r="38" spans="1:46" x14ac:dyDescent="0.3">
      <c r="A38">
        <v>918</v>
      </c>
      <c r="B38">
        <v>2234</v>
      </c>
      <c r="C38">
        <v>27414</v>
      </c>
      <c r="D38">
        <v>2024</v>
      </c>
      <c r="E38">
        <v>18</v>
      </c>
      <c r="F38">
        <v>1</v>
      </c>
      <c r="G38" t="s">
        <v>48</v>
      </c>
      <c r="H38" t="s">
        <v>120</v>
      </c>
      <c r="I38" s="5" t="s">
        <v>152</v>
      </c>
      <c r="J38" s="5" t="s">
        <v>130</v>
      </c>
      <c r="K38" s="5" t="s">
        <v>50</v>
      </c>
      <c r="L38" s="4">
        <v>20</v>
      </c>
      <c r="M38" t="s">
        <v>122</v>
      </c>
      <c r="N38" t="s">
        <v>122</v>
      </c>
      <c r="O38" t="s">
        <v>123</v>
      </c>
      <c r="P38" t="s">
        <v>124</v>
      </c>
      <c r="Q38">
        <v>286</v>
      </c>
      <c r="R38">
        <f>IFERROR((J38 - J37)*24,0)</f>
        <v>20.000000000058208</v>
      </c>
      <c r="S38">
        <f t="shared" ref="S38:S69" si="7">IF(ISERROR(Q38/R38),0,Q38/R38)</f>
        <v>14.299999999958381</v>
      </c>
      <c r="T38" t="s">
        <v>125</v>
      </c>
      <c r="U38">
        <v>0</v>
      </c>
      <c r="V38">
        <v>0</v>
      </c>
      <c r="W38">
        <v>0</v>
      </c>
      <c r="X38">
        <v>0</v>
      </c>
      <c r="Y38">
        <f t="shared" ref="Y38:Y69" si="8">SUM(U38:X38)</f>
        <v>0</v>
      </c>
      <c r="Z38">
        <f t="shared" ref="Z38:Z69" si="9">IF(ISERROR(Y38*24/R38),0,Y38*24/R38)</f>
        <v>0</v>
      </c>
      <c r="AA38">
        <v>0</v>
      </c>
      <c r="AB38">
        <f t="shared" si="5"/>
        <v>0</v>
      </c>
      <c r="AC38">
        <v>10.48</v>
      </c>
      <c r="AD38">
        <v>0.93</v>
      </c>
      <c r="AE38">
        <v>0.03</v>
      </c>
      <c r="AF38">
        <v>0</v>
      </c>
      <c r="AG38">
        <v>0</v>
      </c>
      <c r="AH38">
        <v>0</v>
      </c>
      <c r="AI38">
        <f t="shared" ref="AI38:AI69" si="10">SUM(AC38:AH38)</f>
        <v>11.44</v>
      </c>
      <c r="AJ38">
        <f t="shared" ref="AJ38:AJ69" si="11">IF(ISERROR(AI38*24/R38),0,AI38*24/R38)</f>
        <v>13.727999999960046</v>
      </c>
      <c r="AK38">
        <v>0</v>
      </c>
      <c r="AL38">
        <f t="shared" si="6"/>
        <v>267.84000000000003</v>
      </c>
      <c r="AM38">
        <v>0</v>
      </c>
      <c r="AN38">
        <v>0</v>
      </c>
      <c r="AO38" t="s">
        <v>52</v>
      </c>
      <c r="AP38">
        <v>0</v>
      </c>
      <c r="AQ38">
        <v>0</v>
      </c>
      <c r="AR38" t="s">
        <v>52</v>
      </c>
      <c r="AS38" t="s">
        <v>122</v>
      </c>
      <c r="AT38">
        <v>7</v>
      </c>
    </row>
    <row r="39" spans="1:46" x14ac:dyDescent="0.3">
      <c r="A39">
        <v>918</v>
      </c>
      <c r="B39">
        <v>2234</v>
      </c>
      <c r="C39">
        <v>27415</v>
      </c>
      <c r="D39">
        <v>2024</v>
      </c>
      <c r="E39">
        <v>18</v>
      </c>
      <c r="F39">
        <v>1</v>
      </c>
      <c r="G39" t="s">
        <v>48</v>
      </c>
      <c r="H39" t="s">
        <v>120</v>
      </c>
      <c r="I39" s="5" t="s">
        <v>152</v>
      </c>
      <c r="J39" s="5" t="s">
        <v>131</v>
      </c>
      <c r="K39" s="5" t="s">
        <v>59</v>
      </c>
      <c r="L39" s="4">
        <v>4</v>
      </c>
      <c r="M39" t="s">
        <v>122</v>
      </c>
      <c r="N39" t="s">
        <v>122</v>
      </c>
      <c r="O39" t="s">
        <v>123</v>
      </c>
      <c r="P39" t="s">
        <v>124</v>
      </c>
      <c r="Q39">
        <v>57</v>
      </c>
      <c r="R39">
        <f>IFERROR((J39 - J38)*24,0)</f>
        <v>3.9999999999417923</v>
      </c>
      <c r="S39">
        <f t="shared" si="7"/>
        <v>14.250000000207365</v>
      </c>
      <c r="T39" t="s">
        <v>125</v>
      </c>
      <c r="U39">
        <v>0</v>
      </c>
      <c r="V39">
        <v>0</v>
      </c>
      <c r="W39">
        <v>0</v>
      </c>
      <c r="X39">
        <v>0</v>
      </c>
      <c r="Y39">
        <f t="shared" si="8"/>
        <v>0</v>
      </c>
      <c r="Z39">
        <f t="shared" si="9"/>
        <v>0</v>
      </c>
      <c r="AA39">
        <v>0</v>
      </c>
      <c r="AB39">
        <f t="shared" ref="AB39:AB70" si="12">AB38-Y39+AA39</f>
        <v>0</v>
      </c>
      <c r="AC39">
        <v>2.39</v>
      </c>
      <c r="AD39">
        <v>0.24</v>
      </c>
      <c r="AE39">
        <v>0.01</v>
      </c>
      <c r="AF39">
        <v>0</v>
      </c>
      <c r="AG39">
        <v>0</v>
      </c>
      <c r="AH39">
        <v>0</v>
      </c>
      <c r="AI39">
        <f t="shared" si="10"/>
        <v>2.6399999999999997</v>
      </c>
      <c r="AJ39">
        <f t="shared" si="11"/>
        <v>15.8400000002305</v>
      </c>
      <c r="AK39">
        <v>0</v>
      </c>
      <c r="AL39">
        <f t="shared" ref="AL39:AL70" si="13">AL38-AI39+AK39</f>
        <v>265.20000000000005</v>
      </c>
      <c r="AM39">
        <v>0</v>
      </c>
      <c r="AN39">
        <v>0</v>
      </c>
      <c r="AO39" t="s">
        <v>52</v>
      </c>
      <c r="AP39">
        <v>0</v>
      </c>
      <c r="AQ39">
        <v>0</v>
      </c>
      <c r="AR39" t="s">
        <v>52</v>
      </c>
      <c r="AS39" t="s">
        <v>122</v>
      </c>
      <c r="AT39">
        <v>7</v>
      </c>
    </row>
    <row r="40" spans="1:46" x14ac:dyDescent="0.3">
      <c r="A40">
        <v>918</v>
      </c>
      <c r="B40">
        <v>2234</v>
      </c>
      <c r="C40">
        <v>27416</v>
      </c>
      <c r="D40">
        <v>2024</v>
      </c>
      <c r="E40">
        <v>18</v>
      </c>
      <c r="F40">
        <v>1</v>
      </c>
      <c r="G40" t="s">
        <v>48</v>
      </c>
      <c r="H40" t="s">
        <v>120</v>
      </c>
      <c r="I40" s="5" t="s">
        <v>152</v>
      </c>
      <c r="J40" s="5" t="s">
        <v>132</v>
      </c>
      <c r="K40" s="5" t="s">
        <v>50</v>
      </c>
      <c r="L40" s="4">
        <v>20</v>
      </c>
      <c r="M40" t="s">
        <v>122</v>
      </c>
      <c r="N40" t="s">
        <v>122</v>
      </c>
      <c r="O40" t="s">
        <v>123</v>
      </c>
      <c r="P40" t="s">
        <v>124</v>
      </c>
      <c r="Q40">
        <v>298</v>
      </c>
      <c r="R40">
        <f>IFERROR((J40 - J39)*24,0)</f>
        <v>20.000000000058208</v>
      </c>
      <c r="S40">
        <f t="shared" si="7"/>
        <v>14.899999999956636</v>
      </c>
      <c r="T40" t="s">
        <v>125</v>
      </c>
      <c r="U40">
        <v>0</v>
      </c>
      <c r="V40">
        <v>0</v>
      </c>
      <c r="W40">
        <v>0</v>
      </c>
      <c r="X40">
        <v>0</v>
      </c>
      <c r="Y40">
        <f t="shared" si="8"/>
        <v>0</v>
      </c>
      <c r="Z40">
        <f t="shared" si="9"/>
        <v>0</v>
      </c>
      <c r="AA40">
        <v>0</v>
      </c>
      <c r="AB40">
        <f t="shared" si="12"/>
        <v>0</v>
      </c>
      <c r="AC40">
        <v>10.81</v>
      </c>
      <c r="AD40">
        <v>1</v>
      </c>
      <c r="AE40">
        <v>0.04</v>
      </c>
      <c r="AF40">
        <v>0</v>
      </c>
      <c r="AG40">
        <v>0</v>
      </c>
      <c r="AH40">
        <v>0</v>
      </c>
      <c r="AI40">
        <f t="shared" si="10"/>
        <v>11.85</v>
      </c>
      <c r="AJ40">
        <f t="shared" si="11"/>
        <v>14.219999999958613</v>
      </c>
      <c r="AK40">
        <v>0</v>
      </c>
      <c r="AL40">
        <f t="shared" si="13"/>
        <v>253.35000000000005</v>
      </c>
      <c r="AM40">
        <v>0</v>
      </c>
      <c r="AN40">
        <v>0</v>
      </c>
      <c r="AO40" t="s">
        <v>52</v>
      </c>
      <c r="AP40">
        <v>0</v>
      </c>
      <c r="AQ40">
        <v>0</v>
      </c>
      <c r="AR40" t="s">
        <v>52</v>
      </c>
      <c r="AS40" t="s">
        <v>122</v>
      </c>
      <c r="AT40">
        <v>7</v>
      </c>
    </row>
    <row r="41" spans="1:46" x14ac:dyDescent="0.3">
      <c r="A41">
        <v>918</v>
      </c>
      <c r="B41">
        <v>2234</v>
      </c>
      <c r="C41">
        <v>27417</v>
      </c>
      <c r="D41">
        <v>2024</v>
      </c>
      <c r="E41">
        <v>18</v>
      </c>
      <c r="F41">
        <v>1</v>
      </c>
      <c r="G41" t="s">
        <v>48</v>
      </c>
      <c r="H41" t="s">
        <v>120</v>
      </c>
      <c r="I41" s="5" t="s">
        <v>152</v>
      </c>
      <c r="J41" s="5" t="s">
        <v>133</v>
      </c>
      <c r="K41" s="5" t="s">
        <v>59</v>
      </c>
      <c r="L41" s="4">
        <v>4</v>
      </c>
      <c r="M41" t="s">
        <v>122</v>
      </c>
      <c r="N41" t="s">
        <v>122</v>
      </c>
      <c r="O41" t="s">
        <v>123</v>
      </c>
      <c r="P41" t="s">
        <v>134</v>
      </c>
      <c r="Q41">
        <v>53</v>
      </c>
      <c r="R41">
        <f>IFERROR((J41 - J40)*24,0)</f>
        <v>3.9999999999417923</v>
      </c>
      <c r="S41">
        <f t="shared" si="7"/>
        <v>13.250000000192813</v>
      </c>
      <c r="T41" t="s">
        <v>135</v>
      </c>
      <c r="U41">
        <v>0</v>
      </c>
      <c r="V41">
        <v>0</v>
      </c>
      <c r="W41">
        <v>0</v>
      </c>
      <c r="X41">
        <v>0</v>
      </c>
      <c r="Y41">
        <f t="shared" si="8"/>
        <v>0</v>
      </c>
      <c r="Z41">
        <f t="shared" si="9"/>
        <v>0</v>
      </c>
      <c r="AA41">
        <v>0</v>
      </c>
      <c r="AB41">
        <f t="shared" si="12"/>
        <v>0</v>
      </c>
      <c r="AC41">
        <v>1.91</v>
      </c>
      <c r="AD41">
        <v>0.18</v>
      </c>
      <c r="AE41">
        <v>0.01</v>
      </c>
      <c r="AF41">
        <v>0</v>
      </c>
      <c r="AG41">
        <v>0</v>
      </c>
      <c r="AH41">
        <v>0</v>
      </c>
      <c r="AI41">
        <f t="shared" si="10"/>
        <v>2.0999999999999996</v>
      </c>
      <c r="AJ41">
        <f t="shared" si="11"/>
        <v>12.600000000183352</v>
      </c>
      <c r="AK41">
        <v>0</v>
      </c>
      <c r="AL41">
        <f t="shared" si="13"/>
        <v>251.25000000000006</v>
      </c>
      <c r="AM41">
        <v>0</v>
      </c>
      <c r="AN41">
        <v>0</v>
      </c>
      <c r="AO41" t="s">
        <v>52</v>
      </c>
      <c r="AP41">
        <v>0</v>
      </c>
      <c r="AQ41">
        <v>0</v>
      </c>
      <c r="AR41" t="s">
        <v>52</v>
      </c>
      <c r="AS41" t="s">
        <v>122</v>
      </c>
      <c r="AT41">
        <v>7</v>
      </c>
    </row>
    <row r="42" spans="1:46" x14ac:dyDescent="0.3">
      <c r="A42">
        <v>918</v>
      </c>
      <c r="B42">
        <v>2234</v>
      </c>
      <c r="C42">
        <v>27418</v>
      </c>
      <c r="D42">
        <v>2024</v>
      </c>
      <c r="E42">
        <v>18</v>
      </c>
      <c r="F42">
        <v>1</v>
      </c>
      <c r="G42" t="s">
        <v>48</v>
      </c>
      <c r="H42" t="s">
        <v>120</v>
      </c>
      <c r="I42" s="5" t="s">
        <v>152</v>
      </c>
      <c r="J42" s="5" t="s">
        <v>136</v>
      </c>
      <c r="K42" s="5" t="s">
        <v>50</v>
      </c>
      <c r="L42" s="4">
        <v>20</v>
      </c>
      <c r="M42" t="s">
        <v>122</v>
      </c>
      <c r="N42" t="s">
        <v>122</v>
      </c>
      <c r="O42" t="s">
        <v>123</v>
      </c>
      <c r="P42" t="s">
        <v>124</v>
      </c>
      <c r="Q42">
        <v>265</v>
      </c>
      <c r="R42">
        <f>IFERROR((J42 - J41)*24,0)</f>
        <v>20.000000000058208</v>
      </c>
      <c r="S42">
        <f t="shared" si="7"/>
        <v>13.249999999961437</v>
      </c>
      <c r="T42" t="s">
        <v>137</v>
      </c>
      <c r="U42">
        <v>0</v>
      </c>
      <c r="V42">
        <v>0</v>
      </c>
      <c r="W42">
        <v>0</v>
      </c>
      <c r="X42">
        <v>0</v>
      </c>
      <c r="Y42">
        <f t="shared" si="8"/>
        <v>0</v>
      </c>
      <c r="Z42">
        <f t="shared" si="9"/>
        <v>0</v>
      </c>
      <c r="AA42">
        <v>0</v>
      </c>
      <c r="AB42">
        <f t="shared" si="12"/>
        <v>0</v>
      </c>
      <c r="AC42">
        <v>10.96</v>
      </c>
      <c r="AD42">
        <v>0.98</v>
      </c>
      <c r="AE42">
        <v>0.04</v>
      </c>
      <c r="AF42">
        <v>0</v>
      </c>
      <c r="AG42">
        <v>0</v>
      </c>
      <c r="AH42">
        <v>0</v>
      </c>
      <c r="AI42">
        <f t="shared" si="10"/>
        <v>11.98</v>
      </c>
      <c r="AJ42">
        <f t="shared" si="11"/>
        <v>14.375999999958159</v>
      </c>
      <c r="AK42">
        <v>0</v>
      </c>
      <c r="AL42">
        <f t="shared" si="13"/>
        <v>239.27000000000007</v>
      </c>
      <c r="AM42">
        <v>0</v>
      </c>
      <c r="AN42">
        <v>0</v>
      </c>
      <c r="AO42" t="s">
        <v>52</v>
      </c>
      <c r="AP42">
        <v>0</v>
      </c>
      <c r="AQ42">
        <v>0</v>
      </c>
      <c r="AR42" t="s">
        <v>52</v>
      </c>
      <c r="AS42" t="s">
        <v>122</v>
      </c>
      <c r="AT42">
        <v>7</v>
      </c>
    </row>
    <row r="43" spans="1:46" x14ac:dyDescent="0.3">
      <c r="A43">
        <v>918</v>
      </c>
      <c r="B43">
        <v>2234</v>
      </c>
      <c r="C43">
        <v>27419</v>
      </c>
      <c r="D43">
        <v>2024</v>
      </c>
      <c r="E43">
        <v>18</v>
      </c>
      <c r="F43">
        <v>1</v>
      </c>
      <c r="G43" t="s">
        <v>48</v>
      </c>
      <c r="H43" t="s">
        <v>120</v>
      </c>
      <c r="I43" s="5" t="s">
        <v>152</v>
      </c>
      <c r="J43" s="5" t="s">
        <v>138</v>
      </c>
      <c r="K43" s="5" t="s">
        <v>59</v>
      </c>
      <c r="L43" s="4">
        <v>4</v>
      </c>
      <c r="M43" t="s">
        <v>122</v>
      </c>
      <c r="N43" t="s">
        <v>60</v>
      </c>
      <c r="O43" t="s">
        <v>52</v>
      </c>
      <c r="P43" t="s">
        <v>124</v>
      </c>
      <c r="Q43">
        <v>49</v>
      </c>
      <c r="R43">
        <f>IFERROR((J43 - J42)*24,0)</f>
        <v>3.9999999999417923</v>
      </c>
      <c r="S43">
        <f t="shared" si="7"/>
        <v>12.250000000178261</v>
      </c>
      <c r="T43" t="s">
        <v>139</v>
      </c>
      <c r="U43">
        <v>0</v>
      </c>
      <c r="V43">
        <v>0</v>
      </c>
      <c r="W43">
        <v>0</v>
      </c>
      <c r="X43">
        <v>0</v>
      </c>
      <c r="Y43">
        <f t="shared" si="8"/>
        <v>0</v>
      </c>
      <c r="Z43">
        <f t="shared" si="9"/>
        <v>0</v>
      </c>
      <c r="AA43">
        <v>0</v>
      </c>
      <c r="AB43">
        <f t="shared" si="12"/>
        <v>0</v>
      </c>
      <c r="AC43">
        <v>1.95</v>
      </c>
      <c r="AD43">
        <v>0.21</v>
      </c>
      <c r="AE43">
        <v>0.01</v>
      </c>
      <c r="AF43">
        <v>0</v>
      </c>
      <c r="AG43">
        <v>0</v>
      </c>
      <c r="AH43">
        <v>0</v>
      </c>
      <c r="AI43">
        <f t="shared" si="10"/>
        <v>2.17</v>
      </c>
      <c r="AJ43">
        <f t="shared" si="11"/>
        <v>13.020000000189466</v>
      </c>
      <c r="AK43">
        <v>0</v>
      </c>
      <c r="AL43">
        <f t="shared" si="13"/>
        <v>237.10000000000008</v>
      </c>
      <c r="AM43">
        <v>0</v>
      </c>
      <c r="AN43">
        <v>0</v>
      </c>
      <c r="AO43" t="s">
        <v>52</v>
      </c>
      <c r="AP43">
        <v>0</v>
      </c>
      <c r="AQ43">
        <v>0</v>
      </c>
      <c r="AR43" t="s">
        <v>52</v>
      </c>
      <c r="AS43" t="s">
        <v>122</v>
      </c>
      <c r="AT43">
        <v>7</v>
      </c>
    </row>
    <row r="44" spans="1:46" x14ac:dyDescent="0.3">
      <c r="A44">
        <v>918</v>
      </c>
      <c r="B44">
        <v>2234</v>
      </c>
      <c r="C44">
        <v>27420</v>
      </c>
      <c r="D44">
        <v>2024</v>
      </c>
      <c r="E44">
        <v>18</v>
      </c>
      <c r="F44">
        <v>1</v>
      </c>
      <c r="G44" t="s">
        <v>48</v>
      </c>
      <c r="H44" t="s">
        <v>120</v>
      </c>
      <c r="I44" s="5" t="s">
        <v>152</v>
      </c>
      <c r="J44" s="5" t="s">
        <v>140</v>
      </c>
      <c r="K44" s="5" t="s">
        <v>141</v>
      </c>
      <c r="L44" s="4">
        <v>7</v>
      </c>
      <c r="M44" t="s">
        <v>60</v>
      </c>
      <c r="N44" t="s">
        <v>60</v>
      </c>
      <c r="O44" t="s">
        <v>52</v>
      </c>
      <c r="P44" t="s">
        <v>142</v>
      </c>
      <c r="Q44">
        <v>97</v>
      </c>
      <c r="R44">
        <f>IFERROR((J44 - J43)*24,0)</f>
        <v>6.9999999999417923</v>
      </c>
      <c r="S44">
        <f t="shared" si="7"/>
        <v>13.857142857258085</v>
      </c>
      <c r="T44" t="s">
        <v>52</v>
      </c>
      <c r="U44">
        <v>0</v>
      </c>
      <c r="V44">
        <v>0</v>
      </c>
      <c r="W44">
        <v>0</v>
      </c>
      <c r="X44">
        <v>0</v>
      </c>
      <c r="Y44">
        <f t="shared" si="8"/>
        <v>0</v>
      </c>
      <c r="Z44">
        <f t="shared" si="9"/>
        <v>0</v>
      </c>
      <c r="AA44">
        <v>0</v>
      </c>
      <c r="AB44">
        <f t="shared" si="12"/>
        <v>0</v>
      </c>
      <c r="AC44">
        <v>3.77</v>
      </c>
      <c r="AD44">
        <v>0.36</v>
      </c>
      <c r="AE44">
        <v>0.01</v>
      </c>
      <c r="AF44">
        <v>0</v>
      </c>
      <c r="AG44">
        <v>0</v>
      </c>
      <c r="AH44">
        <v>0</v>
      </c>
      <c r="AI44">
        <f t="shared" si="10"/>
        <v>4.1399999999999997</v>
      </c>
      <c r="AJ44">
        <f t="shared" si="11"/>
        <v>14.194285714403742</v>
      </c>
      <c r="AK44">
        <v>0</v>
      </c>
      <c r="AL44">
        <f t="shared" si="13"/>
        <v>232.96000000000009</v>
      </c>
      <c r="AM44">
        <v>0</v>
      </c>
      <c r="AN44">
        <v>0</v>
      </c>
      <c r="AO44" t="s">
        <v>52</v>
      </c>
      <c r="AP44">
        <v>0</v>
      </c>
      <c r="AQ44">
        <v>0</v>
      </c>
      <c r="AR44" t="s">
        <v>52</v>
      </c>
      <c r="AS44" t="s">
        <v>60</v>
      </c>
      <c r="AT44">
        <v>7</v>
      </c>
    </row>
    <row r="45" spans="1:46" x14ac:dyDescent="0.3">
      <c r="A45">
        <v>918</v>
      </c>
      <c r="B45">
        <v>2234</v>
      </c>
      <c r="C45">
        <v>27421</v>
      </c>
      <c r="D45">
        <v>2024</v>
      </c>
      <c r="E45">
        <v>18</v>
      </c>
      <c r="F45">
        <v>1</v>
      </c>
      <c r="G45" t="s">
        <v>48</v>
      </c>
      <c r="H45" t="s">
        <v>120</v>
      </c>
      <c r="I45" s="5" t="s">
        <v>152</v>
      </c>
      <c r="J45" s="5" t="s">
        <v>143</v>
      </c>
      <c r="K45" s="5" t="s">
        <v>144</v>
      </c>
      <c r="L45" s="4">
        <v>2.8</v>
      </c>
      <c r="M45" t="s">
        <v>60</v>
      </c>
      <c r="N45" t="s">
        <v>148</v>
      </c>
      <c r="O45" t="s">
        <v>52</v>
      </c>
      <c r="P45" t="s">
        <v>145</v>
      </c>
      <c r="Q45">
        <v>18.5</v>
      </c>
      <c r="R45">
        <f>IFERROR((J45 - J44)*24,0)</f>
        <v>2.8000000000465661</v>
      </c>
      <c r="S45">
        <f t="shared" si="7"/>
        <v>6.6071428570329758</v>
      </c>
      <c r="T45" t="s">
        <v>146</v>
      </c>
      <c r="U45">
        <v>0</v>
      </c>
      <c r="V45">
        <v>0</v>
      </c>
      <c r="W45">
        <v>0</v>
      </c>
      <c r="X45">
        <v>0</v>
      </c>
      <c r="Y45">
        <f t="shared" si="8"/>
        <v>0</v>
      </c>
      <c r="Z45">
        <f t="shared" si="9"/>
        <v>0</v>
      </c>
      <c r="AA45">
        <v>0</v>
      </c>
      <c r="AB45">
        <f t="shared" si="12"/>
        <v>0</v>
      </c>
      <c r="AC45">
        <v>0.45</v>
      </c>
      <c r="AD45">
        <v>0.21</v>
      </c>
      <c r="AE45">
        <v>0.01</v>
      </c>
      <c r="AF45">
        <v>0</v>
      </c>
      <c r="AG45">
        <v>0</v>
      </c>
      <c r="AH45">
        <v>0</v>
      </c>
      <c r="AI45">
        <f t="shared" si="10"/>
        <v>0.67</v>
      </c>
      <c r="AJ45">
        <f t="shared" si="11"/>
        <v>5.7428571427616353</v>
      </c>
      <c r="AK45">
        <v>0</v>
      </c>
      <c r="AL45">
        <f t="shared" si="13"/>
        <v>232.29000000000011</v>
      </c>
      <c r="AM45">
        <v>0</v>
      </c>
      <c r="AN45">
        <v>0</v>
      </c>
      <c r="AO45" t="s">
        <v>52</v>
      </c>
      <c r="AP45">
        <v>0</v>
      </c>
      <c r="AQ45">
        <v>0</v>
      </c>
      <c r="AR45" t="s">
        <v>52</v>
      </c>
      <c r="AS45" t="s">
        <v>60</v>
      </c>
      <c r="AT45">
        <v>7</v>
      </c>
    </row>
    <row r="46" spans="1:46" x14ac:dyDescent="0.3">
      <c r="A46">
        <v>918</v>
      </c>
      <c r="B46">
        <v>2234</v>
      </c>
      <c r="C46">
        <v>27422</v>
      </c>
      <c r="D46">
        <v>2024</v>
      </c>
      <c r="E46">
        <v>18</v>
      </c>
      <c r="F46">
        <v>1</v>
      </c>
      <c r="G46" t="s">
        <v>48</v>
      </c>
      <c r="H46" t="s">
        <v>120</v>
      </c>
      <c r="I46" s="5" t="s">
        <v>152</v>
      </c>
      <c r="J46" s="5" t="s">
        <v>147</v>
      </c>
      <c r="K46" s="5" t="s">
        <v>50</v>
      </c>
      <c r="L46" s="4">
        <v>10.199999999999999</v>
      </c>
      <c r="M46" t="s">
        <v>148</v>
      </c>
      <c r="N46" t="s">
        <v>148</v>
      </c>
      <c r="O46" t="s">
        <v>52</v>
      </c>
      <c r="P46" t="s">
        <v>149</v>
      </c>
      <c r="Q46">
        <v>0</v>
      </c>
      <c r="R46">
        <f>IFERROR((J46 - J45)*24,0)</f>
        <v>10.200000000069849</v>
      </c>
      <c r="S46">
        <f t="shared" si="7"/>
        <v>0</v>
      </c>
      <c r="T46" t="s">
        <v>52</v>
      </c>
      <c r="U46">
        <v>0</v>
      </c>
      <c r="V46">
        <v>0</v>
      </c>
      <c r="W46">
        <v>0</v>
      </c>
      <c r="X46">
        <v>0</v>
      </c>
      <c r="Y46">
        <f t="shared" si="8"/>
        <v>0</v>
      </c>
      <c r="Z46">
        <f t="shared" si="9"/>
        <v>0</v>
      </c>
      <c r="AA46">
        <v>0</v>
      </c>
      <c r="AB46">
        <f t="shared" si="12"/>
        <v>0</v>
      </c>
      <c r="AC46">
        <v>0</v>
      </c>
      <c r="AD46">
        <v>0.35</v>
      </c>
      <c r="AE46">
        <v>0.05</v>
      </c>
      <c r="AF46">
        <v>0</v>
      </c>
      <c r="AG46">
        <v>0</v>
      </c>
      <c r="AH46">
        <v>0</v>
      </c>
      <c r="AI46">
        <f t="shared" si="10"/>
        <v>0.39999999999999997</v>
      </c>
      <c r="AJ46">
        <f t="shared" si="11"/>
        <v>0.9411764705817901</v>
      </c>
      <c r="AK46">
        <v>0</v>
      </c>
      <c r="AL46">
        <f t="shared" si="13"/>
        <v>231.8900000000001</v>
      </c>
      <c r="AM46">
        <v>0</v>
      </c>
      <c r="AN46">
        <v>0</v>
      </c>
      <c r="AO46" t="s">
        <v>52</v>
      </c>
      <c r="AP46">
        <v>0</v>
      </c>
      <c r="AQ46">
        <v>0</v>
      </c>
      <c r="AR46" t="s">
        <v>52</v>
      </c>
      <c r="AS46" t="s">
        <v>148</v>
      </c>
      <c r="AT46">
        <v>7</v>
      </c>
    </row>
    <row r="47" spans="1:46" x14ac:dyDescent="0.3">
      <c r="A47">
        <v>918</v>
      </c>
      <c r="B47">
        <v>2234</v>
      </c>
      <c r="C47">
        <v>27423</v>
      </c>
      <c r="D47">
        <v>2024</v>
      </c>
      <c r="E47">
        <v>18</v>
      </c>
      <c r="F47">
        <v>1</v>
      </c>
      <c r="G47" t="s">
        <v>48</v>
      </c>
      <c r="H47" t="s">
        <v>120</v>
      </c>
      <c r="I47" s="5" t="s">
        <v>152</v>
      </c>
      <c r="J47" s="5" t="s">
        <v>150</v>
      </c>
      <c r="K47" s="5" t="s">
        <v>59</v>
      </c>
      <c r="L47" s="4">
        <v>4</v>
      </c>
      <c r="M47" t="s">
        <v>148</v>
      </c>
      <c r="N47" s="4" t="s">
        <v>60</v>
      </c>
      <c r="O47" s="4" t="s">
        <v>52</v>
      </c>
      <c r="P47" t="s">
        <v>149</v>
      </c>
      <c r="Q47">
        <v>0</v>
      </c>
      <c r="R47">
        <f>IFERROR((J47 - J46)*24,0)</f>
        <v>3.9999999999417923</v>
      </c>
      <c r="S47">
        <f t="shared" si="7"/>
        <v>0</v>
      </c>
      <c r="T47" t="s">
        <v>52</v>
      </c>
      <c r="U47">
        <v>0</v>
      </c>
      <c r="V47">
        <v>0</v>
      </c>
      <c r="W47">
        <v>0</v>
      </c>
      <c r="X47">
        <v>0</v>
      </c>
      <c r="Y47">
        <f t="shared" si="8"/>
        <v>0</v>
      </c>
      <c r="Z47">
        <f t="shared" si="9"/>
        <v>0</v>
      </c>
      <c r="AA47">
        <v>0</v>
      </c>
      <c r="AB47">
        <f t="shared" si="12"/>
        <v>0</v>
      </c>
      <c r="AC47">
        <v>0</v>
      </c>
      <c r="AD47">
        <v>0.14000000000000001</v>
      </c>
      <c r="AE47">
        <v>0.03</v>
      </c>
      <c r="AF47">
        <v>0</v>
      </c>
      <c r="AG47">
        <v>0</v>
      </c>
      <c r="AH47">
        <v>0</v>
      </c>
      <c r="AI47">
        <f t="shared" si="10"/>
        <v>0.17</v>
      </c>
      <c r="AJ47">
        <f t="shared" si="11"/>
        <v>1.020000000014843</v>
      </c>
      <c r="AK47">
        <v>0</v>
      </c>
      <c r="AL47">
        <f t="shared" si="13"/>
        <v>231.72000000000011</v>
      </c>
      <c r="AM47">
        <v>0</v>
      </c>
      <c r="AN47">
        <v>0</v>
      </c>
      <c r="AO47" t="s">
        <v>52</v>
      </c>
      <c r="AP47">
        <v>0</v>
      </c>
      <c r="AQ47">
        <v>0</v>
      </c>
      <c r="AR47" t="s">
        <v>52</v>
      </c>
      <c r="AS47" t="s">
        <v>148</v>
      </c>
      <c r="AT47">
        <v>7</v>
      </c>
    </row>
    <row r="48" spans="1:46" s="4" customFormat="1" x14ac:dyDescent="0.3">
      <c r="A48" s="4">
        <v>918</v>
      </c>
      <c r="B48" s="4">
        <v>2234</v>
      </c>
      <c r="C48" s="4">
        <v>27824</v>
      </c>
      <c r="D48" s="4">
        <v>2024</v>
      </c>
      <c r="E48" s="4">
        <v>18</v>
      </c>
      <c r="F48" s="4">
        <v>1</v>
      </c>
      <c r="G48" s="4" t="s">
        <v>48</v>
      </c>
      <c r="H48" s="4" t="s">
        <v>120</v>
      </c>
      <c r="I48" s="5" t="s">
        <v>152</v>
      </c>
      <c r="J48" s="5" t="s">
        <v>343</v>
      </c>
      <c r="K48" s="6" t="s">
        <v>344</v>
      </c>
      <c r="L48" s="4">
        <v>2.5</v>
      </c>
      <c r="M48" s="4" t="s">
        <v>60</v>
      </c>
      <c r="N48" t="s">
        <v>154</v>
      </c>
      <c r="O48" t="s">
        <v>123</v>
      </c>
      <c r="P48" s="4" t="s">
        <v>151</v>
      </c>
      <c r="Q48" s="4">
        <v>0</v>
      </c>
      <c r="R48" s="4">
        <f>IFERROR((J48 - J47)*24,0)</f>
        <v>0.50000000005820766</v>
      </c>
      <c r="S48" s="4">
        <f t="shared" si="7"/>
        <v>0</v>
      </c>
      <c r="T48" s="4" t="s">
        <v>90</v>
      </c>
      <c r="U48" s="4">
        <v>0</v>
      </c>
      <c r="V48" s="4">
        <v>0</v>
      </c>
      <c r="W48" s="4">
        <v>0</v>
      </c>
      <c r="X48" s="4">
        <v>0</v>
      </c>
      <c r="Y48" s="4">
        <f t="shared" si="8"/>
        <v>0</v>
      </c>
      <c r="Z48" s="4">
        <f t="shared" si="9"/>
        <v>0</v>
      </c>
      <c r="AA48" s="4">
        <v>0</v>
      </c>
      <c r="AB48" s="4">
        <f t="shared" si="12"/>
        <v>0</v>
      </c>
      <c r="AC48" s="4">
        <v>0</v>
      </c>
      <c r="AD48" s="4">
        <v>0.14000000000000001</v>
      </c>
      <c r="AE48" s="4">
        <v>0.02</v>
      </c>
      <c r="AF48" s="4">
        <v>0</v>
      </c>
      <c r="AG48" s="4">
        <v>0</v>
      </c>
      <c r="AH48" s="4">
        <v>0</v>
      </c>
      <c r="AI48" s="4">
        <f t="shared" si="10"/>
        <v>0.16</v>
      </c>
      <c r="AJ48" s="4">
        <f t="shared" si="11"/>
        <v>7.67999999910593</v>
      </c>
      <c r="AK48" s="4">
        <v>0</v>
      </c>
      <c r="AL48" s="4">
        <f t="shared" si="13"/>
        <v>231.56000000000012</v>
      </c>
      <c r="AM48" s="4">
        <v>0</v>
      </c>
      <c r="AN48" s="4">
        <v>0</v>
      </c>
      <c r="AO48" s="4" t="s">
        <v>52</v>
      </c>
      <c r="AP48" s="4">
        <v>0</v>
      </c>
      <c r="AQ48" s="4">
        <v>0</v>
      </c>
      <c r="AR48" s="4" t="s">
        <v>52</v>
      </c>
      <c r="AS48" s="4" t="s">
        <v>60</v>
      </c>
      <c r="AT48" s="4">
        <v>7</v>
      </c>
    </row>
    <row r="49" spans="1:46" x14ac:dyDescent="0.3">
      <c r="A49">
        <v>918</v>
      </c>
      <c r="B49">
        <v>2234</v>
      </c>
      <c r="C49">
        <v>27825</v>
      </c>
      <c r="D49">
        <v>2024</v>
      </c>
      <c r="E49">
        <v>18</v>
      </c>
      <c r="F49">
        <v>1</v>
      </c>
      <c r="G49" t="s">
        <v>48</v>
      </c>
      <c r="H49" t="s">
        <v>120</v>
      </c>
      <c r="I49" s="5" t="s">
        <v>152</v>
      </c>
      <c r="J49" s="5" t="s">
        <v>152</v>
      </c>
      <c r="K49" s="5" t="s">
        <v>153</v>
      </c>
      <c r="L49" s="4">
        <v>2.5</v>
      </c>
      <c r="M49" t="s">
        <v>154</v>
      </c>
      <c r="N49" t="s">
        <v>154</v>
      </c>
      <c r="O49" t="s">
        <v>123</v>
      </c>
      <c r="P49" t="s">
        <v>155</v>
      </c>
      <c r="Q49">
        <v>19</v>
      </c>
      <c r="R49">
        <f>IFERROR((J49 - J48)*24,0)</f>
        <v>16.5</v>
      </c>
      <c r="S49">
        <f t="shared" si="7"/>
        <v>1.1515151515151516</v>
      </c>
      <c r="T49" t="s">
        <v>90</v>
      </c>
      <c r="U49">
        <v>0</v>
      </c>
      <c r="V49">
        <v>0</v>
      </c>
      <c r="W49">
        <v>0</v>
      </c>
      <c r="X49">
        <v>0</v>
      </c>
      <c r="Y49">
        <f t="shared" si="8"/>
        <v>0</v>
      </c>
      <c r="Z49">
        <f t="shared" si="9"/>
        <v>0</v>
      </c>
      <c r="AA49">
        <v>0</v>
      </c>
      <c r="AB49">
        <f t="shared" si="12"/>
        <v>0</v>
      </c>
      <c r="AC49">
        <v>0.51</v>
      </c>
      <c r="AD49">
        <v>0.2</v>
      </c>
      <c r="AE49">
        <v>0.01</v>
      </c>
      <c r="AF49">
        <v>0</v>
      </c>
      <c r="AG49">
        <v>0</v>
      </c>
      <c r="AH49">
        <v>0</v>
      </c>
      <c r="AI49">
        <f t="shared" si="10"/>
        <v>0.72</v>
      </c>
      <c r="AJ49">
        <f t="shared" si="11"/>
        <v>1.0472727272727274</v>
      </c>
      <c r="AK49">
        <v>0</v>
      </c>
      <c r="AL49">
        <f t="shared" si="13"/>
        <v>230.84000000000012</v>
      </c>
      <c r="AM49">
        <v>0</v>
      </c>
      <c r="AN49">
        <v>0</v>
      </c>
      <c r="AO49" t="s">
        <v>52</v>
      </c>
      <c r="AP49">
        <v>0</v>
      </c>
      <c r="AQ49">
        <v>0</v>
      </c>
      <c r="AR49" t="s">
        <v>52</v>
      </c>
      <c r="AS49" t="s">
        <v>154</v>
      </c>
      <c r="AT49">
        <v>7</v>
      </c>
    </row>
    <row r="50" spans="1:46" x14ac:dyDescent="0.3">
      <c r="A50">
        <v>918</v>
      </c>
      <c r="B50">
        <v>2244</v>
      </c>
      <c r="C50">
        <v>27426</v>
      </c>
      <c r="D50">
        <v>2024</v>
      </c>
      <c r="E50">
        <v>18</v>
      </c>
      <c r="F50">
        <v>2</v>
      </c>
      <c r="G50" t="s">
        <v>156</v>
      </c>
      <c r="H50" t="s">
        <v>48</v>
      </c>
      <c r="I50" s="5" t="s">
        <v>157</v>
      </c>
      <c r="J50" s="5" t="s">
        <v>157</v>
      </c>
      <c r="K50" s="5" t="s">
        <v>50</v>
      </c>
      <c r="L50" s="4">
        <v>3</v>
      </c>
      <c r="M50" t="s">
        <v>154</v>
      </c>
      <c r="N50" t="s">
        <v>154</v>
      </c>
      <c r="O50" t="s">
        <v>123</v>
      </c>
      <c r="P50" t="s">
        <v>99</v>
      </c>
      <c r="Q50">
        <v>37</v>
      </c>
      <c r="R50">
        <f>IFERROR((J50 - J49)*24,0)</f>
        <v>3</v>
      </c>
      <c r="S50">
        <f t="shared" si="7"/>
        <v>12.333333333333334</v>
      </c>
      <c r="T50" t="s">
        <v>125</v>
      </c>
      <c r="U50">
        <v>0</v>
      </c>
      <c r="V50">
        <v>0</v>
      </c>
      <c r="W50">
        <v>0</v>
      </c>
      <c r="X50">
        <v>0</v>
      </c>
      <c r="Y50">
        <f t="shared" si="8"/>
        <v>0</v>
      </c>
      <c r="Z50">
        <f t="shared" si="9"/>
        <v>0</v>
      </c>
      <c r="AA50">
        <v>0</v>
      </c>
      <c r="AB50">
        <f t="shared" si="12"/>
        <v>0</v>
      </c>
      <c r="AC50">
        <v>1.31</v>
      </c>
      <c r="AD50">
        <v>0.12</v>
      </c>
      <c r="AE50">
        <v>0</v>
      </c>
      <c r="AF50">
        <v>0</v>
      </c>
      <c r="AG50">
        <v>0</v>
      </c>
      <c r="AH50">
        <v>0</v>
      </c>
      <c r="AI50">
        <f t="shared" si="10"/>
        <v>1.4300000000000002</v>
      </c>
      <c r="AJ50">
        <f t="shared" si="11"/>
        <v>11.440000000000003</v>
      </c>
      <c r="AK50">
        <v>0</v>
      </c>
      <c r="AL50">
        <f t="shared" si="13"/>
        <v>229.41000000000011</v>
      </c>
      <c r="AM50">
        <v>0</v>
      </c>
      <c r="AN50">
        <v>0</v>
      </c>
      <c r="AO50" t="s">
        <v>52</v>
      </c>
      <c r="AP50">
        <v>0</v>
      </c>
      <c r="AQ50">
        <v>0</v>
      </c>
      <c r="AR50" t="s">
        <v>52</v>
      </c>
      <c r="AS50" t="s">
        <v>154</v>
      </c>
      <c r="AT50">
        <v>7</v>
      </c>
    </row>
    <row r="51" spans="1:46" x14ac:dyDescent="0.3">
      <c r="A51">
        <v>918</v>
      </c>
      <c r="B51">
        <v>2244</v>
      </c>
      <c r="C51">
        <v>27427</v>
      </c>
      <c r="D51">
        <v>2024</v>
      </c>
      <c r="E51">
        <v>18</v>
      </c>
      <c r="F51">
        <v>2</v>
      </c>
      <c r="G51" t="s">
        <v>156</v>
      </c>
      <c r="H51" t="s">
        <v>48</v>
      </c>
      <c r="I51" s="5" t="s">
        <v>157</v>
      </c>
      <c r="J51" s="5" t="s">
        <v>158</v>
      </c>
      <c r="K51" s="5" t="s">
        <v>59</v>
      </c>
      <c r="L51" s="4">
        <v>4</v>
      </c>
      <c r="M51" t="s">
        <v>154</v>
      </c>
      <c r="N51" t="s">
        <v>154</v>
      </c>
      <c r="O51" t="s">
        <v>123</v>
      </c>
      <c r="P51" t="s">
        <v>99</v>
      </c>
      <c r="Q51">
        <v>52</v>
      </c>
      <c r="R51">
        <f>IFERROR((J51 - J50)*24,0)</f>
        <v>3.9999999999417923</v>
      </c>
      <c r="S51">
        <f t="shared" si="7"/>
        <v>13.000000000189175</v>
      </c>
      <c r="T51" t="s">
        <v>125</v>
      </c>
      <c r="U51">
        <v>0</v>
      </c>
      <c r="V51">
        <v>0</v>
      </c>
      <c r="W51">
        <v>0</v>
      </c>
      <c r="X51">
        <v>0</v>
      </c>
      <c r="Y51">
        <f t="shared" si="8"/>
        <v>0</v>
      </c>
      <c r="Z51">
        <f t="shared" si="9"/>
        <v>0</v>
      </c>
      <c r="AA51">
        <v>0</v>
      </c>
      <c r="AB51">
        <f t="shared" si="12"/>
        <v>0</v>
      </c>
      <c r="AC51">
        <v>1.93</v>
      </c>
      <c r="AD51">
        <v>0.19</v>
      </c>
      <c r="AE51">
        <v>0.01</v>
      </c>
      <c r="AF51">
        <v>0</v>
      </c>
      <c r="AG51">
        <v>0</v>
      </c>
      <c r="AH51">
        <v>0</v>
      </c>
      <c r="AI51">
        <f t="shared" si="10"/>
        <v>2.13</v>
      </c>
      <c r="AJ51">
        <f t="shared" si="11"/>
        <v>12.780000000185973</v>
      </c>
      <c r="AK51">
        <v>0</v>
      </c>
      <c r="AL51">
        <f t="shared" si="13"/>
        <v>227.28000000000011</v>
      </c>
      <c r="AM51">
        <v>0</v>
      </c>
      <c r="AN51">
        <v>0</v>
      </c>
      <c r="AO51" t="s">
        <v>52</v>
      </c>
      <c r="AP51">
        <v>0</v>
      </c>
      <c r="AQ51">
        <v>0</v>
      </c>
      <c r="AR51" t="s">
        <v>52</v>
      </c>
      <c r="AS51" t="s">
        <v>154</v>
      </c>
      <c r="AT51">
        <v>7</v>
      </c>
    </row>
    <row r="52" spans="1:46" x14ac:dyDescent="0.3">
      <c r="A52">
        <v>918</v>
      </c>
      <c r="B52">
        <v>2244</v>
      </c>
      <c r="C52">
        <v>27428</v>
      </c>
      <c r="D52">
        <v>2024</v>
      </c>
      <c r="E52">
        <v>18</v>
      </c>
      <c r="F52">
        <v>2</v>
      </c>
      <c r="G52" t="s">
        <v>156</v>
      </c>
      <c r="H52" t="s">
        <v>48</v>
      </c>
      <c r="I52" s="5" t="s">
        <v>157</v>
      </c>
      <c r="J52" s="5" t="s">
        <v>159</v>
      </c>
      <c r="K52" s="5" t="s">
        <v>50</v>
      </c>
      <c r="L52" s="4">
        <v>20</v>
      </c>
      <c r="M52" t="s">
        <v>154</v>
      </c>
      <c r="N52" t="s">
        <v>154</v>
      </c>
      <c r="O52" t="s">
        <v>123</v>
      </c>
      <c r="P52" t="s">
        <v>99</v>
      </c>
      <c r="Q52">
        <v>262</v>
      </c>
      <c r="R52">
        <f>IFERROR((J52 - J51)*24,0)</f>
        <v>20.000000000058208</v>
      </c>
      <c r="S52">
        <f t="shared" si="7"/>
        <v>13.099999999961874</v>
      </c>
      <c r="T52" t="s">
        <v>135</v>
      </c>
      <c r="U52">
        <v>0</v>
      </c>
      <c r="V52">
        <v>0</v>
      </c>
      <c r="W52">
        <v>0</v>
      </c>
      <c r="X52">
        <v>0</v>
      </c>
      <c r="Y52">
        <f t="shared" si="8"/>
        <v>0</v>
      </c>
      <c r="Z52">
        <f t="shared" si="9"/>
        <v>0</v>
      </c>
      <c r="AA52">
        <v>0</v>
      </c>
      <c r="AB52">
        <f t="shared" si="12"/>
        <v>0</v>
      </c>
      <c r="AC52">
        <v>10.96</v>
      </c>
      <c r="AD52">
        <v>1.03</v>
      </c>
      <c r="AE52">
        <v>0.04</v>
      </c>
      <c r="AF52">
        <v>0</v>
      </c>
      <c r="AG52">
        <v>0</v>
      </c>
      <c r="AH52">
        <v>0</v>
      </c>
      <c r="AI52">
        <f t="shared" si="10"/>
        <v>12.03</v>
      </c>
      <c r="AJ52">
        <f t="shared" si="11"/>
        <v>14.435999999957984</v>
      </c>
      <c r="AK52">
        <v>0</v>
      </c>
      <c r="AL52">
        <f t="shared" si="13"/>
        <v>215.25000000000011</v>
      </c>
      <c r="AM52">
        <v>0</v>
      </c>
      <c r="AN52">
        <v>0</v>
      </c>
      <c r="AO52" t="s">
        <v>52</v>
      </c>
      <c r="AP52">
        <v>0</v>
      </c>
      <c r="AQ52">
        <v>0</v>
      </c>
      <c r="AR52" t="s">
        <v>52</v>
      </c>
      <c r="AS52" t="s">
        <v>154</v>
      </c>
      <c r="AT52">
        <v>7</v>
      </c>
    </row>
    <row r="53" spans="1:46" x14ac:dyDescent="0.3">
      <c r="A53">
        <v>918</v>
      </c>
      <c r="B53">
        <v>2244</v>
      </c>
      <c r="C53">
        <v>27546</v>
      </c>
      <c r="D53">
        <v>2024</v>
      </c>
      <c r="E53">
        <v>18</v>
      </c>
      <c r="F53">
        <v>2</v>
      </c>
      <c r="G53" t="s">
        <v>156</v>
      </c>
      <c r="H53" t="s">
        <v>48</v>
      </c>
      <c r="I53" s="5" t="s">
        <v>157</v>
      </c>
      <c r="J53" s="5" t="s">
        <v>160</v>
      </c>
      <c r="K53" s="5" t="s">
        <v>59</v>
      </c>
      <c r="L53" s="4">
        <v>4</v>
      </c>
      <c r="M53" t="s">
        <v>154</v>
      </c>
      <c r="N53" t="s">
        <v>154</v>
      </c>
      <c r="O53" t="s">
        <v>123</v>
      </c>
      <c r="P53" t="s">
        <v>99</v>
      </c>
      <c r="Q53">
        <v>50</v>
      </c>
      <c r="R53">
        <f>IFERROR((J53 - J52)*24,0)</f>
        <v>3.9999999999417923</v>
      </c>
      <c r="S53">
        <f t="shared" si="7"/>
        <v>12.500000000181899</v>
      </c>
      <c r="T53" t="s">
        <v>135</v>
      </c>
      <c r="U53">
        <v>0</v>
      </c>
      <c r="V53">
        <v>0</v>
      </c>
      <c r="W53">
        <v>0</v>
      </c>
      <c r="X53">
        <v>0</v>
      </c>
      <c r="Y53">
        <f t="shared" si="8"/>
        <v>0</v>
      </c>
      <c r="Z53">
        <f t="shared" si="9"/>
        <v>0</v>
      </c>
      <c r="AA53">
        <v>0</v>
      </c>
      <c r="AB53">
        <f t="shared" si="12"/>
        <v>0</v>
      </c>
      <c r="AC53">
        <v>2.2999999999999998</v>
      </c>
      <c r="AD53">
        <v>0.2</v>
      </c>
      <c r="AE53">
        <v>0.01</v>
      </c>
      <c r="AF53">
        <v>0</v>
      </c>
      <c r="AG53">
        <v>0</v>
      </c>
      <c r="AH53">
        <v>0</v>
      </c>
      <c r="AI53">
        <f t="shared" si="10"/>
        <v>2.5099999999999998</v>
      </c>
      <c r="AJ53">
        <f t="shared" si="11"/>
        <v>15.060000000219151</v>
      </c>
      <c r="AK53">
        <v>0</v>
      </c>
      <c r="AL53">
        <f t="shared" si="13"/>
        <v>212.74000000000012</v>
      </c>
      <c r="AM53">
        <v>0</v>
      </c>
      <c r="AN53">
        <v>0</v>
      </c>
      <c r="AO53" t="s">
        <v>52</v>
      </c>
      <c r="AP53">
        <v>0</v>
      </c>
      <c r="AQ53">
        <v>0</v>
      </c>
      <c r="AR53" t="s">
        <v>52</v>
      </c>
      <c r="AS53" t="s">
        <v>154</v>
      </c>
      <c r="AT53">
        <v>7</v>
      </c>
    </row>
    <row r="54" spans="1:46" x14ac:dyDescent="0.3">
      <c r="A54">
        <v>918</v>
      </c>
      <c r="B54">
        <v>2244</v>
      </c>
      <c r="C54">
        <v>27547</v>
      </c>
      <c r="D54">
        <v>2024</v>
      </c>
      <c r="E54">
        <v>18</v>
      </c>
      <c r="F54">
        <v>2</v>
      </c>
      <c r="G54" t="s">
        <v>156</v>
      </c>
      <c r="H54" t="s">
        <v>48</v>
      </c>
      <c r="I54" s="5" t="s">
        <v>157</v>
      </c>
      <c r="J54" s="5" t="s">
        <v>161</v>
      </c>
      <c r="K54" s="5" t="s">
        <v>50</v>
      </c>
      <c r="L54" s="4">
        <v>20</v>
      </c>
      <c r="M54" t="s">
        <v>154</v>
      </c>
      <c r="N54" t="s">
        <v>154</v>
      </c>
      <c r="O54" t="s">
        <v>123</v>
      </c>
      <c r="P54" t="s">
        <v>99</v>
      </c>
      <c r="Q54">
        <v>290</v>
      </c>
      <c r="R54">
        <f>IFERROR((J54 - J53)*24,0)</f>
        <v>20.000000000058208</v>
      </c>
      <c r="S54">
        <f t="shared" si="7"/>
        <v>14.499999999957799</v>
      </c>
      <c r="T54" t="s">
        <v>94</v>
      </c>
      <c r="U54">
        <v>0</v>
      </c>
      <c r="V54">
        <v>0</v>
      </c>
      <c r="W54">
        <v>0</v>
      </c>
      <c r="X54">
        <v>0</v>
      </c>
      <c r="Y54">
        <f t="shared" si="8"/>
        <v>0</v>
      </c>
      <c r="Z54">
        <f t="shared" si="9"/>
        <v>0</v>
      </c>
      <c r="AA54">
        <v>0</v>
      </c>
      <c r="AB54">
        <f t="shared" si="12"/>
        <v>0</v>
      </c>
      <c r="AC54">
        <v>11.3</v>
      </c>
      <c r="AD54">
        <v>0.97</v>
      </c>
      <c r="AE54">
        <v>0.04</v>
      </c>
      <c r="AF54">
        <v>0</v>
      </c>
      <c r="AG54">
        <v>0</v>
      </c>
      <c r="AH54">
        <v>0</v>
      </c>
      <c r="AI54">
        <f t="shared" si="10"/>
        <v>12.31</v>
      </c>
      <c r="AJ54">
        <f t="shared" si="11"/>
        <v>14.771999999957007</v>
      </c>
      <c r="AK54">
        <v>0</v>
      </c>
      <c r="AL54">
        <f t="shared" si="13"/>
        <v>200.43000000000012</v>
      </c>
      <c r="AM54">
        <v>0</v>
      </c>
      <c r="AN54">
        <v>0</v>
      </c>
      <c r="AO54" t="s">
        <v>52</v>
      </c>
      <c r="AP54">
        <v>0</v>
      </c>
      <c r="AQ54">
        <v>0</v>
      </c>
      <c r="AR54" t="s">
        <v>52</v>
      </c>
      <c r="AS54" t="s">
        <v>154</v>
      </c>
      <c r="AT54">
        <v>7</v>
      </c>
    </row>
    <row r="55" spans="1:46" x14ac:dyDescent="0.3">
      <c r="A55">
        <v>918</v>
      </c>
      <c r="B55">
        <v>2244</v>
      </c>
      <c r="C55">
        <v>27548</v>
      </c>
      <c r="D55">
        <v>2024</v>
      </c>
      <c r="E55">
        <v>18</v>
      </c>
      <c r="F55">
        <v>2</v>
      </c>
      <c r="G55" t="s">
        <v>156</v>
      </c>
      <c r="H55" t="s">
        <v>48</v>
      </c>
      <c r="I55" s="5" t="s">
        <v>157</v>
      </c>
      <c r="J55" s="5" t="s">
        <v>162</v>
      </c>
      <c r="K55" s="5" t="s">
        <v>59</v>
      </c>
      <c r="L55" s="4">
        <v>4</v>
      </c>
      <c r="M55" t="s">
        <v>154</v>
      </c>
      <c r="N55" t="s">
        <v>154</v>
      </c>
      <c r="O55" t="s">
        <v>123</v>
      </c>
      <c r="P55" t="s">
        <v>99</v>
      </c>
      <c r="Q55">
        <v>44</v>
      </c>
      <c r="R55">
        <f>IFERROR((J55 - J54)*24,0)</f>
        <v>3.9999999999417923</v>
      </c>
      <c r="S55">
        <f t="shared" si="7"/>
        <v>11.000000000160071</v>
      </c>
      <c r="T55" t="s">
        <v>94</v>
      </c>
      <c r="U55">
        <v>0</v>
      </c>
      <c r="V55">
        <v>0</v>
      </c>
      <c r="W55">
        <v>0</v>
      </c>
      <c r="X55">
        <v>0</v>
      </c>
      <c r="Y55">
        <f t="shared" si="8"/>
        <v>0</v>
      </c>
      <c r="Z55">
        <f t="shared" si="9"/>
        <v>0</v>
      </c>
      <c r="AA55">
        <v>0</v>
      </c>
      <c r="AB55">
        <f t="shared" si="12"/>
        <v>0</v>
      </c>
      <c r="AC55">
        <v>2.14</v>
      </c>
      <c r="AD55">
        <v>0.18</v>
      </c>
      <c r="AE55">
        <v>0.01</v>
      </c>
      <c r="AF55">
        <v>0</v>
      </c>
      <c r="AG55">
        <v>0</v>
      </c>
      <c r="AH55">
        <v>0</v>
      </c>
      <c r="AI55">
        <f t="shared" si="10"/>
        <v>2.33</v>
      </c>
      <c r="AJ55">
        <f t="shared" si="11"/>
        <v>13.980000000203436</v>
      </c>
      <c r="AK55">
        <v>0</v>
      </c>
      <c r="AL55">
        <f t="shared" si="13"/>
        <v>198.10000000000011</v>
      </c>
      <c r="AM55">
        <v>0</v>
      </c>
      <c r="AN55">
        <v>0</v>
      </c>
      <c r="AO55" t="s">
        <v>52</v>
      </c>
      <c r="AP55">
        <v>0</v>
      </c>
      <c r="AQ55">
        <v>0</v>
      </c>
      <c r="AR55" t="s">
        <v>52</v>
      </c>
      <c r="AS55" t="s">
        <v>154</v>
      </c>
      <c r="AT55">
        <v>7</v>
      </c>
    </row>
    <row r="56" spans="1:46" x14ac:dyDescent="0.3">
      <c r="A56">
        <v>918</v>
      </c>
      <c r="B56">
        <v>2244</v>
      </c>
      <c r="C56">
        <v>27549</v>
      </c>
      <c r="D56">
        <v>2024</v>
      </c>
      <c r="E56">
        <v>18</v>
      </c>
      <c r="F56">
        <v>2</v>
      </c>
      <c r="G56" t="s">
        <v>156</v>
      </c>
      <c r="H56" t="s">
        <v>48</v>
      </c>
      <c r="I56" s="5" t="s">
        <v>157</v>
      </c>
      <c r="J56" s="5" t="s">
        <v>163</v>
      </c>
      <c r="K56" s="5" t="s">
        <v>50</v>
      </c>
      <c r="L56" s="4">
        <v>20</v>
      </c>
      <c r="M56" t="s">
        <v>154</v>
      </c>
      <c r="N56" t="s">
        <v>154</v>
      </c>
      <c r="O56" t="s">
        <v>123</v>
      </c>
      <c r="P56" t="s">
        <v>99</v>
      </c>
      <c r="Q56">
        <v>225</v>
      </c>
      <c r="R56">
        <f>IFERROR((J56 - J55)*24,0)</f>
        <v>20.000000000058208</v>
      </c>
      <c r="S56">
        <f t="shared" si="7"/>
        <v>11.249999999967258</v>
      </c>
      <c r="T56" t="s">
        <v>164</v>
      </c>
      <c r="U56">
        <v>0</v>
      </c>
      <c r="V56">
        <v>0</v>
      </c>
      <c r="W56">
        <v>0</v>
      </c>
      <c r="X56">
        <v>0</v>
      </c>
      <c r="Y56">
        <f t="shared" si="8"/>
        <v>0</v>
      </c>
      <c r="Z56">
        <f t="shared" si="9"/>
        <v>0</v>
      </c>
      <c r="AA56">
        <v>0</v>
      </c>
      <c r="AB56">
        <f t="shared" si="12"/>
        <v>0</v>
      </c>
      <c r="AC56">
        <v>10.56</v>
      </c>
      <c r="AD56">
        <v>0.89</v>
      </c>
      <c r="AE56">
        <v>0.03</v>
      </c>
      <c r="AF56">
        <v>0</v>
      </c>
      <c r="AG56">
        <v>0</v>
      </c>
      <c r="AH56">
        <v>0</v>
      </c>
      <c r="AI56">
        <f t="shared" si="10"/>
        <v>11.48</v>
      </c>
      <c r="AJ56">
        <f t="shared" si="11"/>
        <v>13.775999999959906</v>
      </c>
      <c r="AK56">
        <v>0</v>
      </c>
      <c r="AL56">
        <f t="shared" si="13"/>
        <v>186.62000000000012</v>
      </c>
      <c r="AM56">
        <v>0</v>
      </c>
      <c r="AN56">
        <v>0</v>
      </c>
      <c r="AO56" t="s">
        <v>52</v>
      </c>
      <c r="AP56">
        <v>0</v>
      </c>
      <c r="AQ56">
        <v>0</v>
      </c>
      <c r="AR56" t="s">
        <v>52</v>
      </c>
      <c r="AS56" t="s">
        <v>154</v>
      </c>
      <c r="AT56">
        <v>7</v>
      </c>
    </row>
    <row r="57" spans="1:46" x14ac:dyDescent="0.3">
      <c r="A57">
        <v>918</v>
      </c>
      <c r="B57">
        <v>2244</v>
      </c>
      <c r="C57">
        <v>27550</v>
      </c>
      <c r="D57">
        <v>2024</v>
      </c>
      <c r="E57">
        <v>18</v>
      </c>
      <c r="F57">
        <v>2</v>
      </c>
      <c r="G57" t="s">
        <v>156</v>
      </c>
      <c r="H57" t="s">
        <v>48</v>
      </c>
      <c r="I57" s="5" t="s">
        <v>157</v>
      </c>
      <c r="J57" s="5" t="s">
        <v>165</v>
      </c>
      <c r="K57" s="5" t="s">
        <v>59</v>
      </c>
      <c r="L57" s="4">
        <v>4</v>
      </c>
      <c r="M57" t="s">
        <v>154</v>
      </c>
      <c r="N57" t="s">
        <v>154</v>
      </c>
      <c r="O57" t="s">
        <v>123</v>
      </c>
      <c r="P57" t="s">
        <v>99</v>
      </c>
      <c r="Q57">
        <v>45</v>
      </c>
      <c r="R57">
        <f>IFERROR((J57 - J56)*24,0)</f>
        <v>3.9999999999417923</v>
      </c>
      <c r="S57">
        <f t="shared" si="7"/>
        <v>11.250000000163709</v>
      </c>
      <c r="T57" t="s">
        <v>164</v>
      </c>
      <c r="U57">
        <v>0</v>
      </c>
      <c r="V57">
        <v>0</v>
      </c>
      <c r="W57">
        <v>0</v>
      </c>
      <c r="X57">
        <v>0</v>
      </c>
      <c r="Y57">
        <f t="shared" si="8"/>
        <v>0</v>
      </c>
      <c r="Z57">
        <f t="shared" si="9"/>
        <v>0</v>
      </c>
      <c r="AA57">
        <v>0</v>
      </c>
      <c r="AB57">
        <f t="shared" si="12"/>
        <v>0</v>
      </c>
      <c r="AC57">
        <v>2.2400000000000002</v>
      </c>
      <c r="AD57">
        <v>0.2</v>
      </c>
      <c r="AE57">
        <v>0.01</v>
      </c>
      <c r="AF57">
        <v>0</v>
      </c>
      <c r="AG57">
        <v>0</v>
      </c>
      <c r="AH57">
        <v>0</v>
      </c>
      <c r="AI57">
        <f t="shared" si="10"/>
        <v>2.4500000000000002</v>
      </c>
      <c r="AJ57">
        <f t="shared" si="11"/>
        <v>14.700000000213914</v>
      </c>
      <c r="AK57">
        <v>0</v>
      </c>
      <c r="AL57">
        <f t="shared" si="13"/>
        <v>184.17000000000013</v>
      </c>
      <c r="AM57">
        <v>0</v>
      </c>
      <c r="AN57">
        <v>0</v>
      </c>
      <c r="AO57" t="s">
        <v>52</v>
      </c>
      <c r="AP57">
        <v>0</v>
      </c>
      <c r="AQ57">
        <v>0</v>
      </c>
      <c r="AR57" t="s">
        <v>52</v>
      </c>
      <c r="AS57" t="s">
        <v>154</v>
      </c>
      <c r="AT57">
        <v>7</v>
      </c>
    </row>
    <row r="58" spans="1:46" x14ac:dyDescent="0.3">
      <c r="A58">
        <v>918</v>
      </c>
      <c r="B58">
        <v>2244</v>
      </c>
      <c r="C58">
        <v>27551</v>
      </c>
      <c r="D58">
        <v>2024</v>
      </c>
      <c r="E58">
        <v>18</v>
      </c>
      <c r="F58">
        <v>2</v>
      </c>
      <c r="G58" t="s">
        <v>156</v>
      </c>
      <c r="H58" t="s">
        <v>48</v>
      </c>
      <c r="I58" s="5" t="s">
        <v>157</v>
      </c>
      <c r="J58" s="5" t="s">
        <v>166</v>
      </c>
      <c r="K58" s="5" t="s">
        <v>50</v>
      </c>
      <c r="L58" s="4">
        <v>20</v>
      </c>
      <c r="M58" t="s">
        <v>154</v>
      </c>
      <c r="N58" t="s">
        <v>154</v>
      </c>
      <c r="O58" t="s">
        <v>123</v>
      </c>
      <c r="P58" t="s">
        <v>99</v>
      </c>
      <c r="Q58">
        <v>230</v>
      </c>
      <c r="R58">
        <f>IFERROR((J58 - J57)*24,0)</f>
        <v>20.000000000058208</v>
      </c>
      <c r="S58">
        <f t="shared" si="7"/>
        <v>11.49999999996653</v>
      </c>
      <c r="T58" t="s">
        <v>167</v>
      </c>
      <c r="U58">
        <v>0</v>
      </c>
      <c r="V58">
        <v>0</v>
      </c>
      <c r="W58">
        <v>0</v>
      </c>
      <c r="X58">
        <v>0</v>
      </c>
      <c r="Y58">
        <f t="shared" si="8"/>
        <v>0</v>
      </c>
      <c r="Z58">
        <f t="shared" si="9"/>
        <v>0</v>
      </c>
      <c r="AA58">
        <v>0</v>
      </c>
      <c r="AB58">
        <f t="shared" si="12"/>
        <v>0</v>
      </c>
      <c r="AC58">
        <v>10.95</v>
      </c>
      <c r="AD58">
        <v>0.95</v>
      </c>
      <c r="AE58">
        <v>0.04</v>
      </c>
      <c r="AF58">
        <v>0</v>
      </c>
      <c r="AG58">
        <v>0</v>
      </c>
      <c r="AH58">
        <v>0</v>
      </c>
      <c r="AI58">
        <f t="shared" si="10"/>
        <v>11.939999999999998</v>
      </c>
      <c r="AJ58">
        <f t="shared" si="11"/>
        <v>14.327999999958298</v>
      </c>
      <c r="AK58">
        <v>0</v>
      </c>
      <c r="AL58">
        <f t="shared" si="13"/>
        <v>172.23000000000013</v>
      </c>
      <c r="AM58">
        <v>0</v>
      </c>
      <c r="AN58">
        <v>0</v>
      </c>
      <c r="AO58" t="s">
        <v>52</v>
      </c>
      <c r="AP58">
        <v>0</v>
      </c>
      <c r="AQ58">
        <v>0</v>
      </c>
      <c r="AR58" t="s">
        <v>52</v>
      </c>
      <c r="AS58" t="s">
        <v>154</v>
      </c>
      <c r="AT58">
        <v>7</v>
      </c>
    </row>
    <row r="59" spans="1:46" x14ac:dyDescent="0.3">
      <c r="A59">
        <v>918</v>
      </c>
      <c r="B59">
        <v>2244</v>
      </c>
      <c r="C59">
        <v>27552</v>
      </c>
      <c r="D59">
        <v>2024</v>
      </c>
      <c r="E59">
        <v>18</v>
      </c>
      <c r="F59">
        <v>2</v>
      </c>
      <c r="G59" t="s">
        <v>156</v>
      </c>
      <c r="H59" t="s">
        <v>48</v>
      </c>
      <c r="I59" s="5" t="s">
        <v>157</v>
      </c>
      <c r="J59" s="5" t="s">
        <v>168</v>
      </c>
      <c r="K59" s="5" t="s">
        <v>59</v>
      </c>
      <c r="L59" s="4">
        <v>4</v>
      </c>
      <c r="M59" t="s">
        <v>154</v>
      </c>
      <c r="N59" t="s">
        <v>154</v>
      </c>
      <c r="O59" t="s">
        <v>123</v>
      </c>
      <c r="P59" t="s">
        <v>99</v>
      </c>
      <c r="Q59">
        <v>48</v>
      </c>
      <c r="R59">
        <f>IFERROR((J59 - J58)*24,0)</f>
        <v>3.9999999999417923</v>
      </c>
      <c r="S59">
        <f t="shared" si="7"/>
        <v>12.000000000174623</v>
      </c>
      <c r="T59" t="s">
        <v>167</v>
      </c>
      <c r="U59">
        <v>0</v>
      </c>
      <c r="V59">
        <v>0</v>
      </c>
      <c r="W59">
        <v>0</v>
      </c>
      <c r="X59">
        <v>0</v>
      </c>
      <c r="Y59">
        <f t="shared" si="8"/>
        <v>0</v>
      </c>
      <c r="Z59">
        <f t="shared" si="9"/>
        <v>0</v>
      </c>
      <c r="AA59">
        <v>0</v>
      </c>
      <c r="AB59">
        <f t="shared" si="12"/>
        <v>0</v>
      </c>
      <c r="AC59">
        <v>2.19</v>
      </c>
      <c r="AD59">
        <v>0.2</v>
      </c>
      <c r="AE59">
        <v>0</v>
      </c>
      <c r="AF59">
        <v>0</v>
      </c>
      <c r="AG59">
        <v>0</v>
      </c>
      <c r="AH59">
        <v>0</v>
      </c>
      <c r="AI59">
        <f t="shared" si="10"/>
        <v>2.39</v>
      </c>
      <c r="AJ59">
        <f t="shared" si="11"/>
        <v>14.340000000208674</v>
      </c>
      <c r="AK59">
        <v>0</v>
      </c>
      <c r="AL59">
        <f t="shared" si="13"/>
        <v>169.84000000000015</v>
      </c>
      <c r="AM59">
        <v>0</v>
      </c>
      <c r="AN59">
        <v>0</v>
      </c>
      <c r="AO59" t="s">
        <v>52</v>
      </c>
      <c r="AP59">
        <v>0</v>
      </c>
      <c r="AQ59">
        <v>0</v>
      </c>
      <c r="AR59" t="s">
        <v>52</v>
      </c>
      <c r="AS59" t="s">
        <v>154</v>
      </c>
      <c r="AT59">
        <v>7</v>
      </c>
    </row>
    <row r="60" spans="1:46" x14ac:dyDescent="0.3">
      <c r="A60">
        <v>918</v>
      </c>
      <c r="B60">
        <v>2244</v>
      </c>
      <c r="C60">
        <v>27553</v>
      </c>
      <c r="D60">
        <v>2024</v>
      </c>
      <c r="E60">
        <v>18</v>
      </c>
      <c r="F60">
        <v>2</v>
      </c>
      <c r="G60" t="s">
        <v>156</v>
      </c>
      <c r="H60" t="s">
        <v>48</v>
      </c>
      <c r="I60" s="5" t="s">
        <v>157</v>
      </c>
      <c r="J60" s="5" t="s">
        <v>169</v>
      </c>
      <c r="K60" s="5" t="s">
        <v>50</v>
      </c>
      <c r="L60" s="4">
        <v>20</v>
      </c>
      <c r="M60" t="s">
        <v>154</v>
      </c>
      <c r="N60" t="s">
        <v>154</v>
      </c>
      <c r="O60" t="s">
        <v>123</v>
      </c>
      <c r="P60" t="s">
        <v>99</v>
      </c>
      <c r="Q60">
        <v>238</v>
      </c>
      <c r="R60">
        <f>IFERROR((J60 - J59)*24,0)</f>
        <v>20.000000000058208</v>
      </c>
      <c r="S60">
        <f t="shared" si="7"/>
        <v>11.899999999965367</v>
      </c>
      <c r="T60" t="s">
        <v>117</v>
      </c>
      <c r="U60">
        <v>0</v>
      </c>
      <c r="V60">
        <v>0</v>
      </c>
      <c r="W60">
        <v>0</v>
      </c>
      <c r="X60">
        <v>0</v>
      </c>
      <c r="Y60">
        <f t="shared" si="8"/>
        <v>0</v>
      </c>
      <c r="Z60">
        <f t="shared" si="9"/>
        <v>0</v>
      </c>
      <c r="AA60">
        <v>0</v>
      </c>
      <c r="AB60">
        <f t="shared" si="12"/>
        <v>0</v>
      </c>
      <c r="AC60">
        <v>10.93</v>
      </c>
      <c r="AD60">
        <v>0.97</v>
      </c>
      <c r="AE60">
        <v>0.03</v>
      </c>
      <c r="AF60">
        <v>0</v>
      </c>
      <c r="AG60">
        <v>0</v>
      </c>
      <c r="AH60">
        <v>0</v>
      </c>
      <c r="AI60">
        <f t="shared" si="10"/>
        <v>11.93</v>
      </c>
      <c r="AJ60">
        <f t="shared" si="11"/>
        <v>14.315999999958334</v>
      </c>
      <c r="AK60">
        <v>0</v>
      </c>
      <c r="AL60">
        <f t="shared" si="13"/>
        <v>157.91000000000014</v>
      </c>
      <c r="AM60">
        <v>0</v>
      </c>
      <c r="AN60">
        <v>0</v>
      </c>
      <c r="AO60" t="s">
        <v>52</v>
      </c>
      <c r="AP60">
        <v>0</v>
      </c>
      <c r="AQ60">
        <v>0</v>
      </c>
      <c r="AR60" t="s">
        <v>52</v>
      </c>
      <c r="AS60" t="s">
        <v>154</v>
      </c>
      <c r="AT60">
        <v>7</v>
      </c>
    </row>
    <row r="61" spans="1:46" x14ac:dyDescent="0.3">
      <c r="A61">
        <v>918</v>
      </c>
      <c r="B61">
        <v>2244</v>
      </c>
      <c r="C61">
        <v>27554</v>
      </c>
      <c r="D61">
        <v>2024</v>
      </c>
      <c r="E61">
        <v>18</v>
      </c>
      <c r="F61">
        <v>2</v>
      </c>
      <c r="G61" t="s">
        <v>156</v>
      </c>
      <c r="H61" t="s">
        <v>48</v>
      </c>
      <c r="I61" s="5" t="s">
        <v>157</v>
      </c>
      <c r="J61" s="5" t="s">
        <v>170</v>
      </c>
      <c r="K61" s="5" t="s">
        <v>59</v>
      </c>
      <c r="L61" s="4">
        <v>4</v>
      </c>
      <c r="M61" t="s">
        <v>154</v>
      </c>
      <c r="N61" t="s">
        <v>60</v>
      </c>
      <c r="O61" t="s">
        <v>52</v>
      </c>
      <c r="P61" t="s">
        <v>99</v>
      </c>
      <c r="Q61">
        <v>48</v>
      </c>
      <c r="R61">
        <f>IFERROR((J61 - J60)*24,0)</f>
        <v>3.9999999999417923</v>
      </c>
      <c r="S61">
        <f t="shared" si="7"/>
        <v>12.000000000174623</v>
      </c>
      <c r="T61" t="s">
        <v>94</v>
      </c>
      <c r="U61">
        <v>0</v>
      </c>
      <c r="V61">
        <v>0</v>
      </c>
      <c r="W61">
        <v>0</v>
      </c>
      <c r="X61">
        <v>0</v>
      </c>
      <c r="Y61">
        <f t="shared" si="8"/>
        <v>0</v>
      </c>
      <c r="Z61">
        <f t="shared" si="9"/>
        <v>0</v>
      </c>
      <c r="AA61">
        <v>0</v>
      </c>
      <c r="AB61">
        <f t="shared" si="12"/>
        <v>0</v>
      </c>
      <c r="AC61">
        <v>2.04</v>
      </c>
      <c r="AD61">
        <v>0.19</v>
      </c>
      <c r="AE61">
        <v>0.01</v>
      </c>
      <c r="AF61">
        <v>0</v>
      </c>
      <c r="AG61">
        <v>0</v>
      </c>
      <c r="AH61">
        <v>0</v>
      </c>
      <c r="AI61">
        <f t="shared" si="10"/>
        <v>2.2399999999999998</v>
      </c>
      <c r="AJ61">
        <f t="shared" si="11"/>
        <v>13.440000000195575</v>
      </c>
      <c r="AK61">
        <v>0</v>
      </c>
      <c r="AL61">
        <f t="shared" si="13"/>
        <v>155.67000000000013</v>
      </c>
      <c r="AM61">
        <v>0</v>
      </c>
      <c r="AN61">
        <v>0</v>
      </c>
      <c r="AO61" t="s">
        <v>52</v>
      </c>
      <c r="AP61">
        <v>0</v>
      </c>
      <c r="AQ61">
        <v>0</v>
      </c>
      <c r="AR61" t="s">
        <v>52</v>
      </c>
      <c r="AS61" t="s">
        <v>154</v>
      </c>
      <c r="AT61">
        <v>7</v>
      </c>
    </row>
    <row r="62" spans="1:46" x14ac:dyDescent="0.3">
      <c r="A62">
        <v>918</v>
      </c>
      <c r="B62">
        <v>2244</v>
      </c>
      <c r="C62">
        <v>27555</v>
      </c>
      <c r="D62">
        <v>2024</v>
      </c>
      <c r="E62">
        <v>18</v>
      </c>
      <c r="F62">
        <v>2</v>
      </c>
      <c r="G62" t="s">
        <v>156</v>
      </c>
      <c r="H62" t="s">
        <v>48</v>
      </c>
      <c r="I62" s="5" t="s">
        <v>157</v>
      </c>
      <c r="J62" s="5" t="s">
        <v>171</v>
      </c>
      <c r="K62" s="5" t="s">
        <v>172</v>
      </c>
      <c r="L62" s="4">
        <v>8.5</v>
      </c>
      <c r="M62" t="s">
        <v>60</v>
      </c>
      <c r="N62" t="s">
        <v>51</v>
      </c>
      <c r="O62" t="s">
        <v>52</v>
      </c>
      <c r="P62" t="s">
        <v>173</v>
      </c>
      <c r="Q62">
        <v>84</v>
      </c>
      <c r="R62">
        <f>IFERROR((J62 - J61)*24,0)</f>
        <v>8.4999999999417923</v>
      </c>
      <c r="S62">
        <f t="shared" si="7"/>
        <v>9.8823529412441449</v>
      </c>
      <c r="T62" t="s">
        <v>174</v>
      </c>
      <c r="U62">
        <v>0</v>
      </c>
      <c r="V62">
        <v>0</v>
      </c>
      <c r="W62">
        <v>0</v>
      </c>
      <c r="X62">
        <v>0</v>
      </c>
      <c r="Y62">
        <f t="shared" si="8"/>
        <v>0</v>
      </c>
      <c r="Z62">
        <f t="shared" si="9"/>
        <v>0</v>
      </c>
      <c r="AA62">
        <v>0</v>
      </c>
      <c r="AB62">
        <f t="shared" si="12"/>
        <v>0</v>
      </c>
      <c r="AC62">
        <v>0</v>
      </c>
      <c r="AD62">
        <v>4.59</v>
      </c>
      <c r="AE62">
        <v>0.47</v>
      </c>
      <c r="AF62">
        <v>0</v>
      </c>
      <c r="AG62">
        <v>0</v>
      </c>
      <c r="AH62">
        <v>0.02</v>
      </c>
      <c r="AI62">
        <f t="shared" si="10"/>
        <v>5.0799999999999992</v>
      </c>
      <c r="AJ62">
        <f t="shared" si="11"/>
        <v>14.343529411862928</v>
      </c>
      <c r="AK62">
        <v>0</v>
      </c>
      <c r="AL62">
        <f t="shared" si="13"/>
        <v>150.59000000000012</v>
      </c>
      <c r="AM62">
        <v>0</v>
      </c>
      <c r="AN62">
        <v>0</v>
      </c>
      <c r="AO62" t="s">
        <v>52</v>
      </c>
      <c r="AP62">
        <v>0</v>
      </c>
      <c r="AQ62">
        <v>0</v>
      </c>
      <c r="AR62" t="s">
        <v>52</v>
      </c>
      <c r="AS62" t="s">
        <v>60</v>
      </c>
      <c r="AT62">
        <v>7</v>
      </c>
    </row>
    <row r="63" spans="1:46" x14ac:dyDescent="0.3">
      <c r="A63">
        <v>918</v>
      </c>
      <c r="B63">
        <v>2244</v>
      </c>
      <c r="C63">
        <v>27556</v>
      </c>
      <c r="D63">
        <v>2024</v>
      </c>
      <c r="E63">
        <v>18</v>
      </c>
      <c r="F63">
        <v>2</v>
      </c>
      <c r="G63" t="s">
        <v>156</v>
      </c>
      <c r="H63" t="s">
        <v>48</v>
      </c>
      <c r="I63" s="5" t="s">
        <v>157</v>
      </c>
      <c r="J63" s="5" t="s">
        <v>175</v>
      </c>
      <c r="K63" s="5" t="s">
        <v>50</v>
      </c>
      <c r="L63" s="4">
        <v>11.2</v>
      </c>
      <c r="M63" t="s">
        <v>51</v>
      </c>
      <c r="N63" t="s">
        <v>51</v>
      </c>
      <c r="O63" t="s">
        <v>52</v>
      </c>
      <c r="P63" t="s">
        <v>176</v>
      </c>
      <c r="Q63">
        <v>0</v>
      </c>
      <c r="R63">
        <f>IFERROR((J63 - J62)*24,0)</f>
        <v>11.500000000116415</v>
      </c>
      <c r="S63">
        <f t="shared" si="7"/>
        <v>0</v>
      </c>
      <c r="T63" t="s">
        <v>128</v>
      </c>
      <c r="U63">
        <v>0</v>
      </c>
      <c r="V63">
        <v>0</v>
      </c>
      <c r="W63">
        <v>0</v>
      </c>
      <c r="X63">
        <v>0</v>
      </c>
      <c r="Y63">
        <f t="shared" si="8"/>
        <v>0</v>
      </c>
      <c r="Z63">
        <f t="shared" si="9"/>
        <v>0</v>
      </c>
      <c r="AA63">
        <v>0</v>
      </c>
      <c r="AB63">
        <f t="shared" si="12"/>
        <v>0</v>
      </c>
      <c r="AC63">
        <v>0</v>
      </c>
      <c r="AD63">
        <v>0.39</v>
      </c>
      <c r="AE63">
        <v>0.5</v>
      </c>
      <c r="AF63">
        <v>0</v>
      </c>
      <c r="AG63">
        <v>0</v>
      </c>
      <c r="AH63">
        <v>0.05</v>
      </c>
      <c r="AI63">
        <f t="shared" si="10"/>
        <v>0.94000000000000006</v>
      </c>
      <c r="AJ63">
        <f t="shared" si="11"/>
        <v>1.9617391304149239</v>
      </c>
      <c r="AK63">
        <v>0</v>
      </c>
      <c r="AL63">
        <f t="shared" si="13"/>
        <v>149.65000000000012</v>
      </c>
      <c r="AM63">
        <v>0</v>
      </c>
      <c r="AN63">
        <v>0</v>
      </c>
      <c r="AO63" t="s">
        <v>52</v>
      </c>
      <c r="AP63">
        <v>0</v>
      </c>
      <c r="AQ63">
        <v>0</v>
      </c>
      <c r="AR63" t="s">
        <v>52</v>
      </c>
      <c r="AS63" t="s">
        <v>51</v>
      </c>
      <c r="AT63">
        <v>7</v>
      </c>
    </row>
    <row r="64" spans="1:46" x14ac:dyDescent="0.3">
      <c r="A64">
        <v>918</v>
      </c>
      <c r="B64">
        <v>2244</v>
      </c>
      <c r="C64">
        <v>27557</v>
      </c>
      <c r="D64">
        <v>2024</v>
      </c>
      <c r="E64">
        <v>18</v>
      </c>
      <c r="F64">
        <v>2</v>
      </c>
      <c r="G64" t="s">
        <v>156</v>
      </c>
      <c r="H64" t="s">
        <v>48</v>
      </c>
      <c r="I64" s="5" t="s">
        <v>157</v>
      </c>
      <c r="J64" s="5" t="s">
        <v>177</v>
      </c>
      <c r="K64" s="5" t="s">
        <v>59</v>
      </c>
      <c r="L64" s="4">
        <v>4</v>
      </c>
      <c r="M64" t="s">
        <v>51</v>
      </c>
      <c r="N64" t="s">
        <v>51</v>
      </c>
      <c r="O64" t="s">
        <v>52</v>
      </c>
      <c r="P64" t="s">
        <v>176</v>
      </c>
      <c r="Q64">
        <v>0</v>
      </c>
      <c r="R64">
        <f>IFERROR((J64 - J63)*24,0)</f>
        <v>3.9999999999417923</v>
      </c>
      <c r="S64">
        <f t="shared" si="7"/>
        <v>0</v>
      </c>
      <c r="T64" t="s">
        <v>117</v>
      </c>
      <c r="U64">
        <v>0</v>
      </c>
      <c r="V64">
        <v>0</v>
      </c>
      <c r="W64">
        <v>0</v>
      </c>
      <c r="X64">
        <v>0</v>
      </c>
      <c r="Y64">
        <f t="shared" si="8"/>
        <v>0</v>
      </c>
      <c r="Z64">
        <f t="shared" si="9"/>
        <v>0</v>
      </c>
      <c r="AA64">
        <v>0</v>
      </c>
      <c r="AB64">
        <f t="shared" si="12"/>
        <v>0</v>
      </c>
      <c r="AC64">
        <v>0</v>
      </c>
      <c r="AD64">
        <v>0.01</v>
      </c>
      <c r="AE64">
        <v>0.2</v>
      </c>
      <c r="AF64">
        <v>0</v>
      </c>
      <c r="AG64">
        <v>0</v>
      </c>
      <c r="AH64">
        <v>0.03</v>
      </c>
      <c r="AI64">
        <f t="shared" si="10"/>
        <v>0.24000000000000002</v>
      </c>
      <c r="AJ64">
        <f t="shared" si="11"/>
        <v>1.440000000020955</v>
      </c>
      <c r="AK64">
        <v>0</v>
      </c>
      <c r="AL64">
        <f t="shared" si="13"/>
        <v>149.41000000000011</v>
      </c>
      <c r="AM64">
        <v>0</v>
      </c>
      <c r="AN64">
        <v>0</v>
      </c>
      <c r="AO64" t="s">
        <v>52</v>
      </c>
      <c r="AP64">
        <v>0</v>
      </c>
      <c r="AQ64">
        <v>0</v>
      </c>
      <c r="AR64" t="s">
        <v>52</v>
      </c>
      <c r="AS64" t="s">
        <v>51</v>
      </c>
      <c r="AT64">
        <v>7</v>
      </c>
    </row>
    <row r="65" spans="1:46" x14ac:dyDescent="0.3">
      <c r="A65">
        <v>918</v>
      </c>
      <c r="B65">
        <v>2244</v>
      </c>
      <c r="C65">
        <v>27558</v>
      </c>
      <c r="D65">
        <v>2024</v>
      </c>
      <c r="E65">
        <v>18</v>
      </c>
      <c r="F65">
        <v>2</v>
      </c>
      <c r="G65" t="s">
        <v>156</v>
      </c>
      <c r="H65" t="s">
        <v>48</v>
      </c>
      <c r="I65" s="5" t="s">
        <v>157</v>
      </c>
      <c r="J65" s="5" t="s">
        <v>178</v>
      </c>
      <c r="K65" s="5" t="s">
        <v>50</v>
      </c>
      <c r="L65" s="4">
        <v>20</v>
      </c>
      <c r="M65" t="s">
        <v>51</v>
      </c>
      <c r="N65" t="s">
        <v>51</v>
      </c>
      <c r="O65" t="s">
        <v>52</v>
      </c>
      <c r="P65" t="s">
        <v>176</v>
      </c>
      <c r="Q65">
        <v>0</v>
      </c>
      <c r="R65">
        <f>IFERROR((J65 - J64)*24,0)</f>
        <v>20.000000000058208</v>
      </c>
      <c r="S65">
        <f t="shared" si="7"/>
        <v>0</v>
      </c>
      <c r="T65" t="s">
        <v>125</v>
      </c>
      <c r="U65">
        <v>0</v>
      </c>
      <c r="V65">
        <v>0</v>
      </c>
      <c r="W65">
        <v>0</v>
      </c>
      <c r="X65">
        <v>0</v>
      </c>
      <c r="Y65">
        <f t="shared" si="8"/>
        <v>0</v>
      </c>
      <c r="Z65">
        <f t="shared" si="9"/>
        <v>0</v>
      </c>
      <c r="AA65">
        <v>0</v>
      </c>
      <c r="AB65">
        <f t="shared" si="12"/>
        <v>0</v>
      </c>
      <c r="AC65">
        <v>0</v>
      </c>
      <c r="AD65">
        <v>0.73</v>
      </c>
      <c r="AE65">
        <v>0.11</v>
      </c>
      <c r="AF65">
        <v>0</v>
      </c>
      <c r="AG65">
        <v>0</v>
      </c>
      <c r="AH65">
        <v>0</v>
      </c>
      <c r="AI65">
        <f t="shared" si="10"/>
        <v>0.84</v>
      </c>
      <c r="AJ65">
        <f t="shared" si="11"/>
        <v>1.0079999999970664</v>
      </c>
      <c r="AK65">
        <v>0</v>
      </c>
      <c r="AL65">
        <f t="shared" si="13"/>
        <v>148.57000000000011</v>
      </c>
      <c r="AM65">
        <v>0</v>
      </c>
      <c r="AN65">
        <v>0</v>
      </c>
      <c r="AO65" t="s">
        <v>52</v>
      </c>
      <c r="AP65">
        <v>0</v>
      </c>
      <c r="AQ65">
        <v>0</v>
      </c>
      <c r="AR65" t="s">
        <v>52</v>
      </c>
      <c r="AS65" t="s">
        <v>51</v>
      </c>
      <c r="AT65">
        <v>7</v>
      </c>
    </row>
    <row r="66" spans="1:46" x14ac:dyDescent="0.3">
      <c r="A66">
        <v>918</v>
      </c>
      <c r="B66">
        <v>2244</v>
      </c>
      <c r="C66">
        <v>27823</v>
      </c>
      <c r="D66">
        <v>2024</v>
      </c>
      <c r="E66">
        <v>18</v>
      </c>
      <c r="F66">
        <v>2</v>
      </c>
      <c r="G66" t="s">
        <v>156</v>
      </c>
      <c r="H66" t="s">
        <v>48</v>
      </c>
      <c r="I66" s="5" t="s">
        <v>157</v>
      </c>
      <c r="J66" s="5" t="s">
        <v>179</v>
      </c>
      <c r="K66" s="5" t="s">
        <v>59</v>
      </c>
      <c r="L66" s="4">
        <v>4</v>
      </c>
      <c r="M66" t="s">
        <v>51</v>
      </c>
      <c r="N66" s="7" t="s">
        <v>51</v>
      </c>
      <c r="O66" s="7" t="s">
        <v>52</v>
      </c>
      <c r="P66" t="s">
        <v>176</v>
      </c>
      <c r="Q66">
        <v>0</v>
      </c>
      <c r="R66">
        <f>IFERROR((J66 - J65)*24,0)</f>
        <v>3.9999999999417923</v>
      </c>
      <c r="S66">
        <f t="shared" si="7"/>
        <v>0</v>
      </c>
      <c r="T66" t="s">
        <v>180</v>
      </c>
      <c r="U66">
        <v>0</v>
      </c>
      <c r="V66">
        <v>0</v>
      </c>
      <c r="W66">
        <v>0</v>
      </c>
      <c r="X66">
        <v>0</v>
      </c>
      <c r="Y66">
        <f t="shared" si="8"/>
        <v>0</v>
      </c>
      <c r="Z66">
        <f t="shared" si="9"/>
        <v>0</v>
      </c>
      <c r="AA66">
        <v>0</v>
      </c>
      <c r="AB66">
        <f t="shared" si="12"/>
        <v>0</v>
      </c>
      <c r="AC66">
        <v>0</v>
      </c>
      <c r="AD66">
        <v>0</v>
      </c>
      <c r="AE66">
        <v>0.14000000000000001</v>
      </c>
      <c r="AF66">
        <v>0</v>
      </c>
      <c r="AG66">
        <v>0</v>
      </c>
      <c r="AH66">
        <v>0.02</v>
      </c>
      <c r="AI66">
        <f t="shared" si="10"/>
        <v>0.16</v>
      </c>
      <c r="AJ66">
        <f t="shared" si="11"/>
        <v>0.96000000001396979</v>
      </c>
      <c r="AK66">
        <v>0</v>
      </c>
      <c r="AL66">
        <f t="shared" si="13"/>
        <v>148.41000000000011</v>
      </c>
      <c r="AM66">
        <v>0</v>
      </c>
      <c r="AN66">
        <v>0</v>
      </c>
      <c r="AO66" t="s">
        <v>52</v>
      </c>
      <c r="AP66">
        <v>0</v>
      </c>
      <c r="AQ66">
        <v>0</v>
      </c>
      <c r="AR66" t="s">
        <v>52</v>
      </c>
      <c r="AS66" t="s">
        <v>51</v>
      </c>
      <c r="AT66">
        <v>7</v>
      </c>
    </row>
    <row r="67" spans="1:46" s="7" customFormat="1" x14ac:dyDescent="0.3">
      <c r="A67" s="7">
        <v>918</v>
      </c>
      <c r="B67" s="7">
        <v>2244</v>
      </c>
      <c r="C67" s="7">
        <v>27826</v>
      </c>
      <c r="D67" s="7">
        <v>2024</v>
      </c>
      <c r="E67" s="7">
        <v>18</v>
      </c>
      <c r="F67" s="7">
        <v>2</v>
      </c>
      <c r="G67" s="7" t="s">
        <v>156</v>
      </c>
      <c r="H67" s="7" t="s">
        <v>48</v>
      </c>
      <c r="I67" s="5" t="s">
        <v>157</v>
      </c>
      <c r="J67" s="8" t="s">
        <v>181</v>
      </c>
      <c r="K67" s="8" t="s">
        <v>182</v>
      </c>
      <c r="L67" s="7">
        <v>182.68299999999999</v>
      </c>
      <c r="M67" s="7" t="s">
        <v>51</v>
      </c>
      <c r="N67" t="s">
        <v>60</v>
      </c>
      <c r="O67" t="s">
        <v>52</v>
      </c>
      <c r="P67" s="7" t="s">
        <v>183</v>
      </c>
      <c r="Q67" s="7">
        <v>0</v>
      </c>
      <c r="R67" s="7">
        <f>IFERROR((J67 - J66)*24,0)</f>
        <v>7.6666666666860692</v>
      </c>
      <c r="S67" s="7">
        <f t="shared" si="7"/>
        <v>0</v>
      </c>
      <c r="T67" s="7" t="s">
        <v>90</v>
      </c>
      <c r="U67" s="7">
        <v>0</v>
      </c>
      <c r="V67" s="7">
        <v>0</v>
      </c>
      <c r="W67" s="7">
        <v>0</v>
      </c>
      <c r="X67" s="7">
        <v>0</v>
      </c>
      <c r="Y67" s="7">
        <f t="shared" si="8"/>
        <v>0</v>
      </c>
      <c r="Z67" s="7">
        <f t="shared" si="9"/>
        <v>0</v>
      </c>
      <c r="AA67" s="7">
        <v>0</v>
      </c>
      <c r="AB67" s="7">
        <f t="shared" si="12"/>
        <v>0</v>
      </c>
      <c r="AC67" s="7">
        <v>0</v>
      </c>
      <c r="AD67" s="7">
        <v>0.28999999999999998</v>
      </c>
      <c r="AE67" s="7">
        <v>0.05</v>
      </c>
      <c r="AF67" s="7">
        <v>0</v>
      </c>
      <c r="AG67" s="7">
        <v>0</v>
      </c>
      <c r="AH67" s="7">
        <v>0</v>
      </c>
      <c r="AI67" s="7">
        <f t="shared" si="10"/>
        <v>0.33999999999999997</v>
      </c>
      <c r="AJ67" s="7">
        <f t="shared" si="11"/>
        <v>1.0643478260842629</v>
      </c>
      <c r="AK67" s="7">
        <v>0</v>
      </c>
      <c r="AL67" s="7">
        <f t="shared" si="13"/>
        <v>148.07000000000011</v>
      </c>
      <c r="AM67" s="7">
        <v>0</v>
      </c>
      <c r="AN67" s="7">
        <v>0</v>
      </c>
      <c r="AO67" s="7" t="s">
        <v>52</v>
      </c>
      <c r="AP67" s="7">
        <v>0</v>
      </c>
      <c r="AQ67" s="7">
        <v>0</v>
      </c>
      <c r="AR67" s="7" t="s">
        <v>52</v>
      </c>
      <c r="AS67" s="7" t="s">
        <v>51</v>
      </c>
      <c r="AT67" s="7">
        <v>7</v>
      </c>
    </row>
    <row r="68" spans="1:46" x14ac:dyDescent="0.3">
      <c r="A68">
        <v>918</v>
      </c>
      <c r="B68">
        <v>2244</v>
      </c>
      <c r="C68">
        <v>27827</v>
      </c>
      <c r="D68">
        <v>2024</v>
      </c>
      <c r="E68">
        <v>18</v>
      </c>
      <c r="F68">
        <v>2</v>
      </c>
      <c r="G68" t="s">
        <v>156</v>
      </c>
      <c r="H68" t="s">
        <v>48</v>
      </c>
      <c r="I68" s="5" t="s">
        <v>157</v>
      </c>
      <c r="J68" s="5" t="s">
        <v>184</v>
      </c>
      <c r="K68" s="5" t="s">
        <v>185</v>
      </c>
      <c r="L68" s="4">
        <v>6.633</v>
      </c>
      <c r="M68" t="s">
        <v>60</v>
      </c>
      <c r="N68" t="s">
        <v>104</v>
      </c>
      <c r="O68" t="s">
        <v>52</v>
      </c>
      <c r="P68" t="s">
        <v>186</v>
      </c>
      <c r="Q68">
        <v>6</v>
      </c>
      <c r="R68">
        <f>IFERROR((J68 - J67)*24,0)</f>
        <v>6.6333333333022892</v>
      </c>
      <c r="S68">
        <f t="shared" si="7"/>
        <v>0.90452261306955983</v>
      </c>
      <c r="T68" t="s">
        <v>187</v>
      </c>
      <c r="U68">
        <v>0</v>
      </c>
      <c r="V68">
        <v>0</v>
      </c>
      <c r="W68">
        <v>0</v>
      </c>
      <c r="X68">
        <v>0</v>
      </c>
      <c r="Y68">
        <f t="shared" si="8"/>
        <v>0</v>
      </c>
      <c r="Z68">
        <f t="shared" si="9"/>
        <v>0</v>
      </c>
      <c r="AA68">
        <v>0</v>
      </c>
      <c r="AB68">
        <f t="shared" si="12"/>
        <v>0</v>
      </c>
      <c r="AC68">
        <v>1.37</v>
      </c>
      <c r="AD68">
        <v>0.39</v>
      </c>
      <c r="AE68">
        <v>0.02</v>
      </c>
      <c r="AF68">
        <v>0</v>
      </c>
      <c r="AG68">
        <v>0</v>
      </c>
      <c r="AH68">
        <v>0</v>
      </c>
      <c r="AI68">
        <f t="shared" si="10"/>
        <v>1.7800000000000002</v>
      </c>
      <c r="AJ68">
        <f t="shared" si="11"/>
        <v>6.4402010050552665</v>
      </c>
      <c r="AK68">
        <v>0</v>
      </c>
      <c r="AL68">
        <f t="shared" si="13"/>
        <v>146.29000000000011</v>
      </c>
      <c r="AM68">
        <v>0</v>
      </c>
      <c r="AN68">
        <v>0</v>
      </c>
      <c r="AO68" t="s">
        <v>52</v>
      </c>
      <c r="AP68">
        <v>0</v>
      </c>
      <c r="AQ68">
        <v>0</v>
      </c>
      <c r="AR68" t="s">
        <v>52</v>
      </c>
      <c r="AS68" t="s">
        <v>60</v>
      </c>
      <c r="AT68">
        <v>7</v>
      </c>
    </row>
    <row r="69" spans="1:46" x14ac:dyDescent="0.3">
      <c r="A69">
        <v>918</v>
      </c>
      <c r="B69">
        <v>2244</v>
      </c>
      <c r="C69">
        <v>27828</v>
      </c>
      <c r="D69">
        <v>2024</v>
      </c>
      <c r="E69">
        <v>18</v>
      </c>
      <c r="F69">
        <v>2</v>
      </c>
      <c r="G69" t="s">
        <v>156</v>
      </c>
      <c r="H69" t="s">
        <v>48</v>
      </c>
      <c r="I69" s="5" t="s">
        <v>157</v>
      </c>
      <c r="J69" s="5" t="s">
        <v>188</v>
      </c>
      <c r="K69" s="5" t="s">
        <v>50</v>
      </c>
      <c r="L69" s="4">
        <v>5.7</v>
      </c>
      <c r="M69" t="s">
        <v>104</v>
      </c>
      <c r="N69" t="s">
        <v>104</v>
      </c>
      <c r="O69" t="s">
        <v>52</v>
      </c>
      <c r="P69" t="s">
        <v>186</v>
      </c>
      <c r="Q69">
        <v>0</v>
      </c>
      <c r="R69">
        <f>IFERROR((J69 - J68)*24,0)</f>
        <v>5.7000000000698492</v>
      </c>
      <c r="S69">
        <f t="shared" si="7"/>
        <v>0</v>
      </c>
      <c r="T69" t="s">
        <v>52</v>
      </c>
      <c r="U69">
        <v>0</v>
      </c>
      <c r="V69">
        <v>0</v>
      </c>
      <c r="W69">
        <v>0</v>
      </c>
      <c r="X69">
        <v>0</v>
      </c>
      <c r="Y69">
        <f t="shared" si="8"/>
        <v>0</v>
      </c>
      <c r="Z69">
        <f t="shared" si="9"/>
        <v>0</v>
      </c>
      <c r="AA69">
        <v>0</v>
      </c>
      <c r="AB69">
        <f t="shared" si="12"/>
        <v>0</v>
      </c>
      <c r="AC69">
        <v>0.01</v>
      </c>
      <c r="AD69">
        <v>0.44</v>
      </c>
      <c r="AE69">
        <v>0.03</v>
      </c>
      <c r="AF69">
        <v>0</v>
      </c>
      <c r="AG69">
        <v>0</v>
      </c>
      <c r="AH69">
        <v>0</v>
      </c>
      <c r="AI69">
        <f t="shared" si="10"/>
        <v>0.48</v>
      </c>
      <c r="AJ69">
        <f t="shared" si="11"/>
        <v>2.021052631554181</v>
      </c>
      <c r="AK69">
        <v>0</v>
      </c>
      <c r="AL69">
        <f t="shared" si="13"/>
        <v>145.81000000000012</v>
      </c>
      <c r="AM69">
        <v>0</v>
      </c>
      <c r="AN69">
        <v>0</v>
      </c>
      <c r="AO69" t="s">
        <v>52</v>
      </c>
      <c r="AP69">
        <v>0</v>
      </c>
      <c r="AQ69">
        <v>0</v>
      </c>
      <c r="AR69" t="s">
        <v>52</v>
      </c>
      <c r="AS69" t="s">
        <v>104</v>
      </c>
      <c r="AT69">
        <v>7</v>
      </c>
    </row>
    <row r="70" spans="1:46" x14ac:dyDescent="0.3">
      <c r="A70">
        <v>918</v>
      </c>
      <c r="B70">
        <v>2244</v>
      </c>
      <c r="C70">
        <v>27829</v>
      </c>
      <c r="D70">
        <v>2024</v>
      </c>
      <c r="E70">
        <v>18</v>
      </c>
      <c r="F70">
        <v>2</v>
      </c>
      <c r="G70" t="s">
        <v>156</v>
      </c>
      <c r="H70" t="s">
        <v>48</v>
      </c>
      <c r="I70" s="5" t="s">
        <v>157</v>
      </c>
      <c r="J70" s="5" t="s">
        <v>189</v>
      </c>
      <c r="K70" s="5" t="s">
        <v>59</v>
      </c>
      <c r="L70" s="4">
        <v>4</v>
      </c>
      <c r="M70" t="s">
        <v>104</v>
      </c>
      <c r="N70" s="7" t="s">
        <v>60</v>
      </c>
      <c r="O70" s="7" t="s">
        <v>52</v>
      </c>
      <c r="P70" t="s">
        <v>186</v>
      </c>
      <c r="Q70">
        <v>0</v>
      </c>
      <c r="R70">
        <f>IFERROR((J70 - J69)*24,0)</f>
        <v>3.9999999999417923</v>
      </c>
      <c r="S70">
        <f t="shared" ref="S70:S101" si="14">IF(ISERROR(Q70/R70),0,Q70/R70)</f>
        <v>0</v>
      </c>
      <c r="T70" t="s">
        <v>52</v>
      </c>
      <c r="U70">
        <v>0</v>
      </c>
      <c r="V70">
        <v>0</v>
      </c>
      <c r="W70">
        <v>0</v>
      </c>
      <c r="X70">
        <v>0</v>
      </c>
      <c r="Y70">
        <f t="shared" ref="Y70:Y101" si="15">SUM(U70:X70)</f>
        <v>0</v>
      </c>
      <c r="Z70">
        <f t="shared" ref="Z70:Z101" si="16">IF(ISERROR(Y70*24/R70),0,Y70*24/R70)</f>
        <v>0</v>
      </c>
      <c r="AA70">
        <v>0</v>
      </c>
      <c r="AB70">
        <f t="shared" si="12"/>
        <v>0</v>
      </c>
      <c r="AC70">
        <v>0</v>
      </c>
      <c r="AD70">
        <v>0.44</v>
      </c>
      <c r="AE70">
        <v>0.03</v>
      </c>
      <c r="AF70">
        <v>0</v>
      </c>
      <c r="AG70">
        <v>0</v>
      </c>
      <c r="AH70">
        <v>0</v>
      </c>
      <c r="AI70">
        <f t="shared" ref="AI70:AI101" si="17">SUM(AC70:AH70)</f>
        <v>0.47</v>
      </c>
      <c r="AJ70">
        <f t="shared" ref="AJ70:AJ101" si="18">IF(ISERROR(AI70*24/R70),0,AI70*24/R70)</f>
        <v>2.8200000000410363</v>
      </c>
      <c r="AK70">
        <v>0</v>
      </c>
      <c r="AL70">
        <f t="shared" si="13"/>
        <v>145.34000000000012</v>
      </c>
      <c r="AM70">
        <v>0</v>
      </c>
      <c r="AN70">
        <v>0</v>
      </c>
      <c r="AO70" t="s">
        <v>52</v>
      </c>
      <c r="AP70">
        <v>0</v>
      </c>
      <c r="AQ70">
        <v>0</v>
      </c>
      <c r="AR70" t="s">
        <v>52</v>
      </c>
      <c r="AS70" t="s">
        <v>104</v>
      </c>
      <c r="AT70">
        <v>7</v>
      </c>
    </row>
    <row r="71" spans="1:46" s="7" customFormat="1" x14ac:dyDescent="0.3">
      <c r="A71" s="7">
        <v>918</v>
      </c>
      <c r="B71" s="7">
        <v>2244</v>
      </c>
      <c r="C71" s="7">
        <v>27830</v>
      </c>
      <c r="D71" s="7">
        <v>2024</v>
      </c>
      <c r="E71" s="7">
        <v>18</v>
      </c>
      <c r="F71" s="7">
        <v>2</v>
      </c>
      <c r="G71" s="7" t="s">
        <v>156</v>
      </c>
      <c r="H71" s="7" t="s">
        <v>48</v>
      </c>
      <c r="I71" s="5" t="s">
        <v>157</v>
      </c>
      <c r="J71" s="8" t="s">
        <v>190</v>
      </c>
      <c r="K71" s="8" t="s">
        <v>191</v>
      </c>
      <c r="L71" s="7">
        <v>-7.5</v>
      </c>
      <c r="M71" s="7" t="s">
        <v>60</v>
      </c>
      <c r="N71" t="s">
        <v>110</v>
      </c>
      <c r="O71" t="s">
        <v>52</v>
      </c>
      <c r="P71" s="7" t="s">
        <v>192</v>
      </c>
      <c r="Q71" s="7">
        <v>0</v>
      </c>
      <c r="R71" s="7">
        <f>IFERROR((J71 - J70)*24,0)</f>
        <v>16.5</v>
      </c>
      <c r="S71" s="7">
        <f t="shared" si="14"/>
        <v>0</v>
      </c>
      <c r="T71" s="7" t="s">
        <v>90</v>
      </c>
      <c r="U71" s="7">
        <v>0</v>
      </c>
      <c r="V71" s="7">
        <v>0</v>
      </c>
      <c r="W71" s="7">
        <v>0</v>
      </c>
      <c r="X71" s="7">
        <v>0</v>
      </c>
      <c r="Y71" s="7">
        <f t="shared" si="15"/>
        <v>0</v>
      </c>
      <c r="Z71" s="7">
        <f t="shared" si="16"/>
        <v>0</v>
      </c>
      <c r="AA71" s="7">
        <v>0</v>
      </c>
      <c r="AB71" s="7">
        <f t="shared" ref="AB71:AB102" si="19">AB70-Y71+AA71</f>
        <v>0</v>
      </c>
      <c r="AC71" s="7">
        <v>0</v>
      </c>
      <c r="AD71" s="7">
        <v>1.61</v>
      </c>
      <c r="AE71" s="7">
        <v>0.1</v>
      </c>
      <c r="AF71" s="7">
        <v>0</v>
      </c>
      <c r="AG71" s="7">
        <v>0</v>
      </c>
      <c r="AH71" s="7">
        <v>0</v>
      </c>
      <c r="AI71" s="7">
        <f t="shared" si="17"/>
        <v>1.7100000000000002</v>
      </c>
      <c r="AJ71" s="7">
        <f t="shared" si="18"/>
        <v>2.4872727272727277</v>
      </c>
      <c r="AK71" s="7">
        <v>0</v>
      </c>
      <c r="AL71" s="7">
        <f t="shared" ref="AL71:AL102" si="20">AL70-AI71+AK71</f>
        <v>143.63000000000011</v>
      </c>
      <c r="AM71" s="7">
        <v>0</v>
      </c>
      <c r="AN71" s="7">
        <v>0</v>
      </c>
      <c r="AO71" s="7" t="s">
        <v>52</v>
      </c>
      <c r="AP71" s="7">
        <v>0</v>
      </c>
      <c r="AQ71" s="7">
        <v>0</v>
      </c>
      <c r="AR71" s="7" t="s">
        <v>52</v>
      </c>
      <c r="AS71" s="7" t="s">
        <v>60</v>
      </c>
      <c r="AT71" s="7">
        <v>7</v>
      </c>
    </row>
    <row r="72" spans="1:46" x14ac:dyDescent="0.3">
      <c r="A72">
        <v>918</v>
      </c>
      <c r="B72">
        <v>2244</v>
      </c>
      <c r="C72">
        <v>27831</v>
      </c>
      <c r="D72">
        <v>2024</v>
      </c>
      <c r="E72">
        <v>18</v>
      </c>
      <c r="F72">
        <v>2</v>
      </c>
      <c r="G72" t="s">
        <v>156</v>
      </c>
      <c r="H72" t="s">
        <v>48</v>
      </c>
      <c r="I72" s="5" t="s">
        <v>157</v>
      </c>
      <c r="J72" s="5" t="s">
        <v>193</v>
      </c>
      <c r="K72" s="5" t="s">
        <v>194</v>
      </c>
      <c r="L72" s="4">
        <v>2.2000000000000002</v>
      </c>
      <c r="M72" t="s">
        <v>110</v>
      </c>
      <c r="N72" t="s">
        <v>110</v>
      </c>
      <c r="O72" t="s">
        <v>52</v>
      </c>
      <c r="P72" t="s">
        <v>195</v>
      </c>
      <c r="Q72">
        <v>0</v>
      </c>
      <c r="R72">
        <f>IFERROR((J72 - J71)*24,0)</f>
        <v>2.2000000000116415</v>
      </c>
      <c r="S72">
        <f t="shared" si="14"/>
        <v>0</v>
      </c>
      <c r="T72" t="s">
        <v>52</v>
      </c>
      <c r="U72">
        <v>0</v>
      </c>
      <c r="V72">
        <v>0</v>
      </c>
      <c r="W72">
        <v>0</v>
      </c>
      <c r="X72">
        <v>0</v>
      </c>
      <c r="Y72">
        <f t="shared" si="15"/>
        <v>0</v>
      </c>
      <c r="Z72">
        <f t="shared" si="16"/>
        <v>0</v>
      </c>
      <c r="AA72">
        <v>0</v>
      </c>
      <c r="AB72">
        <f t="shared" si="19"/>
        <v>0</v>
      </c>
      <c r="AC72">
        <v>0.05</v>
      </c>
      <c r="AD72">
        <v>0.16</v>
      </c>
      <c r="AE72">
        <v>0.01</v>
      </c>
      <c r="AF72">
        <v>0</v>
      </c>
      <c r="AG72">
        <v>0</v>
      </c>
      <c r="AH72">
        <v>0</v>
      </c>
      <c r="AI72">
        <f t="shared" si="17"/>
        <v>0.22000000000000003</v>
      </c>
      <c r="AJ72">
        <f t="shared" si="18"/>
        <v>2.3999999999873007</v>
      </c>
      <c r="AK72">
        <v>0</v>
      </c>
      <c r="AL72">
        <f t="shared" si="20"/>
        <v>143.41000000000011</v>
      </c>
      <c r="AM72">
        <v>0</v>
      </c>
      <c r="AN72">
        <v>0</v>
      </c>
      <c r="AO72" t="s">
        <v>52</v>
      </c>
      <c r="AP72">
        <v>0</v>
      </c>
      <c r="AQ72">
        <v>0</v>
      </c>
      <c r="AR72" t="s">
        <v>52</v>
      </c>
      <c r="AS72" t="s">
        <v>110</v>
      </c>
      <c r="AT72">
        <v>7</v>
      </c>
    </row>
    <row r="73" spans="1:46" x14ac:dyDescent="0.3">
      <c r="A73">
        <v>918</v>
      </c>
      <c r="B73">
        <v>2244</v>
      </c>
      <c r="C73">
        <v>27832</v>
      </c>
      <c r="D73">
        <v>2024</v>
      </c>
      <c r="E73">
        <v>18</v>
      </c>
      <c r="F73">
        <v>2</v>
      </c>
      <c r="G73" t="s">
        <v>156</v>
      </c>
      <c r="H73" t="s">
        <v>48</v>
      </c>
      <c r="I73" s="5" t="s">
        <v>157</v>
      </c>
      <c r="J73" s="5" t="s">
        <v>196</v>
      </c>
      <c r="K73" s="5" t="s">
        <v>50</v>
      </c>
      <c r="L73" s="4">
        <v>1.3</v>
      </c>
      <c r="M73" t="s">
        <v>110</v>
      </c>
      <c r="N73" t="s">
        <v>60</v>
      </c>
      <c r="O73" t="s">
        <v>52</v>
      </c>
      <c r="P73" t="s">
        <v>197</v>
      </c>
      <c r="Q73">
        <v>0</v>
      </c>
      <c r="R73">
        <f>IFERROR((J73 - J72)*24,0)</f>
        <v>1.3000000000465661</v>
      </c>
      <c r="S73">
        <f t="shared" si="14"/>
        <v>0</v>
      </c>
      <c r="T73" t="s">
        <v>52</v>
      </c>
      <c r="U73">
        <v>0</v>
      </c>
      <c r="V73">
        <v>0</v>
      </c>
      <c r="W73">
        <v>0</v>
      </c>
      <c r="X73">
        <v>0</v>
      </c>
      <c r="Y73">
        <f t="shared" si="15"/>
        <v>0</v>
      </c>
      <c r="Z73">
        <f t="shared" si="16"/>
        <v>0</v>
      </c>
      <c r="AA73">
        <v>0</v>
      </c>
      <c r="AB73">
        <f t="shared" si="19"/>
        <v>0</v>
      </c>
      <c r="AC73">
        <v>0</v>
      </c>
      <c r="AD73">
        <v>0.03</v>
      </c>
      <c r="AE73">
        <v>0</v>
      </c>
      <c r="AF73">
        <v>0</v>
      </c>
      <c r="AG73">
        <v>0</v>
      </c>
      <c r="AH73">
        <v>0</v>
      </c>
      <c r="AI73">
        <f t="shared" si="17"/>
        <v>0.03</v>
      </c>
      <c r="AJ73">
        <f t="shared" si="18"/>
        <v>0.55384615382631497</v>
      </c>
      <c r="AK73">
        <v>0</v>
      </c>
      <c r="AL73">
        <f t="shared" si="20"/>
        <v>143.38000000000011</v>
      </c>
      <c r="AM73">
        <v>0</v>
      </c>
      <c r="AN73">
        <v>0</v>
      </c>
      <c r="AO73" t="s">
        <v>52</v>
      </c>
      <c r="AP73">
        <v>0</v>
      </c>
      <c r="AQ73">
        <v>0</v>
      </c>
      <c r="AR73" t="s">
        <v>52</v>
      </c>
      <c r="AS73" t="s">
        <v>110</v>
      </c>
      <c r="AT73">
        <v>7</v>
      </c>
    </row>
    <row r="74" spans="1:46" x14ac:dyDescent="0.3">
      <c r="A74">
        <v>918</v>
      </c>
      <c r="B74">
        <v>2244</v>
      </c>
      <c r="C74">
        <v>27833</v>
      </c>
      <c r="D74">
        <v>2024</v>
      </c>
      <c r="E74">
        <v>18</v>
      </c>
      <c r="F74">
        <v>2</v>
      </c>
      <c r="G74" t="s">
        <v>156</v>
      </c>
      <c r="H74" t="s">
        <v>48</v>
      </c>
      <c r="I74" s="5" t="s">
        <v>157</v>
      </c>
      <c r="J74" s="5" t="s">
        <v>198</v>
      </c>
      <c r="K74" s="5" t="s">
        <v>66</v>
      </c>
      <c r="L74" s="4">
        <v>1</v>
      </c>
      <c r="M74" t="s">
        <v>60</v>
      </c>
      <c r="N74" t="s">
        <v>122</v>
      </c>
      <c r="O74" t="s">
        <v>123</v>
      </c>
      <c r="P74" t="s">
        <v>199</v>
      </c>
      <c r="Q74">
        <v>2</v>
      </c>
      <c r="R74">
        <f>IFERROR((J74 - J73)*24,0)</f>
        <v>0.99999999994179234</v>
      </c>
      <c r="S74">
        <f t="shared" si="14"/>
        <v>2.0000000001164153</v>
      </c>
      <c r="T74" t="s">
        <v>90</v>
      </c>
      <c r="U74">
        <v>0</v>
      </c>
      <c r="V74">
        <v>0</v>
      </c>
      <c r="W74">
        <v>0</v>
      </c>
      <c r="X74">
        <v>0</v>
      </c>
      <c r="Y74">
        <f t="shared" si="15"/>
        <v>0</v>
      </c>
      <c r="Z74">
        <f t="shared" si="16"/>
        <v>0</v>
      </c>
      <c r="AA74">
        <v>0</v>
      </c>
      <c r="AB74">
        <f t="shared" si="19"/>
        <v>0</v>
      </c>
      <c r="AC74">
        <v>0.15</v>
      </c>
      <c r="AD74">
        <v>0.06</v>
      </c>
      <c r="AE74">
        <v>0.01</v>
      </c>
      <c r="AF74">
        <v>0</v>
      </c>
      <c r="AG74">
        <v>0</v>
      </c>
      <c r="AH74">
        <v>0</v>
      </c>
      <c r="AI74">
        <f t="shared" si="17"/>
        <v>0.22</v>
      </c>
      <c r="AJ74">
        <f t="shared" si="18"/>
        <v>5.2800000003073366</v>
      </c>
      <c r="AK74">
        <v>0</v>
      </c>
      <c r="AL74">
        <f t="shared" si="20"/>
        <v>143.16000000000011</v>
      </c>
      <c r="AM74">
        <v>0</v>
      </c>
      <c r="AN74">
        <v>0</v>
      </c>
      <c r="AO74" t="s">
        <v>52</v>
      </c>
      <c r="AP74">
        <v>0</v>
      </c>
      <c r="AQ74">
        <v>0</v>
      </c>
      <c r="AR74" t="s">
        <v>52</v>
      </c>
      <c r="AS74" t="s">
        <v>60</v>
      </c>
      <c r="AT74">
        <v>7</v>
      </c>
    </row>
    <row r="75" spans="1:46" x14ac:dyDescent="0.3">
      <c r="A75">
        <v>936</v>
      </c>
      <c r="B75">
        <v>2274</v>
      </c>
      <c r="C75">
        <v>27834</v>
      </c>
      <c r="D75">
        <v>2024</v>
      </c>
      <c r="E75">
        <v>19</v>
      </c>
      <c r="F75">
        <v>1</v>
      </c>
      <c r="G75" t="s">
        <v>48</v>
      </c>
      <c r="H75" t="s">
        <v>120</v>
      </c>
      <c r="I75" s="5" t="s">
        <v>231</v>
      </c>
      <c r="J75" s="5" t="s">
        <v>200</v>
      </c>
      <c r="K75" s="5" t="s">
        <v>59</v>
      </c>
      <c r="L75" s="4">
        <v>3</v>
      </c>
      <c r="M75" t="s">
        <v>122</v>
      </c>
      <c r="N75" t="s">
        <v>122</v>
      </c>
      <c r="O75" t="s">
        <v>123</v>
      </c>
      <c r="P75" t="s">
        <v>124</v>
      </c>
      <c r="Q75">
        <v>39</v>
      </c>
      <c r="R75">
        <f>IFERROR((J75 - J74)*24,0)</f>
        <v>3</v>
      </c>
      <c r="S75">
        <f t="shared" si="14"/>
        <v>13</v>
      </c>
      <c r="T75" t="s">
        <v>94</v>
      </c>
      <c r="U75">
        <v>0</v>
      </c>
      <c r="V75">
        <v>0</v>
      </c>
      <c r="W75">
        <v>0</v>
      </c>
      <c r="X75">
        <v>0</v>
      </c>
      <c r="Y75">
        <f t="shared" si="15"/>
        <v>0</v>
      </c>
      <c r="Z75">
        <f t="shared" si="16"/>
        <v>0</v>
      </c>
      <c r="AA75">
        <v>0</v>
      </c>
      <c r="AB75">
        <f t="shared" si="19"/>
        <v>0</v>
      </c>
      <c r="AC75">
        <v>1.37</v>
      </c>
      <c r="AD75">
        <v>0.11</v>
      </c>
      <c r="AE75">
        <v>0.01</v>
      </c>
      <c r="AF75">
        <v>0</v>
      </c>
      <c r="AG75">
        <v>0</v>
      </c>
      <c r="AH75">
        <v>0</v>
      </c>
      <c r="AI75">
        <f t="shared" si="17"/>
        <v>1.4900000000000002</v>
      </c>
      <c r="AJ75">
        <f t="shared" si="18"/>
        <v>11.920000000000002</v>
      </c>
      <c r="AK75">
        <v>0</v>
      </c>
      <c r="AL75">
        <f t="shared" si="20"/>
        <v>141.6700000000001</v>
      </c>
      <c r="AM75">
        <v>0</v>
      </c>
      <c r="AN75">
        <v>0</v>
      </c>
      <c r="AO75" t="s">
        <v>52</v>
      </c>
      <c r="AP75">
        <v>0</v>
      </c>
      <c r="AQ75">
        <v>0</v>
      </c>
      <c r="AR75" t="s">
        <v>52</v>
      </c>
      <c r="AS75" t="s">
        <v>122</v>
      </c>
      <c r="AT75">
        <v>7</v>
      </c>
    </row>
    <row r="76" spans="1:46" x14ac:dyDescent="0.3">
      <c r="A76">
        <v>936</v>
      </c>
      <c r="B76">
        <v>2274</v>
      </c>
      <c r="C76">
        <v>27835</v>
      </c>
      <c r="D76">
        <v>2024</v>
      </c>
      <c r="E76">
        <v>19</v>
      </c>
      <c r="F76">
        <v>1</v>
      </c>
      <c r="G76" t="s">
        <v>48</v>
      </c>
      <c r="H76" t="s">
        <v>120</v>
      </c>
      <c r="I76" s="5" t="s">
        <v>231</v>
      </c>
      <c r="J76" s="5" t="s">
        <v>201</v>
      </c>
      <c r="K76" s="5" t="s">
        <v>50</v>
      </c>
      <c r="L76" s="4">
        <v>20</v>
      </c>
      <c r="M76" t="s">
        <v>122</v>
      </c>
      <c r="N76" t="s">
        <v>122</v>
      </c>
      <c r="O76" t="s">
        <v>123</v>
      </c>
      <c r="P76" t="s">
        <v>124</v>
      </c>
      <c r="Q76">
        <v>295</v>
      </c>
      <c r="R76">
        <f>IFERROR((J76 - J75)*24,0)</f>
        <v>20.000000000058208</v>
      </c>
      <c r="S76">
        <f t="shared" si="14"/>
        <v>14.749999999957073</v>
      </c>
      <c r="T76" t="s">
        <v>94</v>
      </c>
      <c r="U76">
        <v>0</v>
      </c>
      <c r="V76">
        <v>0</v>
      </c>
      <c r="W76">
        <v>0</v>
      </c>
      <c r="X76">
        <v>0</v>
      </c>
      <c r="Y76">
        <f t="shared" si="15"/>
        <v>0</v>
      </c>
      <c r="Z76">
        <f t="shared" si="16"/>
        <v>0</v>
      </c>
      <c r="AA76">
        <v>0</v>
      </c>
      <c r="AB76">
        <f t="shared" si="19"/>
        <v>0</v>
      </c>
      <c r="AC76">
        <v>10.68</v>
      </c>
      <c r="AD76">
        <v>0.95</v>
      </c>
      <c r="AE76">
        <v>0.08</v>
      </c>
      <c r="AF76">
        <v>0</v>
      </c>
      <c r="AG76">
        <v>0</v>
      </c>
      <c r="AH76">
        <v>0</v>
      </c>
      <c r="AI76">
        <f t="shared" si="17"/>
        <v>11.709999999999999</v>
      </c>
      <c r="AJ76">
        <f t="shared" si="18"/>
        <v>14.051999999959101</v>
      </c>
      <c r="AK76">
        <v>0</v>
      </c>
      <c r="AL76">
        <f t="shared" si="20"/>
        <v>129.96000000000009</v>
      </c>
      <c r="AM76">
        <v>0</v>
      </c>
      <c r="AN76">
        <v>0</v>
      </c>
      <c r="AO76" t="s">
        <v>52</v>
      </c>
      <c r="AP76">
        <v>0</v>
      </c>
      <c r="AQ76">
        <v>0</v>
      </c>
      <c r="AR76" t="s">
        <v>52</v>
      </c>
      <c r="AS76" t="s">
        <v>122</v>
      </c>
      <c r="AT76">
        <v>7</v>
      </c>
    </row>
    <row r="77" spans="1:46" x14ac:dyDescent="0.3">
      <c r="A77">
        <v>936</v>
      </c>
      <c r="B77">
        <v>2274</v>
      </c>
      <c r="C77">
        <v>27836</v>
      </c>
      <c r="D77">
        <v>2024</v>
      </c>
      <c r="E77">
        <v>19</v>
      </c>
      <c r="F77">
        <v>1</v>
      </c>
      <c r="G77" t="s">
        <v>48</v>
      </c>
      <c r="H77" t="s">
        <v>120</v>
      </c>
      <c r="I77" s="5" t="s">
        <v>231</v>
      </c>
      <c r="J77" s="5" t="s">
        <v>202</v>
      </c>
      <c r="K77" s="5" t="s">
        <v>59</v>
      </c>
      <c r="L77" s="4">
        <v>4</v>
      </c>
      <c r="M77" t="s">
        <v>122</v>
      </c>
      <c r="N77" t="s">
        <v>122</v>
      </c>
      <c r="O77" t="s">
        <v>123</v>
      </c>
      <c r="P77" t="s">
        <v>124</v>
      </c>
      <c r="Q77">
        <v>56</v>
      </c>
      <c r="R77">
        <f>IFERROR((J77 - J76)*24,0)</f>
        <v>3.9999999999417923</v>
      </c>
      <c r="S77">
        <f t="shared" si="14"/>
        <v>14.000000000203727</v>
      </c>
      <c r="T77" t="s">
        <v>94</v>
      </c>
      <c r="U77">
        <v>0</v>
      </c>
      <c r="V77">
        <v>0</v>
      </c>
      <c r="W77">
        <v>0</v>
      </c>
      <c r="X77">
        <v>0</v>
      </c>
      <c r="Y77">
        <f t="shared" si="15"/>
        <v>0</v>
      </c>
      <c r="Z77">
        <f t="shared" si="16"/>
        <v>0</v>
      </c>
      <c r="AA77">
        <v>0</v>
      </c>
      <c r="AB77">
        <f t="shared" si="19"/>
        <v>0</v>
      </c>
      <c r="AC77">
        <v>2.48</v>
      </c>
      <c r="AD77">
        <v>0.21</v>
      </c>
      <c r="AE77">
        <v>0.02</v>
      </c>
      <c r="AF77">
        <v>0</v>
      </c>
      <c r="AG77">
        <v>0</v>
      </c>
      <c r="AH77">
        <v>0</v>
      </c>
      <c r="AI77">
        <f t="shared" si="17"/>
        <v>2.71</v>
      </c>
      <c r="AJ77">
        <f t="shared" si="18"/>
        <v>16.260000000236612</v>
      </c>
      <c r="AK77">
        <v>0</v>
      </c>
      <c r="AL77">
        <f t="shared" si="20"/>
        <v>127.2500000000001</v>
      </c>
      <c r="AM77">
        <v>0</v>
      </c>
      <c r="AN77">
        <v>0</v>
      </c>
      <c r="AO77" t="s">
        <v>52</v>
      </c>
      <c r="AP77">
        <v>0</v>
      </c>
      <c r="AQ77">
        <v>0</v>
      </c>
      <c r="AR77" t="s">
        <v>52</v>
      </c>
      <c r="AS77" t="s">
        <v>122</v>
      </c>
      <c r="AT77">
        <v>7</v>
      </c>
    </row>
    <row r="78" spans="1:46" x14ac:dyDescent="0.3">
      <c r="A78">
        <v>936</v>
      </c>
      <c r="B78">
        <v>2274</v>
      </c>
      <c r="C78">
        <v>27837</v>
      </c>
      <c r="D78">
        <v>2024</v>
      </c>
      <c r="E78">
        <v>19</v>
      </c>
      <c r="F78">
        <v>1</v>
      </c>
      <c r="G78" t="s">
        <v>48</v>
      </c>
      <c r="H78" t="s">
        <v>120</v>
      </c>
      <c r="I78" s="5" t="s">
        <v>231</v>
      </c>
      <c r="J78" s="5" t="s">
        <v>203</v>
      </c>
      <c r="K78" s="5" t="s">
        <v>50</v>
      </c>
      <c r="L78" s="4">
        <v>20</v>
      </c>
      <c r="M78" t="s">
        <v>122</v>
      </c>
      <c r="N78" t="s">
        <v>122</v>
      </c>
      <c r="O78" t="s">
        <v>123</v>
      </c>
      <c r="P78" t="s">
        <v>204</v>
      </c>
      <c r="Q78">
        <v>280</v>
      </c>
      <c r="R78">
        <f>IFERROR((J78 - J77)*24,0)</f>
        <v>20.000000000058208</v>
      </c>
      <c r="S78">
        <f t="shared" si="14"/>
        <v>13.999999999959254</v>
      </c>
      <c r="T78" t="s">
        <v>94</v>
      </c>
      <c r="U78">
        <v>0</v>
      </c>
      <c r="V78">
        <v>0</v>
      </c>
      <c r="W78">
        <v>0</v>
      </c>
      <c r="X78">
        <v>0</v>
      </c>
      <c r="Y78">
        <f t="shared" si="15"/>
        <v>0</v>
      </c>
      <c r="Z78">
        <f t="shared" si="16"/>
        <v>0</v>
      </c>
      <c r="AA78">
        <v>0</v>
      </c>
      <c r="AB78">
        <f t="shared" si="19"/>
        <v>0</v>
      </c>
      <c r="AC78">
        <v>10.99</v>
      </c>
      <c r="AD78">
        <v>0.16</v>
      </c>
      <c r="AE78">
        <v>0.09</v>
      </c>
      <c r="AF78">
        <v>0</v>
      </c>
      <c r="AG78">
        <v>0</v>
      </c>
      <c r="AH78">
        <v>0</v>
      </c>
      <c r="AI78">
        <f t="shared" si="17"/>
        <v>11.24</v>
      </c>
      <c r="AJ78">
        <f t="shared" si="18"/>
        <v>13.487999999960744</v>
      </c>
      <c r="AK78">
        <v>0</v>
      </c>
      <c r="AL78">
        <f t="shared" si="20"/>
        <v>116.0100000000001</v>
      </c>
      <c r="AM78">
        <v>0</v>
      </c>
      <c r="AN78">
        <v>0</v>
      </c>
      <c r="AO78" t="s">
        <v>52</v>
      </c>
      <c r="AP78">
        <v>0</v>
      </c>
      <c r="AQ78">
        <v>0</v>
      </c>
      <c r="AR78" t="s">
        <v>52</v>
      </c>
      <c r="AS78" t="s">
        <v>122</v>
      </c>
      <c r="AT78">
        <v>7</v>
      </c>
    </row>
    <row r="79" spans="1:46" x14ac:dyDescent="0.3">
      <c r="A79">
        <v>936</v>
      </c>
      <c r="B79">
        <v>2274</v>
      </c>
      <c r="C79">
        <v>27838</v>
      </c>
      <c r="D79">
        <v>2024</v>
      </c>
      <c r="E79">
        <v>19</v>
      </c>
      <c r="F79">
        <v>1</v>
      </c>
      <c r="G79" t="s">
        <v>48</v>
      </c>
      <c r="H79" t="s">
        <v>120</v>
      </c>
      <c r="I79" s="5" t="s">
        <v>231</v>
      </c>
      <c r="J79" s="5" t="s">
        <v>205</v>
      </c>
      <c r="K79" s="5" t="s">
        <v>59</v>
      </c>
      <c r="L79" s="4">
        <v>4</v>
      </c>
      <c r="M79" t="s">
        <v>122</v>
      </c>
      <c r="N79" t="s">
        <v>122</v>
      </c>
      <c r="O79" t="s">
        <v>123</v>
      </c>
      <c r="P79" t="s">
        <v>124</v>
      </c>
      <c r="Q79">
        <v>56</v>
      </c>
      <c r="R79">
        <f>IFERROR((J79 - J78)*24,0)</f>
        <v>3.9999999999417923</v>
      </c>
      <c r="S79">
        <f t="shared" si="14"/>
        <v>14.000000000203727</v>
      </c>
      <c r="T79" t="s">
        <v>94</v>
      </c>
      <c r="U79">
        <v>0</v>
      </c>
      <c r="V79">
        <v>0</v>
      </c>
      <c r="W79">
        <v>0</v>
      </c>
      <c r="X79">
        <v>0</v>
      </c>
      <c r="Y79">
        <f t="shared" si="15"/>
        <v>0</v>
      </c>
      <c r="Z79">
        <f t="shared" si="16"/>
        <v>0</v>
      </c>
      <c r="AA79">
        <v>0</v>
      </c>
      <c r="AB79">
        <f t="shared" si="19"/>
        <v>0</v>
      </c>
      <c r="AC79">
        <v>2.14</v>
      </c>
      <c r="AD79">
        <v>0.21</v>
      </c>
      <c r="AE79">
        <v>0.02</v>
      </c>
      <c r="AF79">
        <v>0</v>
      </c>
      <c r="AG79">
        <v>0</v>
      </c>
      <c r="AH79">
        <v>0</v>
      </c>
      <c r="AI79">
        <f t="shared" si="17"/>
        <v>2.37</v>
      </c>
      <c r="AJ79">
        <f t="shared" si="18"/>
        <v>14.220000000206928</v>
      </c>
      <c r="AK79">
        <v>0</v>
      </c>
      <c r="AL79">
        <f t="shared" si="20"/>
        <v>113.6400000000001</v>
      </c>
      <c r="AM79">
        <v>0</v>
      </c>
      <c r="AN79">
        <v>0</v>
      </c>
      <c r="AO79" t="s">
        <v>52</v>
      </c>
      <c r="AP79">
        <v>0</v>
      </c>
      <c r="AQ79">
        <v>0</v>
      </c>
      <c r="AR79" t="s">
        <v>52</v>
      </c>
      <c r="AS79" t="s">
        <v>122</v>
      </c>
      <c r="AT79">
        <v>7</v>
      </c>
    </row>
    <row r="80" spans="1:46" x14ac:dyDescent="0.3">
      <c r="A80">
        <v>936</v>
      </c>
      <c r="B80">
        <v>2274</v>
      </c>
      <c r="C80">
        <v>27839</v>
      </c>
      <c r="D80">
        <v>2024</v>
      </c>
      <c r="E80">
        <v>19</v>
      </c>
      <c r="F80">
        <v>1</v>
      </c>
      <c r="G80" t="s">
        <v>48</v>
      </c>
      <c r="H80" t="s">
        <v>120</v>
      </c>
      <c r="I80" s="5" t="s">
        <v>231</v>
      </c>
      <c r="J80" s="5" t="s">
        <v>206</v>
      </c>
      <c r="K80" s="5" t="s">
        <v>50</v>
      </c>
      <c r="L80" s="4">
        <v>20</v>
      </c>
      <c r="M80" t="s">
        <v>122</v>
      </c>
      <c r="N80" t="s">
        <v>122</v>
      </c>
      <c r="O80" t="s">
        <v>123</v>
      </c>
      <c r="P80" t="s">
        <v>124</v>
      </c>
      <c r="Q80">
        <v>286</v>
      </c>
      <c r="R80">
        <f>IFERROR((J80 - J79)*24,0)</f>
        <v>20.000000000058208</v>
      </c>
      <c r="S80">
        <f t="shared" si="14"/>
        <v>14.299999999958381</v>
      </c>
      <c r="T80" t="s">
        <v>94</v>
      </c>
      <c r="U80">
        <v>0</v>
      </c>
      <c r="V80">
        <v>0</v>
      </c>
      <c r="W80">
        <v>0</v>
      </c>
      <c r="X80">
        <v>0</v>
      </c>
      <c r="Y80">
        <f t="shared" si="15"/>
        <v>0</v>
      </c>
      <c r="Z80">
        <f t="shared" si="16"/>
        <v>0</v>
      </c>
      <c r="AA80">
        <v>0</v>
      </c>
      <c r="AB80">
        <f t="shared" si="19"/>
        <v>0</v>
      </c>
      <c r="AC80">
        <v>9.74</v>
      </c>
      <c r="AD80">
        <v>0.91</v>
      </c>
      <c r="AE80">
        <v>0.08</v>
      </c>
      <c r="AF80">
        <v>0</v>
      </c>
      <c r="AG80">
        <v>0</v>
      </c>
      <c r="AH80">
        <v>0</v>
      </c>
      <c r="AI80">
        <f t="shared" si="17"/>
        <v>10.73</v>
      </c>
      <c r="AJ80">
        <f t="shared" si="18"/>
        <v>12.875999999962525</v>
      </c>
      <c r="AK80">
        <v>0</v>
      </c>
      <c r="AL80">
        <f t="shared" si="20"/>
        <v>102.9100000000001</v>
      </c>
      <c r="AM80">
        <v>0</v>
      </c>
      <c r="AN80">
        <v>0</v>
      </c>
      <c r="AO80" t="s">
        <v>52</v>
      </c>
      <c r="AP80">
        <v>0</v>
      </c>
      <c r="AQ80">
        <v>0</v>
      </c>
      <c r="AR80" t="s">
        <v>52</v>
      </c>
      <c r="AS80" t="s">
        <v>122</v>
      </c>
      <c r="AT80">
        <v>7</v>
      </c>
    </row>
    <row r="81" spans="1:46" x14ac:dyDescent="0.3">
      <c r="A81">
        <v>936</v>
      </c>
      <c r="B81">
        <v>2274</v>
      </c>
      <c r="C81">
        <v>27840</v>
      </c>
      <c r="D81">
        <v>2024</v>
      </c>
      <c r="E81">
        <v>19</v>
      </c>
      <c r="F81">
        <v>1</v>
      </c>
      <c r="G81" t="s">
        <v>48</v>
      </c>
      <c r="H81" t="s">
        <v>120</v>
      </c>
      <c r="I81" s="5" t="s">
        <v>231</v>
      </c>
      <c r="J81" s="5" t="s">
        <v>207</v>
      </c>
      <c r="K81" s="5" t="s">
        <v>59</v>
      </c>
      <c r="L81" s="4">
        <v>4</v>
      </c>
      <c r="M81" t="s">
        <v>122</v>
      </c>
      <c r="N81" t="s">
        <v>122</v>
      </c>
      <c r="O81" t="s">
        <v>123</v>
      </c>
      <c r="P81" t="s">
        <v>124</v>
      </c>
      <c r="Q81">
        <v>57</v>
      </c>
      <c r="R81">
        <f>IFERROR((J81 - J80)*24,0)</f>
        <v>3.9999999999417923</v>
      </c>
      <c r="S81">
        <f t="shared" si="14"/>
        <v>14.250000000207365</v>
      </c>
      <c r="T81" t="s">
        <v>94</v>
      </c>
      <c r="U81">
        <v>0</v>
      </c>
      <c r="V81">
        <v>0</v>
      </c>
      <c r="W81">
        <v>0</v>
      </c>
      <c r="X81">
        <v>0</v>
      </c>
      <c r="Y81">
        <f t="shared" si="15"/>
        <v>0</v>
      </c>
      <c r="Z81">
        <f t="shared" si="16"/>
        <v>0</v>
      </c>
      <c r="AA81">
        <v>0</v>
      </c>
      <c r="AB81">
        <f t="shared" si="19"/>
        <v>0</v>
      </c>
      <c r="AC81">
        <v>2.02</v>
      </c>
      <c r="AD81">
        <v>0.2</v>
      </c>
      <c r="AE81">
        <v>0.02</v>
      </c>
      <c r="AF81">
        <v>0</v>
      </c>
      <c r="AG81">
        <v>0</v>
      </c>
      <c r="AH81">
        <v>0</v>
      </c>
      <c r="AI81">
        <f t="shared" si="17"/>
        <v>2.2400000000000002</v>
      </c>
      <c r="AJ81">
        <f t="shared" si="18"/>
        <v>13.440000000195578</v>
      </c>
      <c r="AK81">
        <v>0</v>
      </c>
      <c r="AL81">
        <f t="shared" si="20"/>
        <v>100.6700000000001</v>
      </c>
      <c r="AM81">
        <v>0</v>
      </c>
      <c r="AN81">
        <v>0</v>
      </c>
      <c r="AO81" t="s">
        <v>52</v>
      </c>
      <c r="AP81">
        <v>0</v>
      </c>
      <c r="AQ81">
        <v>0</v>
      </c>
      <c r="AR81" t="s">
        <v>52</v>
      </c>
      <c r="AS81" t="s">
        <v>122</v>
      </c>
      <c r="AT81">
        <v>7</v>
      </c>
    </row>
    <row r="82" spans="1:46" x14ac:dyDescent="0.3">
      <c r="A82">
        <v>936</v>
      </c>
      <c r="B82">
        <v>2274</v>
      </c>
      <c r="C82">
        <v>27877</v>
      </c>
      <c r="D82">
        <v>2024</v>
      </c>
      <c r="E82">
        <v>19</v>
      </c>
      <c r="F82">
        <v>1</v>
      </c>
      <c r="G82" t="s">
        <v>48</v>
      </c>
      <c r="H82" t="s">
        <v>120</v>
      </c>
      <c r="I82" s="5" t="s">
        <v>231</v>
      </c>
      <c r="J82" s="5" t="s">
        <v>208</v>
      </c>
      <c r="K82" s="5" t="s">
        <v>50</v>
      </c>
      <c r="L82" s="4">
        <v>20</v>
      </c>
      <c r="M82" t="s">
        <v>122</v>
      </c>
      <c r="N82" t="s">
        <v>122</v>
      </c>
      <c r="O82" t="s">
        <v>123</v>
      </c>
      <c r="P82" t="s">
        <v>124</v>
      </c>
      <c r="Q82">
        <v>286</v>
      </c>
      <c r="R82">
        <f>IFERROR((J82 - J81)*24,0)</f>
        <v>20.000000000058208</v>
      </c>
      <c r="S82">
        <f t="shared" si="14"/>
        <v>14.299999999958381</v>
      </c>
      <c r="T82" t="s">
        <v>94</v>
      </c>
      <c r="U82">
        <v>0</v>
      </c>
      <c r="V82">
        <v>0</v>
      </c>
      <c r="W82">
        <v>0</v>
      </c>
      <c r="X82">
        <v>0</v>
      </c>
      <c r="Y82">
        <f t="shared" si="15"/>
        <v>0</v>
      </c>
      <c r="Z82">
        <f t="shared" si="16"/>
        <v>0</v>
      </c>
      <c r="AA82">
        <v>0</v>
      </c>
      <c r="AB82">
        <f t="shared" si="19"/>
        <v>0</v>
      </c>
      <c r="AC82">
        <v>9.61</v>
      </c>
      <c r="AD82">
        <v>0.89</v>
      </c>
      <c r="AE82">
        <v>0.08</v>
      </c>
      <c r="AF82">
        <v>0</v>
      </c>
      <c r="AG82">
        <v>0</v>
      </c>
      <c r="AH82">
        <v>0</v>
      </c>
      <c r="AI82">
        <f t="shared" si="17"/>
        <v>10.58</v>
      </c>
      <c r="AJ82">
        <f t="shared" si="18"/>
        <v>12.69599999996305</v>
      </c>
      <c r="AK82">
        <v>0</v>
      </c>
      <c r="AL82">
        <f t="shared" si="20"/>
        <v>90.090000000000103</v>
      </c>
      <c r="AM82">
        <v>0</v>
      </c>
      <c r="AN82">
        <v>0</v>
      </c>
      <c r="AO82" t="s">
        <v>52</v>
      </c>
      <c r="AP82">
        <v>0</v>
      </c>
      <c r="AQ82">
        <v>0</v>
      </c>
      <c r="AR82" t="s">
        <v>52</v>
      </c>
      <c r="AS82" t="s">
        <v>122</v>
      </c>
      <c r="AT82">
        <v>7</v>
      </c>
    </row>
    <row r="83" spans="1:46" x14ac:dyDescent="0.3">
      <c r="A83">
        <v>936</v>
      </c>
      <c r="B83">
        <v>2274</v>
      </c>
      <c r="C83">
        <v>27878</v>
      </c>
      <c r="D83">
        <v>2024</v>
      </c>
      <c r="E83">
        <v>19</v>
      </c>
      <c r="F83">
        <v>1</v>
      </c>
      <c r="G83" t="s">
        <v>48</v>
      </c>
      <c r="H83" t="s">
        <v>120</v>
      </c>
      <c r="I83" s="5" t="s">
        <v>231</v>
      </c>
      <c r="J83" s="5" t="s">
        <v>209</v>
      </c>
      <c r="K83" s="5" t="s">
        <v>59</v>
      </c>
      <c r="L83" s="4">
        <v>4</v>
      </c>
      <c r="M83" t="s">
        <v>122</v>
      </c>
      <c r="N83" t="s">
        <v>122</v>
      </c>
      <c r="O83" t="s">
        <v>123</v>
      </c>
      <c r="P83" t="s">
        <v>124</v>
      </c>
      <c r="Q83">
        <v>57</v>
      </c>
      <c r="R83">
        <f>IFERROR((J83 - J82)*24,0)</f>
        <v>3.9999999999417923</v>
      </c>
      <c r="S83">
        <f t="shared" si="14"/>
        <v>14.250000000207365</v>
      </c>
      <c r="T83" t="s">
        <v>117</v>
      </c>
      <c r="U83">
        <v>0</v>
      </c>
      <c r="V83">
        <v>0</v>
      </c>
      <c r="W83">
        <v>0</v>
      </c>
      <c r="X83">
        <v>0</v>
      </c>
      <c r="Y83">
        <f t="shared" si="15"/>
        <v>0</v>
      </c>
      <c r="Z83">
        <f t="shared" si="16"/>
        <v>0</v>
      </c>
      <c r="AA83">
        <v>0</v>
      </c>
      <c r="AB83">
        <f t="shared" si="19"/>
        <v>0</v>
      </c>
      <c r="AC83">
        <v>1.61</v>
      </c>
      <c r="AD83">
        <v>0.19</v>
      </c>
      <c r="AE83">
        <v>0.02</v>
      </c>
      <c r="AF83">
        <v>0</v>
      </c>
      <c r="AG83">
        <v>0</v>
      </c>
      <c r="AH83">
        <v>0</v>
      </c>
      <c r="AI83">
        <f t="shared" si="17"/>
        <v>1.82</v>
      </c>
      <c r="AJ83">
        <f t="shared" si="18"/>
        <v>10.920000000158907</v>
      </c>
      <c r="AK83">
        <v>0</v>
      </c>
      <c r="AL83">
        <f t="shared" si="20"/>
        <v>88.27000000000011</v>
      </c>
      <c r="AM83">
        <v>0</v>
      </c>
      <c r="AN83">
        <v>0</v>
      </c>
      <c r="AO83" t="s">
        <v>52</v>
      </c>
      <c r="AP83">
        <v>0</v>
      </c>
      <c r="AQ83">
        <v>0</v>
      </c>
      <c r="AR83" t="s">
        <v>52</v>
      </c>
      <c r="AS83" t="s">
        <v>122</v>
      </c>
      <c r="AT83">
        <v>7</v>
      </c>
    </row>
    <row r="84" spans="1:46" x14ac:dyDescent="0.3">
      <c r="A84">
        <v>936</v>
      </c>
      <c r="B84">
        <v>2274</v>
      </c>
      <c r="C84">
        <v>27879</v>
      </c>
      <c r="D84">
        <v>2024</v>
      </c>
      <c r="E84">
        <v>19</v>
      </c>
      <c r="F84">
        <v>1</v>
      </c>
      <c r="G84" t="s">
        <v>48</v>
      </c>
      <c r="H84" t="s">
        <v>120</v>
      </c>
      <c r="I84" s="5" t="s">
        <v>231</v>
      </c>
      <c r="J84" s="5" t="s">
        <v>210</v>
      </c>
      <c r="K84" s="5" t="s">
        <v>211</v>
      </c>
      <c r="L84" s="4">
        <v>16</v>
      </c>
      <c r="M84" t="s">
        <v>122</v>
      </c>
      <c r="N84" t="s">
        <v>110</v>
      </c>
      <c r="O84" t="s">
        <v>52</v>
      </c>
      <c r="P84" t="s">
        <v>212</v>
      </c>
      <c r="Q84">
        <v>202</v>
      </c>
      <c r="R84">
        <f>IFERROR((J84 - J83)*24,0)</f>
        <v>15.999999999941792</v>
      </c>
      <c r="S84">
        <f t="shared" si="14"/>
        <v>12.625000000045929</v>
      </c>
      <c r="T84" t="s">
        <v>117</v>
      </c>
      <c r="U84">
        <v>0</v>
      </c>
      <c r="V84">
        <v>0</v>
      </c>
      <c r="W84">
        <v>0</v>
      </c>
      <c r="X84">
        <v>0</v>
      </c>
      <c r="Y84">
        <f t="shared" si="15"/>
        <v>0</v>
      </c>
      <c r="Z84">
        <f t="shared" si="16"/>
        <v>0</v>
      </c>
      <c r="AA84">
        <v>0</v>
      </c>
      <c r="AB84">
        <f t="shared" si="19"/>
        <v>0</v>
      </c>
      <c r="AC84">
        <v>7.31</v>
      </c>
      <c r="AD84">
        <v>0.69</v>
      </c>
      <c r="AE84">
        <v>7.0000000000000007E-2</v>
      </c>
      <c r="AF84">
        <v>0</v>
      </c>
      <c r="AG84">
        <v>0</v>
      </c>
      <c r="AH84">
        <v>0</v>
      </c>
      <c r="AI84">
        <f t="shared" si="17"/>
        <v>8.07</v>
      </c>
      <c r="AJ84">
        <f t="shared" si="18"/>
        <v>12.105000000044038</v>
      </c>
      <c r="AK84">
        <v>0</v>
      </c>
      <c r="AL84">
        <f t="shared" si="20"/>
        <v>80.200000000000102</v>
      </c>
      <c r="AM84">
        <v>0</v>
      </c>
      <c r="AN84">
        <v>0</v>
      </c>
      <c r="AO84" t="s">
        <v>52</v>
      </c>
      <c r="AP84">
        <v>0</v>
      </c>
      <c r="AQ84">
        <v>0</v>
      </c>
      <c r="AR84" t="s">
        <v>52</v>
      </c>
      <c r="AS84" t="s">
        <v>122</v>
      </c>
      <c r="AT84">
        <v>7</v>
      </c>
    </row>
    <row r="85" spans="1:46" x14ac:dyDescent="0.3">
      <c r="A85">
        <v>936</v>
      </c>
      <c r="B85">
        <v>2274</v>
      </c>
      <c r="C85">
        <v>27880</v>
      </c>
      <c r="D85">
        <v>2024</v>
      </c>
      <c r="E85">
        <v>19</v>
      </c>
      <c r="F85">
        <v>1</v>
      </c>
      <c r="G85" t="s">
        <v>48</v>
      </c>
      <c r="H85" t="s">
        <v>120</v>
      </c>
      <c r="I85" s="5" t="s">
        <v>231</v>
      </c>
      <c r="J85" s="5" t="s">
        <v>213</v>
      </c>
      <c r="K85" s="5" t="s">
        <v>214</v>
      </c>
      <c r="L85" s="4">
        <v>0.2</v>
      </c>
      <c r="M85" t="s">
        <v>110</v>
      </c>
      <c r="N85" t="s">
        <v>110</v>
      </c>
      <c r="O85" t="s">
        <v>52</v>
      </c>
      <c r="P85" t="s">
        <v>215</v>
      </c>
      <c r="Q85">
        <v>0</v>
      </c>
      <c r="R85">
        <f>IFERROR((J85 - J84)*24,0)</f>
        <v>0.20000000012805685</v>
      </c>
      <c r="S85">
        <f t="shared" si="14"/>
        <v>0</v>
      </c>
      <c r="T85" t="s">
        <v>52</v>
      </c>
      <c r="U85">
        <v>0</v>
      </c>
      <c r="V85">
        <v>0</v>
      </c>
      <c r="W85">
        <v>0</v>
      </c>
      <c r="X85">
        <v>0</v>
      </c>
      <c r="Y85">
        <f t="shared" si="15"/>
        <v>0</v>
      </c>
      <c r="Z85">
        <f t="shared" si="16"/>
        <v>0</v>
      </c>
      <c r="AA85">
        <v>0</v>
      </c>
      <c r="AB85">
        <f t="shared" si="19"/>
        <v>0</v>
      </c>
      <c r="AC85">
        <v>0.02</v>
      </c>
      <c r="AD85">
        <v>0.03</v>
      </c>
      <c r="AE85">
        <v>0</v>
      </c>
      <c r="AF85">
        <v>0</v>
      </c>
      <c r="AG85">
        <v>0</v>
      </c>
      <c r="AH85">
        <v>0</v>
      </c>
      <c r="AI85">
        <f t="shared" si="17"/>
        <v>0.05</v>
      </c>
      <c r="AJ85">
        <f t="shared" si="18"/>
        <v>5.9999999961582953</v>
      </c>
      <c r="AK85">
        <v>0</v>
      </c>
      <c r="AL85">
        <f t="shared" si="20"/>
        <v>80.150000000000105</v>
      </c>
      <c r="AM85">
        <v>0</v>
      </c>
      <c r="AN85">
        <v>0</v>
      </c>
      <c r="AO85" t="s">
        <v>52</v>
      </c>
      <c r="AP85">
        <v>0</v>
      </c>
      <c r="AQ85">
        <v>0</v>
      </c>
      <c r="AR85" t="s">
        <v>52</v>
      </c>
      <c r="AS85" t="s">
        <v>110</v>
      </c>
      <c r="AT85">
        <v>7</v>
      </c>
    </row>
    <row r="86" spans="1:46" x14ac:dyDescent="0.3">
      <c r="A86">
        <v>936</v>
      </c>
      <c r="B86">
        <v>2274</v>
      </c>
      <c r="C86">
        <v>27881</v>
      </c>
      <c r="D86">
        <v>2024</v>
      </c>
      <c r="E86">
        <v>19</v>
      </c>
      <c r="F86">
        <v>1</v>
      </c>
      <c r="G86" t="s">
        <v>48</v>
      </c>
      <c r="H86" t="s">
        <v>120</v>
      </c>
      <c r="I86" s="5" t="s">
        <v>231</v>
      </c>
      <c r="J86" s="5" t="s">
        <v>216</v>
      </c>
      <c r="K86" s="5" t="s">
        <v>50</v>
      </c>
      <c r="L86" s="4">
        <v>3.8</v>
      </c>
      <c r="M86" t="s">
        <v>110</v>
      </c>
      <c r="N86" t="s">
        <v>110</v>
      </c>
      <c r="O86" t="s">
        <v>52</v>
      </c>
      <c r="P86" t="s">
        <v>215</v>
      </c>
      <c r="Q86">
        <v>0</v>
      </c>
      <c r="R86">
        <f>IFERROR((J86 - J85)*24,0)</f>
        <v>3.7999999999883585</v>
      </c>
      <c r="S86">
        <f t="shared" si="14"/>
        <v>0</v>
      </c>
      <c r="T86" t="s">
        <v>52</v>
      </c>
      <c r="U86">
        <v>0</v>
      </c>
      <c r="V86">
        <v>0</v>
      </c>
      <c r="W86">
        <v>0</v>
      </c>
      <c r="X86">
        <v>0</v>
      </c>
      <c r="Y86">
        <f t="shared" si="15"/>
        <v>0</v>
      </c>
      <c r="Z86">
        <f t="shared" si="16"/>
        <v>0</v>
      </c>
      <c r="AA86">
        <v>0</v>
      </c>
      <c r="AB86">
        <f t="shared" si="19"/>
        <v>0</v>
      </c>
      <c r="AC86">
        <v>0</v>
      </c>
      <c r="AD86">
        <v>0.09</v>
      </c>
      <c r="AE86">
        <v>0.02</v>
      </c>
      <c r="AF86">
        <v>0</v>
      </c>
      <c r="AG86">
        <v>0</v>
      </c>
      <c r="AH86">
        <v>0</v>
      </c>
      <c r="AI86">
        <f t="shared" si="17"/>
        <v>0.11</v>
      </c>
      <c r="AJ86">
        <f t="shared" si="18"/>
        <v>0.69473684210739151</v>
      </c>
      <c r="AK86">
        <v>0</v>
      </c>
      <c r="AL86">
        <f t="shared" si="20"/>
        <v>80.040000000000106</v>
      </c>
      <c r="AM86">
        <v>0</v>
      </c>
      <c r="AN86">
        <v>0</v>
      </c>
      <c r="AO86" t="s">
        <v>52</v>
      </c>
      <c r="AP86">
        <v>0</v>
      </c>
      <c r="AQ86">
        <v>0</v>
      </c>
      <c r="AR86" t="s">
        <v>52</v>
      </c>
      <c r="AS86" t="s">
        <v>110</v>
      </c>
      <c r="AT86">
        <v>7</v>
      </c>
    </row>
    <row r="87" spans="1:46" x14ac:dyDescent="0.3">
      <c r="A87">
        <v>936</v>
      </c>
      <c r="B87">
        <v>2274</v>
      </c>
      <c r="C87">
        <v>27882</v>
      </c>
      <c r="D87">
        <v>2024</v>
      </c>
      <c r="E87">
        <v>19</v>
      </c>
      <c r="F87">
        <v>1</v>
      </c>
      <c r="G87" t="s">
        <v>48</v>
      </c>
      <c r="H87" t="s">
        <v>120</v>
      </c>
      <c r="I87" s="5" t="s">
        <v>231</v>
      </c>
      <c r="J87" s="5" t="s">
        <v>217</v>
      </c>
      <c r="K87" s="5" t="s">
        <v>59</v>
      </c>
      <c r="L87" s="4">
        <v>4</v>
      </c>
      <c r="M87" t="s">
        <v>110</v>
      </c>
      <c r="N87" t="s">
        <v>110</v>
      </c>
      <c r="O87" t="s">
        <v>52</v>
      </c>
      <c r="P87" t="s">
        <v>215</v>
      </c>
      <c r="Q87">
        <v>0</v>
      </c>
      <c r="R87">
        <f>IFERROR((J87 - J86)*24,0)</f>
        <v>3.9999999999417923</v>
      </c>
      <c r="S87">
        <f t="shared" si="14"/>
        <v>0</v>
      </c>
      <c r="T87" t="s">
        <v>52</v>
      </c>
      <c r="U87">
        <v>0</v>
      </c>
      <c r="V87">
        <v>0</v>
      </c>
      <c r="W87">
        <v>0</v>
      </c>
      <c r="X87">
        <v>0</v>
      </c>
      <c r="Y87">
        <f t="shared" si="15"/>
        <v>0</v>
      </c>
      <c r="Z87">
        <f t="shared" si="16"/>
        <v>0</v>
      </c>
      <c r="AA87">
        <v>0</v>
      </c>
      <c r="AB87">
        <f t="shared" si="19"/>
        <v>0</v>
      </c>
      <c r="AC87">
        <v>0.01</v>
      </c>
      <c r="AD87">
        <v>0.11</v>
      </c>
      <c r="AE87">
        <v>0.02</v>
      </c>
      <c r="AF87">
        <v>0</v>
      </c>
      <c r="AG87">
        <v>0</v>
      </c>
      <c r="AH87">
        <v>0</v>
      </c>
      <c r="AI87">
        <f t="shared" si="17"/>
        <v>0.13999999999999999</v>
      </c>
      <c r="AJ87">
        <f t="shared" si="18"/>
        <v>0.84000000001222341</v>
      </c>
      <c r="AK87">
        <v>0</v>
      </c>
      <c r="AL87">
        <f t="shared" si="20"/>
        <v>79.900000000000105</v>
      </c>
      <c r="AM87">
        <v>0</v>
      </c>
      <c r="AN87">
        <v>0</v>
      </c>
      <c r="AO87" t="s">
        <v>52</v>
      </c>
      <c r="AP87">
        <v>0</v>
      </c>
      <c r="AQ87">
        <v>0</v>
      </c>
      <c r="AR87" t="s">
        <v>52</v>
      </c>
      <c r="AS87" t="s">
        <v>110</v>
      </c>
      <c r="AT87">
        <v>7</v>
      </c>
    </row>
    <row r="88" spans="1:46" x14ac:dyDescent="0.3">
      <c r="A88">
        <v>936</v>
      </c>
      <c r="B88">
        <v>2274</v>
      </c>
      <c r="C88">
        <v>27883</v>
      </c>
      <c r="D88">
        <v>2024</v>
      </c>
      <c r="E88">
        <v>19</v>
      </c>
      <c r="F88">
        <v>1</v>
      </c>
      <c r="G88" t="s">
        <v>48</v>
      </c>
      <c r="H88" t="s">
        <v>120</v>
      </c>
      <c r="I88" s="5" t="s">
        <v>231</v>
      </c>
      <c r="J88" s="5" t="s">
        <v>218</v>
      </c>
      <c r="K88" s="5" t="s">
        <v>50</v>
      </c>
      <c r="L88" s="4">
        <v>20</v>
      </c>
      <c r="M88" t="s">
        <v>110</v>
      </c>
      <c r="N88" t="s">
        <v>110</v>
      </c>
      <c r="O88" t="s">
        <v>52</v>
      </c>
      <c r="P88" t="s">
        <v>215</v>
      </c>
      <c r="Q88">
        <v>0</v>
      </c>
      <c r="R88">
        <f>IFERROR((J88 - J87)*24,0)</f>
        <v>20.000000000058208</v>
      </c>
      <c r="S88">
        <f t="shared" si="14"/>
        <v>0</v>
      </c>
      <c r="T88" t="s">
        <v>52</v>
      </c>
      <c r="U88">
        <v>0</v>
      </c>
      <c r="V88">
        <v>0</v>
      </c>
      <c r="W88">
        <v>0</v>
      </c>
      <c r="X88">
        <v>0</v>
      </c>
      <c r="Y88">
        <f t="shared" si="15"/>
        <v>0</v>
      </c>
      <c r="Z88">
        <f t="shared" si="16"/>
        <v>0</v>
      </c>
      <c r="AA88">
        <v>0</v>
      </c>
      <c r="AB88">
        <f t="shared" si="19"/>
        <v>0</v>
      </c>
      <c r="AC88">
        <v>0</v>
      </c>
      <c r="AD88">
        <v>0.6</v>
      </c>
      <c r="AE88">
        <v>0.12</v>
      </c>
      <c r="AF88">
        <v>0</v>
      </c>
      <c r="AG88">
        <v>0</v>
      </c>
      <c r="AH88">
        <v>0</v>
      </c>
      <c r="AI88">
        <f t="shared" si="17"/>
        <v>0.72</v>
      </c>
      <c r="AJ88">
        <f t="shared" si="18"/>
        <v>0.86399999999748545</v>
      </c>
      <c r="AK88">
        <v>0</v>
      </c>
      <c r="AL88">
        <f t="shared" si="20"/>
        <v>79.180000000000106</v>
      </c>
      <c r="AM88">
        <v>0</v>
      </c>
      <c r="AN88">
        <v>0</v>
      </c>
      <c r="AO88" t="s">
        <v>52</v>
      </c>
      <c r="AP88">
        <v>0</v>
      </c>
      <c r="AQ88">
        <v>0</v>
      </c>
      <c r="AR88" t="s">
        <v>52</v>
      </c>
      <c r="AS88" t="s">
        <v>110</v>
      </c>
      <c r="AT88">
        <v>7</v>
      </c>
    </row>
    <row r="89" spans="1:46" x14ac:dyDescent="0.3">
      <c r="A89">
        <v>936</v>
      </c>
      <c r="B89">
        <v>2274</v>
      </c>
      <c r="C89">
        <v>27884</v>
      </c>
      <c r="D89">
        <v>2024</v>
      </c>
      <c r="E89">
        <v>19</v>
      </c>
      <c r="F89">
        <v>1</v>
      </c>
      <c r="G89" t="s">
        <v>48</v>
      </c>
      <c r="H89" t="s">
        <v>120</v>
      </c>
      <c r="I89" s="5" t="s">
        <v>231</v>
      </c>
      <c r="J89" s="5" t="s">
        <v>219</v>
      </c>
      <c r="K89" s="5" t="s">
        <v>59</v>
      </c>
      <c r="L89" s="4">
        <v>4</v>
      </c>
      <c r="M89" t="s">
        <v>110</v>
      </c>
      <c r="N89" t="s">
        <v>110</v>
      </c>
      <c r="O89" t="s">
        <v>52</v>
      </c>
      <c r="P89" t="s">
        <v>215</v>
      </c>
      <c r="Q89">
        <v>0</v>
      </c>
      <c r="R89">
        <f>IFERROR((J89 - J88)*24,0)</f>
        <v>3.9999999999417923</v>
      </c>
      <c r="S89">
        <f t="shared" si="14"/>
        <v>0</v>
      </c>
      <c r="T89" t="s">
        <v>52</v>
      </c>
      <c r="U89">
        <v>0</v>
      </c>
      <c r="V89">
        <v>0</v>
      </c>
      <c r="W89">
        <v>0</v>
      </c>
      <c r="X89">
        <v>0</v>
      </c>
      <c r="Y89">
        <f t="shared" si="15"/>
        <v>0</v>
      </c>
      <c r="Z89">
        <f t="shared" si="16"/>
        <v>0</v>
      </c>
      <c r="AA89">
        <v>0</v>
      </c>
      <c r="AB89">
        <f t="shared" si="19"/>
        <v>0</v>
      </c>
      <c r="AC89">
        <v>0</v>
      </c>
      <c r="AD89">
        <v>0.11</v>
      </c>
      <c r="AE89">
        <v>0.02</v>
      </c>
      <c r="AF89">
        <v>0</v>
      </c>
      <c r="AG89">
        <v>0</v>
      </c>
      <c r="AH89">
        <v>0</v>
      </c>
      <c r="AI89">
        <f t="shared" si="17"/>
        <v>0.13</v>
      </c>
      <c r="AJ89">
        <f t="shared" si="18"/>
        <v>0.7800000000113505</v>
      </c>
      <c r="AK89">
        <v>0</v>
      </c>
      <c r="AL89">
        <f t="shared" si="20"/>
        <v>79.050000000000111</v>
      </c>
      <c r="AM89">
        <v>0</v>
      </c>
      <c r="AN89">
        <v>0</v>
      </c>
      <c r="AO89" t="s">
        <v>52</v>
      </c>
      <c r="AP89">
        <v>0</v>
      </c>
      <c r="AQ89">
        <v>0</v>
      </c>
      <c r="AR89" t="s">
        <v>52</v>
      </c>
      <c r="AS89" t="s">
        <v>110</v>
      </c>
      <c r="AT89">
        <v>7</v>
      </c>
    </row>
    <row r="90" spans="1:46" x14ac:dyDescent="0.3">
      <c r="A90">
        <v>936</v>
      </c>
      <c r="B90">
        <v>2274</v>
      </c>
      <c r="C90">
        <v>27885</v>
      </c>
      <c r="D90">
        <v>2024</v>
      </c>
      <c r="E90">
        <v>19</v>
      </c>
      <c r="F90">
        <v>1</v>
      </c>
      <c r="G90" t="s">
        <v>48</v>
      </c>
      <c r="H90" t="s">
        <v>120</v>
      </c>
      <c r="I90" s="5" t="s">
        <v>231</v>
      </c>
      <c r="J90" s="5" t="s">
        <v>220</v>
      </c>
      <c r="K90" s="5" t="s">
        <v>50</v>
      </c>
      <c r="L90" s="4">
        <v>20</v>
      </c>
      <c r="M90" t="s">
        <v>110</v>
      </c>
      <c r="N90" t="s">
        <v>110</v>
      </c>
      <c r="O90" t="s">
        <v>52</v>
      </c>
      <c r="P90" t="s">
        <v>215</v>
      </c>
      <c r="Q90">
        <v>0</v>
      </c>
      <c r="R90">
        <f>IFERROR((J90 - J89)*24,0)</f>
        <v>20.000000000058208</v>
      </c>
      <c r="S90">
        <f t="shared" si="14"/>
        <v>0</v>
      </c>
      <c r="T90" t="s">
        <v>52</v>
      </c>
      <c r="U90">
        <v>0</v>
      </c>
      <c r="V90">
        <v>0</v>
      </c>
      <c r="W90">
        <v>0</v>
      </c>
      <c r="X90">
        <v>0</v>
      </c>
      <c r="Y90">
        <f t="shared" si="15"/>
        <v>0</v>
      </c>
      <c r="Z90">
        <f t="shared" si="16"/>
        <v>0</v>
      </c>
      <c r="AA90">
        <v>0</v>
      </c>
      <c r="AB90">
        <f t="shared" si="19"/>
        <v>0</v>
      </c>
      <c r="AC90">
        <v>0</v>
      </c>
      <c r="AD90">
        <v>0.56000000000000005</v>
      </c>
      <c r="AE90">
        <v>0.12</v>
      </c>
      <c r="AF90">
        <v>0</v>
      </c>
      <c r="AG90">
        <v>0</v>
      </c>
      <c r="AH90">
        <v>0</v>
      </c>
      <c r="AI90">
        <f t="shared" si="17"/>
        <v>0.68</v>
      </c>
      <c r="AJ90">
        <f t="shared" si="18"/>
        <v>0.81599999999762518</v>
      </c>
      <c r="AK90">
        <v>0</v>
      </c>
      <c r="AL90">
        <f t="shared" si="20"/>
        <v>78.370000000000104</v>
      </c>
      <c r="AM90">
        <v>0</v>
      </c>
      <c r="AN90">
        <v>0</v>
      </c>
      <c r="AO90" t="s">
        <v>52</v>
      </c>
      <c r="AP90">
        <v>0</v>
      </c>
      <c r="AQ90">
        <v>0</v>
      </c>
      <c r="AR90" t="s">
        <v>52</v>
      </c>
      <c r="AS90" t="s">
        <v>110</v>
      </c>
      <c r="AT90">
        <v>7</v>
      </c>
    </row>
    <row r="91" spans="1:46" x14ac:dyDescent="0.3">
      <c r="A91">
        <v>936</v>
      </c>
      <c r="B91">
        <v>2274</v>
      </c>
      <c r="C91">
        <v>27886</v>
      </c>
      <c r="D91">
        <v>2024</v>
      </c>
      <c r="E91">
        <v>19</v>
      </c>
      <c r="F91">
        <v>1</v>
      </c>
      <c r="G91" t="s">
        <v>48</v>
      </c>
      <c r="H91" t="s">
        <v>120</v>
      </c>
      <c r="I91" s="5" t="s">
        <v>231</v>
      </c>
      <c r="J91" s="5" t="s">
        <v>221</v>
      </c>
      <c r="K91" s="5" t="s">
        <v>59</v>
      </c>
      <c r="L91" s="4">
        <v>4</v>
      </c>
      <c r="M91" t="s">
        <v>110</v>
      </c>
      <c r="N91" t="s">
        <v>110</v>
      </c>
      <c r="O91" t="s">
        <v>52</v>
      </c>
      <c r="P91" t="s">
        <v>215</v>
      </c>
      <c r="Q91">
        <v>0</v>
      </c>
      <c r="R91">
        <f>IFERROR((J91 - J90)*24,0)</f>
        <v>3.9999999999417923</v>
      </c>
      <c r="S91">
        <f t="shared" si="14"/>
        <v>0</v>
      </c>
      <c r="T91" t="s">
        <v>52</v>
      </c>
      <c r="U91">
        <v>0</v>
      </c>
      <c r="V91">
        <v>0</v>
      </c>
      <c r="W91">
        <v>0</v>
      </c>
      <c r="X91">
        <v>0</v>
      </c>
      <c r="Y91">
        <f t="shared" si="15"/>
        <v>0</v>
      </c>
      <c r="Z91">
        <f t="shared" si="16"/>
        <v>0</v>
      </c>
      <c r="AA91">
        <v>0</v>
      </c>
      <c r="AB91">
        <f t="shared" si="19"/>
        <v>0</v>
      </c>
      <c r="AC91">
        <v>0</v>
      </c>
      <c r="AD91">
        <v>0.9</v>
      </c>
      <c r="AE91">
        <v>0.02</v>
      </c>
      <c r="AF91">
        <v>0</v>
      </c>
      <c r="AG91">
        <v>0</v>
      </c>
      <c r="AH91">
        <v>0</v>
      </c>
      <c r="AI91">
        <f t="shared" si="17"/>
        <v>0.92</v>
      </c>
      <c r="AJ91">
        <f t="shared" si="18"/>
        <v>5.5200000000803273</v>
      </c>
      <c r="AK91">
        <v>0</v>
      </c>
      <c r="AL91">
        <f t="shared" si="20"/>
        <v>77.450000000000102</v>
      </c>
      <c r="AM91">
        <v>0</v>
      </c>
      <c r="AN91">
        <v>0</v>
      </c>
      <c r="AO91" t="s">
        <v>52</v>
      </c>
      <c r="AP91">
        <v>0</v>
      </c>
      <c r="AQ91">
        <v>0</v>
      </c>
      <c r="AR91" t="s">
        <v>52</v>
      </c>
      <c r="AS91" t="s">
        <v>110</v>
      </c>
      <c r="AT91">
        <v>7</v>
      </c>
    </row>
    <row r="92" spans="1:46" x14ac:dyDescent="0.3">
      <c r="A92">
        <v>936</v>
      </c>
      <c r="B92">
        <v>2274</v>
      </c>
      <c r="C92">
        <v>27887</v>
      </c>
      <c r="D92">
        <v>2024</v>
      </c>
      <c r="E92">
        <v>19</v>
      </c>
      <c r="F92">
        <v>1</v>
      </c>
      <c r="G92" t="s">
        <v>48</v>
      </c>
      <c r="H92" t="s">
        <v>120</v>
      </c>
      <c r="I92" s="5" t="s">
        <v>231</v>
      </c>
      <c r="J92" s="5" t="s">
        <v>222</v>
      </c>
      <c r="K92" s="5" t="s">
        <v>223</v>
      </c>
      <c r="L92" s="4">
        <v>4.4000000000000004</v>
      </c>
      <c r="M92" t="s">
        <v>110</v>
      </c>
      <c r="N92" t="s">
        <v>60</v>
      </c>
      <c r="O92" t="s">
        <v>52</v>
      </c>
      <c r="P92" t="s">
        <v>215</v>
      </c>
      <c r="Q92">
        <v>0</v>
      </c>
      <c r="R92">
        <f>IFERROR((J92 - J91)*24,0)</f>
        <v>4.4000000000232831</v>
      </c>
      <c r="S92">
        <f t="shared" si="14"/>
        <v>0</v>
      </c>
      <c r="T92" t="s">
        <v>52</v>
      </c>
      <c r="U92">
        <v>0</v>
      </c>
      <c r="V92">
        <v>0</v>
      </c>
      <c r="W92">
        <v>0</v>
      </c>
      <c r="X92">
        <v>0</v>
      </c>
      <c r="Y92">
        <f t="shared" si="15"/>
        <v>0</v>
      </c>
      <c r="Z92">
        <f t="shared" si="16"/>
        <v>0</v>
      </c>
      <c r="AA92">
        <v>0</v>
      </c>
      <c r="AB92">
        <f t="shared" si="19"/>
        <v>0</v>
      </c>
      <c r="AC92">
        <v>0</v>
      </c>
      <c r="AD92">
        <v>0.13</v>
      </c>
      <c r="AE92">
        <v>0.03</v>
      </c>
      <c r="AF92">
        <v>0</v>
      </c>
      <c r="AG92">
        <v>0</v>
      </c>
      <c r="AH92">
        <v>0</v>
      </c>
      <c r="AI92">
        <f t="shared" si="17"/>
        <v>0.16</v>
      </c>
      <c r="AJ92">
        <f t="shared" si="18"/>
        <v>0.8727272727226546</v>
      </c>
      <c r="AK92">
        <v>0</v>
      </c>
      <c r="AL92">
        <f t="shared" si="20"/>
        <v>77.290000000000106</v>
      </c>
      <c r="AM92">
        <v>0</v>
      </c>
      <c r="AN92">
        <v>0</v>
      </c>
      <c r="AO92" t="s">
        <v>52</v>
      </c>
      <c r="AP92">
        <v>0</v>
      </c>
      <c r="AQ92">
        <v>0</v>
      </c>
      <c r="AR92" t="s">
        <v>52</v>
      </c>
      <c r="AS92" t="s">
        <v>110</v>
      </c>
      <c r="AT92">
        <v>7</v>
      </c>
    </row>
    <row r="93" spans="1:46" x14ac:dyDescent="0.3">
      <c r="A93">
        <v>936</v>
      </c>
      <c r="B93">
        <v>2274</v>
      </c>
      <c r="C93">
        <v>27888</v>
      </c>
      <c r="D93">
        <v>2024</v>
      </c>
      <c r="E93">
        <v>19</v>
      </c>
      <c r="F93">
        <v>1</v>
      </c>
      <c r="G93" t="s">
        <v>48</v>
      </c>
      <c r="H93" t="s">
        <v>120</v>
      </c>
      <c r="I93" s="5" t="s">
        <v>231</v>
      </c>
      <c r="J93" s="5" t="s">
        <v>224</v>
      </c>
      <c r="K93" s="5" t="s">
        <v>225</v>
      </c>
      <c r="L93" s="4">
        <v>3.2</v>
      </c>
      <c r="M93" t="s">
        <v>60</v>
      </c>
      <c r="N93" t="s">
        <v>148</v>
      </c>
      <c r="O93" t="s">
        <v>52</v>
      </c>
      <c r="P93" t="s">
        <v>226</v>
      </c>
      <c r="Q93">
        <v>23</v>
      </c>
      <c r="R93">
        <f>IFERROR((J93 - J92)*24,0)</f>
        <v>3.1999999999534339</v>
      </c>
      <c r="S93">
        <f t="shared" si="14"/>
        <v>7.1875000001045919</v>
      </c>
      <c r="T93" t="s">
        <v>117</v>
      </c>
      <c r="U93">
        <v>0</v>
      </c>
      <c r="V93">
        <v>0</v>
      </c>
      <c r="W93">
        <v>0</v>
      </c>
      <c r="X93">
        <v>0</v>
      </c>
      <c r="Y93">
        <f t="shared" si="15"/>
        <v>0</v>
      </c>
      <c r="Z93">
        <f t="shared" si="16"/>
        <v>0</v>
      </c>
      <c r="AA93">
        <v>0</v>
      </c>
      <c r="AB93">
        <f t="shared" si="19"/>
        <v>0</v>
      </c>
      <c r="AC93">
        <v>0.3</v>
      </c>
      <c r="AD93">
        <v>0.19</v>
      </c>
      <c r="AE93">
        <v>0.01</v>
      </c>
      <c r="AF93">
        <v>0</v>
      </c>
      <c r="AG93">
        <v>0</v>
      </c>
      <c r="AH93">
        <v>0</v>
      </c>
      <c r="AI93">
        <f t="shared" si="17"/>
        <v>0.5</v>
      </c>
      <c r="AJ93">
        <f t="shared" si="18"/>
        <v>3.7500000000545697</v>
      </c>
      <c r="AK93">
        <v>0</v>
      </c>
      <c r="AL93">
        <f t="shared" si="20"/>
        <v>76.790000000000106</v>
      </c>
      <c r="AM93">
        <v>0</v>
      </c>
      <c r="AN93">
        <v>0</v>
      </c>
      <c r="AO93" t="s">
        <v>52</v>
      </c>
      <c r="AP93">
        <v>0</v>
      </c>
      <c r="AQ93">
        <v>0</v>
      </c>
      <c r="AR93" t="s">
        <v>52</v>
      </c>
      <c r="AS93" t="s">
        <v>60</v>
      </c>
      <c r="AT93">
        <v>7</v>
      </c>
    </row>
    <row r="94" spans="1:46" x14ac:dyDescent="0.3">
      <c r="A94">
        <v>936</v>
      </c>
      <c r="B94">
        <v>2274</v>
      </c>
      <c r="C94">
        <v>27889</v>
      </c>
      <c r="D94">
        <v>2024</v>
      </c>
      <c r="E94">
        <v>19</v>
      </c>
      <c r="F94">
        <v>1</v>
      </c>
      <c r="G94" t="s">
        <v>48</v>
      </c>
      <c r="H94" t="s">
        <v>120</v>
      </c>
      <c r="I94" s="5" t="s">
        <v>231</v>
      </c>
      <c r="J94" s="5" t="s">
        <v>227</v>
      </c>
      <c r="K94" s="5" t="s">
        <v>50</v>
      </c>
      <c r="L94" s="4">
        <v>12.4</v>
      </c>
      <c r="M94" t="s">
        <v>148</v>
      </c>
      <c r="N94" t="s">
        <v>148</v>
      </c>
      <c r="O94" t="s">
        <v>52</v>
      </c>
      <c r="P94" t="s">
        <v>226</v>
      </c>
      <c r="Q94">
        <v>0</v>
      </c>
      <c r="R94">
        <f>IFERROR((J94 - J93)*24,0)</f>
        <v>12.400000000081491</v>
      </c>
      <c r="S94">
        <f t="shared" si="14"/>
        <v>0</v>
      </c>
      <c r="T94" t="s">
        <v>52</v>
      </c>
      <c r="U94">
        <v>0</v>
      </c>
      <c r="V94">
        <v>0</v>
      </c>
      <c r="W94">
        <v>0</v>
      </c>
      <c r="X94">
        <v>0</v>
      </c>
      <c r="Y94">
        <f t="shared" si="15"/>
        <v>0</v>
      </c>
      <c r="Z94">
        <f t="shared" si="16"/>
        <v>0</v>
      </c>
      <c r="AA94">
        <v>0</v>
      </c>
      <c r="AB94">
        <f t="shared" si="19"/>
        <v>0</v>
      </c>
      <c r="AC94">
        <v>0</v>
      </c>
      <c r="AD94">
        <v>0.33</v>
      </c>
      <c r="AE94">
        <v>0.08</v>
      </c>
      <c r="AF94">
        <v>0</v>
      </c>
      <c r="AG94">
        <v>0</v>
      </c>
      <c r="AH94">
        <v>0</v>
      </c>
      <c r="AI94">
        <f t="shared" si="17"/>
        <v>0.41000000000000003</v>
      </c>
      <c r="AJ94">
        <f t="shared" si="18"/>
        <v>0.79354838709155906</v>
      </c>
      <c r="AK94">
        <v>0</v>
      </c>
      <c r="AL94">
        <f t="shared" si="20"/>
        <v>76.380000000000109</v>
      </c>
      <c r="AM94">
        <v>0</v>
      </c>
      <c r="AN94">
        <v>0</v>
      </c>
      <c r="AO94" t="s">
        <v>52</v>
      </c>
      <c r="AP94">
        <v>0</v>
      </c>
      <c r="AQ94">
        <v>0</v>
      </c>
      <c r="AR94" t="s">
        <v>52</v>
      </c>
      <c r="AS94" t="s">
        <v>148</v>
      </c>
      <c r="AT94">
        <v>7</v>
      </c>
    </row>
    <row r="95" spans="1:46" x14ac:dyDescent="0.3">
      <c r="A95">
        <v>936</v>
      </c>
      <c r="B95">
        <v>2274</v>
      </c>
      <c r="C95">
        <v>27890</v>
      </c>
      <c r="D95">
        <v>2024</v>
      </c>
      <c r="E95">
        <v>19</v>
      </c>
      <c r="F95">
        <v>1</v>
      </c>
      <c r="G95" t="s">
        <v>48</v>
      </c>
      <c r="H95" t="s">
        <v>120</v>
      </c>
      <c r="I95" s="5" t="s">
        <v>231</v>
      </c>
      <c r="J95" s="5" t="s">
        <v>228</v>
      </c>
      <c r="K95" s="5" t="s">
        <v>59</v>
      </c>
      <c r="L95" s="4">
        <v>4</v>
      </c>
      <c r="M95" t="s">
        <v>148</v>
      </c>
      <c r="N95" t="s">
        <v>148</v>
      </c>
      <c r="O95" t="s">
        <v>52</v>
      </c>
      <c r="P95" t="s">
        <v>226</v>
      </c>
      <c r="Q95">
        <v>0</v>
      </c>
      <c r="R95">
        <f>IFERROR((J95 - J94)*24,0)</f>
        <v>3.9999999999417923</v>
      </c>
      <c r="S95">
        <f t="shared" si="14"/>
        <v>0</v>
      </c>
      <c r="T95" t="s">
        <v>52</v>
      </c>
      <c r="U95">
        <v>0</v>
      </c>
      <c r="V95">
        <v>0</v>
      </c>
      <c r="W95">
        <v>0</v>
      </c>
      <c r="X95">
        <v>0</v>
      </c>
      <c r="Y95">
        <f t="shared" si="15"/>
        <v>0</v>
      </c>
      <c r="Z95">
        <f t="shared" si="16"/>
        <v>0</v>
      </c>
      <c r="AA95">
        <v>0</v>
      </c>
      <c r="AB95">
        <f t="shared" si="19"/>
        <v>0</v>
      </c>
      <c r="AC95">
        <v>0</v>
      </c>
      <c r="AD95">
        <v>0.12</v>
      </c>
      <c r="AE95">
        <v>0.03</v>
      </c>
      <c r="AF95">
        <v>0</v>
      </c>
      <c r="AG95">
        <v>0</v>
      </c>
      <c r="AH95">
        <v>0</v>
      </c>
      <c r="AI95">
        <f t="shared" si="17"/>
        <v>0.15</v>
      </c>
      <c r="AJ95">
        <f t="shared" si="18"/>
        <v>0.90000000001309666</v>
      </c>
      <c r="AK95">
        <v>0</v>
      </c>
      <c r="AL95">
        <f t="shared" si="20"/>
        <v>76.230000000000103</v>
      </c>
      <c r="AM95">
        <v>0</v>
      </c>
      <c r="AN95">
        <v>0</v>
      </c>
      <c r="AO95" t="s">
        <v>52</v>
      </c>
      <c r="AP95">
        <v>0</v>
      </c>
      <c r="AQ95">
        <v>0</v>
      </c>
      <c r="AR95" t="s">
        <v>52</v>
      </c>
      <c r="AS95" t="s">
        <v>148</v>
      </c>
      <c r="AT95">
        <v>7</v>
      </c>
    </row>
    <row r="96" spans="1:46" x14ac:dyDescent="0.3">
      <c r="A96">
        <v>936</v>
      </c>
      <c r="B96">
        <v>2274</v>
      </c>
      <c r="C96">
        <v>27891</v>
      </c>
      <c r="D96">
        <v>2024</v>
      </c>
      <c r="E96">
        <v>19</v>
      </c>
      <c r="F96">
        <v>1</v>
      </c>
      <c r="G96" t="s">
        <v>48</v>
      </c>
      <c r="H96" t="s">
        <v>120</v>
      </c>
      <c r="I96" s="5" t="s">
        <v>231</v>
      </c>
      <c r="J96" s="5" t="s">
        <v>229</v>
      </c>
      <c r="K96" s="5" t="s">
        <v>230</v>
      </c>
      <c r="L96" s="4">
        <v>12</v>
      </c>
      <c r="M96" t="s">
        <v>148</v>
      </c>
      <c r="N96" t="s">
        <v>60</v>
      </c>
      <c r="O96" t="s">
        <v>52</v>
      </c>
      <c r="P96" t="s">
        <v>226</v>
      </c>
      <c r="Q96">
        <v>0</v>
      </c>
      <c r="R96">
        <f>IFERROR((J96 - J95)*24,0)</f>
        <v>12</v>
      </c>
      <c r="S96">
        <f t="shared" si="14"/>
        <v>0</v>
      </c>
      <c r="T96" t="s">
        <v>52</v>
      </c>
      <c r="U96">
        <v>0</v>
      </c>
      <c r="V96">
        <v>0</v>
      </c>
      <c r="W96">
        <v>0</v>
      </c>
      <c r="X96">
        <v>0</v>
      </c>
      <c r="Y96">
        <f t="shared" si="15"/>
        <v>0</v>
      </c>
      <c r="Z96">
        <f t="shared" si="16"/>
        <v>0</v>
      </c>
      <c r="AA96">
        <v>0</v>
      </c>
      <c r="AB96">
        <f t="shared" si="19"/>
        <v>0</v>
      </c>
      <c r="AC96">
        <v>0</v>
      </c>
      <c r="AD96">
        <v>0.33</v>
      </c>
      <c r="AE96">
        <v>7.0000000000000007E-2</v>
      </c>
      <c r="AF96">
        <v>0</v>
      </c>
      <c r="AG96">
        <v>0</v>
      </c>
      <c r="AH96">
        <v>0</v>
      </c>
      <c r="AI96">
        <f t="shared" si="17"/>
        <v>0.4</v>
      </c>
      <c r="AJ96">
        <f t="shared" si="18"/>
        <v>0.80000000000000016</v>
      </c>
      <c r="AK96">
        <v>0</v>
      </c>
      <c r="AL96">
        <f t="shared" si="20"/>
        <v>75.830000000000098</v>
      </c>
      <c r="AM96">
        <v>0</v>
      </c>
      <c r="AN96">
        <v>0</v>
      </c>
      <c r="AO96" t="s">
        <v>52</v>
      </c>
      <c r="AP96">
        <v>0</v>
      </c>
      <c r="AQ96">
        <v>0</v>
      </c>
      <c r="AR96" t="s">
        <v>52</v>
      </c>
      <c r="AS96" t="s">
        <v>148</v>
      </c>
      <c r="AT96">
        <v>7</v>
      </c>
    </row>
    <row r="97" spans="1:46" x14ac:dyDescent="0.3">
      <c r="A97">
        <v>936</v>
      </c>
      <c r="B97">
        <v>2274</v>
      </c>
      <c r="C97">
        <v>27892</v>
      </c>
      <c r="D97">
        <v>2024</v>
      </c>
      <c r="E97">
        <v>19</v>
      </c>
      <c r="F97">
        <v>1</v>
      </c>
      <c r="G97" t="s">
        <v>48</v>
      </c>
      <c r="H97" t="s">
        <v>120</v>
      </c>
      <c r="I97" s="5" t="s">
        <v>231</v>
      </c>
      <c r="J97" s="5" t="s">
        <v>231</v>
      </c>
      <c r="K97" s="5" t="s">
        <v>232</v>
      </c>
      <c r="L97" s="4">
        <v>2.7</v>
      </c>
      <c r="M97" t="s">
        <v>60</v>
      </c>
      <c r="N97" t="s">
        <v>154</v>
      </c>
      <c r="O97" t="s">
        <v>123</v>
      </c>
      <c r="P97" t="s">
        <v>233</v>
      </c>
      <c r="Q97">
        <v>23</v>
      </c>
      <c r="R97">
        <f>IFERROR((J97 - J96)*24,0)</f>
        <v>2.7000000000698492</v>
      </c>
      <c r="S97">
        <f t="shared" si="14"/>
        <v>8.5185185182981442</v>
      </c>
      <c r="T97" t="s">
        <v>137</v>
      </c>
      <c r="U97">
        <v>0</v>
      </c>
      <c r="V97">
        <v>0</v>
      </c>
      <c r="W97">
        <v>0</v>
      </c>
      <c r="X97">
        <v>0</v>
      </c>
      <c r="Y97">
        <f t="shared" si="15"/>
        <v>0</v>
      </c>
      <c r="Z97">
        <f t="shared" si="16"/>
        <v>0</v>
      </c>
      <c r="AA97">
        <v>0</v>
      </c>
      <c r="AB97">
        <f t="shared" si="19"/>
        <v>0</v>
      </c>
      <c r="AC97">
        <v>0.46</v>
      </c>
      <c r="AD97">
        <v>0.18</v>
      </c>
      <c r="AE97">
        <v>0.02</v>
      </c>
      <c r="AF97">
        <v>0</v>
      </c>
      <c r="AG97">
        <v>0</v>
      </c>
      <c r="AH97">
        <v>0</v>
      </c>
      <c r="AI97">
        <f t="shared" si="17"/>
        <v>0.66</v>
      </c>
      <c r="AJ97">
        <f t="shared" si="18"/>
        <v>5.8666666665148952</v>
      </c>
      <c r="AK97">
        <v>0</v>
      </c>
      <c r="AL97">
        <f t="shared" si="20"/>
        <v>75.170000000000101</v>
      </c>
      <c r="AM97">
        <v>0</v>
      </c>
      <c r="AN97">
        <v>0</v>
      </c>
      <c r="AO97" t="s">
        <v>52</v>
      </c>
      <c r="AP97">
        <v>0</v>
      </c>
      <c r="AQ97">
        <v>0</v>
      </c>
      <c r="AR97" t="s">
        <v>52</v>
      </c>
      <c r="AS97" t="s">
        <v>60</v>
      </c>
      <c r="AT97">
        <v>7</v>
      </c>
    </row>
    <row r="98" spans="1:46" x14ac:dyDescent="0.3">
      <c r="A98">
        <v>936</v>
      </c>
      <c r="B98">
        <v>2278</v>
      </c>
      <c r="C98">
        <v>27893</v>
      </c>
      <c r="D98">
        <v>2024</v>
      </c>
      <c r="E98">
        <v>19</v>
      </c>
      <c r="F98">
        <v>2</v>
      </c>
      <c r="G98" t="s">
        <v>120</v>
      </c>
      <c r="H98" t="s">
        <v>48</v>
      </c>
      <c r="I98" s="5" t="s">
        <v>253</v>
      </c>
      <c r="J98" s="5" t="s">
        <v>234</v>
      </c>
      <c r="K98" s="5" t="s">
        <v>50</v>
      </c>
      <c r="L98" s="4">
        <v>5.3</v>
      </c>
      <c r="M98" t="s">
        <v>154</v>
      </c>
      <c r="N98" t="s">
        <v>154</v>
      </c>
      <c r="O98" t="s">
        <v>123</v>
      </c>
      <c r="P98" t="s">
        <v>99</v>
      </c>
      <c r="Q98">
        <v>66</v>
      </c>
      <c r="R98">
        <f>IFERROR((J98 - J97)*24,0)</f>
        <v>5.2999999999883585</v>
      </c>
      <c r="S98">
        <f t="shared" si="14"/>
        <v>12.452830188706598</v>
      </c>
      <c r="T98" t="s">
        <v>137</v>
      </c>
      <c r="U98">
        <v>0</v>
      </c>
      <c r="V98">
        <v>0</v>
      </c>
      <c r="W98">
        <v>0</v>
      </c>
      <c r="X98">
        <v>0</v>
      </c>
      <c r="Y98">
        <f t="shared" si="15"/>
        <v>0</v>
      </c>
      <c r="Z98">
        <f t="shared" si="16"/>
        <v>0</v>
      </c>
      <c r="AA98">
        <v>0</v>
      </c>
      <c r="AB98">
        <f t="shared" si="19"/>
        <v>0</v>
      </c>
      <c r="AC98">
        <v>3.63</v>
      </c>
      <c r="AD98">
        <v>0.21</v>
      </c>
      <c r="AE98">
        <v>0.01</v>
      </c>
      <c r="AF98">
        <v>0</v>
      </c>
      <c r="AG98">
        <v>0</v>
      </c>
      <c r="AH98">
        <v>0</v>
      </c>
      <c r="AI98">
        <f t="shared" si="17"/>
        <v>3.8499999999999996</v>
      </c>
      <c r="AJ98">
        <f t="shared" si="18"/>
        <v>17.433962264189237</v>
      </c>
      <c r="AK98">
        <v>0</v>
      </c>
      <c r="AL98">
        <f t="shared" si="20"/>
        <v>71.320000000000107</v>
      </c>
      <c r="AM98">
        <v>0</v>
      </c>
      <c r="AN98">
        <v>0</v>
      </c>
      <c r="AO98" t="s">
        <v>52</v>
      </c>
      <c r="AP98">
        <v>0</v>
      </c>
      <c r="AQ98">
        <v>0</v>
      </c>
      <c r="AR98" t="s">
        <v>52</v>
      </c>
      <c r="AS98" t="s">
        <v>154</v>
      </c>
      <c r="AT98">
        <v>7</v>
      </c>
    </row>
    <row r="99" spans="1:46" x14ac:dyDescent="0.3">
      <c r="A99">
        <v>936</v>
      </c>
      <c r="B99">
        <v>2278</v>
      </c>
      <c r="C99">
        <v>27894</v>
      </c>
      <c r="D99">
        <v>2024</v>
      </c>
      <c r="E99">
        <v>19</v>
      </c>
      <c r="F99">
        <v>2</v>
      </c>
      <c r="G99" t="s">
        <v>120</v>
      </c>
      <c r="H99" t="s">
        <v>48</v>
      </c>
      <c r="I99" s="5" t="s">
        <v>253</v>
      </c>
      <c r="J99" s="5" t="s">
        <v>235</v>
      </c>
      <c r="K99" s="5" t="s">
        <v>59</v>
      </c>
      <c r="L99" s="4">
        <v>4</v>
      </c>
      <c r="M99" t="s">
        <v>154</v>
      </c>
      <c r="N99" t="s">
        <v>154</v>
      </c>
      <c r="O99" t="s">
        <v>123</v>
      </c>
      <c r="P99" t="s">
        <v>99</v>
      </c>
      <c r="Q99">
        <v>50</v>
      </c>
      <c r="R99">
        <f>IFERROR((J99 - J98)*24,0)</f>
        <v>3.9999999999417923</v>
      </c>
      <c r="S99">
        <f t="shared" si="14"/>
        <v>12.500000000181899</v>
      </c>
      <c r="T99" t="s">
        <v>137</v>
      </c>
      <c r="U99">
        <v>0</v>
      </c>
      <c r="V99">
        <v>0</v>
      </c>
      <c r="W99">
        <v>0</v>
      </c>
      <c r="X99">
        <v>0</v>
      </c>
      <c r="Y99">
        <f t="shared" si="15"/>
        <v>0</v>
      </c>
      <c r="Z99">
        <f t="shared" si="16"/>
        <v>0</v>
      </c>
      <c r="AA99">
        <v>0</v>
      </c>
      <c r="AB99">
        <f t="shared" si="19"/>
        <v>0</v>
      </c>
      <c r="AC99">
        <v>1.84</v>
      </c>
      <c r="AD99">
        <v>0.13</v>
      </c>
      <c r="AE99">
        <v>0.01</v>
      </c>
      <c r="AF99">
        <v>0</v>
      </c>
      <c r="AG99">
        <v>0</v>
      </c>
      <c r="AH99">
        <v>0</v>
      </c>
      <c r="AI99">
        <f t="shared" si="17"/>
        <v>1.9800000000000002</v>
      </c>
      <c r="AJ99">
        <f t="shared" si="18"/>
        <v>11.880000000172878</v>
      </c>
      <c r="AK99">
        <v>0</v>
      </c>
      <c r="AL99">
        <f t="shared" si="20"/>
        <v>69.340000000000103</v>
      </c>
      <c r="AM99">
        <v>0</v>
      </c>
      <c r="AN99">
        <v>0</v>
      </c>
      <c r="AO99" t="s">
        <v>52</v>
      </c>
      <c r="AP99">
        <v>0</v>
      </c>
      <c r="AQ99">
        <v>0</v>
      </c>
      <c r="AR99" t="s">
        <v>52</v>
      </c>
      <c r="AS99" t="s">
        <v>154</v>
      </c>
      <c r="AT99">
        <v>7</v>
      </c>
    </row>
    <row r="100" spans="1:46" x14ac:dyDescent="0.3">
      <c r="A100">
        <v>936</v>
      </c>
      <c r="B100">
        <v>2278</v>
      </c>
      <c r="C100">
        <v>27895</v>
      </c>
      <c r="D100">
        <v>2024</v>
      </c>
      <c r="E100">
        <v>19</v>
      </c>
      <c r="F100">
        <v>2</v>
      </c>
      <c r="G100" t="s">
        <v>120</v>
      </c>
      <c r="H100" t="s">
        <v>48</v>
      </c>
      <c r="I100" s="5" t="s">
        <v>253</v>
      </c>
      <c r="J100" s="5" t="s">
        <v>236</v>
      </c>
      <c r="K100" s="5" t="s">
        <v>50</v>
      </c>
      <c r="L100" s="4">
        <v>20</v>
      </c>
      <c r="M100" t="s">
        <v>154</v>
      </c>
      <c r="N100" t="s">
        <v>154</v>
      </c>
      <c r="O100" t="s">
        <v>123</v>
      </c>
      <c r="P100" t="s">
        <v>99</v>
      </c>
      <c r="Q100">
        <v>293</v>
      </c>
      <c r="R100">
        <f>IFERROR((J100 - J99)*24,0)</f>
        <v>20.000000000058208</v>
      </c>
      <c r="S100">
        <f t="shared" si="14"/>
        <v>14.649999999957362</v>
      </c>
      <c r="T100" t="s">
        <v>237</v>
      </c>
      <c r="U100">
        <v>0</v>
      </c>
      <c r="V100">
        <v>0</v>
      </c>
      <c r="W100">
        <v>0</v>
      </c>
      <c r="X100">
        <v>0</v>
      </c>
      <c r="Y100">
        <f t="shared" si="15"/>
        <v>0</v>
      </c>
      <c r="Z100">
        <f t="shared" si="16"/>
        <v>0</v>
      </c>
      <c r="AA100">
        <v>0</v>
      </c>
      <c r="AB100">
        <f t="shared" si="19"/>
        <v>0</v>
      </c>
      <c r="AC100">
        <v>11.79</v>
      </c>
      <c r="AD100">
        <v>0.94</v>
      </c>
      <c r="AE100">
        <v>0.04</v>
      </c>
      <c r="AF100">
        <v>0</v>
      </c>
      <c r="AG100">
        <v>0</v>
      </c>
      <c r="AH100">
        <v>0</v>
      </c>
      <c r="AI100">
        <f t="shared" si="17"/>
        <v>12.769999999999998</v>
      </c>
      <c r="AJ100">
        <f t="shared" si="18"/>
        <v>15.323999999955399</v>
      </c>
      <c r="AK100">
        <v>0</v>
      </c>
      <c r="AL100">
        <f t="shared" si="20"/>
        <v>56.570000000000107</v>
      </c>
      <c r="AM100">
        <v>0</v>
      </c>
      <c r="AN100">
        <v>0</v>
      </c>
      <c r="AO100" t="s">
        <v>52</v>
      </c>
      <c r="AP100">
        <v>0</v>
      </c>
      <c r="AQ100">
        <v>0</v>
      </c>
      <c r="AR100" t="s">
        <v>52</v>
      </c>
      <c r="AS100" t="s">
        <v>154</v>
      </c>
      <c r="AT100">
        <v>7</v>
      </c>
    </row>
    <row r="101" spans="1:46" x14ac:dyDescent="0.3">
      <c r="A101">
        <v>936</v>
      </c>
      <c r="B101">
        <v>2278</v>
      </c>
      <c r="C101">
        <v>27896</v>
      </c>
      <c r="D101">
        <v>2024</v>
      </c>
      <c r="E101">
        <v>19</v>
      </c>
      <c r="F101">
        <v>2</v>
      </c>
      <c r="G101" t="s">
        <v>120</v>
      </c>
      <c r="H101" t="s">
        <v>48</v>
      </c>
      <c r="I101" s="5" t="s">
        <v>253</v>
      </c>
      <c r="J101" s="5" t="s">
        <v>238</v>
      </c>
      <c r="K101" s="5" t="s">
        <v>59</v>
      </c>
      <c r="L101" s="4">
        <v>4</v>
      </c>
      <c r="M101" t="s">
        <v>154</v>
      </c>
      <c r="N101" t="s">
        <v>154</v>
      </c>
      <c r="O101" t="s">
        <v>123</v>
      </c>
      <c r="P101" t="s">
        <v>99</v>
      </c>
      <c r="Q101">
        <v>46</v>
      </c>
      <c r="R101">
        <f>IFERROR((J101 - J100)*24,0)</f>
        <v>3.9999999999417923</v>
      </c>
      <c r="S101">
        <f t="shared" si="14"/>
        <v>11.500000000167347</v>
      </c>
      <c r="T101" t="s">
        <v>237</v>
      </c>
      <c r="U101">
        <v>0</v>
      </c>
      <c r="V101">
        <v>0</v>
      </c>
      <c r="W101">
        <v>0</v>
      </c>
      <c r="X101">
        <v>0</v>
      </c>
      <c r="Y101">
        <f t="shared" si="15"/>
        <v>0</v>
      </c>
      <c r="Z101">
        <f t="shared" si="16"/>
        <v>0</v>
      </c>
      <c r="AA101">
        <v>0</v>
      </c>
      <c r="AB101">
        <f t="shared" si="19"/>
        <v>0</v>
      </c>
      <c r="AC101">
        <v>2</v>
      </c>
      <c r="AD101">
        <v>0.16</v>
      </c>
      <c r="AE101">
        <v>0.01</v>
      </c>
      <c r="AF101">
        <v>0</v>
      </c>
      <c r="AG101">
        <v>0</v>
      </c>
      <c r="AH101">
        <v>0</v>
      </c>
      <c r="AI101">
        <f t="shared" si="17"/>
        <v>2.17</v>
      </c>
      <c r="AJ101">
        <f t="shared" si="18"/>
        <v>13.020000000189466</v>
      </c>
      <c r="AK101">
        <v>0</v>
      </c>
      <c r="AL101">
        <f t="shared" si="20"/>
        <v>54.400000000000105</v>
      </c>
      <c r="AM101">
        <v>0</v>
      </c>
      <c r="AN101">
        <v>0</v>
      </c>
      <c r="AO101" t="s">
        <v>52</v>
      </c>
      <c r="AP101">
        <v>0</v>
      </c>
      <c r="AQ101">
        <v>0</v>
      </c>
      <c r="AR101" t="s">
        <v>52</v>
      </c>
      <c r="AS101" t="s">
        <v>154</v>
      </c>
      <c r="AT101">
        <v>7</v>
      </c>
    </row>
    <row r="102" spans="1:46" x14ac:dyDescent="0.3">
      <c r="A102">
        <v>936</v>
      </c>
      <c r="B102">
        <v>2278</v>
      </c>
      <c r="C102">
        <v>27897</v>
      </c>
      <c r="D102">
        <v>2024</v>
      </c>
      <c r="E102">
        <v>19</v>
      </c>
      <c r="F102">
        <v>2</v>
      </c>
      <c r="G102" t="s">
        <v>120</v>
      </c>
      <c r="H102" t="s">
        <v>48</v>
      </c>
      <c r="I102" s="5" t="s">
        <v>253</v>
      </c>
      <c r="J102" s="5" t="s">
        <v>239</v>
      </c>
      <c r="K102" s="5" t="s">
        <v>50</v>
      </c>
      <c r="L102" s="4">
        <v>20</v>
      </c>
      <c r="M102" t="s">
        <v>154</v>
      </c>
      <c r="N102" t="s">
        <v>154</v>
      </c>
      <c r="O102" t="s">
        <v>123</v>
      </c>
      <c r="P102" t="s">
        <v>99</v>
      </c>
      <c r="Q102">
        <v>212</v>
      </c>
      <c r="R102">
        <f>IFERROR((J102 - J101)*24,0)</f>
        <v>20.000000000058208</v>
      </c>
      <c r="S102">
        <f t="shared" ref="S102:S133" si="21">IF(ISERROR(Q102/R102),0,Q102/R102)</f>
        <v>10.59999999996915</v>
      </c>
      <c r="T102" t="s">
        <v>240</v>
      </c>
      <c r="U102">
        <v>0</v>
      </c>
      <c r="V102">
        <v>0</v>
      </c>
      <c r="W102">
        <v>0</v>
      </c>
      <c r="X102">
        <v>0</v>
      </c>
      <c r="Y102">
        <f t="shared" ref="Y102:Y133" si="22">SUM(U102:X102)</f>
        <v>0</v>
      </c>
      <c r="Z102">
        <f t="shared" ref="Z102:Z133" si="23">IF(ISERROR(Y102*24/R102),0,Y102*24/R102)</f>
        <v>0</v>
      </c>
      <c r="AA102">
        <v>0</v>
      </c>
      <c r="AB102">
        <f t="shared" si="19"/>
        <v>0</v>
      </c>
      <c r="AC102">
        <v>10.99</v>
      </c>
      <c r="AD102">
        <v>0.86</v>
      </c>
      <c r="AE102">
        <v>0.03</v>
      </c>
      <c r="AF102">
        <v>0</v>
      </c>
      <c r="AG102">
        <v>0</v>
      </c>
      <c r="AH102">
        <v>0</v>
      </c>
      <c r="AI102">
        <f t="shared" ref="AI102:AI133" si="24">SUM(AC102:AH102)</f>
        <v>11.879999999999999</v>
      </c>
      <c r="AJ102">
        <f t="shared" ref="AJ102:AJ133" si="25">IF(ISERROR(AI102*24/R102),0,AI102*24/R102)</f>
        <v>14.25599999995851</v>
      </c>
      <c r="AK102">
        <v>0</v>
      </c>
      <c r="AL102">
        <f t="shared" si="20"/>
        <v>42.52000000000011</v>
      </c>
      <c r="AM102">
        <v>0</v>
      </c>
      <c r="AN102">
        <v>0</v>
      </c>
      <c r="AO102" t="s">
        <v>52</v>
      </c>
      <c r="AP102">
        <v>0</v>
      </c>
      <c r="AQ102">
        <v>0</v>
      </c>
      <c r="AR102" t="s">
        <v>52</v>
      </c>
      <c r="AS102" t="s">
        <v>154</v>
      </c>
      <c r="AT102">
        <v>7</v>
      </c>
    </row>
    <row r="103" spans="1:46" x14ac:dyDescent="0.3">
      <c r="A103">
        <v>936</v>
      </c>
      <c r="B103">
        <v>2278</v>
      </c>
      <c r="C103">
        <v>27898</v>
      </c>
      <c r="D103">
        <v>2024</v>
      </c>
      <c r="E103">
        <v>19</v>
      </c>
      <c r="F103">
        <v>2</v>
      </c>
      <c r="G103" t="s">
        <v>120</v>
      </c>
      <c r="H103" t="s">
        <v>48</v>
      </c>
      <c r="I103" s="5" t="s">
        <v>253</v>
      </c>
      <c r="J103" s="5" t="s">
        <v>241</v>
      </c>
      <c r="K103" s="5" t="s">
        <v>59</v>
      </c>
      <c r="L103" s="4">
        <v>4</v>
      </c>
      <c r="M103" t="s">
        <v>154</v>
      </c>
      <c r="N103" t="s">
        <v>154</v>
      </c>
      <c r="O103" t="s">
        <v>123</v>
      </c>
      <c r="P103" t="s">
        <v>99</v>
      </c>
      <c r="Q103">
        <v>45</v>
      </c>
      <c r="R103">
        <f>IFERROR((J103 - J102)*24,0)</f>
        <v>3.9999999999417923</v>
      </c>
      <c r="S103">
        <f t="shared" si="21"/>
        <v>11.250000000163709</v>
      </c>
      <c r="T103" t="s">
        <v>164</v>
      </c>
      <c r="U103">
        <v>0</v>
      </c>
      <c r="V103">
        <v>0</v>
      </c>
      <c r="W103">
        <v>0</v>
      </c>
      <c r="X103">
        <v>0</v>
      </c>
      <c r="Y103">
        <f t="shared" si="22"/>
        <v>0</v>
      </c>
      <c r="Z103">
        <f t="shared" si="23"/>
        <v>0</v>
      </c>
      <c r="AA103">
        <v>0</v>
      </c>
      <c r="AB103">
        <f t="shared" ref="AB103:AB134" si="26">AB102-Y103+AA103</f>
        <v>0</v>
      </c>
      <c r="AC103">
        <v>1.77</v>
      </c>
      <c r="AD103">
        <v>0.15</v>
      </c>
      <c r="AE103">
        <v>0.01</v>
      </c>
      <c r="AF103">
        <v>0</v>
      </c>
      <c r="AG103">
        <v>0</v>
      </c>
      <c r="AH103">
        <v>0</v>
      </c>
      <c r="AI103">
        <f t="shared" si="24"/>
        <v>1.93</v>
      </c>
      <c r="AJ103">
        <f t="shared" si="25"/>
        <v>11.580000000168511</v>
      </c>
      <c r="AK103">
        <v>0</v>
      </c>
      <c r="AL103">
        <f t="shared" ref="AL103:AL134" si="27">AL102-AI103+AK103</f>
        <v>40.59000000000011</v>
      </c>
      <c r="AM103">
        <v>0</v>
      </c>
      <c r="AN103">
        <v>0</v>
      </c>
      <c r="AO103" t="s">
        <v>52</v>
      </c>
      <c r="AP103">
        <v>0</v>
      </c>
      <c r="AQ103">
        <v>0</v>
      </c>
      <c r="AR103" t="s">
        <v>52</v>
      </c>
      <c r="AS103" t="s">
        <v>154</v>
      </c>
      <c r="AT103">
        <v>7</v>
      </c>
    </row>
    <row r="104" spans="1:46" x14ac:dyDescent="0.3">
      <c r="A104">
        <v>936</v>
      </c>
      <c r="B104">
        <v>2278</v>
      </c>
      <c r="C104">
        <v>27899</v>
      </c>
      <c r="D104">
        <v>2024</v>
      </c>
      <c r="E104">
        <v>19</v>
      </c>
      <c r="F104">
        <v>2</v>
      </c>
      <c r="G104" t="s">
        <v>120</v>
      </c>
      <c r="H104" t="s">
        <v>48</v>
      </c>
      <c r="I104" s="5" t="s">
        <v>253</v>
      </c>
      <c r="J104" s="5" t="s">
        <v>242</v>
      </c>
      <c r="K104" s="5" t="s">
        <v>50</v>
      </c>
      <c r="L104" s="4">
        <v>20</v>
      </c>
      <c r="M104" t="s">
        <v>154</v>
      </c>
      <c r="N104" t="s">
        <v>154</v>
      </c>
      <c r="O104" t="s">
        <v>123</v>
      </c>
      <c r="P104" t="s">
        <v>99</v>
      </c>
      <c r="Q104">
        <v>203</v>
      </c>
      <c r="R104">
        <f>IFERROR((J104 - J103)*24,0)</f>
        <v>20.000000000058208</v>
      </c>
      <c r="S104">
        <f t="shared" si="21"/>
        <v>10.14999999997046</v>
      </c>
      <c r="T104" t="s">
        <v>164</v>
      </c>
      <c r="U104">
        <v>0</v>
      </c>
      <c r="V104">
        <v>0</v>
      </c>
      <c r="W104">
        <v>0</v>
      </c>
      <c r="X104">
        <v>0</v>
      </c>
      <c r="Y104">
        <f t="shared" si="22"/>
        <v>0</v>
      </c>
      <c r="Z104">
        <f t="shared" si="23"/>
        <v>0</v>
      </c>
      <c r="AA104">
        <v>0</v>
      </c>
      <c r="AB104">
        <f t="shared" si="26"/>
        <v>0</v>
      </c>
      <c r="AC104">
        <v>6.26</v>
      </c>
      <c r="AD104">
        <v>0.37</v>
      </c>
      <c r="AE104">
        <v>0.02</v>
      </c>
      <c r="AF104">
        <v>0</v>
      </c>
      <c r="AG104">
        <v>0</v>
      </c>
      <c r="AH104">
        <v>0</v>
      </c>
      <c r="AI104">
        <f t="shared" si="24"/>
        <v>6.6499999999999995</v>
      </c>
      <c r="AJ104">
        <f t="shared" si="25"/>
        <v>7.9799999999767746</v>
      </c>
      <c r="AK104">
        <v>0</v>
      </c>
      <c r="AL104">
        <f t="shared" si="27"/>
        <v>33.940000000000111</v>
      </c>
      <c r="AM104">
        <v>0</v>
      </c>
      <c r="AN104">
        <v>0</v>
      </c>
      <c r="AO104" t="s">
        <v>52</v>
      </c>
      <c r="AP104">
        <v>0</v>
      </c>
      <c r="AQ104">
        <v>0</v>
      </c>
      <c r="AR104" t="s">
        <v>52</v>
      </c>
      <c r="AS104" t="s">
        <v>154</v>
      </c>
      <c r="AT104">
        <v>7</v>
      </c>
    </row>
    <row r="105" spans="1:46" x14ac:dyDescent="0.3">
      <c r="A105">
        <v>936</v>
      </c>
      <c r="B105">
        <v>2278</v>
      </c>
      <c r="C105">
        <v>28658</v>
      </c>
      <c r="D105">
        <v>2024</v>
      </c>
      <c r="E105">
        <v>19</v>
      </c>
      <c r="F105">
        <v>2</v>
      </c>
      <c r="G105" t="s">
        <v>120</v>
      </c>
      <c r="H105" t="s">
        <v>48</v>
      </c>
      <c r="I105" s="5" t="s">
        <v>253</v>
      </c>
      <c r="J105" s="5" t="s">
        <v>243</v>
      </c>
      <c r="K105" s="5" t="s">
        <v>59</v>
      </c>
      <c r="L105" s="4">
        <v>4</v>
      </c>
      <c r="M105" t="s">
        <v>154</v>
      </c>
      <c r="N105" t="s">
        <v>154</v>
      </c>
      <c r="O105" t="s">
        <v>123</v>
      </c>
      <c r="P105" t="s">
        <v>99</v>
      </c>
      <c r="Q105">
        <v>40</v>
      </c>
      <c r="R105">
        <f>IFERROR((J105 - J104)*24,0)</f>
        <v>3.9999999999417923</v>
      </c>
      <c r="S105">
        <f t="shared" si="21"/>
        <v>10.000000000145519</v>
      </c>
      <c r="T105" t="s">
        <v>164</v>
      </c>
      <c r="U105">
        <v>0</v>
      </c>
      <c r="V105">
        <v>0</v>
      </c>
      <c r="W105">
        <v>0</v>
      </c>
      <c r="X105">
        <v>0</v>
      </c>
      <c r="Y105">
        <f t="shared" si="22"/>
        <v>0</v>
      </c>
      <c r="Z105">
        <f t="shared" si="23"/>
        <v>0</v>
      </c>
      <c r="AA105">
        <v>0</v>
      </c>
      <c r="AB105">
        <f t="shared" si="26"/>
        <v>0</v>
      </c>
      <c r="AC105">
        <v>1.96</v>
      </c>
      <c r="AD105">
        <v>0.17</v>
      </c>
      <c r="AE105">
        <v>0.01</v>
      </c>
      <c r="AF105">
        <v>0</v>
      </c>
      <c r="AG105">
        <v>0</v>
      </c>
      <c r="AH105">
        <v>0</v>
      </c>
      <c r="AI105">
        <f t="shared" si="24"/>
        <v>2.1399999999999997</v>
      </c>
      <c r="AJ105">
        <f t="shared" si="25"/>
        <v>12.840000000186844</v>
      </c>
      <c r="AK105">
        <v>0</v>
      </c>
      <c r="AL105">
        <f t="shared" si="27"/>
        <v>31.800000000000111</v>
      </c>
      <c r="AM105">
        <v>0</v>
      </c>
      <c r="AN105">
        <v>0</v>
      </c>
      <c r="AO105" t="s">
        <v>52</v>
      </c>
      <c r="AP105">
        <v>0</v>
      </c>
      <c r="AQ105">
        <v>0</v>
      </c>
      <c r="AR105" t="s">
        <v>52</v>
      </c>
      <c r="AS105" t="s">
        <v>154</v>
      </c>
      <c r="AT105">
        <v>7</v>
      </c>
    </row>
    <row r="106" spans="1:46" x14ac:dyDescent="0.3">
      <c r="A106">
        <v>936</v>
      </c>
      <c r="B106">
        <v>2278</v>
      </c>
      <c r="C106">
        <v>28659</v>
      </c>
      <c r="D106">
        <v>2024</v>
      </c>
      <c r="E106">
        <v>19</v>
      </c>
      <c r="F106">
        <v>2</v>
      </c>
      <c r="G106" t="s">
        <v>120</v>
      </c>
      <c r="H106" t="s">
        <v>48</v>
      </c>
      <c r="I106" s="5" t="s">
        <v>253</v>
      </c>
      <c r="J106" s="5" t="s">
        <v>244</v>
      </c>
      <c r="K106" s="5" t="s">
        <v>50</v>
      </c>
      <c r="L106" s="4">
        <v>20</v>
      </c>
      <c r="M106" t="s">
        <v>154</v>
      </c>
      <c r="N106" t="s">
        <v>154</v>
      </c>
      <c r="O106" t="s">
        <v>123</v>
      </c>
      <c r="P106" t="s">
        <v>99</v>
      </c>
      <c r="Q106">
        <v>195</v>
      </c>
      <c r="R106">
        <f>IFERROR((J106 - J105)*24,0)</f>
        <v>20.000000000058208</v>
      </c>
      <c r="S106">
        <f t="shared" si="21"/>
        <v>9.7499999999716245</v>
      </c>
      <c r="T106" t="s">
        <v>164</v>
      </c>
      <c r="U106">
        <v>0</v>
      </c>
      <c r="V106">
        <v>0</v>
      </c>
      <c r="W106">
        <v>0</v>
      </c>
      <c r="X106">
        <v>0</v>
      </c>
      <c r="Y106">
        <f t="shared" si="22"/>
        <v>0</v>
      </c>
      <c r="Z106">
        <f t="shared" si="23"/>
        <v>0</v>
      </c>
      <c r="AA106">
        <v>0</v>
      </c>
      <c r="AB106">
        <f t="shared" si="26"/>
        <v>0</v>
      </c>
      <c r="AC106">
        <v>9.48</v>
      </c>
      <c r="AD106">
        <v>0.88</v>
      </c>
      <c r="AE106">
        <v>0.04</v>
      </c>
      <c r="AF106">
        <v>0</v>
      </c>
      <c r="AG106">
        <v>0</v>
      </c>
      <c r="AH106">
        <v>0</v>
      </c>
      <c r="AI106">
        <f t="shared" si="24"/>
        <v>10.4</v>
      </c>
      <c r="AJ106">
        <f t="shared" si="25"/>
        <v>12.479999999963679</v>
      </c>
      <c r="AK106">
        <v>0</v>
      </c>
      <c r="AL106">
        <f t="shared" si="27"/>
        <v>21.400000000000112</v>
      </c>
      <c r="AM106">
        <v>0</v>
      </c>
      <c r="AN106">
        <v>0</v>
      </c>
      <c r="AO106" t="s">
        <v>52</v>
      </c>
      <c r="AP106">
        <v>0</v>
      </c>
      <c r="AQ106">
        <v>0</v>
      </c>
      <c r="AR106" t="s">
        <v>52</v>
      </c>
      <c r="AS106" t="s">
        <v>154</v>
      </c>
      <c r="AT106">
        <v>7</v>
      </c>
    </row>
    <row r="107" spans="1:46" x14ac:dyDescent="0.3">
      <c r="A107">
        <v>936</v>
      </c>
      <c r="B107">
        <v>2278</v>
      </c>
      <c r="C107">
        <v>28660</v>
      </c>
      <c r="D107">
        <v>2024</v>
      </c>
      <c r="E107">
        <v>19</v>
      </c>
      <c r="F107">
        <v>2</v>
      </c>
      <c r="G107" t="s">
        <v>120</v>
      </c>
      <c r="H107" t="s">
        <v>48</v>
      </c>
      <c r="I107" s="5" t="s">
        <v>253</v>
      </c>
      <c r="J107" s="5" t="s">
        <v>245</v>
      </c>
      <c r="K107" s="5" t="s">
        <v>59</v>
      </c>
      <c r="L107" s="4">
        <v>4</v>
      </c>
      <c r="M107" t="s">
        <v>154</v>
      </c>
      <c r="N107" t="s">
        <v>154</v>
      </c>
      <c r="O107" t="s">
        <v>123</v>
      </c>
      <c r="P107" t="s">
        <v>99</v>
      </c>
      <c r="Q107">
        <v>36</v>
      </c>
      <c r="R107">
        <f>IFERROR((J107 - J106)*24,0)</f>
        <v>3.9999999999417923</v>
      </c>
      <c r="S107">
        <f t="shared" si="21"/>
        <v>9.0000000001309672</v>
      </c>
      <c r="T107" t="s">
        <v>164</v>
      </c>
      <c r="U107">
        <v>0</v>
      </c>
      <c r="V107">
        <v>0</v>
      </c>
      <c r="W107">
        <v>0</v>
      </c>
      <c r="X107">
        <v>0</v>
      </c>
      <c r="Y107">
        <f t="shared" si="22"/>
        <v>0</v>
      </c>
      <c r="Z107">
        <f t="shared" si="23"/>
        <v>0</v>
      </c>
      <c r="AA107">
        <v>0</v>
      </c>
      <c r="AB107">
        <f t="shared" si="26"/>
        <v>0</v>
      </c>
      <c r="AC107">
        <v>1.95</v>
      </c>
      <c r="AD107">
        <v>0.19</v>
      </c>
      <c r="AE107">
        <v>0</v>
      </c>
      <c r="AF107">
        <v>0</v>
      </c>
      <c r="AG107">
        <v>0</v>
      </c>
      <c r="AH107">
        <v>0</v>
      </c>
      <c r="AI107">
        <f t="shared" si="24"/>
        <v>2.14</v>
      </c>
      <c r="AJ107">
        <f t="shared" si="25"/>
        <v>12.840000000186846</v>
      </c>
      <c r="AK107">
        <v>0</v>
      </c>
      <c r="AL107">
        <f t="shared" si="27"/>
        <v>19.260000000000112</v>
      </c>
      <c r="AM107">
        <v>0</v>
      </c>
      <c r="AN107">
        <v>0</v>
      </c>
      <c r="AO107" t="s">
        <v>52</v>
      </c>
      <c r="AP107">
        <v>0</v>
      </c>
      <c r="AQ107">
        <v>0</v>
      </c>
      <c r="AR107" t="s">
        <v>52</v>
      </c>
      <c r="AS107" t="s">
        <v>154</v>
      </c>
      <c r="AT107">
        <v>7</v>
      </c>
    </row>
    <row r="108" spans="1:46" x14ac:dyDescent="0.3">
      <c r="A108">
        <v>936</v>
      </c>
      <c r="B108">
        <v>2278</v>
      </c>
      <c r="C108">
        <v>28661</v>
      </c>
      <c r="D108">
        <v>2024</v>
      </c>
      <c r="E108">
        <v>19</v>
      </c>
      <c r="F108">
        <v>2</v>
      </c>
      <c r="G108" t="s">
        <v>120</v>
      </c>
      <c r="H108" t="s">
        <v>48</v>
      </c>
      <c r="I108" s="5" t="s">
        <v>253</v>
      </c>
      <c r="J108" s="5" t="s">
        <v>246</v>
      </c>
      <c r="K108" s="5" t="s">
        <v>50</v>
      </c>
      <c r="L108" s="4">
        <v>20</v>
      </c>
      <c r="M108" t="s">
        <v>154</v>
      </c>
      <c r="N108" t="s">
        <v>154</v>
      </c>
      <c r="O108" t="s">
        <v>123</v>
      </c>
      <c r="P108" t="s">
        <v>99</v>
      </c>
      <c r="Q108">
        <v>195</v>
      </c>
      <c r="R108">
        <f>IFERROR((J108 - J107)*24,0)</f>
        <v>20.000000000058208</v>
      </c>
      <c r="S108">
        <f t="shared" si="21"/>
        <v>9.7499999999716245</v>
      </c>
      <c r="T108" t="s">
        <v>164</v>
      </c>
      <c r="U108">
        <v>0</v>
      </c>
      <c r="V108">
        <v>0</v>
      </c>
      <c r="W108">
        <v>0</v>
      </c>
      <c r="X108">
        <v>0</v>
      </c>
      <c r="Y108">
        <f t="shared" si="22"/>
        <v>0</v>
      </c>
      <c r="Z108">
        <f t="shared" si="23"/>
        <v>0</v>
      </c>
      <c r="AA108">
        <v>0</v>
      </c>
      <c r="AB108">
        <f t="shared" si="26"/>
        <v>0</v>
      </c>
      <c r="AC108">
        <v>9.2100000000000009</v>
      </c>
      <c r="AD108">
        <v>0.94</v>
      </c>
      <c r="AE108">
        <v>0.02</v>
      </c>
      <c r="AF108">
        <v>0</v>
      </c>
      <c r="AG108">
        <v>0</v>
      </c>
      <c r="AH108">
        <v>0</v>
      </c>
      <c r="AI108">
        <f t="shared" si="24"/>
        <v>10.17</v>
      </c>
      <c r="AJ108">
        <f t="shared" si="25"/>
        <v>12.203999999964481</v>
      </c>
      <c r="AK108">
        <v>0</v>
      </c>
      <c r="AL108">
        <f t="shared" si="27"/>
        <v>9.0900000000001118</v>
      </c>
      <c r="AM108">
        <v>0</v>
      </c>
      <c r="AN108">
        <v>0</v>
      </c>
      <c r="AO108" t="s">
        <v>52</v>
      </c>
      <c r="AP108">
        <v>0</v>
      </c>
      <c r="AQ108">
        <v>0</v>
      </c>
      <c r="AR108" t="s">
        <v>52</v>
      </c>
      <c r="AS108" t="s">
        <v>154</v>
      </c>
      <c r="AT108">
        <v>7</v>
      </c>
    </row>
    <row r="109" spans="1:46" x14ac:dyDescent="0.3">
      <c r="A109">
        <v>936</v>
      </c>
      <c r="B109">
        <v>2278</v>
      </c>
      <c r="C109">
        <v>28662</v>
      </c>
      <c r="D109">
        <v>2024</v>
      </c>
      <c r="E109">
        <v>19</v>
      </c>
      <c r="F109">
        <v>2</v>
      </c>
      <c r="G109" t="s">
        <v>120</v>
      </c>
      <c r="H109" t="s">
        <v>48</v>
      </c>
      <c r="I109" s="5" t="s">
        <v>253</v>
      </c>
      <c r="J109" s="5" t="s">
        <v>247</v>
      </c>
      <c r="K109" s="5" t="s">
        <v>59</v>
      </c>
      <c r="L109" s="4">
        <v>4</v>
      </c>
      <c r="M109" t="s">
        <v>154</v>
      </c>
      <c r="N109" t="s">
        <v>154</v>
      </c>
      <c r="O109" t="s">
        <v>123</v>
      </c>
      <c r="P109" t="s">
        <v>99</v>
      </c>
      <c r="Q109">
        <v>37</v>
      </c>
      <c r="R109">
        <f>IFERROR((J109 - J108)*24,0)</f>
        <v>3.9999999999417923</v>
      </c>
      <c r="S109">
        <f t="shared" si="21"/>
        <v>9.2500000001346052</v>
      </c>
      <c r="T109" t="s">
        <v>164</v>
      </c>
      <c r="U109">
        <v>0</v>
      </c>
      <c r="V109">
        <v>0</v>
      </c>
      <c r="W109">
        <v>0</v>
      </c>
      <c r="X109">
        <v>0</v>
      </c>
      <c r="Y109">
        <f t="shared" si="22"/>
        <v>0</v>
      </c>
      <c r="Z109">
        <f t="shared" si="23"/>
        <v>0</v>
      </c>
      <c r="AA109">
        <v>0</v>
      </c>
      <c r="AB109">
        <f t="shared" si="26"/>
        <v>0</v>
      </c>
      <c r="AC109">
        <v>1.68</v>
      </c>
      <c r="AD109">
        <v>0.16</v>
      </c>
      <c r="AE109">
        <v>0</v>
      </c>
      <c r="AF109">
        <v>0</v>
      </c>
      <c r="AG109">
        <v>0</v>
      </c>
      <c r="AH109">
        <v>0</v>
      </c>
      <c r="AI109">
        <f t="shared" si="24"/>
        <v>1.8399999999999999</v>
      </c>
      <c r="AJ109">
        <f t="shared" si="25"/>
        <v>11.040000000160653</v>
      </c>
      <c r="AK109">
        <v>0</v>
      </c>
      <c r="AL109">
        <f t="shared" si="27"/>
        <v>7.2500000000001119</v>
      </c>
      <c r="AM109">
        <v>0</v>
      </c>
      <c r="AN109">
        <v>0</v>
      </c>
      <c r="AO109" t="s">
        <v>52</v>
      </c>
      <c r="AP109">
        <v>0</v>
      </c>
      <c r="AQ109">
        <v>0</v>
      </c>
      <c r="AR109" t="s">
        <v>52</v>
      </c>
      <c r="AS109" t="s">
        <v>154</v>
      </c>
      <c r="AT109">
        <v>7</v>
      </c>
    </row>
    <row r="110" spans="1:46" x14ac:dyDescent="0.3">
      <c r="A110">
        <v>936</v>
      </c>
      <c r="B110">
        <v>2278</v>
      </c>
      <c r="C110">
        <v>28663</v>
      </c>
      <c r="D110">
        <v>2024</v>
      </c>
      <c r="E110">
        <v>19</v>
      </c>
      <c r="F110">
        <v>2</v>
      </c>
      <c r="G110" t="s">
        <v>120</v>
      </c>
      <c r="H110" t="s">
        <v>48</v>
      </c>
      <c r="I110" s="5" t="s">
        <v>253</v>
      </c>
      <c r="J110" s="5" t="s">
        <v>248</v>
      </c>
      <c r="K110" s="5" t="s">
        <v>50</v>
      </c>
      <c r="L110" s="4">
        <v>20</v>
      </c>
      <c r="M110" t="s">
        <v>154</v>
      </c>
      <c r="N110" t="s">
        <v>154</v>
      </c>
      <c r="O110" t="s">
        <v>123</v>
      </c>
      <c r="P110" t="s">
        <v>99</v>
      </c>
      <c r="Q110">
        <v>180</v>
      </c>
      <c r="R110">
        <f>IFERROR((J110 - J109)*24,0)</f>
        <v>20.000000000058208</v>
      </c>
      <c r="S110">
        <f t="shared" si="21"/>
        <v>8.9999999999738058</v>
      </c>
      <c r="T110" t="s">
        <v>164</v>
      </c>
      <c r="U110">
        <v>0</v>
      </c>
      <c r="V110">
        <v>0</v>
      </c>
      <c r="W110">
        <v>0</v>
      </c>
      <c r="X110">
        <v>0</v>
      </c>
      <c r="Y110">
        <f t="shared" si="22"/>
        <v>0</v>
      </c>
      <c r="Z110">
        <f t="shared" si="23"/>
        <v>0</v>
      </c>
      <c r="AA110">
        <v>0</v>
      </c>
      <c r="AB110">
        <f t="shared" si="26"/>
        <v>0</v>
      </c>
      <c r="AC110">
        <v>9.61</v>
      </c>
      <c r="AD110">
        <v>0.94</v>
      </c>
      <c r="AE110">
        <v>0</v>
      </c>
      <c r="AF110">
        <v>0</v>
      </c>
      <c r="AG110">
        <v>0</v>
      </c>
      <c r="AH110">
        <v>0</v>
      </c>
      <c r="AI110">
        <f t="shared" si="24"/>
        <v>10.549999999999999</v>
      </c>
      <c r="AJ110">
        <f t="shared" si="25"/>
        <v>12.659999999963153</v>
      </c>
      <c r="AK110">
        <v>0</v>
      </c>
      <c r="AL110">
        <f t="shared" si="27"/>
        <v>-3.299999999999887</v>
      </c>
      <c r="AM110">
        <v>0</v>
      </c>
      <c r="AN110">
        <v>0</v>
      </c>
      <c r="AO110" t="s">
        <v>52</v>
      </c>
      <c r="AP110">
        <v>0</v>
      </c>
      <c r="AQ110">
        <v>0</v>
      </c>
      <c r="AR110" t="s">
        <v>52</v>
      </c>
      <c r="AS110" t="s">
        <v>154</v>
      </c>
      <c r="AT110">
        <v>7</v>
      </c>
    </row>
    <row r="111" spans="1:46" x14ac:dyDescent="0.3">
      <c r="A111">
        <v>936</v>
      </c>
      <c r="B111">
        <v>2278</v>
      </c>
      <c r="C111">
        <v>28664</v>
      </c>
      <c r="D111">
        <v>2024</v>
      </c>
      <c r="E111">
        <v>19</v>
      </c>
      <c r="F111">
        <v>2</v>
      </c>
      <c r="G111" t="s">
        <v>120</v>
      </c>
      <c r="H111" t="s">
        <v>48</v>
      </c>
      <c r="I111" s="5" t="s">
        <v>253</v>
      </c>
      <c r="J111" s="5" t="s">
        <v>249</v>
      </c>
      <c r="K111" s="5" t="s">
        <v>59</v>
      </c>
      <c r="L111" s="4">
        <v>4</v>
      </c>
      <c r="M111" t="s">
        <v>154</v>
      </c>
      <c r="N111" t="s">
        <v>154</v>
      </c>
      <c r="O111" t="s">
        <v>123</v>
      </c>
      <c r="P111" t="s">
        <v>99</v>
      </c>
      <c r="Q111">
        <v>38</v>
      </c>
      <c r="R111">
        <f>IFERROR((J111 - J110)*24,0)</f>
        <v>3.9999999999417923</v>
      </c>
      <c r="S111">
        <f t="shared" si="21"/>
        <v>9.5000000001382432</v>
      </c>
      <c r="T111" t="s">
        <v>164</v>
      </c>
      <c r="U111">
        <v>0</v>
      </c>
      <c r="V111">
        <v>0</v>
      </c>
      <c r="W111">
        <v>0</v>
      </c>
      <c r="X111">
        <v>0</v>
      </c>
      <c r="Y111">
        <f t="shared" si="22"/>
        <v>0</v>
      </c>
      <c r="Z111">
        <f t="shared" si="23"/>
        <v>0</v>
      </c>
      <c r="AA111">
        <v>0</v>
      </c>
      <c r="AB111">
        <f t="shared" si="26"/>
        <v>0</v>
      </c>
      <c r="AC111">
        <v>1.92</v>
      </c>
      <c r="AD111">
        <v>0.18</v>
      </c>
      <c r="AE111">
        <v>0</v>
      </c>
      <c r="AF111">
        <v>0</v>
      </c>
      <c r="AG111">
        <v>0</v>
      </c>
      <c r="AH111">
        <v>0</v>
      </c>
      <c r="AI111">
        <f t="shared" si="24"/>
        <v>2.1</v>
      </c>
      <c r="AJ111">
        <f t="shared" si="25"/>
        <v>12.600000000183355</v>
      </c>
      <c r="AK111">
        <v>0</v>
      </c>
      <c r="AL111">
        <f t="shared" si="27"/>
        <v>-5.3999999999998867</v>
      </c>
      <c r="AM111">
        <v>0</v>
      </c>
      <c r="AN111">
        <v>0</v>
      </c>
      <c r="AO111" t="s">
        <v>52</v>
      </c>
      <c r="AP111">
        <v>0</v>
      </c>
      <c r="AQ111">
        <v>0</v>
      </c>
      <c r="AR111" t="s">
        <v>52</v>
      </c>
      <c r="AS111" t="s">
        <v>154</v>
      </c>
      <c r="AT111">
        <v>7</v>
      </c>
    </row>
    <row r="112" spans="1:46" x14ac:dyDescent="0.3">
      <c r="A112">
        <v>936</v>
      </c>
      <c r="B112">
        <v>2278</v>
      </c>
      <c r="C112">
        <v>28665</v>
      </c>
      <c r="D112">
        <v>2024</v>
      </c>
      <c r="E112">
        <v>19</v>
      </c>
      <c r="F112">
        <v>2</v>
      </c>
      <c r="G112" t="s">
        <v>120</v>
      </c>
      <c r="H112" t="s">
        <v>48</v>
      </c>
      <c r="I112" s="5" t="s">
        <v>253</v>
      </c>
      <c r="J112" s="5" t="s">
        <v>250</v>
      </c>
      <c r="K112" s="5" t="s">
        <v>251</v>
      </c>
      <c r="L112" s="4">
        <v>4.2</v>
      </c>
      <c r="M112" t="s">
        <v>154</v>
      </c>
      <c r="N112" t="s">
        <v>60</v>
      </c>
      <c r="O112" t="s">
        <v>52</v>
      </c>
      <c r="P112" t="s">
        <v>252</v>
      </c>
      <c r="Q112">
        <v>42</v>
      </c>
      <c r="R112">
        <f>IFERROR((J112 - J111)*24,0)</f>
        <v>4.2000000000698492</v>
      </c>
      <c r="S112">
        <f t="shared" si="21"/>
        <v>9.9999999998336921</v>
      </c>
      <c r="T112" t="s">
        <v>128</v>
      </c>
      <c r="U112">
        <v>0</v>
      </c>
      <c r="V112">
        <v>0</v>
      </c>
      <c r="W112">
        <v>0</v>
      </c>
      <c r="X112">
        <v>0</v>
      </c>
      <c r="Y112">
        <f t="shared" si="22"/>
        <v>0</v>
      </c>
      <c r="Z112">
        <f t="shared" si="23"/>
        <v>0</v>
      </c>
      <c r="AA112">
        <v>0</v>
      </c>
      <c r="AB112">
        <f t="shared" si="26"/>
        <v>0</v>
      </c>
      <c r="AC112">
        <v>2.08</v>
      </c>
      <c r="AD112">
        <v>0.3</v>
      </c>
      <c r="AE112">
        <v>0</v>
      </c>
      <c r="AF112">
        <v>0</v>
      </c>
      <c r="AG112">
        <v>0</v>
      </c>
      <c r="AH112">
        <v>0</v>
      </c>
      <c r="AI112">
        <f t="shared" si="24"/>
        <v>2.38</v>
      </c>
      <c r="AJ112">
        <f t="shared" si="25"/>
        <v>13.599999999773821</v>
      </c>
      <c r="AK112">
        <v>0</v>
      </c>
      <c r="AL112">
        <f t="shared" si="27"/>
        <v>-7.7799999999998866</v>
      </c>
      <c r="AM112">
        <v>0</v>
      </c>
      <c r="AN112">
        <v>0</v>
      </c>
      <c r="AO112" t="s">
        <v>52</v>
      </c>
      <c r="AP112">
        <v>0</v>
      </c>
      <c r="AQ112">
        <v>0</v>
      </c>
      <c r="AR112" t="s">
        <v>52</v>
      </c>
      <c r="AS112" t="s">
        <v>154</v>
      </c>
      <c r="AT112">
        <v>7</v>
      </c>
    </row>
    <row r="113" spans="1:46" x14ac:dyDescent="0.3">
      <c r="A113">
        <v>936</v>
      </c>
      <c r="B113">
        <v>2278</v>
      </c>
      <c r="C113">
        <v>28666</v>
      </c>
      <c r="D113">
        <v>2024</v>
      </c>
      <c r="E113">
        <v>19</v>
      </c>
      <c r="F113">
        <v>2</v>
      </c>
      <c r="G113" t="s">
        <v>120</v>
      </c>
      <c r="H113" t="s">
        <v>48</v>
      </c>
      <c r="I113" s="5" t="s">
        <v>253</v>
      </c>
      <c r="J113" s="5" t="s">
        <v>253</v>
      </c>
      <c r="K113" s="5" t="s">
        <v>254</v>
      </c>
      <c r="L113" s="4">
        <v>2.2000000000000002</v>
      </c>
      <c r="M113" t="s">
        <v>60</v>
      </c>
      <c r="N113" t="s">
        <v>104</v>
      </c>
      <c r="O113" t="s">
        <v>52</v>
      </c>
      <c r="P113" t="s">
        <v>186</v>
      </c>
      <c r="Q113">
        <v>5</v>
      </c>
      <c r="R113">
        <f>IFERROR((J113 - J112)*24,0)</f>
        <v>2.2000000000116415</v>
      </c>
      <c r="S113">
        <f t="shared" si="21"/>
        <v>2.2727272727152465</v>
      </c>
      <c r="T113" t="s">
        <v>128</v>
      </c>
      <c r="U113">
        <v>0</v>
      </c>
      <c r="V113">
        <v>0</v>
      </c>
      <c r="W113">
        <v>0</v>
      </c>
      <c r="X113">
        <v>0</v>
      </c>
      <c r="Y113">
        <f t="shared" si="22"/>
        <v>0</v>
      </c>
      <c r="Z113">
        <f t="shared" si="23"/>
        <v>0</v>
      </c>
      <c r="AA113">
        <v>0</v>
      </c>
      <c r="AB113">
        <f t="shared" si="26"/>
        <v>0</v>
      </c>
      <c r="AC113">
        <v>0.15</v>
      </c>
      <c r="AD113">
        <v>0.13</v>
      </c>
      <c r="AE113">
        <v>0.01</v>
      </c>
      <c r="AF113">
        <v>0</v>
      </c>
      <c r="AG113">
        <v>0</v>
      </c>
      <c r="AH113">
        <v>0</v>
      </c>
      <c r="AI113">
        <f t="shared" si="24"/>
        <v>0.29000000000000004</v>
      </c>
      <c r="AJ113">
        <f t="shared" si="25"/>
        <v>3.1636363636196232</v>
      </c>
      <c r="AK113">
        <v>0</v>
      </c>
      <c r="AL113">
        <f t="shared" si="27"/>
        <v>-8.0699999999998866</v>
      </c>
      <c r="AM113">
        <v>0</v>
      </c>
      <c r="AN113">
        <v>0</v>
      </c>
      <c r="AO113" t="s">
        <v>52</v>
      </c>
      <c r="AP113">
        <v>0</v>
      </c>
      <c r="AQ113">
        <v>0</v>
      </c>
      <c r="AR113" t="s">
        <v>52</v>
      </c>
      <c r="AS113" t="s">
        <v>60</v>
      </c>
      <c r="AT113">
        <v>7</v>
      </c>
    </row>
    <row r="114" spans="1:46" x14ac:dyDescent="0.3">
      <c r="A114">
        <v>936</v>
      </c>
      <c r="B114">
        <v>2278</v>
      </c>
      <c r="C114">
        <v>28667</v>
      </c>
      <c r="D114">
        <v>2024</v>
      </c>
      <c r="E114">
        <v>19</v>
      </c>
      <c r="F114">
        <v>2</v>
      </c>
      <c r="G114" t="s">
        <v>120</v>
      </c>
      <c r="H114" t="s">
        <v>48</v>
      </c>
      <c r="I114" s="5" t="s">
        <v>253</v>
      </c>
      <c r="J114" s="5" t="s">
        <v>255</v>
      </c>
      <c r="K114" s="5" t="s">
        <v>59</v>
      </c>
      <c r="L114" s="4">
        <v>17.600000000000001</v>
      </c>
      <c r="M114" t="s">
        <v>104</v>
      </c>
      <c r="N114" t="s">
        <v>104</v>
      </c>
      <c r="O114" t="s">
        <v>52</v>
      </c>
      <c r="P114" t="s">
        <v>186</v>
      </c>
      <c r="Q114">
        <v>0</v>
      </c>
      <c r="R114">
        <f>IFERROR((J114 - J113)*24,0)</f>
        <v>17.599999999918509</v>
      </c>
      <c r="S114">
        <f t="shared" si="21"/>
        <v>0</v>
      </c>
      <c r="T114" t="s">
        <v>52</v>
      </c>
      <c r="U114">
        <v>0</v>
      </c>
      <c r="V114">
        <v>0</v>
      </c>
      <c r="W114">
        <v>0</v>
      </c>
      <c r="X114">
        <v>0</v>
      </c>
      <c r="Y114">
        <f t="shared" si="22"/>
        <v>0</v>
      </c>
      <c r="Z114">
        <f t="shared" si="23"/>
        <v>0</v>
      </c>
      <c r="AA114">
        <v>0</v>
      </c>
      <c r="AB114">
        <f t="shared" si="26"/>
        <v>0</v>
      </c>
      <c r="AC114">
        <v>0</v>
      </c>
      <c r="AD114">
        <v>1.59</v>
      </c>
      <c r="AE114">
        <v>7.0000000000000007E-2</v>
      </c>
      <c r="AF114">
        <v>0</v>
      </c>
      <c r="AG114">
        <v>0</v>
      </c>
      <c r="AH114">
        <v>0</v>
      </c>
      <c r="AI114">
        <f t="shared" si="24"/>
        <v>1.6600000000000001</v>
      </c>
      <c r="AJ114">
        <f t="shared" si="25"/>
        <v>2.2636363636468446</v>
      </c>
      <c r="AK114">
        <v>0</v>
      </c>
      <c r="AL114">
        <f t="shared" si="27"/>
        <v>-9.7299999999998867</v>
      </c>
      <c r="AM114">
        <v>0</v>
      </c>
      <c r="AN114">
        <v>0</v>
      </c>
      <c r="AO114" t="s">
        <v>52</v>
      </c>
      <c r="AP114">
        <v>0</v>
      </c>
      <c r="AQ114">
        <v>0</v>
      </c>
      <c r="AR114" t="s">
        <v>52</v>
      </c>
      <c r="AS114" t="s">
        <v>104</v>
      </c>
      <c r="AT114">
        <v>7</v>
      </c>
    </row>
    <row r="115" spans="1:46" x14ac:dyDescent="0.3">
      <c r="A115">
        <v>936</v>
      </c>
      <c r="B115">
        <v>2278</v>
      </c>
      <c r="C115">
        <v>28668</v>
      </c>
      <c r="D115">
        <v>2024</v>
      </c>
      <c r="E115">
        <v>19</v>
      </c>
      <c r="F115">
        <v>2</v>
      </c>
      <c r="G115" t="s">
        <v>120</v>
      </c>
      <c r="H115" t="s">
        <v>48</v>
      </c>
      <c r="I115" s="5" t="s">
        <v>253</v>
      </c>
      <c r="J115" s="5" t="s">
        <v>256</v>
      </c>
      <c r="K115" s="5" t="s">
        <v>230</v>
      </c>
      <c r="L115" s="4">
        <v>12</v>
      </c>
      <c r="M115" t="s">
        <v>104</v>
      </c>
      <c r="N115" t="s">
        <v>60</v>
      </c>
      <c r="O115" t="s">
        <v>52</v>
      </c>
      <c r="P115" t="s">
        <v>186</v>
      </c>
      <c r="Q115">
        <v>0</v>
      </c>
      <c r="R115">
        <f>IFERROR((J115 - J114)*24,0)</f>
        <v>12</v>
      </c>
      <c r="S115">
        <f t="shared" si="21"/>
        <v>0</v>
      </c>
      <c r="T115" t="s">
        <v>52</v>
      </c>
      <c r="U115">
        <v>0</v>
      </c>
      <c r="V115">
        <v>0</v>
      </c>
      <c r="W115">
        <v>0</v>
      </c>
      <c r="X115">
        <v>0</v>
      </c>
      <c r="Y115">
        <f t="shared" si="22"/>
        <v>0</v>
      </c>
      <c r="Z115">
        <f t="shared" si="23"/>
        <v>0</v>
      </c>
      <c r="AA115">
        <v>0</v>
      </c>
      <c r="AB115">
        <f t="shared" si="26"/>
        <v>0</v>
      </c>
      <c r="AC115">
        <v>0</v>
      </c>
      <c r="AD115">
        <v>0.95</v>
      </c>
      <c r="AE115">
        <v>7.0000000000000007E-2</v>
      </c>
      <c r="AF115">
        <v>0</v>
      </c>
      <c r="AG115">
        <v>0</v>
      </c>
      <c r="AH115">
        <v>0</v>
      </c>
      <c r="AI115">
        <f t="shared" si="24"/>
        <v>1.02</v>
      </c>
      <c r="AJ115">
        <f t="shared" si="25"/>
        <v>2.04</v>
      </c>
      <c r="AK115">
        <v>0</v>
      </c>
      <c r="AL115">
        <f t="shared" si="27"/>
        <v>-10.749999999999886</v>
      </c>
      <c r="AM115">
        <v>0</v>
      </c>
      <c r="AN115">
        <v>0</v>
      </c>
      <c r="AO115" t="s">
        <v>52</v>
      </c>
      <c r="AP115">
        <v>0</v>
      </c>
      <c r="AQ115">
        <v>0</v>
      </c>
      <c r="AR115" t="s">
        <v>52</v>
      </c>
      <c r="AS115" t="s">
        <v>104</v>
      </c>
      <c r="AT115">
        <v>7</v>
      </c>
    </row>
    <row r="116" spans="1:46" x14ac:dyDescent="0.3">
      <c r="A116">
        <v>936</v>
      </c>
      <c r="B116">
        <v>2278</v>
      </c>
      <c r="C116">
        <v>28669</v>
      </c>
      <c r="D116">
        <v>2024</v>
      </c>
      <c r="E116">
        <v>19</v>
      </c>
      <c r="F116">
        <v>2</v>
      </c>
      <c r="G116" t="s">
        <v>120</v>
      </c>
      <c r="H116" t="s">
        <v>48</v>
      </c>
      <c r="I116" s="5" t="s">
        <v>253</v>
      </c>
      <c r="J116" s="5" t="s">
        <v>257</v>
      </c>
      <c r="K116" s="5" t="s">
        <v>232</v>
      </c>
      <c r="L116" s="4">
        <v>2.7</v>
      </c>
      <c r="M116" t="s">
        <v>60</v>
      </c>
      <c r="N116" t="s">
        <v>51</v>
      </c>
      <c r="O116" t="s">
        <v>52</v>
      </c>
      <c r="P116" t="s">
        <v>258</v>
      </c>
      <c r="Q116">
        <v>3</v>
      </c>
      <c r="R116">
        <f>IFERROR((J116 - J115)*24,0)</f>
        <v>2.7000000000698492</v>
      </c>
      <c r="S116">
        <f t="shared" si="21"/>
        <v>1.1111111110823666</v>
      </c>
      <c r="T116" t="s">
        <v>128</v>
      </c>
      <c r="U116">
        <v>0</v>
      </c>
      <c r="V116">
        <v>0</v>
      </c>
      <c r="W116">
        <v>0</v>
      </c>
      <c r="X116">
        <v>0</v>
      </c>
      <c r="Y116">
        <f t="shared" si="22"/>
        <v>0</v>
      </c>
      <c r="Z116">
        <f t="shared" si="23"/>
        <v>0</v>
      </c>
      <c r="AA116">
        <v>0</v>
      </c>
      <c r="AB116">
        <f t="shared" si="26"/>
        <v>0</v>
      </c>
      <c r="AC116">
        <v>0.04</v>
      </c>
      <c r="AD116">
        <v>0.23</v>
      </c>
      <c r="AE116">
        <v>0.02</v>
      </c>
      <c r="AF116">
        <v>0</v>
      </c>
      <c r="AG116">
        <v>0</v>
      </c>
      <c r="AH116">
        <v>0</v>
      </c>
      <c r="AI116">
        <f t="shared" si="24"/>
        <v>0.29000000000000004</v>
      </c>
      <c r="AJ116">
        <f t="shared" si="25"/>
        <v>2.5777777777110908</v>
      </c>
      <c r="AK116">
        <v>0</v>
      </c>
      <c r="AL116">
        <f t="shared" si="27"/>
        <v>-11.039999999999885</v>
      </c>
      <c r="AM116">
        <v>0</v>
      </c>
      <c r="AN116">
        <v>0</v>
      </c>
      <c r="AO116" t="s">
        <v>52</v>
      </c>
      <c r="AP116">
        <v>0</v>
      </c>
      <c r="AQ116">
        <v>0</v>
      </c>
      <c r="AR116" t="s">
        <v>52</v>
      </c>
      <c r="AS116" t="s">
        <v>60</v>
      </c>
      <c r="AT116">
        <v>7</v>
      </c>
    </row>
    <row r="117" spans="1:46" x14ac:dyDescent="0.3">
      <c r="A117">
        <v>936</v>
      </c>
      <c r="B117">
        <v>2278</v>
      </c>
      <c r="C117">
        <v>28670</v>
      </c>
      <c r="D117">
        <v>2024</v>
      </c>
      <c r="E117">
        <v>19</v>
      </c>
      <c r="F117">
        <v>2</v>
      </c>
      <c r="G117" t="s">
        <v>120</v>
      </c>
      <c r="H117" t="s">
        <v>48</v>
      </c>
      <c r="I117" s="5" t="s">
        <v>253</v>
      </c>
      <c r="J117" s="5" t="s">
        <v>259</v>
      </c>
      <c r="K117" s="5" t="s">
        <v>59</v>
      </c>
      <c r="L117" s="4">
        <v>9.3000000000000007</v>
      </c>
      <c r="M117" t="s">
        <v>51</v>
      </c>
      <c r="N117" t="s">
        <v>60</v>
      </c>
      <c r="O117" t="s">
        <v>52</v>
      </c>
      <c r="P117" t="s">
        <v>260</v>
      </c>
      <c r="Q117">
        <v>0</v>
      </c>
      <c r="R117">
        <f>IFERROR((J117 - J116)*24,0)</f>
        <v>9.2999999999301508</v>
      </c>
      <c r="S117">
        <f t="shared" si="21"/>
        <v>0</v>
      </c>
      <c r="T117" t="s">
        <v>128</v>
      </c>
      <c r="U117">
        <v>0</v>
      </c>
      <c r="V117">
        <v>0</v>
      </c>
      <c r="W117">
        <v>0</v>
      </c>
      <c r="X117">
        <v>0</v>
      </c>
      <c r="Y117">
        <f t="shared" si="22"/>
        <v>0</v>
      </c>
      <c r="Z117">
        <f t="shared" si="23"/>
        <v>0</v>
      </c>
      <c r="AA117">
        <v>0</v>
      </c>
      <c r="AB117">
        <f t="shared" si="26"/>
        <v>0</v>
      </c>
      <c r="AC117">
        <v>0</v>
      </c>
      <c r="AD117">
        <v>0.3</v>
      </c>
      <c r="AE117">
        <v>0.05</v>
      </c>
      <c r="AF117">
        <v>0</v>
      </c>
      <c r="AG117">
        <v>0</v>
      </c>
      <c r="AH117">
        <v>0</v>
      </c>
      <c r="AI117">
        <f t="shared" si="24"/>
        <v>0.35</v>
      </c>
      <c r="AJ117">
        <f t="shared" si="25"/>
        <v>0.90322580645839656</v>
      </c>
      <c r="AK117">
        <v>0</v>
      </c>
      <c r="AL117">
        <f t="shared" si="27"/>
        <v>-11.389999999999885</v>
      </c>
      <c r="AM117">
        <v>0</v>
      </c>
      <c r="AN117">
        <v>0</v>
      </c>
      <c r="AO117" t="s">
        <v>52</v>
      </c>
      <c r="AP117">
        <v>0</v>
      </c>
      <c r="AQ117">
        <v>0</v>
      </c>
      <c r="AR117" t="s">
        <v>52</v>
      </c>
      <c r="AS117" t="s">
        <v>51</v>
      </c>
      <c r="AT117">
        <v>7</v>
      </c>
    </row>
    <row r="118" spans="1:46" x14ac:dyDescent="0.3">
      <c r="A118">
        <v>936</v>
      </c>
      <c r="B118">
        <v>2278</v>
      </c>
      <c r="C118">
        <v>28671</v>
      </c>
      <c r="D118">
        <v>2024</v>
      </c>
      <c r="E118">
        <v>19</v>
      </c>
      <c r="F118">
        <v>2</v>
      </c>
      <c r="G118" t="s">
        <v>120</v>
      </c>
      <c r="H118" t="s">
        <v>48</v>
      </c>
      <c r="I118" s="5" t="s">
        <v>253</v>
      </c>
      <c r="J118" s="5" t="s">
        <v>261</v>
      </c>
      <c r="K118" s="5" t="s">
        <v>262</v>
      </c>
      <c r="L118" s="4">
        <v>0.7</v>
      </c>
      <c r="M118" t="s">
        <v>60</v>
      </c>
      <c r="N118" t="s">
        <v>60</v>
      </c>
      <c r="O118" t="s">
        <v>52</v>
      </c>
      <c r="P118" t="s">
        <v>260</v>
      </c>
      <c r="Q118">
        <v>0</v>
      </c>
      <c r="R118">
        <f>IFERROR((J118 - J117)*24,0)</f>
        <v>0.70000000001164153</v>
      </c>
      <c r="S118">
        <f t="shared" si="21"/>
        <v>0</v>
      </c>
      <c r="T118" t="s">
        <v>128</v>
      </c>
      <c r="U118">
        <v>0</v>
      </c>
      <c r="V118">
        <v>0</v>
      </c>
      <c r="W118">
        <v>0</v>
      </c>
      <c r="X118">
        <v>0</v>
      </c>
      <c r="Y118">
        <f t="shared" si="22"/>
        <v>0</v>
      </c>
      <c r="Z118">
        <f t="shared" si="23"/>
        <v>0</v>
      </c>
      <c r="AA118">
        <v>0</v>
      </c>
      <c r="AB118">
        <f t="shared" si="26"/>
        <v>0</v>
      </c>
      <c r="AC118">
        <v>0</v>
      </c>
      <c r="AD118">
        <v>0.04</v>
      </c>
      <c r="AE118">
        <v>0.01</v>
      </c>
      <c r="AF118">
        <v>0</v>
      </c>
      <c r="AG118">
        <v>0</v>
      </c>
      <c r="AH118">
        <v>0</v>
      </c>
      <c r="AI118">
        <f t="shared" si="24"/>
        <v>0.05</v>
      </c>
      <c r="AJ118">
        <f t="shared" si="25"/>
        <v>1.7142857142572048</v>
      </c>
      <c r="AK118">
        <v>280.95999999999998</v>
      </c>
      <c r="AL118">
        <f t="shared" si="27"/>
        <v>269.5200000000001</v>
      </c>
      <c r="AM118">
        <v>0</v>
      </c>
      <c r="AN118">
        <v>0</v>
      </c>
      <c r="AO118" t="s">
        <v>52</v>
      </c>
      <c r="AP118">
        <v>0</v>
      </c>
      <c r="AQ118">
        <v>0</v>
      </c>
      <c r="AR118" t="s">
        <v>52</v>
      </c>
      <c r="AS118" t="s">
        <v>60</v>
      </c>
      <c r="AT118">
        <v>7</v>
      </c>
    </row>
    <row r="119" spans="1:46" x14ac:dyDescent="0.3">
      <c r="A119">
        <v>936</v>
      </c>
      <c r="B119">
        <v>2278</v>
      </c>
      <c r="C119">
        <v>28672</v>
      </c>
      <c r="D119">
        <v>2024</v>
      </c>
      <c r="E119">
        <v>19</v>
      </c>
      <c r="F119">
        <v>2</v>
      </c>
      <c r="G119" t="s">
        <v>120</v>
      </c>
      <c r="H119" t="s">
        <v>48</v>
      </c>
      <c r="I119" s="5" t="s">
        <v>253</v>
      </c>
      <c r="J119" s="5" t="s">
        <v>263</v>
      </c>
      <c r="K119" s="5" t="s">
        <v>264</v>
      </c>
      <c r="L119" s="4">
        <v>1.5</v>
      </c>
      <c r="M119" t="s">
        <v>60</v>
      </c>
      <c r="N119" t="s">
        <v>122</v>
      </c>
      <c r="O119" t="s">
        <v>123</v>
      </c>
      <c r="P119" t="s">
        <v>265</v>
      </c>
      <c r="Q119">
        <v>7</v>
      </c>
      <c r="R119">
        <f>IFERROR((J119 - J118)*24,0)</f>
        <v>1.5</v>
      </c>
      <c r="S119">
        <f t="shared" si="21"/>
        <v>4.666666666666667</v>
      </c>
      <c r="T119" t="s">
        <v>128</v>
      </c>
      <c r="U119">
        <v>0</v>
      </c>
      <c r="V119">
        <v>0</v>
      </c>
      <c r="W119">
        <v>0</v>
      </c>
      <c r="X119">
        <v>0</v>
      </c>
      <c r="Y119">
        <f t="shared" si="22"/>
        <v>0</v>
      </c>
      <c r="Z119">
        <f t="shared" si="23"/>
        <v>0</v>
      </c>
      <c r="AA119">
        <v>0</v>
      </c>
      <c r="AB119">
        <f t="shared" si="26"/>
        <v>0</v>
      </c>
      <c r="AC119">
        <v>0.6</v>
      </c>
      <c r="AD119">
        <v>0.04</v>
      </c>
      <c r="AE119">
        <v>0</v>
      </c>
      <c r="AF119">
        <v>0</v>
      </c>
      <c r="AG119">
        <v>0</v>
      </c>
      <c r="AH119">
        <v>0</v>
      </c>
      <c r="AI119">
        <f t="shared" si="24"/>
        <v>0.64</v>
      </c>
      <c r="AJ119">
        <f t="shared" si="25"/>
        <v>10.24</v>
      </c>
      <c r="AK119">
        <v>0</v>
      </c>
      <c r="AL119">
        <f t="shared" si="27"/>
        <v>268.88000000000011</v>
      </c>
      <c r="AM119">
        <v>0</v>
      </c>
      <c r="AN119">
        <v>0</v>
      </c>
      <c r="AO119" t="s">
        <v>52</v>
      </c>
      <c r="AP119">
        <v>0</v>
      </c>
      <c r="AQ119">
        <v>0</v>
      </c>
      <c r="AR119" t="s">
        <v>52</v>
      </c>
      <c r="AS119" t="s">
        <v>60</v>
      </c>
      <c r="AT119">
        <v>7</v>
      </c>
    </row>
    <row r="120" spans="1:46" x14ac:dyDescent="0.3">
      <c r="A120">
        <v>971</v>
      </c>
      <c r="B120">
        <v>2383</v>
      </c>
      <c r="C120">
        <v>28673</v>
      </c>
      <c r="D120">
        <v>2024</v>
      </c>
      <c r="E120">
        <v>20</v>
      </c>
      <c r="F120">
        <v>1</v>
      </c>
      <c r="G120" t="s">
        <v>266</v>
      </c>
      <c r="H120" t="s">
        <v>267</v>
      </c>
      <c r="I120" s="5" t="s">
        <v>285</v>
      </c>
      <c r="J120" s="5" t="s">
        <v>268</v>
      </c>
      <c r="K120" s="5" t="s">
        <v>50</v>
      </c>
      <c r="L120" s="4">
        <v>17.8</v>
      </c>
      <c r="M120" t="s">
        <v>122</v>
      </c>
      <c r="N120" t="s">
        <v>122</v>
      </c>
      <c r="O120" t="s">
        <v>123</v>
      </c>
      <c r="P120" t="s">
        <v>124</v>
      </c>
      <c r="Q120">
        <v>261</v>
      </c>
      <c r="R120">
        <f>IFERROR((J120 - J119)*24,0)</f>
        <v>17.800000000046566</v>
      </c>
      <c r="S120">
        <f t="shared" si="21"/>
        <v>14.662921348276248</v>
      </c>
      <c r="T120" t="s">
        <v>94</v>
      </c>
      <c r="U120">
        <v>0</v>
      </c>
      <c r="V120">
        <v>0</v>
      </c>
      <c r="W120">
        <v>0</v>
      </c>
      <c r="X120">
        <v>0</v>
      </c>
      <c r="Y120">
        <f t="shared" si="22"/>
        <v>0</v>
      </c>
      <c r="Z120">
        <f t="shared" si="23"/>
        <v>0</v>
      </c>
      <c r="AA120">
        <v>0</v>
      </c>
      <c r="AB120">
        <f t="shared" si="26"/>
        <v>0</v>
      </c>
      <c r="AC120">
        <v>9.85</v>
      </c>
      <c r="AD120">
        <v>0.95</v>
      </c>
      <c r="AE120">
        <v>0.01</v>
      </c>
      <c r="AF120">
        <v>0</v>
      </c>
      <c r="AG120">
        <v>0</v>
      </c>
      <c r="AH120">
        <v>0</v>
      </c>
      <c r="AI120">
        <f t="shared" si="24"/>
        <v>10.809999999999999</v>
      </c>
      <c r="AJ120">
        <f t="shared" si="25"/>
        <v>14.575280898838271</v>
      </c>
      <c r="AK120">
        <v>0</v>
      </c>
      <c r="AL120">
        <f t="shared" si="27"/>
        <v>258.07000000000011</v>
      </c>
      <c r="AM120">
        <v>0</v>
      </c>
      <c r="AN120">
        <v>0</v>
      </c>
      <c r="AO120" t="s">
        <v>52</v>
      </c>
      <c r="AP120">
        <v>0</v>
      </c>
      <c r="AQ120">
        <v>0</v>
      </c>
      <c r="AR120" t="s">
        <v>52</v>
      </c>
      <c r="AS120" t="s">
        <v>122</v>
      </c>
      <c r="AT120">
        <v>7</v>
      </c>
    </row>
    <row r="121" spans="1:46" x14ac:dyDescent="0.3">
      <c r="A121">
        <v>971</v>
      </c>
      <c r="B121">
        <v>2383</v>
      </c>
      <c r="C121">
        <v>28674</v>
      </c>
      <c r="D121">
        <v>2024</v>
      </c>
      <c r="E121">
        <v>20</v>
      </c>
      <c r="F121">
        <v>1</v>
      </c>
      <c r="G121" t="s">
        <v>266</v>
      </c>
      <c r="H121" t="s">
        <v>267</v>
      </c>
      <c r="I121" s="5" t="s">
        <v>285</v>
      </c>
      <c r="J121" s="5" t="s">
        <v>269</v>
      </c>
      <c r="K121" s="5" t="s">
        <v>59</v>
      </c>
      <c r="L121" s="4">
        <v>4</v>
      </c>
      <c r="M121" t="s">
        <v>122</v>
      </c>
      <c r="N121" t="s">
        <v>122</v>
      </c>
      <c r="O121" t="s">
        <v>123</v>
      </c>
      <c r="P121" t="s">
        <v>124</v>
      </c>
      <c r="Q121">
        <v>59</v>
      </c>
      <c r="R121">
        <f>IFERROR((J121 - J120)*24,0)</f>
        <v>3.9999999999417923</v>
      </c>
      <c r="S121">
        <f t="shared" si="21"/>
        <v>14.750000000214641</v>
      </c>
      <c r="T121" t="s">
        <v>94</v>
      </c>
      <c r="U121">
        <v>0</v>
      </c>
      <c r="V121">
        <v>0</v>
      </c>
      <c r="W121">
        <v>0</v>
      </c>
      <c r="X121">
        <v>0</v>
      </c>
      <c r="Y121">
        <f t="shared" si="22"/>
        <v>0</v>
      </c>
      <c r="Z121">
        <f t="shared" si="23"/>
        <v>0</v>
      </c>
      <c r="AA121">
        <v>0</v>
      </c>
      <c r="AB121">
        <f t="shared" si="26"/>
        <v>0</v>
      </c>
      <c r="AC121">
        <v>2.2000000000000002</v>
      </c>
      <c r="AD121">
        <v>0.2</v>
      </c>
      <c r="AE121">
        <v>0</v>
      </c>
      <c r="AF121">
        <v>0</v>
      </c>
      <c r="AG121">
        <v>0</v>
      </c>
      <c r="AH121">
        <v>0</v>
      </c>
      <c r="AI121">
        <f t="shared" si="24"/>
        <v>2.4000000000000004</v>
      </c>
      <c r="AJ121">
        <f t="shared" si="25"/>
        <v>14.40000000020955</v>
      </c>
      <c r="AK121">
        <v>0</v>
      </c>
      <c r="AL121">
        <f t="shared" si="27"/>
        <v>255.6700000000001</v>
      </c>
      <c r="AM121">
        <v>0</v>
      </c>
      <c r="AN121">
        <v>0</v>
      </c>
      <c r="AO121" t="s">
        <v>52</v>
      </c>
      <c r="AP121">
        <v>0</v>
      </c>
      <c r="AQ121">
        <v>0</v>
      </c>
      <c r="AR121" t="s">
        <v>52</v>
      </c>
      <c r="AS121" t="s">
        <v>122</v>
      </c>
      <c r="AT121">
        <v>7</v>
      </c>
    </row>
    <row r="122" spans="1:46" x14ac:dyDescent="0.3">
      <c r="A122">
        <v>971</v>
      </c>
      <c r="B122">
        <v>2383</v>
      </c>
      <c r="C122">
        <v>28675</v>
      </c>
      <c r="D122">
        <v>2024</v>
      </c>
      <c r="E122">
        <v>20</v>
      </c>
      <c r="F122">
        <v>1</v>
      </c>
      <c r="G122" t="s">
        <v>266</v>
      </c>
      <c r="H122" t="s">
        <v>267</v>
      </c>
      <c r="I122" s="5" t="s">
        <v>285</v>
      </c>
      <c r="J122" s="5" t="s">
        <v>270</v>
      </c>
      <c r="K122" s="5" t="s">
        <v>50</v>
      </c>
      <c r="L122" s="4">
        <v>20</v>
      </c>
      <c r="M122" t="s">
        <v>122</v>
      </c>
      <c r="N122" t="s">
        <v>122</v>
      </c>
      <c r="O122" t="s">
        <v>123</v>
      </c>
      <c r="P122" t="s">
        <v>124</v>
      </c>
      <c r="Q122">
        <v>298</v>
      </c>
      <c r="R122">
        <f>IFERROR((J122 - J121)*24,0)</f>
        <v>20.000000000058208</v>
      </c>
      <c r="S122">
        <f t="shared" si="21"/>
        <v>14.899999999956636</v>
      </c>
      <c r="T122" t="s">
        <v>128</v>
      </c>
      <c r="U122">
        <v>0</v>
      </c>
      <c r="V122">
        <v>0</v>
      </c>
      <c r="W122">
        <v>0</v>
      </c>
      <c r="X122">
        <v>0</v>
      </c>
      <c r="Y122">
        <f t="shared" si="22"/>
        <v>0</v>
      </c>
      <c r="Z122">
        <f t="shared" si="23"/>
        <v>0</v>
      </c>
      <c r="AA122">
        <v>0</v>
      </c>
      <c r="AB122">
        <f t="shared" si="26"/>
        <v>0</v>
      </c>
      <c r="AC122">
        <v>10.48</v>
      </c>
      <c r="AD122">
        <v>0.94</v>
      </c>
      <c r="AE122">
        <v>0</v>
      </c>
      <c r="AF122">
        <v>0</v>
      </c>
      <c r="AG122">
        <v>0</v>
      </c>
      <c r="AH122">
        <v>0</v>
      </c>
      <c r="AI122">
        <f t="shared" si="24"/>
        <v>11.42</v>
      </c>
      <c r="AJ122">
        <f t="shared" si="25"/>
        <v>13.703999999960116</v>
      </c>
      <c r="AK122">
        <v>0</v>
      </c>
      <c r="AL122">
        <f t="shared" si="27"/>
        <v>244.25000000000011</v>
      </c>
      <c r="AM122">
        <v>0</v>
      </c>
      <c r="AN122">
        <v>0</v>
      </c>
      <c r="AO122" t="s">
        <v>52</v>
      </c>
      <c r="AP122">
        <v>0</v>
      </c>
      <c r="AQ122">
        <v>0</v>
      </c>
      <c r="AR122" t="s">
        <v>52</v>
      </c>
      <c r="AS122" t="s">
        <v>122</v>
      </c>
      <c r="AT122">
        <v>7</v>
      </c>
    </row>
    <row r="123" spans="1:46" x14ac:dyDescent="0.3">
      <c r="A123">
        <v>971</v>
      </c>
      <c r="B123">
        <v>2383</v>
      </c>
      <c r="C123">
        <v>28676</v>
      </c>
      <c r="D123">
        <v>2024</v>
      </c>
      <c r="E123">
        <v>20</v>
      </c>
      <c r="F123">
        <v>1</v>
      </c>
      <c r="G123" t="s">
        <v>266</v>
      </c>
      <c r="H123" t="s">
        <v>267</v>
      </c>
      <c r="I123" s="5" t="s">
        <v>285</v>
      </c>
      <c r="J123" s="5" t="s">
        <v>271</v>
      </c>
      <c r="K123" s="5" t="s">
        <v>59</v>
      </c>
      <c r="L123" s="4">
        <v>4</v>
      </c>
      <c r="M123" t="s">
        <v>122</v>
      </c>
      <c r="N123" t="s">
        <v>122</v>
      </c>
      <c r="O123" t="s">
        <v>123</v>
      </c>
      <c r="P123" t="s">
        <v>124</v>
      </c>
      <c r="Q123">
        <v>57</v>
      </c>
      <c r="R123">
        <f>IFERROR((J123 - J122)*24,0)</f>
        <v>3.9999999999417923</v>
      </c>
      <c r="S123">
        <f t="shared" si="21"/>
        <v>14.250000000207365</v>
      </c>
      <c r="T123" t="s">
        <v>128</v>
      </c>
      <c r="U123">
        <v>0</v>
      </c>
      <c r="V123">
        <v>0</v>
      </c>
      <c r="W123">
        <v>0</v>
      </c>
      <c r="X123">
        <v>0</v>
      </c>
      <c r="Y123">
        <f t="shared" si="22"/>
        <v>0</v>
      </c>
      <c r="Z123">
        <f t="shared" si="23"/>
        <v>0</v>
      </c>
      <c r="AA123">
        <v>0</v>
      </c>
      <c r="AB123">
        <f t="shared" si="26"/>
        <v>0</v>
      </c>
      <c r="AC123">
        <v>2.21</v>
      </c>
      <c r="AD123">
        <v>0.2</v>
      </c>
      <c r="AE123">
        <v>0</v>
      </c>
      <c r="AF123">
        <v>0</v>
      </c>
      <c r="AG123">
        <v>0</v>
      </c>
      <c r="AH123">
        <v>0</v>
      </c>
      <c r="AI123">
        <f t="shared" si="24"/>
        <v>2.41</v>
      </c>
      <c r="AJ123">
        <f t="shared" si="25"/>
        <v>14.460000000210421</v>
      </c>
      <c r="AK123">
        <v>0</v>
      </c>
      <c r="AL123">
        <f t="shared" si="27"/>
        <v>241.84000000000012</v>
      </c>
      <c r="AM123">
        <v>0</v>
      </c>
      <c r="AN123">
        <v>0</v>
      </c>
      <c r="AO123" t="s">
        <v>52</v>
      </c>
      <c r="AP123">
        <v>0</v>
      </c>
      <c r="AQ123">
        <v>0</v>
      </c>
      <c r="AR123" t="s">
        <v>52</v>
      </c>
      <c r="AS123" t="s">
        <v>122</v>
      </c>
      <c r="AT123">
        <v>7</v>
      </c>
    </row>
    <row r="124" spans="1:46" x14ac:dyDescent="0.3">
      <c r="A124">
        <v>971</v>
      </c>
      <c r="B124">
        <v>2383</v>
      </c>
      <c r="C124">
        <v>28677</v>
      </c>
      <c r="D124">
        <v>2024</v>
      </c>
      <c r="E124">
        <v>20</v>
      </c>
      <c r="F124">
        <v>1</v>
      </c>
      <c r="G124" t="s">
        <v>266</v>
      </c>
      <c r="H124" t="s">
        <v>267</v>
      </c>
      <c r="I124" s="5" t="s">
        <v>285</v>
      </c>
      <c r="J124" s="5" t="s">
        <v>272</v>
      </c>
      <c r="K124" s="5" t="s">
        <v>50</v>
      </c>
      <c r="L124" s="4">
        <v>20</v>
      </c>
      <c r="M124" t="s">
        <v>122</v>
      </c>
      <c r="N124" t="s">
        <v>122</v>
      </c>
      <c r="O124" t="s">
        <v>123</v>
      </c>
      <c r="P124" t="s">
        <v>124</v>
      </c>
      <c r="Q124">
        <v>256</v>
      </c>
      <c r="R124">
        <f>IFERROR((J124 - J123)*24,0)</f>
        <v>20.000000000058208</v>
      </c>
      <c r="S124">
        <f t="shared" si="21"/>
        <v>12.799999999962747</v>
      </c>
      <c r="T124" t="s">
        <v>94</v>
      </c>
      <c r="U124">
        <v>0</v>
      </c>
      <c r="V124">
        <v>0</v>
      </c>
      <c r="W124">
        <v>0</v>
      </c>
      <c r="X124">
        <v>0</v>
      </c>
      <c r="Y124">
        <f t="shared" si="22"/>
        <v>0</v>
      </c>
      <c r="Z124">
        <f t="shared" si="23"/>
        <v>0</v>
      </c>
      <c r="AA124">
        <v>0</v>
      </c>
      <c r="AB124">
        <f t="shared" si="26"/>
        <v>0</v>
      </c>
      <c r="AC124">
        <v>10.54</v>
      </c>
      <c r="AD124">
        <v>0.91</v>
      </c>
      <c r="AE124">
        <v>0</v>
      </c>
      <c r="AF124">
        <v>0</v>
      </c>
      <c r="AG124">
        <v>0</v>
      </c>
      <c r="AH124">
        <v>0</v>
      </c>
      <c r="AI124">
        <f t="shared" si="24"/>
        <v>11.45</v>
      </c>
      <c r="AJ124">
        <f t="shared" si="25"/>
        <v>13.739999999960009</v>
      </c>
      <c r="AK124">
        <v>0</v>
      </c>
      <c r="AL124">
        <f t="shared" si="27"/>
        <v>230.39000000000013</v>
      </c>
      <c r="AM124">
        <v>0</v>
      </c>
      <c r="AN124">
        <v>0</v>
      </c>
      <c r="AO124" t="s">
        <v>52</v>
      </c>
      <c r="AP124">
        <v>0</v>
      </c>
      <c r="AQ124">
        <v>0</v>
      </c>
      <c r="AR124" t="s">
        <v>52</v>
      </c>
      <c r="AS124" t="s">
        <v>122</v>
      </c>
      <c r="AT124">
        <v>7</v>
      </c>
    </row>
    <row r="125" spans="1:46" x14ac:dyDescent="0.3">
      <c r="A125">
        <v>971</v>
      </c>
      <c r="B125">
        <v>2383</v>
      </c>
      <c r="C125">
        <v>28678</v>
      </c>
      <c r="D125">
        <v>2024</v>
      </c>
      <c r="E125">
        <v>20</v>
      </c>
      <c r="F125">
        <v>1</v>
      </c>
      <c r="G125" t="s">
        <v>266</v>
      </c>
      <c r="H125" t="s">
        <v>267</v>
      </c>
      <c r="I125" s="5" t="s">
        <v>285</v>
      </c>
      <c r="J125" s="5" t="s">
        <v>273</v>
      </c>
      <c r="K125" s="5" t="s">
        <v>59</v>
      </c>
      <c r="L125" s="4">
        <v>4</v>
      </c>
      <c r="M125" t="s">
        <v>122</v>
      </c>
      <c r="N125" t="s">
        <v>122</v>
      </c>
      <c r="O125" t="s">
        <v>123</v>
      </c>
      <c r="P125" t="s">
        <v>124</v>
      </c>
      <c r="Q125">
        <v>52</v>
      </c>
      <c r="R125">
        <f>IFERROR((J125 - J124)*24,0)</f>
        <v>3.9999999999417923</v>
      </c>
      <c r="S125">
        <f t="shared" si="21"/>
        <v>13.000000000189175</v>
      </c>
      <c r="T125" t="s">
        <v>94</v>
      </c>
      <c r="U125">
        <v>0</v>
      </c>
      <c r="V125">
        <v>0</v>
      </c>
      <c r="W125">
        <v>0</v>
      </c>
      <c r="X125">
        <v>0</v>
      </c>
      <c r="Y125">
        <f t="shared" si="22"/>
        <v>0</v>
      </c>
      <c r="Z125">
        <f t="shared" si="23"/>
        <v>0</v>
      </c>
      <c r="AA125">
        <v>0</v>
      </c>
      <c r="AB125">
        <f t="shared" si="26"/>
        <v>0</v>
      </c>
      <c r="AC125">
        <v>2.21</v>
      </c>
      <c r="AD125">
        <v>0.2</v>
      </c>
      <c r="AE125">
        <v>0</v>
      </c>
      <c r="AF125">
        <v>0</v>
      </c>
      <c r="AG125">
        <v>0</v>
      </c>
      <c r="AH125">
        <v>0</v>
      </c>
      <c r="AI125">
        <f t="shared" si="24"/>
        <v>2.41</v>
      </c>
      <c r="AJ125">
        <f t="shared" si="25"/>
        <v>14.460000000210421</v>
      </c>
      <c r="AK125">
        <v>0</v>
      </c>
      <c r="AL125">
        <f t="shared" si="27"/>
        <v>227.98000000000013</v>
      </c>
      <c r="AM125">
        <v>0</v>
      </c>
      <c r="AN125">
        <v>0</v>
      </c>
      <c r="AO125" t="s">
        <v>52</v>
      </c>
      <c r="AP125">
        <v>0</v>
      </c>
      <c r="AQ125">
        <v>0</v>
      </c>
      <c r="AR125" t="s">
        <v>52</v>
      </c>
      <c r="AS125" t="s">
        <v>122</v>
      </c>
      <c r="AT125">
        <v>7</v>
      </c>
    </row>
    <row r="126" spans="1:46" x14ac:dyDescent="0.3">
      <c r="A126">
        <v>971</v>
      </c>
      <c r="B126">
        <v>2383</v>
      </c>
      <c r="C126">
        <v>28679</v>
      </c>
      <c r="D126">
        <v>2024</v>
      </c>
      <c r="E126">
        <v>20</v>
      </c>
      <c r="F126">
        <v>1</v>
      </c>
      <c r="G126" t="s">
        <v>266</v>
      </c>
      <c r="H126" t="s">
        <v>267</v>
      </c>
      <c r="I126" s="5" t="s">
        <v>285</v>
      </c>
      <c r="J126" s="5" t="s">
        <v>274</v>
      </c>
      <c r="K126" s="5" t="s">
        <v>50</v>
      </c>
      <c r="L126" s="4">
        <v>20</v>
      </c>
      <c r="M126" t="s">
        <v>122</v>
      </c>
      <c r="N126" t="s">
        <v>122</v>
      </c>
      <c r="O126" t="s">
        <v>123</v>
      </c>
      <c r="P126" t="s">
        <v>124</v>
      </c>
      <c r="Q126">
        <v>278</v>
      </c>
      <c r="R126">
        <f>IFERROR((J126 - J125)*24,0)</f>
        <v>20.000000000058208</v>
      </c>
      <c r="S126">
        <f t="shared" si="21"/>
        <v>13.899999999959546</v>
      </c>
      <c r="T126" t="s">
        <v>94</v>
      </c>
      <c r="U126">
        <v>0</v>
      </c>
      <c r="V126">
        <v>0</v>
      </c>
      <c r="W126">
        <v>0</v>
      </c>
      <c r="X126">
        <v>0</v>
      </c>
      <c r="Y126">
        <f t="shared" si="22"/>
        <v>0</v>
      </c>
      <c r="Z126">
        <f t="shared" si="23"/>
        <v>0</v>
      </c>
      <c r="AA126">
        <v>0</v>
      </c>
      <c r="AB126">
        <f t="shared" si="26"/>
        <v>0</v>
      </c>
      <c r="AC126">
        <v>10.11</v>
      </c>
      <c r="AD126">
        <v>0.87</v>
      </c>
      <c r="AE126">
        <v>0</v>
      </c>
      <c r="AF126">
        <v>0</v>
      </c>
      <c r="AG126">
        <v>0</v>
      </c>
      <c r="AH126">
        <v>0</v>
      </c>
      <c r="AI126">
        <f t="shared" si="24"/>
        <v>10.979999999999999</v>
      </c>
      <c r="AJ126">
        <f t="shared" si="25"/>
        <v>13.175999999961652</v>
      </c>
      <c r="AK126">
        <v>0</v>
      </c>
      <c r="AL126">
        <f t="shared" si="27"/>
        <v>217.00000000000014</v>
      </c>
      <c r="AM126">
        <v>0</v>
      </c>
      <c r="AN126">
        <v>0</v>
      </c>
      <c r="AO126" t="s">
        <v>52</v>
      </c>
      <c r="AP126">
        <v>0</v>
      </c>
      <c r="AQ126">
        <v>0</v>
      </c>
      <c r="AR126" t="s">
        <v>52</v>
      </c>
      <c r="AS126" t="s">
        <v>122</v>
      </c>
      <c r="AT126">
        <v>7</v>
      </c>
    </row>
    <row r="127" spans="1:46" x14ac:dyDescent="0.3">
      <c r="A127">
        <v>971</v>
      </c>
      <c r="B127">
        <v>2383</v>
      </c>
      <c r="C127">
        <v>28680</v>
      </c>
      <c r="D127">
        <v>2024</v>
      </c>
      <c r="E127">
        <v>20</v>
      </c>
      <c r="F127">
        <v>1</v>
      </c>
      <c r="G127" t="s">
        <v>266</v>
      </c>
      <c r="H127" t="s">
        <v>267</v>
      </c>
      <c r="I127" s="5" t="s">
        <v>285</v>
      </c>
      <c r="J127" s="5" t="s">
        <v>275</v>
      </c>
      <c r="K127" s="5" t="s">
        <v>59</v>
      </c>
      <c r="L127" s="4">
        <v>4</v>
      </c>
      <c r="M127" t="s">
        <v>122</v>
      </c>
      <c r="N127" t="s">
        <v>122</v>
      </c>
      <c r="O127" t="s">
        <v>123</v>
      </c>
      <c r="P127" t="s">
        <v>124</v>
      </c>
      <c r="Q127">
        <v>52</v>
      </c>
      <c r="R127">
        <f>IFERROR((J127 - J126)*24,0)</f>
        <v>3.9999999999417923</v>
      </c>
      <c r="S127">
        <f t="shared" si="21"/>
        <v>13.000000000189175</v>
      </c>
      <c r="T127" t="s">
        <v>94</v>
      </c>
      <c r="U127">
        <v>0</v>
      </c>
      <c r="V127">
        <v>0</v>
      </c>
      <c r="W127">
        <v>0</v>
      </c>
      <c r="X127">
        <v>0</v>
      </c>
      <c r="Y127">
        <f t="shared" si="22"/>
        <v>0</v>
      </c>
      <c r="Z127">
        <f t="shared" si="23"/>
        <v>0</v>
      </c>
      <c r="AA127">
        <v>0</v>
      </c>
      <c r="AB127">
        <f t="shared" si="26"/>
        <v>0</v>
      </c>
      <c r="AC127">
        <v>2.1</v>
      </c>
      <c r="AD127">
        <v>0.2</v>
      </c>
      <c r="AE127">
        <v>0</v>
      </c>
      <c r="AF127">
        <v>0</v>
      </c>
      <c r="AG127">
        <v>0</v>
      </c>
      <c r="AH127">
        <v>0</v>
      </c>
      <c r="AI127">
        <f t="shared" si="24"/>
        <v>2.3000000000000003</v>
      </c>
      <c r="AJ127">
        <f t="shared" si="25"/>
        <v>13.800000000200818</v>
      </c>
      <c r="AK127">
        <v>0</v>
      </c>
      <c r="AL127">
        <f t="shared" si="27"/>
        <v>214.70000000000013</v>
      </c>
      <c r="AM127">
        <v>0</v>
      </c>
      <c r="AN127">
        <v>0</v>
      </c>
      <c r="AO127" t="s">
        <v>52</v>
      </c>
      <c r="AP127">
        <v>0</v>
      </c>
      <c r="AQ127">
        <v>0</v>
      </c>
      <c r="AR127" t="s">
        <v>52</v>
      </c>
      <c r="AS127" t="s">
        <v>122</v>
      </c>
      <c r="AT127">
        <v>7</v>
      </c>
    </row>
    <row r="128" spans="1:46" x14ac:dyDescent="0.3">
      <c r="A128">
        <v>971</v>
      </c>
      <c r="B128">
        <v>2383</v>
      </c>
      <c r="C128">
        <v>28681</v>
      </c>
      <c r="D128">
        <v>2024</v>
      </c>
      <c r="E128">
        <v>20</v>
      </c>
      <c r="F128">
        <v>1</v>
      </c>
      <c r="G128" t="s">
        <v>266</v>
      </c>
      <c r="H128" t="s">
        <v>267</v>
      </c>
      <c r="I128" s="5" t="s">
        <v>285</v>
      </c>
      <c r="J128" s="5" t="s">
        <v>276</v>
      </c>
      <c r="K128" s="5" t="s">
        <v>50</v>
      </c>
      <c r="L128" s="4">
        <v>20</v>
      </c>
      <c r="M128" t="s">
        <v>122</v>
      </c>
      <c r="N128" t="s">
        <v>122</v>
      </c>
      <c r="O128" t="s">
        <v>123</v>
      </c>
      <c r="P128" t="s">
        <v>124</v>
      </c>
      <c r="Q128">
        <v>275</v>
      </c>
      <c r="R128">
        <f>IFERROR((J128 - J127)*24,0)</f>
        <v>20.000000000058208</v>
      </c>
      <c r="S128">
        <f t="shared" si="21"/>
        <v>13.749999999959982</v>
      </c>
      <c r="T128" t="s">
        <v>137</v>
      </c>
      <c r="U128">
        <v>0</v>
      </c>
      <c r="V128">
        <v>0</v>
      </c>
      <c r="W128">
        <v>0</v>
      </c>
      <c r="X128">
        <v>0</v>
      </c>
      <c r="Y128">
        <f t="shared" si="22"/>
        <v>0</v>
      </c>
      <c r="Z128">
        <f t="shared" si="23"/>
        <v>0</v>
      </c>
      <c r="AA128">
        <v>0</v>
      </c>
      <c r="AB128">
        <f t="shared" si="26"/>
        <v>0</v>
      </c>
      <c r="AC128">
        <v>9.2200000000000006</v>
      </c>
      <c r="AD128">
        <v>0.83</v>
      </c>
      <c r="AE128">
        <v>0</v>
      </c>
      <c r="AF128">
        <v>0</v>
      </c>
      <c r="AG128">
        <v>0</v>
      </c>
      <c r="AH128">
        <v>0</v>
      </c>
      <c r="AI128">
        <f t="shared" si="24"/>
        <v>10.050000000000001</v>
      </c>
      <c r="AJ128">
        <f t="shared" si="25"/>
        <v>12.059999999964901</v>
      </c>
      <c r="AK128">
        <v>0</v>
      </c>
      <c r="AL128">
        <f t="shared" si="27"/>
        <v>204.65000000000012</v>
      </c>
      <c r="AM128">
        <v>0</v>
      </c>
      <c r="AN128">
        <v>0</v>
      </c>
      <c r="AO128" t="s">
        <v>52</v>
      </c>
      <c r="AP128">
        <v>0</v>
      </c>
      <c r="AQ128">
        <v>0</v>
      </c>
      <c r="AR128" t="s">
        <v>52</v>
      </c>
      <c r="AS128" t="s">
        <v>122</v>
      </c>
      <c r="AT128">
        <v>7</v>
      </c>
    </row>
    <row r="129" spans="1:46" x14ac:dyDescent="0.3">
      <c r="A129">
        <v>971</v>
      </c>
      <c r="B129">
        <v>2383</v>
      </c>
      <c r="C129">
        <v>28682</v>
      </c>
      <c r="D129">
        <v>2024</v>
      </c>
      <c r="E129">
        <v>20</v>
      </c>
      <c r="F129">
        <v>1</v>
      </c>
      <c r="G129" t="s">
        <v>266</v>
      </c>
      <c r="H129" t="s">
        <v>267</v>
      </c>
      <c r="I129" s="5" t="s">
        <v>285</v>
      </c>
      <c r="J129" s="5" t="s">
        <v>277</v>
      </c>
      <c r="K129" s="5" t="s">
        <v>278</v>
      </c>
      <c r="L129" s="4">
        <v>2.2000000000000002</v>
      </c>
      <c r="M129" t="s">
        <v>122</v>
      </c>
      <c r="N129" t="s">
        <v>60</v>
      </c>
      <c r="O129" t="s">
        <v>52</v>
      </c>
      <c r="P129" t="s">
        <v>279</v>
      </c>
      <c r="Q129">
        <v>28</v>
      </c>
      <c r="R129">
        <f>IFERROR((J129 - J128)*24,0)</f>
        <v>2.2000000000116415</v>
      </c>
      <c r="S129">
        <f t="shared" si="21"/>
        <v>12.72727272720538</v>
      </c>
      <c r="T129" t="s">
        <v>128</v>
      </c>
      <c r="U129">
        <v>0</v>
      </c>
      <c r="V129">
        <v>0</v>
      </c>
      <c r="W129">
        <v>0</v>
      </c>
      <c r="X129">
        <v>0</v>
      </c>
      <c r="Y129">
        <f t="shared" si="22"/>
        <v>0</v>
      </c>
      <c r="Z129">
        <f t="shared" si="23"/>
        <v>0</v>
      </c>
      <c r="AA129">
        <v>0</v>
      </c>
      <c r="AB129">
        <f t="shared" si="26"/>
        <v>0</v>
      </c>
      <c r="AC129">
        <v>1.06</v>
      </c>
      <c r="AD129">
        <v>0.13</v>
      </c>
      <c r="AE129">
        <v>0</v>
      </c>
      <c r="AF129">
        <v>0</v>
      </c>
      <c r="AG129">
        <v>0</v>
      </c>
      <c r="AH129">
        <v>0</v>
      </c>
      <c r="AI129">
        <f t="shared" si="24"/>
        <v>1.19</v>
      </c>
      <c r="AJ129">
        <f t="shared" si="25"/>
        <v>12.981818181749487</v>
      </c>
      <c r="AK129">
        <v>0</v>
      </c>
      <c r="AL129">
        <f t="shared" si="27"/>
        <v>203.46000000000012</v>
      </c>
      <c r="AM129">
        <v>0</v>
      </c>
      <c r="AN129">
        <v>0</v>
      </c>
      <c r="AO129" t="s">
        <v>52</v>
      </c>
      <c r="AP129">
        <v>0</v>
      </c>
      <c r="AQ129">
        <v>0</v>
      </c>
      <c r="AR129" t="s">
        <v>52</v>
      </c>
      <c r="AS129" t="s">
        <v>122</v>
      </c>
      <c r="AT129">
        <v>7</v>
      </c>
    </row>
    <row r="130" spans="1:46" x14ac:dyDescent="0.3">
      <c r="A130">
        <v>971</v>
      </c>
      <c r="B130">
        <v>2383</v>
      </c>
      <c r="C130">
        <v>28683</v>
      </c>
      <c r="D130">
        <v>2024</v>
      </c>
      <c r="E130">
        <v>20</v>
      </c>
      <c r="F130">
        <v>1</v>
      </c>
      <c r="G130" t="s">
        <v>266</v>
      </c>
      <c r="H130" t="s">
        <v>267</v>
      </c>
      <c r="I130" s="5" t="s">
        <v>285</v>
      </c>
      <c r="J130" s="5" t="s">
        <v>280</v>
      </c>
      <c r="K130" s="5" t="s">
        <v>59</v>
      </c>
      <c r="L130" s="4">
        <v>1.8</v>
      </c>
      <c r="M130" t="s">
        <v>60</v>
      </c>
      <c r="N130" t="s">
        <v>60</v>
      </c>
      <c r="O130" t="s">
        <v>52</v>
      </c>
      <c r="P130" t="s">
        <v>60</v>
      </c>
      <c r="Q130">
        <v>23</v>
      </c>
      <c r="R130">
        <f>IFERROR((J130 - J129)*24,0)</f>
        <v>1.7999999999301508</v>
      </c>
      <c r="S130">
        <f t="shared" si="21"/>
        <v>12.77777777827362</v>
      </c>
      <c r="T130" t="s">
        <v>128</v>
      </c>
      <c r="U130">
        <v>0</v>
      </c>
      <c r="V130">
        <v>0</v>
      </c>
      <c r="W130">
        <v>0</v>
      </c>
      <c r="X130">
        <v>0</v>
      </c>
      <c r="Y130">
        <f t="shared" si="22"/>
        <v>0</v>
      </c>
      <c r="Z130">
        <f t="shared" si="23"/>
        <v>0</v>
      </c>
      <c r="AA130">
        <v>0</v>
      </c>
      <c r="AB130">
        <f t="shared" si="26"/>
        <v>0</v>
      </c>
      <c r="AC130">
        <v>0.53</v>
      </c>
      <c r="AD130">
        <v>0.14000000000000001</v>
      </c>
      <c r="AE130">
        <v>0</v>
      </c>
      <c r="AF130">
        <v>0</v>
      </c>
      <c r="AG130">
        <v>0</v>
      </c>
      <c r="AH130">
        <v>0</v>
      </c>
      <c r="AI130">
        <f t="shared" si="24"/>
        <v>0.67</v>
      </c>
      <c r="AJ130">
        <f t="shared" si="25"/>
        <v>8.9333333336799932</v>
      </c>
      <c r="AK130">
        <v>0</v>
      </c>
      <c r="AL130">
        <f t="shared" si="27"/>
        <v>202.79000000000013</v>
      </c>
      <c r="AM130">
        <v>0</v>
      </c>
      <c r="AN130">
        <v>0</v>
      </c>
      <c r="AO130" t="s">
        <v>52</v>
      </c>
      <c r="AP130">
        <v>0</v>
      </c>
      <c r="AQ130">
        <v>0</v>
      </c>
      <c r="AR130" t="s">
        <v>52</v>
      </c>
      <c r="AS130" t="s">
        <v>60</v>
      </c>
      <c r="AT130">
        <v>7</v>
      </c>
    </row>
    <row r="131" spans="1:46" x14ac:dyDescent="0.3">
      <c r="A131">
        <v>971</v>
      </c>
      <c r="B131">
        <v>2383</v>
      </c>
      <c r="C131">
        <v>28684</v>
      </c>
      <c r="D131">
        <v>2024</v>
      </c>
      <c r="E131">
        <v>20</v>
      </c>
      <c r="F131">
        <v>1</v>
      </c>
      <c r="G131" t="s">
        <v>266</v>
      </c>
      <c r="H131" t="s">
        <v>267</v>
      </c>
      <c r="I131" s="5" t="s">
        <v>285</v>
      </c>
      <c r="J131" s="5" t="s">
        <v>281</v>
      </c>
      <c r="K131" s="5" t="s">
        <v>262</v>
      </c>
      <c r="L131" s="4">
        <v>0.7</v>
      </c>
      <c r="M131" t="s">
        <v>60</v>
      </c>
      <c r="N131" t="s">
        <v>148</v>
      </c>
      <c r="O131" t="s">
        <v>52</v>
      </c>
      <c r="P131" t="s">
        <v>60</v>
      </c>
      <c r="Q131">
        <v>2</v>
      </c>
      <c r="R131">
        <f>IFERROR((J131 - J130)*24,0)</f>
        <v>0.70000000001164153</v>
      </c>
      <c r="S131">
        <f t="shared" si="21"/>
        <v>2.8571428570953405</v>
      </c>
      <c r="T131" t="s">
        <v>282</v>
      </c>
      <c r="U131">
        <v>0</v>
      </c>
      <c r="V131">
        <v>0</v>
      </c>
      <c r="W131">
        <v>0</v>
      </c>
      <c r="X131">
        <v>0</v>
      </c>
      <c r="Y131">
        <f t="shared" si="22"/>
        <v>0</v>
      </c>
      <c r="Z131">
        <f t="shared" si="23"/>
        <v>0</v>
      </c>
      <c r="AA131">
        <v>0</v>
      </c>
      <c r="AB131">
        <f t="shared" si="26"/>
        <v>0</v>
      </c>
      <c r="AC131">
        <v>7.0000000000000007E-2</v>
      </c>
      <c r="AD131">
        <v>7.0000000000000007E-2</v>
      </c>
      <c r="AE131">
        <v>0</v>
      </c>
      <c r="AF131">
        <v>0</v>
      </c>
      <c r="AG131">
        <v>0</v>
      </c>
      <c r="AH131">
        <v>0</v>
      </c>
      <c r="AI131">
        <f t="shared" si="24"/>
        <v>0.14000000000000001</v>
      </c>
      <c r="AJ131">
        <f t="shared" si="25"/>
        <v>4.799999999920173</v>
      </c>
      <c r="AK131">
        <v>0</v>
      </c>
      <c r="AL131">
        <f t="shared" si="27"/>
        <v>202.65000000000015</v>
      </c>
      <c r="AM131">
        <v>0</v>
      </c>
      <c r="AN131">
        <v>0</v>
      </c>
      <c r="AO131" t="s">
        <v>52</v>
      </c>
      <c r="AP131">
        <v>0</v>
      </c>
      <c r="AQ131">
        <v>0</v>
      </c>
      <c r="AR131" t="s">
        <v>52</v>
      </c>
      <c r="AS131" t="s">
        <v>60</v>
      </c>
      <c r="AT131">
        <v>7</v>
      </c>
    </row>
    <row r="132" spans="1:46" x14ac:dyDescent="0.3">
      <c r="A132">
        <v>971</v>
      </c>
      <c r="B132">
        <v>2383</v>
      </c>
      <c r="C132">
        <v>28685</v>
      </c>
      <c r="D132">
        <v>2024</v>
      </c>
      <c r="E132">
        <v>20</v>
      </c>
      <c r="F132">
        <v>1</v>
      </c>
      <c r="G132" t="s">
        <v>266</v>
      </c>
      <c r="H132" t="s">
        <v>267</v>
      </c>
      <c r="I132" s="5" t="s">
        <v>285</v>
      </c>
      <c r="J132" s="5" t="s">
        <v>283</v>
      </c>
      <c r="K132" s="5" t="s">
        <v>50</v>
      </c>
      <c r="L132" s="4">
        <v>19.3</v>
      </c>
      <c r="M132" t="s">
        <v>148</v>
      </c>
      <c r="N132" t="s">
        <v>148</v>
      </c>
      <c r="O132" t="s">
        <v>52</v>
      </c>
      <c r="P132" t="s">
        <v>260</v>
      </c>
      <c r="Q132">
        <v>0</v>
      </c>
      <c r="R132">
        <f>IFERROR((J132 - J131)*24,0)</f>
        <v>19.300000000046566</v>
      </c>
      <c r="S132">
        <f t="shared" si="21"/>
        <v>0</v>
      </c>
      <c r="T132" t="s">
        <v>52</v>
      </c>
      <c r="U132">
        <v>0</v>
      </c>
      <c r="V132">
        <v>0</v>
      </c>
      <c r="W132">
        <v>0</v>
      </c>
      <c r="X132">
        <v>0</v>
      </c>
      <c r="Y132">
        <f t="shared" si="22"/>
        <v>0</v>
      </c>
      <c r="Z132">
        <f t="shared" si="23"/>
        <v>0</v>
      </c>
      <c r="AA132">
        <v>0</v>
      </c>
      <c r="AB132">
        <f t="shared" si="26"/>
        <v>0</v>
      </c>
      <c r="AC132">
        <v>0</v>
      </c>
      <c r="AD132">
        <v>0.64</v>
      </c>
      <c r="AE132">
        <v>0.12</v>
      </c>
      <c r="AF132">
        <v>0</v>
      </c>
      <c r="AG132">
        <v>0</v>
      </c>
      <c r="AH132">
        <v>0</v>
      </c>
      <c r="AI132">
        <f t="shared" si="24"/>
        <v>0.76</v>
      </c>
      <c r="AJ132">
        <f t="shared" si="25"/>
        <v>0.94507772020497371</v>
      </c>
      <c r="AK132">
        <v>0</v>
      </c>
      <c r="AL132">
        <f t="shared" si="27"/>
        <v>201.89000000000016</v>
      </c>
      <c r="AM132">
        <v>0</v>
      </c>
      <c r="AN132">
        <v>0</v>
      </c>
      <c r="AO132" t="s">
        <v>52</v>
      </c>
      <c r="AP132">
        <v>0</v>
      </c>
      <c r="AQ132">
        <v>0</v>
      </c>
      <c r="AR132" t="s">
        <v>52</v>
      </c>
      <c r="AS132" t="s">
        <v>148</v>
      </c>
      <c r="AT132">
        <v>7</v>
      </c>
    </row>
    <row r="133" spans="1:46" x14ac:dyDescent="0.3">
      <c r="A133">
        <v>971</v>
      </c>
      <c r="B133">
        <v>2383</v>
      </c>
      <c r="C133">
        <v>28686</v>
      </c>
      <c r="D133">
        <v>2024</v>
      </c>
      <c r="E133">
        <v>20</v>
      </c>
      <c r="F133">
        <v>1</v>
      </c>
      <c r="G133" t="s">
        <v>266</v>
      </c>
      <c r="H133" t="s">
        <v>267</v>
      </c>
      <c r="I133" s="5" t="s">
        <v>285</v>
      </c>
      <c r="J133" s="5" t="s">
        <v>284</v>
      </c>
      <c r="K133" s="5" t="s">
        <v>59</v>
      </c>
      <c r="L133" s="4">
        <v>4</v>
      </c>
      <c r="M133" t="s">
        <v>148</v>
      </c>
      <c r="N133" t="s">
        <v>148</v>
      </c>
      <c r="O133" t="s">
        <v>52</v>
      </c>
      <c r="P133" t="s">
        <v>260</v>
      </c>
      <c r="Q133">
        <v>0</v>
      </c>
      <c r="R133">
        <f>IFERROR((J133 - J132)*24,0)</f>
        <v>3.9999999999417923</v>
      </c>
      <c r="S133">
        <f t="shared" si="21"/>
        <v>0</v>
      </c>
      <c r="T133" t="s">
        <v>52</v>
      </c>
      <c r="U133">
        <v>0</v>
      </c>
      <c r="V133">
        <v>0</v>
      </c>
      <c r="W133">
        <v>0</v>
      </c>
      <c r="X133">
        <v>0</v>
      </c>
      <c r="Y133">
        <f t="shared" si="22"/>
        <v>0</v>
      </c>
      <c r="Z133">
        <f t="shared" si="23"/>
        <v>0</v>
      </c>
      <c r="AA133">
        <v>0</v>
      </c>
      <c r="AB133">
        <f t="shared" si="26"/>
        <v>0</v>
      </c>
      <c r="AC133">
        <v>0.23</v>
      </c>
      <c r="AD133">
        <v>0.05</v>
      </c>
      <c r="AE133">
        <v>0</v>
      </c>
      <c r="AF133">
        <v>0</v>
      </c>
      <c r="AG133">
        <v>0</v>
      </c>
      <c r="AH133">
        <v>0</v>
      </c>
      <c r="AI133">
        <f t="shared" si="24"/>
        <v>0.28000000000000003</v>
      </c>
      <c r="AJ133">
        <f t="shared" si="25"/>
        <v>1.6800000000244473</v>
      </c>
      <c r="AK133">
        <v>0</v>
      </c>
      <c r="AL133">
        <f t="shared" si="27"/>
        <v>201.61000000000016</v>
      </c>
      <c r="AM133">
        <v>0</v>
      </c>
      <c r="AN133">
        <v>0</v>
      </c>
      <c r="AO133" t="s">
        <v>52</v>
      </c>
      <c r="AP133">
        <v>0</v>
      </c>
      <c r="AQ133">
        <v>0</v>
      </c>
      <c r="AR133" t="s">
        <v>52</v>
      </c>
      <c r="AS133" t="s">
        <v>148</v>
      </c>
      <c r="AT133">
        <v>7</v>
      </c>
    </row>
    <row r="134" spans="1:46" x14ac:dyDescent="0.3">
      <c r="A134">
        <v>971</v>
      </c>
      <c r="B134">
        <v>2383</v>
      </c>
      <c r="C134">
        <v>28687</v>
      </c>
      <c r="D134">
        <v>2024</v>
      </c>
      <c r="E134">
        <v>20</v>
      </c>
      <c r="F134">
        <v>1</v>
      </c>
      <c r="G134" t="s">
        <v>266</v>
      </c>
      <c r="H134" t="s">
        <v>267</v>
      </c>
      <c r="I134" s="5" t="s">
        <v>285</v>
      </c>
      <c r="J134" s="5" t="s">
        <v>285</v>
      </c>
      <c r="K134" s="5" t="s">
        <v>101</v>
      </c>
      <c r="L134" s="4">
        <v>4.8</v>
      </c>
      <c r="M134" t="s">
        <v>148</v>
      </c>
      <c r="N134" t="s">
        <v>60</v>
      </c>
      <c r="O134" t="s">
        <v>52</v>
      </c>
      <c r="P134" t="s">
        <v>260</v>
      </c>
      <c r="Q134">
        <v>0</v>
      </c>
      <c r="R134">
        <f>IFERROR((J134 - J133)*24,0)</f>
        <v>4.7999999999301508</v>
      </c>
      <c r="S134">
        <f t="shared" ref="S134:S165" si="28">IF(ISERROR(Q134/R134),0,Q134/R134)</f>
        <v>0</v>
      </c>
      <c r="T134" t="s">
        <v>52</v>
      </c>
      <c r="U134">
        <v>0</v>
      </c>
      <c r="V134">
        <v>0</v>
      </c>
      <c r="W134">
        <v>0</v>
      </c>
      <c r="X134">
        <v>0</v>
      </c>
      <c r="Y134">
        <f t="shared" ref="Y134:Y165" si="29">SUM(U134:X134)</f>
        <v>0</v>
      </c>
      <c r="Z134">
        <f t="shared" ref="Z134:Z165" si="30">IF(ISERROR(Y134*24/R134),0,Y134*24/R134)</f>
        <v>0</v>
      </c>
      <c r="AA134">
        <v>0</v>
      </c>
      <c r="AB134">
        <f t="shared" si="26"/>
        <v>0</v>
      </c>
      <c r="AC134">
        <v>0</v>
      </c>
      <c r="AD134">
        <v>0.21</v>
      </c>
      <c r="AE134">
        <v>0.03</v>
      </c>
      <c r="AF134">
        <v>0</v>
      </c>
      <c r="AG134">
        <v>0</v>
      </c>
      <c r="AH134">
        <v>0</v>
      </c>
      <c r="AI134">
        <f t="shared" ref="AI134:AI165" si="31">SUM(AC134:AH134)</f>
        <v>0.24</v>
      </c>
      <c r="AJ134">
        <f t="shared" ref="AJ134:AJ165" si="32">IF(ISERROR(AI134*24/R134),0,AI134*24/R134)</f>
        <v>1.2000000000174622</v>
      </c>
      <c r="AK134">
        <v>0</v>
      </c>
      <c r="AL134">
        <f t="shared" si="27"/>
        <v>201.37000000000015</v>
      </c>
      <c r="AM134">
        <v>0</v>
      </c>
      <c r="AN134">
        <v>0</v>
      </c>
      <c r="AO134" t="s">
        <v>52</v>
      </c>
      <c r="AP134">
        <v>0</v>
      </c>
      <c r="AQ134">
        <v>0</v>
      </c>
      <c r="AR134" t="s">
        <v>52</v>
      </c>
      <c r="AS134" t="s">
        <v>148</v>
      </c>
      <c r="AT134">
        <v>7</v>
      </c>
    </row>
    <row r="135" spans="1:46" x14ac:dyDescent="0.3">
      <c r="A135">
        <v>971</v>
      </c>
      <c r="B135">
        <v>2383</v>
      </c>
      <c r="C135">
        <v>28688</v>
      </c>
      <c r="D135">
        <v>2024</v>
      </c>
      <c r="E135">
        <v>20</v>
      </c>
      <c r="F135">
        <v>1</v>
      </c>
      <c r="G135" t="s">
        <v>266</v>
      </c>
      <c r="H135" t="s">
        <v>267</v>
      </c>
      <c r="I135" s="5" t="s">
        <v>285</v>
      </c>
      <c r="J135" s="5" t="s">
        <v>286</v>
      </c>
      <c r="K135" s="5" t="s">
        <v>287</v>
      </c>
      <c r="L135" s="4">
        <v>3.4</v>
      </c>
      <c r="M135" t="s">
        <v>60</v>
      </c>
      <c r="N135" t="s">
        <v>60</v>
      </c>
      <c r="O135" t="s">
        <v>52</v>
      </c>
      <c r="P135" t="s">
        <v>110</v>
      </c>
      <c r="Q135">
        <v>23</v>
      </c>
      <c r="R135">
        <f>IFERROR((J135 - J134)*24,0)</f>
        <v>3.4000000000814907</v>
      </c>
      <c r="S135">
        <f t="shared" si="28"/>
        <v>6.7647058821908059</v>
      </c>
      <c r="T135" t="s">
        <v>137</v>
      </c>
      <c r="U135">
        <v>0</v>
      </c>
      <c r="V135">
        <v>0</v>
      </c>
      <c r="W135">
        <v>0</v>
      </c>
      <c r="X135">
        <v>0</v>
      </c>
      <c r="Y135">
        <f t="shared" si="29"/>
        <v>0</v>
      </c>
      <c r="Z135">
        <f t="shared" si="30"/>
        <v>0</v>
      </c>
      <c r="AA135">
        <v>0</v>
      </c>
      <c r="AB135">
        <f t="shared" ref="AB135:AB166" si="33">AB134-Y135+AA135</f>
        <v>0</v>
      </c>
      <c r="AC135">
        <v>0.66</v>
      </c>
      <c r="AD135">
        <v>0.25</v>
      </c>
      <c r="AE135">
        <v>0.01</v>
      </c>
      <c r="AF135">
        <v>0</v>
      </c>
      <c r="AG135">
        <v>0</v>
      </c>
      <c r="AH135">
        <v>0</v>
      </c>
      <c r="AI135">
        <f t="shared" si="31"/>
        <v>0.92</v>
      </c>
      <c r="AJ135">
        <f t="shared" si="32"/>
        <v>6.4941176469031738</v>
      </c>
      <c r="AK135">
        <v>0</v>
      </c>
      <c r="AL135">
        <f t="shared" ref="AL135:AL166" si="34">AL134-AI135+AK135</f>
        <v>200.45000000000016</v>
      </c>
      <c r="AM135">
        <v>0</v>
      </c>
      <c r="AN135">
        <v>0</v>
      </c>
      <c r="AO135" t="s">
        <v>52</v>
      </c>
      <c r="AP135">
        <v>0</v>
      </c>
      <c r="AQ135">
        <v>0</v>
      </c>
      <c r="AR135" t="s">
        <v>52</v>
      </c>
      <c r="AS135" t="s">
        <v>60</v>
      </c>
      <c r="AT135">
        <v>7</v>
      </c>
    </row>
    <row r="136" spans="1:46" x14ac:dyDescent="0.3">
      <c r="A136">
        <v>971</v>
      </c>
      <c r="B136">
        <v>2383</v>
      </c>
      <c r="C136">
        <v>28689</v>
      </c>
      <c r="D136">
        <v>2024</v>
      </c>
      <c r="E136">
        <v>20</v>
      </c>
      <c r="F136">
        <v>1</v>
      </c>
      <c r="G136" t="s">
        <v>266</v>
      </c>
      <c r="H136" t="s">
        <v>267</v>
      </c>
      <c r="I136" s="5" t="s">
        <v>285</v>
      </c>
      <c r="J136" s="5" t="s">
        <v>288</v>
      </c>
      <c r="K136" s="5" t="s">
        <v>83</v>
      </c>
      <c r="L136" s="4">
        <v>2.8</v>
      </c>
      <c r="M136" t="s">
        <v>60</v>
      </c>
      <c r="N136" t="s">
        <v>154</v>
      </c>
      <c r="O136" t="s">
        <v>123</v>
      </c>
      <c r="P136" t="s">
        <v>289</v>
      </c>
      <c r="Q136">
        <v>1</v>
      </c>
      <c r="R136">
        <f>IFERROR((J136 - J135)*24,0)</f>
        <v>2.8000000000465661</v>
      </c>
      <c r="S136">
        <f t="shared" si="28"/>
        <v>0.35714285713691757</v>
      </c>
      <c r="T136" t="s">
        <v>137</v>
      </c>
      <c r="U136">
        <v>0</v>
      </c>
      <c r="V136">
        <v>0</v>
      </c>
      <c r="W136">
        <v>0</v>
      </c>
      <c r="X136">
        <v>0</v>
      </c>
      <c r="Y136">
        <f t="shared" si="29"/>
        <v>0</v>
      </c>
      <c r="Z136">
        <f t="shared" si="30"/>
        <v>0</v>
      </c>
      <c r="AA136">
        <v>0</v>
      </c>
      <c r="AB136">
        <f t="shared" si="33"/>
        <v>0</v>
      </c>
      <c r="AC136">
        <v>0.2</v>
      </c>
      <c r="AD136">
        <v>0.05</v>
      </c>
      <c r="AE136">
        <v>0</v>
      </c>
      <c r="AF136">
        <v>0</v>
      </c>
      <c r="AG136">
        <v>0</v>
      </c>
      <c r="AH136">
        <v>0</v>
      </c>
      <c r="AI136">
        <f t="shared" si="31"/>
        <v>0.25</v>
      </c>
      <c r="AJ136">
        <f t="shared" si="32"/>
        <v>2.1428571428215055</v>
      </c>
      <c r="AK136">
        <v>0</v>
      </c>
      <c r="AL136">
        <f t="shared" si="34"/>
        <v>200.20000000000016</v>
      </c>
      <c r="AM136">
        <v>0</v>
      </c>
      <c r="AN136">
        <v>0</v>
      </c>
      <c r="AO136" t="s">
        <v>52</v>
      </c>
      <c r="AP136">
        <v>0</v>
      </c>
      <c r="AQ136">
        <v>0</v>
      </c>
      <c r="AR136" t="s">
        <v>52</v>
      </c>
      <c r="AS136" t="s">
        <v>60</v>
      </c>
      <c r="AT136">
        <v>7</v>
      </c>
    </row>
    <row r="137" spans="1:46" x14ac:dyDescent="0.3">
      <c r="A137">
        <v>971</v>
      </c>
      <c r="B137">
        <v>2384</v>
      </c>
      <c r="C137">
        <v>28862</v>
      </c>
      <c r="D137">
        <v>2024</v>
      </c>
      <c r="E137">
        <v>20</v>
      </c>
      <c r="F137">
        <v>2</v>
      </c>
      <c r="G137" t="s">
        <v>267</v>
      </c>
      <c r="H137" t="s">
        <v>266</v>
      </c>
      <c r="I137" s="5" t="s">
        <v>302</v>
      </c>
      <c r="J137" s="5" t="s">
        <v>290</v>
      </c>
      <c r="K137" s="5" t="s">
        <v>50</v>
      </c>
      <c r="L137" s="4">
        <v>9</v>
      </c>
      <c r="M137" t="s">
        <v>154</v>
      </c>
      <c r="N137" t="s">
        <v>154</v>
      </c>
      <c r="O137" t="s">
        <v>123</v>
      </c>
      <c r="P137" t="s">
        <v>99</v>
      </c>
      <c r="Q137">
        <v>87</v>
      </c>
      <c r="R137">
        <f>IFERROR((J137 - J136)*24,0)</f>
        <v>9</v>
      </c>
      <c r="S137">
        <f t="shared" si="28"/>
        <v>9.6666666666666661</v>
      </c>
      <c r="T137" t="s">
        <v>291</v>
      </c>
      <c r="U137">
        <v>0</v>
      </c>
      <c r="V137">
        <v>0</v>
      </c>
      <c r="W137">
        <v>0</v>
      </c>
      <c r="X137">
        <v>0</v>
      </c>
      <c r="Y137">
        <f t="shared" si="29"/>
        <v>0</v>
      </c>
      <c r="Z137">
        <f t="shared" si="30"/>
        <v>0</v>
      </c>
      <c r="AA137">
        <v>0</v>
      </c>
      <c r="AB137">
        <f t="shared" si="33"/>
        <v>0</v>
      </c>
      <c r="AC137">
        <v>3.61</v>
      </c>
      <c r="AD137">
        <v>0.3</v>
      </c>
      <c r="AE137">
        <v>0</v>
      </c>
      <c r="AF137">
        <v>0</v>
      </c>
      <c r="AG137">
        <v>0</v>
      </c>
      <c r="AH137">
        <v>0</v>
      </c>
      <c r="AI137">
        <f t="shared" si="31"/>
        <v>3.9099999999999997</v>
      </c>
      <c r="AJ137">
        <f t="shared" si="32"/>
        <v>10.426666666666666</v>
      </c>
      <c r="AK137">
        <v>0</v>
      </c>
      <c r="AL137">
        <f t="shared" si="34"/>
        <v>196.29000000000016</v>
      </c>
      <c r="AM137">
        <v>0</v>
      </c>
      <c r="AN137">
        <v>0</v>
      </c>
      <c r="AO137" t="s">
        <v>52</v>
      </c>
      <c r="AP137">
        <v>0</v>
      </c>
      <c r="AQ137">
        <v>0</v>
      </c>
      <c r="AR137" t="s">
        <v>52</v>
      </c>
      <c r="AS137" t="s">
        <v>154</v>
      </c>
      <c r="AT137">
        <v>7</v>
      </c>
    </row>
    <row r="138" spans="1:46" x14ac:dyDescent="0.3">
      <c r="A138">
        <v>971</v>
      </c>
      <c r="B138">
        <v>2384</v>
      </c>
      <c r="C138">
        <v>28863</v>
      </c>
      <c r="D138">
        <v>2024</v>
      </c>
      <c r="E138">
        <v>20</v>
      </c>
      <c r="F138">
        <v>2</v>
      </c>
      <c r="G138" t="s">
        <v>267</v>
      </c>
      <c r="H138" t="s">
        <v>266</v>
      </c>
      <c r="I138" s="5" t="s">
        <v>302</v>
      </c>
      <c r="J138" s="5" t="s">
        <v>292</v>
      </c>
      <c r="K138" s="5" t="s">
        <v>59</v>
      </c>
      <c r="L138" s="4">
        <v>4</v>
      </c>
      <c r="M138" t="s">
        <v>154</v>
      </c>
      <c r="N138" t="s">
        <v>154</v>
      </c>
      <c r="O138" t="s">
        <v>123</v>
      </c>
      <c r="P138" t="s">
        <v>99</v>
      </c>
      <c r="Q138">
        <v>49</v>
      </c>
      <c r="R138">
        <f>IFERROR((J138 - J137)*24,0)</f>
        <v>3.9999999999417923</v>
      </c>
      <c r="S138">
        <f t="shared" si="28"/>
        <v>12.250000000178261</v>
      </c>
      <c r="T138" t="s">
        <v>94</v>
      </c>
      <c r="U138">
        <v>0</v>
      </c>
      <c r="V138">
        <v>0</v>
      </c>
      <c r="W138">
        <v>0</v>
      </c>
      <c r="X138">
        <v>0</v>
      </c>
      <c r="Y138">
        <f t="shared" si="29"/>
        <v>0</v>
      </c>
      <c r="Z138">
        <f t="shared" si="30"/>
        <v>0</v>
      </c>
      <c r="AA138">
        <v>0</v>
      </c>
      <c r="AB138">
        <f t="shared" si="33"/>
        <v>0</v>
      </c>
      <c r="AC138">
        <v>1.87</v>
      </c>
      <c r="AD138">
        <v>0.16</v>
      </c>
      <c r="AE138">
        <v>0</v>
      </c>
      <c r="AF138">
        <v>0</v>
      </c>
      <c r="AG138">
        <v>0</v>
      </c>
      <c r="AH138">
        <v>0</v>
      </c>
      <c r="AI138">
        <f t="shared" si="31"/>
        <v>2.0300000000000002</v>
      </c>
      <c r="AJ138">
        <f t="shared" si="32"/>
        <v>12.180000000177245</v>
      </c>
      <c r="AK138">
        <v>0</v>
      </c>
      <c r="AL138">
        <f t="shared" si="34"/>
        <v>194.26000000000016</v>
      </c>
      <c r="AM138">
        <v>0</v>
      </c>
      <c r="AN138">
        <v>0</v>
      </c>
      <c r="AO138" t="s">
        <v>52</v>
      </c>
      <c r="AP138">
        <v>0</v>
      </c>
      <c r="AQ138">
        <v>0</v>
      </c>
      <c r="AR138" t="s">
        <v>52</v>
      </c>
      <c r="AS138" t="s">
        <v>154</v>
      </c>
      <c r="AT138">
        <v>7</v>
      </c>
    </row>
    <row r="139" spans="1:46" x14ac:dyDescent="0.3">
      <c r="A139">
        <v>971</v>
      </c>
      <c r="B139">
        <v>2384</v>
      </c>
      <c r="C139">
        <v>28864</v>
      </c>
      <c r="D139">
        <v>2024</v>
      </c>
      <c r="E139">
        <v>20</v>
      </c>
      <c r="F139">
        <v>2</v>
      </c>
      <c r="G139" t="s">
        <v>267</v>
      </c>
      <c r="H139" t="s">
        <v>266</v>
      </c>
      <c r="I139" s="5" t="s">
        <v>302</v>
      </c>
      <c r="J139" s="5" t="s">
        <v>293</v>
      </c>
      <c r="K139" s="5" t="s">
        <v>50</v>
      </c>
      <c r="L139" s="4">
        <v>20</v>
      </c>
      <c r="M139" t="s">
        <v>154</v>
      </c>
      <c r="N139" t="s">
        <v>154</v>
      </c>
      <c r="O139" t="s">
        <v>123</v>
      </c>
      <c r="P139" t="s">
        <v>99</v>
      </c>
      <c r="Q139">
        <v>241</v>
      </c>
      <c r="R139">
        <f>IFERROR((J139 - J138)*24,0)</f>
        <v>20.000000000058208</v>
      </c>
      <c r="S139">
        <f t="shared" si="28"/>
        <v>12.04999999996493</v>
      </c>
      <c r="T139" t="s">
        <v>94</v>
      </c>
      <c r="U139">
        <v>0</v>
      </c>
      <c r="V139">
        <v>0</v>
      </c>
      <c r="W139">
        <v>0</v>
      </c>
      <c r="X139">
        <v>0</v>
      </c>
      <c r="Y139">
        <f t="shared" si="29"/>
        <v>0</v>
      </c>
      <c r="Z139">
        <f t="shared" si="30"/>
        <v>0</v>
      </c>
      <c r="AA139">
        <v>0</v>
      </c>
      <c r="AB139">
        <f t="shared" si="33"/>
        <v>0</v>
      </c>
      <c r="AC139">
        <v>10.82</v>
      </c>
      <c r="AD139">
        <v>0.93</v>
      </c>
      <c r="AE139">
        <v>0</v>
      </c>
      <c r="AF139">
        <v>0</v>
      </c>
      <c r="AG139">
        <v>0</v>
      </c>
      <c r="AH139">
        <v>0</v>
      </c>
      <c r="AI139">
        <f t="shared" si="31"/>
        <v>11.75</v>
      </c>
      <c r="AJ139">
        <f t="shared" si="32"/>
        <v>14.099999999958964</v>
      </c>
      <c r="AK139">
        <v>0</v>
      </c>
      <c r="AL139">
        <f t="shared" si="34"/>
        <v>182.51000000000016</v>
      </c>
      <c r="AM139">
        <v>0</v>
      </c>
      <c r="AN139">
        <v>0</v>
      </c>
      <c r="AO139" t="s">
        <v>52</v>
      </c>
      <c r="AP139">
        <v>0</v>
      </c>
      <c r="AQ139">
        <v>0</v>
      </c>
      <c r="AR139" t="s">
        <v>52</v>
      </c>
      <c r="AS139" t="s">
        <v>154</v>
      </c>
      <c r="AT139">
        <v>7</v>
      </c>
    </row>
    <row r="140" spans="1:46" x14ac:dyDescent="0.3">
      <c r="A140">
        <v>971</v>
      </c>
      <c r="B140">
        <v>2384</v>
      </c>
      <c r="C140">
        <v>28865</v>
      </c>
      <c r="D140">
        <v>2024</v>
      </c>
      <c r="E140">
        <v>20</v>
      </c>
      <c r="F140">
        <v>2</v>
      </c>
      <c r="G140" t="s">
        <v>267</v>
      </c>
      <c r="H140" t="s">
        <v>266</v>
      </c>
      <c r="I140" s="5" t="s">
        <v>302</v>
      </c>
      <c r="J140" s="5" t="s">
        <v>294</v>
      </c>
      <c r="K140" s="5" t="s">
        <v>59</v>
      </c>
      <c r="L140" s="4">
        <v>4</v>
      </c>
      <c r="M140" t="s">
        <v>154</v>
      </c>
      <c r="N140" t="s">
        <v>154</v>
      </c>
      <c r="O140" t="s">
        <v>123</v>
      </c>
      <c r="P140" t="s">
        <v>295</v>
      </c>
      <c r="Q140">
        <v>45</v>
      </c>
      <c r="R140">
        <f>IFERROR((J140 - J139)*24,0)</f>
        <v>3.9999999999417923</v>
      </c>
      <c r="S140">
        <f t="shared" si="28"/>
        <v>11.250000000163709</v>
      </c>
      <c r="T140" t="s">
        <v>94</v>
      </c>
      <c r="U140">
        <v>0</v>
      </c>
      <c r="V140">
        <v>0</v>
      </c>
      <c r="W140">
        <v>0</v>
      </c>
      <c r="X140">
        <v>0</v>
      </c>
      <c r="Y140">
        <f t="shared" si="29"/>
        <v>0</v>
      </c>
      <c r="Z140">
        <f t="shared" si="30"/>
        <v>0</v>
      </c>
      <c r="AA140">
        <v>0</v>
      </c>
      <c r="AB140">
        <f t="shared" si="33"/>
        <v>0</v>
      </c>
      <c r="AC140">
        <v>1.84</v>
      </c>
      <c r="AD140">
        <v>0.16</v>
      </c>
      <c r="AE140">
        <v>0</v>
      </c>
      <c r="AF140">
        <v>0</v>
      </c>
      <c r="AG140">
        <v>0</v>
      </c>
      <c r="AH140">
        <v>0</v>
      </c>
      <c r="AI140">
        <f t="shared" si="31"/>
        <v>2</v>
      </c>
      <c r="AJ140">
        <f t="shared" si="32"/>
        <v>12.000000000174623</v>
      </c>
      <c r="AK140">
        <v>0</v>
      </c>
      <c r="AL140">
        <f t="shared" si="34"/>
        <v>180.51000000000016</v>
      </c>
      <c r="AM140">
        <v>0</v>
      </c>
      <c r="AN140">
        <v>0</v>
      </c>
      <c r="AO140" t="s">
        <v>52</v>
      </c>
      <c r="AP140">
        <v>0</v>
      </c>
      <c r="AQ140">
        <v>0</v>
      </c>
      <c r="AR140" t="s">
        <v>52</v>
      </c>
      <c r="AS140" t="s">
        <v>154</v>
      </c>
      <c r="AT140">
        <v>7</v>
      </c>
    </row>
    <row r="141" spans="1:46" x14ac:dyDescent="0.3">
      <c r="A141">
        <v>971</v>
      </c>
      <c r="B141">
        <v>2384</v>
      </c>
      <c r="C141">
        <v>28866</v>
      </c>
      <c r="D141">
        <v>2024</v>
      </c>
      <c r="E141">
        <v>20</v>
      </c>
      <c r="F141">
        <v>2</v>
      </c>
      <c r="G141" t="s">
        <v>267</v>
      </c>
      <c r="H141" t="s">
        <v>266</v>
      </c>
      <c r="I141" s="5" t="s">
        <v>302</v>
      </c>
      <c r="J141" s="5" t="s">
        <v>296</v>
      </c>
      <c r="K141" s="5" t="s">
        <v>50</v>
      </c>
      <c r="L141" s="4">
        <v>20</v>
      </c>
      <c r="M141" t="s">
        <v>154</v>
      </c>
      <c r="N141" t="s">
        <v>154</v>
      </c>
      <c r="O141" t="s">
        <v>123</v>
      </c>
      <c r="P141" t="s">
        <v>99</v>
      </c>
      <c r="Q141">
        <v>228</v>
      </c>
      <c r="R141">
        <f>IFERROR((J141 - J140)*24,0)</f>
        <v>20.000000000058208</v>
      </c>
      <c r="S141">
        <f t="shared" si="28"/>
        <v>11.399999999966822</v>
      </c>
      <c r="T141" t="s">
        <v>137</v>
      </c>
      <c r="U141">
        <v>0</v>
      </c>
      <c r="V141">
        <v>0</v>
      </c>
      <c r="W141">
        <v>0</v>
      </c>
      <c r="X141">
        <v>0</v>
      </c>
      <c r="Y141">
        <f t="shared" si="29"/>
        <v>0</v>
      </c>
      <c r="Z141">
        <f t="shared" si="30"/>
        <v>0</v>
      </c>
      <c r="AA141">
        <v>0</v>
      </c>
      <c r="AB141">
        <f t="shared" si="33"/>
        <v>0</v>
      </c>
      <c r="AC141">
        <v>10.67</v>
      </c>
      <c r="AD141">
        <v>0.96</v>
      </c>
      <c r="AE141">
        <v>0</v>
      </c>
      <c r="AF141">
        <v>0</v>
      </c>
      <c r="AG141">
        <v>0</v>
      </c>
      <c r="AH141">
        <v>0</v>
      </c>
      <c r="AI141">
        <f t="shared" si="31"/>
        <v>11.629999999999999</v>
      </c>
      <c r="AJ141">
        <f t="shared" si="32"/>
        <v>13.955999999959383</v>
      </c>
      <c r="AK141">
        <v>0</v>
      </c>
      <c r="AL141">
        <f t="shared" si="34"/>
        <v>168.88000000000017</v>
      </c>
      <c r="AM141">
        <v>0</v>
      </c>
      <c r="AN141">
        <v>0</v>
      </c>
      <c r="AO141" t="s">
        <v>52</v>
      </c>
      <c r="AP141">
        <v>0</v>
      </c>
      <c r="AQ141">
        <v>0</v>
      </c>
      <c r="AR141" t="s">
        <v>52</v>
      </c>
      <c r="AS141" t="s">
        <v>154</v>
      </c>
      <c r="AT141">
        <v>7</v>
      </c>
    </row>
    <row r="142" spans="1:46" x14ac:dyDescent="0.3">
      <c r="A142">
        <v>971</v>
      </c>
      <c r="B142">
        <v>2384</v>
      </c>
      <c r="C142">
        <v>28867</v>
      </c>
      <c r="D142">
        <v>2024</v>
      </c>
      <c r="E142">
        <v>20</v>
      </c>
      <c r="F142">
        <v>2</v>
      </c>
      <c r="G142" t="s">
        <v>267</v>
      </c>
      <c r="H142" t="s">
        <v>266</v>
      </c>
      <c r="I142" s="5" t="s">
        <v>302</v>
      </c>
      <c r="J142" s="5" t="s">
        <v>297</v>
      </c>
      <c r="K142" s="5" t="s">
        <v>59</v>
      </c>
      <c r="L142" s="4">
        <v>4</v>
      </c>
      <c r="M142" t="s">
        <v>154</v>
      </c>
      <c r="N142" t="s">
        <v>154</v>
      </c>
      <c r="O142" t="s">
        <v>123</v>
      </c>
      <c r="P142" t="s">
        <v>99</v>
      </c>
      <c r="Q142">
        <v>46</v>
      </c>
      <c r="R142">
        <f>IFERROR((J142 - J141)*24,0)</f>
        <v>3.9999999999417923</v>
      </c>
      <c r="S142">
        <f t="shared" si="28"/>
        <v>11.500000000167347</v>
      </c>
      <c r="T142" t="s">
        <v>137</v>
      </c>
      <c r="U142">
        <v>0</v>
      </c>
      <c r="V142">
        <v>0</v>
      </c>
      <c r="W142">
        <v>0</v>
      </c>
      <c r="X142">
        <v>0</v>
      </c>
      <c r="Y142">
        <f t="shared" si="29"/>
        <v>0</v>
      </c>
      <c r="Z142">
        <f t="shared" si="30"/>
        <v>0</v>
      </c>
      <c r="AA142">
        <v>0</v>
      </c>
      <c r="AB142">
        <f t="shared" si="33"/>
        <v>0</v>
      </c>
      <c r="AC142">
        <v>2.2999999999999998</v>
      </c>
      <c r="AD142">
        <v>0.19</v>
      </c>
      <c r="AE142">
        <v>0</v>
      </c>
      <c r="AF142">
        <v>0</v>
      </c>
      <c r="AG142">
        <v>0</v>
      </c>
      <c r="AH142">
        <v>0</v>
      </c>
      <c r="AI142">
        <f t="shared" si="31"/>
        <v>2.4899999999999998</v>
      </c>
      <c r="AJ142">
        <f t="shared" si="32"/>
        <v>14.940000000217402</v>
      </c>
      <c r="AK142">
        <v>0</v>
      </c>
      <c r="AL142">
        <f t="shared" si="34"/>
        <v>166.39000000000016</v>
      </c>
      <c r="AM142">
        <v>0</v>
      </c>
      <c r="AN142">
        <v>0</v>
      </c>
      <c r="AO142" t="s">
        <v>52</v>
      </c>
      <c r="AP142">
        <v>0</v>
      </c>
      <c r="AQ142">
        <v>0</v>
      </c>
      <c r="AR142" t="s">
        <v>52</v>
      </c>
      <c r="AS142" t="s">
        <v>154</v>
      </c>
      <c r="AT142">
        <v>7</v>
      </c>
    </row>
    <row r="143" spans="1:46" x14ac:dyDescent="0.3">
      <c r="A143">
        <v>971</v>
      </c>
      <c r="B143">
        <v>2384</v>
      </c>
      <c r="C143">
        <v>28868</v>
      </c>
      <c r="D143">
        <v>2024</v>
      </c>
      <c r="E143">
        <v>20</v>
      </c>
      <c r="F143">
        <v>2</v>
      </c>
      <c r="G143" t="s">
        <v>267</v>
      </c>
      <c r="H143" t="s">
        <v>266</v>
      </c>
      <c r="I143" s="5" t="s">
        <v>302</v>
      </c>
      <c r="J143" s="5" t="s">
        <v>298</v>
      </c>
      <c r="K143" s="5" t="s">
        <v>50</v>
      </c>
      <c r="L143" s="4">
        <v>20</v>
      </c>
      <c r="M143" t="s">
        <v>154</v>
      </c>
      <c r="N143" t="s">
        <v>154</v>
      </c>
      <c r="O143" t="s">
        <v>123</v>
      </c>
      <c r="P143" t="s">
        <v>99</v>
      </c>
      <c r="Q143">
        <v>241</v>
      </c>
      <c r="R143">
        <f>IFERROR((J143 - J142)*24,0)</f>
        <v>20.000000000058208</v>
      </c>
      <c r="S143">
        <f t="shared" si="28"/>
        <v>12.04999999996493</v>
      </c>
      <c r="T143" t="s">
        <v>117</v>
      </c>
      <c r="U143">
        <v>0</v>
      </c>
      <c r="V143">
        <v>0</v>
      </c>
      <c r="W143">
        <v>0</v>
      </c>
      <c r="X143">
        <v>0</v>
      </c>
      <c r="Y143">
        <f t="shared" si="29"/>
        <v>0</v>
      </c>
      <c r="Z143">
        <f t="shared" si="30"/>
        <v>0</v>
      </c>
      <c r="AA143">
        <v>0</v>
      </c>
      <c r="AB143">
        <f t="shared" si="33"/>
        <v>0</v>
      </c>
      <c r="AC143">
        <v>10.41</v>
      </c>
      <c r="AD143">
        <v>0.89</v>
      </c>
      <c r="AE143">
        <v>0</v>
      </c>
      <c r="AF143">
        <v>0</v>
      </c>
      <c r="AG143">
        <v>0</v>
      </c>
      <c r="AH143">
        <v>0</v>
      </c>
      <c r="AI143">
        <f t="shared" si="31"/>
        <v>11.3</v>
      </c>
      <c r="AJ143">
        <f t="shared" si="32"/>
        <v>13.559999999960537</v>
      </c>
      <c r="AK143">
        <v>0</v>
      </c>
      <c r="AL143">
        <f t="shared" si="34"/>
        <v>155.09000000000015</v>
      </c>
      <c r="AM143">
        <v>0</v>
      </c>
      <c r="AN143">
        <v>0</v>
      </c>
      <c r="AO143" t="s">
        <v>52</v>
      </c>
      <c r="AP143">
        <v>0</v>
      </c>
      <c r="AQ143">
        <v>0</v>
      </c>
      <c r="AR143" t="s">
        <v>52</v>
      </c>
      <c r="AS143" t="s">
        <v>154</v>
      </c>
      <c r="AT143">
        <v>7</v>
      </c>
    </row>
    <row r="144" spans="1:46" x14ac:dyDescent="0.3">
      <c r="A144">
        <v>971</v>
      </c>
      <c r="B144">
        <v>2384</v>
      </c>
      <c r="C144">
        <v>28869</v>
      </c>
      <c r="D144">
        <v>2024</v>
      </c>
      <c r="E144">
        <v>20</v>
      </c>
      <c r="F144">
        <v>2</v>
      </c>
      <c r="G144" t="s">
        <v>267</v>
      </c>
      <c r="H144" t="s">
        <v>266</v>
      </c>
      <c r="I144" s="5" t="s">
        <v>302</v>
      </c>
      <c r="J144" s="5" t="s">
        <v>299</v>
      </c>
      <c r="K144" s="5" t="s">
        <v>59</v>
      </c>
      <c r="L144" s="4">
        <v>4</v>
      </c>
      <c r="M144" t="s">
        <v>154</v>
      </c>
      <c r="N144" t="s">
        <v>154</v>
      </c>
      <c r="O144" t="s">
        <v>123</v>
      </c>
      <c r="P144" t="s">
        <v>99</v>
      </c>
      <c r="Q144">
        <v>51</v>
      </c>
      <c r="R144">
        <f>IFERROR((J144 - J143)*24,0)</f>
        <v>3.9999999999417923</v>
      </c>
      <c r="S144">
        <f t="shared" si="28"/>
        <v>12.750000000185537</v>
      </c>
      <c r="T144" t="s">
        <v>117</v>
      </c>
      <c r="U144">
        <v>0</v>
      </c>
      <c r="V144">
        <v>0</v>
      </c>
      <c r="W144">
        <v>0</v>
      </c>
      <c r="X144">
        <v>0</v>
      </c>
      <c r="Y144">
        <f t="shared" si="29"/>
        <v>0</v>
      </c>
      <c r="Z144">
        <f t="shared" si="30"/>
        <v>0</v>
      </c>
      <c r="AA144">
        <v>0</v>
      </c>
      <c r="AB144">
        <f t="shared" si="33"/>
        <v>0</v>
      </c>
      <c r="AC144">
        <v>1.82</v>
      </c>
      <c r="AD144">
        <v>0.18</v>
      </c>
      <c r="AE144">
        <v>0</v>
      </c>
      <c r="AF144">
        <v>0</v>
      </c>
      <c r="AG144">
        <v>0</v>
      </c>
      <c r="AH144">
        <v>0</v>
      </c>
      <c r="AI144">
        <f t="shared" si="31"/>
        <v>2</v>
      </c>
      <c r="AJ144">
        <f t="shared" si="32"/>
        <v>12.000000000174623</v>
      </c>
      <c r="AK144">
        <v>0</v>
      </c>
      <c r="AL144">
        <f t="shared" si="34"/>
        <v>153.09000000000015</v>
      </c>
      <c r="AM144">
        <v>0</v>
      </c>
      <c r="AN144">
        <v>0</v>
      </c>
      <c r="AO144" t="s">
        <v>52</v>
      </c>
      <c r="AP144">
        <v>0</v>
      </c>
      <c r="AQ144">
        <v>0</v>
      </c>
      <c r="AR144" t="s">
        <v>52</v>
      </c>
      <c r="AS144" t="s">
        <v>154</v>
      </c>
      <c r="AT144">
        <v>7</v>
      </c>
    </row>
    <row r="145" spans="1:46" x14ac:dyDescent="0.3">
      <c r="A145">
        <v>971</v>
      </c>
      <c r="B145">
        <v>2384</v>
      </c>
      <c r="C145">
        <v>28870</v>
      </c>
      <c r="D145">
        <v>2024</v>
      </c>
      <c r="E145">
        <v>20</v>
      </c>
      <c r="F145">
        <v>2</v>
      </c>
      <c r="G145" t="s">
        <v>267</v>
      </c>
      <c r="H145" t="s">
        <v>266</v>
      </c>
      <c r="I145" s="5" t="s">
        <v>302</v>
      </c>
      <c r="J145" s="5" t="s">
        <v>300</v>
      </c>
      <c r="K145" s="5" t="s">
        <v>50</v>
      </c>
      <c r="L145" s="4">
        <v>20</v>
      </c>
      <c r="M145" t="s">
        <v>154</v>
      </c>
      <c r="N145" t="s">
        <v>154</v>
      </c>
      <c r="O145" t="s">
        <v>123</v>
      </c>
      <c r="P145" t="s">
        <v>99</v>
      </c>
      <c r="Q145">
        <v>272</v>
      </c>
      <c r="R145">
        <f>IFERROR((J145 - J144)*24,0)</f>
        <v>20.000000000058208</v>
      </c>
      <c r="S145">
        <f t="shared" si="28"/>
        <v>13.599999999960419</v>
      </c>
      <c r="T145" t="s">
        <v>117</v>
      </c>
      <c r="U145">
        <v>0</v>
      </c>
      <c r="V145">
        <v>0</v>
      </c>
      <c r="W145">
        <v>0</v>
      </c>
      <c r="X145">
        <v>0</v>
      </c>
      <c r="Y145">
        <f t="shared" si="29"/>
        <v>0</v>
      </c>
      <c r="Z145">
        <f t="shared" si="30"/>
        <v>0</v>
      </c>
      <c r="AA145">
        <v>0</v>
      </c>
      <c r="AB145">
        <f t="shared" si="33"/>
        <v>0</v>
      </c>
      <c r="AC145">
        <v>10.61</v>
      </c>
      <c r="AD145">
        <v>0.9</v>
      </c>
      <c r="AE145">
        <v>0</v>
      </c>
      <c r="AF145">
        <v>0</v>
      </c>
      <c r="AG145">
        <v>0</v>
      </c>
      <c r="AH145">
        <v>0</v>
      </c>
      <c r="AI145">
        <f t="shared" si="31"/>
        <v>11.51</v>
      </c>
      <c r="AJ145">
        <f t="shared" si="32"/>
        <v>13.811999999959802</v>
      </c>
      <c r="AK145">
        <v>0</v>
      </c>
      <c r="AL145">
        <f t="shared" si="34"/>
        <v>141.58000000000015</v>
      </c>
      <c r="AM145">
        <v>0</v>
      </c>
      <c r="AN145">
        <v>0</v>
      </c>
      <c r="AO145" t="s">
        <v>52</v>
      </c>
      <c r="AP145">
        <v>0</v>
      </c>
      <c r="AQ145">
        <v>0</v>
      </c>
      <c r="AR145" t="s">
        <v>52</v>
      </c>
      <c r="AS145" t="s">
        <v>154</v>
      </c>
      <c r="AT145">
        <v>7</v>
      </c>
    </row>
    <row r="146" spans="1:46" x14ac:dyDescent="0.3">
      <c r="A146">
        <v>971</v>
      </c>
      <c r="B146">
        <v>2384</v>
      </c>
      <c r="C146">
        <v>28871</v>
      </c>
      <c r="D146">
        <v>2024</v>
      </c>
      <c r="E146">
        <v>20</v>
      </c>
      <c r="F146">
        <v>2</v>
      </c>
      <c r="G146" t="s">
        <v>267</v>
      </c>
      <c r="H146" t="s">
        <v>266</v>
      </c>
      <c r="I146" s="5" t="s">
        <v>302</v>
      </c>
      <c r="J146" s="5" t="s">
        <v>301</v>
      </c>
      <c r="K146" s="5" t="s">
        <v>59</v>
      </c>
      <c r="L146" s="4">
        <v>4</v>
      </c>
      <c r="M146" t="s">
        <v>154</v>
      </c>
      <c r="N146" t="s">
        <v>154</v>
      </c>
      <c r="O146" t="s">
        <v>123</v>
      </c>
      <c r="P146" t="s">
        <v>99</v>
      </c>
      <c r="Q146">
        <v>45</v>
      </c>
      <c r="R146">
        <f>IFERROR((J146 - J145)*24,0)</f>
        <v>3.9999999999417923</v>
      </c>
      <c r="S146">
        <f t="shared" si="28"/>
        <v>11.250000000163709</v>
      </c>
      <c r="T146" t="s">
        <v>117</v>
      </c>
      <c r="U146">
        <v>0</v>
      </c>
      <c r="V146">
        <v>0</v>
      </c>
      <c r="W146">
        <v>0</v>
      </c>
      <c r="X146">
        <v>0</v>
      </c>
      <c r="Y146">
        <f t="shared" si="29"/>
        <v>0</v>
      </c>
      <c r="Z146">
        <f t="shared" si="30"/>
        <v>0</v>
      </c>
      <c r="AA146">
        <v>0</v>
      </c>
      <c r="AB146">
        <f t="shared" si="33"/>
        <v>0</v>
      </c>
      <c r="AC146">
        <v>1.89</v>
      </c>
      <c r="AD146">
        <v>0.18</v>
      </c>
      <c r="AE146">
        <v>0</v>
      </c>
      <c r="AF146">
        <v>0</v>
      </c>
      <c r="AG146">
        <v>0</v>
      </c>
      <c r="AH146">
        <v>0</v>
      </c>
      <c r="AI146">
        <f t="shared" si="31"/>
        <v>2.0699999999999998</v>
      </c>
      <c r="AJ146">
        <f t="shared" si="32"/>
        <v>12.420000000180734</v>
      </c>
      <c r="AK146">
        <v>0</v>
      </c>
      <c r="AL146">
        <f t="shared" si="34"/>
        <v>139.51000000000016</v>
      </c>
      <c r="AM146">
        <v>0</v>
      </c>
      <c r="AN146">
        <v>0</v>
      </c>
      <c r="AO146" t="s">
        <v>52</v>
      </c>
      <c r="AP146">
        <v>0</v>
      </c>
      <c r="AQ146">
        <v>0</v>
      </c>
      <c r="AR146" t="s">
        <v>52</v>
      </c>
      <c r="AS146" t="s">
        <v>154</v>
      </c>
      <c r="AT146">
        <v>7</v>
      </c>
    </row>
    <row r="147" spans="1:46" x14ac:dyDescent="0.3">
      <c r="A147">
        <v>971</v>
      </c>
      <c r="B147">
        <v>2384</v>
      </c>
      <c r="C147">
        <v>28872</v>
      </c>
      <c r="D147">
        <v>2024</v>
      </c>
      <c r="E147">
        <v>20</v>
      </c>
      <c r="F147">
        <v>2</v>
      </c>
      <c r="G147" t="s">
        <v>267</v>
      </c>
      <c r="H147" t="s">
        <v>266</v>
      </c>
      <c r="I147" s="5" t="s">
        <v>302</v>
      </c>
      <c r="J147" s="5" t="s">
        <v>302</v>
      </c>
      <c r="K147" s="5" t="s">
        <v>50</v>
      </c>
      <c r="L147" s="4">
        <v>20</v>
      </c>
      <c r="M147" t="s">
        <v>154</v>
      </c>
      <c r="N147" t="s">
        <v>154</v>
      </c>
      <c r="O147" t="s">
        <v>123</v>
      </c>
      <c r="P147" t="s">
        <v>99</v>
      </c>
      <c r="Q147">
        <v>244</v>
      </c>
      <c r="R147">
        <f>IFERROR((J147 - J146)*24,0)</f>
        <v>20.000000000058208</v>
      </c>
      <c r="S147">
        <f t="shared" si="28"/>
        <v>12.199999999964493</v>
      </c>
      <c r="T147" t="s">
        <v>117</v>
      </c>
      <c r="U147">
        <v>0</v>
      </c>
      <c r="V147">
        <v>0</v>
      </c>
      <c r="W147">
        <v>0</v>
      </c>
      <c r="X147">
        <v>0</v>
      </c>
      <c r="Y147">
        <f t="shared" si="29"/>
        <v>0</v>
      </c>
      <c r="Z147">
        <f t="shared" si="30"/>
        <v>0</v>
      </c>
      <c r="AA147">
        <v>0</v>
      </c>
      <c r="AB147">
        <f t="shared" si="33"/>
        <v>0</v>
      </c>
      <c r="AC147">
        <v>10.63</v>
      </c>
      <c r="AD147">
        <v>0.92</v>
      </c>
      <c r="AE147">
        <v>0</v>
      </c>
      <c r="AF147">
        <v>0</v>
      </c>
      <c r="AG147">
        <v>0</v>
      </c>
      <c r="AH147">
        <v>0</v>
      </c>
      <c r="AI147">
        <f t="shared" si="31"/>
        <v>11.55</v>
      </c>
      <c r="AJ147">
        <f t="shared" si="32"/>
        <v>13.859999999959664</v>
      </c>
      <c r="AK147">
        <v>0</v>
      </c>
      <c r="AL147">
        <f t="shared" si="34"/>
        <v>127.96000000000016</v>
      </c>
      <c r="AM147">
        <v>0</v>
      </c>
      <c r="AN147">
        <v>0</v>
      </c>
      <c r="AO147" t="s">
        <v>52</v>
      </c>
      <c r="AP147">
        <v>0</v>
      </c>
      <c r="AQ147">
        <v>0</v>
      </c>
      <c r="AR147" t="s">
        <v>52</v>
      </c>
      <c r="AS147" t="s">
        <v>154</v>
      </c>
      <c r="AT147">
        <v>7</v>
      </c>
    </row>
    <row r="148" spans="1:46" x14ac:dyDescent="0.3">
      <c r="A148">
        <v>971</v>
      </c>
      <c r="B148">
        <v>2384</v>
      </c>
      <c r="C148">
        <v>28873</v>
      </c>
      <c r="D148">
        <v>2024</v>
      </c>
      <c r="E148">
        <v>20</v>
      </c>
      <c r="F148">
        <v>2</v>
      </c>
      <c r="G148" t="s">
        <v>267</v>
      </c>
      <c r="H148" t="s">
        <v>266</v>
      </c>
      <c r="I148" s="5" t="s">
        <v>302</v>
      </c>
      <c r="J148" s="5" t="s">
        <v>303</v>
      </c>
      <c r="K148" s="5" t="s">
        <v>59</v>
      </c>
      <c r="L148" s="4">
        <v>4</v>
      </c>
      <c r="M148" t="s">
        <v>154</v>
      </c>
      <c r="N148" t="s">
        <v>154</v>
      </c>
      <c r="O148" t="s">
        <v>123</v>
      </c>
      <c r="P148" t="s">
        <v>99</v>
      </c>
      <c r="Q148">
        <v>49</v>
      </c>
      <c r="R148">
        <f>IFERROR((J148 - J147)*24,0)</f>
        <v>3.9999999999417923</v>
      </c>
      <c r="S148">
        <f t="shared" si="28"/>
        <v>12.250000000178261</v>
      </c>
      <c r="T148" t="s">
        <v>117</v>
      </c>
      <c r="U148">
        <v>0</v>
      </c>
      <c r="V148">
        <v>0</v>
      </c>
      <c r="W148">
        <v>0</v>
      </c>
      <c r="X148">
        <v>0</v>
      </c>
      <c r="Y148">
        <f t="shared" si="29"/>
        <v>0</v>
      </c>
      <c r="Z148">
        <f t="shared" si="30"/>
        <v>0</v>
      </c>
      <c r="AA148">
        <v>0</v>
      </c>
      <c r="AB148">
        <f t="shared" si="33"/>
        <v>0</v>
      </c>
      <c r="AC148">
        <v>1.92</v>
      </c>
      <c r="AD148">
        <v>0.19</v>
      </c>
      <c r="AE148">
        <v>0</v>
      </c>
      <c r="AF148">
        <v>0</v>
      </c>
      <c r="AG148">
        <v>0</v>
      </c>
      <c r="AH148">
        <v>0</v>
      </c>
      <c r="AI148">
        <f t="shared" si="31"/>
        <v>2.11</v>
      </c>
      <c r="AJ148">
        <f t="shared" si="32"/>
        <v>12.660000000184228</v>
      </c>
      <c r="AK148">
        <v>0</v>
      </c>
      <c r="AL148">
        <f t="shared" si="34"/>
        <v>125.85000000000016</v>
      </c>
      <c r="AM148">
        <v>0</v>
      </c>
      <c r="AN148">
        <v>0</v>
      </c>
      <c r="AO148" t="s">
        <v>52</v>
      </c>
      <c r="AP148">
        <v>0</v>
      </c>
      <c r="AQ148">
        <v>0</v>
      </c>
      <c r="AR148" t="s">
        <v>52</v>
      </c>
      <c r="AS148" t="s">
        <v>154</v>
      </c>
      <c r="AT148">
        <v>7</v>
      </c>
    </row>
    <row r="149" spans="1:46" x14ac:dyDescent="0.3">
      <c r="A149">
        <v>971</v>
      </c>
      <c r="B149">
        <v>2384</v>
      </c>
      <c r="C149">
        <v>28874</v>
      </c>
      <c r="D149">
        <v>2024</v>
      </c>
      <c r="E149">
        <v>20</v>
      </c>
      <c r="F149">
        <v>2</v>
      </c>
      <c r="G149" t="s">
        <v>267</v>
      </c>
      <c r="H149" t="s">
        <v>266</v>
      </c>
      <c r="I149" s="5" t="s">
        <v>302</v>
      </c>
      <c r="J149" s="5" t="s">
        <v>304</v>
      </c>
      <c r="K149" s="5" t="s">
        <v>305</v>
      </c>
      <c r="L149" s="4">
        <v>4</v>
      </c>
      <c r="M149" t="s">
        <v>154</v>
      </c>
      <c r="N149" t="s">
        <v>51</v>
      </c>
      <c r="O149" t="s">
        <v>52</v>
      </c>
      <c r="P149" t="s">
        <v>306</v>
      </c>
      <c r="Q149">
        <v>39</v>
      </c>
      <c r="R149">
        <f>IFERROR((J149 - J148)*24,0)</f>
        <v>3.9999999999417923</v>
      </c>
      <c r="S149">
        <f t="shared" si="28"/>
        <v>9.7500000001418812</v>
      </c>
      <c r="T149" t="s">
        <v>117</v>
      </c>
      <c r="U149">
        <v>0</v>
      </c>
      <c r="V149">
        <v>0</v>
      </c>
      <c r="W149">
        <v>0</v>
      </c>
      <c r="X149">
        <v>0</v>
      </c>
      <c r="Y149">
        <f t="shared" si="29"/>
        <v>0</v>
      </c>
      <c r="Z149">
        <f t="shared" si="30"/>
        <v>0</v>
      </c>
      <c r="AA149">
        <v>0</v>
      </c>
      <c r="AB149">
        <f t="shared" si="33"/>
        <v>0</v>
      </c>
      <c r="AC149">
        <v>2.21</v>
      </c>
      <c r="AD149">
        <v>0.27</v>
      </c>
      <c r="AE149">
        <v>0</v>
      </c>
      <c r="AF149">
        <v>0</v>
      </c>
      <c r="AG149">
        <v>0</v>
      </c>
      <c r="AH149">
        <v>0</v>
      </c>
      <c r="AI149">
        <f t="shared" si="31"/>
        <v>2.48</v>
      </c>
      <c r="AJ149">
        <f t="shared" si="32"/>
        <v>14.880000000216532</v>
      </c>
      <c r="AK149">
        <v>0</v>
      </c>
      <c r="AL149">
        <f t="shared" si="34"/>
        <v>123.37000000000016</v>
      </c>
      <c r="AM149">
        <v>0</v>
      </c>
      <c r="AN149">
        <v>0</v>
      </c>
      <c r="AO149" t="s">
        <v>52</v>
      </c>
      <c r="AP149">
        <v>0</v>
      </c>
      <c r="AQ149">
        <v>0</v>
      </c>
      <c r="AR149" t="s">
        <v>52</v>
      </c>
      <c r="AS149" t="s">
        <v>154</v>
      </c>
      <c r="AT149">
        <v>7</v>
      </c>
    </row>
    <row r="150" spans="1:46" x14ac:dyDescent="0.3">
      <c r="A150">
        <v>971</v>
      </c>
      <c r="B150">
        <v>2384</v>
      </c>
      <c r="C150">
        <v>28875</v>
      </c>
      <c r="D150">
        <v>2024</v>
      </c>
      <c r="E150">
        <v>20</v>
      </c>
      <c r="F150">
        <v>2</v>
      </c>
      <c r="G150" t="s">
        <v>267</v>
      </c>
      <c r="H150" t="s">
        <v>266</v>
      </c>
      <c r="I150" s="5" t="s">
        <v>302</v>
      </c>
      <c r="J150" s="5" t="s">
        <v>307</v>
      </c>
      <c r="K150" s="5" t="s">
        <v>50</v>
      </c>
      <c r="L150" s="4">
        <v>16</v>
      </c>
      <c r="M150" t="s">
        <v>51</v>
      </c>
      <c r="N150" t="s">
        <v>51</v>
      </c>
      <c r="O150" t="s">
        <v>52</v>
      </c>
      <c r="P150" t="s">
        <v>308</v>
      </c>
      <c r="Q150">
        <v>0</v>
      </c>
      <c r="R150">
        <f>IFERROR((J150 - J149)*24,0)</f>
        <v>16.000000000116415</v>
      </c>
      <c r="S150">
        <f t="shared" si="28"/>
        <v>0</v>
      </c>
      <c r="T150" t="s">
        <v>117</v>
      </c>
      <c r="U150">
        <v>0</v>
      </c>
      <c r="V150">
        <v>0</v>
      </c>
      <c r="W150">
        <v>0</v>
      </c>
      <c r="X150">
        <v>0</v>
      </c>
      <c r="Y150">
        <f t="shared" si="29"/>
        <v>0</v>
      </c>
      <c r="Z150">
        <f t="shared" si="30"/>
        <v>0</v>
      </c>
      <c r="AA150">
        <v>0</v>
      </c>
      <c r="AB150">
        <f t="shared" si="33"/>
        <v>0</v>
      </c>
      <c r="AC150">
        <v>0</v>
      </c>
      <c r="AD150">
        <v>0.28000000000000003</v>
      </c>
      <c r="AE150">
        <v>0</v>
      </c>
      <c r="AF150">
        <v>0</v>
      </c>
      <c r="AG150">
        <v>0</v>
      </c>
      <c r="AH150">
        <v>0</v>
      </c>
      <c r="AI150">
        <f t="shared" si="31"/>
        <v>0.28000000000000003</v>
      </c>
      <c r="AJ150">
        <f t="shared" si="32"/>
        <v>0.41999999999694415</v>
      </c>
      <c r="AK150">
        <v>0</v>
      </c>
      <c r="AL150">
        <f t="shared" si="34"/>
        <v>123.09000000000016</v>
      </c>
      <c r="AM150">
        <v>0</v>
      </c>
      <c r="AN150">
        <v>0</v>
      </c>
      <c r="AO150" t="s">
        <v>52</v>
      </c>
      <c r="AP150">
        <v>0</v>
      </c>
      <c r="AQ150">
        <v>0</v>
      </c>
      <c r="AR150" t="s">
        <v>52</v>
      </c>
      <c r="AS150" t="s">
        <v>51</v>
      </c>
      <c r="AT150">
        <v>7</v>
      </c>
    </row>
    <row r="151" spans="1:46" x14ac:dyDescent="0.3">
      <c r="A151">
        <v>971</v>
      </c>
      <c r="B151">
        <v>2384</v>
      </c>
      <c r="C151">
        <v>28876</v>
      </c>
      <c r="D151">
        <v>2024</v>
      </c>
      <c r="E151">
        <v>20</v>
      </c>
      <c r="F151">
        <v>2</v>
      </c>
      <c r="G151" t="s">
        <v>267</v>
      </c>
      <c r="H151" t="s">
        <v>266</v>
      </c>
      <c r="I151" s="5" t="s">
        <v>302</v>
      </c>
      <c r="J151" s="5" t="s">
        <v>309</v>
      </c>
      <c r="K151" s="5" t="s">
        <v>59</v>
      </c>
      <c r="L151" s="4">
        <v>4</v>
      </c>
      <c r="M151" t="s">
        <v>51</v>
      </c>
      <c r="N151" t="s">
        <v>51</v>
      </c>
      <c r="O151" t="s">
        <v>52</v>
      </c>
      <c r="P151" t="s">
        <v>308</v>
      </c>
      <c r="Q151">
        <v>0</v>
      </c>
      <c r="R151">
        <f>IFERROR((J151 - J150)*24,0)</f>
        <v>3.9999999999417923</v>
      </c>
      <c r="S151">
        <f t="shared" si="28"/>
        <v>0</v>
      </c>
      <c r="T151" t="s">
        <v>117</v>
      </c>
      <c r="U151">
        <v>0</v>
      </c>
      <c r="V151">
        <v>0</v>
      </c>
      <c r="W151">
        <v>0</v>
      </c>
      <c r="X151">
        <v>0</v>
      </c>
      <c r="Y151">
        <f t="shared" si="29"/>
        <v>0</v>
      </c>
      <c r="Z151">
        <f t="shared" si="30"/>
        <v>0</v>
      </c>
      <c r="AA151">
        <v>0</v>
      </c>
      <c r="AB151">
        <f t="shared" si="33"/>
        <v>0</v>
      </c>
      <c r="AC151">
        <v>0</v>
      </c>
      <c r="AD151">
        <v>0.12</v>
      </c>
      <c r="AE151">
        <v>0</v>
      </c>
      <c r="AF151">
        <v>0</v>
      </c>
      <c r="AG151">
        <v>0</v>
      </c>
      <c r="AH151">
        <v>0</v>
      </c>
      <c r="AI151">
        <f t="shared" si="31"/>
        <v>0.12</v>
      </c>
      <c r="AJ151">
        <f t="shared" si="32"/>
        <v>0.72000000001047737</v>
      </c>
      <c r="AK151">
        <v>0</v>
      </c>
      <c r="AL151">
        <f t="shared" si="34"/>
        <v>122.97000000000016</v>
      </c>
      <c r="AM151">
        <v>0</v>
      </c>
      <c r="AN151">
        <v>0</v>
      </c>
      <c r="AO151" t="s">
        <v>52</v>
      </c>
      <c r="AP151">
        <v>0</v>
      </c>
      <c r="AQ151">
        <v>0</v>
      </c>
      <c r="AR151" t="s">
        <v>52</v>
      </c>
      <c r="AS151" t="s">
        <v>51</v>
      </c>
      <c r="AT151">
        <v>7</v>
      </c>
    </row>
    <row r="152" spans="1:46" x14ac:dyDescent="0.3">
      <c r="A152">
        <v>971</v>
      </c>
      <c r="B152">
        <v>2384</v>
      </c>
      <c r="C152">
        <v>28877</v>
      </c>
      <c r="D152">
        <v>2024</v>
      </c>
      <c r="E152">
        <v>20</v>
      </c>
      <c r="F152">
        <v>2</v>
      </c>
      <c r="G152" t="s">
        <v>267</v>
      </c>
      <c r="H152" t="s">
        <v>266</v>
      </c>
      <c r="I152" s="5" t="s">
        <v>302</v>
      </c>
      <c r="J152" s="5" t="s">
        <v>310</v>
      </c>
      <c r="K152" s="5" t="s">
        <v>311</v>
      </c>
      <c r="L152" s="4">
        <v>3</v>
      </c>
      <c r="M152" t="s">
        <v>51</v>
      </c>
      <c r="N152" t="s">
        <v>60</v>
      </c>
      <c r="O152" t="s">
        <v>52</v>
      </c>
      <c r="P152" t="s">
        <v>308</v>
      </c>
      <c r="Q152">
        <v>0</v>
      </c>
      <c r="R152">
        <f>IFERROR((J152 - J151)*24,0)</f>
        <v>3</v>
      </c>
      <c r="S152">
        <f t="shared" si="28"/>
        <v>0</v>
      </c>
      <c r="T152" t="s">
        <v>117</v>
      </c>
      <c r="U152">
        <v>0</v>
      </c>
      <c r="V152">
        <v>0</v>
      </c>
      <c r="W152">
        <v>0</v>
      </c>
      <c r="X152">
        <v>0</v>
      </c>
      <c r="Y152">
        <f t="shared" si="29"/>
        <v>0</v>
      </c>
      <c r="Z152">
        <f t="shared" si="30"/>
        <v>0</v>
      </c>
      <c r="AA152">
        <v>0</v>
      </c>
      <c r="AB152">
        <f t="shared" si="33"/>
        <v>0</v>
      </c>
      <c r="AC152">
        <v>0</v>
      </c>
      <c r="AD152">
        <v>0.13</v>
      </c>
      <c r="AE152">
        <v>0</v>
      </c>
      <c r="AF152">
        <v>0</v>
      </c>
      <c r="AG152">
        <v>0</v>
      </c>
      <c r="AH152">
        <v>0</v>
      </c>
      <c r="AI152">
        <f t="shared" si="31"/>
        <v>0.13</v>
      </c>
      <c r="AJ152">
        <f t="shared" si="32"/>
        <v>1.04</v>
      </c>
      <c r="AK152">
        <v>0</v>
      </c>
      <c r="AL152">
        <f t="shared" si="34"/>
        <v>122.84000000000016</v>
      </c>
      <c r="AM152">
        <v>0</v>
      </c>
      <c r="AN152">
        <v>0</v>
      </c>
      <c r="AO152" t="s">
        <v>52</v>
      </c>
      <c r="AP152">
        <v>0</v>
      </c>
      <c r="AQ152">
        <v>0</v>
      </c>
      <c r="AR152" t="s">
        <v>52</v>
      </c>
      <c r="AS152" t="s">
        <v>51</v>
      </c>
      <c r="AT152">
        <v>7</v>
      </c>
    </row>
    <row r="153" spans="1:46" x14ac:dyDescent="0.3">
      <c r="A153">
        <v>971</v>
      </c>
      <c r="B153">
        <v>2384</v>
      </c>
      <c r="C153">
        <v>28878</v>
      </c>
      <c r="D153">
        <v>2024</v>
      </c>
      <c r="E153">
        <v>20</v>
      </c>
      <c r="F153">
        <v>2</v>
      </c>
      <c r="G153" t="s">
        <v>267</v>
      </c>
      <c r="H153" t="s">
        <v>266</v>
      </c>
      <c r="I153" s="5" t="s">
        <v>302</v>
      </c>
      <c r="J153" s="5" t="s">
        <v>312</v>
      </c>
      <c r="K153" s="5" t="s">
        <v>313</v>
      </c>
      <c r="L153" s="4">
        <v>5.6</v>
      </c>
      <c r="M153" t="s">
        <v>60</v>
      </c>
      <c r="N153" t="s">
        <v>104</v>
      </c>
      <c r="O153" t="s">
        <v>52</v>
      </c>
      <c r="P153" t="s">
        <v>60</v>
      </c>
      <c r="Q153">
        <v>24</v>
      </c>
      <c r="R153">
        <f>IFERROR((J153 - J152)*24,0)</f>
        <v>5.5999999999185093</v>
      </c>
      <c r="S153">
        <f t="shared" si="28"/>
        <v>4.2857142857766508</v>
      </c>
      <c r="T153" t="s">
        <v>117</v>
      </c>
      <c r="U153">
        <v>0</v>
      </c>
      <c r="V153">
        <v>0</v>
      </c>
      <c r="W153">
        <v>0</v>
      </c>
      <c r="X153">
        <v>0</v>
      </c>
      <c r="Y153">
        <f t="shared" si="29"/>
        <v>0</v>
      </c>
      <c r="Z153">
        <f t="shared" si="30"/>
        <v>0</v>
      </c>
      <c r="AA153">
        <v>0</v>
      </c>
      <c r="AB153">
        <f t="shared" si="33"/>
        <v>0</v>
      </c>
      <c r="AC153">
        <v>1.24</v>
      </c>
      <c r="AD153">
        <v>0.28000000000000003</v>
      </c>
      <c r="AE153">
        <v>0</v>
      </c>
      <c r="AF153">
        <v>0</v>
      </c>
      <c r="AG153">
        <v>0</v>
      </c>
      <c r="AH153">
        <v>0</v>
      </c>
      <c r="AI153">
        <f t="shared" si="31"/>
        <v>1.52</v>
      </c>
      <c r="AJ153">
        <f t="shared" si="32"/>
        <v>6.5142857143805104</v>
      </c>
      <c r="AK153">
        <v>0</v>
      </c>
      <c r="AL153">
        <f t="shared" si="34"/>
        <v>121.32000000000016</v>
      </c>
      <c r="AM153">
        <v>0</v>
      </c>
      <c r="AN153">
        <v>0</v>
      </c>
      <c r="AO153" t="s">
        <v>52</v>
      </c>
      <c r="AP153">
        <v>0</v>
      </c>
      <c r="AQ153">
        <v>0</v>
      </c>
      <c r="AR153" t="s">
        <v>52</v>
      </c>
      <c r="AS153" t="s">
        <v>60</v>
      </c>
      <c r="AT153">
        <v>7</v>
      </c>
    </row>
    <row r="154" spans="1:46" x14ac:dyDescent="0.3">
      <c r="A154">
        <v>971</v>
      </c>
      <c r="B154">
        <v>2384</v>
      </c>
      <c r="C154">
        <v>28879</v>
      </c>
      <c r="D154">
        <v>2024</v>
      </c>
      <c r="E154">
        <v>20</v>
      </c>
      <c r="F154">
        <v>2</v>
      </c>
      <c r="G154" t="s">
        <v>267</v>
      </c>
      <c r="H154" t="s">
        <v>266</v>
      </c>
      <c r="I154" s="5" t="s">
        <v>302</v>
      </c>
      <c r="J154" s="5" t="s">
        <v>314</v>
      </c>
      <c r="K154" s="5" t="s">
        <v>50</v>
      </c>
      <c r="L154" s="4">
        <v>11.4</v>
      </c>
      <c r="M154" t="s">
        <v>104</v>
      </c>
      <c r="N154" t="s">
        <v>104</v>
      </c>
      <c r="O154" t="s">
        <v>52</v>
      </c>
      <c r="P154" t="s">
        <v>260</v>
      </c>
      <c r="Q154">
        <v>0</v>
      </c>
      <c r="R154">
        <f>IFERROR((J154 - J153)*24,0)</f>
        <v>11.400000000139698</v>
      </c>
      <c r="S154">
        <f t="shared" si="28"/>
        <v>0</v>
      </c>
      <c r="T154" t="s">
        <v>52</v>
      </c>
      <c r="U154">
        <v>0</v>
      </c>
      <c r="V154">
        <v>0</v>
      </c>
      <c r="W154">
        <v>0</v>
      </c>
      <c r="X154">
        <v>0</v>
      </c>
      <c r="Y154">
        <f t="shared" si="29"/>
        <v>0</v>
      </c>
      <c r="Z154">
        <f t="shared" si="30"/>
        <v>0</v>
      </c>
      <c r="AA154">
        <v>0</v>
      </c>
      <c r="AB154">
        <f t="shared" si="33"/>
        <v>0</v>
      </c>
      <c r="AC154">
        <v>0</v>
      </c>
      <c r="AD154">
        <v>0.98</v>
      </c>
      <c r="AE154">
        <v>0</v>
      </c>
      <c r="AF154">
        <v>0</v>
      </c>
      <c r="AG154">
        <v>0</v>
      </c>
      <c r="AH154">
        <v>0</v>
      </c>
      <c r="AI154">
        <f t="shared" si="31"/>
        <v>0.98</v>
      </c>
      <c r="AJ154">
        <f t="shared" si="32"/>
        <v>2.0631578947115594</v>
      </c>
      <c r="AK154">
        <v>0</v>
      </c>
      <c r="AL154">
        <f t="shared" si="34"/>
        <v>120.34000000000016</v>
      </c>
      <c r="AM154">
        <v>0</v>
      </c>
      <c r="AN154">
        <v>0</v>
      </c>
      <c r="AO154" t="s">
        <v>52</v>
      </c>
      <c r="AP154">
        <v>0</v>
      </c>
      <c r="AQ154">
        <v>0</v>
      </c>
      <c r="AR154" t="s">
        <v>52</v>
      </c>
      <c r="AS154" t="s">
        <v>104</v>
      </c>
      <c r="AT154">
        <v>7</v>
      </c>
    </row>
    <row r="155" spans="1:46" x14ac:dyDescent="0.3">
      <c r="A155">
        <v>971</v>
      </c>
      <c r="B155">
        <v>2384</v>
      </c>
      <c r="C155">
        <v>28880</v>
      </c>
      <c r="D155">
        <v>2024</v>
      </c>
      <c r="E155">
        <v>20</v>
      </c>
      <c r="F155">
        <v>2</v>
      </c>
      <c r="G155" t="s">
        <v>267</v>
      </c>
      <c r="H155" t="s">
        <v>266</v>
      </c>
      <c r="I155" s="5" t="s">
        <v>302</v>
      </c>
      <c r="J155" s="5" t="s">
        <v>315</v>
      </c>
      <c r="K155" s="5" t="s">
        <v>59</v>
      </c>
      <c r="L155" s="4">
        <v>4</v>
      </c>
      <c r="M155" t="s">
        <v>104</v>
      </c>
      <c r="N155" t="s">
        <v>104</v>
      </c>
      <c r="O155" t="s">
        <v>52</v>
      </c>
      <c r="P155" t="s">
        <v>260</v>
      </c>
      <c r="Q155">
        <v>0</v>
      </c>
      <c r="R155">
        <f>IFERROR((J155 - J154)*24,0)</f>
        <v>3.9999999999417923</v>
      </c>
      <c r="S155">
        <f t="shared" si="28"/>
        <v>0</v>
      </c>
      <c r="T155" t="s">
        <v>52</v>
      </c>
      <c r="U155">
        <v>0</v>
      </c>
      <c r="V155">
        <v>0</v>
      </c>
      <c r="W155">
        <v>0</v>
      </c>
      <c r="X155">
        <v>0</v>
      </c>
      <c r="Y155">
        <f t="shared" si="29"/>
        <v>0</v>
      </c>
      <c r="Z155">
        <f t="shared" si="30"/>
        <v>0</v>
      </c>
      <c r="AA155">
        <v>0</v>
      </c>
      <c r="AB155">
        <f t="shared" si="33"/>
        <v>0</v>
      </c>
      <c r="AC155">
        <v>0</v>
      </c>
      <c r="AD155">
        <v>0.32</v>
      </c>
      <c r="AE155">
        <v>0</v>
      </c>
      <c r="AF155">
        <v>0</v>
      </c>
      <c r="AG155">
        <v>0</v>
      </c>
      <c r="AH155">
        <v>0</v>
      </c>
      <c r="AI155">
        <f t="shared" si="31"/>
        <v>0.32</v>
      </c>
      <c r="AJ155">
        <f t="shared" si="32"/>
        <v>1.9200000000279396</v>
      </c>
      <c r="AK155">
        <v>0</v>
      </c>
      <c r="AL155">
        <f t="shared" si="34"/>
        <v>120.02000000000017</v>
      </c>
      <c r="AM155">
        <v>0</v>
      </c>
      <c r="AN155">
        <v>0</v>
      </c>
      <c r="AO155" t="s">
        <v>52</v>
      </c>
      <c r="AP155">
        <v>0</v>
      </c>
      <c r="AQ155">
        <v>0</v>
      </c>
      <c r="AR155" t="s">
        <v>52</v>
      </c>
      <c r="AS155" t="s">
        <v>104</v>
      </c>
      <c r="AT155">
        <v>7</v>
      </c>
    </row>
    <row r="156" spans="1:46" x14ac:dyDescent="0.3">
      <c r="A156">
        <v>971</v>
      </c>
      <c r="B156">
        <v>2384</v>
      </c>
      <c r="C156">
        <v>28881</v>
      </c>
      <c r="D156">
        <v>2024</v>
      </c>
      <c r="E156">
        <v>20</v>
      </c>
      <c r="F156">
        <v>2</v>
      </c>
      <c r="G156" t="s">
        <v>267</v>
      </c>
      <c r="H156" t="s">
        <v>266</v>
      </c>
      <c r="I156" s="5" t="s">
        <v>302</v>
      </c>
      <c r="J156" s="5" t="s">
        <v>316</v>
      </c>
      <c r="K156" s="5" t="s">
        <v>317</v>
      </c>
      <c r="L156" s="4">
        <v>15.7</v>
      </c>
      <c r="M156" t="s">
        <v>104</v>
      </c>
      <c r="N156" t="s">
        <v>60</v>
      </c>
      <c r="O156" t="s">
        <v>52</v>
      </c>
      <c r="P156" t="s">
        <v>260</v>
      </c>
      <c r="Q156">
        <v>0</v>
      </c>
      <c r="R156">
        <f>IFERROR((J156 - J155)*24,0)</f>
        <v>15.700000000011642</v>
      </c>
      <c r="S156">
        <f t="shared" si="28"/>
        <v>0</v>
      </c>
      <c r="T156" t="s">
        <v>52</v>
      </c>
      <c r="U156">
        <v>0</v>
      </c>
      <c r="V156">
        <v>0</v>
      </c>
      <c r="W156">
        <v>0</v>
      </c>
      <c r="X156">
        <v>0</v>
      </c>
      <c r="Y156">
        <f t="shared" si="29"/>
        <v>0</v>
      </c>
      <c r="Z156">
        <f t="shared" si="30"/>
        <v>0</v>
      </c>
      <c r="AA156">
        <v>0</v>
      </c>
      <c r="AB156">
        <f t="shared" si="33"/>
        <v>0</v>
      </c>
      <c r="AC156">
        <v>0</v>
      </c>
      <c r="AD156">
        <v>0.35</v>
      </c>
      <c r="AE156">
        <v>0</v>
      </c>
      <c r="AF156">
        <v>0</v>
      </c>
      <c r="AG156">
        <v>0</v>
      </c>
      <c r="AH156">
        <v>0</v>
      </c>
      <c r="AI156">
        <f t="shared" si="31"/>
        <v>0.35</v>
      </c>
      <c r="AJ156">
        <f t="shared" si="32"/>
        <v>0.53503184713336116</v>
      </c>
      <c r="AK156">
        <v>0</v>
      </c>
      <c r="AL156">
        <f t="shared" si="34"/>
        <v>119.67000000000017</v>
      </c>
      <c r="AM156">
        <v>0</v>
      </c>
      <c r="AN156">
        <v>0</v>
      </c>
      <c r="AO156" t="s">
        <v>52</v>
      </c>
      <c r="AP156">
        <v>0</v>
      </c>
      <c r="AQ156">
        <v>0</v>
      </c>
      <c r="AR156" t="s">
        <v>52</v>
      </c>
      <c r="AS156" t="s">
        <v>104</v>
      </c>
      <c r="AT156">
        <v>7</v>
      </c>
    </row>
    <row r="157" spans="1:46" x14ac:dyDescent="0.3">
      <c r="A157">
        <v>971</v>
      </c>
      <c r="B157">
        <v>2384</v>
      </c>
      <c r="C157">
        <v>28882</v>
      </c>
      <c r="D157">
        <v>2024</v>
      </c>
      <c r="E157">
        <v>20</v>
      </c>
      <c r="F157">
        <v>2</v>
      </c>
      <c r="G157" t="s">
        <v>267</v>
      </c>
      <c r="H157" t="s">
        <v>266</v>
      </c>
      <c r="I157" s="5" t="s">
        <v>302</v>
      </c>
      <c r="J157" s="5" t="s">
        <v>318</v>
      </c>
      <c r="K157" s="5" t="s">
        <v>319</v>
      </c>
      <c r="L157" s="4">
        <v>1.8</v>
      </c>
      <c r="M157" t="s">
        <v>60</v>
      </c>
      <c r="N157" t="s">
        <v>110</v>
      </c>
      <c r="O157" t="s">
        <v>52</v>
      </c>
      <c r="P157" t="s">
        <v>320</v>
      </c>
      <c r="Q157">
        <v>2</v>
      </c>
      <c r="R157">
        <f>IFERROR((J157 - J156)*24,0)</f>
        <v>1.7999999999301508</v>
      </c>
      <c r="S157">
        <f t="shared" si="28"/>
        <v>1.111111111154228</v>
      </c>
      <c r="T157" t="s">
        <v>282</v>
      </c>
      <c r="U157">
        <v>0</v>
      </c>
      <c r="V157">
        <v>0</v>
      </c>
      <c r="W157">
        <v>0</v>
      </c>
      <c r="X157">
        <v>0</v>
      </c>
      <c r="Y157">
        <f t="shared" si="29"/>
        <v>0</v>
      </c>
      <c r="Z157">
        <f t="shared" si="30"/>
        <v>0</v>
      </c>
      <c r="AA157">
        <v>0</v>
      </c>
      <c r="AB157">
        <f t="shared" si="33"/>
        <v>0</v>
      </c>
      <c r="AC157">
        <v>0.1</v>
      </c>
      <c r="AD157">
        <v>0.1</v>
      </c>
      <c r="AE157">
        <v>0</v>
      </c>
      <c r="AF157">
        <v>0</v>
      </c>
      <c r="AG157">
        <v>0</v>
      </c>
      <c r="AH157">
        <v>0</v>
      </c>
      <c r="AI157">
        <f t="shared" si="31"/>
        <v>0.2</v>
      </c>
      <c r="AJ157">
        <f t="shared" si="32"/>
        <v>2.6666666667701473</v>
      </c>
      <c r="AK157">
        <v>0</v>
      </c>
      <c r="AL157">
        <f t="shared" si="34"/>
        <v>119.47000000000017</v>
      </c>
      <c r="AM157">
        <v>0</v>
      </c>
      <c r="AN157">
        <v>0</v>
      </c>
      <c r="AO157" t="s">
        <v>52</v>
      </c>
      <c r="AP157">
        <v>0</v>
      </c>
      <c r="AQ157">
        <v>0</v>
      </c>
      <c r="AR157" t="s">
        <v>52</v>
      </c>
      <c r="AS157" t="s">
        <v>60</v>
      </c>
      <c r="AT157">
        <v>7</v>
      </c>
    </row>
    <row r="158" spans="1:46" x14ac:dyDescent="0.3">
      <c r="A158">
        <v>971</v>
      </c>
      <c r="B158">
        <v>2384</v>
      </c>
      <c r="C158">
        <v>28883</v>
      </c>
      <c r="D158">
        <v>2024</v>
      </c>
      <c r="E158">
        <v>20</v>
      </c>
      <c r="F158">
        <v>2</v>
      </c>
      <c r="G158" t="s">
        <v>267</v>
      </c>
      <c r="H158" t="s">
        <v>266</v>
      </c>
      <c r="I158" s="5" t="s">
        <v>302</v>
      </c>
      <c r="J158" s="5" t="s">
        <v>321</v>
      </c>
      <c r="K158" s="5" t="s">
        <v>50</v>
      </c>
      <c r="L158" s="4">
        <v>2.5</v>
      </c>
      <c r="M158" t="s">
        <v>110</v>
      </c>
      <c r="N158" t="s">
        <v>110</v>
      </c>
      <c r="O158" t="s">
        <v>52</v>
      </c>
      <c r="P158" t="s">
        <v>322</v>
      </c>
      <c r="Q158">
        <v>0</v>
      </c>
      <c r="R158">
        <f>IFERROR((J158 - J157)*24,0)</f>
        <v>2.5000000001164153</v>
      </c>
      <c r="S158">
        <f t="shared" si="28"/>
        <v>0</v>
      </c>
      <c r="T158" t="s">
        <v>52</v>
      </c>
      <c r="U158">
        <v>0</v>
      </c>
      <c r="V158">
        <v>0</v>
      </c>
      <c r="W158">
        <v>0</v>
      </c>
      <c r="X158">
        <v>0</v>
      </c>
      <c r="Y158">
        <f t="shared" si="29"/>
        <v>0</v>
      </c>
      <c r="Z158">
        <f t="shared" si="30"/>
        <v>0</v>
      </c>
      <c r="AA158">
        <v>0</v>
      </c>
      <c r="AB158">
        <f t="shared" si="33"/>
        <v>0</v>
      </c>
      <c r="AC158">
        <v>0</v>
      </c>
      <c r="AD158">
        <v>0.12</v>
      </c>
      <c r="AE158">
        <v>0</v>
      </c>
      <c r="AF158">
        <v>0</v>
      </c>
      <c r="AG158">
        <v>0</v>
      </c>
      <c r="AH158">
        <v>0</v>
      </c>
      <c r="AI158">
        <f t="shared" si="31"/>
        <v>0.12</v>
      </c>
      <c r="AJ158">
        <f t="shared" si="32"/>
        <v>1.1519999999463557</v>
      </c>
      <c r="AK158">
        <v>0</v>
      </c>
      <c r="AL158">
        <f t="shared" si="34"/>
        <v>119.35000000000016</v>
      </c>
      <c r="AM158">
        <v>0</v>
      </c>
      <c r="AN158">
        <v>0</v>
      </c>
      <c r="AO158" t="s">
        <v>52</v>
      </c>
      <c r="AP158">
        <v>0</v>
      </c>
      <c r="AQ158">
        <v>0</v>
      </c>
      <c r="AR158" t="s">
        <v>52</v>
      </c>
      <c r="AS158" t="s">
        <v>110</v>
      </c>
      <c r="AT158">
        <v>7</v>
      </c>
    </row>
    <row r="159" spans="1:46" x14ac:dyDescent="0.3">
      <c r="A159">
        <v>971</v>
      </c>
      <c r="B159">
        <v>2384</v>
      </c>
      <c r="C159">
        <v>28884</v>
      </c>
      <c r="D159">
        <v>2024</v>
      </c>
      <c r="E159">
        <v>20</v>
      </c>
      <c r="F159">
        <v>2</v>
      </c>
      <c r="G159" t="s">
        <v>267</v>
      </c>
      <c r="H159" t="s">
        <v>266</v>
      </c>
      <c r="I159" s="5" t="s">
        <v>302</v>
      </c>
      <c r="J159" s="5" t="s">
        <v>323</v>
      </c>
      <c r="K159" s="5" t="s">
        <v>59</v>
      </c>
      <c r="L159" s="4">
        <v>4</v>
      </c>
      <c r="M159" t="s">
        <v>110</v>
      </c>
      <c r="N159" t="s">
        <v>60</v>
      </c>
      <c r="O159" t="s">
        <v>52</v>
      </c>
      <c r="P159" t="s">
        <v>322</v>
      </c>
      <c r="Q159">
        <v>0</v>
      </c>
      <c r="R159">
        <f>IFERROR((J159 - J158)*24,0)</f>
        <v>3.9999999999417923</v>
      </c>
      <c r="S159">
        <f t="shared" si="28"/>
        <v>0</v>
      </c>
      <c r="T159" t="s">
        <v>52</v>
      </c>
      <c r="U159">
        <v>0</v>
      </c>
      <c r="V159">
        <v>0</v>
      </c>
      <c r="W159">
        <v>0</v>
      </c>
      <c r="X159">
        <v>0</v>
      </c>
      <c r="Y159">
        <f t="shared" si="29"/>
        <v>0</v>
      </c>
      <c r="Z159">
        <f t="shared" si="30"/>
        <v>0</v>
      </c>
      <c r="AA159">
        <v>0</v>
      </c>
      <c r="AB159">
        <f t="shared" si="33"/>
        <v>0</v>
      </c>
      <c r="AC159">
        <v>0</v>
      </c>
      <c r="AD159">
        <v>0.18</v>
      </c>
      <c r="AE159">
        <v>0</v>
      </c>
      <c r="AF159">
        <v>0</v>
      </c>
      <c r="AG159">
        <v>0</v>
      </c>
      <c r="AH159">
        <v>0</v>
      </c>
      <c r="AI159">
        <f t="shared" si="31"/>
        <v>0.18</v>
      </c>
      <c r="AJ159">
        <f t="shared" si="32"/>
        <v>1.0800000000157162</v>
      </c>
      <c r="AK159">
        <v>0</v>
      </c>
      <c r="AL159">
        <f t="shared" si="34"/>
        <v>119.17000000000016</v>
      </c>
      <c r="AM159">
        <v>0</v>
      </c>
      <c r="AN159">
        <v>0</v>
      </c>
      <c r="AO159" t="s">
        <v>52</v>
      </c>
      <c r="AP159">
        <v>0</v>
      </c>
      <c r="AQ159">
        <v>0</v>
      </c>
      <c r="AR159" t="s">
        <v>52</v>
      </c>
      <c r="AS159" t="s">
        <v>110</v>
      </c>
      <c r="AT159">
        <v>7</v>
      </c>
    </row>
    <row r="160" spans="1:46" x14ac:dyDescent="0.3">
      <c r="A160">
        <v>971</v>
      </c>
      <c r="B160">
        <v>2384</v>
      </c>
      <c r="C160">
        <v>28885</v>
      </c>
      <c r="D160">
        <v>2024</v>
      </c>
      <c r="E160">
        <v>20</v>
      </c>
      <c r="F160">
        <v>2</v>
      </c>
      <c r="G160" t="s">
        <v>267</v>
      </c>
      <c r="H160" t="s">
        <v>266</v>
      </c>
      <c r="I160" s="5" t="s">
        <v>302</v>
      </c>
      <c r="J160" s="5" t="s">
        <v>324</v>
      </c>
      <c r="K160" s="5" t="s">
        <v>325</v>
      </c>
      <c r="L160" s="4">
        <v>1.7</v>
      </c>
      <c r="M160" t="s">
        <v>60</v>
      </c>
      <c r="N160" t="s">
        <v>122</v>
      </c>
      <c r="O160" t="s">
        <v>123</v>
      </c>
      <c r="P160" t="s">
        <v>326</v>
      </c>
      <c r="Q160">
        <v>3</v>
      </c>
      <c r="R160">
        <f>IFERROR((J160 - J159)*24,0)</f>
        <v>1.6999999999534339</v>
      </c>
      <c r="S160">
        <f t="shared" si="28"/>
        <v>1.7647058824012798</v>
      </c>
      <c r="T160" t="s">
        <v>117</v>
      </c>
      <c r="U160">
        <v>0</v>
      </c>
      <c r="V160">
        <v>0</v>
      </c>
      <c r="W160">
        <v>0</v>
      </c>
      <c r="X160">
        <v>0</v>
      </c>
      <c r="Y160">
        <f t="shared" si="29"/>
        <v>0</v>
      </c>
      <c r="Z160">
        <f t="shared" si="30"/>
        <v>0</v>
      </c>
      <c r="AA160">
        <v>0</v>
      </c>
      <c r="AB160">
        <f t="shared" si="33"/>
        <v>0</v>
      </c>
      <c r="AC160">
        <v>0.8</v>
      </c>
      <c r="AD160">
        <v>0.06</v>
      </c>
      <c r="AE160">
        <v>0</v>
      </c>
      <c r="AF160">
        <v>0</v>
      </c>
      <c r="AG160">
        <v>0</v>
      </c>
      <c r="AH160">
        <v>0</v>
      </c>
      <c r="AI160">
        <f t="shared" si="31"/>
        <v>0.8600000000000001</v>
      </c>
      <c r="AJ160">
        <f t="shared" si="32"/>
        <v>12.141176470920804</v>
      </c>
      <c r="AK160">
        <v>0</v>
      </c>
      <c r="AL160">
        <f t="shared" si="34"/>
        <v>118.31000000000016</v>
      </c>
      <c r="AM160">
        <v>0</v>
      </c>
      <c r="AN160">
        <v>0</v>
      </c>
      <c r="AO160" t="s">
        <v>52</v>
      </c>
      <c r="AP160">
        <v>0</v>
      </c>
      <c r="AQ160">
        <v>0</v>
      </c>
      <c r="AR160" t="s">
        <v>52</v>
      </c>
      <c r="AS160" t="s">
        <v>60</v>
      </c>
      <c r="AT160">
        <v>7</v>
      </c>
    </row>
    <row r="161" spans="1:46" x14ac:dyDescent="0.3">
      <c r="A161">
        <v>972</v>
      </c>
      <c r="B161">
        <v>2388</v>
      </c>
      <c r="C161">
        <v>28886</v>
      </c>
      <c r="D161">
        <v>2024</v>
      </c>
      <c r="E161">
        <v>21</v>
      </c>
      <c r="F161">
        <v>1</v>
      </c>
      <c r="G161" t="s">
        <v>266</v>
      </c>
      <c r="H161" t="s">
        <v>267</v>
      </c>
      <c r="I161" s="5" t="s">
        <v>340</v>
      </c>
      <c r="J161" s="5" t="s">
        <v>327</v>
      </c>
      <c r="K161" s="5" t="s">
        <v>50</v>
      </c>
      <c r="L161" s="4">
        <v>18.3</v>
      </c>
      <c r="M161" t="s">
        <v>122</v>
      </c>
      <c r="N161" t="s">
        <v>122</v>
      </c>
      <c r="O161" t="s">
        <v>123</v>
      </c>
      <c r="P161" t="s">
        <v>124</v>
      </c>
      <c r="Q161">
        <v>250</v>
      </c>
      <c r="R161">
        <f>IFERROR((J161 - J160)*24,0)</f>
        <v>18.300000000104774</v>
      </c>
      <c r="S161">
        <f t="shared" si="28"/>
        <v>13.661202185714135</v>
      </c>
      <c r="T161" t="s">
        <v>117</v>
      </c>
      <c r="U161">
        <v>0</v>
      </c>
      <c r="V161">
        <v>0</v>
      </c>
      <c r="W161">
        <v>0</v>
      </c>
      <c r="X161">
        <v>0</v>
      </c>
      <c r="Y161">
        <f t="shared" si="29"/>
        <v>0</v>
      </c>
      <c r="Z161">
        <f t="shared" si="30"/>
        <v>0</v>
      </c>
      <c r="AA161">
        <v>0</v>
      </c>
      <c r="AB161">
        <f t="shared" si="33"/>
        <v>0</v>
      </c>
      <c r="AC161">
        <v>9.34</v>
      </c>
      <c r="AD161">
        <v>0.73</v>
      </c>
      <c r="AE161">
        <v>0</v>
      </c>
      <c r="AF161">
        <v>0</v>
      </c>
      <c r="AG161">
        <v>0</v>
      </c>
      <c r="AH161">
        <v>0</v>
      </c>
      <c r="AI161">
        <f t="shared" si="31"/>
        <v>10.07</v>
      </c>
      <c r="AJ161">
        <f t="shared" si="32"/>
        <v>13.206557376973569</v>
      </c>
      <c r="AK161">
        <v>0</v>
      </c>
      <c r="AL161">
        <f t="shared" si="34"/>
        <v>108.24000000000015</v>
      </c>
      <c r="AM161">
        <v>0</v>
      </c>
      <c r="AN161">
        <v>0</v>
      </c>
      <c r="AO161" t="s">
        <v>52</v>
      </c>
      <c r="AP161">
        <v>0</v>
      </c>
      <c r="AQ161">
        <v>0</v>
      </c>
      <c r="AR161" t="s">
        <v>52</v>
      </c>
      <c r="AS161" t="s">
        <v>122</v>
      </c>
      <c r="AT161">
        <v>7</v>
      </c>
    </row>
    <row r="162" spans="1:46" x14ac:dyDescent="0.3">
      <c r="A162">
        <v>972</v>
      </c>
      <c r="B162">
        <v>2388</v>
      </c>
      <c r="C162">
        <v>28887</v>
      </c>
      <c r="D162">
        <v>2024</v>
      </c>
      <c r="E162">
        <v>21</v>
      </c>
      <c r="F162">
        <v>1</v>
      </c>
      <c r="G162" t="s">
        <v>266</v>
      </c>
      <c r="H162" t="s">
        <v>267</v>
      </c>
      <c r="I162" s="5" t="s">
        <v>340</v>
      </c>
      <c r="J162" s="5" t="s">
        <v>328</v>
      </c>
      <c r="K162" s="5" t="s">
        <v>59</v>
      </c>
      <c r="L162" s="4">
        <v>4</v>
      </c>
      <c r="M162" t="s">
        <v>122</v>
      </c>
      <c r="N162" t="s">
        <v>122</v>
      </c>
      <c r="O162" t="s">
        <v>123</v>
      </c>
      <c r="P162" t="s">
        <v>124</v>
      </c>
      <c r="Q162">
        <v>57</v>
      </c>
      <c r="R162">
        <f>IFERROR((J162 - J161)*24,0)</f>
        <v>3.9999999999417923</v>
      </c>
      <c r="S162">
        <f t="shared" si="28"/>
        <v>14.250000000207365</v>
      </c>
      <c r="T162" t="s">
        <v>117</v>
      </c>
      <c r="U162">
        <v>0</v>
      </c>
      <c r="V162">
        <v>0</v>
      </c>
      <c r="W162">
        <v>0</v>
      </c>
      <c r="X162">
        <v>0</v>
      </c>
      <c r="Y162">
        <f t="shared" si="29"/>
        <v>0</v>
      </c>
      <c r="Z162">
        <f t="shared" si="30"/>
        <v>0</v>
      </c>
      <c r="AA162">
        <v>0</v>
      </c>
      <c r="AB162">
        <f t="shared" si="33"/>
        <v>0</v>
      </c>
      <c r="AC162">
        <v>1.8</v>
      </c>
      <c r="AD162">
        <v>0.14000000000000001</v>
      </c>
      <c r="AE162">
        <v>0</v>
      </c>
      <c r="AF162">
        <v>0</v>
      </c>
      <c r="AG162">
        <v>0</v>
      </c>
      <c r="AH162">
        <v>0</v>
      </c>
      <c r="AI162">
        <f t="shared" si="31"/>
        <v>1.94</v>
      </c>
      <c r="AJ162">
        <f t="shared" si="32"/>
        <v>11.640000000169385</v>
      </c>
      <c r="AK162">
        <v>0</v>
      </c>
      <c r="AL162">
        <f t="shared" si="34"/>
        <v>106.30000000000015</v>
      </c>
      <c r="AM162">
        <v>0</v>
      </c>
      <c r="AN162">
        <v>0</v>
      </c>
      <c r="AO162" t="s">
        <v>52</v>
      </c>
      <c r="AP162">
        <v>0</v>
      </c>
      <c r="AQ162">
        <v>0</v>
      </c>
      <c r="AR162" t="s">
        <v>52</v>
      </c>
      <c r="AS162" t="s">
        <v>122</v>
      </c>
      <c r="AT162">
        <v>7</v>
      </c>
    </row>
    <row r="163" spans="1:46" x14ac:dyDescent="0.3">
      <c r="A163">
        <v>972</v>
      </c>
      <c r="B163">
        <v>2388</v>
      </c>
      <c r="C163">
        <v>28888</v>
      </c>
      <c r="D163">
        <v>2024</v>
      </c>
      <c r="E163">
        <v>21</v>
      </c>
      <c r="F163">
        <v>1</v>
      </c>
      <c r="G163" t="s">
        <v>266</v>
      </c>
      <c r="H163" t="s">
        <v>267</v>
      </c>
      <c r="I163" s="5" t="s">
        <v>340</v>
      </c>
      <c r="J163" s="5" t="s">
        <v>329</v>
      </c>
      <c r="K163" s="5" t="s">
        <v>50</v>
      </c>
      <c r="L163" s="4">
        <v>20</v>
      </c>
      <c r="M163" t="s">
        <v>122</v>
      </c>
      <c r="N163" t="s">
        <v>122</v>
      </c>
      <c r="O163" t="s">
        <v>123</v>
      </c>
      <c r="P163" t="s">
        <v>124</v>
      </c>
      <c r="Q163">
        <v>297</v>
      </c>
      <c r="R163">
        <f>IFERROR((J163 - J162)*24,0)</f>
        <v>20.000000000058208</v>
      </c>
      <c r="S163">
        <f t="shared" si="28"/>
        <v>14.849999999956781</v>
      </c>
      <c r="T163" t="s">
        <v>117</v>
      </c>
      <c r="U163">
        <v>0</v>
      </c>
      <c r="V163">
        <v>0</v>
      </c>
      <c r="W163">
        <v>0</v>
      </c>
      <c r="X163">
        <v>0</v>
      </c>
      <c r="Y163">
        <f t="shared" si="29"/>
        <v>0</v>
      </c>
      <c r="Z163">
        <f t="shared" si="30"/>
        <v>0</v>
      </c>
      <c r="AA163">
        <v>0</v>
      </c>
      <c r="AB163">
        <f t="shared" si="33"/>
        <v>0</v>
      </c>
      <c r="AC163">
        <v>10.7</v>
      </c>
      <c r="AD163">
        <v>0.93</v>
      </c>
      <c r="AE163">
        <v>0</v>
      </c>
      <c r="AF163">
        <v>0</v>
      </c>
      <c r="AG163">
        <v>0</v>
      </c>
      <c r="AH163">
        <v>0</v>
      </c>
      <c r="AI163">
        <f t="shared" si="31"/>
        <v>11.629999999999999</v>
      </c>
      <c r="AJ163">
        <f t="shared" si="32"/>
        <v>13.955999999959383</v>
      </c>
      <c r="AK163">
        <v>0</v>
      </c>
      <c r="AL163">
        <f t="shared" si="34"/>
        <v>94.670000000000158</v>
      </c>
      <c r="AM163">
        <v>0</v>
      </c>
      <c r="AN163">
        <v>0</v>
      </c>
      <c r="AO163" t="s">
        <v>52</v>
      </c>
      <c r="AP163">
        <v>0</v>
      </c>
      <c r="AQ163">
        <v>0</v>
      </c>
      <c r="AR163" t="s">
        <v>52</v>
      </c>
      <c r="AS163" t="s">
        <v>122</v>
      </c>
      <c r="AT163">
        <v>7</v>
      </c>
    </row>
    <row r="164" spans="1:46" x14ac:dyDescent="0.3">
      <c r="A164">
        <v>972</v>
      </c>
      <c r="B164">
        <v>2388</v>
      </c>
      <c r="C164">
        <v>28889</v>
      </c>
      <c r="D164">
        <v>2024</v>
      </c>
      <c r="E164">
        <v>21</v>
      </c>
      <c r="F164">
        <v>1</v>
      </c>
      <c r="G164" t="s">
        <v>266</v>
      </c>
      <c r="H164" t="s">
        <v>267</v>
      </c>
      <c r="I164" s="5" t="s">
        <v>340</v>
      </c>
      <c r="J164" s="5" t="s">
        <v>330</v>
      </c>
      <c r="K164" s="5" t="s">
        <v>59</v>
      </c>
      <c r="L164" s="4">
        <v>4</v>
      </c>
      <c r="M164" t="s">
        <v>122</v>
      </c>
      <c r="N164" t="s">
        <v>122</v>
      </c>
      <c r="O164" t="s">
        <v>123</v>
      </c>
      <c r="P164" t="s">
        <v>124</v>
      </c>
      <c r="Q164">
        <v>45</v>
      </c>
      <c r="R164">
        <f>IFERROR((J164 - J163)*24,0)</f>
        <v>3.9999999999417923</v>
      </c>
      <c r="S164">
        <f t="shared" si="28"/>
        <v>11.250000000163709</v>
      </c>
      <c r="T164" t="s">
        <v>117</v>
      </c>
      <c r="U164">
        <v>0</v>
      </c>
      <c r="V164">
        <v>0</v>
      </c>
      <c r="W164">
        <v>0</v>
      </c>
      <c r="X164">
        <v>0</v>
      </c>
      <c r="Y164">
        <f t="shared" si="29"/>
        <v>0</v>
      </c>
      <c r="Z164">
        <f t="shared" si="30"/>
        <v>0</v>
      </c>
      <c r="AA164">
        <v>0</v>
      </c>
      <c r="AB164">
        <f t="shared" si="33"/>
        <v>0</v>
      </c>
      <c r="AC164">
        <v>1.76</v>
      </c>
      <c r="AD164">
        <v>0.14000000000000001</v>
      </c>
      <c r="AE164">
        <v>0</v>
      </c>
      <c r="AF164">
        <v>0</v>
      </c>
      <c r="AG164">
        <v>0</v>
      </c>
      <c r="AH164">
        <v>0</v>
      </c>
      <c r="AI164">
        <f t="shared" si="31"/>
        <v>1.9</v>
      </c>
      <c r="AJ164">
        <f t="shared" si="32"/>
        <v>11.400000000165891</v>
      </c>
      <c r="AK164">
        <v>0</v>
      </c>
      <c r="AL164">
        <f t="shared" si="34"/>
        <v>92.770000000000152</v>
      </c>
      <c r="AM164">
        <v>0</v>
      </c>
      <c r="AN164">
        <v>0</v>
      </c>
      <c r="AO164" t="s">
        <v>52</v>
      </c>
      <c r="AP164">
        <v>0</v>
      </c>
      <c r="AQ164">
        <v>0</v>
      </c>
      <c r="AR164" t="s">
        <v>52</v>
      </c>
      <c r="AS164" t="s">
        <v>122</v>
      </c>
      <c r="AT164">
        <v>7</v>
      </c>
    </row>
    <row r="165" spans="1:46" x14ac:dyDescent="0.3">
      <c r="A165">
        <v>972</v>
      </c>
      <c r="B165">
        <v>2388</v>
      </c>
      <c r="C165">
        <v>28890</v>
      </c>
      <c r="D165">
        <v>2024</v>
      </c>
      <c r="E165">
        <v>21</v>
      </c>
      <c r="F165">
        <v>1</v>
      </c>
      <c r="G165" t="s">
        <v>266</v>
      </c>
      <c r="H165" t="s">
        <v>267</v>
      </c>
      <c r="I165" s="5" t="s">
        <v>340</v>
      </c>
      <c r="J165" s="5" t="s">
        <v>331</v>
      </c>
      <c r="K165" s="5" t="s">
        <v>50</v>
      </c>
      <c r="L165" s="4">
        <v>20</v>
      </c>
      <c r="M165" t="s">
        <v>122</v>
      </c>
      <c r="N165" t="s">
        <v>122</v>
      </c>
      <c r="O165" t="s">
        <v>123</v>
      </c>
      <c r="P165" t="s">
        <v>124</v>
      </c>
      <c r="Q165">
        <v>291</v>
      </c>
      <c r="R165">
        <f>IFERROR((J165 - J164)*24,0)</f>
        <v>20.000000000058208</v>
      </c>
      <c r="S165">
        <f t="shared" si="28"/>
        <v>14.549999999957654</v>
      </c>
      <c r="T165" t="s">
        <v>332</v>
      </c>
      <c r="U165">
        <v>0</v>
      </c>
      <c r="V165">
        <v>0</v>
      </c>
      <c r="W165">
        <v>0</v>
      </c>
      <c r="X165">
        <v>0</v>
      </c>
      <c r="Y165">
        <f t="shared" si="29"/>
        <v>0</v>
      </c>
      <c r="Z165">
        <f t="shared" si="30"/>
        <v>0</v>
      </c>
      <c r="AA165">
        <v>0</v>
      </c>
      <c r="AB165">
        <f t="shared" si="33"/>
        <v>0</v>
      </c>
      <c r="AC165">
        <v>9.6300000000000008</v>
      </c>
      <c r="AD165">
        <v>0.97</v>
      </c>
      <c r="AE165">
        <v>0</v>
      </c>
      <c r="AF165">
        <v>0</v>
      </c>
      <c r="AG165">
        <v>0</v>
      </c>
      <c r="AH165">
        <v>0</v>
      </c>
      <c r="AI165">
        <f t="shared" si="31"/>
        <v>10.600000000000001</v>
      </c>
      <c r="AJ165">
        <f t="shared" si="32"/>
        <v>12.719999999962981</v>
      </c>
      <c r="AK165">
        <v>0</v>
      </c>
      <c r="AL165">
        <f t="shared" si="34"/>
        <v>82.170000000000158</v>
      </c>
      <c r="AM165">
        <v>0</v>
      </c>
      <c r="AN165">
        <v>0</v>
      </c>
      <c r="AO165" t="s">
        <v>52</v>
      </c>
      <c r="AP165">
        <v>0</v>
      </c>
      <c r="AQ165">
        <v>0</v>
      </c>
      <c r="AR165" t="s">
        <v>52</v>
      </c>
      <c r="AS165" t="s">
        <v>122</v>
      </c>
      <c r="AT165">
        <v>7</v>
      </c>
    </row>
    <row r="166" spans="1:46" x14ac:dyDescent="0.3">
      <c r="A166">
        <v>972</v>
      </c>
      <c r="B166">
        <v>2388</v>
      </c>
      <c r="C166">
        <v>28891</v>
      </c>
      <c r="D166">
        <v>2024</v>
      </c>
      <c r="E166">
        <v>21</v>
      </c>
      <c r="F166">
        <v>1</v>
      </c>
      <c r="G166" t="s">
        <v>266</v>
      </c>
      <c r="H166" t="s">
        <v>267</v>
      </c>
      <c r="I166" s="5" t="s">
        <v>340</v>
      </c>
      <c r="J166" s="5" t="s">
        <v>333</v>
      </c>
      <c r="K166" s="5" t="s">
        <v>59</v>
      </c>
      <c r="L166" s="4">
        <v>4</v>
      </c>
      <c r="M166" t="s">
        <v>122</v>
      </c>
      <c r="N166" t="s">
        <v>122</v>
      </c>
      <c r="O166" t="s">
        <v>123</v>
      </c>
      <c r="P166" t="s">
        <v>124</v>
      </c>
      <c r="Q166">
        <v>55</v>
      </c>
      <c r="R166">
        <f>IFERROR((J166 - J165)*24,0)</f>
        <v>3.9999999999417923</v>
      </c>
      <c r="S166">
        <f t="shared" ref="S166:S197" si="35">IF(ISERROR(Q166/R166),0,Q166/R166)</f>
        <v>13.750000000200089</v>
      </c>
      <c r="T166" t="s">
        <v>332</v>
      </c>
      <c r="U166">
        <v>0</v>
      </c>
      <c r="V166">
        <v>0</v>
      </c>
      <c r="W166">
        <v>0</v>
      </c>
      <c r="X166">
        <v>0</v>
      </c>
      <c r="Y166">
        <f t="shared" ref="Y166:Y197" si="36">SUM(U166:X166)</f>
        <v>0</v>
      </c>
      <c r="Z166">
        <f t="shared" ref="Z166:Z197" si="37">IF(ISERROR(Y166*24/R166),0,Y166*24/R166)</f>
        <v>0</v>
      </c>
      <c r="AA166">
        <v>0</v>
      </c>
      <c r="AB166">
        <f t="shared" si="33"/>
        <v>0</v>
      </c>
      <c r="AC166">
        <v>1.82</v>
      </c>
      <c r="AD166">
        <v>0.17</v>
      </c>
      <c r="AE166">
        <v>0</v>
      </c>
      <c r="AF166">
        <v>0</v>
      </c>
      <c r="AG166">
        <v>0</v>
      </c>
      <c r="AH166">
        <v>0</v>
      </c>
      <c r="AI166">
        <f t="shared" ref="AI166:AI197" si="38">SUM(AC166:AH166)</f>
        <v>1.99</v>
      </c>
      <c r="AJ166">
        <f t="shared" ref="AJ166:AJ197" si="39">IF(ISERROR(AI166*24/R166),0,AI166*24/R166)</f>
        <v>11.940000000173749</v>
      </c>
      <c r="AK166">
        <v>0</v>
      </c>
      <c r="AL166">
        <f t="shared" si="34"/>
        <v>80.180000000000163</v>
      </c>
      <c r="AM166">
        <v>0</v>
      </c>
      <c r="AN166">
        <v>0</v>
      </c>
      <c r="AO166" t="s">
        <v>52</v>
      </c>
      <c r="AP166">
        <v>0</v>
      </c>
      <c r="AQ166">
        <v>0</v>
      </c>
      <c r="AR166" t="s">
        <v>52</v>
      </c>
      <c r="AS166" t="s">
        <v>122</v>
      </c>
      <c r="AT166">
        <v>7</v>
      </c>
    </row>
    <row r="167" spans="1:46" x14ac:dyDescent="0.3">
      <c r="A167">
        <v>972</v>
      </c>
      <c r="B167">
        <v>2388</v>
      </c>
      <c r="C167">
        <v>28892</v>
      </c>
      <c r="D167">
        <v>2024</v>
      </c>
      <c r="E167">
        <v>21</v>
      </c>
      <c r="F167">
        <v>1</v>
      </c>
      <c r="G167" t="s">
        <v>266</v>
      </c>
      <c r="H167" t="s">
        <v>267</v>
      </c>
      <c r="I167" s="5" t="s">
        <v>340</v>
      </c>
      <c r="J167" s="5" t="s">
        <v>334</v>
      </c>
      <c r="K167" s="5" t="s">
        <v>50</v>
      </c>
      <c r="L167" s="4">
        <v>20</v>
      </c>
      <c r="M167" t="s">
        <v>122</v>
      </c>
      <c r="N167" t="s">
        <v>122</v>
      </c>
      <c r="O167" t="s">
        <v>123</v>
      </c>
      <c r="P167" t="s">
        <v>124</v>
      </c>
      <c r="Q167">
        <v>289</v>
      </c>
      <c r="R167">
        <f>IFERROR((J167 - J166)*24,0)</f>
        <v>20.000000000058208</v>
      </c>
      <c r="S167">
        <f t="shared" si="35"/>
        <v>14.449999999957946</v>
      </c>
      <c r="T167" t="s">
        <v>332</v>
      </c>
      <c r="U167">
        <v>0</v>
      </c>
      <c r="V167">
        <v>0</v>
      </c>
      <c r="W167">
        <v>0</v>
      </c>
      <c r="X167">
        <v>0</v>
      </c>
      <c r="Y167">
        <f t="shared" si="36"/>
        <v>0</v>
      </c>
      <c r="Z167">
        <f t="shared" si="37"/>
        <v>0</v>
      </c>
      <c r="AA167">
        <v>0</v>
      </c>
      <c r="AB167">
        <f t="shared" ref="AB167:AB198" si="40">AB166-Y167+AA167</f>
        <v>0</v>
      </c>
      <c r="AC167">
        <v>9.98</v>
      </c>
      <c r="AD167">
        <v>0.93</v>
      </c>
      <c r="AE167">
        <v>0</v>
      </c>
      <c r="AF167">
        <v>0</v>
      </c>
      <c r="AG167">
        <v>0</v>
      </c>
      <c r="AH167">
        <v>0</v>
      </c>
      <c r="AI167">
        <f t="shared" si="38"/>
        <v>10.91</v>
      </c>
      <c r="AJ167">
        <f t="shared" si="39"/>
        <v>13.091999999961899</v>
      </c>
      <c r="AK167">
        <v>0</v>
      </c>
      <c r="AL167">
        <f t="shared" ref="AL167:AL198" si="41">AL166-AI167+AK167</f>
        <v>69.270000000000167</v>
      </c>
      <c r="AM167">
        <v>0</v>
      </c>
      <c r="AN167">
        <v>0</v>
      </c>
      <c r="AO167" t="s">
        <v>52</v>
      </c>
      <c r="AP167">
        <v>0</v>
      </c>
      <c r="AQ167">
        <v>0</v>
      </c>
      <c r="AR167" t="s">
        <v>52</v>
      </c>
      <c r="AS167" t="s">
        <v>122</v>
      </c>
      <c r="AT167">
        <v>7</v>
      </c>
    </row>
    <row r="168" spans="1:46" x14ac:dyDescent="0.3">
      <c r="A168">
        <v>972</v>
      </c>
      <c r="B168">
        <v>2388</v>
      </c>
      <c r="C168">
        <v>28893</v>
      </c>
      <c r="D168">
        <v>2024</v>
      </c>
      <c r="E168">
        <v>21</v>
      </c>
      <c r="F168">
        <v>1</v>
      </c>
      <c r="G168" t="s">
        <v>266</v>
      </c>
      <c r="H168" t="s">
        <v>267</v>
      </c>
      <c r="I168" s="5" t="s">
        <v>340</v>
      </c>
      <c r="J168" s="5" t="s">
        <v>335</v>
      </c>
      <c r="K168" s="5" t="s">
        <v>59</v>
      </c>
      <c r="L168" s="4">
        <v>4</v>
      </c>
      <c r="M168" t="s">
        <v>122</v>
      </c>
      <c r="N168" t="s">
        <v>122</v>
      </c>
      <c r="O168" t="s">
        <v>123</v>
      </c>
      <c r="P168" t="s">
        <v>124</v>
      </c>
      <c r="Q168">
        <v>52</v>
      </c>
      <c r="R168">
        <f>IFERROR((J168 - J167)*24,0)</f>
        <v>3.9999999999417923</v>
      </c>
      <c r="S168">
        <f t="shared" si="35"/>
        <v>13.000000000189175</v>
      </c>
      <c r="T168" t="s">
        <v>332</v>
      </c>
      <c r="U168">
        <v>0</v>
      </c>
      <c r="V168">
        <v>0</v>
      </c>
      <c r="W168">
        <v>0</v>
      </c>
      <c r="X168">
        <v>0</v>
      </c>
      <c r="Y168">
        <f t="shared" si="36"/>
        <v>0</v>
      </c>
      <c r="Z168">
        <f t="shared" si="37"/>
        <v>0</v>
      </c>
      <c r="AA168">
        <v>0</v>
      </c>
      <c r="AB168">
        <f t="shared" si="40"/>
        <v>0</v>
      </c>
      <c r="AC168">
        <v>1.63</v>
      </c>
      <c r="AD168">
        <v>0.2</v>
      </c>
      <c r="AE168">
        <v>0</v>
      </c>
      <c r="AF168">
        <v>0</v>
      </c>
      <c r="AG168">
        <v>0</v>
      </c>
      <c r="AH168">
        <v>0</v>
      </c>
      <c r="AI168">
        <f t="shared" si="38"/>
        <v>1.8299999999999998</v>
      </c>
      <c r="AJ168">
        <f t="shared" si="39"/>
        <v>10.980000000159778</v>
      </c>
      <c r="AK168">
        <v>0</v>
      </c>
      <c r="AL168">
        <f t="shared" si="41"/>
        <v>67.440000000000168</v>
      </c>
      <c r="AM168">
        <v>0</v>
      </c>
      <c r="AN168">
        <v>0</v>
      </c>
      <c r="AO168" t="s">
        <v>52</v>
      </c>
      <c r="AP168">
        <v>0</v>
      </c>
      <c r="AQ168">
        <v>0</v>
      </c>
      <c r="AR168" t="s">
        <v>52</v>
      </c>
      <c r="AS168" t="s">
        <v>122</v>
      </c>
      <c r="AT168">
        <v>7</v>
      </c>
    </row>
    <row r="169" spans="1:46" x14ac:dyDescent="0.3">
      <c r="A169">
        <v>972</v>
      </c>
      <c r="B169">
        <v>2388</v>
      </c>
      <c r="C169">
        <v>28894</v>
      </c>
      <c r="D169">
        <v>2024</v>
      </c>
      <c r="E169">
        <v>21</v>
      </c>
      <c r="F169">
        <v>1</v>
      </c>
      <c r="G169" t="s">
        <v>266</v>
      </c>
      <c r="H169" t="s">
        <v>267</v>
      </c>
      <c r="I169" s="5" t="s">
        <v>340</v>
      </c>
      <c r="J169" s="5" t="s">
        <v>336</v>
      </c>
      <c r="K169" s="5" t="s">
        <v>50</v>
      </c>
      <c r="L169" s="4">
        <v>20</v>
      </c>
      <c r="M169" t="s">
        <v>122</v>
      </c>
      <c r="N169" t="s">
        <v>60</v>
      </c>
      <c r="O169" t="s">
        <v>52</v>
      </c>
      <c r="P169" t="s">
        <v>124</v>
      </c>
      <c r="Q169">
        <v>278</v>
      </c>
      <c r="R169">
        <f>IFERROR((J169 - J168)*24,0)</f>
        <v>20.000000000058208</v>
      </c>
      <c r="S169">
        <f t="shared" si="35"/>
        <v>13.899999999959546</v>
      </c>
      <c r="T169" t="s">
        <v>146</v>
      </c>
      <c r="U169">
        <v>0</v>
      </c>
      <c r="V169">
        <v>0</v>
      </c>
      <c r="W169">
        <v>0</v>
      </c>
      <c r="X169">
        <v>0</v>
      </c>
      <c r="Y169">
        <f t="shared" si="36"/>
        <v>0</v>
      </c>
      <c r="Z169">
        <f t="shared" si="37"/>
        <v>0</v>
      </c>
      <c r="AA169">
        <v>0</v>
      </c>
      <c r="AB169">
        <f t="shared" si="40"/>
        <v>0</v>
      </c>
      <c r="AC169">
        <v>10.28</v>
      </c>
      <c r="AD169">
        <v>1.01</v>
      </c>
      <c r="AE169">
        <v>0</v>
      </c>
      <c r="AF169">
        <v>0</v>
      </c>
      <c r="AG169">
        <v>0</v>
      </c>
      <c r="AH169">
        <v>0</v>
      </c>
      <c r="AI169">
        <f t="shared" si="38"/>
        <v>11.29</v>
      </c>
      <c r="AJ169">
        <f t="shared" si="39"/>
        <v>13.547999999960568</v>
      </c>
      <c r="AK169">
        <v>0</v>
      </c>
      <c r="AL169">
        <f t="shared" si="41"/>
        <v>56.150000000000169</v>
      </c>
      <c r="AM169">
        <v>0</v>
      </c>
      <c r="AN169">
        <v>0</v>
      </c>
      <c r="AO169" t="s">
        <v>52</v>
      </c>
      <c r="AP169">
        <v>0</v>
      </c>
      <c r="AQ169">
        <v>0</v>
      </c>
      <c r="AR169" t="s">
        <v>52</v>
      </c>
      <c r="AS169" t="s">
        <v>122</v>
      </c>
      <c r="AT169">
        <v>7</v>
      </c>
    </row>
    <row r="170" spans="1:46" x14ac:dyDescent="0.3">
      <c r="A170">
        <v>972</v>
      </c>
      <c r="B170">
        <v>2388</v>
      </c>
      <c r="C170">
        <v>28895</v>
      </c>
      <c r="D170">
        <v>2024</v>
      </c>
      <c r="E170">
        <v>21</v>
      </c>
      <c r="F170">
        <v>1</v>
      </c>
      <c r="G170" t="s">
        <v>266</v>
      </c>
      <c r="H170" t="s">
        <v>267</v>
      </c>
      <c r="I170" s="5" t="s">
        <v>340</v>
      </c>
      <c r="J170" s="5" t="s">
        <v>337</v>
      </c>
      <c r="K170" s="5" t="s">
        <v>56</v>
      </c>
      <c r="L170" s="4">
        <v>0.8</v>
      </c>
      <c r="M170" t="s">
        <v>60</v>
      </c>
      <c r="N170" t="s">
        <v>110</v>
      </c>
      <c r="O170" t="s">
        <v>52</v>
      </c>
      <c r="P170" t="s">
        <v>322</v>
      </c>
      <c r="Q170">
        <v>2</v>
      </c>
      <c r="R170">
        <f>IFERROR((J170 - J169)*24,0)</f>
        <v>0.79999999998835847</v>
      </c>
      <c r="S170">
        <f t="shared" si="35"/>
        <v>2.5000000000363798</v>
      </c>
      <c r="T170" t="s">
        <v>146</v>
      </c>
      <c r="U170">
        <v>0</v>
      </c>
      <c r="V170">
        <v>0</v>
      </c>
      <c r="W170">
        <v>0</v>
      </c>
      <c r="X170">
        <v>0</v>
      </c>
      <c r="Y170">
        <f t="shared" si="36"/>
        <v>0</v>
      </c>
      <c r="Z170">
        <f t="shared" si="37"/>
        <v>0</v>
      </c>
      <c r="AA170">
        <v>0</v>
      </c>
      <c r="AB170">
        <f t="shared" si="40"/>
        <v>0</v>
      </c>
      <c r="AC170">
        <v>0.17</v>
      </c>
      <c r="AD170">
        <v>0.08</v>
      </c>
      <c r="AE170">
        <v>0</v>
      </c>
      <c r="AF170">
        <v>0</v>
      </c>
      <c r="AG170">
        <v>0</v>
      </c>
      <c r="AH170">
        <v>0</v>
      </c>
      <c r="AI170">
        <f t="shared" si="38"/>
        <v>0.25</v>
      </c>
      <c r="AJ170">
        <f t="shared" si="39"/>
        <v>7.5000000001091394</v>
      </c>
      <c r="AK170">
        <v>0</v>
      </c>
      <c r="AL170">
        <f t="shared" si="41"/>
        <v>55.900000000000169</v>
      </c>
      <c r="AM170">
        <v>0</v>
      </c>
      <c r="AN170">
        <v>0</v>
      </c>
      <c r="AO170" t="s">
        <v>52</v>
      </c>
      <c r="AP170">
        <v>0</v>
      </c>
      <c r="AQ170">
        <v>0</v>
      </c>
      <c r="AR170" t="s">
        <v>52</v>
      </c>
      <c r="AS170" t="s">
        <v>60</v>
      </c>
      <c r="AT170">
        <v>7</v>
      </c>
    </row>
    <row r="171" spans="1:46" x14ac:dyDescent="0.3">
      <c r="A171">
        <v>972</v>
      </c>
      <c r="B171">
        <v>2388</v>
      </c>
      <c r="C171">
        <v>28896</v>
      </c>
      <c r="D171">
        <v>2024</v>
      </c>
      <c r="E171">
        <v>21</v>
      </c>
      <c r="F171">
        <v>1</v>
      </c>
      <c r="G171" t="s">
        <v>266</v>
      </c>
      <c r="H171" t="s">
        <v>267</v>
      </c>
      <c r="I171" s="5" t="s">
        <v>340</v>
      </c>
      <c r="J171" s="5" t="s">
        <v>338</v>
      </c>
      <c r="K171" s="5" t="s">
        <v>59</v>
      </c>
      <c r="L171" s="4">
        <v>3.2</v>
      </c>
      <c r="M171" t="s">
        <v>110</v>
      </c>
      <c r="N171" t="s">
        <v>110</v>
      </c>
      <c r="O171" t="s">
        <v>52</v>
      </c>
      <c r="P171" t="s">
        <v>322</v>
      </c>
      <c r="Q171">
        <v>0</v>
      </c>
      <c r="R171">
        <f>IFERROR((J171 - J170)*24,0)</f>
        <v>3.1999999999534339</v>
      </c>
      <c r="S171">
        <f t="shared" si="35"/>
        <v>0</v>
      </c>
      <c r="T171" t="s">
        <v>52</v>
      </c>
      <c r="U171">
        <v>0</v>
      </c>
      <c r="V171">
        <v>0</v>
      </c>
      <c r="W171">
        <v>0</v>
      </c>
      <c r="X171">
        <v>0</v>
      </c>
      <c r="Y171">
        <f t="shared" si="36"/>
        <v>0</v>
      </c>
      <c r="Z171">
        <f t="shared" si="37"/>
        <v>0</v>
      </c>
      <c r="AA171">
        <v>0</v>
      </c>
      <c r="AB171">
        <f t="shared" si="40"/>
        <v>0</v>
      </c>
      <c r="AC171">
        <v>0</v>
      </c>
      <c r="AD171">
        <v>0.12</v>
      </c>
      <c r="AE171">
        <v>0</v>
      </c>
      <c r="AF171">
        <v>0</v>
      </c>
      <c r="AG171">
        <v>0</v>
      </c>
      <c r="AH171">
        <v>0</v>
      </c>
      <c r="AI171">
        <f t="shared" si="38"/>
        <v>0.12</v>
      </c>
      <c r="AJ171">
        <f t="shared" si="39"/>
        <v>0.90000000001309666</v>
      </c>
      <c r="AK171">
        <v>0</v>
      </c>
      <c r="AL171">
        <f t="shared" si="41"/>
        <v>55.780000000000172</v>
      </c>
      <c r="AM171">
        <v>0</v>
      </c>
      <c r="AN171">
        <v>0</v>
      </c>
      <c r="AO171" t="s">
        <v>52</v>
      </c>
      <c r="AP171">
        <v>0</v>
      </c>
      <c r="AQ171">
        <v>0</v>
      </c>
      <c r="AR171" t="s">
        <v>52</v>
      </c>
      <c r="AS171" t="s">
        <v>110</v>
      </c>
      <c r="AT171">
        <v>7</v>
      </c>
    </row>
    <row r="172" spans="1:46" x14ac:dyDescent="0.3">
      <c r="A172">
        <v>972</v>
      </c>
      <c r="B172">
        <v>2388</v>
      </c>
      <c r="C172">
        <v>28897</v>
      </c>
      <c r="D172">
        <v>2024</v>
      </c>
      <c r="E172">
        <v>21</v>
      </c>
      <c r="F172">
        <v>1</v>
      </c>
      <c r="G172" t="s">
        <v>266</v>
      </c>
      <c r="H172" t="s">
        <v>267</v>
      </c>
      <c r="I172" s="5" t="s">
        <v>340</v>
      </c>
      <c r="J172" s="5" t="s">
        <v>339</v>
      </c>
      <c r="K172" s="5" t="s">
        <v>50</v>
      </c>
      <c r="L172" s="4">
        <v>20</v>
      </c>
      <c r="M172" t="s">
        <v>110</v>
      </c>
      <c r="N172" t="s">
        <v>110</v>
      </c>
      <c r="O172" t="s">
        <v>52</v>
      </c>
      <c r="P172" t="s">
        <v>322</v>
      </c>
      <c r="Q172">
        <v>0</v>
      </c>
      <c r="R172">
        <f>IFERROR((J172 - J171)*24,0)</f>
        <v>20.000000000058208</v>
      </c>
      <c r="S172">
        <f t="shared" si="35"/>
        <v>0</v>
      </c>
      <c r="T172" t="s">
        <v>52</v>
      </c>
      <c r="U172">
        <v>0</v>
      </c>
      <c r="V172">
        <v>0</v>
      </c>
      <c r="W172">
        <v>0</v>
      </c>
      <c r="X172">
        <v>0</v>
      </c>
      <c r="Y172">
        <f t="shared" si="36"/>
        <v>0</v>
      </c>
      <c r="Z172">
        <f t="shared" si="37"/>
        <v>0</v>
      </c>
      <c r="AA172">
        <v>0</v>
      </c>
      <c r="AB172">
        <f t="shared" si="40"/>
        <v>0</v>
      </c>
      <c r="AC172">
        <v>0</v>
      </c>
      <c r="AD172">
        <v>0.63</v>
      </c>
      <c r="AE172">
        <v>0</v>
      </c>
      <c r="AF172">
        <v>0</v>
      </c>
      <c r="AG172">
        <v>0</v>
      </c>
      <c r="AH172">
        <v>0</v>
      </c>
      <c r="AI172">
        <f t="shared" si="38"/>
        <v>0.63</v>
      </c>
      <c r="AJ172">
        <f t="shared" si="39"/>
        <v>0.75599999999779977</v>
      </c>
      <c r="AK172">
        <v>0</v>
      </c>
      <c r="AL172">
        <f t="shared" si="41"/>
        <v>55.150000000000169</v>
      </c>
      <c r="AM172">
        <v>0</v>
      </c>
      <c r="AN172">
        <v>0</v>
      </c>
      <c r="AO172" t="s">
        <v>52</v>
      </c>
      <c r="AP172">
        <v>0</v>
      </c>
      <c r="AQ172">
        <v>0</v>
      </c>
      <c r="AR172" t="s">
        <v>52</v>
      </c>
      <c r="AS172" t="s">
        <v>110</v>
      </c>
      <c r="AT172">
        <v>7</v>
      </c>
    </row>
    <row r="173" spans="1:46" x14ac:dyDescent="0.3">
      <c r="A173">
        <v>972</v>
      </c>
      <c r="B173">
        <v>2388</v>
      </c>
      <c r="C173">
        <v>28898</v>
      </c>
      <c r="D173">
        <v>2024</v>
      </c>
      <c r="E173">
        <v>21</v>
      </c>
      <c r="F173">
        <v>1</v>
      </c>
      <c r="G173" t="s">
        <v>266</v>
      </c>
      <c r="H173" t="s">
        <v>267</v>
      </c>
      <c r="I173" s="5" t="s">
        <v>340</v>
      </c>
      <c r="J173" s="5" t="s">
        <v>340</v>
      </c>
      <c r="K173" s="5" t="s">
        <v>59</v>
      </c>
      <c r="L173" s="4">
        <v>4</v>
      </c>
      <c r="M173" t="s">
        <v>110</v>
      </c>
      <c r="N173" t="s">
        <v>110</v>
      </c>
      <c r="O173" t="s">
        <v>52</v>
      </c>
      <c r="P173" t="s">
        <v>322</v>
      </c>
      <c r="Q173">
        <v>0</v>
      </c>
      <c r="R173">
        <f>IFERROR((J173 - J172)*24,0)</f>
        <v>3.9999999999417923</v>
      </c>
      <c r="S173">
        <f t="shared" si="35"/>
        <v>0</v>
      </c>
      <c r="T173" t="s">
        <v>52</v>
      </c>
      <c r="U173">
        <v>0</v>
      </c>
      <c r="V173">
        <v>0</v>
      </c>
      <c r="W173">
        <v>0</v>
      </c>
      <c r="X173">
        <v>0</v>
      </c>
      <c r="Y173">
        <f t="shared" si="36"/>
        <v>0</v>
      </c>
      <c r="Z173">
        <f t="shared" si="37"/>
        <v>0</v>
      </c>
      <c r="AA173">
        <v>0</v>
      </c>
      <c r="AB173">
        <f t="shared" si="40"/>
        <v>0</v>
      </c>
      <c r="AC173">
        <v>0</v>
      </c>
      <c r="AD173">
        <v>0.1</v>
      </c>
      <c r="AE173">
        <v>0</v>
      </c>
      <c r="AF173">
        <v>0</v>
      </c>
      <c r="AG173">
        <v>0</v>
      </c>
      <c r="AH173">
        <v>0</v>
      </c>
      <c r="AI173">
        <f t="shared" si="38"/>
        <v>0.1</v>
      </c>
      <c r="AJ173">
        <f t="shared" si="39"/>
        <v>0.60000000000873122</v>
      </c>
      <c r="AK173">
        <v>0</v>
      </c>
      <c r="AL173">
        <f t="shared" si="41"/>
        <v>55.050000000000168</v>
      </c>
      <c r="AM173">
        <v>0</v>
      </c>
      <c r="AN173">
        <v>0</v>
      </c>
      <c r="AO173" t="s">
        <v>52</v>
      </c>
      <c r="AP173">
        <v>0</v>
      </c>
      <c r="AQ173">
        <v>0</v>
      </c>
      <c r="AR173" t="s">
        <v>52</v>
      </c>
      <c r="AS173" t="s">
        <v>110</v>
      </c>
      <c r="AT173">
        <v>7</v>
      </c>
    </row>
    <row r="174" spans="1:46" x14ac:dyDescent="0.3">
      <c r="A174">
        <v>972</v>
      </c>
      <c r="B174">
        <v>2388</v>
      </c>
      <c r="C174">
        <v>28899</v>
      </c>
      <c r="D174">
        <v>2024</v>
      </c>
      <c r="E174">
        <v>21</v>
      </c>
      <c r="F174">
        <v>1</v>
      </c>
      <c r="G174" t="s">
        <v>266</v>
      </c>
      <c r="H174" t="s">
        <v>267</v>
      </c>
      <c r="I174" s="5" t="s">
        <v>340</v>
      </c>
      <c r="J174" s="5" t="s">
        <v>341</v>
      </c>
      <c r="K174" s="5" t="s">
        <v>50</v>
      </c>
      <c r="L174" s="4">
        <v>20</v>
      </c>
      <c r="M174" t="s">
        <v>110</v>
      </c>
      <c r="N174" t="s">
        <v>110</v>
      </c>
      <c r="P174" t="s">
        <v>322</v>
      </c>
      <c r="Q174">
        <v>0</v>
      </c>
      <c r="R174">
        <f>IFERROR((J174 - J173)*24,0)</f>
        <v>20.000000000058208</v>
      </c>
      <c r="S174">
        <f t="shared" si="35"/>
        <v>0</v>
      </c>
      <c r="T174" t="s">
        <v>52</v>
      </c>
      <c r="U174">
        <v>0</v>
      </c>
      <c r="V174">
        <v>0</v>
      </c>
      <c r="W174">
        <v>0</v>
      </c>
      <c r="X174">
        <v>0</v>
      </c>
      <c r="Y174">
        <f t="shared" si="36"/>
        <v>0</v>
      </c>
      <c r="Z174">
        <f t="shared" si="37"/>
        <v>0</v>
      </c>
      <c r="AA174">
        <v>0</v>
      </c>
      <c r="AB174">
        <f t="shared" si="40"/>
        <v>0</v>
      </c>
      <c r="AC174">
        <v>0</v>
      </c>
      <c r="AD174">
        <v>0.57999999999999996</v>
      </c>
      <c r="AE174">
        <v>0.13</v>
      </c>
      <c r="AF174">
        <v>0</v>
      </c>
      <c r="AG174">
        <v>0</v>
      </c>
      <c r="AH174">
        <v>0</v>
      </c>
      <c r="AI174">
        <f t="shared" si="38"/>
        <v>0.71</v>
      </c>
      <c r="AJ174">
        <f t="shared" si="39"/>
        <v>0.8519999999975203</v>
      </c>
      <c r="AK174">
        <v>0</v>
      </c>
      <c r="AL174">
        <f t="shared" si="41"/>
        <v>54.340000000000167</v>
      </c>
      <c r="AM174">
        <v>0</v>
      </c>
      <c r="AN174">
        <v>0</v>
      </c>
      <c r="AO174" t="s">
        <v>52</v>
      </c>
      <c r="AP174">
        <v>0</v>
      </c>
      <c r="AQ174">
        <v>0</v>
      </c>
      <c r="AR174" t="s">
        <v>52</v>
      </c>
      <c r="AS174" t="s">
        <v>110</v>
      </c>
      <c r="AT174">
        <v>7</v>
      </c>
    </row>
    <row r="175" spans="1:46" x14ac:dyDescent="0.3">
      <c r="A175">
        <v>972</v>
      </c>
      <c r="B175">
        <v>2388</v>
      </c>
      <c r="C175">
        <v>28900</v>
      </c>
      <c r="D175">
        <v>2024</v>
      </c>
      <c r="E175">
        <v>21</v>
      </c>
      <c r="F175">
        <v>1</v>
      </c>
      <c r="G175" t="s">
        <v>266</v>
      </c>
      <c r="H175" t="s">
        <v>267</v>
      </c>
      <c r="I175" s="5" t="s">
        <v>340</v>
      </c>
      <c r="J175" s="5" t="s">
        <v>342</v>
      </c>
      <c r="K175" s="5" t="s">
        <v>59</v>
      </c>
      <c r="L175" s="4">
        <v>4</v>
      </c>
      <c r="M175" t="s">
        <v>110</v>
      </c>
      <c r="O175" t="s">
        <v>52</v>
      </c>
      <c r="P175" t="s">
        <v>322</v>
      </c>
      <c r="Q175">
        <v>0</v>
      </c>
      <c r="R175">
        <f>IFERROR((J175 - J174)*24,0)</f>
        <v>3.9999999999417923</v>
      </c>
      <c r="S175">
        <f t="shared" si="35"/>
        <v>0</v>
      </c>
      <c r="T175" t="s">
        <v>52</v>
      </c>
      <c r="U175">
        <v>0</v>
      </c>
      <c r="V175">
        <v>0</v>
      </c>
      <c r="W175">
        <v>0</v>
      </c>
      <c r="X175">
        <v>0</v>
      </c>
      <c r="Y175">
        <f t="shared" si="36"/>
        <v>0</v>
      </c>
      <c r="Z175">
        <f t="shared" si="37"/>
        <v>0</v>
      </c>
      <c r="AA175">
        <v>0</v>
      </c>
      <c r="AB175">
        <f t="shared" si="40"/>
        <v>0</v>
      </c>
      <c r="AC175">
        <v>0</v>
      </c>
      <c r="AD175">
        <v>0.11</v>
      </c>
      <c r="AE175">
        <v>0.02</v>
      </c>
      <c r="AF175">
        <v>0</v>
      </c>
      <c r="AG175">
        <v>0</v>
      </c>
      <c r="AH175">
        <v>0</v>
      </c>
      <c r="AI175">
        <f t="shared" si="38"/>
        <v>0.13</v>
      </c>
      <c r="AJ175">
        <f t="shared" si="39"/>
        <v>0.7800000000113505</v>
      </c>
      <c r="AK175">
        <v>0</v>
      </c>
      <c r="AL175">
        <f t="shared" si="41"/>
        <v>54.210000000000164</v>
      </c>
      <c r="AM175">
        <v>0</v>
      </c>
      <c r="AN175">
        <v>0</v>
      </c>
      <c r="AO175" t="s">
        <v>52</v>
      </c>
      <c r="AP175">
        <v>0</v>
      </c>
      <c r="AQ175">
        <v>0</v>
      </c>
      <c r="AR175" t="s">
        <v>52</v>
      </c>
      <c r="AS175" t="s">
        <v>110</v>
      </c>
      <c r="AT175">
        <v>7</v>
      </c>
    </row>
  </sheetData>
  <mergeCells count="7">
    <mergeCell ref="U3:AB3"/>
    <mergeCell ref="AC3:AL3"/>
    <mergeCell ref="Q4:T4"/>
    <mergeCell ref="U4:Y4"/>
    <mergeCell ref="Z4:AB4"/>
    <mergeCell ref="AC4:AI4"/>
    <mergeCell ref="AJ4:AL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register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2025-02-19T21:45:51Z</dcterms:created>
  <dcterms:modified xsi:type="dcterms:W3CDTF">2025-02-19T23:36:56Z</dcterms:modified>
  <cp:category/>
</cp:coreProperties>
</file>