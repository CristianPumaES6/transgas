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Report" state="visible" r:id="rId4"/>
    <sheet sheetId="2" name="Port N°1 Mollendo - Callao" state="visible" r:id="rId5"/>
    <sheet sheetId="3" name="Port N°2 Callao - Molendo" state="visible" r:id="rId6"/>
  </sheets>
  <calcPr calcId="171027"/>
</workbook>
</file>

<file path=xl/sharedStrings.xml><?xml version="1.0" encoding="utf-8"?>
<sst xmlns="http://schemas.openxmlformats.org/spreadsheetml/2006/main" count="315" uniqueCount="98">
  <si>
    <t>LEGEND</t>
  </si>
  <si>
    <t>INFO VESSEL</t>
  </si>
  <si>
    <t/>
  </si>
  <si>
    <t>Data recorded by the captain</t>
  </si>
  <si>
    <t>Value obtained by a formula.</t>
  </si>
  <si>
    <t>LSFO</t>
  </si>
  <si>
    <t>MGO</t>
  </si>
  <si>
    <t>SPEED</t>
  </si>
  <si>
    <t>CHARTER</t>
  </si>
  <si>
    <t>PERFORMEND</t>
  </si>
  <si>
    <t>DAILY CONSUMPTION</t>
  </si>
  <si>
    <t>Null value</t>
  </si>
  <si>
    <t>START DATE</t>
  </si>
  <si>
    <t>2022-07-01 13:00:00.000</t>
  </si>
  <si>
    <t>FULL</t>
  </si>
  <si>
    <t>ECO</t>
  </si>
  <si>
    <t>Loading</t>
  </si>
  <si>
    <t>Positive value</t>
  </si>
  <si>
    <t>Total Bunkering</t>
  </si>
  <si>
    <t>S. Ballast</t>
  </si>
  <si>
    <t>Discharge</t>
  </si>
  <si>
    <t>Negative value</t>
  </si>
  <si>
    <t>Total Consumption</t>
  </si>
  <si>
    <t>S. Laden</t>
  </si>
  <si>
    <t>END DATE</t>
  </si>
  <si>
    <t>2022-07-03 14:00:00.000</t>
  </si>
  <si>
    <t>S. Economical</t>
  </si>
  <si>
    <t>Anchored</t>
  </si>
  <si>
    <t>Maneuver</t>
  </si>
  <si>
    <t>Other Act</t>
  </si>
  <si>
    <t>VESSEL PERFORMANCE LSFO</t>
  </si>
  <si>
    <t>VESSEL PERFORMANCE MGO</t>
  </si>
  <si>
    <t xml:space="preserve">ACTIVITY
PERFORMED</t>
  </si>
  <si>
    <t xml:space="preserve">TOTAL TIME
PER ACTIVITY
(HRS)</t>
  </si>
  <si>
    <t>TOTAL DISTANCE (MILES)</t>
  </si>
  <si>
    <t xml:space="preserve">AVERAGE SPEED
(MILES/HRS)</t>
  </si>
  <si>
    <t xml:space="preserve">AVERAGE SPEED
(MILES/HRS)
(CHARTER)</t>
  </si>
  <si>
    <t xml:space="preserve">TOTAL CONSUMPTION
(MT)</t>
  </si>
  <si>
    <t xml:space="preserve">DAILY CONSUMPTION
(MT)</t>
  </si>
  <si>
    <t xml:space="preserve">DAILY CONSUMPTION
(MT) (CHARTER)</t>
  </si>
  <si>
    <t xml:space="preserve">SAILING TIME
(HRS) (CHARTER)</t>
  </si>
  <si>
    <t xml:space="preserve">TOTAL CONSUMPTION
(MT) (CHARTER)</t>
  </si>
  <si>
    <t xml:space="preserve">BALANCE CONSUMPTION
(MT)</t>
  </si>
  <si>
    <t xml:space="preserve">BALANCE TIME
(HRS)</t>
  </si>
  <si>
    <t>LSFO CONSUMPTION IN MT</t>
  </si>
  <si>
    <t>MGO CONSUMPTION IN MT</t>
  </si>
  <si>
    <t>NAVIGATION DATA</t>
  </si>
  <si>
    <t>PREVIOUS VOYAGE</t>
  </si>
  <si>
    <t>voyageId</t>
  </si>
  <si>
    <t>portId</t>
  </si>
  <si>
    <t>dailyReportId</t>
  </si>
  <si>
    <t>VOYAGE</t>
  </si>
  <si>
    <t>DEPARTURE</t>
  </si>
  <si>
    <t>ARRIVAL</t>
  </si>
  <si>
    <t>DATE UTC</t>
  </si>
  <si>
    <t>HOUR LOCAL</t>
  </si>
  <si>
    <t>TIME</t>
  </si>
  <si>
    <t>ACTIVITY PERFORMED</t>
  </si>
  <si>
    <t>OBSERVATION</t>
  </si>
  <si>
    <t>DISTANCE</t>
  </si>
  <si>
    <t>BEAUFORT</t>
  </si>
  <si>
    <t>MPLA</t>
  </si>
  <si>
    <t>AUX</t>
  </si>
  <si>
    <t>BOILER</t>
  </si>
  <si>
    <t>OTHER</t>
  </si>
  <si>
    <t>TOTAL</t>
  </si>
  <si>
    <t>DAILY COSUMTION</t>
  </si>
  <si>
    <t>BUNKERING</t>
  </si>
  <si>
    <t>ROB</t>
  </si>
  <si>
    <t>P.P</t>
  </si>
  <si>
    <t>G.I</t>
  </si>
  <si>
    <t>V1-2022</t>
  </si>
  <si>
    <t>Mollendo</t>
  </si>
  <si>
    <t>Callao</t>
  </si>
  <si>
    <t>08:00</t>
  </si>
  <si>
    <t>2022-07-01 15:00:00.000</t>
  </si>
  <si>
    <t>10:00</t>
  </si>
  <si>
    <t>2022-07-01 16:00:00.000</t>
  </si>
  <si>
    <t>11:00</t>
  </si>
  <si>
    <t>SE3</t>
  </si>
  <si>
    <t>2022-07-02 13:00:00.000</t>
  </si>
  <si>
    <t>FULL_SPEED</t>
  </si>
  <si>
    <t>2022-07-02 15:00:00.000</t>
  </si>
  <si>
    <t>2022-07-02 16:00:00.000</t>
  </si>
  <si>
    <t>2022-07-03 13:00:00.000</t>
  </si>
  <si>
    <t>Molendo</t>
  </si>
  <si>
    <t>09:00</t>
  </si>
  <si>
    <t>LPG/E : “”</t>
  </si>
  <si>
    <t>REPORTE DE VIAJE</t>
  </si>
  <si>
    <t>VOY 1-2022</t>
  </si>
  <si>
    <t>NAVEGANDO DE :</t>
  </si>
  <si>
    <t>FECHA :</t>
  </si>
  <si>
    <t>ARRIBO A :</t>
  </si>
  <si>
    <t>POSICION</t>
  </si>
  <si>
    <t xml:space="preserve">HORAS
NAVEGADAS</t>
  </si>
  <si>
    <t xml:space="preserve">DISTANCIA
OBERVADA</t>
  </si>
  <si>
    <t>VELOCIDAD</t>
  </si>
  <si>
    <t xml:space="preserve">FUERZA
VIENTO Y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</si>
</sst>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21" x14ac:knownFonts="1">
    <font>
      <color theme="1"/>
      <family val="2"/>
      <scheme val="minor"/>
      <sz val="11"/>
      <name val="Calibri"/>
    </font>
    <font>
      <b/>
      <color rgb="FFCD06"/>
      <sz val="10"/>
    </font>
    <font>
      <b/>
      <color rgb="FFCD06"/>
      <sz val="20"/>
    </font>
    <font>
      <b/>
      <color auto="1"/>
      <sz val="10"/>
    </font>
    <font>
      <b/>
      <color rgb="000"/>
      <sz val="8"/>
    </font>
    <font>
      <b/>
      <color rgb="001556"/>
      <sz val="15"/>
    </font>
    <font>
      <b/>
      <color rgb="ffffff"/>
      <sz val="8"/>
    </font>
    <font>
      <color rgb="ffffff"/>
      <sz val="5"/>
    </font>
    <font>
      <b/>
      <color rgb="f3f3f3"/>
      <sz val="10"/>
    </font>
    <font>
      <b/>
      <color rgb="000000"/>
      <sz val="8"/>
    </font>
    <font>
      <b/>
      <color rgb="000"/>
      <sz val="10"/>
    </font>
    <font>
      <color rgb="ffffff"/>
      <sz val="6"/>
    </font>
    <font>
      <color rgb="ffffff"/>
      <sz val="7"/>
    </font>
    <font>
      <b/>
      <color rgb="001556"/>
      <sz val="10"/>
    </font>
    <font>
      <b/>
      <color rgb="001556"/>
      <sz val="8"/>
    </font>
    <font>
      <b/>
      <color rgb="FFCD06"/>
      <sz val="15"/>
    </font>
    <font>
      <b/>
      <color rgb="ffffff"/>
      <sz val="10"/>
    </font>
    <font>
      <b/>
      <color rgb="ffffff"/>
      <sz val="18"/>
    </font>
    <font>
      <b/>
      <color rgb="000000"/>
      <sz val="20"/>
    </font>
    <font>
      <b/>
      <color rgb="000000"/>
      <sz val="22"/>
    </font>
    <font>
      <b/>
      <color rgb="000000"/>
      <sz val="11"/>
    </font>
  </fonts>
  <fills count="9">
    <fill>
      <patternFill patternType="none"/>
    </fill>
    <fill>
      <patternFill patternType="gray125"/>
    </fill>
    <fill>
      <patternFill patternType="solid">
        <fgColor rgb="001556"/>
      </patternFill>
    </fill>
    <fill>
      <patternFill patternType="solid">
        <fgColor rgb="ffffff"/>
      </patternFill>
    </fill>
    <fill>
      <patternFill patternType="solid">
        <fgColor rgb="0040d8"/>
      </patternFill>
    </fill>
    <fill>
      <patternFill patternType="solid">
        <fgColor auto="1"/>
      </patternFill>
    </fill>
    <fill>
      <patternFill patternType="solid">
        <fgColor rgb="b6c2ff94"/>
      </patternFill>
    </fill>
    <fill>
      <patternFill patternType="solid">
        <fgColor rgb="ffd6d6"/>
      </patternFill>
    </fill>
    <fill>
      <patternFill patternType="solid">
        <fgColor rgb="375f9a"/>
      </patternFill>
    </fill>
  </fills>
  <borders count="39">
    <border>
      <left/>
      <right/>
      <top/>
      <bottom/>
      <diagonal/>
    </border>
    <border>
      <left style="thick">
        <color rgb="001556"/>
      </left>
      <right style="thick">
        <color rgb="001556"/>
      </right>
      <top style="thick">
        <color rgb="001556"/>
      </top>
      <bottom style="thick">
        <color rgb="001556"/>
      </bottom>
      <diagonal/>
    </border>
    <border>
      <left style="thick">
        <color rgb="001556"/>
      </left>
      <right/>
      <top/>
      <bottom/>
      <diagonal/>
    </border>
    <border>
      <left/>
      <right style="thick">
        <color rgb="001556"/>
      </right>
      <top/>
      <bottom/>
      <diagonal/>
    </border>
    <border>
      <left style="thick">
        <color rgb="001556"/>
      </left>
      <right/>
      <top style="thick">
        <color rgb="001556"/>
      </top>
      <bottom style="thick">
        <color rgb="001556"/>
      </bottom>
      <diagonal/>
    </border>
    <border>
      <left/>
      <right style="thick">
        <color rgb="001556"/>
      </right>
      <top style="thick">
        <color rgb="001556"/>
      </top>
      <bottom style="thick">
        <color rgb="001556"/>
      </bottom>
      <diagonal/>
    </border>
    <border>
      <left style="thick">
        <color rgb="001556"/>
      </left>
      <right/>
      <top style="thick">
        <color rgb="001556"/>
      </top>
      <bottom/>
      <diagonal/>
    </border>
    <border>
      <left/>
      <right style="thick">
        <color rgb="001556"/>
      </right>
      <top style="thick">
        <color rgb="001556"/>
      </top>
      <bottom/>
      <diagonal/>
    </border>
    <border>
      <left style="thick">
        <color rgb="0040d8"/>
      </left>
      <right style="thick">
        <color rgb="0040d8"/>
      </right>
      <top style="thick">
        <color rgb="0040d8"/>
      </top>
      <bottom/>
      <diagonal/>
    </border>
    <border>
      <left style="thick">
        <color rgb="001556"/>
      </left>
      <right style="thick">
        <color rgb="001556"/>
      </right>
      <top style="thick">
        <color rgb="001556"/>
      </top>
      <bottom style="thin">
        <color rgb="001556"/>
      </bottom>
      <diagonal/>
    </border>
    <border>
      <left style="thick">
        <color rgb="001556"/>
      </left>
      <right/>
      <top style="thick">
        <color rgb="001556"/>
      </top>
      <bottom style="thin">
        <color rgb="001556"/>
      </bottom>
      <diagonal/>
    </border>
    <border>
      <left style="thin">
        <color rgb="001556"/>
      </left>
      <right/>
      <top style="thick">
        <color rgb="001556"/>
      </top>
      <bottom style="thin">
        <color rgb="001556"/>
      </bottom>
      <diagonal/>
    </border>
    <border>
      <left style="thin">
        <color rgb="001556"/>
      </left>
      <right style="thick">
        <color rgb="001556"/>
      </right>
      <top style="thick">
        <color rgb="001556"/>
      </top>
      <bottom style="thin">
        <color rgb="001556"/>
      </bottom>
      <diagonal/>
    </border>
    <border>
      <left style="thick">
        <color rgb="0040d8"/>
      </left>
      <right/>
      <top/>
      <bottom/>
      <diagonal/>
    </border>
    <border>
      <left/>
      <right style="thick">
        <color rgb="0040d8"/>
      </right>
      <top/>
      <bottom/>
      <diagonal/>
    </border>
    <border>
      <left style="thick">
        <color rgb="001556"/>
      </left>
      <right style="thin">
        <color rgb="001556"/>
      </right>
      <top/>
      <bottom style="thin">
        <color rgb="001556"/>
      </bottom>
      <diagonal/>
    </border>
    <border>
      <left/>
      <right style="thin">
        <color rgb="001556"/>
      </right>
      <top/>
      <bottom style="thin">
        <color rgb="001556"/>
      </bottom>
      <diagonal/>
    </border>
    <border>
      <left/>
      <right style="thick">
        <color rgb="001556"/>
      </right>
      <top/>
      <bottom style="thin">
        <color rgb="001556"/>
      </bottom>
      <diagonal/>
    </border>
    <border>
      <left style="thin">
        <color rgb="001556"/>
      </left>
      <right/>
      <top/>
      <bottom style="thin">
        <color rgb="001556"/>
      </bottom>
      <diagonal/>
    </border>
    <border>
      <left style="thin">
        <color rgb="001556"/>
      </left>
      <right style="thick">
        <color rgb="001556"/>
      </right>
      <top/>
      <bottom style="thin">
        <color rgb="001556"/>
      </bottom>
      <diagonal/>
    </border>
    <border>
      <left style="thin">
        <color rgb="001556"/>
      </left>
      <right style="thin">
        <color rgb="001556"/>
      </right>
      <top/>
      <bottom style="thin">
        <color rgb="001556"/>
      </bottom>
      <diagonal/>
    </border>
    <border>
      <left style="thick">
        <color rgb="0040d8"/>
      </left>
      <right/>
      <top/>
      <bottom style="thin">
        <color rgb="0040d8"/>
      </bottom>
      <diagonal/>
    </border>
    <border>
      <left style="thin">
        <color rgb="0040d8"/>
      </left>
      <right style="thick">
        <color rgb="0040d8"/>
      </right>
      <top/>
      <bottom style="thin">
        <color rgb="0040d8"/>
      </bottom>
      <diagonal/>
    </border>
    <border>
      <left style="thick">
        <color rgb="001556"/>
      </left>
      <right style="thin">
        <color rgb="001556"/>
      </right>
      <top/>
      <bottom style="thick">
        <color rgb="001556"/>
      </bottom>
      <diagonal/>
    </border>
    <border>
      <left style="thin">
        <color rgb="001556"/>
      </left>
      <right style="thin">
        <color rgb="001556"/>
      </right>
      <top/>
      <bottom style="thick">
        <color rgb="001556"/>
      </bottom>
      <diagonal/>
    </border>
    <border>
      <left style="thin">
        <color rgb="001556"/>
      </left>
      <right style="thick">
        <color rgb="001556"/>
      </right>
      <top/>
      <bottom style="thick">
        <color rgb="001556"/>
      </bottom>
      <diagonal/>
    </border>
    <border>
      <left style="thick">
        <color rgb="0040d8"/>
      </left>
      <right/>
      <top/>
      <bottom style="thick">
        <color rgb="0040d8"/>
      </bottom>
      <diagonal/>
    </border>
    <border>
      <left style="thin">
        <color rgb="0040d8"/>
      </left>
      <right style="thick">
        <color rgb="0040d8"/>
      </right>
      <top/>
      <bottom style="thick">
        <color rgb="0040d8"/>
      </bottom>
      <diagonal/>
    </border>
    <border>
      <left style="thick">
        <color rgb="001556"/>
      </left>
      <right/>
      <top/>
      <bottom style="thick">
        <color rgb="001556"/>
      </bottom>
      <diagonal/>
    </border>
    <border>
      <left/>
      <right/>
      <top/>
      <bottom style="thick">
        <color rgb="001556"/>
      </bottom>
      <diagonal/>
    </border>
    <border>
      <left/>
      <right style="thick">
        <color rgb="001556"/>
      </right>
      <top/>
      <bottom style="thick">
        <color rgb="001556"/>
      </bottom>
      <diagonal/>
    </border>
    <border>
      <left style="thick">
        <color rgb="001556"/>
      </left>
      <right/>
      <top style="thin">
        <color rgb="001556"/>
      </top>
      <bottom style="thick">
        <color rgb="001556"/>
      </bottom>
      <diagonal/>
    </border>
    <border>
      <left style="thin">
        <color rgb="001556"/>
      </left>
      <right/>
      <top style="thin">
        <color rgb="001556"/>
      </top>
      <bottom style="thick">
        <color rgb="001556"/>
      </bottom>
      <diagonal/>
    </border>
    <border>
      <left style="thin">
        <color rgb="001556"/>
      </left>
      <right style="thick">
        <color rgb="001556"/>
      </right>
      <top style="thin">
        <color rgb="001556"/>
      </top>
      <bottom style="thick">
        <color rgb="001556"/>
      </bottom>
      <diagonal/>
    </border>
    <border>
      <left/>
      <right style="thin">
        <color rgb="001556"/>
      </right>
      <top/>
      <bottom style="thick">
        <color rgb="001556"/>
      </bottom>
      <diagonal/>
    </border>
    <border>
      <left style="thick">
        <color rgb="001556"/>
      </left>
      <right style="thick">
        <color rgb="001556"/>
      </right>
      <top style="thick">
        <color rgb="001556"/>
      </top>
      <bottom/>
      <diagonal/>
    </border>
    <border>
      <left style="double">
        <color rgb="f3f3f3"/>
      </left>
      <right style="double">
        <color rgb="f3f3f3"/>
      </right>
      <top style="double">
        <color rgb="f3f3f3"/>
      </top>
      <bottom style="double">
        <color rgb="f3f3f3"/>
      </bottom>
      <diagonal/>
    </border>
    <border>
      <left style="thin">
        <color rgb="f3f3f3"/>
      </left>
      <right style="thin">
        <color rgb="f3f3f3"/>
      </right>
      <top style="thin">
        <color rgb="f3f3f3"/>
      </top>
      <bottom style="thin">
        <color rgb="f3f3f3"/>
      </bottom>
      <diagonal/>
    </border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9" fillId="3" borderId="31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2" fillId="8" borderId="16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4" fillId="3" borderId="34" xfId="0" applyFont="1" applyFill="1" applyBorder="1" applyAlignment="1">
      <alignment horizontal="center" vertical="center" wrapText="1"/>
    </xf>
    <xf numFmtId="0" fontId="14" fillId="3" borderId="30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/>
    </xf>
    <xf numFmtId="0" fontId="15" fillId="2" borderId="36" xfId="0" applyFont="1" applyFill="1" applyBorder="1" applyAlignment="1">
      <alignment horizontal="center" vertical="center"/>
    </xf>
    <xf numFmtId="0" fontId="16" fillId="2" borderId="37" xfId="0" applyFont="1" applyFill="1" applyBorder="1" applyAlignment="1">
      <alignment horizontal="right" vertical="center"/>
    </xf>
    <xf numFmtId="0" fontId="17" fillId="2" borderId="37" xfId="0" applyFont="1" applyFill="1" applyBorder="1" applyAlignment="1">
      <alignment horizontal="right" vertical="center"/>
    </xf>
    <xf numFmtId="0" fontId="6" fillId="4" borderId="37" xfId="0" applyFont="1" applyFill="1" applyBorder="1" applyAlignment="1">
      <alignment horizontal="center" vertical="center"/>
    </xf>
    <xf numFmtId="0" fontId="6" fillId="8" borderId="37" xfId="0" applyFont="1" applyFill="1" applyBorder="1" applyAlignment="1">
      <alignment horizontal="center" vertical="center"/>
    </xf>
    <xf numFmtId="164" fontId="0" fillId="0" borderId="0" xfId="0" applyNumberFormat="1"/>
    <xf numFmtId="0" fontId="18" fillId="3" borderId="38" xfId="0" applyFont="1" applyFill="1" applyBorder="1" applyAlignment="1">
      <alignment horizontal="center" vertical="center" wrapText="1"/>
    </xf>
    <xf numFmtId="0" fontId="19" fillId="3" borderId="38" xfId="0" applyFont="1" applyFill="1" applyBorder="1" applyAlignment="1">
      <alignment horizontal="center" vertical="center" wrapText="1"/>
    </xf>
    <xf numFmtId="0" fontId="20" fillId="3" borderId="38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324">
    <dxf>
      <fill>
        <patternFill patternType="solid">
          <bgColor rgb="ffa4a4"/>
        </patternFill>
      </fill>
    </dxf>
    <dxf>
      <fill>
        <patternFill patternType="solid">
          <bgColor rgb="b6c2ff94"/>
        </patternFill>
      </fill>
    </dxf>
    <dxf>
      <font>
        <color rgb="ebe8e8"/>
      </font>
    </dxf>
    <dxf>
      <fill>
        <patternFill patternType="solid">
          <bgColor rgb="ffa4a4"/>
        </patternFill>
      </fill>
    </dxf>
    <dxf>
      <fill>
        <patternFill patternType="solid">
          <bgColor rgb="b6c2ff94"/>
        </patternFill>
      </fill>
    </dxf>
    <dxf>
      <font>
        <color rgb="ebe8e8"/>
      </font>
    </dxf>
    <dxf>
      <fill>
        <patternFill patternType="solid">
          <bgColor rgb="ffa4a4"/>
        </patternFill>
      </fill>
    </dxf>
    <dxf>
      <fill>
        <patternFill patternType="solid">
          <bgColor rgb="b6c2ff94"/>
        </patternFill>
      </fill>
    </dxf>
    <dxf>
      <font>
        <color rgb="ebe8e8"/>
      </font>
    </dxf>
    <dxf>
      <fill>
        <patternFill patternType="solid">
          <bgColor rgb="ffa4a4"/>
        </patternFill>
      </fill>
    </dxf>
    <dxf>
      <fill>
        <patternFill patternType="solid">
          <bgColor rgb="b6c2ff94"/>
        </patternFill>
      </fill>
    </dxf>
    <dxf>
      <font>
        <color rgb="ebe8e8"/>
      </font>
    </dxf>
    <dxf>
      <fill>
        <patternFill patternType="solid">
          <bgColor rgb="ffa4a4"/>
        </patternFill>
      </fill>
    </dxf>
    <dxf>
      <fill>
        <patternFill patternType="solid">
          <bgColor rgb="b6c2ff94"/>
        </patternFill>
      </fill>
    </dxf>
    <dxf>
      <font>
        <color rgb="ebe8e8"/>
      </font>
    </dxf>
    <dxf>
      <fill>
        <patternFill patternType="solid">
          <bgColor rgb="ffa4a4"/>
        </patternFill>
      </fill>
    </dxf>
    <dxf>
      <fill>
        <patternFill patternType="solid">
          <bgColor rgb="b6c2ff94"/>
        </patternFill>
      </fill>
    </dxf>
    <dxf>
      <font>
        <color rgb="ebe8e8"/>
      </font>
    </dxf>
    <dxf>
      <fill>
        <patternFill patternType="solid">
          <bgColor rgb="ffa4a4"/>
        </patternFill>
      </fill>
    </dxf>
    <dxf>
      <fill>
        <patternFill patternType="solid">
          <bgColor rgb="b6c2ff94"/>
        </patternFill>
      </fill>
    </dxf>
    <dxf>
      <font>
        <color rgb="ebe8e8"/>
      </font>
    </dxf>
    <dxf>
      <fill>
        <patternFill patternType="solid">
          <bgColor rgb="ffa4a4"/>
        </patternFill>
      </fill>
    </dxf>
    <dxf>
      <fill>
        <patternFill patternType="solid">
          <bgColor rgb="b6c2ff94"/>
        </patternFill>
      </fill>
    </dxf>
    <dxf>
      <font>
        <color rgb="ebe8e8"/>
      </font>
    </dxf>
    <dxf>
      <fill>
        <patternFill patternType="solid">
          <bgColor rgb="ffa4a4"/>
        </patternFill>
      </fill>
    </dxf>
    <dxf>
      <fill>
        <patternFill patternType="solid">
          <bgColor rgb="b6c2ff94"/>
        </patternFill>
      </fill>
    </dxf>
    <dxf>
      <font>
        <color rgb="ebe8e8"/>
      </font>
    </dxf>
    <dxf>
      <fill>
        <patternFill patternType="solid">
          <bgColor rgb="ffa4a4"/>
        </patternFill>
      </fill>
    </dxf>
    <dxf>
      <fill>
        <patternFill patternType="solid">
          <bgColor rgb="b6c2ff94"/>
        </patternFill>
      </fill>
    </dxf>
    <dxf>
      <font>
        <color rgb="ebe8e8"/>
      </font>
    </dxf>
    <dxf>
      <fill>
        <patternFill patternType="solid">
          <bgColor rgb="ffa4a4"/>
        </patternFill>
      </fill>
    </dxf>
    <dxf>
      <fill>
        <patternFill patternType="solid">
          <bgColor rgb="b6c2ff94"/>
        </patternFill>
      </fill>
    </dxf>
    <dxf>
      <font>
        <color rgb="ebe8e8"/>
      </font>
    </dxf>
    <dxf>
      <fill>
        <patternFill patternType="solid">
          <bgColor rgb="ffa4a4"/>
        </patternFill>
      </fill>
    </dxf>
    <dxf>
      <fill>
        <patternFill patternType="solid">
          <bgColor rgb="b6c2ff94"/>
        </patternFill>
      </fill>
    </dxf>
    <dxf>
      <font>
        <color rgb="ebe8e8"/>
      </font>
    </dxf>
    <dxf>
      <fill>
        <patternFill patternType="solid">
          <bgColor rgb="ffa4a4"/>
        </patternFill>
      </fill>
    </dxf>
    <dxf>
      <fill>
        <patternFill patternType="solid">
          <bgColor rgb="b6c2ff94"/>
        </patternFill>
      </fill>
    </dxf>
    <dxf>
      <font>
        <color rgb="ebe8e8"/>
      </font>
    </dxf>
    <dxf>
      <fill>
        <patternFill patternType="solid">
          <bgColor rgb="ffa4a4"/>
        </patternFill>
      </fill>
    </dxf>
    <dxf>
      <fill>
        <patternFill patternType="solid">
          <bgColor rgb="b6c2ff94"/>
        </patternFill>
      </fill>
    </dxf>
    <dxf>
      <font>
        <color rgb="ebe8e8"/>
      </font>
    </dxf>
    <dxf>
      <fill>
        <patternFill patternType="solid">
          <bgColor rgb="ffa4a4"/>
        </patternFill>
      </fill>
    </dxf>
    <dxf>
      <fill>
        <patternFill patternType="solid">
          <bgColor rgb="b6c2ff94"/>
        </patternFill>
      </fill>
    </dxf>
    <dxf>
      <font>
        <color rgb="ebe8e8"/>
      </font>
    </dxf>
    <dxf>
      <fill>
        <patternFill patternType="solid">
          <bgColor rgb="ffa4a4"/>
        </patternFill>
      </fill>
    </dxf>
    <dxf>
      <fill>
        <patternFill patternType="solid">
          <bgColor rgb="b6c2ff94"/>
        </patternFill>
      </fill>
    </dxf>
    <dxf>
      <font>
        <color rgb="ebe8e8"/>
      </font>
    </dxf>
    <dxf>
      <fill>
        <patternFill patternType="solid">
          <bgColor rgb="ffa4a4"/>
        </patternFill>
      </fill>
    </dxf>
    <dxf>
      <fill>
        <patternFill patternType="solid">
          <bgColor rgb="b6c2ff94"/>
        </patternFill>
      </fill>
    </dxf>
    <dxf>
      <font>
        <color rgb="ebe8e8"/>
      </font>
    </dxf>
    <dxf>
      <fill>
        <patternFill patternType="solid">
          <bgColor rgb="ffa4a4"/>
        </patternFill>
      </fill>
    </dxf>
    <dxf>
      <fill>
        <patternFill patternType="solid">
          <bgColor rgb="b6c2ff94"/>
        </patternFill>
      </fill>
    </dxf>
    <dxf>
      <font>
        <color rgb="ebe8e8"/>
      </font>
    </dxf>
    <dxf>
      <fill>
        <patternFill patternType="solid">
          <bgColor rgb="ffa4a4"/>
        </patternFill>
      </fill>
    </dxf>
    <dxf>
      <fill>
        <patternFill patternType="solid">
          <bgColor rgb="b6c2ff94"/>
        </patternFill>
      </fill>
    </dxf>
    <dxf>
      <font>
        <color rgb="ebe8e8"/>
      </font>
    </dxf>
    <dxf>
      <fill>
        <patternFill patternType="solid">
          <bgColor rgb="ffa4a4"/>
        </patternFill>
      </fill>
    </dxf>
    <dxf>
      <fill>
        <patternFill patternType="solid">
          <bgColor rgb="b6c2ff94"/>
        </patternFill>
      </fill>
    </dxf>
    <dxf>
      <font>
        <color rgb="ebe8e8"/>
      </font>
    </dxf>
    <dxf>
      <fill>
        <patternFill patternType="solid">
          <bgColor rgb="ffa4a4"/>
        </patternFill>
      </fill>
    </dxf>
    <dxf>
      <fill>
        <patternFill patternType="solid">
          <bgColor rgb="b6c2ff94"/>
        </patternFill>
      </fill>
    </dxf>
    <dxf>
      <font>
        <color rgb="ebe8e8"/>
      </font>
    </dxf>
    <dxf>
      <fill>
        <patternFill patternType="solid">
          <bgColor rgb="ffa4a4"/>
        </patternFill>
      </fill>
    </dxf>
    <dxf>
      <fill>
        <patternFill patternType="solid">
          <bgColor rgb="b6c2ff94"/>
        </patternFill>
      </fill>
    </dxf>
    <dxf>
      <font>
        <color rgb="ebe8e8"/>
      </font>
    </dxf>
    <dxf>
      <fill>
        <patternFill patternType="solid">
          <bgColor rgb="ffa4a4"/>
        </patternFill>
      </fill>
    </dxf>
    <dxf>
      <fill>
        <patternFill patternType="solid">
          <bgColor rgb="b6c2ff94"/>
        </patternFill>
      </fill>
    </dxf>
    <dxf>
      <font>
        <color rgb="ebe8e8"/>
      </font>
    </dxf>
    <dxf>
      <fill>
        <patternFill patternType="solid">
          <bgColor rgb="ffa4a4"/>
        </patternFill>
      </fill>
    </dxf>
    <dxf>
      <fill>
        <patternFill patternType="solid">
          <bgColor rgb="b6c2ff94"/>
        </patternFill>
      </fill>
    </dxf>
    <dxf>
      <font>
        <color rgb="ebe8e8"/>
      </font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fill>
        <patternFill patternType="solid">
          <bgColor rgb="ffd6d6"/>
        </patternFill>
      </fill>
    </dxf>
    <dxf>
      <fill>
        <patternFill patternType="solid">
          <bgColor rgb="b6c2ff94"/>
        </patternFill>
      </fill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ont>
        <color rgb="ebe8e8"/>
      </font>
      <border>
        <left/>
        <right/>
        <top/>
        <bottom/>
        <diagonal/>
      </border>
    </dxf>
    <dxf>
      <font>
        <color rgb="9a2929"/>
      </font>
      <fill>
        <patternFill patternType="solid">
          <bgColor rgb="ffa4a4"/>
        </patternFill>
      </fill>
    </dxf>
    <dxf>
      <font>
        <color rgb="228e30"/>
      </font>
      <fill>
        <patternFill patternType="solid">
          <bgColor rgb="c0fdc8"/>
        </patternFill>
      </fill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ill>
        <patternFill patternType="solid">
          <bgColor rgb="f3f3f3"/>
        </patternFill>
      </fill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ont>
        <color rgb="ebe8e8"/>
      </font>
      <border>
        <left/>
        <right/>
        <top/>
        <bottom/>
        <diagonal/>
      </border>
    </dxf>
    <dxf>
      <font>
        <color rgb="9a2929"/>
      </font>
      <fill>
        <patternFill patternType="solid">
          <bgColor rgb="ffa4a4"/>
        </patternFill>
      </fill>
    </dxf>
    <dxf>
      <font>
        <color rgb="228e30"/>
      </font>
      <fill>
        <patternFill patternType="solid">
          <bgColor rgb="c0fdc8"/>
        </patternFill>
      </fill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ont>
        <color rgb="ebe8e8"/>
      </font>
      <border>
        <left/>
        <right/>
        <top/>
        <bottom/>
        <diagonal/>
      </border>
    </dxf>
    <dxf>
      <font>
        <color rgb="9a2929"/>
      </font>
      <fill>
        <patternFill patternType="solid">
          <bgColor rgb="ffa4a4"/>
        </patternFill>
      </fill>
    </dxf>
    <dxf>
      <font>
        <color rgb="228e30"/>
      </font>
      <fill>
        <patternFill patternType="solid">
          <bgColor rgb="c0fdc8"/>
        </patternFill>
      </fill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ill>
        <patternFill patternType="solid">
          <bgColor rgb="f3f3f3"/>
        </patternFill>
      </fill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ont>
        <color rgb="ebe8e8"/>
      </font>
      <border>
        <left/>
        <right/>
        <top/>
        <bottom/>
        <diagonal/>
      </border>
    </dxf>
    <dxf>
      <font>
        <color rgb="9a2929"/>
      </font>
      <fill>
        <patternFill patternType="solid">
          <bgColor rgb="ffa4a4"/>
        </patternFill>
      </fill>
    </dxf>
    <dxf>
      <font>
        <color rgb="228e30"/>
      </font>
      <fill>
        <patternFill patternType="solid">
          <bgColor rgb="c0fdc8"/>
        </patternFill>
      </fill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ont>
        <color rgb="ebe8e8"/>
      </font>
      <border>
        <left/>
        <right/>
        <top/>
        <bottom/>
        <diagonal/>
      </border>
    </dxf>
    <dxf>
      <font>
        <color rgb="9a2929"/>
      </font>
      <fill>
        <patternFill patternType="solid">
          <bgColor rgb="ffa4a4"/>
        </patternFill>
      </fill>
    </dxf>
    <dxf>
      <font>
        <color rgb="228e30"/>
      </font>
      <fill>
        <patternFill patternType="solid">
          <bgColor rgb="c0fdc8"/>
        </patternFill>
      </fill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ill>
        <patternFill patternType="solid">
          <bgColor rgb="f3f3f3"/>
        </patternFill>
      </fill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ont>
        <color rgb="ebe8e8"/>
      </font>
      <border>
        <left/>
        <right/>
        <top/>
        <bottom/>
        <diagonal/>
      </border>
    </dxf>
    <dxf>
      <font>
        <color rgb="9a2929"/>
      </font>
      <fill>
        <patternFill patternType="solid">
          <bgColor rgb="ffa4a4"/>
        </patternFill>
      </fill>
    </dxf>
    <dxf>
      <font>
        <color rgb="228e30"/>
      </font>
      <fill>
        <patternFill patternType="solid">
          <bgColor rgb="c0fdc8"/>
        </patternFill>
      </fill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ont>
        <color rgb="ebe8e8"/>
      </font>
      <border>
        <left/>
        <right/>
        <top/>
        <bottom/>
        <diagonal/>
      </border>
    </dxf>
    <dxf>
      <font>
        <color rgb="9a2929"/>
      </font>
      <fill>
        <patternFill patternType="solid">
          <bgColor rgb="ffa4a4"/>
        </patternFill>
      </fill>
    </dxf>
    <dxf>
      <font>
        <color rgb="228e30"/>
      </font>
      <fill>
        <patternFill patternType="solid">
          <bgColor rgb="c0fdc8"/>
        </patternFill>
      </fill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ill>
        <patternFill patternType="solid">
          <bgColor rgb="f3f3f3"/>
        </patternFill>
      </fill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font>
        <color rgb="ebe8e8"/>
      </font>
      <border>
        <left/>
        <right/>
        <top/>
        <bottom/>
        <diagonal/>
      </border>
    </dxf>
    <dxf>
      <font>
        <color rgb="9a2929"/>
      </font>
      <fill>
        <patternFill patternType="solid">
          <bgColor rgb="ffa4a4"/>
        </patternFill>
      </fill>
    </dxf>
    <dxf>
      <font>
        <color rgb="228e30"/>
      </font>
      <fill>
        <patternFill patternType="solid">
          <bgColor rgb="c0fdc8"/>
        </patternFill>
      </fill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  <dxf>
      <border>
        <left style="double">
          <color rgb="9a2929"/>
        </left>
        <right style="double">
          <color rgb="9a2929"/>
        </right>
        <top style="double">
          <color rgb="9a2929"/>
        </top>
        <bottom style="double">
          <color rgb="9a2929"/>
        </bottom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R41"/>
  <sheetFormatPr defaultRowHeight="15" outlineLevelRow="0" outlineLevelCol="0" x14ac:dyDescent="55"/>
  <cols>
    <col min="1" max="5" customWidth="1"/>
    <col min="6" max="15" width="4" customWidth="1"/>
    <col min="16" max="18" width="6" customWidth="1"/>
    <col min="19" max="118" width="4" customWidth="1"/>
  </cols>
  <sheetData>
    <row r="3" spans="8:79" x14ac:dyDescent="0.25">
      <c r="H3" s="1" t="s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Z3" s="2" t="s">
        <v>1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</row>
    <row r="4" spans="8:79" x14ac:dyDescent="0.25">
      <c r="H4" s="3"/>
      <c r="S4" s="4"/>
      <c r="Z4" s="3"/>
      <c r="CA4" s="4"/>
    </row>
    <row r="5" spans="8:79" x14ac:dyDescent="0.25">
      <c r="H5" s="3"/>
      <c r="I5" s="5" t="s">
        <v>2</v>
      </c>
      <c r="K5" s="6" t="s">
        <v>3</v>
      </c>
      <c r="L5" s="6"/>
      <c r="M5" s="6"/>
      <c r="N5" s="6"/>
      <c r="O5" s="6"/>
      <c r="P5" s="6"/>
      <c r="Q5" s="6"/>
      <c r="R5" s="6"/>
      <c r="S5" s="4"/>
      <c r="Z5" s="3"/>
      <c r="CA5" s="4"/>
    </row>
    <row r="6" spans="8:79" x14ac:dyDescent="0.25">
      <c r="H6" s="3"/>
      <c r="I6" s="7" t="s">
        <v>2</v>
      </c>
      <c r="K6" s="6" t="s">
        <v>4</v>
      </c>
      <c r="L6" s="6"/>
      <c r="M6" s="6"/>
      <c r="N6" s="6"/>
      <c r="O6" s="6"/>
      <c r="P6" s="6"/>
      <c r="Q6" s="6"/>
      <c r="R6" s="6"/>
      <c r="S6" s="4"/>
      <c r="Z6" s="3"/>
      <c r="AA6" s="8" t="s">
        <v>2</v>
      </c>
      <c r="AB6" s="8"/>
      <c r="AC6" s="8"/>
      <c r="AD6" s="8"/>
      <c r="AE6" s="8"/>
      <c r="AK6" s="9" t="s">
        <v>5</v>
      </c>
      <c r="AL6" s="9"/>
      <c r="AM6" s="10" t="s">
        <v>6</v>
      </c>
      <c r="AN6" s="10"/>
      <c r="AS6" s="11" t="s">
        <v>7</v>
      </c>
      <c r="AT6" s="11"/>
      <c r="AU6" s="12" t="s">
        <v>8</v>
      </c>
      <c r="AV6" s="12"/>
      <c r="AW6" s="13" t="s">
        <v>9</v>
      </c>
      <c r="AX6" s="13"/>
      <c r="AZ6" s="14" t="s">
        <v>10</v>
      </c>
      <c r="BA6" s="14"/>
      <c r="BB6" s="14"/>
      <c r="BC6" s="14"/>
      <c r="BD6" s="14"/>
      <c r="BE6" s="14"/>
      <c r="BF6" s="14"/>
      <c r="BM6" s="11" t="s">
        <v>7</v>
      </c>
      <c r="BN6" s="11"/>
      <c r="BO6" s="12" t="s">
        <v>8</v>
      </c>
      <c r="BP6" s="12"/>
      <c r="BQ6" s="13" t="s">
        <v>9</v>
      </c>
      <c r="BR6" s="13"/>
      <c r="BT6" s="14" t="s">
        <v>10</v>
      </c>
      <c r="BU6" s="14"/>
      <c r="BV6" s="14"/>
      <c r="BW6" s="14"/>
      <c r="BX6" s="14"/>
      <c r="BY6" s="14"/>
      <c r="BZ6" s="14"/>
      <c r="CA6" s="4"/>
    </row>
    <row r="7" spans="8:79" x14ac:dyDescent="0.25">
      <c r="H7" s="3"/>
      <c r="I7" s="15">
        <v>0</v>
      </c>
      <c r="K7" s="6" t="s">
        <v>11</v>
      </c>
      <c r="L7" s="6"/>
      <c r="M7" s="6"/>
      <c r="N7" s="6"/>
      <c r="O7" s="6"/>
      <c r="P7" s="6"/>
      <c r="Q7" s="6"/>
      <c r="R7" s="6"/>
      <c r="S7" s="4"/>
      <c r="Z7" s="3"/>
      <c r="AA7" s="16" t="s">
        <v>12</v>
      </c>
      <c r="AB7" s="16"/>
      <c r="AC7" s="16"/>
      <c r="AD7" s="16"/>
      <c r="AE7" s="16"/>
      <c r="AF7" s="17" t="s">
        <v>13</v>
      </c>
      <c r="AG7" s="17"/>
      <c r="AH7" s="17"/>
      <c r="AI7" s="17"/>
      <c r="AJ7" s="17"/>
      <c r="AK7" s="17">
        <v>0</v>
      </c>
      <c r="AL7" s="17"/>
      <c r="AM7" s="18">
        <v>0</v>
      </c>
      <c r="AN7" s="18"/>
      <c r="AS7" s="11"/>
      <c r="AT7" s="11"/>
      <c r="AU7" s="19" t="s">
        <v>14</v>
      </c>
      <c r="AV7" s="20" t="s">
        <v>15</v>
      </c>
      <c r="AW7" s="21" t="s">
        <v>14</v>
      </c>
      <c r="AX7" s="22" t="s">
        <v>15</v>
      </c>
      <c r="AZ7" s="23" t="s">
        <v>16</v>
      </c>
      <c r="BA7" s="23"/>
      <c r="BB7" s="23"/>
      <c r="BC7" s="24">
        <v>0</v>
      </c>
      <c r="BD7" s="24"/>
      <c r="BE7" s="25">
        <f>AM21</f>
      </c>
      <c r="BF7" s="25"/>
      <c r="BM7" s="11"/>
      <c r="BN7" s="11"/>
      <c r="BO7" s="19" t="s">
        <v>14</v>
      </c>
      <c r="BP7" s="20" t="s">
        <v>15</v>
      </c>
      <c r="BQ7" s="21" t="s">
        <v>14</v>
      </c>
      <c r="BR7" s="22" t="s">
        <v>15</v>
      </c>
      <c r="BT7" s="23" t="s">
        <v>16</v>
      </c>
      <c r="BU7" s="23"/>
      <c r="BV7" s="23"/>
      <c r="BW7" s="24">
        <v>0</v>
      </c>
      <c r="BX7" s="24"/>
      <c r="BY7" s="25">
        <f>CA21</f>
      </c>
      <c r="BZ7" s="25"/>
      <c r="CA7" s="4"/>
    </row>
    <row r="8" spans="8:79" x14ac:dyDescent="0.25">
      <c r="H8" s="3"/>
      <c r="I8" s="26" t="s">
        <v>2</v>
      </c>
      <c r="K8" s="6" t="s">
        <v>17</v>
      </c>
      <c r="L8" s="6"/>
      <c r="M8" s="6"/>
      <c r="N8" s="6"/>
      <c r="O8" s="6"/>
      <c r="P8" s="6"/>
      <c r="Q8" s="6"/>
      <c r="R8" s="6"/>
      <c r="S8" s="4"/>
      <c r="Z8" s="3"/>
      <c r="AA8" s="3"/>
      <c r="AG8" s="27" t="s">
        <v>18</v>
      </c>
      <c r="AH8" s="27"/>
      <c r="AI8" s="27"/>
      <c r="AJ8" s="27"/>
      <c r="AK8" s="27">
        <f>SUM(BD34:BD4000)</f>
      </c>
      <c r="AL8" s="27"/>
      <c r="AM8" s="28">
        <f>SUM(BX34:BX4000)</f>
      </c>
      <c r="AN8" s="28"/>
      <c r="AS8" s="23" t="s">
        <v>19</v>
      </c>
      <c r="AT8" s="23"/>
      <c r="AU8" s="29">
        <v>0</v>
      </c>
      <c r="AV8" s="30">
        <v>0</v>
      </c>
      <c r="AW8" s="31">
        <f>AD23</f>
      </c>
      <c r="AX8" s="32">
        <f>AD25</f>
      </c>
      <c r="AZ8" s="23" t="s">
        <v>20</v>
      </c>
      <c r="BA8" s="23"/>
      <c r="BB8" s="23"/>
      <c r="BC8" s="24">
        <v>0</v>
      </c>
      <c r="BD8" s="24"/>
      <c r="BE8" s="25">
        <f>AM22</f>
      </c>
      <c r="BF8" s="25"/>
      <c r="BM8" s="23" t="s">
        <v>19</v>
      </c>
      <c r="BN8" s="23"/>
      <c r="BO8" s="29">
        <v>0</v>
      </c>
      <c r="BP8" s="30">
        <v>0</v>
      </c>
      <c r="BQ8" s="31">
        <f>BR23</f>
      </c>
      <c r="BR8" s="32">
        <f>BR25</f>
      </c>
      <c r="BT8" s="23" t="s">
        <v>20</v>
      </c>
      <c r="BU8" s="23"/>
      <c r="BV8" s="23"/>
      <c r="BW8" s="24">
        <v>0</v>
      </c>
      <c r="BX8" s="24"/>
      <c r="BY8" s="25">
        <f>CA22</f>
      </c>
      <c r="BZ8" s="25"/>
      <c r="CA8" s="4"/>
    </row>
    <row r="9" spans="8:79" x14ac:dyDescent="0.25">
      <c r="H9" s="3"/>
      <c r="I9" s="33" t="s">
        <v>2</v>
      </c>
      <c r="K9" s="6" t="s">
        <v>21</v>
      </c>
      <c r="L9" s="6"/>
      <c r="M9" s="6"/>
      <c r="N9" s="6"/>
      <c r="O9" s="6"/>
      <c r="P9" s="6"/>
      <c r="Q9" s="6"/>
      <c r="R9" s="6"/>
      <c r="S9" s="4"/>
      <c r="Z9" s="3"/>
      <c r="AA9" s="3"/>
      <c r="AG9" s="27" t="s">
        <v>22</v>
      </c>
      <c r="AH9" s="27"/>
      <c r="AI9" s="27"/>
      <c r="AJ9" s="27"/>
      <c r="AK9" s="27">
        <f>SUM(AR34:AY4000)</f>
      </c>
      <c r="AL9" s="27"/>
      <c r="AM9" s="28">
        <f>SUM(BH34:BS4000)</f>
      </c>
      <c r="AN9" s="28"/>
      <c r="AS9" s="34" t="s">
        <v>23</v>
      </c>
      <c r="AT9" s="34"/>
      <c r="AU9" s="35">
        <v>0</v>
      </c>
      <c r="AV9" s="36">
        <v>0</v>
      </c>
      <c r="AW9" s="37">
        <f>AD24</f>
      </c>
      <c r="AX9" s="38">
        <f>AD25</f>
      </c>
      <c r="AZ9" s="23" t="s">
        <v>19</v>
      </c>
      <c r="BA9" s="23"/>
      <c r="BB9" s="23"/>
      <c r="BC9" s="24">
        <v>0</v>
      </c>
      <c r="BD9" s="24"/>
      <c r="BE9" s="25">
        <f>AM23</f>
      </c>
      <c r="BF9" s="25"/>
      <c r="BM9" s="34" t="s">
        <v>23</v>
      </c>
      <c r="BN9" s="34"/>
      <c r="BO9" s="35">
        <v>0</v>
      </c>
      <c r="BP9" s="36">
        <v>0</v>
      </c>
      <c r="BQ9" s="37">
        <f>BR24</f>
      </c>
      <c r="BR9" s="38">
        <f>BR25</f>
      </c>
      <c r="BT9" s="23" t="s">
        <v>19</v>
      </c>
      <c r="BU9" s="23"/>
      <c r="BV9" s="23"/>
      <c r="BW9" s="24">
        <v>0</v>
      </c>
      <c r="BX9" s="24"/>
      <c r="BY9" s="25">
        <f>CA23</f>
      </c>
      <c r="BZ9" s="25"/>
      <c r="CA9" s="4"/>
    </row>
    <row r="10" spans="8:79" x14ac:dyDescent="0.25">
      <c r="H10" s="39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1"/>
      <c r="Z10" s="3"/>
      <c r="AA10" s="42" t="s">
        <v>24</v>
      </c>
      <c r="AB10" s="42"/>
      <c r="AC10" s="42"/>
      <c r="AD10" s="42"/>
      <c r="AE10" s="42"/>
      <c r="AF10" s="43" t="s">
        <v>25</v>
      </c>
      <c r="AG10" s="43"/>
      <c r="AH10" s="43"/>
      <c r="AI10" s="43"/>
      <c r="AJ10" s="43"/>
      <c r="AK10" s="43">
        <f>AK7-AK9+AK8</f>
      </c>
      <c r="AL10" s="43"/>
      <c r="AM10" s="44">
        <f>AM7-AM9+AM8</f>
      </c>
      <c r="AN10" s="44"/>
      <c r="AZ10" s="23" t="s">
        <v>23</v>
      </c>
      <c r="BA10" s="23"/>
      <c r="BB10" s="23"/>
      <c r="BC10" s="24">
        <v>0</v>
      </c>
      <c r="BD10" s="24"/>
      <c r="BE10" s="25">
        <f>AM24</f>
      </c>
      <c r="BF10" s="25"/>
      <c r="BT10" s="23" t="s">
        <v>23</v>
      </c>
      <c r="BU10" s="23"/>
      <c r="BV10" s="23"/>
      <c r="BW10" s="24">
        <v>0</v>
      </c>
      <c r="BX10" s="24"/>
      <c r="BY10" s="25">
        <f>CA24</f>
      </c>
      <c r="BZ10" s="25"/>
      <c r="CA10" s="4"/>
    </row>
    <row r="11" spans="26:79" x14ac:dyDescent="0.25">
      <c r="Z11" s="3"/>
      <c r="AZ11" s="23" t="s">
        <v>26</v>
      </c>
      <c r="BA11" s="23"/>
      <c r="BB11" s="23"/>
      <c r="BC11" s="24">
        <v>0</v>
      </c>
      <c r="BD11" s="24"/>
      <c r="BE11" s="25">
        <f>AM25</f>
      </c>
      <c r="BF11" s="25"/>
      <c r="BT11" s="23" t="s">
        <v>26</v>
      </c>
      <c r="BU11" s="23"/>
      <c r="BV11" s="23"/>
      <c r="BW11" s="24">
        <v>0</v>
      </c>
      <c r="BX11" s="24"/>
      <c r="BY11" s="25">
        <f>CA25</f>
      </c>
      <c r="BZ11" s="25"/>
      <c r="CA11" s="4"/>
    </row>
    <row r="12" spans="26:79" x14ac:dyDescent="0.25">
      <c r="Z12" s="3"/>
      <c r="AZ12" s="23" t="s">
        <v>27</v>
      </c>
      <c r="BA12" s="23"/>
      <c r="BB12" s="23"/>
      <c r="BC12" s="24">
        <v>0</v>
      </c>
      <c r="BD12" s="24"/>
      <c r="BE12" s="25">
        <f>AM26</f>
      </c>
      <c r="BF12" s="25"/>
      <c r="BT12" s="23" t="s">
        <v>27</v>
      </c>
      <c r="BU12" s="23"/>
      <c r="BV12" s="23"/>
      <c r="BW12" s="24">
        <v>0</v>
      </c>
      <c r="BX12" s="24"/>
      <c r="BY12" s="25">
        <f>CA26</f>
      </c>
      <c r="BZ12" s="25"/>
      <c r="CA12" s="4"/>
    </row>
    <row r="13" spans="26:79" x14ac:dyDescent="0.25">
      <c r="Z13" s="3"/>
      <c r="AZ13" s="23" t="s">
        <v>28</v>
      </c>
      <c r="BA13" s="23"/>
      <c r="BB13" s="23"/>
      <c r="BC13" s="24">
        <v>0</v>
      </c>
      <c r="BD13" s="24"/>
      <c r="BE13" s="25">
        <f>AM27</f>
      </c>
      <c r="BF13" s="25"/>
      <c r="BT13" s="23" t="s">
        <v>28</v>
      </c>
      <c r="BU13" s="23"/>
      <c r="BV13" s="23"/>
      <c r="BW13" s="24">
        <v>0</v>
      </c>
      <c r="BX13" s="24"/>
      <c r="BY13" s="25">
        <f>CA27</f>
      </c>
      <c r="BZ13" s="25"/>
      <c r="CA13" s="4"/>
    </row>
    <row r="14" spans="26:79" x14ac:dyDescent="0.25">
      <c r="Z14" s="3"/>
      <c r="AZ14" s="34" t="s">
        <v>29</v>
      </c>
      <c r="BA14" s="34"/>
      <c r="BB14" s="34"/>
      <c r="BC14" s="45">
        <v>0</v>
      </c>
      <c r="BD14" s="45"/>
      <c r="BE14" s="46">
        <f>AM28</f>
      </c>
      <c r="BF14" s="46"/>
      <c r="BT14" s="34" t="s">
        <v>29</v>
      </c>
      <c r="BU14" s="34"/>
      <c r="BV14" s="34"/>
      <c r="BW14" s="45">
        <v>0</v>
      </c>
      <c r="BX14" s="45"/>
      <c r="BY14" s="46">
        <f>CA28</f>
      </c>
      <c r="BZ14" s="46"/>
      <c r="CA14" s="4"/>
    </row>
    <row r="15" spans="26:79" x14ac:dyDescent="0.25">
      <c r="Z15" s="39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1"/>
    </row>
    <row r="18" spans="21:96" x14ac:dyDescent="0.25">
      <c r="U18" s="47" t="s">
        <v>30</v>
      </c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I18" s="47" t="s">
        <v>31</v>
      </c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</row>
    <row r="19" spans="21:96" x14ac:dyDescent="0.25">
      <c r="U19" s="48" t="s">
        <v>32</v>
      </c>
      <c r="V19" s="48"/>
      <c r="W19" s="48"/>
      <c r="X19" s="49" t="s">
        <v>33</v>
      </c>
      <c r="Y19" s="49"/>
      <c r="Z19" s="49"/>
      <c r="AA19" s="50" t="s">
        <v>34</v>
      </c>
      <c r="AB19" s="50"/>
      <c r="AC19" s="50"/>
      <c r="AD19" s="51" t="s">
        <v>35</v>
      </c>
      <c r="AE19" s="51"/>
      <c r="AF19" s="51"/>
      <c r="AG19" s="52" t="s">
        <v>36</v>
      </c>
      <c r="AH19" s="52"/>
      <c r="AI19" s="52"/>
      <c r="AJ19" s="53" t="s">
        <v>37</v>
      </c>
      <c r="AK19" s="53"/>
      <c r="AL19" s="53"/>
      <c r="AM19" s="54" t="s">
        <v>38</v>
      </c>
      <c r="AN19" s="54"/>
      <c r="AO19" s="54"/>
      <c r="AP19" s="55" t="s">
        <v>39</v>
      </c>
      <c r="AQ19" s="55"/>
      <c r="AR19" s="55"/>
      <c r="AS19" s="56" t="s">
        <v>40</v>
      </c>
      <c r="AT19" s="56"/>
      <c r="AU19" s="56"/>
      <c r="AV19" s="52" t="s">
        <v>41</v>
      </c>
      <c r="AW19" s="52"/>
      <c r="AX19" s="52"/>
      <c r="AY19" s="54" t="s">
        <v>42</v>
      </c>
      <c r="AZ19" s="54"/>
      <c r="BA19" s="54"/>
      <c r="BB19" s="57" t="s">
        <v>43</v>
      </c>
      <c r="BC19" s="57"/>
      <c r="BD19" s="57"/>
      <c r="BI19" s="48" t="s">
        <v>32</v>
      </c>
      <c r="BJ19" s="48"/>
      <c r="BK19" s="48"/>
      <c r="BL19" s="49" t="s">
        <v>33</v>
      </c>
      <c r="BM19" s="49"/>
      <c r="BN19" s="49"/>
      <c r="BO19" s="50" t="s">
        <v>34</v>
      </c>
      <c r="BP19" s="50"/>
      <c r="BQ19" s="50"/>
      <c r="BR19" s="51" t="s">
        <v>35</v>
      </c>
      <c r="BS19" s="51"/>
      <c r="BT19" s="51"/>
      <c r="BU19" s="52" t="s">
        <v>36</v>
      </c>
      <c r="BV19" s="52"/>
      <c r="BW19" s="52"/>
      <c r="BX19" s="53" t="s">
        <v>37</v>
      </c>
      <c r="BY19" s="53"/>
      <c r="BZ19" s="53"/>
      <c r="CA19" s="54" t="s">
        <v>38</v>
      </c>
      <c r="CB19" s="54"/>
      <c r="CC19" s="54"/>
      <c r="CD19" s="55" t="s">
        <v>39</v>
      </c>
      <c r="CE19" s="55"/>
      <c r="CF19" s="55"/>
      <c r="CG19" s="56" t="s">
        <v>40</v>
      </c>
      <c r="CH19" s="56"/>
      <c r="CI19" s="56"/>
      <c r="CJ19" s="52" t="s">
        <v>41</v>
      </c>
      <c r="CK19" s="52"/>
      <c r="CL19" s="52"/>
      <c r="CM19" s="54" t="s">
        <v>42</v>
      </c>
      <c r="CN19" s="54"/>
      <c r="CO19" s="54"/>
      <c r="CP19" s="57" t="s">
        <v>43</v>
      </c>
      <c r="CQ19" s="57"/>
      <c r="CR19" s="57"/>
    </row>
    <row r="20" spans="21:96" x14ac:dyDescent="0.25">
      <c r="U20" s="48"/>
      <c r="V20" s="48"/>
      <c r="W20" s="48"/>
      <c r="X20" s="49"/>
      <c r="Y20" s="49"/>
      <c r="Z20" s="49"/>
      <c r="AA20" s="50"/>
      <c r="AB20" s="50"/>
      <c r="AC20" s="50"/>
      <c r="AD20" s="51"/>
      <c r="AE20" s="51"/>
      <c r="AF20" s="51"/>
      <c r="AG20" s="52"/>
      <c r="AH20" s="52"/>
      <c r="AI20" s="52"/>
      <c r="AJ20" s="53"/>
      <c r="AK20" s="53"/>
      <c r="AL20" s="53"/>
      <c r="AM20" s="54"/>
      <c r="AN20" s="54"/>
      <c r="AO20" s="54"/>
      <c r="AP20" s="55"/>
      <c r="AQ20" s="55"/>
      <c r="AR20" s="55"/>
      <c r="AS20" s="56"/>
      <c r="AT20" s="56"/>
      <c r="AU20" s="56"/>
      <c r="AV20" s="52"/>
      <c r="AW20" s="52"/>
      <c r="AX20" s="52"/>
      <c r="AY20" s="54"/>
      <c r="AZ20" s="54"/>
      <c r="BA20" s="54"/>
      <c r="BB20" s="57"/>
      <c r="BC20" s="57"/>
      <c r="BD20" s="57"/>
      <c r="BI20" s="48"/>
      <c r="BJ20" s="48"/>
      <c r="BK20" s="48"/>
      <c r="BL20" s="49"/>
      <c r="BM20" s="49"/>
      <c r="BN20" s="49"/>
      <c r="BO20" s="50"/>
      <c r="BP20" s="50"/>
      <c r="BQ20" s="50"/>
      <c r="BR20" s="51"/>
      <c r="BS20" s="51"/>
      <c r="BT20" s="51"/>
      <c r="BU20" s="52"/>
      <c r="BV20" s="52"/>
      <c r="BW20" s="52"/>
      <c r="BX20" s="53"/>
      <c r="BY20" s="53"/>
      <c r="BZ20" s="53"/>
      <c r="CA20" s="54"/>
      <c r="CB20" s="54"/>
      <c r="CC20" s="54"/>
      <c r="CD20" s="55"/>
      <c r="CE20" s="55"/>
      <c r="CF20" s="55"/>
      <c r="CG20" s="56"/>
      <c r="CH20" s="56"/>
      <c r="CI20" s="56"/>
      <c r="CJ20" s="52"/>
      <c r="CK20" s="52"/>
      <c r="CL20" s="52"/>
      <c r="CM20" s="54"/>
      <c r="CN20" s="54"/>
      <c r="CO20" s="54"/>
      <c r="CP20" s="57"/>
      <c r="CQ20" s="57"/>
      <c r="CR20" s="57"/>
    </row>
    <row r="21" spans="21:96" x14ac:dyDescent="0.25">
      <c r="U21" s="58" t="s">
        <v>16</v>
      </c>
      <c r="V21" s="58"/>
      <c r="W21" s="58"/>
      <c r="X21" s="59">
        <f>SUMIFS($U$34:$U$10000,$W$34:$W$10000,U21,$AZ$34:$AZ$10000,"&gt;0")</f>
        <v>0.14</v>
      </c>
      <c r="Y21" s="59"/>
      <c r="Z21" s="59"/>
      <c r="AA21" s="59">
        <f>SUMIFS($AJ$34:$AJ$10000,$W$34:$W$10000,U21,$AZ$34:$AZ$10000,"&gt;0")</f>
        <v>0.14</v>
      </c>
      <c r="AB21" s="59"/>
      <c r="AC21" s="59"/>
      <c r="AD21" s="59">
        <f>IF(ISERROR(AA21/X21),0,AA21/X21)</f>
        <v>0.14</v>
      </c>
      <c r="AE21" s="59"/>
      <c r="AF21" s="59"/>
      <c r="AG21" s="59">
        <v>0</v>
      </c>
      <c r="AH21" s="59"/>
      <c r="AI21" s="59"/>
      <c r="AJ21" s="59">
        <f>SUMIFS($AZ$34:$AZ$10000,$W$34:$W$10000,U21,$AZ$34:$AZ$10000,"&gt;0")</f>
        <v>0.14</v>
      </c>
      <c r="AK21" s="59"/>
      <c r="AL21" s="59"/>
      <c r="AM21" s="59">
        <f>IF(ISERROR(AJ21*24/X21),0,AJ21*24/X21)</f>
        <v>0.14</v>
      </c>
      <c r="AN21" s="59"/>
      <c r="AO21" s="59"/>
      <c r="AP21" s="59">
        <v>0</v>
      </c>
      <c r="AQ21" s="59"/>
      <c r="AR21" s="59"/>
      <c r="AS21" s="59">
        <f>IF(ISERROR(AA21/AG21),0,AA21/AG21)</f>
        <v>0.14</v>
      </c>
      <c r="AT21" s="59"/>
      <c r="AU21" s="59"/>
      <c r="AV21" s="59">
        <f>IF(AS21=0, AP21*X21/24,AP21*AS21/24)</f>
        <v>0.14</v>
      </c>
      <c r="AW21" s="59"/>
      <c r="AX21" s="59"/>
      <c r="AY21" s="59">
        <f>AJ21-AV21</f>
        <v>0.14</v>
      </c>
      <c r="AZ21" s="59"/>
      <c r="BA21" s="59"/>
      <c r="BB21" s="60">
        <v>0</v>
      </c>
      <c r="BC21" s="60"/>
      <c r="BD21" s="60"/>
      <c r="BI21" s="58" t="s">
        <v>16</v>
      </c>
      <c r="BJ21" s="58"/>
      <c r="BK21" s="58"/>
      <c r="BL21" s="59">
        <f>SUMIFS($U$34:$U$10000,$W$34:$W$10000,BI21,$BT$34:$BT$10000,"&gt;0")</f>
        <v>0.14</v>
      </c>
      <c r="BM21" s="59"/>
      <c r="BN21" s="59"/>
      <c r="BO21" s="59">
        <f>SUMIFS($AJ$34:$AJ$10000,$W$34:$W$10000,BI21,$BT$34:$BT$10000,"&gt;0")</f>
        <v>0.14</v>
      </c>
      <c r="BP21" s="59"/>
      <c r="BQ21" s="59"/>
      <c r="BR21" s="59">
        <f>IF(ISERROR(BO21/BL21),0,BO21/BL21)</f>
        <v>0.14</v>
      </c>
      <c r="BS21" s="59"/>
      <c r="BT21" s="59"/>
      <c r="BU21" s="59">
        <v>0</v>
      </c>
      <c r="BV21" s="59"/>
      <c r="BW21" s="59"/>
      <c r="BX21" s="59">
        <f>SUMIFS($BT$34:$BT$10000,$W$34:$W$10000,BI21,$BT$34:$BT$10000,"&gt;0")</f>
        <v>0.14</v>
      </c>
      <c r="BY21" s="59"/>
      <c r="BZ21" s="59"/>
      <c r="CA21" s="59">
        <f>IF(ISERROR(BX21*24/BL21),0,BX21*24/BL21)</f>
        <v>0.14</v>
      </c>
      <c r="CB21" s="59"/>
      <c r="CC21" s="59"/>
      <c r="CD21" s="59">
        <v>0</v>
      </c>
      <c r="CE21" s="59"/>
      <c r="CF21" s="59"/>
      <c r="CG21" s="59">
        <f>IF(ISERROR(BO21/BU21),0,BO21/BU21)</f>
        <v>0.14</v>
      </c>
      <c r="CH21" s="59"/>
      <c r="CI21" s="59"/>
      <c r="CJ21" s="59">
        <f>IF(CG21=0, CD21*BL21/24,CD21*CG21/24)</f>
        <v>0.14</v>
      </c>
      <c r="CK21" s="59"/>
      <c r="CL21" s="59"/>
      <c r="CM21" s="59">
        <f>BX21-CJ21</f>
        <v>0.14</v>
      </c>
      <c r="CN21" s="59"/>
      <c r="CO21" s="59"/>
      <c r="CP21" s="60">
        <v>0</v>
      </c>
      <c r="CQ21" s="60"/>
      <c r="CR21" s="60"/>
    </row>
    <row r="22" spans="21:96" x14ac:dyDescent="0.25">
      <c r="U22" s="58" t="s">
        <v>20</v>
      </c>
      <c r="V22" s="58"/>
      <c r="W22" s="58"/>
      <c r="X22" s="59">
        <f>SUMIFS($U$34:$U$10000,$W$34:$W$10000,U22,$AZ$34:$AZ$10000,"&gt;0")</f>
        <v>0.14</v>
      </c>
      <c r="Y22" s="59"/>
      <c r="Z22" s="59"/>
      <c r="AA22" s="59">
        <f>SUMIFS($AJ$34:$AJ$10000,$W$34:$W$10000,U22,$AZ$34:$AZ$10000,"&gt;0")</f>
        <v>0.14</v>
      </c>
      <c r="AB22" s="59"/>
      <c r="AC22" s="59"/>
      <c r="AD22" s="59">
        <f>IF(ISERROR(AA22/X22),0,AA22/X22)</f>
        <v>0.14</v>
      </c>
      <c r="AE22" s="59"/>
      <c r="AF22" s="59"/>
      <c r="AG22" s="59">
        <v>0</v>
      </c>
      <c r="AH22" s="59"/>
      <c r="AI22" s="59"/>
      <c r="AJ22" s="59">
        <f>SUMIFS($AZ$34:$AZ$10000,$W$34:$W$10000,U22,$AZ$34:$AZ$10000,"&gt;0")</f>
        <v>0.14</v>
      </c>
      <c r="AK22" s="59"/>
      <c r="AL22" s="59"/>
      <c r="AM22" s="59">
        <f>IF(ISERROR(AJ22*24/X22),0,AJ22*24/X22)</f>
        <v>0.14</v>
      </c>
      <c r="AN22" s="59"/>
      <c r="AO22" s="59"/>
      <c r="AP22" s="59">
        <v>0</v>
      </c>
      <c r="AQ22" s="59"/>
      <c r="AR22" s="59"/>
      <c r="AS22" s="59">
        <f>IF(ISERROR(AA22/AG22),0,AA22/AG22)</f>
        <v>0.14</v>
      </c>
      <c r="AT22" s="59"/>
      <c r="AU22" s="59"/>
      <c r="AV22" s="59">
        <f>IF(AS22=0, AP22*X22/24,AP22*AS22/24)</f>
        <v>0.14</v>
      </c>
      <c r="AW22" s="59"/>
      <c r="AX22" s="59"/>
      <c r="AY22" s="59">
        <f>AJ22-AV22</f>
        <v>0.14</v>
      </c>
      <c r="AZ22" s="59"/>
      <c r="BA22" s="59"/>
      <c r="BB22" s="60">
        <v>0</v>
      </c>
      <c r="BC22" s="60"/>
      <c r="BD22" s="60"/>
      <c r="BI22" s="58" t="s">
        <v>20</v>
      </c>
      <c r="BJ22" s="58"/>
      <c r="BK22" s="58"/>
      <c r="BL22" s="59">
        <f>SUMIFS($U$34:$U$10000,$W$34:$W$10000,BI22,$BT$34:$BT$10000,"&gt;0")</f>
        <v>0.14</v>
      </c>
      <c r="BM22" s="59"/>
      <c r="BN22" s="59"/>
      <c r="BO22" s="59">
        <f>SUMIFS($AJ$34:$AJ$10000,$W$34:$W$10000,BI22,$BT$34:$BT$10000,"&gt;0")</f>
        <v>0.14</v>
      </c>
      <c r="BP22" s="59"/>
      <c r="BQ22" s="59"/>
      <c r="BR22" s="59">
        <f>IF(ISERROR(BO22/BL22),0,BO22/BL22)</f>
        <v>0.14</v>
      </c>
      <c r="BS22" s="59"/>
      <c r="BT22" s="59"/>
      <c r="BU22" s="59">
        <v>0</v>
      </c>
      <c r="BV22" s="59"/>
      <c r="BW22" s="59"/>
      <c r="BX22" s="59">
        <f>SUMIFS($BT$34:$BT$10000,$W$34:$W$10000,BI22,$BT$34:$BT$10000,"&gt;0")</f>
        <v>0.14</v>
      </c>
      <c r="BY22" s="59"/>
      <c r="BZ22" s="59"/>
      <c r="CA22" s="59">
        <f>IF(ISERROR(BX22*24/BL22),0,BX22*24/BL22)</f>
        <v>0.14</v>
      </c>
      <c r="CB22" s="59"/>
      <c r="CC22" s="59"/>
      <c r="CD22" s="59">
        <v>0</v>
      </c>
      <c r="CE22" s="59"/>
      <c r="CF22" s="59"/>
      <c r="CG22" s="59">
        <f>IF(ISERROR(BO22/BU22),0,BO22/BU22)</f>
        <v>0.14</v>
      </c>
      <c r="CH22" s="59"/>
      <c r="CI22" s="59"/>
      <c r="CJ22" s="59">
        <f>IF(CG22=0, CD22*BL22/24,CD22*CG22/24)</f>
        <v>0.14</v>
      </c>
      <c r="CK22" s="59"/>
      <c r="CL22" s="59"/>
      <c r="CM22" s="59">
        <f>BX22-CJ22</f>
        <v>0.14</v>
      </c>
      <c r="CN22" s="59"/>
      <c r="CO22" s="59"/>
      <c r="CP22" s="60">
        <v>0</v>
      </c>
      <c r="CQ22" s="60"/>
      <c r="CR22" s="60"/>
    </row>
    <row r="23" spans="21:96" x14ac:dyDescent="0.25">
      <c r="U23" s="58" t="s">
        <v>19</v>
      </c>
      <c r="V23" s="58"/>
      <c r="W23" s="58"/>
      <c r="X23" s="59">
        <f>SUMIFS($U$34:$U$10000,$W$34:$W$10000,U23,$AZ$34:$AZ$10000,"&gt;0")</f>
        <v>0.14</v>
      </c>
      <c r="Y23" s="59"/>
      <c r="Z23" s="59"/>
      <c r="AA23" s="59">
        <f>SUMIFS($AJ$34:$AJ$10000,$W$34:$W$10000,U23,$AZ$34:$AZ$10000,"&gt;0")</f>
        <v>0.14</v>
      </c>
      <c r="AB23" s="59"/>
      <c r="AC23" s="59"/>
      <c r="AD23" s="59">
        <f>IF(ISERROR(AA23/X23),0,AA23/X23)</f>
        <v>0.14</v>
      </c>
      <c r="AE23" s="59"/>
      <c r="AF23" s="59"/>
      <c r="AG23" s="59">
        <v>0</v>
      </c>
      <c r="AH23" s="59"/>
      <c r="AI23" s="59"/>
      <c r="AJ23" s="59">
        <f>SUMIFS($AZ$34:$AZ$10000,$W$34:$W$10000,U23,$AZ$34:$AZ$10000,"&gt;0")</f>
        <v>0.14</v>
      </c>
      <c r="AK23" s="59"/>
      <c r="AL23" s="59"/>
      <c r="AM23" s="59">
        <f>IF(ISERROR(AJ23*24/X23),0,AJ23*24/X23)</f>
        <v>0.14</v>
      </c>
      <c r="AN23" s="59"/>
      <c r="AO23" s="59"/>
      <c r="AP23" s="59">
        <v>0</v>
      </c>
      <c r="AQ23" s="59"/>
      <c r="AR23" s="59"/>
      <c r="AS23" s="59">
        <f>IF(ISERROR(AA23/AG23),0,AA23/AG23)</f>
        <v>0.14</v>
      </c>
      <c r="AT23" s="59"/>
      <c r="AU23" s="59"/>
      <c r="AV23" s="59">
        <f>IF(AS23=0, AP23*X23/24,AP23*AS23/24)</f>
        <v>0.14</v>
      </c>
      <c r="AW23" s="59"/>
      <c r="AX23" s="59"/>
      <c r="AY23" s="59">
        <f>AJ23-AV23</f>
        <v>0.14</v>
      </c>
      <c r="AZ23" s="59"/>
      <c r="BA23" s="59"/>
      <c r="BB23" s="60">
        <f>X23-AS23</f>
        <v>0.14</v>
      </c>
      <c r="BC23" s="60"/>
      <c r="BD23" s="60"/>
      <c r="BI23" s="58" t="s">
        <v>19</v>
      </c>
      <c r="BJ23" s="58"/>
      <c r="BK23" s="58"/>
      <c r="BL23" s="59">
        <f>SUMIFS($U$34:$U$10000,$W$34:$W$10000,BI23,$BT$34:$BT$10000,"&gt;0")</f>
        <v>0.14</v>
      </c>
      <c r="BM23" s="59"/>
      <c r="BN23" s="59"/>
      <c r="BO23" s="59">
        <f>SUMIFS($AJ$34:$AJ$10000,$W$34:$W$10000,BI23,$BT$34:$BT$10000,"&gt;0")</f>
        <v>0.14</v>
      </c>
      <c r="BP23" s="59"/>
      <c r="BQ23" s="59"/>
      <c r="BR23" s="59">
        <f>IF(ISERROR(BO23/BL23),0,BO23/BL23)</f>
        <v>0.14</v>
      </c>
      <c r="BS23" s="59"/>
      <c r="BT23" s="59"/>
      <c r="BU23" s="59">
        <v>0</v>
      </c>
      <c r="BV23" s="59"/>
      <c r="BW23" s="59"/>
      <c r="BX23" s="59">
        <f>SUMIFS($BT$34:$BT$10000,$W$34:$W$10000,BI23,$BT$34:$BT$10000,"&gt;0")</f>
        <v>0.14</v>
      </c>
      <c r="BY23" s="59"/>
      <c r="BZ23" s="59"/>
      <c r="CA23" s="59">
        <f>IF(ISERROR(BX23*24/BL23),0,BX23*24/BL23)</f>
        <v>0.14</v>
      </c>
      <c r="CB23" s="59"/>
      <c r="CC23" s="59"/>
      <c r="CD23" s="59">
        <v>0</v>
      </c>
      <c r="CE23" s="59"/>
      <c r="CF23" s="59"/>
      <c r="CG23" s="59">
        <f>IF(ISERROR(BO23/BU23),0,BO23/BU23)</f>
        <v>0.14</v>
      </c>
      <c r="CH23" s="59"/>
      <c r="CI23" s="59"/>
      <c r="CJ23" s="59">
        <f>IF(CG23=0, CD23*BL23/24,CD23*CG23/24)</f>
        <v>0.14</v>
      </c>
      <c r="CK23" s="59"/>
      <c r="CL23" s="59"/>
      <c r="CM23" s="59">
        <f>BX23-CJ23</f>
        <v>0.14</v>
      </c>
      <c r="CN23" s="59"/>
      <c r="CO23" s="59"/>
      <c r="CP23" s="60">
        <f>BL23-CG23</f>
        <v>0.14</v>
      </c>
      <c r="CQ23" s="60"/>
      <c r="CR23" s="60"/>
    </row>
    <row r="24" spans="21:96" x14ac:dyDescent="0.25">
      <c r="U24" s="58" t="s">
        <v>23</v>
      </c>
      <c r="V24" s="58"/>
      <c r="W24" s="58"/>
      <c r="X24" s="59">
        <f>SUMIFS($U$34:$U$10000,$W$34:$W$10000,U24,$AZ$34:$AZ$10000,"&gt;0")</f>
        <v>0.14</v>
      </c>
      <c r="Y24" s="59"/>
      <c r="Z24" s="59"/>
      <c r="AA24" s="59">
        <f>SUMIFS($AJ$34:$AJ$10000,$W$34:$W$10000,U24,$AZ$34:$AZ$10000,"&gt;0")</f>
        <v>0.14</v>
      </c>
      <c r="AB24" s="59"/>
      <c r="AC24" s="59"/>
      <c r="AD24" s="59">
        <f>IF(ISERROR(AA24/X24),0,AA24/X24)</f>
        <v>0.14</v>
      </c>
      <c r="AE24" s="59"/>
      <c r="AF24" s="59"/>
      <c r="AG24" s="59">
        <v>0</v>
      </c>
      <c r="AH24" s="59"/>
      <c r="AI24" s="59"/>
      <c r="AJ24" s="59">
        <f>SUMIFS($AZ$34:$AZ$10000,$W$34:$W$10000,U24,$AZ$34:$AZ$10000,"&gt;0")</f>
        <v>0.14</v>
      </c>
      <c r="AK24" s="59"/>
      <c r="AL24" s="59"/>
      <c r="AM24" s="59">
        <f>IF(ISERROR(AJ24*24/X24),0,AJ24*24/X24)</f>
        <v>0.14</v>
      </c>
      <c r="AN24" s="59"/>
      <c r="AO24" s="59"/>
      <c r="AP24" s="59">
        <v>0</v>
      </c>
      <c r="AQ24" s="59"/>
      <c r="AR24" s="59"/>
      <c r="AS24" s="59">
        <f>IF(ISERROR(AA24/AG24),0,AA24/AG24)</f>
        <v>0.14</v>
      </c>
      <c r="AT24" s="59"/>
      <c r="AU24" s="59"/>
      <c r="AV24" s="59">
        <f>IF(AS24=0, AP24*X24/24,AP24*AS24/24)</f>
        <v>0.14</v>
      </c>
      <c r="AW24" s="59"/>
      <c r="AX24" s="59"/>
      <c r="AY24" s="59">
        <f>AJ24-AV24</f>
        <v>0.14</v>
      </c>
      <c r="AZ24" s="59"/>
      <c r="BA24" s="59"/>
      <c r="BB24" s="60">
        <f>X24-AS24</f>
        <v>0.14</v>
      </c>
      <c r="BC24" s="60"/>
      <c r="BD24" s="60"/>
      <c r="BI24" s="58" t="s">
        <v>23</v>
      </c>
      <c r="BJ24" s="58"/>
      <c r="BK24" s="58"/>
      <c r="BL24" s="59">
        <f>SUMIFS($U$34:$U$10000,$W$34:$W$10000,BI24,$BT$34:$BT$10000,"&gt;0")</f>
        <v>0.14</v>
      </c>
      <c r="BM24" s="59"/>
      <c r="BN24" s="59"/>
      <c r="BO24" s="59">
        <f>SUMIFS($AJ$34:$AJ$10000,$W$34:$W$10000,BI24,$BT$34:$BT$10000,"&gt;0")</f>
        <v>0.14</v>
      </c>
      <c r="BP24" s="59"/>
      <c r="BQ24" s="59"/>
      <c r="BR24" s="59">
        <f>IF(ISERROR(BO24/BL24),0,BO24/BL24)</f>
        <v>0.14</v>
      </c>
      <c r="BS24" s="59"/>
      <c r="BT24" s="59"/>
      <c r="BU24" s="59">
        <v>0</v>
      </c>
      <c r="BV24" s="59"/>
      <c r="BW24" s="59"/>
      <c r="BX24" s="59">
        <f>SUMIFS($BT$34:$BT$10000,$W$34:$W$10000,BI24,$BT$34:$BT$10000,"&gt;0")</f>
        <v>0.14</v>
      </c>
      <c r="BY24" s="59"/>
      <c r="BZ24" s="59"/>
      <c r="CA24" s="59">
        <f>IF(ISERROR(BX24*24/BL24),0,BX24*24/BL24)</f>
        <v>0.14</v>
      </c>
      <c r="CB24" s="59"/>
      <c r="CC24" s="59"/>
      <c r="CD24" s="59">
        <v>0</v>
      </c>
      <c r="CE24" s="59"/>
      <c r="CF24" s="59"/>
      <c r="CG24" s="59">
        <f>IF(ISERROR(BO24/BU24),0,BO24/BU24)</f>
        <v>0.14</v>
      </c>
      <c r="CH24" s="59"/>
      <c r="CI24" s="59"/>
      <c r="CJ24" s="59">
        <f>IF(CG24=0, CD24*BL24/24,CD24*CG24/24)</f>
        <v>0.14</v>
      </c>
      <c r="CK24" s="59"/>
      <c r="CL24" s="59"/>
      <c r="CM24" s="59">
        <f>BX24-CJ24</f>
        <v>0.14</v>
      </c>
      <c r="CN24" s="59"/>
      <c r="CO24" s="59"/>
      <c r="CP24" s="60">
        <f>BL24-CG24</f>
        <v>0.14</v>
      </c>
      <c r="CQ24" s="60"/>
      <c r="CR24" s="60"/>
    </row>
    <row r="25" spans="21:96" x14ac:dyDescent="0.25">
      <c r="U25" s="58" t="s">
        <v>26</v>
      </c>
      <c r="V25" s="58"/>
      <c r="W25" s="58"/>
      <c r="X25" s="59">
        <f>SUMIFS($U$34:$U$10000,$W$34:$W$10000,U25,$AZ$34:$AZ$10000,"&gt;0")</f>
        <v>0.14</v>
      </c>
      <c r="Y25" s="59"/>
      <c r="Z25" s="59"/>
      <c r="AA25" s="59">
        <f>SUMIFS($AJ$34:$AJ$10000,$W$34:$W$10000,U25,$AZ$34:$AZ$10000,"&gt;0")</f>
        <v>0.14</v>
      </c>
      <c r="AB25" s="59"/>
      <c r="AC25" s="59"/>
      <c r="AD25" s="59">
        <f>IF(ISERROR(AA25/X25),0,AA25/X25)</f>
        <v>0.14</v>
      </c>
      <c r="AE25" s="59"/>
      <c r="AF25" s="59"/>
      <c r="AG25" s="59">
        <v>0</v>
      </c>
      <c r="AH25" s="59"/>
      <c r="AI25" s="59"/>
      <c r="AJ25" s="59">
        <f>SUMIFS($AZ$34:$AZ$10000,$W$34:$W$10000,U25,$AZ$34:$AZ$10000,"&gt;0")</f>
        <v>0.14</v>
      </c>
      <c r="AK25" s="59"/>
      <c r="AL25" s="59"/>
      <c r="AM25" s="59">
        <f>IF(ISERROR(AJ25*24/X25),0,AJ25*24/X25)</f>
        <v>0.14</v>
      </c>
      <c r="AN25" s="59"/>
      <c r="AO25" s="59"/>
      <c r="AP25" s="59">
        <v>0</v>
      </c>
      <c r="AQ25" s="59"/>
      <c r="AR25" s="59"/>
      <c r="AS25" s="59">
        <f>IF(ISERROR(AA25/AG25),0,AA25/AG25)</f>
        <v>0.14</v>
      </c>
      <c r="AT25" s="59"/>
      <c r="AU25" s="59"/>
      <c r="AV25" s="59">
        <f>IF(AS25=0, AP25*X25/24,AP25*AS25/24)</f>
        <v>0.14</v>
      </c>
      <c r="AW25" s="59"/>
      <c r="AX25" s="59"/>
      <c r="AY25" s="59">
        <f>AJ25-AV25</f>
        <v>0.14</v>
      </c>
      <c r="AZ25" s="59"/>
      <c r="BA25" s="59"/>
      <c r="BB25" s="60">
        <f>X25-AS25</f>
        <v>0.14</v>
      </c>
      <c r="BC25" s="60"/>
      <c r="BD25" s="60"/>
      <c r="BI25" s="58" t="s">
        <v>26</v>
      </c>
      <c r="BJ25" s="58"/>
      <c r="BK25" s="58"/>
      <c r="BL25" s="59">
        <f>SUMIFS($U$34:$U$10000,$W$34:$W$10000,BI25,$BT$34:$BT$10000,"&gt;0")</f>
        <v>0.14</v>
      </c>
      <c r="BM25" s="59"/>
      <c r="BN25" s="59"/>
      <c r="BO25" s="59">
        <f>SUMIFS($AJ$34:$AJ$10000,$W$34:$W$10000,BI25,$BT$34:$BT$10000,"&gt;0")</f>
        <v>0.14</v>
      </c>
      <c r="BP25" s="59"/>
      <c r="BQ25" s="59"/>
      <c r="BR25" s="59">
        <f>IF(ISERROR(BO25/BL25),0,BO25/BL25)</f>
        <v>0.14</v>
      </c>
      <c r="BS25" s="59"/>
      <c r="BT25" s="59"/>
      <c r="BU25" s="59">
        <v>0</v>
      </c>
      <c r="BV25" s="59"/>
      <c r="BW25" s="59"/>
      <c r="BX25" s="59">
        <f>SUMIFS($BT$34:$BT$10000,$W$34:$W$10000,BI25,$BT$34:$BT$10000,"&gt;0")</f>
        <v>0.14</v>
      </c>
      <c r="BY25" s="59"/>
      <c r="BZ25" s="59"/>
      <c r="CA25" s="59">
        <f>IF(ISERROR(BX25*24/BL25),0,BX25*24/BL25)</f>
        <v>0.14</v>
      </c>
      <c r="CB25" s="59"/>
      <c r="CC25" s="59"/>
      <c r="CD25" s="59">
        <v>0</v>
      </c>
      <c r="CE25" s="59"/>
      <c r="CF25" s="59"/>
      <c r="CG25" s="59">
        <f>IF(ISERROR(BO25/BU25),0,BO25/BU25)</f>
        <v>0.14</v>
      </c>
      <c r="CH25" s="59"/>
      <c r="CI25" s="59"/>
      <c r="CJ25" s="59">
        <f>IF(CG25=0, CD25*BL25/24,CD25*CG25/24)</f>
        <v>0.14</v>
      </c>
      <c r="CK25" s="59"/>
      <c r="CL25" s="59"/>
      <c r="CM25" s="59">
        <f>BX25-CJ25</f>
        <v>0.14</v>
      </c>
      <c r="CN25" s="59"/>
      <c r="CO25" s="59"/>
      <c r="CP25" s="60">
        <f>BL25-CG25</f>
        <v>0.14</v>
      </c>
      <c r="CQ25" s="60"/>
      <c r="CR25" s="60"/>
    </row>
    <row r="26" spans="21:96" x14ac:dyDescent="0.25">
      <c r="U26" s="58" t="s">
        <v>27</v>
      </c>
      <c r="V26" s="58"/>
      <c r="W26" s="58"/>
      <c r="X26" s="59">
        <f>SUMIFS($U$34:$U$10000,$W$34:$W$10000,U26,$AZ$34:$AZ$10000,"&gt;0")</f>
        <v>0.14</v>
      </c>
      <c r="Y26" s="59"/>
      <c r="Z26" s="59"/>
      <c r="AA26" s="59">
        <f>SUMIFS($AJ$34:$AJ$10000,$W$34:$W$10000,U26,$AZ$34:$AZ$10000,"&gt;0")</f>
        <v>0.14</v>
      </c>
      <c r="AB26" s="59"/>
      <c r="AC26" s="59"/>
      <c r="AD26" s="59">
        <f>IF(ISERROR(AA26/X26),0,AA26/X26)</f>
        <v>0.14</v>
      </c>
      <c r="AE26" s="59"/>
      <c r="AF26" s="59"/>
      <c r="AG26" s="59">
        <v>0</v>
      </c>
      <c r="AH26" s="59"/>
      <c r="AI26" s="59"/>
      <c r="AJ26" s="59">
        <f>SUMIFS($AZ$34:$AZ$10000,$W$34:$W$10000,U26,$AZ$34:$AZ$10000,"&gt;0")</f>
        <v>0.14</v>
      </c>
      <c r="AK26" s="59"/>
      <c r="AL26" s="59"/>
      <c r="AM26" s="59">
        <f>IF(ISERROR(AJ26*24/X26),0,AJ26*24/X26)</f>
        <v>0.14</v>
      </c>
      <c r="AN26" s="59"/>
      <c r="AO26" s="59"/>
      <c r="AP26" s="59">
        <v>0</v>
      </c>
      <c r="AQ26" s="59"/>
      <c r="AR26" s="59"/>
      <c r="AS26" s="59">
        <f>IF(ISERROR(AA26/AG26),0,AA26/AG26)</f>
        <v>0.14</v>
      </c>
      <c r="AT26" s="59"/>
      <c r="AU26" s="59"/>
      <c r="AV26" s="59">
        <f>IF(AS26=0, AP26*X26/24,AP26*AS26/24)</f>
        <v>0.14</v>
      </c>
      <c r="AW26" s="59"/>
      <c r="AX26" s="59"/>
      <c r="AY26" s="59">
        <f>AJ26-AV26</f>
        <v>0.14</v>
      </c>
      <c r="AZ26" s="59"/>
      <c r="BA26" s="59"/>
      <c r="BB26" s="60">
        <v>0</v>
      </c>
      <c r="BC26" s="60"/>
      <c r="BD26" s="60"/>
      <c r="BI26" s="58" t="s">
        <v>27</v>
      </c>
      <c r="BJ26" s="58"/>
      <c r="BK26" s="58"/>
      <c r="BL26" s="59">
        <f>SUMIFS($U$34:$U$10000,$W$34:$W$10000,BI26,$BT$34:$BT$10000,"&gt;0")</f>
        <v>0.14</v>
      </c>
      <c r="BM26" s="59"/>
      <c r="BN26" s="59"/>
      <c r="BO26" s="59">
        <f>SUMIFS($AJ$34:$AJ$10000,$W$34:$W$10000,BI26,$BT$34:$BT$10000,"&gt;0")</f>
        <v>0.14</v>
      </c>
      <c r="BP26" s="59"/>
      <c r="BQ26" s="59"/>
      <c r="BR26" s="59">
        <f>IF(ISERROR(BO26/BL26),0,BO26/BL26)</f>
        <v>0.14</v>
      </c>
      <c r="BS26" s="59"/>
      <c r="BT26" s="59"/>
      <c r="BU26" s="59">
        <v>0</v>
      </c>
      <c r="BV26" s="59"/>
      <c r="BW26" s="59"/>
      <c r="BX26" s="59">
        <f>SUMIFS($BT$34:$BT$10000,$W$34:$W$10000,BI26,$BT$34:$BT$10000,"&gt;0")</f>
        <v>0.14</v>
      </c>
      <c r="BY26" s="59"/>
      <c r="BZ26" s="59"/>
      <c r="CA26" s="59">
        <f>IF(ISERROR(BX26*24/BL26),0,BX26*24/BL26)</f>
        <v>0.14</v>
      </c>
      <c r="CB26" s="59"/>
      <c r="CC26" s="59"/>
      <c r="CD26" s="59">
        <v>0</v>
      </c>
      <c r="CE26" s="59"/>
      <c r="CF26" s="59"/>
      <c r="CG26" s="59">
        <f>IF(ISERROR(BO26/BU26),0,BO26/BU26)</f>
        <v>0.14</v>
      </c>
      <c r="CH26" s="59"/>
      <c r="CI26" s="59"/>
      <c r="CJ26" s="59">
        <f>IF(CG26=0, CD26*BL26/24,CD26*CG26/24)</f>
        <v>0.14</v>
      </c>
      <c r="CK26" s="59"/>
      <c r="CL26" s="59"/>
      <c r="CM26" s="59">
        <f>BX26-CJ26</f>
        <v>0.14</v>
      </c>
      <c r="CN26" s="59"/>
      <c r="CO26" s="59"/>
      <c r="CP26" s="60">
        <v>0</v>
      </c>
      <c r="CQ26" s="60"/>
      <c r="CR26" s="60"/>
    </row>
    <row r="27" spans="21:96" x14ac:dyDescent="0.25">
      <c r="U27" s="58" t="s">
        <v>28</v>
      </c>
      <c r="V27" s="58"/>
      <c r="W27" s="58"/>
      <c r="X27" s="59">
        <f>SUMIFS($U$34:$U$10000,$W$34:$W$10000,U27,$AZ$34:$AZ$10000,"&gt;0")</f>
        <v>0.14</v>
      </c>
      <c r="Y27" s="59"/>
      <c r="Z27" s="59"/>
      <c r="AA27" s="59">
        <f>SUMIFS($AJ$34:$AJ$10000,$W$34:$W$10000,U27,$AZ$34:$AZ$10000,"&gt;0")</f>
        <v>0.14</v>
      </c>
      <c r="AB27" s="59"/>
      <c r="AC27" s="59"/>
      <c r="AD27" s="59">
        <f>IF(ISERROR(AA27/X27),0,AA27/X27)</f>
        <v>0.14</v>
      </c>
      <c r="AE27" s="59"/>
      <c r="AF27" s="59"/>
      <c r="AG27" s="59">
        <v>0</v>
      </c>
      <c r="AH27" s="59"/>
      <c r="AI27" s="59"/>
      <c r="AJ27" s="59">
        <f>SUMIFS($AZ$34:$AZ$10000,$W$34:$W$10000,U27,$AZ$34:$AZ$10000,"&gt;0")</f>
        <v>0.14</v>
      </c>
      <c r="AK27" s="59"/>
      <c r="AL27" s="59"/>
      <c r="AM27" s="59">
        <f>IF(ISERROR(AJ27*24/X27),0,AJ27*24/X27)</f>
        <v>0.14</v>
      </c>
      <c r="AN27" s="59"/>
      <c r="AO27" s="59"/>
      <c r="AP27" s="59">
        <v>0</v>
      </c>
      <c r="AQ27" s="59"/>
      <c r="AR27" s="59"/>
      <c r="AS27" s="59">
        <f>IF(ISERROR(AA27/AG27),0,AA27/AG27)</f>
        <v>0.14</v>
      </c>
      <c r="AT27" s="59"/>
      <c r="AU27" s="59"/>
      <c r="AV27" s="59">
        <f>IF(AS27=0, AP27*X27/24,AP27*AS27/24)</f>
        <v>0.14</v>
      </c>
      <c r="AW27" s="59"/>
      <c r="AX27" s="59"/>
      <c r="AY27" s="59">
        <f>AJ27-AV27</f>
        <v>0.14</v>
      </c>
      <c r="AZ27" s="59"/>
      <c r="BA27" s="59"/>
      <c r="BB27" s="60">
        <v>0</v>
      </c>
      <c r="BC27" s="60"/>
      <c r="BD27" s="60"/>
      <c r="BI27" s="58" t="s">
        <v>28</v>
      </c>
      <c r="BJ27" s="58"/>
      <c r="BK27" s="58"/>
      <c r="BL27" s="59">
        <f>SUMIFS($U$34:$U$10000,$W$34:$W$10000,BI27,$BT$34:$BT$10000,"&gt;0")</f>
        <v>0.14</v>
      </c>
      <c r="BM27" s="59"/>
      <c r="BN27" s="59"/>
      <c r="BO27" s="59">
        <f>SUMIFS($AJ$34:$AJ$10000,$W$34:$W$10000,BI27,$BT$34:$BT$10000,"&gt;0")</f>
        <v>0.14</v>
      </c>
      <c r="BP27" s="59"/>
      <c r="BQ27" s="59"/>
      <c r="BR27" s="59">
        <f>IF(ISERROR(BO27/BL27),0,BO27/BL27)</f>
        <v>0.14</v>
      </c>
      <c r="BS27" s="59"/>
      <c r="BT27" s="59"/>
      <c r="BU27" s="59">
        <v>0</v>
      </c>
      <c r="BV27" s="59"/>
      <c r="BW27" s="59"/>
      <c r="BX27" s="59">
        <f>SUMIFS($BT$34:$BT$10000,$W$34:$W$10000,BI27,$BT$34:$BT$10000,"&gt;0")</f>
        <v>0.14</v>
      </c>
      <c r="BY27" s="59"/>
      <c r="BZ27" s="59"/>
      <c r="CA27" s="59">
        <f>IF(ISERROR(BX27*24/BL27),0,BX27*24/BL27)</f>
        <v>0.14</v>
      </c>
      <c r="CB27" s="59"/>
      <c r="CC27" s="59"/>
      <c r="CD27" s="59">
        <v>0</v>
      </c>
      <c r="CE27" s="59"/>
      <c r="CF27" s="59"/>
      <c r="CG27" s="59">
        <f>IF(ISERROR(BO27/BU27),0,BO27/BU27)</f>
        <v>0.14</v>
      </c>
      <c r="CH27" s="59"/>
      <c r="CI27" s="59"/>
      <c r="CJ27" s="59">
        <f>IF(CG27=0, CD27*BL27/24,CD27*CG27/24)</f>
        <v>0.14</v>
      </c>
      <c r="CK27" s="59"/>
      <c r="CL27" s="59"/>
      <c r="CM27" s="59">
        <f>BX27-CJ27</f>
        <v>0.14</v>
      </c>
      <c r="CN27" s="59"/>
      <c r="CO27" s="59"/>
      <c r="CP27" s="60">
        <v>0</v>
      </c>
      <c r="CQ27" s="60"/>
      <c r="CR27" s="60"/>
    </row>
    <row r="28" spans="21:96" x14ac:dyDescent="0.25">
      <c r="U28" s="61" t="s">
        <v>29</v>
      </c>
      <c r="V28" s="61"/>
      <c r="W28" s="61"/>
      <c r="X28" s="62">
        <f>SUMIFS($U$34:$U$10000,$W$34:$W$10000,U28,$AZ$34:$AZ$10000,"&gt;0")</f>
        <v>0.14</v>
      </c>
      <c r="Y28" s="62"/>
      <c r="Z28" s="62"/>
      <c r="AA28" s="62">
        <f>SUMIFS($AJ$34:$AJ$10000,$W$34:$W$10000,U28,$AZ$34:$AZ$10000,"&gt;0")</f>
        <v>0.14</v>
      </c>
      <c r="AB28" s="62"/>
      <c r="AC28" s="62"/>
      <c r="AD28" s="62">
        <f>IF(ISERROR(AA28/X28),0,AA28/X28)</f>
        <v>0.14</v>
      </c>
      <c r="AE28" s="62"/>
      <c r="AF28" s="62"/>
      <c r="AG28" s="62">
        <v>0</v>
      </c>
      <c r="AH28" s="62"/>
      <c r="AI28" s="62"/>
      <c r="AJ28" s="62">
        <f>SUMIFS($AZ$34:$AZ$10000,$W$34:$W$10000,U28,$AZ$34:$AZ$10000,"&gt;0")</f>
        <v>0.14</v>
      </c>
      <c r="AK28" s="62"/>
      <c r="AL28" s="62"/>
      <c r="AM28" s="62">
        <f>IF(ISERROR(AJ28*24/X28),0,AJ28*24/X28)</f>
        <v>0.14</v>
      </c>
      <c r="AN28" s="62"/>
      <c r="AO28" s="62"/>
      <c r="AP28" s="62">
        <v>0</v>
      </c>
      <c r="AQ28" s="62"/>
      <c r="AR28" s="62"/>
      <c r="AS28" s="62">
        <f>IF(ISERROR(AA28/AG28),0,AA28/AG28)</f>
        <v>0.14</v>
      </c>
      <c r="AT28" s="62"/>
      <c r="AU28" s="62"/>
      <c r="AV28" s="62">
        <f>IF(AS28=0, AP28*X28/24,AP28*AS28/24)</f>
        <v>0.14</v>
      </c>
      <c r="AW28" s="62"/>
      <c r="AX28" s="62"/>
      <c r="AY28" s="62">
        <f>AJ28-AV28</f>
        <v>0.14</v>
      </c>
      <c r="AZ28" s="62"/>
      <c r="BA28" s="62"/>
      <c r="BB28" s="63">
        <v>0</v>
      </c>
      <c r="BC28" s="63"/>
      <c r="BD28" s="63"/>
      <c r="BI28" s="61" t="s">
        <v>29</v>
      </c>
      <c r="BJ28" s="61"/>
      <c r="BK28" s="61"/>
      <c r="BL28" s="62">
        <f>SUMIFS($U$34:$U$10000,$W$34:$W$10000,BI28,$BT$34:$BT$10000,"&gt;0")</f>
        <v>0.14</v>
      </c>
      <c r="BM28" s="62"/>
      <c r="BN28" s="62"/>
      <c r="BO28" s="62">
        <f>SUMIFS($AJ$34:$AJ$10000,$W$34:$W$10000,BI28,$BT$34:$BT$10000,"&gt;0")</f>
        <v>0.14</v>
      </c>
      <c r="BP28" s="62"/>
      <c r="BQ28" s="62"/>
      <c r="BR28" s="62">
        <f>IF(ISERROR(BO28/BL28),0,BO28/BL28)</f>
        <v>0.14</v>
      </c>
      <c r="BS28" s="62"/>
      <c r="BT28" s="62"/>
      <c r="BU28" s="62">
        <v>0</v>
      </c>
      <c r="BV28" s="62"/>
      <c r="BW28" s="62"/>
      <c r="BX28" s="62">
        <f>SUMIFS($BT$34:$BT$10000,$W$34:$W$10000,BI28,$BT$34:$BT$10000,"&gt;0")</f>
        <v>0.14</v>
      </c>
      <c r="BY28" s="62"/>
      <c r="BZ28" s="62"/>
      <c r="CA28" s="62">
        <f>IF(ISERROR(BX28*24/BL28),0,BX28*24/BL28)</f>
        <v>0.14</v>
      </c>
      <c r="CB28" s="62"/>
      <c r="CC28" s="62"/>
      <c r="CD28" s="62">
        <v>0</v>
      </c>
      <c r="CE28" s="62"/>
      <c r="CF28" s="62"/>
      <c r="CG28" s="62">
        <f>IF(ISERROR(BO28/BU28),0,BO28/BU28)</f>
        <v>0.14</v>
      </c>
      <c r="CH28" s="62"/>
      <c r="CI28" s="62"/>
      <c r="CJ28" s="62">
        <f>IF(CG28=0, CD28*BL28/24,CD28*CG28/24)</f>
        <v>0.14</v>
      </c>
      <c r="CK28" s="62"/>
      <c r="CL28" s="62"/>
      <c r="CM28" s="62">
        <f>BX28-CJ28</f>
        <v>0.14</v>
      </c>
      <c r="CN28" s="62"/>
      <c r="CO28" s="62"/>
      <c r="CP28" s="63">
        <v>0</v>
      </c>
      <c r="CQ28" s="63"/>
      <c r="CR28" s="63"/>
    </row>
    <row r="31" spans="44:79" x14ac:dyDescent="0.25">
      <c r="AR31" s="64" t="s">
        <v>44</v>
      </c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 t="s">
        <v>45</v>
      </c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</row>
    <row r="32" spans="36:79" x14ac:dyDescent="0.25">
      <c r="AJ32" s="65" t="s">
        <v>46</v>
      </c>
      <c r="AK32" s="65"/>
      <c r="AL32" s="65"/>
      <c r="AM32" s="65"/>
      <c r="AN32" s="65"/>
      <c r="AO32" s="65"/>
      <c r="AP32" s="65"/>
      <c r="AQ32" s="65"/>
      <c r="AR32" s="66" t="s">
        <v>47</v>
      </c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7">
        <f>AK7</f>
      </c>
      <c r="BF32" s="67"/>
      <c r="BG32" s="67"/>
      <c r="BH32" s="66" t="s">
        <v>47</v>
      </c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7">
        <f>AM7</f>
      </c>
      <c r="BZ32" s="67"/>
      <c r="CA32" s="67"/>
    </row>
    <row r="33" spans="1:79" x14ac:dyDescent="0.25">
      <c r="A33" t="s">
        <v>48</v>
      </c>
      <c r="B33" t="s">
        <v>49</v>
      </c>
      <c r="C33" t="s">
        <v>50</v>
      </c>
      <c r="D33" t="s">
        <v>2</v>
      </c>
      <c r="E33" t="s">
        <v>2</v>
      </c>
      <c r="F33" s="68" t="s">
        <v>51</v>
      </c>
      <c r="G33" s="68"/>
      <c r="H33" s="69" t="s">
        <v>52</v>
      </c>
      <c r="I33" s="69"/>
      <c r="J33" s="69"/>
      <c r="K33" s="69"/>
      <c r="L33" s="69" t="s">
        <v>53</v>
      </c>
      <c r="M33" s="69"/>
      <c r="N33" s="69"/>
      <c r="O33" s="69"/>
      <c r="P33" s="69" t="s">
        <v>54</v>
      </c>
      <c r="Q33" s="69"/>
      <c r="R33" s="69"/>
      <c r="S33" s="69" t="s">
        <v>55</v>
      </c>
      <c r="T33" s="69"/>
      <c r="U33" s="68" t="s">
        <v>56</v>
      </c>
      <c r="V33" s="68"/>
      <c r="W33" s="69" t="s">
        <v>57</v>
      </c>
      <c r="X33" s="69"/>
      <c r="Y33" s="69"/>
      <c r="Z33" s="69"/>
      <c r="AA33" s="69" t="s">
        <v>7</v>
      </c>
      <c r="AB33" s="69"/>
      <c r="AC33" s="69" t="s">
        <v>58</v>
      </c>
      <c r="AD33" s="69"/>
      <c r="AE33" s="69"/>
      <c r="AF33" s="69"/>
      <c r="AG33" s="69"/>
      <c r="AH33" s="69"/>
      <c r="AI33" s="69"/>
      <c r="AJ33" s="69" t="s">
        <v>59</v>
      </c>
      <c r="AK33" s="69"/>
      <c r="AL33" s="69" t="s">
        <v>56</v>
      </c>
      <c r="AM33" s="69"/>
      <c r="AN33" s="68" t="s">
        <v>7</v>
      </c>
      <c r="AO33" s="68"/>
      <c r="AP33" s="69" t="s">
        <v>60</v>
      </c>
      <c r="AQ33" s="69"/>
      <c r="AR33" s="69" t="s">
        <v>61</v>
      </c>
      <c r="AS33" s="69"/>
      <c r="AT33" s="69" t="s">
        <v>62</v>
      </c>
      <c r="AU33" s="69"/>
      <c r="AV33" s="69" t="s">
        <v>63</v>
      </c>
      <c r="AW33" s="69"/>
      <c r="AX33" s="69" t="s">
        <v>64</v>
      </c>
      <c r="AY33" s="69"/>
      <c r="AZ33" s="68" t="s">
        <v>65</v>
      </c>
      <c r="BA33" s="68"/>
      <c r="BB33" s="68" t="s">
        <v>66</v>
      </c>
      <c r="BC33" s="68"/>
      <c r="BD33" s="69" t="s">
        <v>67</v>
      </c>
      <c r="BE33" s="69"/>
      <c r="BF33" s="68" t="s">
        <v>68</v>
      </c>
      <c r="BG33" s="68"/>
      <c r="BH33" s="69" t="s">
        <v>61</v>
      </c>
      <c r="BI33" s="69"/>
      <c r="BJ33" s="69" t="s">
        <v>62</v>
      </c>
      <c r="BK33" s="69"/>
      <c r="BL33" s="69" t="s">
        <v>63</v>
      </c>
      <c r="BM33" s="69"/>
      <c r="BN33" s="69" t="s">
        <v>69</v>
      </c>
      <c r="BO33" s="69"/>
      <c r="BP33" s="69" t="s">
        <v>70</v>
      </c>
      <c r="BQ33" s="69"/>
      <c r="BR33" s="69" t="s">
        <v>64</v>
      </c>
      <c r="BS33" s="69"/>
      <c r="BT33" s="68" t="s">
        <v>65</v>
      </c>
      <c r="BU33" s="68"/>
      <c r="BV33" s="68" t="s">
        <v>66</v>
      </c>
      <c r="BW33" s="68"/>
      <c r="BX33" s="69" t="s">
        <v>67</v>
      </c>
      <c r="BY33" s="69"/>
      <c r="BZ33" s="68" t="s">
        <v>68</v>
      </c>
      <c r="CA33" s="68"/>
    </row>
    <row r="34" spans="1:79" x14ac:dyDescent="0.25">
      <c r="A34">
        <v>1</v>
      </c>
      <c r="B34">
        <v>1</v>
      </c>
      <c r="C34">
        <v>1</v>
      </c>
      <c r="D34" t="s">
        <v>2</v>
      </c>
      <c r="E34">
        <f>AND( AI34 &lt;12, AI34 &gt; 0 )</f>
      </c>
      <c r="F34" t="s">
        <v>71</v>
      </c>
      <c r="G34"/>
      <c r="H34" t="s">
        <v>72</v>
      </c>
      <c r="I34"/>
      <c r="J34"/>
      <c r="K34"/>
      <c r="L34" t="s">
        <v>73</v>
      </c>
      <c r="M34"/>
      <c r="N34"/>
      <c r="O34"/>
      <c r="P34" s="70" t="s">
        <v>13</v>
      </c>
      <c r="Q34" s="70"/>
      <c r="R34" s="70"/>
      <c r="S34" t="s">
        <v>74</v>
      </c>
      <c r="T34"/>
      <c r="U34">
        <v>0</v>
      </c>
      <c r="V34"/>
      <c r="W34" t="s">
        <v>27</v>
      </c>
      <c r="X34"/>
      <c r="Y34"/>
      <c r="Z34"/>
      <c r="AA34" t="s">
        <v>2</v>
      </c>
      <c r="AB34"/>
      <c r="AC34" t="s">
        <v>2</v>
      </c>
      <c r="AD34"/>
      <c r="AE34"/>
      <c r="AF34"/>
      <c r="AG34"/>
      <c r="AH34"/>
      <c r="AI34"/>
      <c r="AJ34">
        <v>0</v>
      </c>
      <c r="AK34"/>
      <c r="AL34">
        <v>0</v>
      </c>
      <c r="AM34"/>
      <c r="AN34">
        <f>IF(ISERROR(AJ34/AL34),0,AJ34/AL34)</f>
      </c>
      <c r="AO34"/>
      <c r="AP34" t="s">
        <v>2</v>
      </c>
      <c r="AQ34"/>
      <c r="AR34">
        <v>0</v>
      </c>
      <c r="AS34"/>
      <c r="AT34">
        <v>0</v>
      </c>
      <c r="AU34"/>
      <c r="AV34">
        <v>0</v>
      </c>
      <c r="AW34"/>
      <c r="AX34">
        <v>0</v>
      </c>
      <c r="AY34"/>
      <c r="AZ34">
        <f>SUM(AR34:AX34)</f>
      </c>
      <c r="BA34"/>
      <c r="BB34">
        <f>IF(ISERROR(AZ34*24/AL34),0,AZ34*24/AL34)</f>
      </c>
      <c r="BC34"/>
      <c r="BD34">
        <v>100</v>
      </c>
      <c r="BE34"/>
      <c r="BF34">
        <f>BE32-AZ34+BD34</f>
      </c>
      <c r="BG34"/>
      <c r="BH34">
        <v>0</v>
      </c>
      <c r="BI34"/>
      <c r="BJ34">
        <v>0</v>
      </c>
      <c r="BK34"/>
      <c r="BL34">
        <v>0</v>
      </c>
      <c r="BM34"/>
      <c r="BN34">
        <v>0</v>
      </c>
      <c r="BO34"/>
      <c r="BP34">
        <v>0</v>
      </c>
      <c r="BQ34"/>
      <c r="BR34">
        <v>0</v>
      </c>
      <c r="BS34"/>
      <c r="BT34">
        <f>SUM(BH34:BS34)</f>
      </c>
      <c r="BU34"/>
      <c r="BV34">
        <f>IF(ISERROR(BT34*24/AL34),0,BT34*24/AL34)</f>
      </c>
      <c r="BW34"/>
      <c r="BX34">
        <v>20</v>
      </c>
      <c r="BY34"/>
      <c r="BZ34">
        <f>BY32-BT34+BX34</f>
      </c>
      <c r="CA34"/>
    </row>
    <row r="35" spans="1:79" x14ac:dyDescent="0.25">
      <c r="A35">
        <v>1</v>
      </c>
      <c r="B35">
        <v>1</v>
      </c>
      <c r="C35">
        <v>2</v>
      </c>
      <c r="D35" t="s">
        <v>2</v>
      </c>
      <c r="E35">
        <f>AND( AI35 &lt;12, AI35 &gt; 0 )</f>
      </c>
      <c r="F35" t="s">
        <v>71</v>
      </c>
      <c r="G35"/>
      <c r="H35" t="s">
        <v>72</v>
      </c>
      <c r="I35"/>
      <c r="J35"/>
      <c r="K35"/>
      <c r="L35" t="s">
        <v>73</v>
      </c>
      <c r="M35"/>
      <c r="N35"/>
      <c r="O35"/>
      <c r="P35" s="70" t="s">
        <v>75</v>
      </c>
      <c r="Q35" s="70"/>
      <c r="R35" s="70"/>
      <c r="S35" t="s">
        <v>76</v>
      </c>
      <c r="T35"/>
      <c r="U35">
        <f>=(P35 - P34)*24</f>
      </c>
      <c r="V35"/>
      <c r="W35" t="s">
        <v>27</v>
      </c>
      <c r="X35"/>
      <c r="Y35"/>
      <c r="Z35"/>
      <c r="AA35" t="s">
        <v>2</v>
      </c>
      <c r="AB35"/>
      <c r="AC35" t="s">
        <v>2</v>
      </c>
      <c r="AD35"/>
      <c r="AE35"/>
      <c r="AF35"/>
      <c r="AG35"/>
      <c r="AH35"/>
      <c r="AI35"/>
      <c r="AJ35">
        <v>0</v>
      </c>
      <c r="AK35"/>
      <c r="AL35">
        <f>=(P35 - P34)*24</f>
      </c>
      <c r="AM35"/>
      <c r="AN35">
        <f>IF(ISERROR(AJ35/AL35),0,AJ35/AL35)</f>
      </c>
      <c r="AO35"/>
      <c r="AP35" t="s">
        <v>2</v>
      </c>
      <c r="AQ35"/>
      <c r="AR35">
        <v>0</v>
      </c>
      <c r="AS35"/>
      <c r="AT35">
        <v>0</v>
      </c>
      <c r="AU35"/>
      <c r="AV35">
        <v>0</v>
      </c>
      <c r="AW35"/>
      <c r="AX35">
        <v>0</v>
      </c>
      <c r="AY35"/>
      <c r="AZ35">
        <f>SUM(AR35:AX35)</f>
      </c>
      <c r="BA35"/>
      <c r="BB35">
        <f>IF(ISERROR(AZ35*24/AL35),0,AZ35*24/AL35)</f>
      </c>
      <c r="BC35"/>
      <c r="BD35">
        <v>0</v>
      </c>
      <c r="BE35"/>
      <c r="BF35">
        <f>BF34-AZ35+BD35</f>
      </c>
      <c r="BG35"/>
      <c r="BH35">
        <v>0</v>
      </c>
      <c r="BI35"/>
      <c r="BJ35">
        <v>0.05</v>
      </c>
      <c r="BK35"/>
      <c r="BL35">
        <v>0.06</v>
      </c>
      <c r="BM35"/>
      <c r="BN35">
        <v>0</v>
      </c>
      <c r="BO35"/>
      <c r="BP35">
        <v>0</v>
      </c>
      <c r="BQ35"/>
      <c r="BR35">
        <v>0</v>
      </c>
      <c r="BS35"/>
      <c r="BT35">
        <f>SUM(BH35:BS35)</f>
      </c>
      <c r="BU35"/>
      <c r="BV35">
        <f>IF(ISERROR(BT35*24/AL35),0,BT35*24/AL35)</f>
      </c>
      <c r="BW35"/>
      <c r="BX35">
        <v>0</v>
      </c>
      <c r="BY35"/>
      <c r="BZ35">
        <f>BZ34-BT35+BX35</f>
      </c>
      <c r="CA35"/>
    </row>
    <row r="36" spans="1:79" x14ac:dyDescent="0.25">
      <c r="A36">
        <v>1</v>
      </c>
      <c r="B36">
        <v>1</v>
      </c>
      <c r="C36">
        <v>3</v>
      </c>
      <c r="D36" t="s">
        <v>2</v>
      </c>
      <c r="E36">
        <f>AND( AI36 &lt;12, AI36 &gt; 0 )</f>
      </c>
      <c r="F36" t="s">
        <v>71</v>
      </c>
      <c r="G36"/>
      <c r="H36" t="s">
        <v>72</v>
      </c>
      <c r="I36"/>
      <c r="J36"/>
      <c r="K36"/>
      <c r="L36" t="s">
        <v>73</v>
      </c>
      <c r="M36"/>
      <c r="N36"/>
      <c r="O36"/>
      <c r="P36" s="70" t="s">
        <v>77</v>
      </c>
      <c r="Q36" s="70"/>
      <c r="R36" s="70"/>
      <c r="S36" t="s">
        <v>78</v>
      </c>
      <c r="T36"/>
      <c r="U36">
        <f>=(P36 - P35)*24</f>
      </c>
      <c r="V36"/>
      <c r="W36" t="s">
        <v>28</v>
      </c>
      <c r="X36"/>
      <c r="Y36"/>
      <c r="Z36"/>
      <c r="AA36" t="s">
        <v>2</v>
      </c>
      <c r="AB36"/>
      <c r="AC36" t="s">
        <v>2</v>
      </c>
      <c r="AD36"/>
      <c r="AE36"/>
      <c r="AF36"/>
      <c r="AG36"/>
      <c r="AH36"/>
      <c r="AI36"/>
      <c r="AJ36">
        <v>9</v>
      </c>
      <c r="AK36"/>
      <c r="AL36">
        <f>=(P36 - P35)*24</f>
      </c>
      <c r="AM36"/>
      <c r="AN36">
        <f>IF(ISERROR(AJ36/AL36),0,AJ36/AL36)</f>
      </c>
      <c r="AO36"/>
      <c r="AP36" t="s">
        <v>79</v>
      </c>
      <c r="AQ36"/>
      <c r="AR36">
        <v>0.05</v>
      </c>
      <c r="AS36"/>
      <c r="AT36">
        <v>0</v>
      </c>
      <c r="AU36"/>
      <c r="AV36">
        <v>0</v>
      </c>
      <c r="AW36"/>
      <c r="AX36">
        <v>0</v>
      </c>
      <c r="AY36"/>
      <c r="AZ36">
        <f>SUM(AR36:AX36)</f>
      </c>
      <c r="BA36"/>
      <c r="BB36">
        <f>IF(ISERROR(AZ36*24/AL36),0,AZ36*24/AL36)</f>
      </c>
      <c r="BC36"/>
      <c r="BD36">
        <v>0</v>
      </c>
      <c r="BE36"/>
      <c r="BF36">
        <f>BF35-AZ36+BD36</f>
      </c>
      <c r="BG36"/>
      <c r="BH36">
        <v>0</v>
      </c>
      <c r="BI36"/>
      <c r="BJ36">
        <v>0.02</v>
      </c>
      <c r="BK36"/>
      <c r="BL36">
        <v>0.03</v>
      </c>
      <c r="BM36"/>
      <c r="BN36">
        <v>0</v>
      </c>
      <c r="BO36"/>
      <c r="BP36">
        <v>0</v>
      </c>
      <c r="BQ36"/>
      <c r="BR36">
        <v>0</v>
      </c>
      <c r="BS36"/>
      <c r="BT36">
        <f>SUM(BH36:BS36)</f>
      </c>
      <c r="BU36"/>
      <c r="BV36">
        <f>IF(ISERROR(BT36*24/AL36),0,BT36*24/AL36)</f>
      </c>
      <c r="BW36"/>
      <c r="BX36">
        <v>0</v>
      </c>
      <c r="BY36"/>
      <c r="BZ36">
        <f>BZ35-BT36+BX36</f>
      </c>
      <c r="CA36"/>
    </row>
    <row r="37" spans="1:79" x14ac:dyDescent="0.25">
      <c r="A37">
        <v>1</v>
      </c>
      <c r="B37">
        <v>1</v>
      </c>
      <c r="C37">
        <v>4</v>
      </c>
      <c r="D37" t="s">
        <v>2</v>
      </c>
      <c r="E37">
        <f>AND( AI37 &lt;12, AI37 &gt; 0 )</f>
      </c>
      <c r="F37" t="s">
        <v>71</v>
      </c>
      <c r="G37"/>
      <c r="H37" t="s">
        <v>72</v>
      </c>
      <c r="I37"/>
      <c r="J37"/>
      <c r="K37"/>
      <c r="L37" t="s">
        <v>73</v>
      </c>
      <c r="M37"/>
      <c r="N37"/>
      <c r="O37"/>
      <c r="P37" s="70" t="s">
        <v>80</v>
      </c>
      <c r="Q37" s="70"/>
      <c r="R37" s="70"/>
      <c r="S37" t="s">
        <v>74</v>
      </c>
      <c r="T37"/>
      <c r="U37">
        <f>=(P37 - P36)*24</f>
      </c>
      <c r="V37"/>
      <c r="W37" t="s">
        <v>19</v>
      </c>
      <c r="X37"/>
      <c r="Y37"/>
      <c r="Z37"/>
      <c r="AA37" t="s">
        <v>81</v>
      </c>
      <c r="AB37"/>
      <c r="AC37" t="s">
        <v>2</v>
      </c>
      <c r="AD37"/>
      <c r="AE37"/>
      <c r="AF37"/>
      <c r="AG37"/>
      <c r="AH37"/>
      <c r="AI37"/>
      <c r="AJ37">
        <v>210</v>
      </c>
      <c r="AK37"/>
      <c r="AL37">
        <f>=(P37 - P36)*24</f>
      </c>
      <c r="AM37"/>
      <c r="AN37">
        <f>IF(ISERROR(AJ37/AL37),0,AJ37/AL37)</f>
      </c>
      <c r="AO37"/>
      <c r="AP37" t="s">
        <v>79</v>
      </c>
      <c r="AQ37"/>
      <c r="AR37">
        <v>9.42</v>
      </c>
      <c r="AS37"/>
      <c r="AT37">
        <v>0</v>
      </c>
      <c r="AU37"/>
      <c r="AV37">
        <v>0</v>
      </c>
      <c r="AW37"/>
      <c r="AX37">
        <v>0</v>
      </c>
      <c r="AY37"/>
      <c r="AZ37">
        <f>SUM(AR37:AX37)</f>
      </c>
      <c r="BA37"/>
      <c r="BB37">
        <f>IF(ISERROR(AZ37*24/AL37),0,AZ37*24/AL37)</f>
      </c>
      <c r="BC37"/>
      <c r="BD37">
        <v>0</v>
      </c>
      <c r="BE37"/>
      <c r="BF37">
        <f>BF36-AZ37+BD37</f>
      </c>
      <c r="BG37"/>
      <c r="BH37">
        <v>0</v>
      </c>
      <c r="BI37"/>
      <c r="BJ37">
        <v>0.54</v>
      </c>
      <c r="BK37"/>
      <c r="BL37">
        <v>0.71</v>
      </c>
      <c r="BM37"/>
      <c r="BN37">
        <v>0</v>
      </c>
      <c r="BO37"/>
      <c r="BP37">
        <v>0</v>
      </c>
      <c r="BQ37"/>
      <c r="BR37">
        <v>0</v>
      </c>
      <c r="BS37"/>
      <c r="BT37">
        <f>SUM(BH37:BS37)</f>
      </c>
      <c r="BU37"/>
      <c r="BV37">
        <f>IF(ISERROR(BT37*24/AL37),0,BT37*24/AL37)</f>
      </c>
      <c r="BW37"/>
      <c r="BX37">
        <v>0</v>
      </c>
      <c r="BY37"/>
      <c r="BZ37">
        <f>BZ36-BT37+BX37</f>
      </c>
      <c r="CA37"/>
    </row>
    <row r="38" spans="1:79" x14ac:dyDescent="0.25">
      <c r="A38">
        <v>1</v>
      </c>
      <c r="B38">
        <v>1</v>
      </c>
      <c r="C38">
        <v>5</v>
      </c>
      <c r="D38" t="s">
        <v>2</v>
      </c>
      <c r="E38">
        <f>AND( AI38 &lt;12, AI38 &gt; 0 )</f>
      </c>
      <c r="F38" t="s">
        <v>71</v>
      </c>
      <c r="G38"/>
      <c r="H38" t="s">
        <v>72</v>
      </c>
      <c r="I38"/>
      <c r="J38"/>
      <c r="K38"/>
      <c r="L38" t="s">
        <v>73</v>
      </c>
      <c r="M38"/>
      <c r="N38"/>
      <c r="O38"/>
      <c r="P38" s="70" t="s">
        <v>82</v>
      </c>
      <c r="Q38" s="70"/>
      <c r="R38" s="70"/>
      <c r="S38" t="s">
        <v>76</v>
      </c>
      <c r="T38"/>
      <c r="U38">
        <f>=(P38 - P37)*24</f>
      </c>
      <c r="V38"/>
      <c r="W38" t="s">
        <v>19</v>
      </c>
      <c r="X38"/>
      <c r="Y38"/>
      <c r="Z38"/>
      <c r="AA38" t="s">
        <v>81</v>
      </c>
      <c r="AB38"/>
      <c r="AC38" t="s">
        <v>2</v>
      </c>
      <c r="AD38"/>
      <c r="AE38"/>
      <c r="AF38"/>
      <c r="AG38"/>
      <c r="AH38"/>
      <c r="AI38"/>
      <c r="AJ38">
        <v>20</v>
      </c>
      <c r="AK38"/>
      <c r="AL38">
        <f>=(P38 - P37)*24</f>
      </c>
      <c r="AM38"/>
      <c r="AN38">
        <f>IF(ISERROR(AJ38/AL38),0,AJ38/AL38)</f>
      </c>
      <c r="AO38"/>
      <c r="AP38" t="s">
        <v>79</v>
      </c>
      <c r="AQ38"/>
      <c r="AR38">
        <v>0.89</v>
      </c>
      <c r="AS38"/>
      <c r="AT38">
        <v>0</v>
      </c>
      <c r="AU38"/>
      <c r="AV38">
        <v>0</v>
      </c>
      <c r="AW38"/>
      <c r="AX38">
        <v>0</v>
      </c>
      <c r="AY38"/>
      <c r="AZ38">
        <f>SUM(AR38:AX38)</f>
      </c>
      <c r="BA38"/>
      <c r="BB38">
        <f>IF(ISERROR(AZ38*24/AL38),0,AZ38*24/AL38)</f>
      </c>
      <c r="BC38"/>
      <c r="BD38">
        <v>0</v>
      </c>
      <c r="BE38"/>
      <c r="BF38">
        <f>BF37-AZ38+BD38</f>
      </c>
      <c r="BG38"/>
      <c r="BH38">
        <v>0</v>
      </c>
      <c r="BI38"/>
      <c r="BJ38">
        <v>0.05</v>
      </c>
      <c r="BK38"/>
      <c r="BL38">
        <v>0.06</v>
      </c>
      <c r="BM38"/>
      <c r="BN38">
        <v>0</v>
      </c>
      <c r="BO38"/>
      <c r="BP38">
        <v>0</v>
      </c>
      <c r="BQ38"/>
      <c r="BR38">
        <v>0</v>
      </c>
      <c r="BS38"/>
      <c r="BT38">
        <f>SUM(BH38:BS38)</f>
      </c>
      <c r="BU38"/>
      <c r="BV38">
        <f>IF(ISERROR(BT38*24/AL38),0,BT38*24/AL38)</f>
      </c>
      <c r="BW38"/>
      <c r="BX38">
        <v>0</v>
      </c>
      <c r="BY38"/>
      <c r="BZ38">
        <f>BZ37-BT38+BX38</f>
      </c>
      <c r="CA38"/>
    </row>
    <row r="39" spans="1:79" x14ac:dyDescent="0.25">
      <c r="A39">
        <v>1</v>
      </c>
      <c r="B39">
        <v>1</v>
      </c>
      <c r="C39">
        <v>6</v>
      </c>
      <c r="D39" t="s">
        <v>2</v>
      </c>
      <c r="E39">
        <f>AND( AI39 &lt;12, AI39 &gt; 0 )</f>
      </c>
      <c r="F39" t="s">
        <v>71</v>
      </c>
      <c r="G39"/>
      <c r="H39" t="s">
        <v>72</v>
      </c>
      <c r="I39"/>
      <c r="J39"/>
      <c r="K39"/>
      <c r="L39" t="s">
        <v>73</v>
      </c>
      <c r="M39"/>
      <c r="N39"/>
      <c r="O39"/>
      <c r="P39" s="70" t="s">
        <v>83</v>
      </c>
      <c r="Q39" s="70"/>
      <c r="R39" s="70"/>
      <c r="S39" t="s">
        <v>78</v>
      </c>
      <c r="T39"/>
      <c r="U39">
        <f>=(P39 - P38)*24</f>
      </c>
      <c r="V39"/>
      <c r="W39" t="s">
        <v>28</v>
      </c>
      <c r="X39"/>
      <c r="Y39"/>
      <c r="Z39"/>
      <c r="AA39" t="s">
        <v>2</v>
      </c>
      <c r="AB39"/>
      <c r="AC39" t="s">
        <v>2</v>
      </c>
      <c r="AD39"/>
      <c r="AE39"/>
      <c r="AF39"/>
      <c r="AG39"/>
      <c r="AH39"/>
      <c r="AI39"/>
      <c r="AJ39">
        <v>9</v>
      </c>
      <c r="AK39"/>
      <c r="AL39">
        <f>=(P39 - P38)*24</f>
      </c>
      <c r="AM39"/>
      <c r="AN39">
        <f>IF(ISERROR(AJ39/AL39),0,AJ39/AL39)</f>
      </c>
      <c r="AO39"/>
      <c r="AP39" t="s">
        <v>79</v>
      </c>
      <c r="AQ39"/>
      <c r="AR39">
        <v>0.05</v>
      </c>
      <c r="AS39"/>
      <c r="AT39">
        <v>0</v>
      </c>
      <c r="AU39"/>
      <c r="AV39">
        <v>0</v>
      </c>
      <c r="AW39"/>
      <c r="AX39">
        <v>0</v>
      </c>
      <c r="AY39"/>
      <c r="AZ39">
        <f>SUM(AR39:AX39)</f>
      </c>
      <c r="BA39"/>
      <c r="BB39">
        <f>IF(ISERROR(AZ39*24/AL39),0,AZ39*24/AL39)</f>
      </c>
      <c r="BC39"/>
      <c r="BD39">
        <v>0</v>
      </c>
      <c r="BE39"/>
      <c r="BF39">
        <f>BF38-AZ39+BD39</f>
      </c>
      <c r="BG39"/>
      <c r="BH39">
        <v>0</v>
      </c>
      <c r="BI39"/>
      <c r="BJ39">
        <v>0.02</v>
      </c>
      <c r="BK39"/>
      <c r="BL39">
        <v>0.03</v>
      </c>
      <c r="BM39"/>
      <c r="BN39">
        <v>0</v>
      </c>
      <c r="BO39"/>
      <c r="BP39">
        <v>0</v>
      </c>
      <c r="BQ39"/>
      <c r="BR39">
        <v>0</v>
      </c>
      <c r="BS39"/>
      <c r="BT39">
        <f>SUM(BH39:BS39)</f>
      </c>
      <c r="BU39"/>
      <c r="BV39">
        <f>IF(ISERROR(BT39*24/AL39),0,BT39*24/AL39)</f>
      </c>
      <c r="BW39"/>
      <c r="BX39">
        <v>0</v>
      </c>
      <c r="BY39"/>
      <c r="BZ39">
        <f>BZ38-BT39+BX39</f>
      </c>
      <c r="CA39"/>
    </row>
    <row r="40" spans="1:79" x14ac:dyDescent="0.25">
      <c r="A40">
        <v>1</v>
      </c>
      <c r="B40">
        <v>1</v>
      </c>
      <c r="C40">
        <v>7</v>
      </c>
      <c r="D40" t="s">
        <v>2</v>
      </c>
      <c r="E40">
        <f>AND( AI40 &lt;12, AI40 &gt; 0 )</f>
      </c>
      <c r="F40" t="s">
        <v>71</v>
      </c>
      <c r="G40"/>
      <c r="H40" t="s">
        <v>72</v>
      </c>
      <c r="I40"/>
      <c r="J40"/>
      <c r="K40"/>
      <c r="L40" t="s">
        <v>73</v>
      </c>
      <c r="M40"/>
      <c r="N40"/>
      <c r="O40"/>
      <c r="P40" s="70" t="s">
        <v>84</v>
      </c>
      <c r="Q40" s="70"/>
      <c r="R40" s="70"/>
      <c r="S40" t="s">
        <v>74</v>
      </c>
      <c r="T40"/>
      <c r="U40">
        <f>=(P40 - P39)*24</f>
      </c>
      <c r="V40"/>
      <c r="W40" t="s">
        <v>27</v>
      </c>
      <c r="X40"/>
      <c r="Y40"/>
      <c r="Z40"/>
      <c r="AA40" t="s">
        <v>2</v>
      </c>
      <c r="AB40"/>
      <c r="AC40" t="s">
        <v>2</v>
      </c>
      <c r="AD40"/>
      <c r="AE40"/>
      <c r="AF40"/>
      <c r="AG40"/>
      <c r="AH40"/>
      <c r="AI40"/>
      <c r="AJ40">
        <v>0</v>
      </c>
      <c r="AK40"/>
      <c r="AL40">
        <f>=(P40 - P39)*24</f>
      </c>
      <c r="AM40"/>
      <c r="AN40">
        <f>IF(ISERROR(AJ40/AL40),0,AJ40/AL40)</f>
      </c>
      <c r="AO40"/>
      <c r="AP40" t="s">
        <v>2</v>
      </c>
      <c r="AQ40"/>
      <c r="AR40">
        <v>0</v>
      </c>
      <c r="AS40"/>
      <c r="AT40">
        <v>0</v>
      </c>
      <c r="AU40"/>
      <c r="AV40">
        <v>0</v>
      </c>
      <c r="AW40"/>
      <c r="AX40">
        <v>0</v>
      </c>
      <c r="AY40"/>
      <c r="AZ40">
        <f>SUM(AR40:AX40)</f>
      </c>
      <c r="BA40"/>
      <c r="BB40">
        <f>IF(ISERROR(AZ40*24/AL40),0,AZ40*24/AL40)</f>
      </c>
      <c r="BC40"/>
      <c r="BD40">
        <v>0</v>
      </c>
      <c r="BE40"/>
      <c r="BF40">
        <f>BF39-AZ40+BD40</f>
      </c>
      <c r="BG40"/>
      <c r="BH40">
        <v>0</v>
      </c>
      <c r="BI40"/>
      <c r="BJ40">
        <v>0.54</v>
      </c>
      <c r="BK40"/>
      <c r="BL40">
        <v>0.71</v>
      </c>
      <c r="BM40"/>
      <c r="BN40">
        <v>0</v>
      </c>
      <c r="BO40"/>
      <c r="BP40">
        <v>0</v>
      </c>
      <c r="BQ40"/>
      <c r="BR40">
        <v>0</v>
      </c>
      <c r="BS40"/>
      <c r="BT40">
        <f>SUM(BH40:BS40)</f>
      </c>
      <c r="BU40"/>
      <c r="BV40">
        <f>IF(ISERROR(BT40*24/AL40),0,BT40*24/AL40)</f>
      </c>
      <c r="BW40"/>
      <c r="BX40">
        <v>0</v>
      </c>
      <c r="BY40"/>
      <c r="BZ40">
        <f>BZ39-BT40+BX40</f>
      </c>
      <c r="CA40"/>
    </row>
    <row r="41" spans="1:79" x14ac:dyDescent="0.25">
      <c r="A41">
        <v>1</v>
      </c>
      <c r="B41">
        <v>2</v>
      </c>
      <c r="C41">
        <v>8</v>
      </c>
      <c r="D41" t="s">
        <v>2</v>
      </c>
      <c r="E41">
        <f>AND( AI41 &lt;12, AI41 &gt; 0 )</f>
      </c>
      <c r="F41" t="s">
        <v>71</v>
      </c>
      <c r="G41"/>
      <c r="H41" t="s">
        <v>73</v>
      </c>
      <c r="I41"/>
      <c r="J41"/>
      <c r="K41"/>
      <c r="L41" t="s">
        <v>85</v>
      </c>
      <c r="M41"/>
      <c r="N41"/>
      <c r="O41"/>
      <c r="P41" s="70" t="s">
        <v>25</v>
      </c>
      <c r="Q41" s="70"/>
      <c r="R41" s="70"/>
      <c r="S41" t="s">
        <v>86</v>
      </c>
      <c r="T41"/>
      <c r="U41">
        <f>=(P41 - P40)*24</f>
      </c>
      <c r="V41"/>
      <c r="W41" t="s">
        <v>28</v>
      </c>
      <c r="X41"/>
      <c r="Y41"/>
      <c r="Z41"/>
      <c r="AA41" t="s">
        <v>2</v>
      </c>
      <c r="AB41"/>
      <c r="AC41" t="s">
        <v>2</v>
      </c>
      <c r="AD41"/>
      <c r="AE41"/>
      <c r="AF41"/>
      <c r="AG41"/>
      <c r="AH41"/>
      <c r="AI41"/>
      <c r="AJ41">
        <v>9</v>
      </c>
      <c r="AK41"/>
      <c r="AL41">
        <f>=(P41 - P40)*24</f>
      </c>
      <c r="AM41"/>
      <c r="AN41">
        <f>IF(ISERROR(AJ41/AL41),0,AJ41/AL41)</f>
      </c>
      <c r="AO41"/>
      <c r="AP41" t="s">
        <v>79</v>
      </c>
      <c r="AQ41"/>
      <c r="AR41">
        <v>0.05</v>
      </c>
      <c r="AS41"/>
      <c r="AT41">
        <v>0</v>
      </c>
      <c r="AU41"/>
      <c r="AV41">
        <v>0</v>
      </c>
      <c r="AW41"/>
      <c r="AX41">
        <v>0</v>
      </c>
      <c r="AY41"/>
      <c r="AZ41">
        <f>SUM(AR41:AX41)</f>
      </c>
      <c r="BA41"/>
      <c r="BB41">
        <f>IF(ISERROR(AZ41*24/AL41),0,AZ41*24/AL41)</f>
      </c>
      <c r="BC41"/>
      <c r="BD41">
        <v>0</v>
      </c>
      <c r="BE41"/>
      <c r="BF41">
        <f>BF40-AZ41+BD41</f>
      </c>
      <c r="BG41"/>
      <c r="BH41">
        <v>0</v>
      </c>
      <c r="BI41"/>
      <c r="BJ41">
        <v>0.02</v>
      </c>
      <c r="BK41"/>
      <c r="BL41">
        <v>0.06</v>
      </c>
      <c r="BM41"/>
      <c r="BN41">
        <v>0</v>
      </c>
      <c r="BO41"/>
      <c r="BP41">
        <v>0</v>
      </c>
      <c r="BQ41"/>
      <c r="BR41">
        <v>0</v>
      </c>
      <c r="BS41"/>
      <c r="BT41">
        <f>SUM(BH41:BS41)</f>
      </c>
      <c r="BU41"/>
      <c r="BV41">
        <f>IF(ISERROR(BT41*24/AL41),0,BT41*24/AL41)</f>
      </c>
      <c r="BW41"/>
      <c r="BX41">
        <v>0</v>
      </c>
      <c r="BY41"/>
      <c r="BZ41">
        <f>BZ40-BT41+BX41</f>
      </c>
      <c r="CA41"/>
    </row>
  </sheetData>
  <mergeCells count="588">
    <mergeCell ref="H3:S3"/>
    <mergeCell ref="Z3:CA3"/>
    <mergeCell ref="K5:R5"/>
    <mergeCell ref="K6:R6"/>
    <mergeCell ref="AA6:AE6"/>
    <mergeCell ref="AK6:AL6"/>
    <mergeCell ref="AM6:AN6"/>
    <mergeCell ref="AS6:AT7"/>
    <mergeCell ref="AU6:AV6"/>
    <mergeCell ref="AW6:AX6"/>
    <mergeCell ref="AZ6:BF6"/>
    <mergeCell ref="BM6:BN7"/>
    <mergeCell ref="BO6:BP6"/>
    <mergeCell ref="BQ6:BR6"/>
    <mergeCell ref="BT6:BZ6"/>
    <mergeCell ref="K7:R7"/>
    <mergeCell ref="AA7:AE7"/>
    <mergeCell ref="AF7:AJ7"/>
    <mergeCell ref="AK7:AL7"/>
    <mergeCell ref="AM7:AN7"/>
    <mergeCell ref="AZ7:BB7"/>
    <mergeCell ref="BC7:BD7"/>
    <mergeCell ref="BE7:BF7"/>
    <mergeCell ref="BT7:BV7"/>
    <mergeCell ref="BW7:BX7"/>
    <mergeCell ref="BY7:BZ7"/>
    <mergeCell ref="K8:R8"/>
    <mergeCell ref="AG8:AJ8"/>
    <mergeCell ref="AK8:AL8"/>
    <mergeCell ref="AM8:AN8"/>
    <mergeCell ref="AS8:AT8"/>
    <mergeCell ref="AZ8:BB8"/>
    <mergeCell ref="BC8:BD8"/>
    <mergeCell ref="BE8:BF8"/>
    <mergeCell ref="BM8:BN8"/>
    <mergeCell ref="BT8:BV8"/>
    <mergeCell ref="BW8:BX8"/>
    <mergeCell ref="BY8:BZ8"/>
    <mergeCell ref="K9:R9"/>
    <mergeCell ref="AG9:AJ9"/>
    <mergeCell ref="AK9:AL9"/>
    <mergeCell ref="AM9:AN9"/>
    <mergeCell ref="AS9:AT9"/>
    <mergeCell ref="AZ9:BB9"/>
    <mergeCell ref="BC9:BD9"/>
    <mergeCell ref="BE9:BF9"/>
    <mergeCell ref="BM9:BN9"/>
    <mergeCell ref="BT9:BV9"/>
    <mergeCell ref="BW9:BX9"/>
    <mergeCell ref="BY9:BZ9"/>
    <mergeCell ref="AA10:AE10"/>
    <mergeCell ref="AF10:AJ10"/>
    <mergeCell ref="AK10:AL10"/>
    <mergeCell ref="AM10:AN10"/>
    <mergeCell ref="AZ10:BB10"/>
    <mergeCell ref="BC10:BD10"/>
    <mergeCell ref="BE10:BF10"/>
    <mergeCell ref="BT10:BV10"/>
    <mergeCell ref="BW10:BX10"/>
    <mergeCell ref="BY10:BZ10"/>
    <mergeCell ref="AZ11:BB11"/>
    <mergeCell ref="BC11:BD11"/>
    <mergeCell ref="BE11:BF11"/>
    <mergeCell ref="BT11:BV11"/>
    <mergeCell ref="BW11:BX11"/>
    <mergeCell ref="BY11:BZ11"/>
    <mergeCell ref="AZ12:BB12"/>
    <mergeCell ref="BC12:BD12"/>
    <mergeCell ref="BE12:BF12"/>
    <mergeCell ref="BT12:BV12"/>
    <mergeCell ref="BW12:BX12"/>
    <mergeCell ref="BY12:BZ12"/>
    <mergeCell ref="AZ13:BB13"/>
    <mergeCell ref="BC13:BD13"/>
    <mergeCell ref="BE13:BF13"/>
    <mergeCell ref="BT13:BV13"/>
    <mergeCell ref="BW13:BX13"/>
    <mergeCell ref="BY13:BZ13"/>
    <mergeCell ref="AZ14:BB14"/>
    <mergeCell ref="BC14:BD14"/>
    <mergeCell ref="BE14:BF14"/>
    <mergeCell ref="BT14:BV14"/>
    <mergeCell ref="BW14:BX14"/>
    <mergeCell ref="BY14:BZ14"/>
    <mergeCell ref="U18:BD18"/>
    <mergeCell ref="BI18:CR18"/>
    <mergeCell ref="U19:W20"/>
    <mergeCell ref="X19:Z20"/>
    <mergeCell ref="AA19:AC20"/>
    <mergeCell ref="AD19:AF20"/>
    <mergeCell ref="AG19:AI20"/>
    <mergeCell ref="AJ19:AL20"/>
    <mergeCell ref="AM19:AO20"/>
    <mergeCell ref="AP19:AR20"/>
    <mergeCell ref="AS19:AU20"/>
    <mergeCell ref="AV19:AX20"/>
    <mergeCell ref="AY19:BA20"/>
    <mergeCell ref="BB19:BD20"/>
    <mergeCell ref="BI19:BK20"/>
    <mergeCell ref="BL19:BN20"/>
    <mergeCell ref="BO19:BQ20"/>
    <mergeCell ref="BR19:BT20"/>
    <mergeCell ref="BU19:BW20"/>
    <mergeCell ref="BX19:BZ20"/>
    <mergeCell ref="CA19:CC20"/>
    <mergeCell ref="CD19:CF20"/>
    <mergeCell ref="CG19:CI20"/>
    <mergeCell ref="CJ19:CL20"/>
    <mergeCell ref="CM19:CO20"/>
    <mergeCell ref="CP19:CR20"/>
    <mergeCell ref="U21:W21"/>
    <mergeCell ref="X21:Z21"/>
    <mergeCell ref="AA21:AC21"/>
    <mergeCell ref="AD21:AF21"/>
    <mergeCell ref="AG21:AI21"/>
    <mergeCell ref="AJ21:AL21"/>
    <mergeCell ref="AM21:AO21"/>
    <mergeCell ref="AP21:AR21"/>
    <mergeCell ref="AS21:AU21"/>
    <mergeCell ref="AV21:AX21"/>
    <mergeCell ref="AY21:BA21"/>
    <mergeCell ref="BB21:BD21"/>
    <mergeCell ref="BI21:BK21"/>
    <mergeCell ref="BL21:BN21"/>
    <mergeCell ref="BO21:BQ21"/>
    <mergeCell ref="BR21:BT21"/>
    <mergeCell ref="BU21:BW21"/>
    <mergeCell ref="BX21:BZ21"/>
    <mergeCell ref="CA21:CC21"/>
    <mergeCell ref="CD21:CF21"/>
    <mergeCell ref="CG21:CI21"/>
    <mergeCell ref="CJ21:CL21"/>
    <mergeCell ref="CM21:CO21"/>
    <mergeCell ref="CP21:CR21"/>
    <mergeCell ref="U22:W22"/>
    <mergeCell ref="X22:Z22"/>
    <mergeCell ref="AA22:AC22"/>
    <mergeCell ref="AD22:AF22"/>
    <mergeCell ref="AG22:AI22"/>
    <mergeCell ref="AJ22:AL22"/>
    <mergeCell ref="AM22:AO22"/>
    <mergeCell ref="AP22:AR22"/>
    <mergeCell ref="AS22:AU22"/>
    <mergeCell ref="AV22:AX22"/>
    <mergeCell ref="AY22:BA22"/>
    <mergeCell ref="BB22:BD22"/>
    <mergeCell ref="BI22:BK22"/>
    <mergeCell ref="BL22:BN22"/>
    <mergeCell ref="BO22:BQ22"/>
    <mergeCell ref="BR22:BT22"/>
    <mergeCell ref="BU22:BW22"/>
    <mergeCell ref="BX22:BZ22"/>
    <mergeCell ref="CA22:CC22"/>
    <mergeCell ref="CD22:CF22"/>
    <mergeCell ref="CG22:CI22"/>
    <mergeCell ref="CJ22:CL22"/>
    <mergeCell ref="CM22:CO22"/>
    <mergeCell ref="CP22:CR22"/>
    <mergeCell ref="U23:W23"/>
    <mergeCell ref="X23:Z23"/>
    <mergeCell ref="AA23:AC23"/>
    <mergeCell ref="AD23:AF23"/>
    <mergeCell ref="AG23:AI23"/>
    <mergeCell ref="AJ23:AL23"/>
    <mergeCell ref="AM23:AO23"/>
    <mergeCell ref="AP23:AR23"/>
    <mergeCell ref="AS23:AU23"/>
    <mergeCell ref="AV23:AX23"/>
    <mergeCell ref="AY23:BA23"/>
    <mergeCell ref="BB23:BD23"/>
    <mergeCell ref="BI23:BK23"/>
    <mergeCell ref="BL23:BN23"/>
    <mergeCell ref="BO23:BQ23"/>
    <mergeCell ref="BR23:BT23"/>
    <mergeCell ref="BU23:BW23"/>
    <mergeCell ref="BX23:BZ23"/>
    <mergeCell ref="CA23:CC23"/>
    <mergeCell ref="CD23:CF23"/>
    <mergeCell ref="CG23:CI23"/>
    <mergeCell ref="CJ23:CL23"/>
    <mergeCell ref="CM23:CO23"/>
    <mergeCell ref="CP23:CR23"/>
    <mergeCell ref="U24:W24"/>
    <mergeCell ref="X24:Z24"/>
    <mergeCell ref="AA24:AC24"/>
    <mergeCell ref="AD24:AF24"/>
    <mergeCell ref="AG24:AI24"/>
    <mergeCell ref="AJ24:AL24"/>
    <mergeCell ref="AM24:AO24"/>
    <mergeCell ref="AP24:AR24"/>
    <mergeCell ref="AS24:AU24"/>
    <mergeCell ref="AV24:AX24"/>
    <mergeCell ref="AY24:BA24"/>
    <mergeCell ref="BB24:BD24"/>
    <mergeCell ref="BI24:BK24"/>
    <mergeCell ref="BL24:BN24"/>
    <mergeCell ref="BO24:BQ24"/>
    <mergeCell ref="BR24:BT24"/>
    <mergeCell ref="BU24:BW24"/>
    <mergeCell ref="BX24:BZ24"/>
    <mergeCell ref="CA24:CC24"/>
    <mergeCell ref="CD24:CF24"/>
    <mergeCell ref="CG24:CI24"/>
    <mergeCell ref="CJ24:CL24"/>
    <mergeCell ref="CM24:CO24"/>
    <mergeCell ref="CP24:CR24"/>
    <mergeCell ref="U25:W25"/>
    <mergeCell ref="X25:Z25"/>
    <mergeCell ref="AA25:AC25"/>
    <mergeCell ref="AD25:AF25"/>
    <mergeCell ref="AG25:AI25"/>
    <mergeCell ref="AJ25:AL25"/>
    <mergeCell ref="AM25:AO25"/>
    <mergeCell ref="AP25:AR25"/>
    <mergeCell ref="AS25:AU25"/>
    <mergeCell ref="AV25:AX25"/>
    <mergeCell ref="AY25:BA25"/>
    <mergeCell ref="BB25:BD25"/>
    <mergeCell ref="BI25:BK25"/>
    <mergeCell ref="BL25:BN25"/>
    <mergeCell ref="BO25:BQ25"/>
    <mergeCell ref="BR25:BT25"/>
    <mergeCell ref="BU25:BW25"/>
    <mergeCell ref="BX25:BZ25"/>
    <mergeCell ref="CA25:CC25"/>
    <mergeCell ref="CD25:CF25"/>
    <mergeCell ref="CG25:CI25"/>
    <mergeCell ref="CJ25:CL25"/>
    <mergeCell ref="CM25:CO25"/>
    <mergeCell ref="CP25:CR25"/>
    <mergeCell ref="U26:W26"/>
    <mergeCell ref="X26:Z26"/>
    <mergeCell ref="AA26:AC26"/>
    <mergeCell ref="AD26:AF26"/>
    <mergeCell ref="AG26:AI26"/>
    <mergeCell ref="AJ26:AL26"/>
    <mergeCell ref="AM26:AO26"/>
    <mergeCell ref="AP26:AR26"/>
    <mergeCell ref="AS26:AU26"/>
    <mergeCell ref="AV26:AX26"/>
    <mergeCell ref="AY26:BA26"/>
    <mergeCell ref="BB26:BD26"/>
    <mergeCell ref="BI26:BK26"/>
    <mergeCell ref="BL26:BN26"/>
    <mergeCell ref="BO26:BQ26"/>
    <mergeCell ref="BR26:BT26"/>
    <mergeCell ref="BU26:BW26"/>
    <mergeCell ref="BX26:BZ26"/>
    <mergeCell ref="CA26:CC26"/>
    <mergeCell ref="CD26:CF26"/>
    <mergeCell ref="CG26:CI26"/>
    <mergeCell ref="CJ26:CL26"/>
    <mergeCell ref="CM26:CO26"/>
    <mergeCell ref="CP26:CR26"/>
    <mergeCell ref="U27:W27"/>
    <mergeCell ref="X27:Z27"/>
    <mergeCell ref="AA27:AC27"/>
    <mergeCell ref="AD27:AF27"/>
    <mergeCell ref="AG27:AI27"/>
    <mergeCell ref="AJ27:AL27"/>
    <mergeCell ref="AM27:AO27"/>
    <mergeCell ref="AP27:AR27"/>
    <mergeCell ref="AS27:AU27"/>
    <mergeCell ref="AV27:AX27"/>
    <mergeCell ref="AY27:BA27"/>
    <mergeCell ref="BB27:BD27"/>
    <mergeCell ref="BI27:BK27"/>
    <mergeCell ref="BL27:BN27"/>
    <mergeCell ref="BO27:BQ27"/>
    <mergeCell ref="BR27:BT27"/>
    <mergeCell ref="BU27:BW27"/>
    <mergeCell ref="BX27:BZ27"/>
    <mergeCell ref="CA27:CC27"/>
    <mergeCell ref="CD27:CF27"/>
    <mergeCell ref="CG27:CI27"/>
    <mergeCell ref="CJ27:CL27"/>
    <mergeCell ref="CM27:CO27"/>
    <mergeCell ref="CP27:CR27"/>
    <mergeCell ref="U28:W28"/>
    <mergeCell ref="X28:Z28"/>
    <mergeCell ref="AA28:AC28"/>
    <mergeCell ref="AD28:AF28"/>
    <mergeCell ref="AG28:AI28"/>
    <mergeCell ref="AJ28:AL28"/>
    <mergeCell ref="AM28:AO28"/>
    <mergeCell ref="AP28:AR28"/>
    <mergeCell ref="AS28:AU28"/>
    <mergeCell ref="AV28:AX28"/>
    <mergeCell ref="AY28:BA28"/>
    <mergeCell ref="BB28:BD28"/>
    <mergeCell ref="BI28:BK28"/>
    <mergeCell ref="BL28:BN28"/>
    <mergeCell ref="BO28:BQ28"/>
    <mergeCell ref="BR28:BT28"/>
    <mergeCell ref="BU28:BW28"/>
    <mergeCell ref="BX28:BZ28"/>
    <mergeCell ref="CA28:CC28"/>
    <mergeCell ref="CD28:CF28"/>
    <mergeCell ref="CG28:CI28"/>
    <mergeCell ref="CJ28:CL28"/>
    <mergeCell ref="CM28:CO28"/>
    <mergeCell ref="CP28:CR28"/>
    <mergeCell ref="AR31:BG31"/>
    <mergeCell ref="BH31:CA31"/>
    <mergeCell ref="AJ32:AQ32"/>
    <mergeCell ref="AR32:BD32"/>
    <mergeCell ref="BE32:BG32"/>
    <mergeCell ref="BH32:BX32"/>
    <mergeCell ref="BY32:CA32"/>
    <mergeCell ref="F33:G33"/>
    <mergeCell ref="H33:K33"/>
    <mergeCell ref="L33:O33"/>
    <mergeCell ref="P33:R33"/>
    <mergeCell ref="S33:T33"/>
    <mergeCell ref="U33:V33"/>
    <mergeCell ref="W33:Z33"/>
    <mergeCell ref="AA33:AB33"/>
    <mergeCell ref="AC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F34:G34"/>
    <mergeCell ref="H34:K34"/>
    <mergeCell ref="L34:O34"/>
    <mergeCell ref="P34:R34"/>
    <mergeCell ref="S34:T34"/>
    <mergeCell ref="U34:V34"/>
    <mergeCell ref="W34:Z34"/>
    <mergeCell ref="AA34:AB34"/>
    <mergeCell ref="AC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F35:G35"/>
    <mergeCell ref="H35:K35"/>
    <mergeCell ref="L35:O35"/>
    <mergeCell ref="P35:R35"/>
    <mergeCell ref="S35:T35"/>
    <mergeCell ref="U35:V35"/>
    <mergeCell ref="W35:Z35"/>
    <mergeCell ref="AA35:AB35"/>
    <mergeCell ref="AC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F36:G36"/>
    <mergeCell ref="H36:K36"/>
    <mergeCell ref="L36:O36"/>
    <mergeCell ref="P36:R36"/>
    <mergeCell ref="S36:T36"/>
    <mergeCell ref="U36:V36"/>
    <mergeCell ref="W36:Z36"/>
    <mergeCell ref="AA36:AB36"/>
    <mergeCell ref="AC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F37:G37"/>
    <mergeCell ref="H37:K37"/>
    <mergeCell ref="L37:O37"/>
    <mergeCell ref="P37:R37"/>
    <mergeCell ref="S37:T37"/>
    <mergeCell ref="U37:V37"/>
    <mergeCell ref="W37:Z37"/>
    <mergeCell ref="AA37:AB37"/>
    <mergeCell ref="AC37:AI37"/>
    <mergeCell ref="AJ37:AK37"/>
    <mergeCell ref="AL37:AM37"/>
    <mergeCell ref="AN37:AO37"/>
    <mergeCell ref="AP37:AQ37"/>
    <mergeCell ref="AR37:AS37"/>
    <mergeCell ref="AT37:AU37"/>
    <mergeCell ref="AV37:AW37"/>
    <mergeCell ref="AX37:AY37"/>
    <mergeCell ref="AZ37:BA37"/>
    <mergeCell ref="BB37:BC37"/>
    <mergeCell ref="BD37:BE37"/>
    <mergeCell ref="BF37:BG37"/>
    <mergeCell ref="BH37:BI37"/>
    <mergeCell ref="BJ37:BK37"/>
    <mergeCell ref="BL37:BM37"/>
    <mergeCell ref="BN37:BO37"/>
    <mergeCell ref="BP37:BQ37"/>
    <mergeCell ref="BR37:BS37"/>
    <mergeCell ref="BT37:BU37"/>
    <mergeCell ref="BV37:BW37"/>
    <mergeCell ref="BX37:BY37"/>
    <mergeCell ref="BZ37:CA37"/>
    <mergeCell ref="F38:G38"/>
    <mergeCell ref="H38:K38"/>
    <mergeCell ref="L38:O38"/>
    <mergeCell ref="P38:R38"/>
    <mergeCell ref="S38:T38"/>
    <mergeCell ref="U38:V38"/>
    <mergeCell ref="W38:Z38"/>
    <mergeCell ref="AA38:AB38"/>
    <mergeCell ref="AC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F39:G39"/>
    <mergeCell ref="H39:K39"/>
    <mergeCell ref="L39:O39"/>
    <mergeCell ref="P39:R39"/>
    <mergeCell ref="S39:T39"/>
    <mergeCell ref="U39:V39"/>
    <mergeCell ref="W39:Z39"/>
    <mergeCell ref="AA39:AB39"/>
    <mergeCell ref="AC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F40:G40"/>
    <mergeCell ref="H40:K40"/>
    <mergeCell ref="L40:O40"/>
    <mergeCell ref="P40:R40"/>
    <mergeCell ref="S40:T40"/>
    <mergeCell ref="U40:V40"/>
    <mergeCell ref="W40:Z40"/>
    <mergeCell ref="AA40:AB40"/>
    <mergeCell ref="AC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F41:G41"/>
    <mergeCell ref="H41:K41"/>
    <mergeCell ref="L41:O41"/>
    <mergeCell ref="P41:R41"/>
    <mergeCell ref="S41:T41"/>
    <mergeCell ref="U41:V41"/>
    <mergeCell ref="W41:Z41"/>
    <mergeCell ref="AA41:AB41"/>
    <mergeCell ref="AC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</mergeCells>
  <conditionalFormatting sqref="AW8">
    <cfRule type="expression" dxfId="0" priority="2">
      <formula>AND(AU8&gt;AW8,AW8&gt;0)</formula>
    </cfRule>
    <cfRule type="expression" dxfId="1" priority="2">
      <formula>AND(AV8&lt;AW8,AW8&gt;0)</formula>
    </cfRule>
    <cfRule type="cellIs" dxfId="2" priority="1" operator="equal">
      <formula>0</formula>
    </cfRule>
  </conditionalFormatting>
  <conditionalFormatting sqref="AX8">
    <cfRule type="expression" dxfId="3" priority="2">
      <formula>AND(AV8&gt;AX8,AX8&gt;0)</formula>
    </cfRule>
    <cfRule type="expression" dxfId="4" priority="2">
      <formula>AND(AV8&lt;AX8,AX8&gt;0)</formula>
    </cfRule>
    <cfRule type="cellIs" dxfId="5" priority="1" operator="equal">
      <formula>0</formula>
    </cfRule>
  </conditionalFormatting>
  <conditionalFormatting sqref="AW9">
    <cfRule type="expression" dxfId="6" priority="2">
      <formula>AND(AU9&gt;AW9,AW9&gt;0)</formula>
    </cfRule>
    <cfRule type="expression" dxfId="7" priority="2">
      <formula>AND(AU9&lt;AW9,AW9&gt;0)</formula>
    </cfRule>
    <cfRule type="cellIs" dxfId="8" priority="1" operator="equal">
      <formula>0</formula>
    </cfRule>
  </conditionalFormatting>
  <conditionalFormatting sqref="AX9">
    <cfRule type="expression" dxfId="9" priority="2">
      <formula>AND(AV9&gt;AX9,AX9&gt;0)</formula>
    </cfRule>
    <cfRule type="expression" dxfId="10" priority="2">
      <formula>AND(AV9&lt;AX9,AX9&gt;0)</formula>
    </cfRule>
    <cfRule type="cellIs" dxfId="11" priority="1" operator="equal">
      <formula>0</formula>
    </cfRule>
  </conditionalFormatting>
  <conditionalFormatting sqref="BE7">
    <cfRule type="expression" dxfId="12" priority="2">
      <formula>AND(BC7&lt;BE7)</formula>
    </cfRule>
    <cfRule type="expression" dxfId="13" priority="2">
      <formula>AND(BC7&gt;BE7)</formula>
    </cfRule>
    <cfRule type="cellIs" dxfId="14" priority="1" operator="equal">
      <formula>0</formula>
    </cfRule>
  </conditionalFormatting>
  <conditionalFormatting sqref="BE8">
    <cfRule type="expression" dxfId="15" priority="2">
      <formula>AND(BC8&lt;BE8)</formula>
    </cfRule>
    <cfRule type="expression" dxfId="16" priority="2">
      <formula>AND(BC8&gt;BE8)</formula>
    </cfRule>
    <cfRule type="cellIs" dxfId="17" priority="1" operator="equal">
      <formula>0</formula>
    </cfRule>
  </conditionalFormatting>
  <conditionalFormatting sqref="BE9">
    <cfRule type="expression" dxfId="18" priority="2">
      <formula>AND(BC9&lt;BE9)</formula>
    </cfRule>
    <cfRule type="expression" dxfId="19" priority="2">
      <formula>AND(BC9&gt;BE9)</formula>
    </cfRule>
    <cfRule type="cellIs" dxfId="20" priority="1" operator="equal">
      <formula>0</formula>
    </cfRule>
  </conditionalFormatting>
  <conditionalFormatting sqref="BE10">
    <cfRule type="expression" dxfId="21" priority="2">
      <formula>AND(BC10&lt;BE10)</formula>
    </cfRule>
    <cfRule type="expression" dxfId="22" priority="2">
      <formula>AND(BC10&gt;BE10)</formula>
    </cfRule>
    <cfRule type="cellIs" dxfId="23" priority="1" operator="equal">
      <formula>0</formula>
    </cfRule>
  </conditionalFormatting>
  <conditionalFormatting sqref="BE11">
    <cfRule type="expression" dxfId="24" priority="2">
      <formula>AND(BC11&lt;BE11)</formula>
    </cfRule>
    <cfRule type="expression" dxfId="25" priority="2">
      <formula>AND(BC11&gt;BE11)</formula>
    </cfRule>
    <cfRule type="cellIs" dxfId="26" priority="1" operator="equal">
      <formula>0</formula>
    </cfRule>
  </conditionalFormatting>
  <conditionalFormatting sqref="BE12">
    <cfRule type="expression" dxfId="27" priority="2">
      <formula>AND(BC12&lt;BE12)</formula>
    </cfRule>
    <cfRule type="expression" dxfId="28" priority="2">
      <formula>AND(BC12&gt;BE12)</formula>
    </cfRule>
    <cfRule type="cellIs" dxfId="29" priority="1" operator="equal">
      <formula>0</formula>
    </cfRule>
  </conditionalFormatting>
  <conditionalFormatting sqref="BE13">
    <cfRule type="expression" dxfId="30" priority="2">
      <formula>AND(BC13&lt;BE13)</formula>
    </cfRule>
    <cfRule type="expression" dxfId="31" priority="2">
      <formula>AND(BC13&gt;BE13)</formula>
    </cfRule>
    <cfRule type="cellIs" dxfId="32" priority="1" operator="equal">
      <formula>0</formula>
    </cfRule>
  </conditionalFormatting>
  <conditionalFormatting sqref="BE14">
    <cfRule type="expression" dxfId="33" priority="2">
      <formula>AND(BC14&lt;BE14)</formula>
    </cfRule>
    <cfRule type="expression" dxfId="34" priority="2">
      <formula>AND(BC14&gt;BE14)</formula>
    </cfRule>
    <cfRule type="cellIs" dxfId="35" priority="1" operator="equal">
      <formula>0</formula>
    </cfRule>
  </conditionalFormatting>
  <conditionalFormatting sqref="BQ8">
    <cfRule type="expression" dxfId="36" priority="2">
      <formula>AND(BO8&gt;BQ8,BQ8&gt;0)</formula>
    </cfRule>
    <cfRule type="expression" dxfId="37" priority="2">
      <formula>AND(BP8&lt;BQ8,BQ8&gt;0)</formula>
    </cfRule>
    <cfRule type="cellIs" dxfId="38" priority="1" operator="equal">
      <formula>0</formula>
    </cfRule>
  </conditionalFormatting>
  <conditionalFormatting sqref="BR8">
    <cfRule type="expression" dxfId="39" priority="2">
      <formula>AND(BP8&gt;BR8,BR8&gt;0)</formula>
    </cfRule>
    <cfRule type="expression" dxfId="40" priority="2">
      <formula>AND(BP8&lt;BR8,BR8&gt;0)</formula>
    </cfRule>
    <cfRule type="cellIs" dxfId="41" priority="1" operator="equal">
      <formula>0</formula>
    </cfRule>
  </conditionalFormatting>
  <conditionalFormatting sqref="BQ9">
    <cfRule type="expression" dxfId="42" priority="2">
      <formula>AND(BO9&gt;BQ9,BQ9&gt;0)</formula>
    </cfRule>
    <cfRule type="expression" dxfId="43" priority="2">
      <formula>AND(BO9&lt;BQ9,BQ9&gt;0)</formula>
    </cfRule>
    <cfRule type="cellIs" dxfId="44" priority="1" operator="equal">
      <formula>0</formula>
    </cfRule>
  </conditionalFormatting>
  <conditionalFormatting sqref="BR9">
    <cfRule type="expression" dxfId="45" priority="2">
      <formula>AND(BP9&gt;BR9,BR9&gt;0)</formula>
    </cfRule>
    <cfRule type="expression" dxfId="46" priority="2">
      <formula>AND(BP9&lt;BR9,BR9&gt;0)</formula>
    </cfRule>
    <cfRule type="cellIs" dxfId="47" priority="1" operator="equal">
      <formula>0</formula>
    </cfRule>
  </conditionalFormatting>
  <conditionalFormatting sqref="BY7">
    <cfRule type="expression" dxfId="48" priority="2">
      <formula>AND(BW7&lt;BY7)</formula>
    </cfRule>
    <cfRule type="expression" dxfId="49" priority="2">
      <formula>AND(BW7&gt;BY7)</formula>
    </cfRule>
    <cfRule type="cellIs" dxfId="50" priority="1" operator="equal">
      <formula>0</formula>
    </cfRule>
  </conditionalFormatting>
  <conditionalFormatting sqref="BY8">
    <cfRule type="expression" dxfId="51" priority="2">
      <formula>AND(BW8&lt;BY8)</formula>
    </cfRule>
    <cfRule type="expression" dxfId="52" priority="2">
      <formula>AND(BW8&gt;BY8)</formula>
    </cfRule>
    <cfRule type="cellIs" dxfId="53" priority="1" operator="equal">
      <formula>0</formula>
    </cfRule>
  </conditionalFormatting>
  <conditionalFormatting sqref="BY9">
    <cfRule type="expression" dxfId="54" priority="2">
      <formula>AND(BW9&lt;BY9)</formula>
    </cfRule>
    <cfRule type="expression" dxfId="55" priority="2">
      <formula>AND(BW9&gt;BY9)</formula>
    </cfRule>
    <cfRule type="cellIs" dxfId="56" priority="1" operator="equal">
      <formula>0</formula>
    </cfRule>
  </conditionalFormatting>
  <conditionalFormatting sqref="BY10">
    <cfRule type="expression" dxfId="57" priority="2">
      <formula>AND(BW10&lt;BY10)</formula>
    </cfRule>
    <cfRule type="expression" dxfId="58" priority="2">
      <formula>AND(BW10&gt;BY10)</formula>
    </cfRule>
    <cfRule type="cellIs" dxfId="59" priority="1" operator="equal">
      <formula>0</formula>
    </cfRule>
  </conditionalFormatting>
  <conditionalFormatting sqref="BY11">
    <cfRule type="expression" dxfId="60" priority="2">
      <formula>AND(BW11&lt;BY11)</formula>
    </cfRule>
    <cfRule type="expression" dxfId="61" priority="2">
      <formula>AND(BW11&gt;BY11)</formula>
    </cfRule>
    <cfRule type="cellIs" dxfId="62" priority="1" operator="equal">
      <formula>0</formula>
    </cfRule>
  </conditionalFormatting>
  <conditionalFormatting sqref="BY12">
    <cfRule type="expression" dxfId="63" priority="2">
      <formula>AND(BW12&lt;BY12)</formula>
    </cfRule>
    <cfRule type="expression" dxfId="64" priority="2">
      <formula>AND(BW12&gt;BY12)</formula>
    </cfRule>
    <cfRule type="cellIs" dxfId="65" priority="1" operator="equal">
      <formula>0</formula>
    </cfRule>
  </conditionalFormatting>
  <conditionalFormatting sqref="BY13">
    <cfRule type="expression" dxfId="66" priority="2">
      <formula>AND(BW13&lt;BY13)</formula>
    </cfRule>
    <cfRule type="expression" dxfId="67" priority="2">
      <formula>AND(BW13&gt;BY13)</formula>
    </cfRule>
    <cfRule type="cellIs" dxfId="68" priority="1" operator="equal">
      <formula>0</formula>
    </cfRule>
  </conditionalFormatting>
  <conditionalFormatting sqref="BY14">
    <cfRule type="expression" dxfId="69" priority="2">
      <formula>AND(BW14&lt;BY14)</formula>
    </cfRule>
    <cfRule type="expression" dxfId="70" priority="2">
      <formula>AND(BW14&gt;BY14)</formula>
    </cfRule>
    <cfRule type="cellIs" dxfId="71" priority="1" operator="equal">
      <formula>0</formula>
    </cfRule>
  </conditionalFormatting>
  <conditionalFormatting sqref="X21">
    <cfRule type="expression" dxfId="72" priority="2">
      <formula>AND(X21&gt;AS21,AS21&lt;&gt;0,X21&lt;&gt;0)</formula>
    </cfRule>
    <cfRule type="expression" dxfId="73" priority="2">
      <formula>AND(X21&lt;AS21,AS21&lt;&gt;0,X21&lt;&gt;0)</formula>
    </cfRule>
  </conditionalFormatting>
  <conditionalFormatting sqref="AD21">
    <cfRule type="expression" dxfId="74" priority="2">
      <formula>AND(AD21&lt;AG21,AG21&lt;&gt;0,AD21&lt;&gt;0)</formula>
    </cfRule>
    <cfRule type="expression" dxfId="75" priority="2">
      <formula>AND(AD21&gt;AG21,AG21&lt;&gt;0,AD21&lt;&gt;0)</formula>
    </cfRule>
  </conditionalFormatting>
  <conditionalFormatting sqref="AJ21">
    <cfRule type="expression" dxfId="76" priority="2">
      <formula>AND(AJ21&gt;AV21,AV21&lt;&gt;0,AJ21&lt;&gt;0)</formula>
    </cfRule>
    <cfRule type="expression" dxfId="77" priority="2">
      <formula>AND(AJ21&lt;AV21,AV21&lt;&gt;0,AJ21&lt;&gt;0)</formula>
    </cfRule>
  </conditionalFormatting>
  <conditionalFormatting sqref="AM21">
    <cfRule type="expression" dxfId="78" priority="2">
      <formula>AND(AM21&gt;AP21,AP21&lt;&gt;0,AM21&lt;&gt;0)</formula>
    </cfRule>
    <cfRule type="expression" dxfId="79" priority="2">
      <formula>AND(AM21&lt;AP21,AP21&lt;&gt;0,AM21&lt;&gt;0)</formula>
    </cfRule>
  </conditionalFormatting>
  <conditionalFormatting sqref="AY21">
    <cfRule type="expression" dxfId="80" priority="2">
      <formula>AND(AY21&gt;0,AY21&lt;&gt;0)</formula>
    </cfRule>
    <cfRule type="expression" dxfId="81" priority="2">
      <formula>AND(AY21&lt;0,AY21&lt;&gt;0)</formula>
    </cfRule>
  </conditionalFormatting>
  <conditionalFormatting sqref="BB21">
    <cfRule type="expression" dxfId="82" priority="2">
      <formula>AND(BB21&gt;0,BB21&lt;&gt;0)</formula>
    </cfRule>
    <cfRule type="expression" dxfId="83" priority="2">
      <formula>AND(BB21&lt;0,BB21&lt;&gt;0)</formula>
    </cfRule>
  </conditionalFormatting>
  <conditionalFormatting sqref="X22">
    <cfRule type="expression" dxfId="84" priority="2">
      <formula>AND(X22&gt;AS22,AS22&lt;&gt;0,X22&lt;&gt;0)</formula>
    </cfRule>
    <cfRule type="expression" dxfId="85" priority="2">
      <formula>AND(X22&lt;AS22,AS22&lt;&gt;0,X22&lt;&gt;0)</formula>
    </cfRule>
  </conditionalFormatting>
  <conditionalFormatting sqref="AD22">
    <cfRule type="expression" dxfId="86" priority="2">
      <formula>AND(AD22&lt;AG22,AG22&lt;&gt;0,AD22&lt;&gt;0)</formula>
    </cfRule>
    <cfRule type="expression" dxfId="87" priority="2">
      <formula>AND(AD22&gt;AG22,AG22&lt;&gt;0,AD22&lt;&gt;0)</formula>
    </cfRule>
  </conditionalFormatting>
  <conditionalFormatting sqref="AJ22">
    <cfRule type="expression" dxfId="88" priority="2">
      <formula>AND(AJ22&gt;AV22,AV22&lt;&gt;0,AJ22&lt;&gt;0)</formula>
    </cfRule>
    <cfRule type="expression" dxfId="89" priority="2">
      <formula>AND(AJ22&lt;AV22,AV22&lt;&gt;0,AJ22&lt;&gt;0)</formula>
    </cfRule>
  </conditionalFormatting>
  <conditionalFormatting sqref="AM22">
    <cfRule type="expression" dxfId="90" priority="2">
      <formula>AND(AM22&gt;AP22,AP22&lt;&gt;0,AM22&lt;&gt;0)</formula>
    </cfRule>
    <cfRule type="expression" dxfId="91" priority="2">
      <formula>AND(AM22&lt;AP22,AP22&lt;&gt;0,AM22&lt;&gt;0)</formula>
    </cfRule>
  </conditionalFormatting>
  <conditionalFormatting sqref="AY22">
    <cfRule type="expression" dxfId="92" priority="2">
      <formula>AND(AY22&gt;0,AY22&lt;&gt;0)</formula>
    </cfRule>
    <cfRule type="expression" dxfId="93" priority="2">
      <formula>AND(AY22&lt;0,AY22&lt;&gt;0)</formula>
    </cfRule>
  </conditionalFormatting>
  <conditionalFormatting sqref="BB22">
    <cfRule type="expression" dxfId="94" priority="2">
      <formula>AND(BB22&gt;0,BB22&lt;&gt;0)</formula>
    </cfRule>
    <cfRule type="expression" dxfId="95" priority="2">
      <formula>AND(BB22&lt;0,BB22&lt;&gt;0)</formula>
    </cfRule>
  </conditionalFormatting>
  <conditionalFormatting sqref="X23">
    <cfRule type="expression" dxfId="96" priority="2">
      <formula>AND(X23&gt;AS23,AS23&lt;&gt;0,X23&lt;&gt;0)</formula>
    </cfRule>
    <cfRule type="expression" dxfId="97" priority="2">
      <formula>AND(X23&lt;AS23,AS23&lt;&gt;0,X23&lt;&gt;0)</formula>
    </cfRule>
  </conditionalFormatting>
  <conditionalFormatting sqref="AD23">
    <cfRule type="expression" dxfId="98" priority="2">
      <formula>AND(AD23&lt;AG23,AG23&lt;&gt;0,AD23&lt;&gt;0)</formula>
    </cfRule>
    <cfRule type="expression" dxfId="99" priority="2">
      <formula>AND(AD23&gt;AG23,AG23&lt;&gt;0,AD23&lt;&gt;0)</formula>
    </cfRule>
  </conditionalFormatting>
  <conditionalFormatting sqref="AJ23">
    <cfRule type="expression" dxfId="100" priority="2">
      <formula>AND(AJ23&gt;AV23,AV23&lt;&gt;0,AJ23&lt;&gt;0)</formula>
    </cfRule>
    <cfRule type="expression" dxfId="101" priority="2">
      <formula>AND(AJ23&lt;AV23,AV23&lt;&gt;0,AJ23&lt;&gt;0)</formula>
    </cfRule>
  </conditionalFormatting>
  <conditionalFormatting sqref="AM23">
    <cfRule type="expression" dxfId="102" priority="2">
      <formula>AND(AM23&gt;AP23,AP23&lt;&gt;0,AM23&lt;&gt;0)</formula>
    </cfRule>
    <cfRule type="expression" dxfId="103" priority="2">
      <formula>AND(AM23&lt;AP23,AP23&lt;&gt;0,AM23&lt;&gt;0)</formula>
    </cfRule>
  </conditionalFormatting>
  <conditionalFormatting sqref="AY23">
    <cfRule type="expression" dxfId="104" priority="2">
      <formula>AND(AY23&gt;0,AY23&lt;&gt;0)</formula>
    </cfRule>
    <cfRule type="expression" dxfId="105" priority="2">
      <formula>AND(AY23&lt;0,AY23&lt;&gt;0)</formula>
    </cfRule>
  </conditionalFormatting>
  <conditionalFormatting sqref="BB23">
    <cfRule type="expression" dxfId="106" priority="2">
      <formula>AND(BB23&gt;0,BB23&lt;&gt;0)</formula>
    </cfRule>
    <cfRule type="expression" dxfId="107" priority="2">
      <formula>AND(BB23&lt;0,BB23&lt;&gt;0)</formula>
    </cfRule>
  </conditionalFormatting>
  <conditionalFormatting sqref="X24">
    <cfRule type="expression" dxfId="108" priority="2">
      <formula>AND(X24&gt;AS24,AS24&lt;&gt;0,X24&lt;&gt;0)</formula>
    </cfRule>
    <cfRule type="expression" dxfId="109" priority="2">
      <formula>AND(X24&lt;AS24,AS24&lt;&gt;0,X24&lt;&gt;0)</formula>
    </cfRule>
  </conditionalFormatting>
  <conditionalFormatting sqref="AD24">
    <cfRule type="expression" dxfId="110" priority="2">
      <formula>AND(AD24&lt;AG24,AG24&lt;&gt;0,AD24&lt;&gt;0)</formula>
    </cfRule>
    <cfRule type="expression" dxfId="111" priority="2">
      <formula>AND(AD24&gt;AG24,AG24&lt;&gt;0,AD24&lt;&gt;0)</formula>
    </cfRule>
  </conditionalFormatting>
  <conditionalFormatting sqref="AJ24">
    <cfRule type="expression" dxfId="112" priority="2">
      <formula>AND(AJ24&gt;AV24,AV24&lt;&gt;0,AJ24&lt;&gt;0)</formula>
    </cfRule>
    <cfRule type="expression" dxfId="113" priority="2">
      <formula>AND(AJ24&lt;AV24,AV24&lt;&gt;0,AJ24&lt;&gt;0)</formula>
    </cfRule>
  </conditionalFormatting>
  <conditionalFormatting sqref="AM24">
    <cfRule type="expression" dxfId="114" priority="2">
      <formula>AND(AM24&gt;AP24,AP24&lt;&gt;0,AM24&lt;&gt;0)</formula>
    </cfRule>
    <cfRule type="expression" dxfId="115" priority="2">
      <formula>AND(AM24&lt;AP24,AP24&lt;&gt;0,AM24&lt;&gt;0)</formula>
    </cfRule>
  </conditionalFormatting>
  <conditionalFormatting sqref="AY24">
    <cfRule type="expression" dxfId="116" priority="2">
      <formula>AND(AY24&gt;0,AY24&lt;&gt;0)</formula>
    </cfRule>
    <cfRule type="expression" dxfId="117" priority="2">
      <formula>AND(AY24&lt;0,AY24&lt;&gt;0)</formula>
    </cfRule>
  </conditionalFormatting>
  <conditionalFormatting sqref="BB24">
    <cfRule type="expression" dxfId="118" priority="2">
      <formula>AND(BB24&gt;0,BB24&lt;&gt;0)</formula>
    </cfRule>
    <cfRule type="expression" dxfId="119" priority="2">
      <formula>AND(BB24&lt;0,BB24&lt;&gt;0)</formula>
    </cfRule>
  </conditionalFormatting>
  <conditionalFormatting sqref="X25">
    <cfRule type="expression" dxfId="120" priority="2">
      <formula>AND(X25&gt;AS25,AS25&lt;&gt;0,X25&lt;&gt;0)</formula>
    </cfRule>
    <cfRule type="expression" dxfId="121" priority="2">
      <formula>AND(X25&lt;AS25,AS25&lt;&gt;0,X25&lt;&gt;0)</formula>
    </cfRule>
  </conditionalFormatting>
  <conditionalFormatting sqref="AD25">
    <cfRule type="expression" dxfId="122" priority="2">
      <formula>AND(AD25&lt;AG25,AG25&lt;&gt;0,AD25&lt;&gt;0)</formula>
    </cfRule>
    <cfRule type="expression" dxfId="123" priority="2">
      <formula>AND(AD25&gt;AG25,AG25&lt;&gt;0,AD25&lt;&gt;0)</formula>
    </cfRule>
  </conditionalFormatting>
  <conditionalFormatting sqref="AJ25">
    <cfRule type="expression" dxfId="124" priority="2">
      <formula>AND(AJ25&gt;AV25,AV25&lt;&gt;0,AJ25&lt;&gt;0)</formula>
    </cfRule>
    <cfRule type="expression" dxfId="125" priority="2">
      <formula>AND(AJ25&lt;AV25,AV25&lt;&gt;0,AJ25&lt;&gt;0)</formula>
    </cfRule>
  </conditionalFormatting>
  <conditionalFormatting sqref="AM25">
    <cfRule type="expression" dxfId="126" priority="2">
      <formula>AND(AM25&gt;AP25,AP25&lt;&gt;0,AM25&lt;&gt;0)</formula>
    </cfRule>
    <cfRule type="expression" dxfId="127" priority="2">
      <formula>AND(AM25&lt;AP25,AP25&lt;&gt;0,AM25&lt;&gt;0)</formula>
    </cfRule>
  </conditionalFormatting>
  <conditionalFormatting sqref="AY25">
    <cfRule type="expression" dxfId="128" priority="2">
      <formula>AND(AY25&gt;0,AY25&lt;&gt;0)</formula>
    </cfRule>
    <cfRule type="expression" dxfId="129" priority="2">
      <formula>AND(AY25&lt;0,AY25&lt;&gt;0)</formula>
    </cfRule>
  </conditionalFormatting>
  <conditionalFormatting sqref="BB25">
    <cfRule type="expression" dxfId="130" priority="2">
      <formula>AND(BB25&gt;0,BB25&lt;&gt;0)</formula>
    </cfRule>
    <cfRule type="expression" dxfId="131" priority="2">
      <formula>AND(BB25&lt;0,BB25&lt;&gt;0)</formula>
    </cfRule>
  </conditionalFormatting>
  <conditionalFormatting sqref="X26">
    <cfRule type="expression" dxfId="132" priority="2">
      <formula>AND(X26&gt;AS26,AS26&lt;&gt;0,X26&lt;&gt;0)</formula>
    </cfRule>
    <cfRule type="expression" dxfId="133" priority="2">
      <formula>AND(X26&lt;AS26,AS26&lt;&gt;0,X26&lt;&gt;0)</formula>
    </cfRule>
  </conditionalFormatting>
  <conditionalFormatting sqref="AD26">
    <cfRule type="expression" dxfId="134" priority="2">
      <formula>AND(AD26&lt;AG26,AG26&lt;&gt;0,AD26&lt;&gt;0)</formula>
    </cfRule>
    <cfRule type="expression" dxfId="135" priority="2">
      <formula>AND(AD26&gt;AG26,AG26&lt;&gt;0,AD26&lt;&gt;0)</formula>
    </cfRule>
  </conditionalFormatting>
  <conditionalFormatting sqref="AJ26">
    <cfRule type="expression" dxfId="136" priority="2">
      <formula>AND(AJ26&gt;AV26,AV26&lt;&gt;0,AJ26&lt;&gt;0)</formula>
    </cfRule>
    <cfRule type="expression" dxfId="137" priority="2">
      <formula>AND(AJ26&lt;AV26,AV26&lt;&gt;0,AJ26&lt;&gt;0)</formula>
    </cfRule>
  </conditionalFormatting>
  <conditionalFormatting sqref="AM26">
    <cfRule type="expression" dxfId="138" priority="2">
      <formula>AND(AM26&gt;AP26,AP26&lt;&gt;0,AM26&lt;&gt;0)</formula>
    </cfRule>
    <cfRule type="expression" dxfId="139" priority="2">
      <formula>AND(AM26&lt;AP26,AP26&lt;&gt;0,AM26&lt;&gt;0)</formula>
    </cfRule>
  </conditionalFormatting>
  <conditionalFormatting sqref="AY26">
    <cfRule type="expression" dxfId="140" priority="2">
      <formula>AND(AY26&gt;0,AY26&lt;&gt;0)</formula>
    </cfRule>
    <cfRule type="expression" dxfId="141" priority="2">
      <formula>AND(AY26&lt;0,AY26&lt;&gt;0)</formula>
    </cfRule>
  </conditionalFormatting>
  <conditionalFormatting sqref="BB26">
    <cfRule type="expression" dxfId="142" priority="2">
      <formula>AND(BB26&gt;0,BB26&lt;&gt;0)</formula>
    </cfRule>
    <cfRule type="expression" dxfId="143" priority="2">
      <formula>AND(BB26&lt;0,BB26&lt;&gt;0)</formula>
    </cfRule>
  </conditionalFormatting>
  <conditionalFormatting sqref="X27">
    <cfRule type="expression" dxfId="144" priority="2">
      <formula>AND(X27&gt;AS27,AS27&lt;&gt;0,X27&lt;&gt;0)</formula>
    </cfRule>
    <cfRule type="expression" dxfId="145" priority="2">
      <formula>AND(X27&lt;AS27,AS27&lt;&gt;0,X27&lt;&gt;0)</formula>
    </cfRule>
  </conditionalFormatting>
  <conditionalFormatting sqref="AD27">
    <cfRule type="expression" dxfId="146" priority="2">
      <formula>AND(AD27&lt;AG27,AG27&lt;&gt;0,AD27&lt;&gt;0)</formula>
    </cfRule>
    <cfRule type="expression" dxfId="147" priority="2">
      <formula>AND(AD27&gt;AG27,AG27&lt;&gt;0,AD27&lt;&gt;0)</formula>
    </cfRule>
  </conditionalFormatting>
  <conditionalFormatting sqref="AJ27">
    <cfRule type="expression" dxfId="148" priority="2">
      <formula>AND(AJ27&gt;AV27,AV27&lt;&gt;0,AJ27&lt;&gt;0)</formula>
    </cfRule>
    <cfRule type="expression" dxfId="149" priority="2">
      <formula>AND(AJ27&lt;AV27,AV27&lt;&gt;0,AJ27&lt;&gt;0)</formula>
    </cfRule>
  </conditionalFormatting>
  <conditionalFormatting sqref="AM27">
    <cfRule type="expression" dxfId="150" priority="2">
      <formula>AND(AM27&gt;AP27,AP27&lt;&gt;0,AM27&lt;&gt;0)</formula>
    </cfRule>
    <cfRule type="expression" dxfId="151" priority="2">
      <formula>AND(AM27&lt;AP27,AP27&lt;&gt;0,AM27&lt;&gt;0)</formula>
    </cfRule>
  </conditionalFormatting>
  <conditionalFormatting sqref="AY27">
    <cfRule type="expression" dxfId="152" priority="2">
      <formula>AND(AY27&gt;0,AY27&lt;&gt;0)</formula>
    </cfRule>
    <cfRule type="expression" dxfId="153" priority="2">
      <formula>AND(AY27&lt;0,AY27&lt;&gt;0)</formula>
    </cfRule>
  </conditionalFormatting>
  <conditionalFormatting sqref="BB27">
    <cfRule type="expression" dxfId="154" priority="2">
      <formula>AND(BB27&gt;0,BB27&lt;&gt;0)</formula>
    </cfRule>
    <cfRule type="expression" dxfId="155" priority="2">
      <formula>AND(BB27&lt;0,BB27&lt;&gt;0)</formula>
    </cfRule>
  </conditionalFormatting>
  <conditionalFormatting sqref="X28">
    <cfRule type="expression" dxfId="156" priority="2">
      <formula>AND(X28&gt;AS28,AS28&lt;&gt;0,X28&lt;&gt;0)</formula>
    </cfRule>
    <cfRule type="expression" dxfId="157" priority="2">
      <formula>AND(X28&lt;AS28,AS28&lt;&gt;0,X28&lt;&gt;0)</formula>
    </cfRule>
  </conditionalFormatting>
  <conditionalFormatting sqref="AD28">
    <cfRule type="expression" dxfId="158" priority="2">
      <formula>AND(AD28&lt;AG28,AG28&lt;&gt;0,AD28&lt;&gt;0)</formula>
    </cfRule>
    <cfRule type="expression" dxfId="159" priority="2">
      <formula>AND(AD28&gt;AG28,AG28&lt;&gt;0,AD28&lt;&gt;0)</formula>
    </cfRule>
  </conditionalFormatting>
  <conditionalFormatting sqref="AJ28">
    <cfRule type="expression" dxfId="160" priority="2">
      <formula>AND(AJ28&gt;AV28,AV28&lt;&gt;0,AJ28&lt;&gt;0)</formula>
    </cfRule>
    <cfRule type="expression" dxfId="161" priority="2">
      <formula>AND(AJ28&lt;AV28,AV28&lt;&gt;0,AJ28&lt;&gt;0)</formula>
    </cfRule>
  </conditionalFormatting>
  <conditionalFormatting sqref="AM28">
    <cfRule type="expression" dxfId="162" priority="2">
      <formula>AND(AM28&gt;AP28,AP28&lt;&gt;0,AM28&lt;&gt;0)</formula>
    </cfRule>
    <cfRule type="expression" dxfId="163" priority="2">
      <formula>AND(AM28&lt;AP28,AP28&lt;&gt;0,AM28&lt;&gt;0)</formula>
    </cfRule>
  </conditionalFormatting>
  <conditionalFormatting sqref="AY28">
    <cfRule type="expression" dxfId="164" priority="2">
      <formula>AND(AY28&gt;0,AY28&lt;&gt;0)</formula>
    </cfRule>
    <cfRule type="expression" dxfId="165" priority="2">
      <formula>AND(AY28&lt;0,AY28&lt;&gt;0)</formula>
    </cfRule>
  </conditionalFormatting>
  <conditionalFormatting sqref="BB28">
    <cfRule type="expression" dxfId="166" priority="2">
      <formula>AND(BB28&gt;0,BB28&lt;&gt;0)</formula>
    </cfRule>
    <cfRule type="expression" dxfId="167" priority="2">
      <formula>AND(BB28&lt;0,BB28&lt;&gt;0)</formula>
    </cfRule>
  </conditionalFormatting>
  <conditionalFormatting sqref="BL21">
    <cfRule type="expression" dxfId="168" priority="2">
      <formula>AND(BL21&gt;CG21,CG21&lt;&gt;0,BL21&lt;&gt;0)</formula>
    </cfRule>
    <cfRule type="expression" dxfId="169" priority="2">
      <formula>AND(BL21&lt;CG21,CG21&lt;&gt;0,BL21&lt;&gt;0)</formula>
    </cfRule>
  </conditionalFormatting>
  <conditionalFormatting sqref="BR21">
    <cfRule type="expression" dxfId="170" priority="2">
      <formula>AND(BR21&lt;BU21,BU21&lt;&gt;0,BR21&lt;&gt;0)</formula>
    </cfRule>
    <cfRule type="expression" dxfId="171" priority="2">
      <formula>AND(BR21&gt;BU21,BU21&lt;&gt;0,BR21&lt;&gt;0)</formula>
    </cfRule>
  </conditionalFormatting>
  <conditionalFormatting sqref="BX21">
    <cfRule type="expression" dxfId="172" priority="2">
      <formula>AND(BX21&gt;CJ21,CJ21&lt;&gt;0,BX21&lt;&gt;0)</formula>
    </cfRule>
    <cfRule type="expression" dxfId="173" priority="2">
      <formula>AND(BX21&lt;CJ21,CJ21&lt;&gt;0,BX21&lt;&gt;0)</formula>
    </cfRule>
  </conditionalFormatting>
  <conditionalFormatting sqref="CA21">
    <cfRule type="expression" dxfId="174" priority="2">
      <formula>AND(CA21&gt;CD21,CD21&lt;&gt;0,CA21&lt;&gt;0)</formula>
    </cfRule>
    <cfRule type="expression" dxfId="175" priority="2">
      <formula>AND(CA21&lt;CD21,CD21&lt;&gt;0,CA21&lt;&gt;0)</formula>
    </cfRule>
  </conditionalFormatting>
  <conditionalFormatting sqref="CM21">
    <cfRule type="expression" dxfId="176" priority="2">
      <formula>AND(CM21&gt;0,CM21&lt;&gt;0)</formula>
    </cfRule>
    <cfRule type="expression" dxfId="177" priority="2">
      <formula>AND(CM21&lt;0,CM21&lt;&gt;0)</formula>
    </cfRule>
  </conditionalFormatting>
  <conditionalFormatting sqref="CP21">
    <cfRule type="expression" dxfId="178" priority="2">
      <formula>AND(CP21&gt;0,CP21&lt;&gt;0)</formula>
    </cfRule>
    <cfRule type="expression" dxfId="179" priority="2">
      <formula>AND(CP21&lt;0,CP21&lt;&gt;0)</formula>
    </cfRule>
  </conditionalFormatting>
  <conditionalFormatting sqref="BL22">
    <cfRule type="expression" dxfId="180" priority="2">
      <formula>AND(BL22&gt;CG22,CG22&lt;&gt;0,BL22&lt;&gt;0)</formula>
    </cfRule>
    <cfRule type="expression" dxfId="181" priority="2">
      <formula>AND(BL22&lt;CG22,CG22&lt;&gt;0,BL22&lt;&gt;0)</formula>
    </cfRule>
  </conditionalFormatting>
  <conditionalFormatting sqref="BR22">
    <cfRule type="expression" dxfId="182" priority="2">
      <formula>AND(BR22&lt;BU22,BU22&lt;&gt;0,BR22&lt;&gt;0)</formula>
    </cfRule>
    <cfRule type="expression" dxfId="183" priority="2">
      <formula>AND(BR22&gt;BU22,BU22&lt;&gt;0,BR22&lt;&gt;0)</formula>
    </cfRule>
  </conditionalFormatting>
  <conditionalFormatting sqref="BX22">
    <cfRule type="expression" dxfId="184" priority="2">
      <formula>AND(BX22&gt;CJ22,CJ22&lt;&gt;0,BX22&lt;&gt;0)</formula>
    </cfRule>
    <cfRule type="expression" dxfId="185" priority="2">
      <formula>AND(BX22&lt;CJ22,CJ22&lt;&gt;0,BX22&lt;&gt;0)</formula>
    </cfRule>
  </conditionalFormatting>
  <conditionalFormatting sqref="CA22">
    <cfRule type="expression" dxfId="186" priority="2">
      <formula>AND(CA22&gt;CD22,CD22&lt;&gt;0,CA22&lt;&gt;0)</formula>
    </cfRule>
    <cfRule type="expression" dxfId="187" priority="2">
      <formula>AND(CA22&lt;CD22,CD22&lt;&gt;0,CA22&lt;&gt;0)</formula>
    </cfRule>
  </conditionalFormatting>
  <conditionalFormatting sqref="CM22">
    <cfRule type="expression" dxfId="188" priority="2">
      <formula>AND(CM22&gt;0,CM22&lt;&gt;0)</formula>
    </cfRule>
    <cfRule type="expression" dxfId="189" priority="2">
      <formula>AND(CM22&lt;0,CM22&lt;&gt;0)</formula>
    </cfRule>
  </conditionalFormatting>
  <conditionalFormatting sqref="CP22">
    <cfRule type="expression" dxfId="190" priority="2">
      <formula>AND(CP22&gt;0,CP22&lt;&gt;0)</formula>
    </cfRule>
    <cfRule type="expression" dxfId="191" priority="2">
      <formula>AND(CP22&lt;0,CP22&lt;&gt;0)</formula>
    </cfRule>
  </conditionalFormatting>
  <conditionalFormatting sqref="BL23">
    <cfRule type="expression" dxfId="192" priority="2">
      <formula>AND(BL23&gt;CG23,CG23&lt;&gt;0,BL23&lt;&gt;0)</formula>
    </cfRule>
    <cfRule type="expression" dxfId="193" priority="2">
      <formula>AND(BL23&lt;CG23,CG23&lt;&gt;0,BL23&lt;&gt;0)</formula>
    </cfRule>
  </conditionalFormatting>
  <conditionalFormatting sqref="BR23">
    <cfRule type="expression" dxfId="194" priority="2">
      <formula>AND(BR23&lt;BU23,BU23&lt;&gt;0,BR23&lt;&gt;0)</formula>
    </cfRule>
    <cfRule type="expression" dxfId="195" priority="2">
      <formula>AND(BR23&gt;BU23,BU23&lt;&gt;0,BR23&lt;&gt;0)</formula>
    </cfRule>
  </conditionalFormatting>
  <conditionalFormatting sqref="BX23">
    <cfRule type="expression" dxfId="196" priority="2">
      <formula>AND(BX23&gt;CJ23,CJ23&lt;&gt;0,BX23&lt;&gt;0)</formula>
    </cfRule>
    <cfRule type="expression" dxfId="197" priority="2">
      <formula>AND(BX23&lt;CJ23,CJ23&lt;&gt;0,BX23&lt;&gt;0)</formula>
    </cfRule>
  </conditionalFormatting>
  <conditionalFormatting sqref="CA23">
    <cfRule type="expression" dxfId="198" priority="2">
      <formula>AND(CA23&gt;CD23,CD23&lt;&gt;0,CA23&lt;&gt;0)</formula>
    </cfRule>
    <cfRule type="expression" dxfId="199" priority="2">
      <formula>AND(CA23&lt;CD23,CD23&lt;&gt;0,CA23&lt;&gt;0)</formula>
    </cfRule>
  </conditionalFormatting>
  <conditionalFormatting sqref="CM23">
    <cfRule type="expression" dxfId="200" priority="2">
      <formula>AND(CM23&gt;0,CM23&lt;&gt;0)</formula>
    </cfRule>
    <cfRule type="expression" dxfId="201" priority="2">
      <formula>AND(CM23&lt;0,CM23&lt;&gt;0)</formula>
    </cfRule>
  </conditionalFormatting>
  <conditionalFormatting sqref="CP23">
    <cfRule type="expression" dxfId="202" priority="2">
      <formula>AND(CP23&gt;0,CP23&lt;&gt;0)</formula>
    </cfRule>
    <cfRule type="expression" dxfId="203" priority="2">
      <formula>AND(CP23&lt;0,CP23&lt;&gt;0)</formula>
    </cfRule>
  </conditionalFormatting>
  <conditionalFormatting sqref="BL24">
    <cfRule type="expression" dxfId="204" priority="2">
      <formula>AND(BL24&gt;CG24,CG24&lt;&gt;0,BL24&lt;&gt;0)</formula>
    </cfRule>
    <cfRule type="expression" dxfId="205" priority="2">
      <formula>AND(BL24&lt;CG24,CG24&lt;&gt;0,BL24&lt;&gt;0)</formula>
    </cfRule>
  </conditionalFormatting>
  <conditionalFormatting sqref="BR24">
    <cfRule type="expression" dxfId="206" priority="2">
      <formula>AND(BR24&lt;BU24,BU24&lt;&gt;0,BR24&lt;&gt;0)</formula>
    </cfRule>
    <cfRule type="expression" dxfId="207" priority="2">
      <formula>AND(BR24&gt;BU24,BU24&lt;&gt;0,BR24&lt;&gt;0)</formula>
    </cfRule>
  </conditionalFormatting>
  <conditionalFormatting sqref="BX24">
    <cfRule type="expression" dxfId="208" priority="2">
      <formula>AND(BX24&gt;CJ24,CJ24&lt;&gt;0,BX24&lt;&gt;0)</formula>
    </cfRule>
    <cfRule type="expression" dxfId="209" priority="2">
      <formula>AND(BX24&lt;CJ24,CJ24&lt;&gt;0,BX24&lt;&gt;0)</formula>
    </cfRule>
  </conditionalFormatting>
  <conditionalFormatting sqref="CA24">
    <cfRule type="expression" dxfId="210" priority="2">
      <formula>AND(CA24&gt;CD24,CD24&lt;&gt;0,CA24&lt;&gt;0)</formula>
    </cfRule>
    <cfRule type="expression" dxfId="211" priority="2">
      <formula>AND(CA24&lt;CD24,CD24&lt;&gt;0,CA24&lt;&gt;0)</formula>
    </cfRule>
  </conditionalFormatting>
  <conditionalFormatting sqref="CM24">
    <cfRule type="expression" dxfId="212" priority="2">
      <formula>AND(CM24&gt;0,CM24&lt;&gt;0)</formula>
    </cfRule>
    <cfRule type="expression" dxfId="213" priority="2">
      <formula>AND(CM24&lt;0,CM24&lt;&gt;0)</formula>
    </cfRule>
  </conditionalFormatting>
  <conditionalFormatting sqref="CP24">
    <cfRule type="expression" dxfId="214" priority="2">
      <formula>AND(CP24&gt;0,CP24&lt;&gt;0)</formula>
    </cfRule>
    <cfRule type="expression" dxfId="215" priority="2">
      <formula>AND(CP24&lt;0,CP24&lt;&gt;0)</formula>
    </cfRule>
  </conditionalFormatting>
  <conditionalFormatting sqref="BL25">
    <cfRule type="expression" dxfId="216" priority="2">
      <formula>AND(BL25&gt;CG25,CG25&lt;&gt;0,BL25&lt;&gt;0)</formula>
    </cfRule>
    <cfRule type="expression" dxfId="217" priority="2">
      <formula>AND(BL25&lt;CG25,CG25&lt;&gt;0,BL25&lt;&gt;0)</formula>
    </cfRule>
  </conditionalFormatting>
  <conditionalFormatting sqref="BR25">
    <cfRule type="expression" dxfId="218" priority="2">
      <formula>AND(BR25&lt;BU25,BU25&lt;&gt;0,BR25&lt;&gt;0)</formula>
    </cfRule>
    <cfRule type="expression" dxfId="219" priority="2">
      <formula>AND(BR25&gt;BU25,BU25&lt;&gt;0,BR25&lt;&gt;0)</formula>
    </cfRule>
  </conditionalFormatting>
  <conditionalFormatting sqref="BX25">
    <cfRule type="expression" dxfId="220" priority="2">
      <formula>AND(BX25&gt;CJ25,CJ25&lt;&gt;0,BX25&lt;&gt;0)</formula>
    </cfRule>
    <cfRule type="expression" dxfId="221" priority="2">
      <formula>AND(BX25&lt;CJ25,CJ25&lt;&gt;0,BX25&lt;&gt;0)</formula>
    </cfRule>
  </conditionalFormatting>
  <conditionalFormatting sqref="CA25">
    <cfRule type="expression" dxfId="222" priority="2">
      <formula>AND(CA25&gt;CD25,CD25&lt;&gt;0,CA25&lt;&gt;0)</formula>
    </cfRule>
    <cfRule type="expression" dxfId="223" priority="2">
      <formula>AND(CA25&lt;CD25,CD25&lt;&gt;0,CA25&lt;&gt;0)</formula>
    </cfRule>
  </conditionalFormatting>
  <conditionalFormatting sqref="CM25">
    <cfRule type="expression" dxfId="224" priority="2">
      <formula>AND(CM25&gt;0,CM25&lt;&gt;0)</formula>
    </cfRule>
    <cfRule type="expression" dxfId="225" priority="2">
      <formula>AND(CM25&lt;0,CM25&lt;&gt;0)</formula>
    </cfRule>
  </conditionalFormatting>
  <conditionalFormatting sqref="CP25">
    <cfRule type="expression" dxfId="226" priority="2">
      <formula>AND(CP25&gt;0,CP25&lt;&gt;0)</formula>
    </cfRule>
    <cfRule type="expression" dxfId="227" priority="2">
      <formula>AND(CP25&lt;0,CP25&lt;&gt;0)</formula>
    </cfRule>
  </conditionalFormatting>
  <conditionalFormatting sqref="BL26">
    <cfRule type="expression" dxfId="228" priority="2">
      <formula>AND(BL26&gt;CG26,CG26&lt;&gt;0,BL26&lt;&gt;0)</formula>
    </cfRule>
    <cfRule type="expression" dxfId="229" priority="2">
      <formula>AND(BL26&lt;CG26,CG26&lt;&gt;0,BL26&lt;&gt;0)</formula>
    </cfRule>
  </conditionalFormatting>
  <conditionalFormatting sqref="BR26">
    <cfRule type="expression" dxfId="230" priority="2">
      <formula>AND(BR26&lt;BU26,BU26&lt;&gt;0,BR26&lt;&gt;0)</formula>
    </cfRule>
    <cfRule type="expression" dxfId="231" priority="2">
      <formula>AND(BR26&gt;BU26,BU26&lt;&gt;0,BR26&lt;&gt;0)</formula>
    </cfRule>
  </conditionalFormatting>
  <conditionalFormatting sqref="BX26">
    <cfRule type="expression" dxfId="232" priority="2">
      <formula>AND(BX26&gt;CJ26,CJ26&lt;&gt;0,BX26&lt;&gt;0)</formula>
    </cfRule>
    <cfRule type="expression" dxfId="233" priority="2">
      <formula>AND(BX26&lt;CJ26,CJ26&lt;&gt;0,BX26&lt;&gt;0)</formula>
    </cfRule>
  </conditionalFormatting>
  <conditionalFormatting sqref="CA26">
    <cfRule type="expression" dxfId="234" priority="2">
      <formula>AND(CA26&gt;CD26,CD26&lt;&gt;0,CA26&lt;&gt;0)</formula>
    </cfRule>
    <cfRule type="expression" dxfId="235" priority="2">
      <formula>AND(CA26&lt;CD26,CD26&lt;&gt;0,CA26&lt;&gt;0)</formula>
    </cfRule>
  </conditionalFormatting>
  <conditionalFormatting sqref="CM26">
    <cfRule type="expression" dxfId="236" priority="2">
      <formula>AND(CM26&gt;0,CM26&lt;&gt;0)</formula>
    </cfRule>
    <cfRule type="expression" dxfId="237" priority="2">
      <formula>AND(CM26&lt;0,CM26&lt;&gt;0)</formula>
    </cfRule>
  </conditionalFormatting>
  <conditionalFormatting sqref="CP26">
    <cfRule type="expression" dxfId="238" priority="2">
      <formula>AND(CP26&gt;0,CP26&lt;&gt;0)</formula>
    </cfRule>
    <cfRule type="expression" dxfId="239" priority="2">
      <formula>AND(CP26&lt;0,CP26&lt;&gt;0)</formula>
    </cfRule>
  </conditionalFormatting>
  <conditionalFormatting sqref="BL27">
    <cfRule type="expression" dxfId="240" priority="2">
      <formula>AND(BL27&gt;CG27,CG27&lt;&gt;0,BL27&lt;&gt;0)</formula>
    </cfRule>
    <cfRule type="expression" dxfId="241" priority="2">
      <formula>AND(BL27&lt;CG27,CG27&lt;&gt;0,BL27&lt;&gt;0)</formula>
    </cfRule>
  </conditionalFormatting>
  <conditionalFormatting sqref="BR27">
    <cfRule type="expression" dxfId="242" priority="2">
      <formula>AND(BR27&lt;BU27,BU27&lt;&gt;0,BR27&lt;&gt;0)</formula>
    </cfRule>
    <cfRule type="expression" dxfId="243" priority="2">
      <formula>AND(BR27&gt;BU27,BU27&lt;&gt;0,BR27&lt;&gt;0)</formula>
    </cfRule>
  </conditionalFormatting>
  <conditionalFormatting sqref="BX27">
    <cfRule type="expression" dxfId="244" priority="2">
      <formula>AND(BX27&gt;CJ27,CJ27&lt;&gt;0,BX27&lt;&gt;0)</formula>
    </cfRule>
    <cfRule type="expression" dxfId="245" priority="2">
      <formula>AND(BX27&lt;CJ27,CJ27&lt;&gt;0,BX27&lt;&gt;0)</formula>
    </cfRule>
  </conditionalFormatting>
  <conditionalFormatting sqref="CA27">
    <cfRule type="expression" dxfId="246" priority="2">
      <formula>AND(CA27&gt;CD27,CD27&lt;&gt;0,CA27&lt;&gt;0)</formula>
    </cfRule>
    <cfRule type="expression" dxfId="247" priority="2">
      <formula>AND(CA27&lt;CD27,CD27&lt;&gt;0,CA27&lt;&gt;0)</formula>
    </cfRule>
  </conditionalFormatting>
  <conditionalFormatting sqref="CM27">
    <cfRule type="expression" dxfId="248" priority="2">
      <formula>AND(CM27&gt;0,CM27&lt;&gt;0)</formula>
    </cfRule>
    <cfRule type="expression" dxfId="249" priority="2">
      <formula>AND(CM27&lt;0,CM27&lt;&gt;0)</formula>
    </cfRule>
  </conditionalFormatting>
  <conditionalFormatting sqref="CP27">
    <cfRule type="expression" dxfId="250" priority="2">
      <formula>AND(CP27&gt;0,CP27&lt;&gt;0)</formula>
    </cfRule>
    <cfRule type="expression" dxfId="251" priority="2">
      <formula>AND(CP27&lt;0,CP27&lt;&gt;0)</formula>
    </cfRule>
  </conditionalFormatting>
  <conditionalFormatting sqref="BL28">
    <cfRule type="expression" dxfId="252" priority="2">
      <formula>AND(BL28&gt;CG28,CG28&lt;&gt;0,BL28&lt;&gt;0)</formula>
    </cfRule>
    <cfRule type="expression" dxfId="253" priority="2">
      <formula>AND(BL28&lt;CG28,CG28&lt;&gt;0,BL28&lt;&gt;0)</formula>
    </cfRule>
  </conditionalFormatting>
  <conditionalFormatting sqref="BR28">
    <cfRule type="expression" dxfId="254" priority="2">
      <formula>AND(BR28&lt;BU28,BU28&lt;&gt;0,BR28&lt;&gt;0)</formula>
    </cfRule>
    <cfRule type="expression" dxfId="255" priority="2">
      <formula>AND(BR28&gt;BU28,BU28&lt;&gt;0,BR28&lt;&gt;0)</formula>
    </cfRule>
  </conditionalFormatting>
  <conditionalFormatting sqref="BX28">
    <cfRule type="expression" dxfId="256" priority="2">
      <formula>AND(BX28&gt;CJ28,CJ28&lt;&gt;0,BX28&lt;&gt;0)</formula>
    </cfRule>
    <cfRule type="expression" dxfId="257" priority="2">
      <formula>AND(BX28&lt;CJ28,CJ28&lt;&gt;0,BX28&lt;&gt;0)</formula>
    </cfRule>
  </conditionalFormatting>
  <conditionalFormatting sqref="CA28">
    <cfRule type="expression" dxfId="258" priority="2">
      <formula>AND(CA28&gt;CD28,CD28&lt;&gt;0,CA28&lt;&gt;0)</formula>
    </cfRule>
    <cfRule type="expression" dxfId="259" priority="2">
      <formula>AND(CA28&lt;CD28,CD28&lt;&gt;0,CA28&lt;&gt;0)</formula>
    </cfRule>
  </conditionalFormatting>
  <conditionalFormatting sqref="CM28">
    <cfRule type="expression" dxfId="260" priority="2">
      <formula>AND(CM28&gt;0,CM28&lt;&gt;0)</formula>
    </cfRule>
    <cfRule type="expression" dxfId="261" priority="2">
      <formula>AND(CM28&lt;0,CM28&lt;&gt;0)</formula>
    </cfRule>
  </conditionalFormatting>
  <conditionalFormatting sqref="CP28">
    <cfRule type="expression" dxfId="262" priority="2">
      <formula>AND(CP28&gt;0,CP28&lt;&gt;0)</formula>
    </cfRule>
    <cfRule type="expression" dxfId="263" priority="2">
      <formula>AND(CP28&lt;0,CP28&lt;&gt;0)</formula>
    </cfRule>
  </conditionalFormatting>
  <conditionalFormatting sqref="W34:Z34">
    <cfRule type="expression" dxfId="264" priority="2">
      <formula>AND( OR(EXACT(W34,"SAILING_WITH_LADEN"), EXACT(W34,"SAILING_IN_BALLAST"), EXACT(W34,"ECONOMICAL_NAVIGATION") ), (0=AJ34) )</formula>
    </cfRule>
  </conditionalFormatting>
  <conditionalFormatting sqref="AJ34:AK34">
    <cfRule type="expression" dxfId="265" priority="2">
      <formula>AND( OR(EXACT(W34,"SAILING_WITH_LADEN"), EXACT(W34,"SAILING_IN_BALLAST"), EXACT(W34,"ECONOMICAL_NAVIGATION") ), (0=AJ34) )</formula>
    </cfRule>
  </conditionalFormatting>
  <conditionalFormatting sqref="AN34:AO34">
    <cfRule type="cellIs" dxfId="266" priority="1" operator="equal">
      <formula>0</formula>
    </cfRule>
    <cfRule type="expression" dxfId="267" priority="1">
      <formula>AND( AN34 &lt;12, AN34 &gt; 0 )</formula>
    </cfRule>
    <cfRule type="expression" dxfId="268" priority="1">
      <formula>AN34 &gt;=12</formula>
    </cfRule>
    <cfRule type="expression" dxfId="269" priority="2">
      <formula>AND( OR(EXACT(W34,"SAILING_WITH_LADEN"), EXACT(W34,"SAILING_IN_BALLAST"), EXACT(W34,"ECONOMICAL_NAVIGATION") ), (0=AN34) )</formula>
    </cfRule>
  </conditionalFormatting>
  <conditionalFormatting sqref="AL34:AM34">
    <cfRule type="expression" dxfId="270" priority="2">
      <formula>AND(  (0=AL34) )</formula>
    </cfRule>
  </conditionalFormatting>
  <conditionalFormatting sqref="F34:CA34">
    <cfRule type="expression" dxfId="271" priority="20">
      <formula>true</formula>
    </cfRule>
  </conditionalFormatting>
  <conditionalFormatting sqref="W35:Z35">
    <cfRule type="expression" dxfId="272" priority="2">
      <formula>AND( OR(EXACT(W35,"SAILING_WITH_LADEN"), EXACT(W35,"SAILING_IN_BALLAST"), EXACT(W35,"ECONOMICAL_NAVIGATION") ), (0=AJ35) )</formula>
    </cfRule>
  </conditionalFormatting>
  <conditionalFormatting sqref="AJ35:AK35">
    <cfRule type="expression" dxfId="273" priority="2">
      <formula>AND( OR(EXACT(W35,"SAILING_WITH_LADEN"), EXACT(W35,"SAILING_IN_BALLAST"), EXACT(W35,"ECONOMICAL_NAVIGATION") ), (0=AJ35) )</formula>
    </cfRule>
  </conditionalFormatting>
  <conditionalFormatting sqref="AN35:AO35">
    <cfRule type="cellIs" dxfId="274" priority="1" operator="equal">
      <formula>0</formula>
    </cfRule>
    <cfRule type="expression" dxfId="275" priority="1">
      <formula>AND( AN35 &lt;12, AN35 &gt; 0 )</formula>
    </cfRule>
    <cfRule type="expression" dxfId="276" priority="1">
      <formula>AN35 &gt;=12</formula>
    </cfRule>
    <cfRule type="expression" dxfId="277" priority="2">
      <formula>AND( OR(EXACT(W35,"SAILING_WITH_LADEN"), EXACT(W35,"SAILING_IN_BALLAST"), EXACT(W35,"ECONOMICAL_NAVIGATION") ), (0=AN35) )</formula>
    </cfRule>
  </conditionalFormatting>
  <conditionalFormatting sqref="AL35:AM35">
    <cfRule type="expression" dxfId="278" priority="2">
      <formula>AND(  (0=AL35) )</formula>
    </cfRule>
  </conditionalFormatting>
  <conditionalFormatting sqref="W36:Z36">
    <cfRule type="expression" dxfId="279" priority="2">
      <formula>AND( OR(EXACT(W36,"SAILING_WITH_LADEN"), EXACT(W36,"SAILING_IN_BALLAST"), EXACT(W36,"ECONOMICAL_NAVIGATION") ), (0=AJ36) )</formula>
    </cfRule>
  </conditionalFormatting>
  <conditionalFormatting sqref="AJ36:AK36">
    <cfRule type="expression" dxfId="280" priority="2">
      <formula>AND( OR(EXACT(W36,"SAILING_WITH_LADEN"), EXACT(W36,"SAILING_IN_BALLAST"), EXACT(W36,"ECONOMICAL_NAVIGATION") ), (0=AJ36) )</formula>
    </cfRule>
  </conditionalFormatting>
  <conditionalFormatting sqref="AN36:AO36">
    <cfRule type="cellIs" dxfId="281" priority="1" operator="equal">
      <formula>0</formula>
    </cfRule>
    <cfRule type="expression" dxfId="282" priority="1">
      <formula>AND( AN36 &lt;12, AN36 &gt; 0 )</formula>
    </cfRule>
    <cfRule type="expression" dxfId="283" priority="1">
      <formula>AN36 &gt;=12</formula>
    </cfRule>
    <cfRule type="expression" dxfId="284" priority="2">
      <formula>AND( OR(EXACT(W36,"SAILING_WITH_LADEN"), EXACT(W36,"SAILING_IN_BALLAST"), EXACT(W36,"ECONOMICAL_NAVIGATION") ), (0=AN36) )</formula>
    </cfRule>
  </conditionalFormatting>
  <conditionalFormatting sqref="AL36:AM36">
    <cfRule type="expression" dxfId="285" priority="2">
      <formula>AND(  (0=AL36) )</formula>
    </cfRule>
  </conditionalFormatting>
  <conditionalFormatting sqref="F36:CA36">
    <cfRule type="expression" dxfId="286" priority="20">
      <formula>true</formula>
    </cfRule>
  </conditionalFormatting>
  <conditionalFormatting sqref="W37:Z37">
    <cfRule type="expression" dxfId="287" priority="2">
      <formula>AND( OR(EXACT(W37,"SAILING_WITH_LADEN"), EXACT(W37,"SAILING_IN_BALLAST"), EXACT(W37,"ECONOMICAL_NAVIGATION") ), (0=AJ37) )</formula>
    </cfRule>
  </conditionalFormatting>
  <conditionalFormatting sqref="AJ37:AK37">
    <cfRule type="expression" dxfId="288" priority="2">
      <formula>AND( OR(EXACT(W37,"SAILING_WITH_LADEN"), EXACT(W37,"SAILING_IN_BALLAST"), EXACT(W37,"ECONOMICAL_NAVIGATION") ), (0=AJ37) )</formula>
    </cfRule>
  </conditionalFormatting>
  <conditionalFormatting sqref="AN37:AO37">
    <cfRule type="cellIs" dxfId="289" priority="1" operator="equal">
      <formula>0</formula>
    </cfRule>
    <cfRule type="expression" dxfId="290" priority="1">
      <formula>AND( AN37 &lt;12, AN37 &gt; 0 )</formula>
    </cfRule>
    <cfRule type="expression" dxfId="291" priority="1">
      <formula>AN37 &gt;=12</formula>
    </cfRule>
    <cfRule type="expression" dxfId="292" priority="2">
      <formula>AND( OR(EXACT(W37,"SAILING_WITH_LADEN"), EXACT(W37,"SAILING_IN_BALLAST"), EXACT(W37,"ECONOMICAL_NAVIGATION") ), (0=AN37) )</formula>
    </cfRule>
  </conditionalFormatting>
  <conditionalFormatting sqref="AL37:AM37">
    <cfRule type="expression" dxfId="293" priority="2">
      <formula>AND(  (0=AL37) )</formula>
    </cfRule>
  </conditionalFormatting>
  <conditionalFormatting sqref="W38:Z38">
    <cfRule type="expression" dxfId="294" priority="2">
      <formula>AND( OR(EXACT(W38,"SAILING_WITH_LADEN"), EXACT(W38,"SAILING_IN_BALLAST"), EXACT(W38,"ECONOMICAL_NAVIGATION") ), (0=AJ38) )</formula>
    </cfRule>
  </conditionalFormatting>
  <conditionalFormatting sqref="AJ38:AK38">
    <cfRule type="expression" dxfId="295" priority="2">
      <formula>AND( OR(EXACT(W38,"SAILING_WITH_LADEN"), EXACT(W38,"SAILING_IN_BALLAST"), EXACT(W38,"ECONOMICAL_NAVIGATION") ), (0=AJ38) )</formula>
    </cfRule>
  </conditionalFormatting>
  <conditionalFormatting sqref="AN38:AO38">
    <cfRule type="cellIs" dxfId="296" priority="1" operator="equal">
      <formula>0</formula>
    </cfRule>
    <cfRule type="expression" dxfId="297" priority="1">
      <formula>AND( AN38 &lt;12, AN38 &gt; 0 )</formula>
    </cfRule>
    <cfRule type="expression" dxfId="298" priority="1">
      <formula>AN38 &gt;=12</formula>
    </cfRule>
    <cfRule type="expression" dxfId="299" priority="2">
      <formula>AND( OR(EXACT(W38,"SAILING_WITH_LADEN"), EXACT(W38,"SAILING_IN_BALLAST"), EXACT(W38,"ECONOMICAL_NAVIGATION") ), (0=AN38) )</formula>
    </cfRule>
  </conditionalFormatting>
  <conditionalFormatting sqref="AL38:AM38">
    <cfRule type="expression" dxfId="300" priority="2">
      <formula>AND(  (0=AL38) )</formula>
    </cfRule>
  </conditionalFormatting>
  <conditionalFormatting sqref="F38:CA38">
    <cfRule type="expression" dxfId="301" priority="20">
      <formula>true</formula>
    </cfRule>
  </conditionalFormatting>
  <conditionalFormatting sqref="W39:Z39">
    <cfRule type="expression" dxfId="302" priority="2">
      <formula>AND( OR(EXACT(W39,"SAILING_WITH_LADEN"), EXACT(W39,"SAILING_IN_BALLAST"), EXACT(W39,"ECONOMICAL_NAVIGATION") ), (0=AJ39) )</formula>
    </cfRule>
  </conditionalFormatting>
  <conditionalFormatting sqref="AJ39:AK39">
    <cfRule type="expression" dxfId="303" priority="2">
      <formula>AND( OR(EXACT(W39,"SAILING_WITH_LADEN"), EXACT(W39,"SAILING_IN_BALLAST"), EXACT(W39,"ECONOMICAL_NAVIGATION") ), (0=AJ39) )</formula>
    </cfRule>
  </conditionalFormatting>
  <conditionalFormatting sqref="AN39:AO39">
    <cfRule type="cellIs" dxfId="304" priority="1" operator="equal">
      <formula>0</formula>
    </cfRule>
    <cfRule type="expression" dxfId="305" priority="1">
      <formula>AND( AN39 &lt;12, AN39 &gt; 0 )</formula>
    </cfRule>
    <cfRule type="expression" dxfId="306" priority="1">
      <formula>AN39 &gt;=12</formula>
    </cfRule>
    <cfRule type="expression" dxfId="307" priority="2">
      <formula>AND( OR(EXACT(W39,"SAILING_WITH_LADEN"), EXACT(W39,"SAILING_IN_BALLAST"), EXACT(W39,"ECONOMICAL_NAVIGATION") ), (0=AN39) )</formula>
    </cfRule>
  </conditionalFormatting>
  <conditionalFormatting sqref="AL39:AM39">
    <cfRule type="expression" dxfId="308" priority="2">
      <formula>AND(  (0=AL39) )</formula>
    </cfRule>
  </conditionalFormatting>
  <conditionalFormatting sqref="W40:Z40">
    <cfRule type="expression" dxfId="309" priority="2">
      <formula>AND( OR(EXACT(W40,"SAILING_WITH_LADEN"), EXACT(W40,"SAILING_IN_BALLAST"), EXACT(W40,"ECONOMICAL_NAVIGATION") ), (0=AJ40) )</formula>
    </cfRule>
  </conditionalFormatting>
  <conditionalFormatting sqref="AJ40:AK40">
    <cfRule type="expression" dxfId="310" priority="2">
      <formula>AND( OR(EXACT(W40,"SAILING_WITH_LADEN"), EXACT(W40,"SAILING_IN_BALLAST"), EXACT(W40,"ECONOMICAL_NAVIGATION") ), (0=AJ40) )</formula>
    </cfRule>
  </conditionalFormatting>
  <conditionalFormatting sqref="AN40:AO40">
    <cfRule type="cellIs" dxfId="311" priority="1" operator="equal">
      <formula>0</formula>
    </cfRule>
    <cfRule type="expression" dxfId="312" priority="1">
      <formula>AND( AN40 &lt;12, AN40 &gt; 0 )</formula>
    </cfRule>
    <cfRule type="expression" dxfId="313" priority="1">
      <formula>AN40 &gt;=12</formula>
    </cfRule>
    <cfRule type="expression" dxfId="314" priority="2">
      <formula>AND( OR(EXACT(W40,"SAILING_WITH_LADEN"), EXACT(W40,"SAILING_IN_BALLAST"), EXACT(W40,"ECONOMICAL_NAVIGATION") ), (0=AN40) )</formula>
    </cfRule>
  </conditionalFormatting>
  <conditionalFormatting sqref="AL40:AM40">
    <cfRule type="expression" dxfId="315" priority="2">
      <formula>AND(  (0=AL40) )</formula>
    </cfRule>
  </conditionalFormatting>
  <conditionalFormatting sqref="F40:CA40">
    <cfRule type="expression" dxfId="316" priority="20">
      <formula>true</formula>
    </cfRule>
  </conditionalFormatting>
  <conditionalFormatting sqref="W41:Z41">
    <cfRule type="expression" dxfId="317" priority="2">
      <formula>AND( OR(EXACT(W41,"SAILING_WITH_LADEN"), EXACT(W41,"SAILING_IN_BALLAST"), EXACT(W41,"ECONOMICAL_NAVIGATION") ), (0=AJ41) )</formula>
    </cfRule>
  </conditionalFormatting>
  <conditionalFormatting sqref="AJ41:AK41">
    <cfRule type="expression" dxfId="318" priority="2">
      <formula>AND( OR(EXACT(W41,"SAILING_WITH_LADEN"), EXACT(W41,"SAILING_IN_BALLAST"), EXACT(W41,"ECONOMICAL_NAVIGATION") ), (0=AJ41) )</formula>
    </cfRule>
  </conditionalFormatting>
  <conditionalFormatting sqref="AN41:AO41">
    <cfRule type="cellIs" dxfId="319" priority="1" operator="equal">
      <formula>0</formula>
    </cfRule>
    <cfRule type="expression" dxfId="320" priority="1">
      <formula>AND( AN41 &lt;12, AN41 &gt; 0 )</formula>
    </cfRule>
    <cfRule type="expression" dxfId="321" priority="1">
      <formula>AN41 &gt;=12</formula>
    </cfRule>
    <cfRule type="expression" dxfId="322" priority="2">
      <formula>AND( OR(EXACT(W41,"SAILING_WITH_LADEN"), EXACT(W41,"SAILING_IN_BALLAST"), EXACT(W41,"ECONOMICAL_NAVIGATION") ), (0=AN41) )</formula>
    </cfRule>
  </conditionalFormatting>
  <conditionalFormatting sqref="AL41:AM41">
    <cfRule type="expression" dxfId="323" priority="2">
      <formula>AND(  (0=AL41) 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2" width="22" customWidth="1"/>
    <col min="3" max="6" width="12" customWidth="1"/>
  </cols>
  <sheetData>
    <row r="1" spans="1:3" x14ac:dyDescent="0.25">
      <c r="A1" s="71" t="s">
        <v>87</v>
      </c>
      <c r="B1" s="71"/>
      <c r="C1" s="71"/>
    </row>
    <row r="2" spans="1:6" x14ac:dyDescent="0.25">
      <c r="A2" s="72" t="s">
        <v>88</v>
      </c>
      <c r="B2" s="72"/>
      <c r="C2" s="72"/>
      <c r="D2" s="72"/>
      <c r="E2" s="72" t="s">
        <v>89</v>
      </c>
      <c r="F2" s="72"/>
    </row>
    <row r="3" spans="1:6" x14ac:dyDescent="0.25">
      <c r="A3" s="73" t="s">
        <v>90</v>
      </c>
      <c r="B3" s="73" t="s">
        <v>72</v>
      </c>
      <c r="C3" s="74" t="s">
        <v>2</v>
      </c>
      <c r="D3" s="74"/>
      <c r="E3" s="73" t="s">
        <v>91</v>
      </c>
      <c r="F3" s="73" t="s">
        <v>13</v>
      </c>
    </row>
    <row r="4" spans="1:6" x14ac:dyDescent="0.25">
      <c r="A4" s="73" t="s">
        <v>92</v>
      </c>
      <c r="B4" s="73" t="s">
        <v>72</v>
      </c>
      <c r="C4" s="74"/>
      <c r="D4" s="74"/>
      <c r="E4" s="73" t="s">
        <v>91</v>
      </c>
      <c r="F4" s="73" t="s">
        <v>13</v>
      </c>
    </row>
    <row r="5" spans="1:6" x14ac:dyDescent="0.25">
      <c r="A5" s="73" t="s">
        <v>91</v>
      </c>
      <c r="B5" s="73" t="s">
        <v>93</v>
      </c>
      <c r="C5" s="73" t="s">
        <v>94</v>
      </c>
      <c r="D5" s="73" t="s">
        <v>95</v>
      </c>
      <c r="E5" s="73" t="s">
        <v>96</v>
      </c>
      <c r="F5" s="73" t="s">
        <v>97</v>
      </c>
    </row>
    <row r="6" spans="1:6" x14ac:dyDescent="0.25">
      <c r="A6" s="73" t="s">
        <v>2</v>
      </c>
      <c r="B6" s="73" t="s">
        <v>2</v>
      </c>
      <c r="C6" s="73" t="s">
        <v>2</v>
      </c>
      <c r="D6" s="73" t="s">
        <v>2</v>
      </c>
      <c r="E6" s="73" t="s">
        <v>2</v>
      </c>
      <c r="F6" s="73" t="s">
        <v>2</v>
      </c>
    </row>
    <row r="7" spans="1:6" x14ac:dyDescent="0.25">
      <c r="A7" s="73" t="s">
        <v>2</v>
      </c>
      <c r="B7" s="73" t="s">
        <v>2</v>
      </c>
      <c r="C7" s="73" t="s">
        <v>2</v>
      </c>
      <c r="D7" s="73" t="s">
        <v>2</v>
      </c>
      <c r="E7" s="73" t="s">
        <v>2</v>
      </c>
      <c r="F7" s="73" t="s">
        <v>2</v>
      </c>
    </row>
    <row r="8" spans="1:6" x14ac:dyDescent="0.25">
      <c r="A8" s="73" t="s">
        <v>2</v>
      </c>
      <c r="B8" s="73" t="s">
        <v>2</v>
      </c>
      <c r="C8" s="73" t="s">
        <v>2</v>
      </c>
      <c r="D8" s="73" t="s">
        <v>2</v>
      </c>
      <c r="E8" s="73" t="s">
        <v>2</v>
      </c>
      <c r="F8" s="73" t="s">
        <v>2</v>
      </c>
    </row>
    <row r="9" spans="1:6" x14ac:dyDescent="0.25">
      <c r="A9" s="73" t="s">
        <v>2</v>
      </c>
      <c r="B9" s="73" t="s">
        <v>2</v>
      </c>
      <c r="C9" s="73" t="s">
        <v>2</v>
      </c>
      <c r="D9" s="73" t="s">
        <v>2</v>
      </c>
      <c r="E9" s="73" t="s">
        <v>2</v>
      </c>
      <c r="F9" s="73" t="s">
        <v>2</v>
      </c>
    </row>
    <row r="10" spans="1:6" x14ac:dyDescent="0.25">
      <c r="A10" s="73" t="s">
        <v>2</v>
      </c>
      <c r="B10" s="73" t="s">
        <v>2</v>
      </c>
      <c r="C10" s="73" t="s">
        <v>2</v>
      </c>
      <c r="D10" s="73" t="s">
        <v>2</v>
      </c>
      <c r="E10" s="73" t="s">
        <v>2</v>
      </c>
      <c r="F10" s="73" t="s">
        <v>2</v>
      </c>
    </row>
    <row r="11" spans="1:6" x14ac:dyDescent="0.25">
      <c r="A11" s="73" t="s">
        <v>2</v>
      </c>
      <c r="B11" s="73" t="s">
        <v>2</v>
      </c>
      <c r="C11" s="73" t="s">
        <v>2</v>
      </c>
      <c r="D11" s="73" t="s">
        <v>2</v>
      </c>
      <c r="E11" s="73" t="s">
        <v>2</v>
      </c>
      <c r="F11" s="73" t="s">
        <v>2</v>
      </c>
    </row>
    <row r="12" spans="1:6" x14ac:dyDescent="0.25">
      <c r="A12" s="73" t="s">
        <v>2</v>
      </c>
      <c r="B12" s="73" t="s">
        <v>2</v>
      </c>
      <c r="C12" s="73" t="s">
        <v>2</v>
      </c>
      <c r="D12" s="73" t="s">
        <v>2</v>
      </c>
      <c r="E12" s="73" t="s">
        <v>2</v>
      </c>
      <c r="F12" s="73" t="s">
        <v>2</v>
      </c>
    </row>
    <row r="13" spans="1:6" x14ac:dyDescent="0.25">
      <c r="A13" s="73" t="s">
        <v>2</v>
      </c>
      <c r="B13" s="73" t="s">
        <v>2</v>
      </c>
      <c r="C13" s="73" t="s">
        <v>2</v>
      </c>
      <c r="D13" s="73" t="s">
        <v>2</v>
      </c>
      <c r="E13" s="73" t="s">
        <v>2</v>
      </c>
      <c r="F13" s="73" t="s">
        <v>2</v>
      </c>
    </row>
  </sheetData>
  <mergeCells count="4">
    <mergeCell ref="A1:C1"/>
    <mergeCell ref="A2:D2"/>
    <mergeCell ref="E2:F2"/>
    <mergeCell ref="C3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2" width="22" customWidth="1"/>
    <col min="3" max="6" width="12" customWidth="1"/>
  </cols>
  <sheetData>
    <row r="1" spans="1:3" x14ac:dyDescent="0.25">
      <c r="A1" s="71" t="s">
        <v>87</v>
      </c>
      <c r="B1" s="71"/>
      <c r="C1" s="71"/>
    </row>
    <row r="2" spans="1:6" x14ac:dyDescent="0.25">
      <c r="A2" s="72" t="s">
        <v>88</v>
      </c>
      <c r="B2" s="72"/>
      <c r="C2" s="72"/>
      <c r="D2" s="72"/>
      <c r="E2" s="72" t="s">
        <v>89</v>
      </c>
      <c r="F2" s="72"/>
    </row>
    <row r="3" spans="1:6" x14ac:dyDescent="0.25">
      <c r="A3" s="73" t="s">
        <v>90</v>
      </c>
      <c r="B3" s="73" t="s">
        <v>73</v>
      </c>
      <c r="C3" s="74" t="s">
        <v>2</v>
      </c>
      <c r="D3" s="74"/>
      <c r="E3" s="73" t="s">
        <v>91</v>
      </c>
      <c r="F3" s="73" t="s">
        <v>25</v>
      </c>
    </row>
    <row r="4" spans="1:6" x14ac:dyDescent="0.25">
      <c r="A4" s="73" t="s">
        <v>92</v>
      </c>
      <c r="B4" s="73" t="s">
        <v>73</v>
      </c>
      <c r="C4" s="74"/>
      <c r="D4" s="74"/>
      <c r="E4" s="73" t="s">
        <v>91</v>
      </c>
      <c r="F4" s="73" t="s">
        <v>25</v>
      </c>
    </row>
    <row r="5" spans="1:6" x14ac:dyDescent="0.25">
      <c r="A5" s="73" t="s">
        <v>91</v>
      </c>
      <c r="B5" s="73" t="s">
        <v>93</v>
      </c>
      <c r="C5" s="73" t="s">
        <v>94</v>
      </c>
      <c r="D5" s="73" t="s">
        <v>95</v>
      </c>
      <c r="E5" s="73" t="s">
        <v>96</v>
      </c>
      <c r="F5" s="73" t="s">
        <v>97</v>
      </c>
    </row>
    <row r="6" spans="1:6" x14ac:dyDescent="0.25">
      <c r="A6" s="73" t="s">
        <v>2</v>
      </c>
      <c r="B6" s="73" t="s">
        <v>2</v>
      </c>
      <c r="C6" s="73" t="s">
        <v>2</v>
      </c>
      <c r="D6" s="73" t="s">
        <v>2</v>
      </c>
      <c r="E6" s="73" t="s">
        <v>2</v>
      </c>
      <c r="F6" s="73" t="s">
        <v>2</v>
      </c>
    </row>
    <row r="7" spans="1:6" x14ac:dyDescent="0.25">
      <c r="A7" s="73" t="s">
        <v>2</v>
      </c>
      <c r="B7" s="73" t="s">
        <v>2</v>
      </c>
      <c r="C7" s="73" t="s">
        <v>2</v>
      </c>
      <c r="D7" s="73" t="s">
        <v>2</v>
      </c>
      <c r="E7" s="73" t="s">
        <v>2</v>
      </c>
      <c r="F7" s="73" t="s">
        <v>2</v>
      </c>
    </row>
  </sheetData>
  <mergeCells count="4">
    <mergeCell ref="A1:C1"/>
    <mergeCell ref="A2:D2"/>
    <mergeCell ref="E2:F2"/>
    <mergeCell ref="C3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Report</vt:lpstr>
      <vt:lpstr>Port N°1 Mollendo - Callao</vt:lpstr>
      <vt:lpstr>Port N°2 Callao - Molendo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transgas.web.app</dc:creator>
  <dc:title/>
  <dc:subject/>
  <dc:description/>
  <cp:keywords/>
  <cp:category/>
  <cp:lastModifiedBy>Unknown</cp:lastModifiedBy>
  <dcterms:created xsi:type="dcterms:W3CDTF">2022-10-06T22:15:32Z</dcterms:created>
  <dcterms:modified xsi:type="dcterms:W3CDTF">2022-10-06T22:15:32Z</dcterms:modified>
</cp:coreProperties>
</file>